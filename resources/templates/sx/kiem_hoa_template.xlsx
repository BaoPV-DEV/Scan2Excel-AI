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Salary2\Scan2Excel-AI\Template\sx\"/>
    </mc:Choice>
  </mc:AlternateContent>
  <xr:revisionPtr revIDLastSave="0" documentId="13_ncr:1_{866F6D89-E6B2-4F37-9A8E-4B1347B7DB6F}" xr6:coauthVersionLast="47" xr6:coauthVersionMax="47" xr10:uidLastSave="{00000000-0000-0000-0000-000000000000}"/>
  <bookViews>
    <workbookView xWindow="14400" yWindow="0" windowWidth="14400" windowHeight="15600" tabRatio="511" firstSheet="3" activeTab="4" xr2:uid="{00000000-000D-0000-FFFF-FFFF00000000}"/>
  </bookViews>
  <sheets>
    <sheet name="00000000" sheetId="26" state="veryHidden" r:id="rId1"/>
    <sheet name="10000000" sheetId="28" state="veryHidden" r:id="rId2"/>
    <sheet name="Kiểm hóa may" sheetId="262" r:id="rId3"/>
    <sheet name="Bản sau là" sheetId="263" r:id="rId4"/>
    <sheet name="Bang TH nop" sheetId="25" r:id="rId5"/>
    <sheet name="LƯƠNG T04" sheetId="265" r:id="rId6"/>
    <sheet name="Phieu lương" sheetId="143" r:id="rId7"/>
  </sheets>
  <externalReferences>
    <externalReference r:id="rId8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3" hidden="1">{"'Sheet1'!$L$16"}</definedName>
    <definedName name="HTML_Control" localSheetId="2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3" hidden="1">{"'Sheet1'!$L$16"}</definedName>
    <definedName name="huy" localSheetId="2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_xlnm.Print_Area" localSheetId="3">#REF!</definedName>
    <definedName name="_xlnm.Print_Area" localSheetId="2">'Kiểm hóa may'!$A$1:$AM$63</definedName>
    <definedName name="_xlnm.Print_Area">#REF!</definedName>
    <definedName name="_xlnm.Print_Titles" localSheetId="3">'Bản sau là'!$3:$7</definedName>
    <definedName name="_xlnm.Print_Titles" localSheetId="4">'Bang TH nop'!$4:$4</definedName>
    <definedName name="_xlnm.Print_Titles" localSheetId="2">'Kiểm hóa may'!$3:$7</definedName>
    <definedName name="_xlnm.Print_Titles" localSheetId="5">'LƯƠNG T04'!$5:$7</definedName>
    <definedName name="_xlnm.Print_Titles">#REF!</definedName>
    <definedName name="TaxTV">10%</definedName>
    <definedName name="TaxXL">5%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265" l="1"/>
  <c r="J10" i="265"/>
  <c r="K10" i="265"/>
  <c r="L10" i="265"/>
  <c r="M10" i="265"/>
  <c r="N10" i="265"/>
  <c r="O10" i="265"/>
  <c r="O11" i="265" s="1"/>
  <c r="P10" i="265"/>
  <c r="P11" i="265" s="1"/>
  <c r="AA10" i="265"/>
  <c r="F11" i="265"/>
  <c r="G11" i="265"/>
  <c r="H11" i="265"/>
  <c r="I11" i="265"/>
  <c r="J11" i="265"/>
  <c r="K11" i="265"/>
  <c r="L11" i="265"/>
  <c r="M11" i="265"/>
  <c r="N11" i="265"/>
  <c r="Q11" i="265"/>
  <c r="R11" i="265"/>
  <c r="S11" i="265"/>
  <c r="T11" i="265"/>
  <c r="U11" i="265"/>
  <c r="X11" i="265"/>
  <c r="Y11" i="265"/>
  <c r="Z11" i="265"/>
  <c r="AA11" i="265"/>
  <c r="AC11" i="265"/>
  <c r="AD11" i="265"/>
  <c r="AF11" i="265"/>
  <c r="AI11" i="265"/>
  <c r="I12" i="265"/>
  <c r="J12" i="265"/>
  <c r="H13" i="265" s="1"/>
  <c r="K12" i="265"/>
  <c r="K13" i="265" s="1"/>
  <c r="L12" i="265"/>
  <c r="M12" i="265"/>
  <c r="N12" i="265"/>
  <c r="O12" i="265"/>
  <c r="P12" i="265"/>
  <c r="AA12" i="265"/>
  <c r="F13" i="265"/>
  <c r="L13" i="265"/>
  <c r="M13" i="265"/>
  <c r="N13" i="265"/>
  <c r="O13" i="265"/>
  <c r="P13" i="265"/>
  <c r="Q13" i="265"/>
  <c r="R13" i="265"/>
  <c r="S13" i="265"/>
  <c r="T13" i="265"/>
  <c r="U13" i="265"/>
  <c r="AA13" i="265"/>
  <c r="AD13" i="265"/>
  <c r="AF13" i="265"/>
  <c r="AI13" i="265"/>
  <c r="I14" i="265"/>
  <c r="J14" i="265"/>
  <c r="K14" i="265"/>
  <c r="L14" i="265"/>
  <c r="L15" i="265" s="1"/>
  <c r="M14" i="265"/>
  <c r="N14" i="265"/>
  <c r="O14" i="265"/>
  <c r="P14" i="265"/>
  <c r="AA14" i="265"/>
  <c r="F15" i="265"/>
  <c r="G15" i="265"/>
  <c r="X15" i="265" s="1"/>
  <c r="Z15" i="265" s="1"/>
  <c r="H15" i="265"/>
  <c r="I15" i="265"/>
  <c r="J15" i="265"/>
  <c r="M15" i="265"/>
  <c r="N15" i="265"/>
  <c r="O15" i="265"/>
  <c r="P15" i="265"/>
  <c r="Q15" i="265"/>
  <c r="R15" i="265"/>
  <c r="S15" i="265"/>
  <c r="T15" i="265"/>
  <c r="U15" i="265"/>
  <c r="Y15" i="265"/>
  <c r="AA15" i="265"/>
  <c r="AD15" i="265"/>
  <c r="AF15" i="265"/>
  <c r="AI15" i="265"/>
  <c r="I16" i="265"/>
  <c r="J16" i="265"/>
  <c r="K16" i="265"/>
  <c r="L16" i="265"/>
  <c r="M16" i="265"/>
  <c r="N16" i="265"/>
  <c r="N17" i="265" s="1"/>
  <c r="O16" i="265"/>
  <c r="P16" i="265"/>
  <c r="AA16" i="265"/>
  <c r="F17" i="265"/>
  <c r="G17" i="265"/>
  <c r="H17" i="265"/>
  <c r="I17" i="265"/>
  <c r="X17" i="265" s="1"/>
  <c r="J17" i="265"/>
  <c r="Y17" i="265" s="1"/>
  <c r="K17" i="265"/>
  <c r="L17" i="265"/>
  <c r="O17" i="265"/>
  <c r="P17" i="265"/>
  <c r="Q17" i="265"/>
  <c r="R17" i="265"/>
  <c r="S17" i="265"/>
  <c r="T17" i="265"/>
  <c r="U17" i="265"/>
  <c r="AA17" i="265"/>
  <c r="AD17" i="265"/>
  <c r="AF17" i="265"/>
  <c r="AI17" i="265"/>
  <c r="I18" i="265"/>
  <c r="J18" i="265"/>
  <c r="K18" i="265"/>
  <c r="L18" i="265"/>
  <c r="M18" i="265"/>
  <c r="N18" i="265"/>
  <c r="O18" i="265"/>
  <c r="O19" i="265" s="1"/>
  <c r="P18" i="265"/>
  <c r="P19" i="265" s="1"/>
  <c r="AA18" i="265"/>
  <c r="F19" i="265"/>
  <c r="G19" i="265"/>
  <c r="H19" i="265"/>
  <c r="I19" i="265"/>
  <c r="J19" i="265"/>
  <c r="K19" i="265"/>
  <c r="L19" i="265"/>
  <c r="M19" i="265"/>
  <c r="N19" i="265"/>
  <c r="Q19" i="265"/>
  <c r="R19" i="265"/>
  <c r="S19" i="265"/>
  <c r="T19" i="265"/>
  <c r="U19" i="265"/>
  <c r="X19" i="265"/>
  <c r="Y19" i="265"/>
  <c r="Z19" i="265"/>
  <c r="AA19" i="265"/>
  <c r="AC19" i="265"/>
  <c r="AD19" i="265"/>
  <c r="AF19" i="265"/>
  <c r="AI19" i="265"/>
  <c r="I20" i="265"/>
  <c r="J20" i="265"/>
  <c r="H21" i="265" s="1"/>
  <c r="K20" i="265"/>
  <c r="L20" i="265"/>
  <c r="M20" i="265"/>
  <c r="N20" i="265"/>
  <c r="O20" i="265"/>
  <c r="P20" i="265"/>
  <c r="AA20" i="265"/>
  <c r="F21" i="265"/>
  <c r="K21" i="265"/>
  <c r="L21" i="265"/>
  <c r="M21" i="265"/>
  <c r="N21" i="265"/>
  <c r="O21" i="265"/>
  <c r="P21" i="265"/>
  <c r="Q21" i="265"/>
  <c r="R21" i="265"/>
  <c r="S21" i="265"/>
  <c r="T21" i="265"/>
  <c r="U21" i="265"/>
  <c r="AA21" i="265"/>
  <c r="AD21" i="265"/>
  <c r="AF21" i="265"/>
  <c r="AI21" i="265"/>
  <c r="I22" i="265"/>
  <c r="J22" i="265"/>
  <c r="K22" i="265"/>
  <c r="L22" i="265"/>
  <c r="L23" i="265" s="1"/>
  <c r="M22" i="265"/>
  <c r="N22" i="265"/>
  <c r="O22" i="265"/>
  <c r="P22" i="265"/>
  <c r="AA22" i="265"/>
  <c r="F23" i="265"/>
  <c r="G23" i="265"/>
  <c r="X23" i="265" s="1"/>
  <c r="H23" i="265"/>
  <c r="Y23" i="265" s="1"/>
  <c r="Z23" i="265" s="1"/>
  <c r="I23" i="265"/>
  <c r="J23" i="265"/>
  <c r="M23" i="265"/>
  <c r="N23" i="265"/>
  <c r="O23" i="265"/>
  <c r="P23" i="265"/>
  <c r="Q23" i="265"/>
  <c r="R23" i="265"/>
  <c r="S23" i="265"/>
  <c r="T23" i="265"/>
  <c r="U23" i="265"/>
  <c r="AA23" i="265"/>
  <c r="AD23" i="265"/>
  <c r="AF23" i="265"/>
  <c r="AI23" i="265"/>
  <c r="I24" i="265"/>
  <c r="J24" i="265"/>
  <c r="K24" i="265"/>
  <c r="L24" i="265"/>
  <c r="M24" i="265"/>
  <c r="N24" i="265"/>
  <c r="N25" i="265" s="1"/>
  <c r="O24" i="265"/>
  <c r="P24" i="265"/>
  <c r="AA24" i="265"/>
  <c r="F25" i="265"/>
  <c r="G25" i="265"/>
  <c r="H25" i="265"/>
  <c r="J25" i="265"/>
  <c r="Y25" i="265" s="1"/>
  <c r="K25" i="265"/>
  <c r="L25" i="265"/>
  <c r="O25" i="265"/>
  <c r="P25" i="265"/>
  <c r="Q25" i="265"/>
  <c r="R25" i="265"/>
  <c r="S25" i="265"/>
  <c r="T25" i="265"/>
  <c r="U25" i="265"/>
  <c r="AA25" i="265"/>
  <c r="AD25" i="265"/>
  <c r="AF25" i="265"/>
  <c r="AI25" i="265"/>
  <c r="I26" i="265"/>
  <c r="J26" i="265"/>
  <c r="H27" i="265" s="1"/>
  <c r="Y27" i="265" s="1"/>
  <c r="Z27" i="265" s="1"/>
  <c r="K26" i="265"/>
  <c r="L26" i="265"/>
  <c r="M26" i="265"/>
  <c r="N26" i="265"/>
  <c r="O26" i="265"/>
  <c r="O27" i="265" s="1"/>
  <c r="P26" i="265"/>
  <c r="P27" i="265" s="1"/>
  <c r="AA26" i="265"/>
  <c r="F27" i="265"/>
  <c r="G27" i="265"/>
  <c r="I27" i="265"/>
  <c r="J27" i="265"/>
  <c r="K27" i="265"/>
  <c r="L27" i="265"/>
  <c r="M27" i="265"/>
  <c r="N27" i="265"/>
  <c r="Q27" i="265"/>
  <c r="R27" i="265"/>
  <c r="S27" i="265"/>
  <c r="T27" i="265"/>
  <c r="U27" i="265"/>
  <c r="X27" i="265"/>
  <c r="AA27" i="265"/>
  <c r="AC27" i="265"/>
  <c r="AD27" i="265"/>
  <c r="AF27" i="265"/>
  <c r="AI27" i="265"/>
  <c r="I28" i="265"/>
  <c r="J28" i="265"/>
  <c r="H29" i="265" s="1"/>
  <c r="K28" i="265"/>
  <c r="L28" i="265"/>
  <c r="M28" i="265"/>
  <c r="N28" i="265"/>
  <c r="O28" i="265"/>
  <c r="P28" i="265"/>
  <c r="AA28" i="265"/>
  <c r="F29" i="265"/>
  <c r="K29" i="265"/>
  <c r="L29" i="265"/>
  <c r="M29" i="265"/>
  <c r="N29" i="265"/>
  <c r="O29" i="265"/>
  <c r="P29" i="265"/>
  <c r="Q29" i="265"/>
  <c r="R29" i="265"/>
  <c r="S29" i="265"/>
  <c r="T29" i="265"/>
  <c r="U29" i="265"/>
  <c r="AA29" i="265"/>
  <c r="AD29" i="265"/>
  <c r="AF29" i="265"/>
  <c r="AI29" i="265"/>
  <c r="I30" i="265"/>
  <c r="J30" i="265"/>
  <c r="K30" i="265"/>
  <c r="L30" i="265"/>
  <c r="L31" i="265" s="1"/>
  <c r="M30" i="265"/>
  <c r="N30" i="265"/>
  <c r="O30" i="265"/>
  <c r="P30" i="265"/>
  <c r="AA30" i="265"/>
  <c r="F31" i="265"/>
  <c r="G31" i="265"/>
  <c r="X31" i="265" s="1"/>
  <c r="H31" i="265"/>
  <c r="I31" i="265"/>
  <c r="J31" i="265"/>
  <c r="M31" i="265"/>
  <c r="N31" i="265"/>
  <c r="O31" i="265"/>
  <c r="P31" i="265"/>
  <c r="Q31" i="265"/>
  <c r="R31" i="265"/>
  <c r="S31" i="265"/>
  <c r="T31" i="265"/>
  <c r="U31" i="265"/>
  <c r="Y31" i="265"/>
  <c r="Z31" i="265"/>
  <c r="AA31" i="265"/>
  <c r="AD31" i="265"/>
  <c r="AF31" i="265"/>
  <c r="AI31" i="265"/>
  <c r="I32" i="265"/>
  <c r="J32" i="265"/>
  <c r="K32" i="265"/>
  <c r="L32" i="265"/>
  <c r="M32" i="265"/>
  <c r="N32" i="265"/>
  <c r="N33" i="265" s="1"/>
  <c r="O32" i="265"/>
  <c r="P32" i="265"/>
  <c r="AA32" i="265"/>
  <c r="F33" i="265"/>
  <c r="G33" i="265"/>
  <c r="H33" i="265"/>
  <c r="I33" i="265"/>
  <c r="X33" i="265" s="1"/>
  <c r="Z33" i="265" s="1"/>
  <c r="J33" i="265"/>
  <c r="Y33" i="265" s="1"/>
  <c r="K33" i="265"/>
  <c r="L33" i="265"/>
  <c r="O33" i="265"/>
  <c r="P33" i="265"/>
  <c r="Q33" i="265"/>
  <c r="R33" i="265"/>
  <c r="S33" i="265"/>
  <c r="T33" i="265"/>
  <c r="U33" i="265"/>
  <c r="AA33" i="265"/>
  <c r="AD33" i="265"/>
  <c r="AF33" i="265"/>
  <c r="AI33" i="265"/>
  <c r="I34" i="265"/>
  <c r="J34" i="265"/>
  <c r="K34" i="265"/>
  <c r="L34" i="265"/>
  <c r="M34" i="265"/>
  <c r="N34" i="265"/>
  <c r="O34" i="265"/>
  <c r="O35" i="265" s="1"/>
  <c r="P34" i="265"/>
  <c r="P35" i="265" s="1"/>
  <c r="AA34" i="265"/>
  <c r="F35" i="265"/>
  <c r="G35" i="265"/>
  <c r="H35" i="265"/>
  <c r="I35" i="265"/>
  <c r="J35" i="265"/>
  <c r="Y35" i="265" s="1"/>
  <c r="Z35" i="265" s="1"/>
  <c r="K35" i="265"/>
  <c r="AB35" i="265" s="1"/>
  <c r="L35" i="265"/>
  <c r="M35" i="265"/>
  <c r="N35" i="265"/>
  <c r="Q35" i="265"/>
  <c r="R35" i="265"/>
  <c r="S35" i="265"/>
  <c r="T35" i="265"/>
  <c r="U35" i="265"/>
  <c r="X35" i="265"/>
  <c r="AA35" i="265"/>
  <c r="AC35" i="265"/>
  <c r="AD35" i="265"/>
  <c r="AF35" i="265"/>
  <c r="AI35" i="265"/>
  <c r="I36" i="265"/>
  <c r="J36" i="265"/>
  <c r="H37" i="265" s="1"/>
  <c r="K36" i="265"/>
  <c r="L36" i="265"/>
  <c r="M36" i="265"/>
  <c r="N36" i="265"/>
  <c r="O36" i="265"/>
  <c r="P36" i="265"/>
  <c r="AA36" i="265"/>
  <c r="F37" i="265"/>
  <c r="K37" i="265"/>
  <c r="L37" i="265"/>
  <c r="M37" i="265"/>
  <c r="N37" i="265"/>
  <c r="O37" i="265"/>
  <c r="P37" i="265"/>
  <c r="Q37" i="265"/>
  <c r="R37" i="265"/>
  <c r="S37" i="265"/>
  <c r="T37" i="265"/>
  <c r="U37" i="265"/>
  <c r="AA37" i="265"/>
  <c r="AD37" i="265"/>
  <c r="AF37" i="265"/>
  <c r="AI37" i="265"/>
  <c r="I38" i="265"/>
  <c r="J38" i="265"/>
  <c r="K38" i="265"/>
  <c r="L38" i="265"/>
  <c r="L39" i="265" s="1"/>
  <c r="M38" i="265"/>
  <c r="N38" i="265"/>
  <c r="O38" i="265"/>
  <c r="P38" i="265"/>
  <c r="AA38" i="265"/>
  <c r="F39" i="265"/>
  <c r="G39" i="265"/>
  <c r="X39" i="265" s="1"/>
  <c r="Z39" i="265" s="1"/>
  <c r="H39" i="265"/>
  <c r="Y39" i="265" s="1"/>
  <c r="I39" i="265"/>
  <c r="J39" i="265"/>
  <c r="M39" i="265"/>
  <c r="N39" i="265"/>
  <c r="O39" i="265"/>
  <c r="P39" i="265"/>
  <c r="Q39" i="265"/>
  <c r="R39" i="265"/>
  <c r="S39" i="265"/>
  <c r="T39" i="265"/>
  <c r="U39" i="265"/>
  <c r="AA39" i="265"/>
  <c r="AD39" i="265"/>
  <c r="AF39" i="265"/>
  <c r="AI39" i="265"/>
  <c r="I40" i="265"/>
  <c r="J40" i="265"/>
  <c r="K40" i="265"/>
  <c r="L40" i="265"/>
  <c r="M40" i="265"/>
  <c r="N40" i="265"/>
  <c r="N41" i="265" s="1"/>
  <c r="O40" i="265"/>
  <c r="P40" i="265"/>
  <c r="AA40" i="265"/>
  <c r="F41" i="265"/>
  <c r="G41" i="265"/>
  <c r="H41" i="265"/>
  <c r="I41" i="265"/>
  <c r="X41" i="265" s="1"/>
  <c r="Z41" i="265" s="1"/>
  <c r="J41" i="265"/>
  <c r="Y41" i="265" s="1"/>
  <c r="K41" i="265"/>
  <c r="L41" i="265"/>
  <c r="O41" i="265"/>
  <c r="P41" i="265"/>
  <c r="Q41" i="265"/>
  <c r="R41" i="265"/>
  <c r="S41" i="265"/>
  <c r="T41" i="265"/>
  <c r="U41" i="265"/>
  <c r="AA41" i="265"/>
  <c r="AD41" i="265"/>
  <c r="AF41" i="265"/>
  <c r="AI41" i="265"/>
  <c r="I42" i="265"/>
  <c r="G43" i="265" s="1"/>
  <c r="X43" i="265" s="1"/>
  <c r="Z43" i="265" s="1"/>
  <c r="J42" i="265"/>
  <c r="K42" i="265"/>
  <c r="L42" i="265"/>
  <c r="M42" i="265"/>
  <c r="N42" i="265"/>
  <c r="O42" i="265"/>
  <c r="O43" i="265" s="1"/>
  <c r="P42" i="265"/>
  <c r="P43" i="265" s="1"/>
  <c r="AA42" i="265"/>
  <c r="F43" i="265"/>
  <c r="H43" i="265"/>
  <c r="I43" i="265"/>
  <c r="J43" i="265"/>
  <c r="K43" i="265"/>
  <c r="AB43" i="265" s="1"/>
  <c r="L43" i="265"/>
  <c r="M43" i="265"/>
  <c r="N43" i="265"/>
  <c r="Q43" i="265"/>
  <c r="R43" i="265"/>
  <c r="S43" i="265"/>
  <c r="T43" i="265"/>
  <c r="U43" i="265"/>
  <c r="Y43" i="265"/>
  <c r="AA43" i="265"/>
  <c r="AC43" i="265"/>
  <c r="AD43" i="265"/>
  <c r="AF43" i="265"/>
  <c r="AI43" i="265"/>
  <c r="I44" i="265"/>
  <c r="J44" i="265"/>
  <c r="H45" i="265" s="1"/>
  <c r="K44" i="265"/>
  <c r="L44" i="265"/>
  <c r="M44" i="265"/>
  <c r="N44" i="265"/>
  <c r="O44" i="265"/>
  <c r="P44" i="265"/>
  <c r="AA44" i="265"/>
  <c r="F45" i="265"/>
  <c r="K45" i="265"/>
  <c r="L45" i="265"/>
  <c r="M45" i="265"/>
  <c r="N45" i="265"/>
  <c r="O45" i="265"/>
  <c r="P45" i="265"/>
  <c r="Q45" i="265"/>
  <c r="R45" i="265"/>
  <c r="S45" i="265"/>
  <c r="T45" i="265"/>
  <c r="U45" i="265"/>
  <c r="AA45" i="265"/>
  <c r="AD45" i="265"/>
  <c r="AF45" i="265"/>
  <c r="AI45" i="265"/>
  <c r="I46" i="265"/>
  <c r="J46" i="265"/>
  <c r="K46" i="265"/>
  <c r="L46" i="265"/>
  <c r="L47" i="265" s="1"/>
  <c r="M46" i="265"/>
  <c r="N46" i="265"/>
  <c r="O46" i="265"/>
  <c r="P46" i="265"/>
  <c r="AA46" i="265"/>
  <c r="F47" i="265"/>
  <c r="G47" i="265"/>
  <c r="X47" i="265" s="1"/>
  <c r="Z47" i="265" s="1"/>
  <c r="H47" i="265"/>
  <c r="I47" i="265"/>
  <c r="J47" i="265"/>
  <c r="M47" i="265"/>
  <c r="N47" i="265"/>
  <c r="O47" i="265"/>
  <c r="P47" i="265"/>
  <c r="Q47" i="265"/>
  <c r="R47" i="265"/>
  <c r="S47" i="265"/>
  <c r="T47" i="265"/>
  <c r="U47" i="265"/>
  <c r="Y47" i="265"/>
  <c r="AA47" i="265"/>
  <c r="AD47" i="265"/>
  <c r="AF47" i="265"/>
  <c r="AI47" i="265"/>
  <c r="I48" i="265"/>
  <c r="J48" i="265"/>
  <c r="K48" i="265"/>
  <c r="K49" i="265" s="1"/>
  <c r="L48" i="265"/>
  <c r="M48" i="265"/>
  <c r="N48" i="265"/>
  <c r="N49" i="265" s="1"/>
  <c r="O48" i="265"/>
  <c r="P48" i="265"/>
  <c r="AA48" i="265"/>
  <c r="F49" i="265"/>
  <c r="G49" i="265"/>
  <c r="H49" i="265"/>
  <c r="J49" i="265"/>
  <c r="Y49" i="265" s="1"/>
  <c r="L49" i="265"/>
  <c r="O49" i="265"/>
  <c r="P49" i="265"/>
  <c r="Q49" i="265"/>
  <c r="R49" i="265"/>
  <c r="S49" i="265"/>
  <c r="T49" i="265"/>
  <c r="U49" i="265"/>
  <c r="AA49" i="265"/>
  <c r="AD49" i="265"/>
  <c r="AF49" i="265"/>
  <c r="AI49" i="265"/>
  <c r="I50" i="265"/>
  <c r="J50" i="265"/>
  <c r="K50" i="265"/>
  <c r="L50" i="265"/>
  <c r="M50" i="265"/>
  <c r="N50" i="265"/>
  <c r="O50" i="265"/>
  <c r="O51" i="265" s="1"/>
  <c r="P50" i="265"/>
  <c r="P51" i="265" s="1"/>
  <c r="AA50" i="265"/>
  <c r="F51" i="265"/>
  <c r="G51" i="265"/>
  <c r="H51" i="265"/>
  <c r="I51" i="265"/>
  <c r="J51" i="265"/>
  <c r="K51" i="265"/>
  <c r="AB51" i="265" s="1"/>
  <c r="L51" i="265"/>
  <c r="M51" i="265"/>
  <c r="N51" i="265"/>
  <c r="Q51" i="265"/>
  <c r="R51" i="265"/>
  <c r="S51" i="265"/>
  <c r="T51" i="265"/>
  <c r="U51" i="265"/>
  <c r="X51" i="265"/>
  <c r="Y51" i="265"/>
  <c r="Z51" i="265"/>
  <c r="AA51" i="265"/>
  <c r="AC51" i="265"/>
  <c r="AD51" i="265"/>
  <c r="AF51" i="265"/>
  <c r="AI51" i="265"/>
  <c r="I52" i="265"/>
  <c r="J52" i="265"/>
  <c r="H53" i="265" s="1"/>
  <c r="K52" i="265"/>
  <c r="L52" i="265"/>
  <c r="M52" i="265"/>
  <c r="N52" i="265"/>
  <c r="O52" i="265"/>
  <c r="P52" i="265"/>
  <c r="AA52" i="265"/>
  <c r="F53" i="265"/>
  <c r="K53" i="265"/>
  <c r="L53" i="265"/>
  <c r="M53" i="265"/>
  <c r="N53" i="265"/>
  <c r="O53" i="265"/>
  <c r="P53" i="265"/>
  <c r="Q53" i="265"/>
  <c r="R53" i="265"/>
  <c r="S53" i="265"/>
  <c r="T53" i="265"/>
  <c r="U53" i="265"/>
  <c r="AA53" i="265"/>
  <c r="AD53" i="265"/>
  <c r="AF53" i="265"/>
  <c r="AI53" i="265"/>
  <c r="I54" i="265"/>
  <c r="J54" i="265"/>
  <c r="I55" i="265" s="1"/>
  <c r="K54" i="265"/>
  <c r="L54" i="265"/>
  <c r="L55" i="265" s="1"/>
  <c r="M54" i="265"/>
  <c r="N54" i="265"/>
  <c r="O54" i="265"/>
  <c r="P54" i="265"/>
  <c r="AA54" i="265"/>
  <c r="F55" i="265"/>
  <c r="G55" i="265"/>
  <c r="H55" i="265"/>
  <c r="J55" i="265"/>
  <c r="M55" i="265"/>
  <c r="N55" i="265"/>
  <c r="O55" i="265"/>
  <c r="P55" i="265"/>
  <c r="Q55" i="265"/>
  <c r="R55" i="265"/>
  <c r="S55" i="265"/>
  <c r="T55" i="265"/>
  <c r="U55" i="265"/>
  <c r="Y55" i="265"/>
  <c r="AA55" i="265"/>
  <c r="AD55" i="265"/>
  <c r="AF55" i="265"/>
  <c r="AI55" i="265"/>
  <c r="I56" i="265"/>
  <c r="J56" i="265"/>
  <c r="K56" i="265"/>
  <c r="L56" i="265"/>
  <c r="M56" i="265"/>
  <c r="N56" i="265"/>
  <c r="N57" i="265" s="1"/>
  <c r="O56" i="265"/>
  <c r="P56" i="265"/>
  <c r="AA56" i="265"/>
  <c r="F57" i="265"/>
  <c r="G57" i="265"/>
  <c r="H57" i="265"/>
  <c r="I57" i="265"/>
  <c r="X57" i="265" s="1"/>
  <c r="Z57" i="265" s="1"/>
  <c r="J57" i="265"/>
  <c r="Y57" i="265" s="1"/>
  <c r="K57" i="265"/>
  <c r="L57" i="265"/>
  <c r="O57" i="265"/>
  <c r="P57" i="265"/>
  <c r="Q57" i="265"/>
  <c r="R57" i="265"/>
  <c r="S57" i="265"/>
  <c r="T57" i="265"/>
  <c r="U57" i="265"/>
  <c r="AA57" i="265"/>
  <c r="AD57" i="265"/>
  <c r="AF57" i="265"/>
  <c r="AI57" i="265"/>
  <c r="I58" i="265"/>
  <c r="J58" i="265"/>
  <c r="K58" i="265"/>
  <c r="L58" i="265"/>
  <c r="M58" i="265"/>
  <c r="N58" i="265"/>
  <c r="O58" i="265"/>
  <c r="O59" i="265" s="1"/>
  <c r="P58" i="265"/>
  <c r="P59" i="265" s="1"/>
  <c r="AA58" i="265"/>
  <c r="F59" i="265"/>
  <c r="G59" i="265"/>
  <c r="H59" i="265"/>
  <c r="I59" i="265"/>
  <c r="J59" i="265"/>
  <c r="K59" i="265"/>
  <c r="L59" i="265"/>
  <c r="M59" i="265"/>
  <c r="N59" i="265"/>
  <c r="Q59" i="265"/>
  <c r="R59" i="265"/>
  <c r="S59" i="265"/>
  <c r="T59" i="265"/>
  <c r="U59" i="265"/>
  <c r="X59" i="265"/>
  <c r="Z59" i="265" s="1"/>
  <c r="Y59" i="265"/>
  <c r="AA59" i="265"/>
  <c r="AC59" i="265"/>
  <c r="AD59" i="265"/>
  <c r="AF59" i="265"/>
  <c r="AI59" i="265"/>
  <c r="I60" i="265"/>
  <c r="J60" i="265"/>
  <c r="H61" i="265" s="1"/>
  <c r="K60" i="265"/>
  <c r="L60" i="265"/>
  <c r="M60" i="265"/>
  <c r="N60" i="265"/>
  <c r="O60" i="265"/>
  <c r="P60" i="265"/>
  <c r="AA60" i="265"/>
  <c r="F61" i="265"/>
  <c r="K61" i="265"/>
  <c r="L61" i="265"/>
  <c r="M61" i="265"/>
  <c r="N61" i="265"/>
  <c r="O61" i="265"/>
  <c r="P61" i="265"/>
  <c r="Q61" i="265"/>
  <c r="R61" i="265"/>
  <c r="S61" i="265"/>
  <c r="T61" i="265"/>
  <c r="U61" i="265"/>
  <c r="AA61" i="265"/>
  <c r="AD61" i="265"/>
  <c r="AF61" i="265"/>
  <c r="AI61" i="265"/>
  <c r="I62" i="265"/>
  <c r="J62" i="265"/>
  <c r="K62" i="265"/>
  <c r="L62" i="265"/>
  <c r="L63" i="265" s="1"/>
  <c r="M62" i="265"/>
  <c r="N62" i="265"/>
  <c r="O62" i="265"/>
  <c r="P62" i="265"/>
  <c r="AA62" i="265"/>
  <c r="F63" i="265"/>
  <c r="G63" i="265"/>
  <c r="X63" i="265" s="1"/>
  <c r="Z63" i="265" s="1"/>
  <c r="H63" i="265"/>
  <c r="I63" i="265"/>
  <c r="J63" i="265"/>
  <c r="M63" i="265"/>
  <c r="N63" i="265"/>
  <c r="O63" i="265"/>
  <c r="P63" i="265"/>
  <c r="Q63" i="265"/>
  <c r="R63" i="265"/>
  <c r="S63" i="265"/>
  <c r="T63" i="265"/>
  <c r="U63" i="265"/>
  <c r="Y63" i="265"/>
  <c r="AA63" i="265"/>
  <c r="AD63" i="265"/>
  <c r="AF63" i="265"/>
  <c r="AI63" i="265"/>
  <c r="I64" i="265"/>
  <c r="J64" i="265"/>
  <c r="K64" i="265"/>
  <c r="L64" i="265"/>
  <c r="M64" i="265"/>
  <c r="N64" i="265"/>
  <c r="N65" i="265" s="1"/>
  <c r="O64" i="265"/>
  <c r="P64" i="265"/>
  <c r="AA64" i="265"/>
  <c r="F65" i="265"/>
  <c r="G65" i="265"/>
  <c r="H65" i="265"/>
  <c r="I65" i="265"/>
  <c r="X65" i="265" s="1"/>
  <c r="Z65" i="265" s="1"/>
  <c r="J65" i="265"/>
  <c r="Y65" i="265" s="1"/>
  <c r="K65" i="265"/>
  <c r="L65" i="265"/>
  <c r="O65" i="265"/>
  <c r="P65" i="265"/>
  <c r="Q65" i="265"/>
  <c r="R65" i="265"/>
  <c r="S65" i="265"/>
  <c r="T65" i="265"/>
  <c r="U65" i="265"/>
  <c r="AA65" i="265"/>
  <c r="AD65" i="265"/>
  <c r="AF65" i="265"/>
  <c r="AI65" i="265"/>
  <c r="I66" i="265"/>
  <c r="J66" i="265"/>
  <c r="K66" i="265"/>
  <c r="L66" i="265"/>
  <c r="M66" i="265"/>
  <c r="N66" i="265"/>
  <c r="O66" i="265"/>
  <c r="O67" i="265" s="1"/>
  <c r="P66" i="265"/>
  <c r="P67" i="265" s="1"/>
  <c r="AA66" i="265"/>
  <c r="F67" i="265"/>
  <c r="G67" i="265"/>
  <c r="H67" i="265"/>
  <c r="I67" i="265"/>
  <c r="X67" i="265" s="1"/>
  <c r="Z67" i="265" s="1"/>
  <c r="J67" i="265"/>
  <c r="K67" i="265"/>
  <c r="AB67" i="265" s="1"/>
  <c r="L67" i="265"/>
  <c r="M67" i="265"/>
  <c r="N67" i="265"/>
  <c r="Q67" i="265"/>
  <c r="R67" i="265"/>
  <c r="S67" i="265"/>
  <c r="T67" i="265"/>
  <c r="U67" i="265"/>
  <c r="Y67" i="265"/>
  <c r="AA67" i="265"/>
  <c r="AC67" i="265"/>
  <c r="AD67" i="265"/>
  <c r="AF67" i="265"/>
  <c r="AI67" i="265"/>
  <c r="I68" i="265"/>
  <c r="J68" i="265"/>
  <c r="H69" i="265" s="1"/>
  <c r="K68" i="265"/>
  <c r="L68" i="265"/>
  <c r="M68" i="265"/>
  <c r="N68" i="265"/>
  <c r="O68" i="265"/>
  <c r="P68" i="265"/>
  <c r="AA68" i="265"/>
  <c r="F69" i="265"/>
  <c r="K69" i="265"/>
  <c r="L69" i="265"/>
  <c r="M69" i="265"/>
  <c r="N69" i="265"/>
  <c r="O69" i="265"/>
  <c r="P69" i="265"/>
  <c r="Q69" i="265"/>
  <c r="R69" i="265"/>
  <c r="S69" i="265"/>
  <c r="T69" i="265"/>
  <c r="U69" i="265"/>
  <c r="AA69" i="265"/>
  <c r="AD69" i="265"/>
  <c r="AF69" i="265"/>
  <c r="AI69" i="265"/>
  <c r="I70" i="265"/>
  <c r="J70" i="265"/>
  <c r="K70" i="265"/>
  <c r="L70" i="265"/>
  <c r="L71" i="265" s="1"/>
  <c r="M70" i="265"/>
  <c r="N70" i="265"/>
  <c r="O70" i="265"/>
  <c r="P70" i="265"/>
  <c r="AA70" i="265"/>
  <c r="F71" i="265"/>
  <c r="G71" i="265"/>
  <c r="X71" i="265" s="1"/>
  <c r="H71" i="265"/>
  <c r="Y71" i="265" s="1"/>
  <c r="I71" i="265"/>
  <c r="J71" i="265"/>
  <c r="M71" i="265"/>
  <c r="N71" i="265"/>
  <c r="O71" i="265"/>
  <c r="P71" i="265"/>
  <c r="Q71" i="265"/>
  <c r="R71" i="265"/>
  <c r="S71" i="265"/>
  <c r="T71" i="265"/>
  <c r="U71" i="265"/>
  <c r="AA71" i="265"/>
  <c r="AD71" i="265"/>
  <c r="AF71" i="265"/>
  <c r="AI71" i="265"/>
  <c r="I72" i="265"/>
  <c r="J72" i="265"/>
  <c r="K72" i="265"/>
  <c r="K73" i="265" s="1"/>
  <c r="L72" i="265"/>
  <c r="M72" i="265"/>
  <c r="N72" i="265"/>
  <c r="N73" i="265" s="1"/>
  <c r="O72" i="265"/>
  <c r="P72" i="265"/>
  <c r="P73" i="265" s="1"/>
  <c r="AA72" i="265"/>
  <c r="F73" i="265"/>
  <c r="G73" i="265"/>
  <c r="H73" i="265"/>
  <c r="I73" i="265"/>
  <c r="X73" i="265" s="1"/>
  <c r="Z73" i="265" s="1"/>
  <c r="J73" i="265"/>
  <c r="Y73" i="265" s="1"/>
  <c r="L73" i="265"/>
  <c r="O73" i="265"/>
  <c r="Q73" i="265"/>
  <c r="R73" i="265"/>
  <c r="S73" i="265"/>
  <c r="T73" i="265"/>
  <c r="U73" i="265"/>
  <c r="AA73" i="265"/>
  <c r="AD73" i="265"/>
  <c r="AF73" i="265"/>
  <c r="AI73" i="265"/>
  <c r="I74" i="265"/>
  <c r="J74" i="265"/>
  <c r="H75" i="265" s="1"/>
  <c r="Y75" i="265" s="1"/>
  <c r="K74" i="265"/>
  <c r="L74" i="265"/>
  <c r="M74" i="265"/>
  <c r="N74" i="265"/>
  <c r="O74" i="265"/>
  <c r="O75" i="265" s="1"/>
  <c r="P74" i="265"/>
  <c r="P75" i="265" s="1"/>
  <c r="AA74" i="265"/>
  <c r="F75" i="265"/>
  <c r="G75" i="265"/>
  <c r="I75" i="265"/>
  <c r="J75" i="265"/>
  <c r="K75" i="265"/>
  <c r="L75" i="265"/>
  <c r="M75" i="265"/>
  <c r="N75" i="265"/>
  <c r="Q75" i="265"/>
  <c r="R75" i="265"/>
  <c r="S75" i="265"/>
  <c r="T75" i="265"/>
  <c r="U75" i="265"/>
  <c r="X75" i="265"/>
  <c r="Z75" i="265" s="1"/>
  <c r="AA75" i="265"/>
  <c r="AC75" i="265"/>
  <c r="AD75" i="265"/>
  <c r="AF75" i="265"/>
  <c r="AI75" i="265"/>
  <c r="I76" i="265"/>
  <c r="J76" i="265"/>
  <c r="H77" i="265" s="1"/>
  <c r="K76" i="265"/>
  <c r="L76" i="265"/>
  <c r="M76" i="265"/>
  <c r="N76" i="265"/>
  <c r="O76" i="265"/>
  <c r="P76" i="265"/>
  <c r="AA76" i="265"/>
  <c r="F77" i="265"/>
  <c r="K77" i="265"/>
  <c r="L77" i="265"/>
  <c r="M77" i="265"/>
  <c r="N77" i="265"/>
  <c r="O77" i="265"/>
  <c r="P77" i="265"/>
  <c r="Q77" i="265"/>
  <c r="R77" i="265"/>
  <c r="S77" i="265"/>
  <c r="T77" i="265"/>
  <c r="U77" i="265"/>
  <c r="AA77" i="265"/>
  <c r="AD77" i="265"/>
  <c r="AF77" i="265"/>
  <c r="AI77" i="265"/>
  <c r="I78" i="265"/>
  <c r="J78" i="265"/>
  <c r="K78" i="265"/>
  <c r="L78" i="265"/>
  <c r="L79" i="265" s="1"/>
  <c r="M78" i="265"/>
  <c r="N78" i="265"/>
  <c r="O78" i="265"/>
  <c r="P78" i="265"/>
  <c r="AA78" i="265"/>
  <c r="F79" i="265"/>
  <c r="G79" i="265"/>
  <c r="X79" i="265" s="1"/>
  <c r="H79" i="265"/>
  <c r="Y79" i="265" s="1"/>
  <c r="Z79" i="265" s="1"/>
  <c r="I79" i="265"/>
  <c r="J79" i="265"/>
  <c r="M79" i="265"/>
  <c r="N79" i="265"/>
  <c r="O79" i="265"/>
  <c r="P79" i="265"/>
  <c r="Q79" i="265"/>
  <c r="R79" i="265"/>
  <c r="S79" i="265"/>
  <c r="T79" i="265"/>
  <c r="U79" i="265"/>
  <c r="AA79" i="265"/>
  <c r="AD79" i="265"/>
  <c r="AF79" i="265"/>
  <c r="AI79" i="265"/>
  <c r="I80" i="265"/>
  <c r="J80" i="265"/>
  <c r="K80" i="265"/>
  <c r="L80" i="265"/>
  <c r="M80" i="265"/>
  <c r="N80" i="265"/>
  <c r="N81" i="265" s="1"/>
  <c r="O80" i="265"/>
  <c r="P80" i="265"/>
  <c r="AA80" i="265"/>
  <c r="F81" i="265"/>
  <c r="G81" i="265"/>
  <c r="H81" i="265"/>
  <c r="J81" i="265"/>
  <c r="Y81" i="265" s="1"/>
  <c r="K81" i="265"/>
  <c r="L81" i="265"/>
  <c r="O81" i="265"/>
  <c r="P81" i="265"/>
  <c r="Q81" i="265"/>
  <c r="R81" i="265"/>
  <c r="S81" i="265"/>
  <c r="T81" i="265"/>
  <c r="U81" i="265"/>
  <c r="AA81" i="265"/>
  <c r="AD81" i="265"/>
  <c r="AF81" i="265"/>
  <c r="AI81" i="265"/>
  <c r="I82" i="265"/>
  <c r="J82" i="265"/>
  <c r="H83" i="265" s="1"/>
  <c r="Y83" i="265" s="1"/>
  <c r="K82" i="265"/>
  <c r="L82" i="265"/>
  <c r="M82" i="265"/>
  <c r="N82" i="265"/>
  <c r="O82" i="265"/>
  <c r="O83" i="265" s="1"/>
  <c r="P82" i="265"/>
  <c r="P83" i="265" s="1"/>
  <c r="AA82" i="265"/>
  <c r="F83" i="265"/>
  <c r="G83" i="265"/>
  <c r="I83" i="265"/>
  <c r="J83" i="265"/>
  <c r="K83" i="265"/>
  <c r="L83" i="265"/>
  <c r="M83" i="265"/>
  <c r="N83" i="265"/>
  <c r="Q83" i="265"/>
  <c r="R83" i="265"/>
  <c r="S83" i="265"/>
  <c r="T83" i="265"/>
  <c r="U83" i="265"/>
  <c r="X83" i="265"/>
  <c r="AA83" i="265"/>
  <c r="AC83" i="265"/>
  <c r="AD83" i="265"/>
  <c r="AF83" i="265"/>
  <c r="AI83" i="265"/>
  <c r="I84" i="265"/>
  <c r="AC85" i="265" s="1"/>
  <c r="J84" i="265"/>
  <c r="H85" i="265" s="1"/>
  <c r="K84" i="265"/>
  <c r="L84" i="265"/>
  <c r="M84" i="265"/>
  <c r="N84" i="265"/>
  <c r="O84" i="265"/>
  <c r="P84" i="265"/>
  <c r="AA84" i="265"/>
  <c r="F85" i="265"/>
  <c r="K85" i="265"/>
  <c r="L85" i="265"/>
  <c r="M85" i="265"/>
  <c r="N85" i="265"/>
  <c r="O85" i="265"/>
  <c r="P85" i="265"/>
  <c r="Q85" i="265"/>
  <c r="R85" i="265"/>
  <c r="S85" i="265"/>
  <c r="T85" i="265"/>
  <c r="U85" i="265"/>
  <c r="AA85" i="265"/>
  <c r="AD85" i="265"/>
  <c r="AF85" i="265"/>
  <c r="AI85" i="265"/>
  <c r="I86" i="265"/>
  <c r="I87" i="265" s="1"/>
  <c r="J86" i="265"/>
  <c r="H87" i="265" s="1"/>
  <c r="K86" i="265"/>
  <c r="L86" i="265"/>
  <c r="M86" i="265"/>
  <c r="N86" i="265"/>
  <c r="N87" i="265" s="1"/>
  <c r="O86" i="265"/>
  <c r="O87" i="265" s="1"/>
  <c r="P86" i="265"/>
  <c r="P87" i="265" s="1"/>
  <c r="AA86" i="265"/>
  <c r="F87" i="265"/>
  <c r="G87" i="265"/>
  <c r="K87" i="265"/>
  <c r="L87" i="265"/>
  <c r="M87" i="265"/>
  <c r="Q87" i="265"/>
  <c r="R87" i="265"/>
  <c r="S87" i="265"/>
  <c r="T87" i="265"/>
  <c r="U87" i="265"/>
  <c r="AA87" i="265"/>
  <c r="AC87" i="265"/>
  <c r="AD87" i="265"/>
  <c r="AF87" i="265"/>
  <c r="AI87" i="265"/>
  <c r="I88" i="265"/>
  <c r="G89" i="265" s="1"/>
  <c r="J88" i="265"/>
  <c r="K88" i="265"/>
  <c r="K89" i="265" s="1"/>
  <c r="L88" i="265"/>
  <c r="M88" i="265"/>
  <c r="N88" i="265"/>
  <c r="O88" i="265"/>
  <c r="P88" i="265"/>
  <c r="P89" i="265" s="1"/>
  <c r="AA88" i="265"/>
  <c r="F89" i="265"/>
  <c r="H89" i="265"/>
  <c r="L89" i="265"/>
  <c r="M89" i="265"/>
  <c r="N89" i="265"/>
  <c r="O89" i="265"/>
  <c r="Q89" i="265"/>
  <c r="R89" i="265"/>
  <c r="S89" i="265"/>
  <c r="T89" i="265"/>
  <c r="U89" i="265"/>
  <c r="AA89" i="265"/>
  <c r="AD89" i="265"/>
  <c r="AF89" i="265"/>
  <c r="AI89" i="265"/>
  <c r="I90" i="265"/>
  <c r="J90" i="265"/>
  <c r="H91" i="265" s="1"/>
  <c r="K90" i="265"/>
  <c r="K91" i="265" s="1"/>
  <c r="L90" i="265"/>
  <c r="L91" i="265" s="1"/>
  <c r="M90" i="265"/>
  <c r="M91" i="265" s="1"/>
  <c r="N90" i="265"/>
  <c r="O90" i="265"/>
  <c r="P90" i="265"/>
  <c r="AA90" i="265"/>
  <c r="F91" i="265"/>
  <c r="G91" i="265"/>
  <c r="N91" i="265"/>
  <c r="O91" i="265"/>
  <c r="P91" i="265"/>
  <c r="Q91" i="265"/>
  <c r="R91" i="265"/>
  <c r="S91" i="265"/>
  <c r="T91" i="265"/>
  <c r="U91" i="265"/>
  <c r="AA91" i="265"/>
  <c r="AD91" i="265"/>
  <c r="AF91" i="265"/>
  <c r="AI91" i="265"/>
  <c r="I92" i="265"/>
  <c r="J93" i="265" s="1"/>
  <c r="J92" i="265"/>
  <c r="K92" i="265"/>
  <c r="L92" i="265"/>
  <c r="L93" i="265" s="1"/>
  <c r="M92" i="265"/>
  <c r="M93" i="265" s="1"/>
  <c r="N92" i="265"/>
  <c r="N93" i="265" s="1"/>
  <c r="O92" i="265"/>
  <c r="O93" i="265" s="1"/>
  <c r="P92" i="265"/>
  <c r="AA92" i="265"/>
  <c r="F93" i="265"/>
  <c r="H93" i="265"/>
  <c r="I93" i="265"/>
  <c r="K93" i="265"/>
  <c r="P93" i="265"/>
  <c r="Q93" i="265"/>
  <c r="R93" i="265"/>
  <c r="S93" i="265"/>
  <c r="T93" i="265"/>
  <c r="U93" i="265"/>
  <c r="AA93" i="265"/>
  <c r="AD93" i="265"/>
  <c r="AF93" i="265"/>
  <c r="AI93" i="265"/>
  <c r="I94" i="265"/>
  <c r="I95" i="265" s="1"/>
  <c r="J94" i="265"/>
  <c r="H95" i="265" s="1"/>
  <c r="Y95" i="265" s="1"/>
  <c r="K94" i="265"/>
  <c r="L94" i="265"/>
  <c r="M94" i="265"/>
  <c r="N94" i="265"/>
  <c r="N95" i="265" s="1"/>
  <c r="O94" i="265"/>
  <c r="O95" i="265" s="1"/>
  <c r="P94" i="265"/>
  <c r="P95" i="265" s="1"/>
  <c r="AA94" i="265"/>
  <c r="F95" i="265"/>
  <c r="G95" i="265"/>
  <c r="X95" i="265" s="1"/>
  <c r="Z95" i="265" s="1"/>
  <c r="J95" i="265"/>
  <c r="K95" i="265"/>
  <c r="L95" i="265"/>
  <c r="M95" i="265"/>
  <c r="Q95" i="265"/>
  <c r="R95" i="265"/>
  <c r="S95" i="265"/>
  <c r="T95" i="265"/>
  <c r="U95" i="265"/>
  <c r="AA95" i="265"/>
  <c r="AC95" i="265"/>
  <c r="AD95" i="265"/>
  <c r="AF95" i="265"/>
  <c r="AI95" i="265"/>
  <c r="I96" i="265"/>
  <c r="G97" i="265" s="1"/>
  <c r="J96" i="265"/>
  <c r="K96" i="265"/>
  <c r="K97" i="265" s="1"/>
  <c r="L96" i="265"/>
  <c r="M96" i="265"/>
  <c r="N96" i="265"/>
  <c r="O96" i="265"/>
  <c r="P96" i="265"/>
  <c r="P97" i="265" s="1"/>
  <c r="AA96" i="265"/>
  <c r="F97" i="265"/>
  <c r="H97" i="265"/>
  <c r="L97" i="265"/>
  <c r="M97" i="265"/>
  <c r="N97" i="265"/>
  <c r="O97" i="265"/>
  <c r="Q97" i="265"/>
  <c r="R97" i="265"/>
  <c r="S97" i="265"/>
  <c r="T97" i="265"/>
  <c r="U97" i="265"/>
  <c r="AA97" i="265"/>
  <c r="AD97" i="265"/>
  <c r="AF97" i="265"/>
  <c r="AI97" i="265"/>
  <c r="I98" i="265"/>
  <c r="J98" i="265"/>
  <c r="H99" i="265" s="1"/>
  <c r="K98" i="265"/>
  <c r="K99" i="265" s="1"/>
  <c r="L98" i="265"/>
  <c r="L99" i="265" s="1"/>
  <c r="M98" i="265"/>
  <c r="M99" i="265" s="1"/>
  <c r="N98" i="265"/>
  <c r="O98" i="265"/>
  <c r="P98" i="265"/>
  <c r="AA98" i="265"/>
  <c r="F99" i="265"/>
  <c r="G99" i="265"/>
  <c r="N99" i="265"/>
  <c r="O99" i="265"/>
  <c r="P99" i="265"/>
  <c r="Q99" i="265"/>
  <c r="R99" i="265"/>
  <c r="S99" i="265"/>
  <c r="T99" i="265"/>
  <c r="U99" i="265"/>
  <c r="AA99" i="265"/>
  <c r="AD99" i="265"/>
  <c r="AF99" i="265"/>
  <c r="AI99" i="265"/>
  <c r="I100" i="265"/>
  <c r="J101" i="265" s="1"/>
  <c r="J100" i="265"/>
  <c r="K100" i="265"/>
  <c r="L100" i="265"/>
  <c r="AC101" i="265" s="1"/>
  <c r="M100" i="265"/>
  <c r="M101" i="265" s="1"/>
  <c r="N100" i="265"/>
  <c r="O100" i="265"/>
  <c r="O101" i="265" s="1"/>
  <c r="P100" i="265"/>
  <c r="AA100" i="265"/>
  <c r="F101" i="265"/>
  <c r="H101" i="265"/>
  <c r="Y101" i="265" s="1"/>
  <c r="I101" i="265"/>
  <c r="K101" i="265"/>
  <c r="N101" i="265"/>
  <c r="P101" i="265"/>
  <c r="Q101" i="265"/>
  <c r="R101" i="265"/>
  <c r="S101" i="265"/>
  <c r="T101" i="265"/>
  <c r="U101" i="265"/>
  <c r="AA101" i="265"/>
  <c r="AD101" i="265"/>
  <c r="AF101" i="265"/>
  <c r="AI101" i="265"/>
  <c r="I102" i="265"/>
  <c r="I103" i="265" s="1"/>
  <c r="J102" i="265"/>
  <c r="H103" i="265" s="1"/>
  <c r="Y103" i="265" s="1"/>
  <c r="K102" i="265"/>
  <c r="L102" i="265"/>
  <c r="M102" i="265"/>
  <c r="N102" i="265"/>
  <c r="J103" i="265" s="1"/>
  <c r="O102" i="265"/>
  <c r="O103" i="265" s="1"/>
  <c r="P102" i="265"/>
  <c r="P103" i="265" s="1"/>
  <c r="AA102" i="265"/>
  <c r="F103" i="265"/>
  <c r="G103" i="265"/>
  <c r="X103" i="265" s="1"/>
  <c r="Z103" i="265" s="1"/>
  <c r="K103" i="265"/>
  <c r="L103" i="265"/>
  <c r="M103" i="265"/>
  <c r="Q103" i="265"/>
  <c r="R103" i="265"/>
  <c r="S103" i="265"/>
  <c r="T103" i="265"/>
  <c r="U103" i="265"/>
  <c r="AA103" i="265"/>
  <c r="AC103" i="265"/>
  <c r="AD103" i="265"/>
  <c r="AF103" i="265"/>
  <c r="AI103" i="265"/>
  <c r="I104" i="265"/>
  <c r="G105" i="265" s="1"/>
  <c r="J104" i="265"/>
  <c r="K104" i="265"/>
  <c r="K105" i="265" s="1"/>
  <c r="L104" i="265"/>
  <c r="M104" i="265"/>
  <c r="N104" i="265"/>
  <c r="O104" i="265"/>
  <c r="P104" i="265"/>
  <c r="P105" i="265" s="1"/>
  <c r="AA104" i="265"/>
  <c r="F105" i="265"/>
  <c r="H105" i="265"/>
  <c r="L105" i="265"/>
  <c r="M105" i="265"/>
  <c r="N105" i="265"/>
  <c r="O105" i="265"/>
  <c r="Q105" i="265"/>
  <c r="R105" i="265"/>
  <c r="S105" i="265"/>
  <c r="T105" i="265"/>
  <c r="U105" i="265"/>
  <c r="AA105" i="265"/>
  <c r="AD105" i="265"/>
  <c r="AF105" i="265"/>
  <c r="AI105" i="265"/>
  <c r="I106" i="265"/>
  <c r="J106" i="265"/>
  <c r="H107" i="265" s="1"/>
  <c r="K106" i="265"/>
  <c r="K107" i="265" s="1"/>
  <c r="L106" i="265"/>
  <c r="M106" i="265"/>
  <c r="M107" i="265" s="1"/>
  <c r="N106" i="265"/>
  <c r="O106" i="265"/>
  <c r="P106" i="265"/>
  <c r="AA106" i="265"/>
  <c r="F107" i="265"/>
  <c r="G107" i="265"/>
  <c r="L107" i="265"/>
  <c r="N107" i="265"/>
  <c r="O107" i="265"/>
  <c r="P107" i="265"/>
  <c r="Q107" i="265"/>
  <c r="R107" i="265"/>
  <c r="S107" i="265"/>
  <c r="T107" i="265"/>
  <c r="U107" i="265"/>
  <c r="AA107" i="265"/>
  <c r="AD107" i="265"/>
  <c r="AF107" i="265"/>
  <c r="AI107" i="265"/>
  <c r="I108" i="265"/>
  <c r="J109" i="265" s="1"/>
  <c r="J108" i="265"/>
  <c r="K108" i="265"/>
  <c r="L108" i="265"/>
  <c r="AC109" i="265" s="1"/>
  <c r="M108" i="265"/>
  <c r="M109" i="265" s="1"/>
  <c r="N108" i="265"/>
  <c r="O108" i="265"/>
  <c r="O109" i="265" s="1"/>
  <c r="P108" i="265"/>
  <c r="AA108" i="265"/>
  <c r="F109" i="265"/>
  <c r="H109" i="265"/>
  <c r="Y109" i="265" s="1"/>
  <c r="I109" i="265"/>
  <c r="K109" i="265"/>
  <c r="N109" i="265"/>
  <c r="P109" i="265"/>
  <c r="Q109" i="265"/>
  <c r="R109" i="265"/>
  <c r="S109" i="265"/>
  <c r="T109" i="265"/>
  <c r="U109" i="265"/>
  <c r="AA109" i="265"/>
  <c r="AD109" i="265"/>
  <c r="AF109" i="265"/>
  <c r="AI109" i="265"/>
  <c r="I110" i="265"/>
  <c r="J110" i="265"/>
  <c r="H111" i="265" s="1"/>
  <c r="K110" i="265"/>
  <c r="L110" i="265"/>
  <c r="M110" i="265"/>
  <c r="N110" i="265"/>
  <c r="N111" i="265" s="1"/>
  <c r="O110" i="265"/>
  <c r="O111" i="265" s="1"/>
  <c r="P110" i="265"/>
  <c r="AA110" i="265"/>
  <c r="F111" i="265"/>
  <c r="G111" i="265"/>
  <c r="K111" i="265"/>
  <c r="L111" i="265"/>
  <c r="M111" i="265"/>
  <c r="P111" i="265"/>
  <c r="Q111" i="265"/>
  <c r="R111" i="265"/>
  <c r="S111" i="265"/>
  <c r="T111" i="265"/>
  <c r="U111" i="265"/>
  <c r="AA111" i="265"/>
  <c r="AC111" i="265"/>
  <c r="AD111" i="265"/>
  <c r="AF111" i="265"/>
  <c r="AI111" i="265"/>
  <c r="I112" i="265"/>
  <c r="G113" i="265" s="1"/>
  <c r="J112" i="265"/>
  <c r="K112" i="265"/>
  <c r="L112" i="265"/>
  <c r="M112" i="265"/>
  <c r="N112" i="265"/>
  <c r="O112" i="265"/>
  <c r="P112" i="265"/>
  <c r="P113" i="265" s="1"/>
  <c r="AA112" i="265"/>
  <c r="F113" i="265"/>
  <c r="H113" i="265"/>
  <c r="K113" i="265"/>
  <c r="L113" i="265"/>
  <c r="M113" i="265"/>
  <c r="N113" i="265"/>
  <c r="O113" i="265"/>
  <c r="Q113" i="265"/>
  <c r="R113" i="265"/>
  <c r="S113" i="265"/>
  <c r="T113" i="265"/>
  <c r="U113" i="265"/>
  <c r="AA113" i="265"/>
  <c r="AD113" i="265"/>
  <c r="AF113" i="265"/>
  <c r="AI113" i="265"/>
  <c r="I114" i="265"/>
  <c r="I115" i="265" s="1"/>
  <c r="J114" i="265"/>
  <c r="H115" i="265" s="1"/>
  <c r="K114" i="265"/>
  <c r="K115" i="265" s="1"/>
  <c r="L114" i="265"/>
  <c r="M114" i="265"/>
  <c r="N114" i="265"/>
  <c r="O114" i="265"/>
  <c r="P114" i="265"/>
  <c r="AA114" i="265"/>
  <c r="F115" i="265"/>
  <c r="G115" i="265"/>
  <c r="L115" i="265"/>
  <c r="M115" i="265"/>
  <c r="N115" i="265"/>
  <c r="O115" i="265"/>
  <c r="P115" i="265"/>
  <c r="Q115" i="265"/>
  <c r="R115" i="265"/>
  <c r="S115" i="265"/>
  <c r="T115" i="265"/>
  <c r="U115" i="265"/>
  <c r="AA115" i="265"/>
  <c r="AD115" i="265"/>
  <c r="AF115" i="265"/>
  <c r="AI115" i="265"/>
  <c r="I116" i="265"/>
  <c r="J117" i="265" s="1"/>
  <c r="J116" i="265"/>
  <c r="K116" i="265"/>
  <c r="K117" i="265" s="1"/>
  <c r="L116" i="265"/>
  <c r="AC117" i="265" s="1"/>
  <c r="M116" i="265"/>
  <c r="M117" i="265" s="1"/>
  <c r="N116" i="265"/>
  <c r="O116" i="265"/>
  <c r="P116" i="265"/>
  <c r="AA116" i="265"/>
  <c r="F117" i="265"/>
  <c r="G117" i="265"/>
  <c r="X117" i="265" s="1"/>
  <c r="H117" i="265"/>
  <c r="Y117" i="265" s="1"/>
  <c r="I117" i="265"/>
  <c r="N117" i="265"/>
  <c r="O117" i="265"/>
  <c r="P117" i="265"/>
  <c r="Q117" i="265"/>
  <c r="R117" i="265"/>
  <c r="S117" i="265"/>
  <c r="T117" i="265"/>
  <c r="U117" i="265"/>
  <c r="AA117" i="265"/>
  <c r="AD117" i="265"/>
  <c r="AF117" i="265"/>
  <c r="AI117" i="265"/>
  <c r="I118" i="265"/>
  <c r="G119" i="265" s="1"/>
  <c r="J118" i="265"/>
  <c r="H119" i="265" s="1"/>
  <c r="Y119" i="265" s="1"/>
  <c r="K118" i="265"/>
  <c r="L118" i="265"/>
  <c r="M118" i="265"/>
  <c r="N118" i="265"/>
  <c r="N119" i="265" s="1"/>
  <c r="O118" i="265"/>
  <c r="O119" i="265" s="1"/>
  <c r="P118" i="265"/>
  <c r="AA118" i="265"/>
  <c r="F119" i="265"/>
  <c r="J119" i="265"/>
  <c r="K119" i="265"/>
  <c r="L119" i="265"/>
  <c r="M119" i="265"/>
  <c r="P119" i="265"/>
  <c r="Q119" i="265"/>
  <c r="R119" i="265"/>
  <c r="S119" i="265"/>
  <c r="T119" i="265"/>
  <c r="U119" i="265"/>
  <c r="AA119" i="265"/>
  <c r="AC119" i="265"/>
  <c r="AD119" i="265"/>
  <c r="AF119" i="265"/>
  <c r="AI119" i="265"/>
  <c r="I120" i="265"/>
  <c r="G121" i="265" s="1"/>
  <c r="J120" i="265"/>
  <c r="K120" i="265"/>
  <c r="L120" i="265"/>
  <c r="M120" i="265"/>
  <c r="N120" i="265"/>
  <c r="O120" i="265"/>
  <c r="P120" i="265"/>
  <c r="P121" i="265" s="1"/>
  <c r="AA120" i="265"/>
  <c r="F121" i="265"/>
  <c r="H121" i="265"/>
  <c r="K121" i="265"/>
  <c r="L121" i="265"/>
  <c r="M121" i="265"/>
  <c r="N121" i="265"/>
  <c r="O121" i="265"/>
  <c r="Q121" i="265"/>
  <c r="R121" i="265"/>
  <c r="S121" i="265"/>
  <c r="T121" i="265"/>
  <c r="U121" i="265"/>
  <c r="AA121" i="265"/>
  <c r="AD121" i="265"/>
  <c r="AF121" i="265"/>
  <c r="AI121" i="265"/>
  <c r="I122" i="265"/>
  <c r="J123" i="265" s="1"/>
  <c r="J122" i="265"/>
  <c r="H123" i="265" s="1"/>
  <c r="Y123" i="265" s="1"/>
  <c r="K122" i="265"/>
  <c r="K123" i="265" s="1"/>
  <c r="L122" i="265"/>
  <c r="M122" i="265"/>
  <c r="N122" i="265"/>
  <c r="O122" i="265"/>
  <c r="P122" i="265"/>
  <c r="AA122" i="265"/>
  <c r="F123" i="265"/>
  <c r="G123" i="265"/>
  <c r="L123" i="265"/>
  <c r="M123" i="265"/>
  <c r="N123" i="265"/>
  <c r="O123" i="265"/>
  <c r="P123" i="265"/>
  <c r="Q123" i="265"/>
  <c r="R123" i="265"/>
  <c r="S123" i="265"/>
  <c r="T123" i="265"/>
  <c r="U123" i="265"/>
  <c r="AA123" i="265"/>
  <c r="AD123" i="265"/>
  <c r="AF123" i="265"/>
  <c r="AI123" i="265"/>
  <c r="I124" i="265"/>
  <c r="J125" i="265" s="1"/>
  <c r="J124" i="265"/>
  <c r="K124" i="265"/>
  <c r="L124" i="265"/>
  <c r="AC125" i="265" s="1"/>
  <c r="M124" i="265"/>
  <c r="M125" i="265" s="1"/>
  <c r="N124" i="265"/>
  <c r="O124" i="265"/>
  <c r="P124" i="265"/>
  <c r="AA124" i="265"/>
  <c r="F125" i="265"/>
  <c r="G125" i="265"/>
  <c r="X125" i="265" s="1"/>
  <c r="H125" i="265"/>
  <c r="I125" i="265"/>
  <c r="K125" i="265"/>
  <c r="N125" i="265"/>
  <c r="O125" i="265"/>
  <c r="P125" i="265"/>
  <c r="Q125" i="265"/>
  <c r="R125" i="265"/>
  <c r="S125" i="265"/>
  <c r="T125" i="265"/>
  <c r="U125" i="265"/>
  <c r="AA125" i="265"/>
  <c r="AD125" i="265"/>
  <c r="AF125" i="265"/>
  <c r="AI125" i="265"/>
  <c r="I126" i="265"/>
  <c r="G127" i="265" s="1"/>
  <c r="J126" i="265"/>
  <c r="K126" i="265"/>
  <c r="L126" i="265"/>
  <c r="M126" i="265"/>
  <c r="N126" i="265"/>
  <c r="N127" i="265" s="1"/>
  <c r="O126" i="265"/>
  <c r="O127" i="265" s="1"/>
  <c r="P126" i="265"/>
  <c r="AA126" i="265"/>
  <c r="F127" i="265"/>
  <c r="H127" i="265"/>
  <c r="J127" i="265"/>
  <c r="Y127" i="265" s="1"/>
  <c r="K127" i="265"/>
  <c r="L127" i="265"/>
  <c r="M127" i="265"/>
  <c r="P127" i="265"/>
  <c r="Q127" i="265"/>
  <c r="R127" i="265"/>
  <c r="S127" i="265"/>
  <c r="T127" i="265"/>
  <c r="U127" i="265"/>
  <c r="AA127" i="265"/>
  <c r="AC127" i="265"/>
  <c r="AD127" i="265"/>
  <c r="AF127" i="265"/>
  <c r="AI127" i="265"/>
  <c r="I128" i="265"/>
  <c r="G129" i="265" s="1"/>
  <c r="J128" i="265"/>
  <c r="H129" i="265" s="1"/>
  <c r="K128" i="265"/>
  <c r="K129" i="265" s="1"/>
  <c r="L128" i="265"/>
  <c r="M128" i="265"/>
  <c r="N128" i="265"/>
  <c r="O128" i="265"/>
  <c r="P128" i="265"/>
  <c r="P129" i="265" s="1"/>
  <c r="AA128" i="265"/>
  <c r="F129" i="265"/>
  <c r="L129" i="265"/>
  <c r="M129" i="265"/>
  <c r="N129" i="265"/>
  <c r="O129" i="265"/>
  <c r="Q129" i="265"/>
  <c r="R129" i="265"/>
  <c r="S129" i="265"/>
  <c r="T129" i="265"/>
  <c r="U129" i="265"/>
  <c r="AA129" i="265"/>
  <c r="AD129" i="265"/>
  <c r="AF129" i="265"/>
  <c r="AI129" i="265"/>
  <c r="I130" i="265"/>
  <c r="J131" i="265" s="1"/>
  <c r="J130" i="265"/>
  <c r="H131" i="265" s="1"/>
  <c r="K130" i="265"/>
  <c r="K131" i="265" s="1"/>
  <c r="L130" i="265"/>
  <c r="M130" i="265"/>
  <c r="M131" i="265" s="1"/>
  <c r="N130" i="265"/>
  <c r="O130" i="265"/>
  <c r="P130" i="265"/>
  <c r="AA130" i="265"/>
  <c r="F131" i="265"/>
  <c r="G131" i="265"/>
  <c r="L131" i="265"/>
  <c r="N131" i="265"/>
  <c r="O131" i="265"/>
  <c r="P131" i="265"/>
  <c r="Q131" i="265"/>
  <c r="R131" i="265"/>
  <c r="S131" i="265"/>
  <c r="T131" i="265"/>
  <c r="U131" i="265"/>
  <c r="AA131" i="265"/>
  <c r="AD131" i="265"/>
  <c r="AF131" i="265"/>
  <c r="AI131" i="265"/>
  <c r="AL9" i="265"/>
  <c r="AJ9" i="265" s="1"/>
  <c r="AK9" i="265" s="1"/>
  <c r="AI9" i="265"/>
  <c r="AF9" i="265"/>
  <c r="AE9" i="265"/>
  <c r="AD9" i="265"/>
  <c r="AC9" i="265"/>
  <c r="AB9" i="265"/>
  <c r="AA9" i="265"/>
  <c r="AA8" i="265"/>
  <c r="Z9" i="265"/>
  <c r="U9" i="265"/>
  <c r="T9" i="265"/>
  <c r="S9" i="265"/>
  <c r="R9" i="265"/>
  <c r="O8" i="265"/>
  <c r="O9" i="265" s="1"/>
  <c r="P9" i="265"/>
  <c r="P8" i="265"/>
  <c r="N9" i="265"/>
  <c r="N8" i="265"/>
  <c r="J9" i="265" s="1"/>
  <c r="M9" i="265"/>
  <c r="M8" i="265"/>
  <c r="L9" i="265"/>
  <c r="L8" i="265"/>
  <c r="K9" i="265"/>
  <c r="K8" i="265"/>
  <c r="J8" i="265"/>
  <c r="I8" i="265"/>
  <c r="F9" i="265"/>
  <c r="D10" i="265"/>
  <c r="D11" i="265"/>
  <c r="D12" i="265"/>
  <c r="D13" i="265"/>
  <c r="D14" i="265"/>
  <c r="D15" i="265"/>
  <c r="D16" i="265"/>
  <c r="D17" i="265"/>
  <c r="D18" i="265"/>
  <c r="D19" i="265"/>
  <c r="D20" i="265"/>
  <c r="D21" i="265"/>
  <c r="D22" i="265"/>
  <c r="D23" i="265"/>
  <c r="D24" i="265"/>
  <c r="D25" i="265"/>
  <c r="D26" i="265"/>
  <c r="D27" i="265"/>
  <c r="D28" i="265"/>
  <c r="D29" i="265"/>
  <c r="D30" i="265"/>
  <c r="D31" i="265"/>
  <c r="D32" i="265"/>
  <c r="D33" i="265"/>
  <c r="D34" i="265"/>
  <c r="D35" i="265"/>
  <c r="D36" i="265"/>
  <c r="D37" i="265"/>
  <c r="D38" i="265"/>
  <c r="D39" i="265"/>
  <c r="D40" i="265"/>
  <c r="D41" i="265"/>
  <c r="D42" i="265"/>
  <c r="D43" i="265"/>
  <c r="D44" i="265"/>
  <c r="D45" i="265"/>
  <c r="D46" i="265"/>
  <c r="D47" i="265"/>
  <c r="D48" i="265"/>
  <c r="D49" i="265"/>
  <c r="D50" i="265"/>
  <c r="D51" i="265"/>
  <c r="D52" i="265"/>
  <c r="D53" i="265"/>
  <c r="D54" i="265"/>
  <c r="D55" i="265"/>
  <c r="D56" i="265"/>
  <c r="D57" i="265"/>
  <c r="D58" i="265"/>
  <c r="D59" i="265"/>
  <c r="D60" i="265"/>
  <c r="D61" i="265"/>
  <c r="D62" i="265"/>
  <c r="D63" i="265"/>
  <c r="D64" i="265"/>
  <c r="D65" i="265"/>
  <c r="D66" i="265"/>
  <c r="D67" i="265"/>
  <c r="D68" i="265"/>
  <c r="D69" i="265"/>
  <c r="D70" i="265"/>
  <c r="D71" i="265"/>
  <c r="D72" i="265"/>
  <c r="D73" i="265"/>
  <c r="D74" i="265"/>
  <c r="D75" i="265"/>
  <c r="D76" i="265"/>
  <c r="D77" i="265"/>
  <c r="D78" i="265"/>
  <c r="D79" i="265"/>
  <c r="D80" i="265"/>
  <c r="D81" i="265"/>
  <c r="D82" i="265"/>
  <c r="D83" i="265"/>
  <c r="D84" i="265"/>
  <c r="D85" i="265"/>
  <c r="D86" i="265"/>
  <c r="D87" i="265"/>
  <c r="D88" i="265"/>
  <c r="D89" i="265"/>
  <c r="D90" i="265"/>
  <c r="D91" i="265"/>
  <c r="D92" i="265"/>
  <c r="D93" i="265"/>
  <c r="D94" i="265"/>
  <c r="D95" i="265"/>
  <c r="D96" i="265"/>
  <c r="D97" i="265"/>
  <c r="D98" i="265"/>
  <c r="D99" i="265"/>
  <c r="D100" i="265"/>
  <c r="D101" i="265"/>
  <c r="D102" i="265"/>
  <c r="D103" i="265"/>
  <c r="D104" i="265"/>
  <c r="D105" i="265"/>
  <c r="D106" i="265"/>
  <c r="D107" i="265"/>
  <c r="D108" i="265"/>
  <c r="D109" i="265"/>
  <c r="D110" i="265"/>
  <c r="D111" i="265"/>
  <c r="D112" i="265"/>
  <c r="D113" i="265"/>
  <c r="D114" i="265"/>
  <c r="D115" i="265"/>
  <c r="D116" i="265"/>
  <c r="D117" i="265"/>
  <c r="D118" i="265"/>
  <c r="D119" i="265"/>
  <c r="D120" i="265"/>
  <c r="D121" i="265"/>
  <c r="D122" i="265"/>
  <c r="D123" i="265"/>
  <c r="D124" i="265"/>
  <c r="D125" i="265"/>
  <c r="D126" i="265"/>
  <c r="D127" i="265"/>
  <c r="D128" i="265"/>
  <c r="D129" i="265"/>
  <c r="D130" i="265"/>
  <c r="D131" i="265"/>
  <c r="D9" i="265"/>
  <c r="C10" i="265"/>
  <c r="C12" i="265"/>
  <c r="C14" i="265"/>
  <c r="C16" i="265"/>
  <c r="C18" i="265"/>
  <c r="C20" i="265"/>
  <c r="C22" i="265"/>
  <c r="C24" i="265"/>
  <c r="C26" i="265"/>
  <c r="C28" i="265"/>
  <c r="C30" i="265"/>
  <c r="C32" i="265"/>
  <c r="C34" i="265"/>
  <c r="C36" i="265"/>
  <c r="C38" i="265"/>
  <c r="C40" i="265"/>
  <c r="C42" i="265"/>
  <c r="C44" i="265"/>
  <c r="C46" i="265"/>
  <c r="C48" i="265"/>
  <c r="C50" i="265"/>
  <c r="C52" i="265"/>
  <c r="C54" i="265"/>
  <c r="C56" i="265"/>
  <c r="C58" i="265"/>
  <c r="C60" i="265"/>
  <c r="C62" i="265"/>
  <c r="C64" i="265"/>
  <c r="C66" i="265"/>
  <c r="C68" i="265"/>
  <c r="C70" i="265"/>
  <c r="C72" i="265"/>
  <c r="C74" i="265"/>
  <c r="C76" i="265"/>
  <c r="C78" i="265"/>
  <c r="C80" i="265"/>
  <c r="C82" i="265"/>
  <c r="C84" i="265"/>
  <c r="C86" i="265"/>
  <c r="C88" i="265"/>
  <c r="C90" i="265"/>
  <c r="C92" i="265"/>
  <c r="C94" i="265"/>
  <c r="C96" i="265"/>
  <c r="C98" i="265"/>
  <c r="C100" i="265"/>
  <c r="C102" i="265"/>
  <c r="C104" i="265"/>
  <c r="C106" i="265"/>
  <c r="C108" i="265"/>
  <c r="C110" i="265"/>
  <c r="C112" i="265"/>
  <c r="C114" i="265"/>
  <c r="C116" i="265"/>
  <c r="C118" i="265"/>
  <c r="C120" i="265"/>
  <c r="C122" i="265"/>
  <c r="C124" i="265"/>
  <c r="C126" i="265"/>
  <c r="C128" i="265"/>
  <c r="C130" i="265"/>
  <c r="C8" i="265"/>
  <c r="Z117" i="265" l="1"/>
  <c r="X87" i="265"/>
  <c r="AB117" i="265"/>
  <c r="Y131" i="265"/>
  <c r="Y93" i="265"/>
  <c r="X115" i="265"/>
  <c r="X127" i="265"/>
  <c r="Z127" i="265" s="1"/>
  <c r="Z125" i="265"/>
  <c r="X113" i="265"/>
  <c r="Z113" i="265" s="1"/>
  <c r="Z71" i="265"/>
  <c r="Y125" i="265"/>
  <c r="Y85" i="265"/>
  <c r="AB95" i="265"/>
  <c r="AC129" i="265"/>
  <c r="I127" i="265"/>
  <c r="AC121" i="265"/>
  <c r="I119" i="265"/>
  <c r="X119" i="265" s="1"/>
  <c r="Z119" i="265" s="1"/>
  <c r="AC113" i="265"/>
  <c r="I111" i="265"/>
  <c r="X111" i="265" s="1"/>
  <c r="Z111" i="265" s="1"/>
  <c r="G109" i="265"/>
  <c r="X109" i="265" s="1"/>
  <c r="Z109" i="265" s="1"/>
  <c r="AC105" i="265"/>
  <c r="G101" i="265"/>
  <c r="X101" i="265" s="1"/>
  <c r="Z101" i="265" s="1"/>
  <c r="AC97" i="265"/>
  <c r="G93" i="265"/>
  <c r="X93" i="265" s="1"/>
  <c r="Z93" i="265" s="1"/>
  <c r="AB93" i="265" s="1"/>
  <c r="AC89" i="265"/>
  <c r="G45" i="265"/>
  <c r="I45" i="265"/>
  <c r="J45" i="265"/>
  <c r="Y45" i="265" s="1"/>
  <c r="AC45" i="265"/>
  <c r="AB11" i="265"/>
  <c r="J87" i="265"/>
  <c r="Y87" i="265" s="1"/>
  <c r="AB59" i="265"/>
  <c r="G13" i="265"/>
  <c r="X13" i="265" s="1"/>
  <c r="I13" i="265"/>
  <c r="J13" i="265"/>
  <c r="Y13" i="265" s="1"/>
  <c r="AC13" i="265"/>
  <c r="J129" i="265"/>
  <c r="Y129" i="265" s="1"/>
  <c r="J121" i="265"/>
  <c r="Y121" i="265" s="1"/>
  <c r="J113" i="265"/>
  <c r="Y113" i="265" s="1"/>
  <c r="J105" i="265"/>
  <c r="Y105" i="265" s="1"/>
  <c r="J97" i="265"/>
  <c r="Y97" i="265" s="1"/>
  <c r="J89" i="265"/>
  <c r="Y89" i="265" s="1"/>
  <c r="Y77" i="265"/>
  <c r="AB75" i="265"/>
  <c r="AE43" i="265"/>
  <c r="AL43" i="265"/>
  <c r="AJ43" i="265" s="1"/>
  <c r="AK43" i="265" s="1"/>
  <c r="AC131" i="265"/>
  <c r="I129" i="265"/>
  <c r="AC123" i="265"/>
  <c r="I121" i="265"/>
  <c r="AC115" i="265"/>
  <c r="I113" i="265"/>
  <c r="AC107" i="265"/>
  <c r="I105" i="265"/>
  <c r="X105" i="265" s="1"/>
  <c r="Z105" i="265" s="1"/>
  <c r="AC99" i="265"/>
  <c r="I97" i="265"/>
  <c r="AC91" i="265"/>
  <c r="I89" i="265"/>
  <c r="X89" i="265" s="1"/>
  <c r="Z89" i="265" s="1"/>
  <c r="G77" i="265"/>
  <c r="X77" i="265" s="1"/>
  <c r="Z77" i="265" s="1"/>
  <c r="I77" i="265"/>
  <c r="J77" i="265"/>
  <c r="AC77" i="265"/>
  <c r="AE67" i="265"/>
  <c r="AL67" i="265"/>
  <c r="AJ67" i="265" s="1"/>
  <c r="AK67" i="265" s="1"/>
  <c r="AC65" i="265"/>
  <c r="M65" i="265"/>
  <c r="AB65" i="265" s="1"/>
  <c r="K63" i="265"/>
  <c r="AB63" i="265" s="1"/>
  <c r="AC63" i="265"/>
  <c r="AE35" i="265"/>
  <c r="AL35" i="265"/>
  <c r="AJ35" i="265" s="1"/>
  <c r="AK35" i="265" s="1"/>
  <c r="AC33" i="265"/>
  <c r="M33" i="265"/>
  <c r="AB33" i="265" s="1"/>
  <c r="K31" i="265"/>
  <c r="AB31" i="265" s="1"/>
  <c r="AC31" i="265"/>
  <c r="G21" i="265"/>
  <c r="X21" i="265" s="1"/>
  <c r="I21" i="265"/>
  <c r="J21" i="265"/>
  <c r="Y21" i="265" s="1"/>
  <c r="AC21" i="265"/>
  <c r="J111" i="265"/>
  <c r="Y111" i="265" s="1"/>
  <c r="L125" i="265"/>
  <c r="AB125" i="265" s="1"/>
  <c r="L117" i="265"/>
  <c r="J115" i="265"/>
  <c r="Y115" i="265" s="1"/>
  <c r="L109" i="265"/>
  <c r="AB109" i="265" s="1"/>
  <c r="J107" i="265"/>
  <c r="Y107" i="265" s="1"/>
  <c r="N103" i="265"/>
  <c r="AB103" i="265" s="1"/>
  <c r="L101" i="265"/>
  <c r="AB101" i="265" s="1"/>
  <c r="J99" i="265"/>
  <c r="Y99" i="265" s="1"/>
  <c r="J91" i="265"/>
  <c r="Y91" i="265" s="1"/>
  <c r="G69" i="265"/>
  <c r="X69" i="265" s="1"/>
  <c r="I69" i="265"/>
  <c r="J69" i="265"/>
  <c r="Y69" i="265" s="1"/>
  <c r="AC69" i="265"/>
  <c r="AB57" i="265"/>
  <c r="G53" i="265"/>
  <c r="I53" i="265"/>
  <c r="J53" i="265"/>
  <c r="Y53" i="265" s="1"/>
  <c r="AC53" i="265"/>
  <c r="I49" i="265"/>
  <c r="AC49" i="265"/>
  <c r="M49" i="265"/>
  <c r="K47" i="265"/>
  <c r="AB47" i="265" s="1"/>
  <c r="AC47" i="265"/>
  <c r="G37" i="265"/>
  <c r="I37" i="265"/>
  <c r="J37" i="265"/>
  <c r="Y37" i="265" s="1"/>
  <c r="AC37" i="265"/>
  <c r="AB19" i="265"/>
  <c r="Z17" i="265"/>
  <c r="AC17" i="265"/>
  <c r="M17" i="265"/>
  <c r="AB17" i="265" s="1"/>
  <c r="K15" i="265"/>
  <c r="AB15" i="265" s="1"/>
  <c r="AC15" i="265"/>
  <c r="G61" i="265"/>
  <c r="I61" i="265"/>
  <c r="J61" i="265"/>
  <c r="Y61" i="265" s="1"/>
  <c r="AC61" i="265"/>
  <c r="AC57" i="265"/>
  <c r="M57" i="265"/>
  <c r="I131" i="265"/>
  <c r="I123" i="265"/>
  <c r="I107" i="265"/>
  <c r="I99" i="265"/>
  <c r="AC93" i="265"/>
  <c r="I91" i="265"/>
  <c r="AB73" i="265"/>
  <c r="AE51" i="265"/>
  <c r="AL51" i="265"/>
  <c r="AJ51" i="265" s="1"/>
  <c r="AK51" i="265" s="1"/>
  <c r="I85" i="265"/>
  <c r="J85" i="265"/>
  <c r="G29" i="265"/>
  <c r="X29" i="265" s="1"/>
  <c r="I29" i="265"/>
  <c r="J29" i="265"/>
  <c r="Y29" i="265" s="1"/>
  <c r="AC29" i="265"/>
  <c r="G85" i="265"/>
  <c r="Z83" i="265"/>
  <c r="AB83" i="265" s="1"/>
  <c r="I81" i="265"/>
  <c r="AC81" i="265"/>
  <c r="M81" i="265"/>
  <c r="K79" i="265"/>
  <c r="AB79" i="265" s="1"/>
  <c r="AC79" i="265"/>
  <c r="X49" i="265"/>
  <c r="Z49" i="265" s="1"/>
  <c r="I25" i="265"/>
  <c r="AC25" i="265"/>
  <c r="M25" i="265"/>
  <c r="K23" i="265"/>
  <c r="AB23" i="265" s="1"/>
  <c r="AC23" i="265"/>
  <c r="AC73" i="265"/>
  <c r="M73" i="265"/>
  <c r="K71" i="265"/>
  <c r="AB71" i="265" s="1"/>
  <c r="AC71" i="265"/>
  <c r="X55" i="265"/>
  <c r="Z55" i="265" s="1"/>
  <c r="K55" i="265"/>
  <c r="AB55" i="265" s="1"/>
  <c r="AC55" i="265"/>
  <c r="AC41" i="265"/>
  <c r="M41" i="265"/>
  <c r="AB41" i="265" s="1"/>
  <c r="K39" i="265"/>
  <c r="AB39" i="265" s="1"/>
  <c r="AC39" i="265"/>
  <c r="AB27" i="265"/>
  <c r="I9" i="265"/>
  <c r="E11" i="25"/>
  <c r="AD11" i="25"/>
  <c r="AF11" i="25"/>
  <c r="AY11" i="25"/>
  <c r="AZ11" i="25" s="1"/>
  <c r="BA11" i="25" s="1"/>
  <c r="BB11" i="25" s="1"/>
  <c r="BG11" i="25"/>
  <c r="E13" i="25"/>
  <c r="AD13" i="25"/>
  <c r="AF13" i="25"/>
  <c r="AY13" i="25"/>
  <c r="AZ13" i="25" s="1"/>
  <c r="BA13" i="25" s="1"/>
  <c r="BB13" i="25" s="1"/>
  <c r="BG13" i="25"/>
  <c r="E15" i="25"/>
  <c r="AD15" i="25"/>
  <c r="AF15" i="25"/>
  <c r="AY15" i="25"/>
  <c r="AZ15" i="25"/>
  <c r="BA15" i="25" s="1"/>
  <c r="BB15" i="25" s="1"/>
  <c r="BG15" i="25"/>
  <c r="E17" i="25"/>
  <c r="AD17" i="25"/>
  <c r="AF17" i="25"/>
  <c r="AY17" i="25"/>
  <c r="AZ17" i="25" s="1"/>
  <c r="BA17" i="25" s="1"/>
  <c r="BB17" i="25" s="1"/>
  <c r="BG17" i="25"/>
  <c r="E19" i="25"/>
  <c r="AD19" i="25"/>
  <c r="AF19" i="25"/>
  <c r="AY19" i="25"/>
  <c r="AZ19" i="25" s="1"/>
  <c r="BA19" i="25" s="1"/>
  <c r="BB19" i="25" s="1"/>
  <c r="BG19" i="25"/>
  <c r="E21" i="25"/>
  <c r="AD21" i="25"/>
  <c r="AF21" i="25"/>
  <c r="AY21" i="25"/>
  <c r="AZ21" i="25" s="1"/>
  <c r="BA21" i="25" s="1"/>
  <c r="BB21" i="25" s="1"/>
  <c r="BG21" i="25"/>
  <c r="E23" i="25"/>
  <c r="AD23" i="25"/>
  <c r="AF23" i="25"/>
  <c r="AY23" i="25"/>
  <c r="AZ23" i="25"/>
  <c r="BA23" i="25"/>
  <c r="BB23" i="25" s="1"/>
  <c r="BG23" i="25"/>
  <c r="E25" i="25"/>
  <c r="AD25" i="25"/>
  <c r="AF25" i="25"/>
  <c r="AY25" i="25"/>
  <c r="AZ25" i="25" s="1"/>
  <c r="BA25" i="25" s="1"/>
  <c r="BB25" i="25"/>
  <c r="BG25" i="25"/>
  <c r="E27" i="25"/>
  <c r="AD27" i="25"/>
  <c r="AF27" i="25"/>
  <c r="AY27" i="25"/>
  <c r="AZ27" i="25" s="1"/>
  <c r="BA27" i="25" s="1"/>
  <c r="BB27" i="25" s="1"/>
  <c r="BG27" i="25"/>
  <c r="E29" i="25"/>
  <c r="AD29" i="25"/>
  <c r="AF29" i="25"/>
  <c r="AY29" i="25"/>
  <c r="AZ29" i="25" s="1"/>
  <c r="BA29" i="25" s="1"/>
  <c r="BB29" i="25" s="1"/>
  <c r="BG29" i="25"/>
  <c r="E31" i="25"/>
  <c r="AD31" i="25"/>
  <c r="AF31" i="25"/>
  <c r="AY31" i="25"/>
  <c r="AZ31" i="25"/>
  <c r="BA31" i="25" s="1"/>
  <c r="BB31" i="25" s="1"/>
  <c r="BG31" i="25"/>
  <c r="E33" i="25"/>
  <c r="AD33" i="25"/>
  <c r="AF33" i="25"/>
  <c r="AY33" i="25"/>
  <c r="AZ33" i="25" s="1"/>
  <c r="BA33" i="25" s="1"/>
  <c r="BB33" i="25" s="1"/>
  <c r="BG33" i="25"/>
  <c r="E35" i="25"/>
  <c r="AD35" i="25"/>
  <c r="AF35" i="25"/>
  <c r="AY35" i="25"/>
  <c r="AZ35" i="25" s="1"/>
  <c r="BA35" i="25" s="1"/>
  <c r="BB35" i="25" s="1"/>
  <c r="BG35" i="25"/>
  <c r="E37" i="25"/>
  <c r="AD37" i="25"/>
  <c r="AF37" i="25"/>
  <c r="AY37" i="25"/>
  <c r="AZ37" i="25" s="1"/>
  <c r="BA37" i="25" s="1"/>
  <c r="BB37" i="25" s="1"/>
  <c r="BG37" i="25"/>
  <c r="E39" i="25"/>
  <c r="AD39" i="25"/>
  <c r="AF39" i="25"/>
  <c r="AY39" i="25"/>
  <c r="AZ39" i="25"/>
  <c r="BA39" i="25" s="1"/>
  <c r="BB39" i="25" s="1"/>
  <c r="BG39" i="25"/>
  <c r="E41" i="25"/>
  <c r="AD41" i="25"/>
  <c r="AF41" i="25"/>
  <c r="AY41" i="25"/>
  <c r="AZ41" i="25" s="1"/>
  <c r="BA41" i="25" s="1"/>
  <c r="BB41" i="25" s="1"/>
  <c r="BG41" i="25"/>
  <c r="E43" i="25"/>
  <c r="AD43" i="25"/>
  <c r="AF43" i="25"/>
  <c r="AY43" i="25"/>
  <c r="AZ43" i="25" s="1"/>
  <c r="BA43" i="25" s="1"/>
  <c r="BB43" i="25" s="1"/>
  <c r="BG43" i="25"/>
  <c r="E45" i="25"/>
  <c r="AD45" i="25"/>
  <c r="AF45" i="25"/>
  <c r="AY45" i="25"/>
  <c r="AZ45" i="25" s="1"/>
  <c r="BA45" i="25" s="1"/>
  <c r="BB45" i="25" s="1"/>
  <c r="BG45" i="25"/>
  <c r="E47" i="25"/>
  <c r="AD47" i="25"/>
  <c r="AF47" i="25"/>
  <c r="AY47" i="25"/>
  <c r="AZ47" i="25"/>
  <c r="BA47" i="25" s="1"/>
  <c r="BB47" i="25" s="1"/>
  <c r="BG47" i="25"/>
  <c r="E49" i="25"/>
  <c r="AD49" i="25"/>
  <c r="AF49" i="25"/>
  <c r="AY49" i="25"/>
  <c r="AZ49" i="25" s="1"/>
  <c r="BA49" i="25" s="1"/>
  <c r="BB49" i="25" s="1"/>
  <c r="BG49" i="25"/>
  <c r="E51" i="25"/>
  <c r="AD51" i="25"/>
  <c r="AF51" i="25"/>
  <c r="AY51" i="25"/>
  <c r="AZ51" i="25" s="1"/>
  <c r="BA51" i="25" s="1"/>
  <c r="BB51" i="25" s="1"/>
  <c r="BG51" i="25"/>
  <c r="E53" i="25"/>
  <c r="AD53" i="25"/>
  <c r="AF53" i="25"/>
  <c r="AY53" i="25"/>
  <c r="AZ53" i="25" s="1"/>
  <c r="BA53" i="25" s="1"/>
  <c r="BB53" i="25" s="1"/>
  <c r="BG53" i="25"/>
  <c r="E55" i="25"/>
  <c r="AD55" i="25"/>
  <c r="AF55" i="25"/>
  <c r="AY55" i="25"/>
  <c r="AZ55" i="25"/>
  <c r="BA55" i="25"/>
  <c r="BB55" i="25" s="1"/>
  <c r="BG55" i="25"/>
  <c r="E57" i="25"/>
  <c r="AD57" i="25"/>
  <c r="AF57" i="25"/>
  <c r="AY57" i="25"/>
  <c r="AZ57" i="25" s="1"/>
  <c r="BA57" i="25" s="1"/>
  <c r="BB57" i="25"/>
  <c r="BG57" i="25"/>
  <c r="E59" i="25"/>
  <c r="AD59" i="25"/>
  <c r="AF59" i="25"/>
  <c r="AY59" i="25"/>
  <c r="AZ59" i="25" s="1"/>
  <c r="BA59" i="25" s="1"/>
  <c r="BB59" i="25" s="1"/>
  <c r="BG59" i="25"/>
  <c r="E61" i="25"/>
  <c r="AD61" i="25"/>
  <c r="AF61" i="25"/>
  <c r="AY61" i="25"/>
  <c r="AZ61" i="25" s="1"/>
  <c r="BA61" i="25" s="1"/>
  <c r="BB61" i="25" s="1"/>
  <c r="BG61" i="25"/>
  <c r="E63" i="25"/>
  <c r="AD63" i="25"/>
  <c r="AF63" i="25"/>
  <c r="AY63" i="25"/>
  <c r="AZ63" i="25"/>
  <c r="BA63" i="25" s="1"/>
  <c r="BB63" i="25" s="1"/>
  <c r="BG63" i="25"/>
  <c r="E65" i="25"/>
  <c r="AD65" i="25"/>
  <c r="AF65" i="25"/>
  <c r="AY65" i="25"/>
  <c r="AZ65" i="25" s="1"/>
  <c r="BA65" i="25" s="1"/>
  <c r="BB65" i="25" s="1"/>
  <c r="BG65" i="25"/>
  <c r="E67" i="25"/>
  <c r="AD67" i="25"/>
  <c r="AF67" i="25"/>
  <c r="AY67" i="25"/>
  <c r="AZ67" i="25" s="1"/>
  <c r="BA67" i="25" s="1"/>
  <c r="BB67" i="25" s="1"/>
  <c r="BG67" i="25"/>
  <c r="E69" i="25"/>
  <c r="AD69" i="25"/>
  <c r="AF69" i="25"/>
  <c r="AY69" i="25"/>
  <c r="AZ69" i="25" s="1"/>
  <c r="BA69" i="25"/>
  <c r="BB69" i="25" s="1"/>
  <c r="BG69" i="25"/>
  <c r="E71" i="25"/>
  <c r="AD71" i="25"/>
  <c r="AF71" i="25"/>
  <c r="AY71" i="25"/>
  <c r="AZ71" i="25"/>
  <c r="BA71" i="25"/>
  <c r="BB71" i="25" s="1"/>
  <c r="BG71" i="25"/>
  <c r="E73" i="25"/>
  <c r="AD73" i="25"/>
  <c r="AF73" i="25"/>
  <c r="AY73" i="25"/>
  <c r="AZ73" i="25" s="1"/>
  <c r="BA73" i="25" s="1"/>
  <c r="BB73" i="25" s="1"/>
  <c r="BG73" i="25"/>
  <c r="E75" i="25"/>
  <c r="AD75" i="25"/>
  <c r="AF75" i="25"/>
  <c r="AY75" i="25"/>
  <c r="AZ75" i="25" s="1"/>
  <c r="BA75" i="25" s="1"/>
  <c r="BB75" i="25" s="1"/>
  <c r="BG75" i="25"/>
  <c r="E77" i="25"/>
  <c r="AD77" i="25"/>
  <c r="AF77" i="25"/>
  <c r="AY77" i="25"/>
  <c r="AZ77" i="25" s="1"/>
  <c r="BA77" i="25" s="1"/>
  <c r="BB77" i="25" s="1"/>
  <c r="BG77" i="25"/>
  <c r="E79" i="25"/>
  <c r="AD79" i="25"/>
  <c r="AF79" i="25"/>
  <c r="AY79" i="25"/>
  <c r="AZ79" i="25" s="1"/>
  <c r="BA79" i="25" s="1"/>
  <c r="BB79" i="25" s="1"/>
  <c r="BG79" i="25"/>
  <c r="E81" i="25"/>
  <c r="AD81" i="25"/>
  <c r="AF81" i="25"/>
  <c r="AY81" i="25"/>
  <c r="AZ81" i="25" s="1"/>
  <c r="BA81" i="25" s="1"/>
  <c r="BB81" i="25" s="1"/>
  <c r="BG81" i="25"/>
  <c r="E83" i="25"/>
  <c r="AD83" i="25"/>
  <c r="AF83" i="25"/>
  <c r="AY83" i="25"/>
  <c r="AZ83" i="25" s="1"/>
  <c r="BA83" i="25"/>
  <c r="BB83" i="25" s="1"/>
  <c r="BG83" i="25"/>
  <c r="E85" i="25"/>
  <c r="AD85" i="25"/>
  <c r="AF85" i="25"/>
  <c r="AY85" i="25"/>
  <c r="AZ85" i="25" s="1"/>
  <c r="BA85" i="25" s="1"/>
  <c r="BB85" i="25" s="1"/>
  <c r="BG85" i="25"/>
  <c r="E87" i="25"/>
  <c r="AD87" i="25"/>
  <c r="AF87" i="25"/>
  <c r="AY87" i="25"/>
  <c r="AZ87" i="25"/>
  <c r="BA87" i="25"/>
  <c r="BB87" i="25" s="1"/>
  <c r="BG87" i="25"/>
  <c r="E89" i="25"/>
  <c r="AD89" i="25"/>
  <c r="AF89" i="25"/>
  <c r="AY89" i="25"/>
  <c r="AZ89" i="25" s="1"/>
  <c r="BA89" i="25"/>
  <c r="BB89" i="25"/>
  <c r="BG89" i="25"/>
  <c r="E91" i="25"/>
  <c r="AD91" i="25"/>
  <c r="AF91" i="25"/>
  <c r="AY91" i="25"/>
  <c r="AZ91" i="25" s="1"/>
  <c r="BA91" i="25" s="1"/>
  <c r="BB91" i="25" s="1"/>
  <c r="BG91" i="25"/>
  <c r="E93" i="25"/>
  <c r="AD93" i="25"/>
  <c r="AF93" i="25"/>
  <c r="AY93" i="25"/>
  <c r="AZ93" i="25" s="1"/>
  <c r="BA93" i="25"/>
  <c r="BB93" i="25" s="1"/>
  <c r="BG93" i="25"/>
  <c r="E95" i="25"/>
  <c r="AD95" i="25"/>
  <c r="AF95" i="25"/>
  <c r="AY95" i="25"/>
  <c r="AZ95" i="25"/>
  <c r="BA95" i="25" s="1"/>
  <c r="BB95" i="25" s="1"/>
  <c r="BG95" i="25"/>
  <c r="E97" i="25"/>
  <c r="AD97" i="25"/>
  <c r="AF97" i="25"/>
  <c r="AY97" i="25"/>
  <c r="AZ97" i="25" s="1"/>
  <c r="BA97" i="25"/>
  <c r="BB97" i="25"/>
  <c r="BG97" i="25"/>
  <c r="E99" i="25"/>
  <c r="AD99" i="25"/>
  <c r="AF99" i="25"/>
  <c r="AY99" i="25"/>
  <c r="AZ99" i="25" s="1"/>
  <c r="BA99" i="25" s="1"/>
  <c r="BB99" i="25" s="1"/>
  <c r="BG99" i="25"/>
  <c r="E101" i="25"/>
  <c r="AD101" i="25"/>
  <c r="AF101" i="25"/>
  <c r="AY101" i="25"/>
  <c r="AZ101" i="25" s="1"/>
  <c r="BA101" i="25"/>
  <c r="BB101" i="25" s="1"/>
  <c r="BG101" i="25"/>
  <c r="E103" i="25"/>
  <c r="AD103" i="25"/>
  <c r="AF103" i="25"/>
  <c r="AY103" i="25"/>
  <c r="AZ103" i="25" s="1"/>
  <c r="BA103" i="25" s="1"/>
  <c r="BB103" i="25" s="1"/>
  <c r="BG103" i="25"/>
  <c r="E105" i="25"/>
  <c r="AD105" i="25"/>
  <c r="AF105" i="25"/>
  <c r="AY105" i="25"/>
  <c r="AZ105" i="25" s="1"/>
  <c r="BA105" i="25"/>
  <c r="BB105" i="25" s="1"/>
  <c r="BG105" i="25"/>
  <c r="E107" i="25"/>
  <c r="AD107" i="25"/>
  <c r="AF107" i="25"/>
  <c r="AY107" i="25"/>
  <c r="AZ107" i="25" s="1"/>
  <c r="BA107" i="25"/>
  <c r="BB107" i="25" s="1"/>
  <c r="BG107" i="25"/>
  <c r="E109" i="25"/>
  <c r="AD109" i="25"/>
  <c r="AF109" i="25"/>
  <c r="AY109" i="25"/>
  <c r="AZ109" i="25" s="1"/>
  <c r="BA109" i="25" s="1"/>
  <c r="BB109" i="25" s="1"/>
  <c r="BG109" i="25"/>
  <c r="E111" i="25"/>
  <c r="AD111" i="25"/>
  <c r="AF111" i="25"/>
  <c r="AY111" i="25"/>
  <c r="AZ111" i="25"/>
  <c r="BA111" i="25"/>
  <c r="BB111" i="25" s="1"/>
  <c r="BG111" i="25"/>
  <c r="E113" i="25"/>
  <c r="AD113" i="25"/>
  <c r="AF113" i="25"/>
  <c r="AY113" i="25"/>
  <c r="AZ113" i="25" s="1"/>
  <c r="BA113" i="25" s="1"/>
  <c r="BB113" i="25" s="1"/>
  <c r="BG113" i="25"/>
  <c r="E115" i="25"/>
  <c r="AD115" i="25"/>
  <c r="AF115" i="25"/>
  <c r="AY115" i="25"/>
  <c r="AZ115" i="25" s="1"/>
  <c r="BA115" i="25"/>
  <c r="BB115" i="25" s="1"/>
  <c r="BG115" i="25"/>
  <c r="E117" i="25"/>
  <c r="AD117" i="25"/>
  <c r="AF117" i="25"/>
  <c r="AY117" i="25"/>
  <c r="AZ117" i="25" s="1"/>
  <c r="BA117" i="25"/>
  <c r="BB117" i="25" s="1"/>
  <c r="BG117" i="25"/>
  <c r="E119" i="25"/>
  <c r="AD119" i="25"/>
  <c r="AF119" i="25"/>
  <c r="AY119" i="25"/>
  <c r="AZ119" i="25"/>
  <c r="BA119" i="25"/>
  <c r="BB119" i="25" s="1"/>
  <c r="BG119" i="25"/>
  <c r="E121" i="25"/>
  <c r="AD121" i="25"/>
  <c r="AF121" i="25"/>
  <c r="AY121" i="25"/>
  <c r="AZ121" i="25" s="1"/>
  <c r="BA121" i="25"/>
  <c r="BB121" i="25"/>
  <c r="BG121" i="25"/>
  <c r="E123" i="25"/>
  <c r="AN123" i="25" s="1"/>
  <c r="AD123" i="25"/>
  <c r="AF123" i="25"/>
  <c r="AI123" i="25"/>
  <c r="AY123" i="25"/>
  <c r="AZ123" i="25"/>
  <c r="BA123" i="25"/>
  <c r="BB123" i="25" s="1"/>
  <c r="BD123" i="25"/>
  <c r="BG123" i="25"/>
  <c r="E125" i="25"/>
  <c r="AD125" i="25"/>
  <c r="AF125" i="25"/>
  <c r="AI125" i="25"/>
  <c r="AJ125" i="25" a="1"/>
  <c r="AJ125" i="25" s="1"/>
  <c r="AL125" i="25"/>
  <c r="AN125" i="25"/>
  <c r="AY125" i="25"/>
  <c r="AZ125" i="25" s="1"/>
  <c r="BA125" i="25"/>
  <c r="BB125" i="25"/>
  <c r="BD125" i="25"/>
  <c r="BG125" i="25"/>
  <c r="E127" i="25"/>
  <c r="AN127" i="25" s="1"/>
  <c r="AD127" i="25"/>
  <c r="AF127" i="25"/>
  <c r="AI127" i="25"/>
  <c r="AY127" i="25"/>
  <c r="AZ127" i="25"/>
  <c r="BA127" i="25"/>
  <c r="BB127" i="25" s="1"/>
  <c r="BD127" i="25"/>
  <c r="BG127" i="25"/>
  <c r="E129" i="25"/>
  <c r="AD129" i="25"/>
  <c r="AF129" i="25"/>
  <c r="AI129" i="25"/>
  <c r="AJ129" i="25" a="1"/>
  <c r="AJ129" i="25" s="1"/>
  <c r="AL129" i="25"/>
  <c r="AN129" i="25"/>
  <c r="AY129" i="25"/>
  <c r="AZ129" i="25" s="1"/>
  <c r="BA129" i="25"/>
  <c r="BB129" i="25"/>
  <c r="BD129" i="25"/>
  <c r="BG129" i="25"/>
  <c r="E131" i="25"/>
  <c r="AD131" i="25"/>
  <c r="AF131" i="25"/>
  <c r="AI131" i="25"/>
  <c r="AY131" i="25"/>
  <c r="AZ131" i="25"/>
  <c r="BA131" i="25"/>
  <c r="BB131" i="25" s="1"/>
  <c r="BD131" i="25"/>
  <c r="BG131" i="25"/>
  <c r="E133" i="25"/>
  <c r="AD133" i="25"/>
  <c r="AF133" i="25"/>
  <c r="AI133" i="25"/>
  <c r="AJ133" i="25" a="1"/>
  <c r="AJ133" i="25" s="1"/>
  <c r="AL133" i="25" s="1"/>
  <c r="AN133" i="25"/>
  <c r="AY133" i="25"/>
  <c r="AZ133" i="25" s="1"/>
  <c r="BA133" i="25"/>
  <c r="BB133" i="25"/>
  <c r="BD133" i="25"/>
  <c r="BG133" i="25"/>
  <c r="E135" i="25"/>
  <c r="AD135" i="25"/>
  <c r="AF135" i="25"/>
  <c r="AI135" i="25"/>
  <c r="AY135" i="25"/>
  <c r="AZ135" i="25"/>
  <c r="BA135" i="25" s="1"/>
  <c r="BB135" i="25" s="1"/>
  <c r="BD135" i="25"/>
  <c r="BG135" i="25"/>
  <c r="E137" i="25"/>
  <c r="AD137" i="25"/>
  <c r="AF137" i="25"/>
  <c r="AI137" i="25"/>
  <c r="AJ137" i="25" a="1"/>
  <c r="AJ137" i="25" s="1"/>
  <c r="AL137" i="25" s="1"/>
  <c r="AN137" i="25"/>
  <c r="AY137" i="25"/>
  <c r="AZ137" i="25" s="1"/>
  <c r="BA137" i="25"/>
  <c r="BB137" i="25"/>
  <c r="BD137" i="25"/>
  <c r="BG137" i="25"/>
  <c r="E139" i="25"/>
  <c r="AD139" i="25"/>
  <c r="AF139" i="25"/>
  <c r="AI139" i="25"/>
  <c r="AY139" i="25"/>
  <c r="AZ139" i="25"/>
  <c r="BA139" i="25" s="1"/>
  <c r="BB139" i="25" s="1"/>
  <c r="BD139" i="25"/>
  <c r="BG139" i="25"/>
  <c r="E141" i="25"/>
  <c r="AD141" i="25"/>
  <c r="AF141" i="25"/>
  <c r="AI141" i="25"/>
  <c r="AJ141" i="25" a="1"/>
  <c r="AJ141" i="25" s="1"/>
  <c r="AL141" i="25" s="1"/>
  <c r="AN141" i="25"/>
  <c r="AY141" i="25"/>
  <c r="AZ141" i="25" s="1"/>
  <c r="BA141" i="25"/>
  <c r="BB141" i="25"/>
  <c r="BD141" i="25"/>
  <c r="BG141" i="25"/>
  <c r="E143" i="25"/>
  <c r="AD143" i="25"/>
  <c r="AF143" i="25"/>
  <c r="AI143" i="25"/>
  <c r="AY143" i="25"/>
  <c r="AZ143" i="25"/>
  <c r="BA143" i="25" s="1"/>
  <c r="BB143" i="25" s="1"/>
  <c r="BD143" i="25"/>
  <c r="BG143" i="25"/>
  <c r="E145" i="25"/>
  <c r="AD145" i="25"/>
  <c r="AF145" i="25"/>
  <c r="AI145" i="25"/>
  <c r="AJ145" i="25" a="1"/>
  <c r="AJ145" i="25" s="1"/>
  <c r="AL145" i="25" s="1"/>
  <c r="AN145" i="25"/>
  <c r="AY145" i="25"/>
  <c r="AZ145" i="25" s="1"/>
  <c r="BA145" i="25"/>
  <c r="BB145" i="25"/>
  <c r="BD145" i="25"/>
  <c r="BG145" i="25"/>
  <c r="E147" i="25"/>
  <c r="AD147" i="25"/>
  <c r="AF147" i="25"/>
  <c r="AI147" i="25"/>
  <c r="AY147" i="25"/>
  <c r="AZ147" i="25"/>
  <c r="BA147" i="25" s="1"/>
  <c r="BB147" i="25" s="1"/>
  <c r="BD147" i="25"/>
  <c r="BG147" i="25"/>
  <c r="E149" i="25"/>
  <c r="AD149" i="25"/>
  <c r="AF149" i="25"/>
  <c r="AI149" i="25"/>
  <c r="AJ149" i="25" a="1"/>
  <c r="AJ149" i="25" s="1"/>
  <c r="AL149" i="25" s="1"/>
  <c r="AN149" i="25"/>
  <c r="AY149" i="25"/>
  <c r="AZ149" i="25" s="1"/>
  <c r="BA149" i="25"/>
  <c r="BB149" i="25"/>
  <c r="BD149" i="25"/>
  <c r="BG149" i="25"/>
  <c r="E151" i="25"/>
  <c r="AD151" i="25"/>
  <c r="AF151" i="25"/>
  <c r="AI151" i="25"/>
  <c r="AY151" i="25"/>
  <c r="AZ151" i="25"/>
  <c r="BA151" i="25"/>
  <c r="BB151" i="25" s="1"/>
  <c r="BD151" i="25"/>
  <c r="BG151" i="25"/>
  <c r="E153" i="25"/>
  <c r="AN153" i="25" s="1"/>
  <c r="AD153" i="25"/>
  <c r="AF153" i="25"/>
  <c r="AI153" i="25"/>
  <c r="AJ153" i="25" a="1"/>
  <c r="AJ153" i="25"/>
  <c r="AL153" i="25" s="1"/>
  <c r="AY153" i="25"/>
  <c r="AZ153" i="25"/>
  <c r="BA153" i="25" s="1"/>
  <c r="BB153" i="25" s="1"/>
  <c r="BD153" i="25"/>
  <c r="BG153" i="25"/>
  <c r="E155" i="25"/>
  <c r="AJ155" i="25" s="1" a="1"/>
  <c r="AJ155" i="25" s="1"/>
  <c r="AL155" i="25" s="1"/>
  <c r="AD155" i="25"/>
  <c r="AF155" i="25"/>
  <c r="AI155" i="25"/>
  <c r="AN155" i="25"/>
  <c r="AY155" i="25"/>
  <c r="AZ155" i="25" s="1"/>
  <c r="BA155" i="25" s="1"/>
  <c r="BB155" i="25" s="1"/>
  <c r="BD155" i="25"/>
  <c r="BG155" i="25"/>
  <c r="E157" i="25"/>
  <c r="AD157" i="25"/>
  <c r="AF157" i="25"/>
  <c r="AI157" i="25"/>
  <c r="AY157" i="25"/>
  <c r="AZ157" i="25" s="1"/>
  <c r="BA157" i="25" s="1"/>
  <c r="BB157" i="25" s="1"/>
  <c r="BD157" i="25"/>
  <c r="BG157" i="25"/>
  <c r="E159" i="25"/>
  <c r="AD159" i="25"/>
  <c r="AF159" i="25"/>
  <c r="AJ159" i="25" s="1" a="1"/>
  <c r="AJ159" i="25" s="1"/>
  <c r="AL159" i="25" s="1"/>
  <c r="AI159" i="25"/>
  <c r="AN159" i="25"/>
  <c r="AY159" i="25"/>
  <c r="AZ159" i="25" s="1"/>
  <c r="BA159" i="25" s="1"/>
  <c r="BB159" i="25" s="1"/>
  <c r="BD159" i="25"/>
  <c r="BG159" i="25"/>
  <c r="E161" i="25"/>
  <c r="AN161" i="25" s="1"/>
  <c r="AD161" i="25"/>
  <c r="AF161" i="25"/>
  <c r="AI161" i="25"/>
  <c r="AJ161" i="25" a="1"/>
  <c r="AJ161" i="25"/>
  <c r="AL161" i="25" s="1"/>
  <c r="AY161" i="25"/>
  <c r="AZ161" i="25"/>
  <c r="BA161" i="25" s="1"/>
  <c r="BB161" i="25" s="1"/>
  <c r="BD161" i="25"/>
  <c r="BG161" i="25"/>
  <c r="E163" i="25"/>
  <c r="AJ163" i="25" s="1" a="1"/>
  <c r="AJ163" i="25" s="1"/>
  <c r="AL163" i="25" s="1"/>
  <c r="AD163" i="25"/>
  <c r="AF163" i="25"/>
  <c r="AI163" i="25"/>
  <c r="AN163" i="25"/>
  <c r="AY163" i="25"/>
  <c r="AZ163" i="25" s="1"/>
  <c r="BA163" i="25" s="1"/>
  <c r="BB163" i="25" s="1"/>
  <c r="BD163" i="25"/>
  <c r="BG163" i="25"/>
  <c r="E165" i="25"/>
  <c r="AD165" i="25"/>
  <c r="AF165" i="25"/>
  <c r="AI165" i="25"/>
  <c r="AY165" i="25"/>
  <c r="AZ165" i="25"/>
  <c r="BA165" i="25" s="1"/>
  <c r="BB165" i="25" s="1"/>
  <c r="BD165" i="25"/>
  <c r="BG165" i="25"/>
  <c r="E167" i="25"/>
  <c r="AD167" i="25"/>
  <c r="AF167" i="25"/>
  <c r="AJ167" i="25" s="1" a="1"/>
  <c r="AJ167" i="25" s="1"/>
  <c r="AL167" i="25" s="1"/>
  <c r="AI167" i="25"/>
  <c r="AN167" i="25"/>
  <c r="AY167" i="25"/>
  <c r="AZ167" i="25" s="1"/>
  <c r="BA167" i="25" s="1"/>
  <c r="BB167" i="25" s="1"/>
  <c r="BD167" i="25"/>
  <c r="BG167" i="25"/>
  <c r="E169" i="25"/>
  <c r="AN169" i="25" s="1"/>
  <c r="AD169" i="25"/>
  <c r="AF169" i="25"/>
  <c r="AI169" i="25"/>
  <c r="AJ169" i="25" a="1"/>
  <c r="AJ169" i="25"/>
  <c r="AL169" i="25" s="1"/>
  <c r="AY169" i="25"/>
  <c r="AZ169" i="25"/>
  <c r="BA169" i="25" s="1"/>
  <c r="BB169" i="25" s="1"/>
  <c r="BD169" i="25"/>
  <c r="BG169" i="25"/>
  <c r="E171" i="25"/>
  <c r="AJ171" i="25" s="1" a="1"/>
  <c r="AJ171" i="25" s="1"/>
  <c r="AD171" i="25"/>
  <c r="AF171" i="25"/>
  <c r="AI171" i="25"/>
  <c r="AL171" i="25"/>
  <c r="AN171" i="25"/>
  <c r="AY171" i="25"/>
  <c r="AZ171" i="25" s="1"/>
  <c r="BA171" i="25" s="1"/>
  <c r="BB171" i="25" s="1"/>
  <c r="BD171" i="25"/>
  <c r="BG171" i="25"/>
  <c r="E173" i="25"/>
  <c r="AD173" i="25"/>
  <c r="AF173" i="25"/>
  <c r="AI173" i="25"/>
  <c r="AY173" i="25"/>
  <c r="AZ173" i="25"/>
  <c r="BA173" i="25" s="1"/>
  <c r="BB173" i="25" s="1"/>
  <c r="BD173" i="25"/>
  <c r="BG173" i="25"/>
  <c r="E175" i="25"/>
  <c r="AD175" i="25"/>
  <c r="AF175" i="25"/>
  <c r="AJ175" i="25" s="1" a="1"/>
  <c r="AJ175" i="25" s="1"/>
  <c r="AL175" i="25" s="1"/>
  <c r="AI175" i="25"/>
  <c r="AN175" i="25"/>
  <c r="AY175" i="25"/>
  <c r="AZ175" i="25" s="1"/>
  <c r="BA175" i="25" s="1"/>
  <c r="BB175" i="25" s="1"/>
  <c r="BD175" i="25"/>
  <c r="BG175" i="25"/>
  <c r="E177" i="25"/>
  <c r="AN177" i="25" s="1"/>
  <c r="AD177" i="25"/>
  <c r="AF177" i="25"/>
  <c r="AI177" i="25"/>
  <c r="AJ177" i="25" a="1"/>
  <c r="AJ177" i="25" s="1"/>
  <c r="AL177" i="25" s="1"/>
  <c r="AY177" i="25"/>
  <c r="AZ177" i="25"/>
  <c r="BA177" i="25" s="1"/>
  <c r="BB177" i="25" s="1"/>
  <c r="BD177" i="25"/>
  <c r="BG177" i="25"/>
  <c r="E179" i="25"/>
  <c r="AJ179" i="25" s="1" a="1"/>
  <c r="AJ179" i="25" s="1"/>
  <c r="AD179" i="25"/>
  <c r="AF179" i="25"/>
  <c r="AI179" i="25"/>
  <c r="AL179" i="25"/>
  <c r="AN179" i="25"/>
  <c r="AY179" i="25"/>
  <c r="AZ179" i="25" s="1"/>
  <c r="BA179" i="25" s="1"/>
  <c r="BB179" i="25" s="1"/>
  <c r="BD179" i="25"/>
  <c r="BG179" i="25"/>
  <c r="E181" i="25"/>
  <c r="AD181" i="25"/>
  <c r="AF181" i="25"/>
  <c r="AI181" i="25"/>
  <c r="AY181" i="25"/>
  <c r="AZ181" i="25"/>
  <c r="BA181" i="25" s="1"/>
  <c r="BB181" i="25" s="1"/>
  <c r="BD181" i="25"/>
  <c r="BG181" i="25"/>
  <c r="E183" i="25"/>
  <c r="AD183" i="25"/>
  <c r="AF183" i="25"/>
  <c r="AI183" i="25"/>
  <c r="AN183" i="25"/>
  <c r="AY183" i="25"/>
  <c r="AZ183" i="25" s="1"/>
  <c r="BA183" i="25" s="1"/>
  <c r="BB183" i="25" s="1"/>
  <c r="BD183" i="25"/>
  <c r="BG183" i="25"/>
  <c r="E185" i="25"/>
  <c r="AN185" i="25" s="1"/>
  <c r="AD185" i="25"/>
  <c r="AF185" i="25"/>
  <c r="AI185" i="25"/>
  <c r="AJ185" i="25" a="1"/>
  <c r="AJ185" i="25" s="1"/>
  <c r="AL185" i="25" s="1"/>
  <c r="AY185" i="25"/>
  <c r="AZ185" i="25"/>
  <c r="BA185" i="25" s="1"/>
  <c r="BB185" i="25" s="1"/>
  <c r="BD185" i="25"/>
  <c r="BG185" i="25"/>
  <c r="E187" i="25"/>
  <c r="AJ187" i="25" s="1" a="1"/>
  <c r="AJ187" i="25" s="1"/>
  <c r="AD187" i="25"/>
  <c r="AF187" i="25"/>
  <c r="AI187" i="25"/>
  <c r="AL187" i="25"/>
  <c r="AN187" i="25"/>
  <c r="AY187" i="25"/>
  <c r="AZ187" i="25" s="1"/>
  <c r="BA187" i="25" s="1"/>
  <c r="BB187" i="25" s="1"/>
  <c r="BD187" i="25"/>
  <c r="BG187" i="25"/>
  <c r="E189" i="25"/>
  <c r="AD189" i="25"/>
  <c r="AF189" i="25"/>
  <c r="AI189" i="25"/>
  <c r="AY189" i="25"/>
  <c r="AZ189" i="25"/>
  <c r="BA189" i="25" s="1"/>
  <c r="BB189" i="25" s="1"/>
  <c r="BD189" i="25"/>
  <c r="BG189" i="25"/>
  <c r="E191" i="25"/>
  <c r="AD191" i="25"/>
  <c r="AF191" i="25"/>
  <c r="AI191" i="25"/>
  <c r="AN191" i="25"/>
  <c r="AY191" i="25"/>
  <c r="AZ191" i="25" s="1"/>
  <c r="BA191" i="25"/>
  <c r="BB191" i="25" s="1"/>
  <c r="BD191" i="25"/>
  <c r="BG191" i="25"/>
  <c r="E193" i="25"/>
  <c r="AN193" i="25" s="1"/>
  <c r="AD193" i="25"/>
  <c r="AF193" i="25"/>
  <c r="AI193" i="25"/>
  <c r="AJ193" i="25" a="1"/>
  <c r="AJ193" i="25" s="1"/>
  <c r="AL193" i="25" s="1"/>
  <c r="AY193" i="25"/>
  <c r="AZ193" i="25" s="1"/>
  <c r="BA193" i="25" s="1"/>
  <c r="BB193" i="25" s="1"/>
  <c r="BD193" i="25"/>
  <c r="BG193" i="25"/>
  <c r="E195" i="25"/>
  <c r="AJ195" i="25" s="1" a="1"/>
  <c r="AJ195" i="25" s="1"/>
  <c r="AL195" i="25" s="1"/>
  <c r="AD195" i="25"/>
  <c r="AF195" i="25"/>
  <c r="AI195" i="25"/>
  <c r="AN195" i="25"/>
  <c r="AY195" i="25"/>
  <c r="AZ195" i="25" s="1"/>
  <c r="BA195" i="25" s="1"/>
  <c r="BB195" i="25" s="1"/>
  <c r="BD195" i="25"/>
  <c r="BG195" i="25"/>
  <c r="E197" i="25"/>
  <c r="AD197" i="25"/>
  <c r="AF197" i="25"/>
  <c r="AI197" i="25"/>
  <c r="AY197" i="25"/>
  <c r="AZ197" i="25" s="1"/>
  <c r="BA197" i="25" s="1"/>
  <c r="BB197" i="25" s="1"/>
  <c r="BD197" i="25"/>
  <c r="BG197" i="25"/>
  <c r="E199" i="25"/>
  <c r="AD199" i="25"/>
  <c r="AF199" i="25"/>
  <c r="AJ199" i="25" s="1" a="1"/>
  <c r="AJ199" i="25" s="1"/>
  <c r="AL199" i="25" s="1"/>
  <c r="AI199" i="25"/>
  <c r="AN199" i="25"/>
  <c r="AY199" i="25"/>
  <c r="AZ199" i="25" s="1"/>
  <c r="BA199" i="25" s="1"/>
  <c r="BB199" i="25" s="1"/>
  <c r="BD199" i="25"/>
  <c r="BG199" i="25"/>
  <c r="E201" i="25"/>
  <c r="AN201" i="25" s="1"/>
  <c r="AD201" i="25"/>
  <c r="AF201" i="25"/>
  <c r="AI201" i="25"/>
  <c r="AJ201" i="25" a="1"/>
  <c r="AJ201" i="25"/>
  <c r="AL201" i="25" s="1"/>
  <c r="AY201" i="25"/>
  <c r="AZ201" i="25" s="1"/>
  <c r="BA201" i="25" s="1"/>
  <c r="BB201" i="25" s="1"/>
  <c r="BD201" i="25"/>
  <c r="BG201" i="25"/>
  <c r="E203" i="25"/>
  <c r="AJ203" i="25" s="1" a="1"/>
  <c r="AJ203" i="25" s="1"/>
  <c r="AL203" i="25" s="1"/>
  <c r="AD203" i="25"/>
  <c r="AF203" i="25"/>
  <c r="AI203" i="25"/>
  <c r="AY203" i="25"/>
  <c r="AZ203" i="25" s="1"/>
  <c r="BA203" i="25" s="1"/>
  <c r="BB203" i="25" s="1"/>
  <c r="BD203" i="25"/>
  <c r="BG203" i="25"/>
  <c r="E205" i="25"/>
  <c r="AD205" i="25"/>
  <c r="AF205" i="25"/>
  <c r="AI205" i="25"/>
  <c r="AY205" i="25"/>
  <c r="AZ205" i="25"/>
  <c r="BA205" i="25" s="1"/>
  <c r="BB205" i="25" s="1"/>
  <c r="BD205" i="25"/>
  <c r="BG205" i="25"/>
  <c r="E207" i="25"/>
  <c r="AD207" i="25"/>
  <c r="AF207" i="25"/>
  <c r="AI207" i="25"/>
  <c r="AJ207" i="25" a="1"/>
  <c r="AJ207" i="25" s="1"/>
  <c r="AL207" i="25" s="1"/>
  <c r="AN207" i="25"/>
  <c r="AY207" i="25"/>
  <c r="AZ207" i="25" s="1"/>
  <c r="BA207" i="25" s="1"/>
  <c r="BB207" i="25" s="1"/>
  <c r="BD207" i="25"/>
  <c r="BG207" i="25"/>
  <c r="E209" i="25"/>
  <c r="AN209" i="25" s="1"/>
  <c r="AD209" i="25"/>
  <c r="AF209" i="25"/>
  <c r="AI209" i="25"/>
  <c r="AJ209" i="25" a="1"/>
  <c r="AJ209" i="25" s="1"/>
  <c r="AL209" i="25" s="1"/>
  <c r="AY209" i="25"/>
  <c r="AZ209" i="25" s="1"/>
  <c r="BA209" i="25" s="1"/>
  <c r="BB209" i="25" s="1"/>
  <c r="BD209" i="25"/>
  <c r="BG209" i="25"/>
  <c r="E211" i="25"/>
  <c r="AJ211" i="25" s="1" a="1"/>
  <c r="AJ211" i="25" s="1"/>
  <c r="AD211" i="25"/>
  <c r="AF211" i="25"/>
  <c r="AI211" i="25"/>
  <c r="AL211" i="25"/>
  <c r="AN211" i="25"/>
  <c r="AY211" i="25"/>
  <c r="AZ211" i="25" s="1"/>
  <c r="BA211" i="25" s="1"/>
  <c r="BB211" i="25" s="1"/>
  <c r="BD211" i="25"/>
  <c r="BG211" i="25"/>
  <c r="E213" i="25"/>
  <c r="AD213" i="25"/>
  <c r="AF213" i="25"/>
  <c r="AI213" i="25"/>
  <c r="AY213" i="25"/>
  <c r="AZ213" i="25"/>
  <c r="BA213" i="25"/>
  <c r="BB213" i="25" s="1"/>
  <c r="BD213" i="25"/>
  <c r="BG213" i="25"/>
  <c r="E215" i="25"/>
  <c r="AD215" i="25"/>
  <c r="AF215" i="25"/>
  <c r="AJ215" i="25" s="1" a="1"/>
  <c r="AJ215" i="25" s="1"/>
  <c r="AL215" i="25" s="1"/>
  <c r="AI215" i="25"/>
  <c r="AN215" i="25"/>
  <c r="AY215" i="25"/>
  <c r="AZ215" i="25" s="1"/>
  <c r="BA215" i="25"/>
  <c r="BB215" i="25" s="1"/>
  <c r="BD215" i="25"/>
  <c r="BG215" i="25"/>
  <c r="E217" i="25"/>
  <c r="AN217" i="25" s="1"/>
  <c r="AD217" i="25"/>
  <c r="AF217" i="25"/>
  <c r="AI217" i="25"/>
  <c r="AJ217" i="25" a="1"/>
  <c r="AJ217" i="25" s="1"/>
  <c r="AL217" i="25" s="1"/>
  <c r="AY217" i="25"/>
  <c r="AZ217" i="25" s="1"/>
  <c r="BA217" i="25" s="1"/>
  <c r="BB217" i="25" s="1"/>
  <c r="BD217" i="25"/>
  <c r="BG217" i="25"/>
  <c r="E219" i="25"/>
  <c r="AJ219" i="25" s="1" a="1"/>
  <c r="AJ219" i="25" s="1"/>
  <c r="AL219" i="25" s="1"/>
  <c r="AD219" i="25"/>
  <c r="AF219" i="25"/>
  <c r="AI219" i="25"/>
  <c r="AY219" i="25"/>
  <c r="AZ219" i="25" s="1"/>
  <c r="BA219" i="25" s="1"/>
  <c r="BB219" i="25" s="1"/>
  <c r="BD219" i="25"/>
  <c r="BG219" i="25"/>
  <c r="E221" i="25"/>
  <c r="AD221" i="25"/>
  <c r="AF221" i="25"/>
  <c r="AI221" i="25"/>
  <c r="AY221" i="25"/>
  <c r="AZ221" i="25" s="1"/>
  <c r="BA221" i="25" s="1"/>
  <c r="BB221" i="25" s="1"/>
  <c r="BD221" i="25"/>
  <c r="BG221" i="25"/>
  <c r="E223" i="25"/>
  <c r="AN223" i="25" s="1"/>
  <c r="AD223" i="25"/>
  <c r="AF223" i="25"/>
  <c r="AJ223" i="25" s="1" a="1"/>
  <c r="AJ223" i="25" s="1"/>
  <c r="AL223" i="25" s="1"/>
  <c r="AI223" i="25"/>
  <c r="AY223" i="25"/>
  <c r="AZ223" i="25" s="1"/>
  <c r="BA223" i="25" s="1"/>
  <c r="BB223" i="25" s="1"/>
  <c r="BD223" i="25"/>
  <c r="BG223" i="25"/>
  <c r="E225" i="25"/>
  <c r="AN225" i="25" s="1"/>
  <c r="AD225" i="25"/>
  <c r="AF225" i="25"/>
  <c r="AI225" i="25"/>
  <c r="AY225" i="25"/>
  <c r="AZ225" i="25" s="1"/>
  <c r="BA225" i="25"/>
  <c r="BB225" i="25" s="1"/>
  <c r="BD225" i="25"/>
  <c r="BG225" i="25"/>
  <c r="E227" i="25"/>
  <c r="AJ227" i="25" s="1" a="1"/>
  <c r="AJ227" i="25" s="1"/>
  <c r="AL227" i="25" s="1"/>
  <c r="AD227" i="25"/>
  <c r="AF227" i="25"/>
  <c r="AI227" i="25"/>
  <c r="AY227" i="25"/>
  <c r="AZ227" i="25" s="1"/>
  <c r="BA227" i="25"/>
  <c r="BB227" i="25" s="1"/>
  <c r="BD227" i="25"/>
  <c r="BG227" i="25"/>
  <c r="E229" i="25"/>
  <c r="AN229" i="25" s="1"/>
  <c r="AD229" i="25"/>
  <c r="AF229" i="25"/>
  <c r="AI229" i="25"/>
  <c r="AY229" i="25"/>
  <c r="AZ229" i="25"/>
  <c r="BA229" i="25" s="1"/>
  <c r="BB229" i="25" s="1"/>
  <c r="BD229" i="25"/>
  <c r="BG229" i="25"/>
  <c r="E231" i="25"/>
  <c r="AN231" i="25" s="1"/>
  <c r="AD231" i="25"/>
  <c r="AF231" i="25"/>
  <c r="AJ231" i="25" s="1" a="1"/>
  <c r="AJ231" i="25" s="1"/>
  <c r="AL231" i="25" s="1"/>
  <c r="AI231" i="25"/>
  <c r="AY231" i="25"/>
  <c r="AZ231" i="25" s="1"/>
  <c r="BA231" i="25"/>
  <c r="BB231" i="25" s="1"/>
  <c r="BD231" i="25"/>
  <c r="BG231" i="25"/>
  <c r="E233" i="25"/>
  <c r="AN233" i="25" s="1"/>
  <c r="AD233" i="25"/>
  <c r="AJ233" i="25" s="1" a="1"/>
  <c r="AJ233" i="25" s="1"/>
  <c r="AL233" i="25" s="1"/>
  <c r="AF233" i="25"/>
  <c r="AI233" i="25"/>
  <c r="AY233" i="25"/>
  <c r="AZ233" i="25" s="1"/>
  <c r="BA233" i="25" s="1"/>
  <c r="BB233" i="25" s="1"/>
  <c r="BD233" i="25"/>
  <c r="BG233" i="25"/>
  <c r="E235" i="25"/>
  <c r="AN235" i="25" s="1"/>
  <c r="AD235" i="25"/>
  <c r="AF235" i="25"/>
  <c r="AI235" i="25"/>
  <c r="AY235" i="25"/>
  <c r="AZ235" i="25" s="1"/>
  <c r="BA235" i="25"/>
  <c r="BB235" i="25" s="1"/>
  <c r="BD235" i="25"/>
  <c r="BG235" i="25"/>
  <c r="E237" i="25"/>
  <c r="AN237" i="25" s="1"/>
  <c r="AD237" i="25"/>
  <c r="AJ237" i="25" s="1" a="1"/>
  <c r="AJ237" i="25" s="1"/>
  <c r="AL237" i="25" s="1"/>
  <c r="AF237" i="25"/>
  <c r="AI237" i="25"/>
  <c r="AY237" i="25"/>
  <c r="AZ237" i="25" s="1"/>
  <c r="BA237" i="25" s="1"/>
  <c r="BB237" i="25" s="1"/>
  <c r="BD237" i="25"/>
  <c r="BG237" i="25"/>
  <c r="E239" i="25"/>
  <c r="AN239" i="25" s="1"/>
  <c r="AD239" i="25"/>
  <c r="AF239" i="25"/>
  <c r="AI239" i="25"/>
  <c r="AY239" i="25"/>
  <c r="AZ239" i="25" s="1"/>
  <c r="BA239" i="25"/>
  <c r="BB239" i="25" s="1"/>
  <c r="BD239" i="25"/>
  <c r="BG239" i="25"/>
  <c r="E241" i="25"/>
  <c r="AN241" i="25" s="1"/>
  <c r="AD241" i="25"/>
  <c r="AJ241" i="25" s="1" a="1"/>
  <c r="AJ241" i="25" s="1"/>
  <c r="AL241" i="25" s="1"/>
  <c r="AF241" i="25"/>
  <c r="AI241" i="25"/>
  <c r="AY241" i="25"/>
  <c r="AZ241" i="25" s="1"/>
  <c r="BA241" i="25" s="1"/>
  <c r="BB241" i="25" s="1"/>
  <c r="BD241" i="25"/>
  <c r="BG241" i="25"/>
  <c r="E243" i="25"/>
  <c r="AN243" i="25" s="1"/>
  <c r="AD243" i="25"/>
  <c r="AF243" i="25"/>
  <c r="AI243" i="25"/>
  <c r="AY243" i="25"/>
  <c r="AZ243" i="25" s="1"/>
  <c r="BA243" i="25"/>
  <c r="BB243" i="25" s="1"/>
  <c r="BD243" i="25"/>
  <c r="BG243" i="25"/>
  <c r="E245" i="25"/>
  <c r="AN245" i="25" s="1"/>
  <c r="AD245" i="25"/>
  <c r="AJ245" i="25" s="1" a="1"/>
  <c r="AJ245" i="25" s="1"/>
  <c r="AL245" i="25" s="1"/>
  <c r="AF245" i="25"/>
  <c r="AI245" i="25"/>
  <c r="AY245" i="25"/>
  <c r="AZ245" i="25" s="1"/>
  <c r="BA245" i="25" s="1"/>
  <c r="BB245" i="25" s="1"/>
  <c r="BD245" i="25"/>
  <c r="BG245" i="25"/>
  <c r="E247" i="25"/>
  <c r="AN247" i="25" s="1"/>
  <c r="AD247" i="25"/>
  <c r="AF247" i="25"/>
  <c r="AI247" i="25"/>
  <c r="AY247" i="25"/>
  <c r="AZ247" i="25" s="1"/>
  <c r="BA247" i="25"/>
  <c r="BB247" i="25" s="1"/>
  <c r="BD247" i="25"/>
  <c r="BG247" i="25"/>
  <c r="E249" i="25"/>
  <c r="AN249" i="25" s="1"/>
  <c r="AD249" i="25"/>
  <c r="AJ249" i="25" s="1" a="1"/>
  <c r="AJ249" i="25" s="1"/>
  <c r="AL249" i="25" s="1"/>
  <c r="AF249" i="25"/>
  <c r="AI249" i="25"/>
  <c r="AY249" i="25"/>
  <c r="AZ249" i="25" s="1"/>
  <c r="BA249" i="25" s="1"/>
  <c r="BB249" i="25" s="1"/>
  <c r="BD249" i="25"/>
  <c r="BG249" i="25"/>
  <c r="E251" i="25"/>
  <c r="AN251" i="25" s="1"/>
  <c r="AD251" i="25"/>
  <c r="AF251" i="25"/>
  <c r="AI251" i="25"/>
  <c r="AY251" i="25"/>
  <c r="AZ251" i="25" s="1"/>
  <c r="BA251" i="25"/>
  <c r="BB251" i="25" s="1"/>
  <c r="BD251" i="25"/>
  <c r="BG251" i="25"/>
  <c r="E253" i="25"/>
  <c r="AN253" i="25" s="1"/>
  <c r="AD253" i="25"/>
  <c r="AJ253" i="25" s="1" a="1"/>
  <c r="AJ253" i="25" s="1"/>
  <c r="AL253" i="25" s="1"/>
  <c r="AF253" i="25"/>
  <c r="AI253" i="25"/>
  <c r="AY253" i="25"/>
  <c r="AZ253" i="25" s="1"/>
  <c r="BA253" i="25" s="1"/>
  <c r="BB253" i="25" s="1"/>
  <c r="BD253" i="25"/>
  <c r="BG253" i="25"/>
  <c r="E255" i="25"/>
  <c r="AN255" i="25" s="1"/>
  <c r="AD255" i="25"/>
  <c r="AF255" i="25"/>
  <c r="AI255" i="25"/>
  <c r="AY255" i="25"/>
  <c r="AZ255" i="25" s="1"/>
  <c r="BA255" i="25"/>
  <c r="BB255" i="25" s="1"/>
  <c r="BD255" i="25"/>
  <c r="BG255" i="25"/>
  <c r="E257" i="25"/>
  <c r="AN257" i="25" s="1"/>
  <c r="AD257" i="25"/>
  <c r="AJ257" i="25" s="1" a="1"/>
  <c r="AJ257" i="25" s="1"/>
  <c r="AL257" i="25" s="1"/>
  <c r="AF257" i="25"/>
  <c r="AI257" i="25"/>
  <c r="AY257" i="25"/>
  <c r="AZ257" i="25" s="1"/>
  <c r="BA257" i="25" s="1"/>
  <c r="BB257" i="25" s="1"/>
  <c r="BD257" i="25"/>
  <c r="BG257" i="25"/>
  <c r="E259" i="25"/>
  <c r="AN259" i="25" s="1"/>
  <c r="AD259" i="25"/>
  <c r="AF259" i="25"/>
  <c r="AI259" i="25"/>
  <c r="AY259" i="25"/>
  <c r="AZ259" i="25" s="1"/>
  <c r="BA259" i="25"/>
  <c r="BB259" i="25" s="1"/>
  <c r="BD259" i="25"/>
  <c r="BG259" i="25"/>
  <c r="E261" i="25"/>
  <c r="AN261" i="25" s="1"/>
  <c r="AD261" i="25"/>
  <c r="AF261" i="25"/>
  <c r="AI261" i="25"/>
  <c r="AJ261" i="25" a="1"/>
  <c r="AJ261" i="25" s="1"/>
  <c r="AL261" i="25" s="1"/>
  <c r="AY261" i="25"/>
  <c r="AZ261" i="25" s="1"/>
  <c r="BA261" i="25" s="1"/>
  <c r="BB261" i="25" s="1"/>
  <c r="BD261" i="25"/>
  <c r="BG261" i="25"/>
  <c r="E263" i="25"/>
  <c r="AN263" i="25" s="1"/>
  <c r="AD263" i="25"/>
  <c r="AF263" i="25"/>
  <c r="AI263" i="25"/>
  <c r="AY263" i="25"/>
  <c r="AZ263" i="25" s="1"/>
  <c r="BA263" i="25"/>
  <c r="BB263" i="25" s="1"/>
  <c r="BD263" i="25"/>
  <c r="BG263" i="25"/>
  <c r="E265" i="25"/>
  <c r="AN265" i="25" s="1"/>
  <c r="AD265" i="25"/>
  <c r="AF265" i="25"/>
  <c r="AI265" i="25"/>
  <c r="AJ265" i="25" a="1"/>
  <c r="AJ265" i="25" s="1"/>
  <c r="AL265" i="25" s="1"/>
  <c r="AY265" i="25"/>
  <c r="AZ265" i="25" s="1"/>
  <c r="BA265" i="25" s="1"/>
  <c r="BB265" i="25" s="1"/>
  <c r="BD265" i="25"/>
  <c r="BG265" i="25"/>
  <c r="E267" i="25"/>
  <c r="AN267" i="25" s="1"/>
  <c r="AD267" i="25"/>
  <c r="AF267" i="25"/>
  <c r="AI267" i="25"/>
  <c r="AY267" i="25"/>
  <c r="AZ267" i="25" s="1"/>
  <c r="BA267" i="25"/>
  <c r="BB267" i="25" s="1"/>
  <c r="BD267" i="25"/>
  <c r="BG267" i="25"/>
  <c r="AZ9" i="25"/>
  <c r="E9" i="25"/>
  <c r="E270" i="25" a="1"/>
  <c r="E270" i="25" s="1"/>
  <c r="AL55" i="265" l="1"/>
  <c r="AJ55" i="265" s="1"/>
  <c r="AK55" i="265" s="1"/>
  <c r="AE55" i="265"/>
  <c r="AL125" i="265"/>
  <c r="AJ125" i="265" s="1"/>
  <c r="AK125" i="265" s="1"/>
  <c r="AE125" i="265"/>
  <c r="AE83" i="265"/>
  <c r="AL83" i="265"/>
  <c r="AJ83" i="265" s="1"/>
  <c r="AK83" i="265" s="1"/>
  <c r="AL93" i="265"/>
  <c r="AJ93" i="265" s="1"/>
  <c r="AK93" i="265" s="1"/>
  <c r="AE93" i="265"/>
  <c r="AL101" i="265"/>
  <c r="AJ101" i="265" s="1"/>
  <c r="AK101" i="265" s="1"/>
  <c r="AE101" i="265"/>
  <c r="AE103" i="265"/>
  <c r="AL103" i="265"/>
  <c r="AJ103" i="265" s="1"/>
  <c r="AK103" i="265" s="1"/>
  <c r="AL109" i="265"/>
  <c r="AJ109" i="265" s="1"/>
  <c r="AK109" i="265" s="1"/>
  <c r="AE109" i="265"/>
  <c r="AL39" i="265"/>
  <c r="AJ39" i="265" s="1"/>
  <c r="AK39" i="265" s="1"/>
  <c r="AE39" i="265"/>
  <c r="AB131" i="265"/>
  <c r="X131" i="265"/>
  <c r="Z131" i="265" s="1"/>
  <c r="AE41" i="265"/>
  <c r="AL41" i="265"/>
  <c r="AJ41" i="265" s="1"/>
  <c r="AK41" i="265" s="1"/>
  <c r="AE17" i="265"/>
  <c r="AL17" i="265"/>
  <c r="AJ17" i="265" s="1"/>
  <c r="AK17" i="265" s="1"/>
  <c r="X53" i="265"/>
  <c r="Z53" i="265" s="1"/>
  <c r="AB53" i="265" s="1"/>
  <c r="X45" i="265"/>
  <c r="Z45" i="265" s="1"/>
  <c r="AE73" i="265"/>
  <c r="AL73" i="265"/>
  <c r="AJ73" i="265" s="1"/>
  <c r="AK73" i="265" s="1"/>
  <c r="AE57" i="265"/>
  <c r="AL57" i="265"/>
  <c r="AJ57" i="265" s="1"/>
  <c r="AK57" i="265" s="1"/>
  <c r="AB97" i="265"/>
  <c r="AL117" i="265"/>
  <c r="AJ117" i="265" s="1"/>
  <c r="AK117" i="265" s="1"/>
  <c r="AE117" i="265"/>
  <c r="AL79" i="265"/>
  <c r="AJ79" i="265" s="1"/>
  <c r="AK79" i="265" s="1"/>
  <c r="AE79" i="265"/>
  <c r="AB29" i="265"/>
  <c r="AB91" i="265"/>
  <c r="X91" i="265"/>
  <c r="Z91" i="265" s="1"/>
  <c r="AB21" i="265"/>
  <c r="AE59" i="265"/>
  <c r="AL59" i="265"/>
  <c r="AJ59" i="265" s="1"/>
  <c r="AK59" i="265" s="1"/>
  <c r="Z87" i="265"/>
  <c r="AB87" i="265" s="1"/>
  <c r="Z29" i="265"/>
  <c r="AE19" i="265"/>
  <c r="AL19" i="265"/>
  <c r="AJ19" i="265" s="1"/>
  <c r="AK19" i="265" s="1"/>
  <c r="Z21" i="265"/>
  <c r="AB105" i="265"/>
  <c r="AB127" i="265"/>
  <c r="Z13" i="265"/>
  <c r="AB13" i="265" s="1"/>
  <c r="AE27" i="265"/>
  <c r="AL27" i="265"/>
  <c r="AJ27" i="265" s="1"/>
  <c r="AK27" i="265" s="1"/>
  <c r="AL23" i="265"/>
  <c r="AJ23" i="265" s="1"/>
  <c r="AK23" i="265" s="1"/>
  <c r="AE23" i="265"/>
  <c r="X99" i="265"/>
  <c r="Z99" i="265" s="1"/>
  <c r="AB99" i="265" s="1"/>
  <c r="AB61" i="265"/>
  <c r="AB49" i="265"/>
  <c r="AE11" i="265"/>
  <c r="AL11" i="265"/>
  <c r="AJ11" i="265" s="1"/>
  <c r="AK11" i="265" s="1"/>
  <c r="X97" i="265"/>
  <c r="Z97" i="265" s="1"/>
  <c r="AL47" i="265"/>
  <c r="AJ47" i="265" s="1"/>
  <c r="AK47" i="265" s="1"/>
  <c r="AE47" i="265"/>
  <c r="AB119" i="265"/>
  <c r="X81" i="265"/>
  <c r="Z81" i="265" s="1"/>
  <c r="AB81" i="265" s="1"/>
  <c r="X107" i="265"/>
  <c r="Z107" i="265" s="1"/>
  <c r="AB107" i="265" s="1"/>
  <c r="X61" i="265"/>
  <c r="Z61" i="265" s="1"/>
  <c r="Z69" i="265"/>
  <c r="AB69" i="265" s="1"/>
  <c r="AL31" i="265"/>
  <c r="AJ31" i="265" s="1"/>
  <c r="AK31" i="265" s="1"/>
  <c r="AE31" i="265"/>
  <c r="AL63" i="265"/>
  <c r="AJ63" i="265" s="1"/>
  <c r="AK63" i="265" s="1"/>
  <c r="AE63" i="265"/>
  <c r="AB77" i="265"/>
  <c r="AB113" i="265"/>
  <c r="AB115" i="265"/>
  <c r="X123" i="265"/>
  <c r="Z123" i="265" s="1"/>
  <c r="AB123" i="265" s="1"/>
  <c r="AB37" i="265"/>
  <c r="AE33" i="265"/>
  <c r="AL33" i="265"/>
  <c r="AJ33" i="265" s="1"/>
  <c r="AK33" i="265" s="1"/>
  <c r="AE65" i="265"/>
  <c r="AL65" i="265"/>
  <c r="AJ65" i="265" s="1"/>
  <c r="AK65" i="265" s="1"/>
  <c r="AE75" i="265"/>
  <c r="AL75" i="265"/>
  <c r="AJ75" i="265" s="1"/>
  <c r="AK75" i="265" s="1"/>
  <c r="AE95" i="265"/>
  <c r="AL95" i="265"/>
  <c r="AJ95" i="265" s="1"/>
  <c r="AK95" i="265" s="1"/>
  <c r="Z115" i="265"/>
  <c r="AL71" i="265"/>
  <c r="AJ71" i="265" s="1"/>
  <c r="AK71" i="265" s="1"/>
  <c r="AE71" i="265"/>
  <c r="X25" i="265"/>
  <c r="Z25" i="265" s="1"/>
  <c r="AB25" i="265"/>
  <c r="X85" i="265"/>
  <c r="Z85" i="265" s="1"/>
  <c r="AB85" i="265" s="1"/>
  <c r="AL15" i="265"/>
  <c r="AJ15" i="265" s="1"/>
  <c r="AK15" i="265" s="1"/>
  <c r="AE15" i="265"/>
  <c r="X37" i="265"/>
  <c r="Z37" i="265" s="1"/>
  <c r="AB89" i="265"/>
  <c r="AB121" i="265"/>
  <c r="AB45" i="265"/>
  <c r="AB111" i="265"/>
  <c r="X129" i="265"/>
  <c r="Z129" i="265" s="1"/>
  <c r="AB129" i="265" s="1"/>
  <c r="X121" i="265"/>
  <c r="Z121" i="265" s="1"/>
  <c r="AJ267" i="25" a="1"/>
  <c r="AJ267" i="25" s="1"/>
  <c r="AL267" i="25" s="1"/>
  <c r="AJ263" i="25" a="1"/>
  <c r="AJ263" i="25" s="1"/>
  <c r="AL263" i="25" s="1"/>
  <c r="AJ259" i="25" a="1"/>
  <c r="AJ259" i="25" s="1"/>
  <c r="AL259" i="25" s="1"/>
  <c r="AJ255" i="25" a="1"/>
  <c r="AJ255" i="25" s="1"/>
  <c r="AL255" i="25" s="1"/>
  <c r="AJ251" i="25" a="1"/>
  <c r="AJ251" i="25" s="1"/>
  <c r="AL251" i="25" s="1"/>
  <c r="AJ247" i="25" a="1"/>
  <c r="AJ247" i="25" s="1"/>
  <c r="AL247" i="25" s="1"/>
  <c r="AJ243" i="25" a="1"/>
  <c r="AJ243" i="25" s="1"/>
  <c r="AL243" i="25" s="1"/>
  <c r="AJ239" i="25" a="1"/>
  <c r="AJ239" i="25" s="1"/>
  <c r="AL239" i="25" s="1"/>
  <c r="AJ235" i="25" a="1"/>
  <c r="AJ235" i="25" s="1"/>
  <c r="AL235" i="25" s="1"/>
  <c r="AJ225" i="25" a="1"/>
  <c r="AJ225" i="25" s="1"/>
  <c r="AL225" i="25" s="1"/>
  <c r="AJ221" i="25" a="1"/>
  <c r="AJ221" i="25" s="1"/>
  <c r="AL221" i="25" s="1"/>
  <c r="AN221" i="25"/>
  <c r="AN131" i="25"/>
  <c r="AJ131" i="25" a="1"/>
  <c r="AJ131" i="25" s="1"/>
  <c r="AL131" i="25" s="1"/>
  <c r="AN143" i="25"/>
  <c r="AJ143" i="25" a="1"/>
  <c r="AJ143" i="25" s="1"/>
  <c r="AL143" i="25" s="1"/>
  <c r="AJ229" i="25" a="1"/>
  <c r="AJ229" i="25" s="1"/>
  <c r="AL229" i="25" s="1"/>
  <c r="AN203" i="25"/>
  <c r="AJ183" i="25" a="1"/>
  <c r="AJ183" i="25" s="1"/>
  <c r="AL183" i="25" s="1"/>
  <c r="AJ173" i="25" a="1"/>
  <c r="AJ173" i="25" s="1"/>
  <c r="AL173" i="25" s="1"/>
  <c r="AN173" i="25"/>
  <c r="AN227" i="25"/>
  <c r="AJ197" i="25" a="1"/>
  <c r="AJ197" i="25" s="1"/>
  <c r="AL197" i="25" s="1"/>
  <c r="AN197" i="25"/>
  <c r="AJ157" i="25" a="1"/>
  <c r="AJ157" i="25" s="1"/>
  <c r="AL157" i="25" s="1"/>
  <c r="AN157" i="25"/>
  <c r="AN135" i="25"/>
  <c r="AJ135" i="25" a="1"/>
  <c r="AJ135" i="25" s="1"/>
  <c r="AL135" i="25" s="1"/>
  <c r="AN219" i="25"/>
  <c r="AJ181" i="25" a="1"/>
  <c r="AJ181" i="25" s="1"/>
  <c r="AL181" i="25" s="1"/>
  <c r="AN181" i="25"/>
  <c r="AN147" i="25"/>
  <c r="AJ147" i="25" a="1"/>
  <c r="AJ147" i="25" s="1"/>
  <c r="AL147" i="25" s="1"/>
  <c r="AJ191" i="25" a="1"/>
  <c r="AJ191" i="25" s="1"/>
  <c r="AL191" i="25" s="1"/>
  <c r="AJ205" i="25" a="1"/>
  <c r="AJ205" i="25" s="1"/>
  <c r="AL205" i="25" s="1"/>
  <c r="AN205" i="25"/>
  <c r="AJ165" i="25" a="1"/>
  <c r="AJ165" i="25" s="1"/>
  <c r="AL165" i="25" s="1"/>
  <c r="AN165" i="25"/>
  <c r="AN139" i="25"/>
  <c r="AJ139" i="25" a="1"/>
  <c r="AJ139" i="25" s="1"/>
  <c r="AL139" i="25" s="1"/>
  <c r="AJ213" i="25" a="1"/>
  <c r="AJ213" i="25" s="1"/>
  <c r="AL213" i="25" s="1"/>
  <c r="AN213" i="25"/>
  <c r="AJ189" i="25" a="1"/>
  <c r="AJ189" i="25" s="1"/>
  <c r="AL189" i="25" s="1"/>
  <c r="AN189" i="25"/>
  <c r="AN151" i="25"/>
  <c r="AJ151" i="25" a="1"/>
  <c r="AJ151" i="25" s="1"/>
  <c r="AL151" i="25" s="1"/>
  <c r="AJ127" i="25" a="1"/>
  <c r="AJ127" i="25" s="1"/>
  <c r="AL127" i="25" s="1"/>
  <c r="AJ123" i="25" a="1"/>
  <c r="AJ123" i="25" s="1"/>
  <c r="AL123" i="25" s="1"/>
  <c r="AL123" i="265" l="1"/>
  <c r="AJ123" i="265" s="1"/>
  <c r="AK123" i="265" s="1"/>
  <c r="AE123" i="265"/>
  <c r="AL69" i="265"/>
  <c r="AJ69" i="265" s="1"/>
  <c r="AK69" i="265" s="1"/>
  <c r="AE69" i="265"/>
  <c r="AE129" i="265"/>
  <c r="AL129" i="265"/>
  <c r="AJ129" i="265" s="1"/>
  <c r="AK129" i="265" s="1"/>
  <c r="AL107" i="265"/>
  <c r="AJ107" i="265" s="1"/>
  <c r="AK107" i="265" s="1"/>
  <c r="AE107" i="265"/>
  <c r="AE81" i="265"/>
  <c r="AL81" i="265"/>
  <c r="AJ81" i="265" s="1"/>
  <c r="AK81" i="265" s="1"/>
  <c r="AL99" i="265"/>
  <c r="AJ99" i="265" s="1"/>
  <c r="AK99" i="265" s="1"/>
  <c r="AE99" i="265"/>
  <c r="AL53" i="265"/>
  <c r="AJ53" i="265" s="1"/>
  <c r="AK53" i="265" s="1"/>
  <c r="AE53" i="265"/>
  <c r="AL13" i="265"/>
  <c r="AJ13" i="265" s="1"/>
  <c r="AK13" i="265" s="1"/>
  <c r="AE13" i="265"/>
  <c r="AL85" i="265"/>
  <c r="AJ85" i="265" s="1"/>
  <c r="AK85" i="265" s="1"/>
  <c r="AE85" i="265"/>
  <c r="AL61" i="265"/>
  <c r="AJ61" i="265" s="1"/>
  <c r="AK61" i="265" s="1"/>
  <c r="AE61" i="265"/>
  <c r="AL127" i="265"/>
  <c r="AJ127" i="265" s="1"/>
  <c r="AK127" i="265" s="1"/>
  <c r="AE127" i="265"/>
  <c r="AL21" i="265"/>
  <c r="AJ21" i="265" s="1"/>
  <c r="AK21" i="265" s="1"/>
  <c r="AE21" i="265"/>
  <c r="AL45" i="265"/>
  <c r="AJ45" i="265" s="1"/>
  <c r="AK45" i="265" s="1"/>
  <c r="AE45" i="265"/>
  <c r="AL115" i="265"/>
  <c r="AJ115" i="265" s="1"/>
  <c r="AK115" i="265" s="1"/>
  <c r="AE115" i="265"/>
  <c r="AE89" i="265"/>
  <c r="AL89" i="265"/>
  <c r="AJ89" i="265" s="1"/>
  <c r="AK89" i="265" s="1"/>
  <c r="AL77" i="265"/>
  <c r="AJ77" i="265" s="1"/>
  <c r="AK77" i="265" s="1"/>
  <c r="AE77" i="265"/>
  <c r="AL29" i="265"/>
  <c r="AJ29" i="265" s="1"/>
  <c r="AK29" i="265" s="1"/>
  <c r="AE29" i="265"/>
  <c r="AE105" i="265"/>
  <c r="AL105" i="265"/>
  <c r="AJ105" i="265" s="1"/>
  <c r="AK105" i="265" s="1"/>
  <c r="AE121" i="265"/>
  <c r="AL121" i="265"/>
  <c r="AJ121" i="265" s="1"/>
  <c r="AK121" i="265" s="1"/>
  <c r="AE113" i="265"/>
  <c r="AL113" i="265"/>
  <c r="AJ113" i="265" s="1"/>
  <c r="AK113" i="265" s="1"/>
  <c r="AE25" i="265"/>
  <c r="AL25" i="265"/>
  <c r="AJ25" i="265" s="1"/>
  <c r="AK25" i="265" s="1"/>
  <c r="AE97" i="265"/>
  <c r="AL97" i="265"/>
  <c r="AJ97" i="265" s="1"/>
  <c r="AK97" i="265" s="1"/>
  <c r="AL37" i="265"/>
  <c r="AJ37" i="265" s="1"/>
  <c r="AK37" i="265" s="1"/>
  <c r="AE37" i="265"/>
  <c r="AE87" i="265"/>
  <c r="AL87" i="265"/>
  <c r="AJ87" i="265" s="1"/>
  <c r="AK87" i="265" s="1"/>
  <c r="AE111" i="265"/>
  <c r="AL111" i="265"/>
  <c r="AJ111" i="265" s="1"/>
  <c r="AK111" i="265" s="1"/>
  <c r="AL91" i="265"/>
  <c r="AJ91" i="265" s="1"/>
  <c r="AK91" i="265" s="1"/>
  <c r="AE91" i="265"/>
  <c r="AL119" i="265"/>
  <c r="AJ119" i="265" s="1"/>
  <c r="AK119" i="265" s="1"/>
  <c r="AE119" i="265"/>
  <c r="AE49" i="265"/>
  <c r="AL49" i="265"/>
  <c r="AJ49" i="265" s="1"/>
  <c r="AK49" i="265" s="1"/>
  <c r="AL131" i="265"/>
  <c r="AJ131" i="265" s="1"/>
  <c r="AK131" i="265" s="1"/>
  <c r="AE131" i="265"/>
  <c r="V133" i="265" a="1"/>
  <c r="V133" i="265" s="1"/>
  <c r="W133" i="265" a="1"/>
  <c r="W133" i="265" s="1"/>
  <c r="V134" i="265" a="1"/>
  <c r="V134" i="265" s="1"/>
  <c r="W134" i="265" a="1"/>
  <c r="W134" i="265" s="1"/>
  <c r="AD133" i="265" l="1" a="1"/>
  <c r="AD133" i="265" s="1"/>
  <c r="AF135" i="265" a="1"/>
  <c r="AF135" i="265" s="1"/>
  <c r="F133" i="265" a="1"/>
  <c r="F133" i="265" s="1"/>
  <c r="AF134" i="265" a="1"/>
  <c r="AF134" i="265" s="1"/>
  <c r="F134" i="265" a="1"/>
  <c r="F134" i="265" s="1"/>
  <c r="AF133" i="265" a="1"/>
  <c r="AF133" i="265" s="1"/>
  <c r="AC134" i="265" l="1" a="1"/>
  <c r="AC134" i="265" s="1"/>
  <c r="AD134" i="265" a="1"/>
  <c r="AD134" i="265" s="1"/>
  <c r="AC133" i="265" l="1" a="1"/>
  <c r="AC133" i="265" s="1"/>
  <c r="BG9" i="25"/>
  <c r="BD9" i="25"/>
  <c r="BA9" i="25"/>
  <c r="BB9" i="25" s="1"/>
  <c r="AY9" i="25"/>
  <c r="AN9" i="25"/>
  <c r="AJ9" i="25" a="1"/>
  <c r="AJ9" i="25" s="1"/>
  <c r="AL9" i="25" s="1"/>
  <c r="AI9" i="25"/>
  <c r="AF9" i="25"/>
  <c r="AD9" i="25"/>
  <c r="D11" i="263" a="1"/>
  <c r="D11" i="263" s="1"/>
  <c r="D13" i="263" a="1"/>
  <c r="D13" i="263" s="1"/>
  <c r="D15" i="263" a="1"/>
  <c r="D15" i="263" s="1"/>
  <c r="D17" i="263" a="1"/>
  <c r="D17" i="263" s="1"/>
  <c r="D19" i="263" a="1"/>
  <c r="D19" i="263" s="1"/>
  <c r="D21" i="263" a="1"/>
  <c r="D21" i="263" s="1"/>
  <c r="D23" i="263" a="1"/>
  <c r="D23" i="263" s="1"/>
  <c r="D25" i="263" a="1"/>
  <c r="D25" i="263" s="1"/>
  <c r="D27" i="263" a="1"/>
  <c r="D27" i="263" s="1"/>
  <c r="D29" i="263" a="1"/>
  <c r="D29" i="263" s="1"/>
  <c r="D31" i="263" a="1"/>
  <c r="D31" i="263" s="1"/>
  <c r="D33" i="263" a="1"/>
  <c r="D33" i="263" s="1"/>
  <c r="D35" i="263" a="1"/>
  <c r="D35" i="263" s="1"/>
  <c r="D37" i="263" a="1"/>
  <c r="D37" i="263" s="1"/>
  <c r="D39" i="263" a="1"/>
  <c r="D39" i="263" s="1"/>
  <c r="D41" i="263" a="1"/>
  <c r="D41" i="263" s="1"/>
  <c r="D43" i="263" a="1"/>
  <c r="D43" i="263" s="1"/>
  <c r="D45" i="263" a="1"/>
  <c r="D45" i="263" s="1"/>
  <c r="D47" i="263" a="1"/>
  <c r="D47" i="263" s="1"/>
  <c r="D49" i="263" a="1"/>
  <c r="D49" i="263" s="1"/>
  <c r="D51" i="263" a="1"/>
  <c r="D51" i="263" s="1"/>
  <c r="D53" i="263" a="1"/>
  <c r="D53" i="263" s="1"/>
  <c r="D55" i="263" a="1"/>
  <c r="D55" i="263" s="1"/>
  <c r="D57" i="263" a="1"/>
  <c r="D57" i="263" s="1"/>
  <c r="D59" i="263" a="1"/>
  <c r="D59" i="263" s="1"/>
  <c r="D61" i="263" a="1"/>
  <c r="D61" i="263" s="1"/>
  <c r="D63" i="263" a="1"/>
  <c r="D63" i="263" s="1"/>
  <c r="D65" i="263" a="1"/>
  <c r="D65" i="263" s="1"/>
  <c r="D67" i="263" a="1"/>
  <c r="D67" i="263" s="1"/>
  <c r="D69" i="263" a="1"/>
  <c r="D69" i="263" s="1"/>
  <c r="D71" i="263" a="1"/>
  <c r="D71" i="263" s="1"/>
  <c r="D73" i="263" a="1"/>
  <c r="D73" i="263" s="1"/>
  <c r="D75" i="263" a="1"/>
  <c r="D75" i="263" s="1"/>
  <c r="D77" i="263" a="1"/>
  <c r="D77" i="263" s="1"/>
  <c r="D79" i="263" a="1"/>
  <c r="D79" i="263" s="1"/>
  <c r="D81" i="263" a="1"/>
  <c r="D81" i="263" s="1"/>
  <c r="D83" i="263" a="1"/>
  <c r="D83" i="263" s="1"/>
  <c r="D85" i="263" a="1"/>
  <c r="D85" i="263" s="1"/>
  <c r="D87" i="263" a="1"/>
  <c r="D87" i="263" s="1"/>
  <c r="D89" i="263" a="1"/>
  <c r="D89" i="263" s="1"/>
  <c r="D91" i="263" a="1"/>
  <c r="D91" i="263" s="1"/>
  <c r="D93" i="263" a="1"/>
  <c r="D93" i="263" s="1"/>
  <c r="D95" i="263" a="1"/>
  <c r="D95" i="263" s="1"/>
  <c r="D97" i="263" a="1"/>
  <c r="D97" i="263" s="1"/>
  <c r="D99" i="263" a="1"/>
  <c r="D99" i="263" s="1"/>
  <c r="D101" i="263" a="1"/>
  <c r="D101" i="263" s="1"/>
  <c r="D103" i="263" a="1"/>
  <c r="D103" i="263" s="1"/>
  <c r="D105" i="263" a="1"/>
  <c r="D105" i="263" s="1"/>
  <c r="D107" i="263" a="1"/>
  <c r="D107" i="263" s="1"/>
  <c r="D109" i="263" a="1"/>
  <c r="D109" i="263" s="1"/>
  <c r="D111" i="263" a="1"/>
  <c r="D111" i="263" s="1"/>
  <c r="D113" i="263" a="1"/>
  <c r="D113" i="263" s="1"/>
  <c r="D115" i="263" a="1"/>
  <c r="D115" i="263" s="1"/>
  <c r="D117" i="263" a="1"/>
  <c r="D117" i="263" s="1"/>
  <c r="D119" i="263" a="1"/>
  <c r="D119" i="263" s="1"/>
  <c r="D121" i="263" a="1"/>
  <c r="D121" i="263" s="1"/>
  <c r="D123" i="263" a="1"/>
  <c r="D123" i="263" s="1"/>
  <c r="D125" i="263" a="1"/>
  <c r="D125" i="263" s="1"/>
  <c r="D127" i="263" a="1"/>
  <c r="D127" i="263" s="1"/>
  <c r="D129" i="263" a="1"/>
  <c r="D129" i="263" s="1"/>
  <c r="D131" i="263" a="1"/>
  <c r="D131" i="263" s="1"/>
  <c r="D133" i="263" a="1"/>
  <c r="D133" i="263" s="1"/>
  <c r="D135" i="263" a="1"/>
  <c r="D135" i="263" s="1"/>
  <c r="D137" i="263" a="1"/>
  <c r="D137" i="263" s="1"/>
  <c r="D139" i="263" a="1"/>
  <c r="D139" i="263" s="1"/>
  <c r="D141" i="263" a="1"/>
  <c r="D141" i="263" s="1"/>
  <c r="D143" i="263" a="1"/>
  <c r="D143" i="263" s="1"/>
  <c r="D145" i="263" a="1"/>
  <c r="D145" i="263" s="1"/>
  <c r="D147" i="263" a="1"/>
  <c r="D147" i="263" s="1"/>
  <c r="D149" i="263" a="1"/>
  <c r="D149" i="263" s="1"/>
  <c r="D151" i="263" a="1"/>
  <c r="D151" i="263" s="1"/>
  <c r="D153" i="263" a="1"/>
  <c r="D153" i="263" s="1"/>
  <c r="D155" i="263" a="1"/>
  <c r="D155" i="263" s="1"/>
  <c r="D157" i="263" a="1"/>
  <c r="D157" i="263" s="1"/>
  <c r="D159" i="263" a="1"/>
  <c r="D159" i="263" s="1"/>
  <c r="D161" i="263" a="1"/>
  <c r="D161" i="263" s="1"/>
  <c r="D163" i="263" a="1"/>
  <c r="D163" i="263" s="1"/>
  <c r="D165" i="263" a="1"/>
  <c r="D165" i="263" s="1"/>
  <c r="D167" i="263" a="1"/>
  <c r="D167" i="263" s="1"/>
  <c r="D169" i="263" a="1"/>
  <c r="D169" i="263" s="1"/>
  <c r="D171" i="263" a="1"/>
  <c r="D171" i="263" s="1"/>
  <c r="D173" i="263" a="1"/>
  <c r="D173" i="263" s="1"/>
  <c r="D175" i="263" a="1"/>
  <c r="D175" i="263" s="1"/>
  <c r="D177" i="263" a="1"/>
  <c r="D177" i="263" s="1"/>
  <c r="D179" i="263" a="1"/>
  <c r="D179" i="263" s="1"/>
  <c r="D181" i="263" a="1"/>
  <c r="D181" i="263" s="1"/>
  <c r="D183" i="263" a="1"/>
  <c r="D183" i="263" s="1"/>
  <c r="D185" i="263" a="1"/>
  <c r="D185" i="263" s="1"/>
  <c r="D187" i="263" a="1"/>
  <c r="D187" i="263" s="1"/>
  <c r="D189" i="263" a="1"/>
  <c r="D189" i="263" s="1"/>
  <c r="D191" i="263" a="1"/>
  <c r="D191" i="263" s="1"/>
  <c r="D193" i="263" a="1"/>
  <c r="D193" i="263" s="1"/>
  <c r="D195" i="263" a="1"/>
  <c r="D195" i="263" s="1"/>
  <c r="D197" i="263" a="1"/>
  <c r="D197" i="263" s="1"/>
  <c r="D199" i="263" a="1"/>
  <c r="D199" i="263" s="1"/>
  <c r="D201" i="263" a="1"/>
  <c r="D201" i="263" s="1"/>
  <c r="D203" i="263" a="1"/>
  <c r="D203" i="263" s="1"/>
  <c r="D205" i="263" a="1"/>
  <c r="D205" i="263" s="1"/>
  <c r="D207" i="263" a="1"/>
  <c r="D207" i="263" s="1"/>
  <c r="D209" i="263" a="1"/>
  <c r="D209" i="263" s="1"/>
  <c r="D211" i="263" a="1"/>
  <c r="D211" i="263" s="1"/>
  <c r="D213" i="263" a="1"/>
  <c r="D213" i="263" s="1"/>
  <c r="D215" i="263" a="1"/>
  <c r="D215" i="263" s="1"/>
  <c r="D217" i="263" a="1"/>
  <c r="D217" i="263" s="1"/>
  <c r="D219" i="263" a="1"/>
  <c r="D219" i="263" s="1"/>
  <c r="D221" i="263" a="1"/>
  <c r="D221" i="263" s="1"/>
  <c r="D223" i="263" a="1"/>
  <c r="D223" i="263" s="1"/>
  <c r="D225" i="263" a="1"/>
  <c r="D225" i="263" s="1"/>
  <c r="D227" i="263" a="1"/>
  <c r="D227" i="263" s="1"/>
  <c r="D229" i="263" a="1"/>
  <c r="D229" i="263" s="1"/>
  <c r="D231" i="263" a="1"/>
  <c r="D231" i="263" s="1"/>
  <c r="D233" i="263" a="1"/>
  <c r="D233" i="263" s="1"/>
  <c r="D235" i="263" a="1"/>
  <c r="D235" i="263" s="1"/>
  <c r="D237" i="263" a="1"/>
  <c r="D237" i="263" s="1"/>
  <c r="D239" i="263" a="1"/>
  <c r="D239" i="263" s="1"/>
  <c r="D241" i="263" a="1"/>
  <c r="D241" i="263" s="1"/>
  <c r="D243" i="263" a="1"/>
  <c r="D243" i="263" s="1"/>
  <c r="D245" i="263" a="1"/>
  <c r="D245" i="263" s="1"/>
  <c r="D247" i="263" a="1"/>
  <c r="D247" i="263" s="1"/>
  <c r="D249" i="263" a="1"/>
  <c r="D249" i="263" s="1"/>
  <c r="D251" i="263" a="1"/>
  <c r="D251" i="263" s="1"/>
  <c r="D253" i="263" a="1"/>
  <c r="D253" i="263" s="1"/>
  <c r="D255" i="263" a="1"/>
  <c r="D255" i="263" s="1"/>
  <c r="D257" i="263" a="1"/>
  <c r="D257" i="263" s="1"/>
  <c r="D259" i="263" a="1"/>
  <c r="D259" i="263" s="1"/>
  <c r="D261" i="263" a="1"/>
  <c r="D261" i="263" s="1"/>
  <c r="D263" i="263" a="1"/>
  <c r="D263" i="263" s="1"/>
  <c r="D265" i="263" a="1"/>
  <c r="D265" i="263" s="1"/>
  <c r="D267" i="263" a="1"/>
  <c r="D267" i="263" s="1"/>
  <c r="D269" i="263" a="1"/>
  <c r="D269" i="263" s="1"/>
  <c r="D271" i="263" a="1"/>
  <c r="D271" i="263" s="1"/>
  <c r="D273" i="263" a="1"/>
  <c r="D273" i="263" s="1"/>
  <c r="D275" i="263" a="1"/>
  <c r="D275" i="263" s="1"/>
  <c r="D277" i="263" a="1"/>
  <c r="D277" i="263" s="1"/>
  <c r="D279" i="263" a="1"/>
  <c r="D279" i="263" s="1"/>
  <c r="D281" i="263" a="1"/>
  <c r="D281" i="263" s="1"/>
  <c r="D283" i="263" a="1"/>
  <c r="D283" i="263" s="1"/>
  <c r="D285" i="263" a="1"/>
  <c r="D285" i="263" s="1"/>
  <c r="D287" i="263" a="1"/>
  <c r="D287" i="263" s="1"/>
  <c r="D289" i="263" a="1"/>
  <c r="D289" i="263" s="1"/>
  <c r="D291" i="263" a="1"/>
  <c r="D291" i="263" s="1"/>
  <c r="D293" i="263" a="1"/>
  <c r="D293" i="263" s="1"/>
  <c r="D295" i="263" a="1"/>
  <c r="D295" i="263" s="1"/>
  <c r="D297" i="263" a="1"/>
  <c r="D297" i="263" s="1"/>
  <c r="D299" i="263" a="1"/>
  <c r="D299" i="263" s="1"/>
  <c r="D301" i="263" a="1"/>
  <c r="D301" i="263" s="1"/>
  <c r="D303" i="263" a="1"/>
  <c r="D303" i="263" s="1"/>
  <c r="D305" i="263" a="1"/>
  <c r="D305" i="263" s="1"/>
  <c r="D307" i="263" a="1"/>
  <c r="D307" i="263" s="1"/>
  <c r="D309" i="263" a="1"/>
  <c r="D309" i="263" s="1"/>
  <c r="D311" i="263" a="1"/>
  <c r="D311" i="263" s="1"/>
  <c r="D313" i="263" a="1"/>
  <c r="D313" i="263" s="1"/>
  <c r="D315" i="263" a="1"/>
  <c r="D315" i="263" s="1"/>
  <c r="D317" i="263" a="1"/>
  <c r="D317" i="263" s="1"/>
  <c r="D319" i="263" a="1"/>
  <c r="D319" i="263" s="1"/>
  <c r="D321" i="263" a="1"/>
  <c r="D321" i="263" s="1"/>
  <c r="D323" i="263" a="1"/>
  <c r="D323" i="263" s="1"/>
  <c r="D325" i="263" a="1"/>
  <c r="D325" i="263" s="1"/>
  <c r="D327" i="263" a="1"/>
  <c r="D327" i="263" s="1"/>
  <c r="D329" i="263" a="1"/>
  <c r="D329" i="263" s="1"/>
  <c r="D331" i="263" a="1"/>
  <c r="D331" i="263" s="1"/>
  <c r="D333" i="263" a="1"/>
  <c r="D333" i="263" s="1"/>
  <c r="D335" i="263" a="1"/>
  <c r="D335" i="263" s="1"/>
  <c r="D337" i="263" a="1"/>
  <c r="D337" i="263" s="1"/>
  <c r="D339" i="263" a="1"/>
  <c r="D339" i="263" s="1"/>
  <c r="D341" i="263" a="1"/>
  <c r="D341" i="263" s="1"/>
  <c r="D343" i="263" a="1"/>
  <c r="D343" i="263" s="1"/>
  <c r="D345" i="263" a="1"/>
  <c r="D345" i="263" s="1"/>
  <c r="D347" i="263" a="1"/>
  <c r="D347" i="263" s="1"/>
  <c r="D349" i="263" a="1"/>
  <c r="D349" i="263" s="1"/>
  <c r="D351" i="263" a="1"/>
  <c r="D351" i="263" s="1"/>
  <c r="D353" i="263" a="1"/>
  <c r="D353" i="263" s="1"/>
  <c r="D355" i="263" a="1"/>
  <c r="D355" i="263" s="1"/>
  <c r="D357" i="263" a="1"/>
  <c r="D357" i="263" s="1"/>
  <c r="D359" i="263" a="1"/>
  <c r="D359" i="263" s="1"/>
  <c r="D361" i="263" a="1"/>
  <c r="D361" i="263" s="1"/>
  <c r="D363" i="263" a="1"/>
  <c r="D363" i="263" s="1"/>
  <c r="D365" i="263" a="1"/>
  <c r="D365" i="263" s="1"/>
  <c r="D367" i="263" a="1"/>
  <c r="D367" i="263" s="1"/>
  <c r="D369" i="263" a="1"/>
  <c r="D369" i="263" s="1"/>
  <c r="D371" i="263" a="1"/>
  <c r="D371" i="263" s="1"/>
  <c r="D373" i="263" a="1"/>
  <c r="D373" i="263" s="1"/>
  <c r="D375" i="263" a="1"/>
  <c r="D375" i="263" s="1"/>
  <c r="D377" i="263" a="1"/>
  <c r="D377" i="263" s="1"/>
  <c r="D379" i="263" a="1"/>
  <c r="D379" i="263" s="1"/>
  <c r="D381" i="263" a="1"/>
  <c r="D381" i="263" s="1"/>
  <c r="D383" i="263" a="1"/>
  <c r="D383" i="263" s="1"/>
  <c r="D385" i="263" a="1"/>
  <c r="D385" i="263" s="1"/>
  <c r="D387" i="263" a="1"/>
  <c r="D387" i="263" s="1"/>
  <c r="D389" i="263" a="1"/>
  <c r="D389" i="263" s="1"/>
  <c r="D391" i="263" a="1"/>
  <c r="D391" i="263" s="1"/>
  <c r="D393" i="263" a="1"/>
  <c r="D393" i="263" s="1"/>
  <c r="D395" i="263" a="1"/>
  <c r="D395" i="263" s="1"/>
  <c r="D397" i="263" a="1"/>
  <c r="D397" i="263" s="1"/>
  <c r="D399" i="263" a="1"/>
  <c r="D399" i="263" s="1"/>
  <c r="D401" i="263" a="1"/>
  <c r="D401" i="263" s="1"/>
  <c r="D403" i="263" a="1"/>
  <c r="D403" i="263" s="1"/>
  <c r="D405" i="263" a="1"/>
  <c r="D405" i="263" s="1"/>
  <c r="D407" i="263" a="1"/>
  <c r="D407" i="263" s="1"/>
  <c r="D9" i="263" a="1"/>
  <c r="D9" i="263" s="1"/>
  <c r="F2" i="263" a="1"/>
  <c r="F2" i="263" s="1"/>
  <c r="F1" i="263" s="1"/>
  <c r="G2" i="263" a="1"/>
  <c r="G2" i="263" s="1"/>
  <c r="G1" i="263" s="1"/>
  <c r="H2" i="263" a="1"/>
  <c r="H2" i="263" s="1"/>
  <c r="H1" i="263" s="1"/>
  <c r="I2" i="263" a="1"/>
  <c r="I2" i="263" s="1"/>
  <c r="I1" i="263" s="1"/>
  <c r="J2" i="263" a="1"/>
  <c r="J2" i="263" s="1"/>
  <c r="J1" i="263" s="1"/>
  <c r="K2" i="263" a="1"/>
  <c r="K2" i="263" s="1"/>
  <c r="K1" i="263" s="1"/>
  <c r="L2" i="263" a="1"/>
  <c r="L2" i="263" s="1"/>
  <c r="L1" i="263" s="1"/>
  <c r="M2" i="263" a="1"/>
  <c r="M2" i="263"/>
  <c r="M1" i="263" s="1"/>
  <c r="N2" i="263" a="1"/>
  <c r="N2" i="263" s="1"/>
  <c r="N1" i="263" s="1"/>
  <c r="O2" i="263" a="1"/>
  <c r="O2" i="263" s="1"/>
  <c r="O1" i="263" s="1"/>
  <c r="P2" i="263" a="1"/>
  <c r="P2" i="263" s="1"/>
  <c r="P1" i="263" s="1"/>
  <c r="Q2" i="263" a="1"/>
  <c r="Q2" i="263" s="1"/>
  <c r="Q1" i="263" s="1"/>
  <c r="R2" i="263" a="1"/>
  <c r="R2" i="263" s="1"/>
  <c r="R1" i="263" s="1"/>
  <c r="S2" i="263" a="1"/>
  <c r="S2" i="263" s="1"/>
  <c r="S1" i="263" s="1"/>
  <c r="T2" i="263" a="1"/>
  <c r="T2" i="263" s="1"/>
  <c r="T1" i="263" s="1"/>
  <c r="U2" i="263" a="1"/>
  <c r="U2" i="263" s="1"/>
  <c r="U1" i="263" s="1"/>
  <c r="V2" i="263" a="1"/>
  <c r="V2" i="263" s="1"/>
  <c r="V1" i="263" s="1"/>
  <c r="W2" i="263" a="1"/>
  <c r="W2" i="263" s="1"/>
  <c r="W1" i="263" s="1"/>
  <c r="X2" i="263" a="1"/>
  <c r="X2" i="263" s="1"/>
  <c r="X1" i="263" s="1"/>
  <c r="Y2" i="263" a="1"/>
  <c r="Y2" i="263" s="1"/>
  <c r="Y1" i="263" s="1"/>
  <c r="Z2" i="263" a="1"/>
  <c r="Z2" i="263" s="1"/>
  <c r="Z1" i="263" s="1"/>
  <c r="AA2" i="263" a="1"/>
  <c r="AA2" i="263" s="1"/>
  <c r="AA1" i="263" s="1"/>
  <c r="AB2" i="263" a="1"/>
  <c r="AB2" i="263" s="1"/>
  <c r="AB1" i="263" s="1"/>
  <c r="AC2" i="263" a="1"/>
  <c r="AC2" i="263"/>
  <c r="AC1" i="263" s="1"/>
  <c r="AD2" i="263" a="1"/>
  <c r="AD2" i="263" s="1"/>
  <c r="AD1" i="263" s="1"/>
  <c r="AE2" i="263" a="1"/>
  <c r="AE2" i="263" s="1"/>
  <c r="AE1" i="263" s="1"/>
  <c r="AF2" i="263" a="1"/>
  <c r="AF2" i="263" s="1"/>
  <c r="AF1" i="263" s="1"/>
  <c r="AG2" i="263" a="1"/>
  <c r="AG2" i="263" s="1"/>
  <c r="AG1" i="263" s="1"/>
  <c r="AH2" i="263" a="1"/>
  <c r="AH2" i="263" s="1"/>
  <c r="AH1" i="263" s="1"/>
  <c r="AI2" i="263" a="1"/>
  <c r="AI2" i="263" s="1"/>
  <c r="AI1" i="263" s="1"/>
  <c r="AJ2" i="263" a="1"/>
  <c r="AJ2" i="263" s="1"/>
  <c r="AJ1" i="263" s="1"/>
  <c r="AK2" i="263" a="1"/>
  <c r="AK2" i="263"/>
  <c r="AK1" i="263" s="1"/>
  <c r="AL2" i="263" a="1"/>
  <c r="AL2" i="263" s="1"/>
  <c r="AL1" i="263" s="1"/>
  <c r="AM2" i="263" a="1"/>
  <c r="AM2" i="263" s="1"/>
  <c r="AM1" i="263" s="1"/>
  <c r="AN2" i="263" a="1"/>
  <c r="AN2" i="263" s="1"/>
  <c r="AN1" i="263" s="1"/>
  <c r="AO2" i="263" a="1"/>
  <c r="AO2" i="263" s="1"/>
  <c r="AO1" i="263" s="1"/>
  <c r="AP2" i="263" a="1"/>
  <c r="AP2" i="263" s="1"/>
  <c r="AP1" i="263" s="1"/>
  <c r="AQ2" i="263" a="1"/>
  <c r="AQ2" i="263" s="1"/>
  <c r="AQ1" i="263" s="1"/>
  <c r="AR2" i="263" a="1"/>
  <c r="AR2" i="263" s="1"/>
  <c r="AR1" i="263" s="1"/>
  <c r="AS2" i="263" a="1"/>
  <c r="AS2" i="263"/>
  <c r="AS1" i="263" s="1"/>
  <c r="AT2" i="263" a="1"/>
  <c r="AT2" i="263" s="1"/>
  <c r="AT1" i="263" s="1"/>
  <c r="AU2" i="263" a="1"/>
  <c r="AU2" i="263" s="1"/>
  <c r="AU1" i="263" s="1"/>
  <c r="AV2" i="263" a="1"/>
  <c r="AV2" i="263" s="1"/>
  <c r="AV1" i="263" s="1"/>
  <c r="AW2" i="263" a="1"/>
  <c r="AW2" i="263" s="1"/>
  <c r="AW1" i="263" s="1"/>
  <c r="AX2" i="263" a="1"/>
  <c r="AX2" i="263" s="1"/>
  <c r="AX1" i="263" s="1"/>
  <c r="AY2" i="263" a="1"/>
  <c r="AY2" i="263" s="1"/>
  <c r="AY1" i="263" s="1"/>
  <c r="AZ2" i="263" a="1"/>
  <c r="AZ2" i="263" s="1"/>
  <c r="AZ1" i="263" s="1"/>
  <c r="BA2" i="263" a="1"/>
  <c r="BA2" i="263" s="1"/>
  <c r="BA1" i="263" s="1"/>
  <c r="BB2" i="263" a="1"/>
  <c r="BB2" i="263" s="1"/>
  <c r="BB1" i="263" s="1"/>
  <c r="BC2" i="263" a="1"/>
  <c r="BC2" i="263" s="1"/>
  <c r="BC1" i="263" s="1"/>
  <c r="BD2" i="263" a="1"/>
  <c r="BD2" i="263" s="1"/>
  <c r="BD1" i="263" s="1"/>
  <c r="BE2" i="263" a="1"/>
  <c r="BE2" i="263" s="1"/>
  <c r="BE1" i="263" s="1"/>
  <c r="BF2" i="263" a="1"/>
  <c r="BF2" i="263" s="1"/>
  <c r="BF1" i="263" s="1"/>
  <c r="BG2" i="263" a="1"/>
  <c r="BG2" i="263" s="1"/>
  <c r="BG1" i="263" s="1"/>
  <c r="BH2" i="263" a="1"/>
  <c r="BH2" i="263" s="1"/>
  <c r="BH1" i="263" s="1"/>
  <c r="BI2" i="263" a="1"/>
  <c r="BI2" i="263"/>
  <c r="BI1" i="263" s="1"/>
  <c r="BJ2" i="263" a="1"/>
  <c r="BJ2" i="263" s="1"/>
  <c r="BJ1" i="263" s="1"/>
  <c r="BK2" i="263" a="1"/>
  <c r="BK2" i="263" s="1"/>
  <c r="BK1" i="263" s="1"/>
  <c r="BL2" i="263" a="1"/>
  <c r="BL2" i="263" s="1"/>
  <c r="BL1" i="263" s="1"/>
  <c r="BM2" i="263" a="1"/>
  <c r="BM2" i="263" s="1"/>
  <c r="BM1" i="263" s="1"/>
  <c r="BN2" i="263" a="1"/>
  <c r="BN2" i="263" s="1"/>
  <c r="BN1" i="263" s="1"/>
  <c r="BO2" i="263" a="1"/>
  <c r="BO2" i="263" s="1"/>
  <c r="BO1" i="263" s="1"/>
  <c r="BP2" i="263" a="1"/>
  <c r="BP2" i="263" s="1"/>
  <c r="BP1" i="263" s="1"/>
  <c r="E2" i="263" a="1"/>
  <c r="E2" i="263" s="1"/>
  <c r="E1" i="263" s="1"/>
  <c r="D11" i="262" a="1"/>
  <c r="D11" i="262" s="1"/>
  <c r="D13" i="262" a="1"/>
  <c r="D13" i="262" s="1"/>
  <c r="D15" i="262" a="1"/>
  <c r="D15" i="262" s="1"/>
  <c r="D17" i="262" a="1"/>
  <c r="D17" i="262"/>
  <c r="D19" i="262" a="1"/>
  <c r="D19" i="262" s="1"/>
  <c r="D21" i="262" a="1"/>
  <c r="D21" i="262" s="1"/>
  <c r="D23" i="262" a="1"/>
  <c r="D23" i="262" s="1"/>
  <c r="D25" i="262" a="1"/>
  <c r="D25" i="262"/>
  <c r="D27" i="262" a="1"/>
  <c r="D27" i="262" s="1"/>
  <c r="D29" i="262" a="1"/>
  <c r="D29" i="262" s="1"/>
  <c r="D31" i="262" a="1"/>
  <c r="D31" i="262" s="1"/>
  <c r="D33" i="262" a="1"/>
  <c r="D33" i="262"/>
  <c r="D35" i="262" a="1"/>
  <c r="D35" i="262" s="1"/>
  <c r="D37" i="262" a="1"/>
  <c r="D37" i="262" s="1"/>
  <c r="D39" i="262" a="1"/>
  <c r="D39" i="262" s="1"/>
  <c r="D41" i="262" a="1"/>
  <c r="D41" i="262"/>
  <c r="D43" i="262" a="1"/>
  <c r="D43" i="262" s="1"/>
  <c r="D45" i="262" a="1"/>
  <c r="D45" i="262" s="1"/>
  <c r="D47" i="262" a="1"/>
  <c r="D47" i="262" s="1"/>
  <c r="D49" i="262" a="1"/>
  <c r="D49" i="262"/>
  <c r="D51" i="262" a="1"/>
  <c r="D51" i="262" s="1"/>
  <c r="D53" i="262" a="1"/>
  <c r="D53" i="262" s="1"/>
  <c r="D55" i="262" a="1"/>
  <c r="D55" i="262" s="1"/>
  <c r="D57" i="262" a="1"/>
  <c r="D57" i="262"/>
  <c r="D59" i="262" a="1"/>
  <c r="D59" i="262" s="1"/>
  <c r="D61" i="262" a="1"/>
  <c r="D61" i="262" s="1"/>
  <c r="D63" i="262" a="1"/>
  <c r="D63" i="262" s="1"/>
  <c r="D65" i="262" a="1"/>
  <c r="D65" i="262"/>
  <c r="D67" i="262" a="1"/>
  <c r="D67" i="262" s="1"/>
  <c r="D69" i="262" a="1"/>
  <c r="D69" i="262" s="1"/>
  <c r="D71" i="262" a="1"/>
  <c r="D71" i="262" s="1"/>
  <c r="D73" i="262" a="1"/>
  <c r="D73" i="262"/>
  <c r="D75" i="262" a="1"/>
  <c r="D75" i="262" s="1"/>
  <c r="D77" i="262" a="1"/>
  <c r="D77" i="262" s="1"/>
  <c r="D79" i="262" a="1"/>
  <c r="D79" i="262" s="1"/>
  <c r="D81" i="262" a="1"/>
  <c r="D81" i="262"/>
  <c r="D83" i="262" a="1"/>
  <c r="D83" i="262" s="1"/>
  <c r="D85" i="262" a="1"/>
  <c r="D85" i="262" s="1"/>
  <c r="D87" i="262" a="1"/>
  <c r="D87" i="262" s="1"/>
  <c r="D89" i="262" a="1"/>
  <c r="D89" i="262"/>
  <c r="D91" i="262" a="1"/>
  <c r="D91" i="262" s="1"/>
  <c r="D93" i="262" a="1"/>
  <c r="D93" i="262" s="1"/>
  <c r="D95" i="262" a="1"/>
  <c r="D95" i="262" s="1"/>
  <c r="D97" i="262" a="1"/>
  <c r="D97" i="262"/>
  <c r="D99" i="262" a="1"/>
  <c r="D99" i="262" s="1"/>
  <c r="D101" i="262" a="1"/>
  <c r="D101" i="262" s="1"/>
  <c r="D103" i="262" a="1"/>
  <c r="D103" i="262" s="1"/>
  <c r="D105" i="262" a="1"/>
  <c r="D105" i="262"/>
  <c r="D107" i="262" a="1"/>
  <c r="D107" i="262" s="1"/>
  <c r="D109" i="262" a="1"/>
  <c r="D109" i="262" s="1"/>
  <c r="D111" i="262" a="1"/>
  <c r="D111" i="262" s="1"/>
  <c r="D113" i="262" a="1"/>
  <c r="D113" i="262"/>
  <c r="D115" i="262" a="1"/>
  <c r="D115" i="262" s="1"/>
  <c r="D117" i="262" a="1"/>
  <c r="D117" i="262" s="1"/>
  <c r="D119" i="262" a="1"/>
  <c r="D119" i="262" s="1"/>
  <c r="D121" i="262" a="1"/>
  <c r="D121" i="262"/>
  <c r="D123" i="262" a="1"/>
  <c r="D123" i="262" s="1"/>
  <c r="D125" i="262" a="1"/>
  <c r="D125" i="262" s="1"/>
  <c r="D127" i="262" a="1"/>
  <c r="D127" i="262" s="1"/>
  <c r="D129" i="262" a="1"/>
  <c r="D129" i="262"/>
  <c r="D131" i="262" a="1"/>
  <c r="D131" i="262" s="1"/>
  <c r="D133" i="262" a="1"/>
  <c r="D133" i="262" s="1"/>
  <c r="D135" i="262" a="1"/>
  <c r="D135" i="262" s="1"/>
  <c r="D137" i="262" a="1"/>
  <c r="D137" i="262"/>
  <c r="D139" i="262" a="1"/>
  <c r="D139" i="262" s="1"/>
  <c r="D141" i="262" a="1"/>
  <c r="D141" i="262" s="1"/>
  <c r="D143" i="262" a="1"/>
  <c r="D143" i="262" s="1"/>
  <c r="D145" i="262" a="1"/>
  <c r="D145" i="262"/>
  <c r="D147" i="262" a="1"/>
  <c r="D147" i="262" s="1"/>
  <c r="D149" i="262" a="1"/>
  <c r="D149" i="262" s="1"/>
  <c r="D151" i="262" a="1"/>
  <c r="D151" i="262" s="1"/>
  <c r="D153" i="262" a="1"/>
  <c r="D153" i="262"/>
  <c r="D155" i="262" a="1"/>
  <c r="D155" i="262" s="1"/>
  <c r="D157" i="262" a="1"/>
  <c r="D157" i="262" s="1"/>
  <c r="D159" i="262" a="1"/>
  <c r="D159" i="262" s="1"/>
  <c r="D161" i="262" a="1"/>
  <c r="D161" i="262"/>
  <c r="D163" i="262" a="1"/>
  <c r="D163" i="262" s="1"/>
  <c r="D165" i="262" a="1"/>
  <c r="D165" i="262" s="1"/>
  <c r="D167" i="262" a="1"/>
  <c r="D167" i="262" s="1"/>
  <c r="D169" i="262" a="1"/>
  <c r="D169" i="262"/>
  <c r="D171" i="262" a="1"/>
  <c r="D171" i="262" s="1"/>
  <c r="D173" i="262" a="1"/>
  <c r="D173" i="262" s="1"/>
  <c r="D175" i="262" a="1"/>
  <c r="D175" i="262" s="1"/>
  <c r="D177" i="262" a="1"/>
  <c r="D177" i="262"/>
  <c r="D179" i="262" a="1"/>
  <c r="D179" i="262" s="1"/>
  <c r="D181" i="262" a="1"/>
  <c r="D181" i="262" s="1"/>
  <c r="D183" i="262" a="1"/>
  <c r="D183" i="262" s="1"/>
  <c r="D185" i="262" a="1"/>
  <c r="D185" i="262"/>
  <c r="D187" i="262" a="1"/>
  <c r="D187" i="262" s="1"/>
  <c r="D189" i="262" a="1"/>
  <c r="D189" i="262" s="1"/>
  <c r="D191" i="262" a="1"/>
  <c r="D191" i="262" s="1"/>
  <c r="D193" i="262" a="1"/>
  <c r="D193" i="262"/>
  <c r="D195" i="262" a="1"/>
  <c r="D195" i="262" s="1"/>
  <c r="D197" i="262" a="1"/>
  <c r="D197" i="262" s="1"/>
  <c r="D199" i="262" a="1"/>
  <c r="D199" i="262" s="1"/>
  <c r="D201" i="262" a="1"/>
  <c r="D201" i="262"/>
  <c r="D203" i="262" a="1"/>
  <c r="D203" i="262" s="1"/>
  <c r="D205" i="262" a="1"/>
  <c r="D205" i="262" s="1"/>
  <c r="D207" i="262" a="1"/>
  <c r="D207" i="262" s="1"/>
  <c r="F2" i="262" a="1"/>
  <c r="F2" i="262" s="1"/>
  <c r="F1" i="262" s="1"/>
  <c r="G2" i="262" a="1"/>
  <c r="G2" i="262" s="1"/>
  <c r="G1" i="262" s="1"/>
  <c r="H2" i="262" a="1"/>
  <c r="H2" i="262" s="1"/>
  <c r="H1" i="262" s="1"/>
  <c r="I2" i="262" a="1"/>
  <c r="I2" i="262" s="1"/>
  <c r="I1" i="262" s="1"/>
  <c r="J2" i="262" a="1"/>
  <c r="J2" i="262" s="1"/>
  <c r="J1" i="262" s="1"/>
  <c r="K2" i="262" a="1"/>
  <c r="K2" i="262" s="1"/>
  <c r="K1" i="262" s="1"/>
  <c r="L2" i="262" a="1"/>
  <c r="L2" i="262" s="1"/>
  <c r="L1" i="262" s="1"/>
  <c r="M2" i="262" a="1"/>
  <c r="M2" i="262" s="1"/>
  <c r="M1" i="262" s="1"/>
  <c r="N2" i="262" a="1"/>
  <c r="N2" i="262" s="1"/>
  <c r="N1" i="262" s="1"/>
  <c r="O2" i="262" a="1"/>
  <c r="O2" i="262" s="1"/>
  <c r="O1" i="262" s="1"/>
  <c r="P2" i="262" a="1"/>
  <c r="P2" i="262" s="1"/>
  <c r="P1" i="262" s="1"/>
  <c r="Q2" i="262" a="1"/>
  <c r="Q2" i="262" s="1"/>
  <c r="Q1" i="262" s="1"/>
  <c r="R2" i="262" a="1"/>
  <c r="R2" i="262" s="1"/>
  <c r="R1" i="262" s="1"/>
  <c r="S2" i="262" a="1"/>
  <c r="S2" i="262" s="1"/>
  <c r="S1" i="262" s="1"/>
  <c r="T2" i="262" a="1"/>
  <c r="T2" i="262" s="1"/>
  <c r="T1" i="262" s="1"/>
  <c r="U2" i="262" a="1"/>
  <c r="U2" i="262" s="1"/>
  <c r="U1" i="262" s="1"/>
  <c r="V2" i="262" a="1"/>
  <c r="V2" i="262" s="1"/>
  <c r="V1" i="262" s="1"/>
  <c r="W2" i="262" a="1"/>
  <c r="W2" i="262" s="1"/>
  <c r="W1" i="262" s="1"/>
  <c r="X2" i="262" a="1"/>
  <c r="X2" i="262" s="1"/>
  <c r="X1" i="262" s="1"/>
  <c r="Y2" i="262" a="1"/>
  <c r="Y2" i="262" s="1"/>
  <c r="Y1" i="262" s="1"/>
  <c r="Z2" i="262" a="1"/>
  <c r="Z2" i="262" s="1"/>
  <c r="Z1" i="262" s="1"/>
  <c r="AA2" i="262" a="1"/>
  <c r="AA2" i="262" s="1"/>
  <c r="AA1" i="262" s="1"/>
  <c r="AB2" i="262" a="1"/>
  <c r="AB2" i="262" s="1"/>
  <c r="AB1" i="262" s="1"/>
  <c r="AC2" i="262" a="1"/>
  <c r="AC2" i="262" s="1"/>
  <c r="AC1" i="262" s="1"/>
  <c r="AD2" i="262" a="1"/>
  <c r="AD2" i="262" s="1"/>
  <c r="AD1" i="262" s="1"/>
  <c r="AE2" i="262" a="1"/>
  <c r="AE2" i="262" s="1"/>
  <c r="AE1" i="262" s="1"/>
  <c r="AF2" i="262" a="1"/>
  <c r="AF2" i="262" s="1"/>
  <c r="AF1" i="262" s="1"/>
  <c r="AG2" i="262" a="1"/>
  <c r="AG2" i="262" s="1"/>
  <c r="AG1" i="262" s="1"/>
  <c r="AH2" i="262" a="1"/>
  <c r="AH2" i="262" s="1"/>
  <c r="AH1" i="262" s="1"/>
  <c r="AI2" i="262" a="1"/>
  <c r="AI2" i="262" s="1"/>
  <c r="AI1" i="262" s="1"/>
  <c r="AJ2" i="262" a="1"/>
  <c r="AJ2" i="262" s="1"/>
  <c r="AJ1" i="262" s="1"/>
  <c r="AK2" i="262" a="1"/>
  <c r="AK2" i="262" s="1"/>
  <c r="AK1" i="262" s="1"/>
  <c r="E2" i="262" a="1"/>
  <c r="E2" i="262" s="1"/>
  <c r="E1" i="262" s="1"/>
  <c r="D9" i="262" a="1"/>
  <c r="D9" i="262" s="1"/>
  <c r="B130" i="265"/>
  <c r="B128" i="265"/>
  <c r="B78" i="265" l="1"/>
  <c r="B80" i="265"/>
  <c r="B82" i="265"/>
  <c r="B84" i="265"/>
  <c r="B86" i="265"/>
  <c r="B88" i="265"/>
  <c r="B90" i="265"/>
  <c r="B92" i="265"/>
  <c r="B94" i="265"/>
  <c r="B96" i="265"/>
  <c r="B98" i="265"/>
  <c r="B100" i="265"/>
  <c r="B102" i="265"/>
  <c r="B104" i="265"/>
  <c r="B106" i="265"/>
  <c r="B108" i="265"/>
  <c r="B110" i="265"/>
  <c r="B112" i="265"/>
  <c r="B114" i="265"/>
  <c r="B116" i="265"/>
  <c r="B118" i="265"/>
  <c r="B120" i="265"/>
  <c r="B122" i="265"/>
  <c r="B124" i="265"/>
  <c r="B126" i="265"/>
  <c r="Q132" i="265"/>
  <c r="P132" i="265"/>
  <c r="O132" i="265"/>
  <c r="M132" i="265"/>
  <c r="L132" i="265"/>
  <c r="K132" i="265"/>
  <c r="J132" i="265"/>
  <c r="I132" i="265"/>
  <c r="H9" i="265" l="1"/>
  <c r="H133" i="265" l="1" a="1"/>
  <c r="H133" i="265" s="1"/>
  <c r="H134" i="265" a="1"/>
  <c r="H134" i="265" s="1"/>
  <c r="BG269" i="25"/>
  <c r="BG271" i="25"/>
  <c r="BG273" i="25"/>
  <c r="BG275" i="25"/>
  <c r="BG277" i="25"/>
  <c r="BG279" i="25"/>
  <c r="C9" i="25" l="1"/>
  <c r="B9" i="25"/>
  <c r="B8" i="265" s="1"/>
  <c r="Q9" i="265" l="1"/>
  <c r="AA134" i="265" a="1"/>
  <c r="AA134" i="265" s="1"/>
  <c r="AA133" i="265" a="1"/>
  <c r="AA133" i="265" s="1"/>
  <c r="D8" i="265"/>
  <c r="D767" i="263"/>
  <c r="D765" i="263"/>
  <c r="D763" i="263"/>
  <c r="D761" i="263"/>
  <c r="D759" i="263"/>
  <c r="D757" i="263"/>
  <c r="D755" i="263"/>
  <c r="D753" i="263"/>
  <c r="D751" i="263"/>
  <c r="D749" i="263"/>
  <c r="D747" i="263"/>
  <c r="D745" i="263"/>
  <c r="D743" i="263"/>
  <c r="D741" i="263"/>
  <c r="D739" i="263"/>
  <c r="D737" i="263"/>
  <c r="D735" i="263"/>
  <c r="D733" i="263"/>
  <c r="D731" i="263"/>
  <c r="D729" i="263"/>
  <c r="D727" i="263"/>
  <c r="D725" i="263"/>
  <c r="D723" i="263"/>
  <c r="D721" i="263"/>
  <c r="D719" i="263"/>
  <c r="D717" i="263"/>
  <c r="D715" i="263"/>
  <c r="D713" i="263"/>
  <c r="D711" i="263"/>
  <c r="D709" i="263"/>
  <c r="D707" i="263"/>
  <c r="D705" i="263"/>
  <c r="D703" i="263"/>
  <c r="D701" i="263"/>
  <c r="D699" i="263"/>
  <c r="D697" i="263"/>
  <c r="D695" i="263"/>
  <c r="D693" i="263"/>
  <c r="D691" i="263"/>
  <c r="D689" i="263"/>
  <c r="D687" i="263"/>
  <c r="D685" i="263"/>
  <c r="D683" i="263"/>
  <c r="D681" i="263"/>
  <c r="D679" i="263"/>
  <c r="D677" i="263"/>
  <c r="D675" i="263"/>
  <c r="D673" i="263"/>
  <c r="D671" i="263"/>
  <c r="D669" i="263"/>
  <c r="D667" i="263"/>
  <c r="D665" i="263"/>
  <c r="D663" i="263"/>
  <c r="D661" i="263"/>
  <c r="D659" i="263"/>
  <c r="D657" i="263"/>
  <c r="D655" i="263"/>
  <c r="D653" i="263"/>
  <c r="D651" i="263"/>
  <c r="D649" i="263"/>
  <c r="D647" i="263"/>
  <c r="D645" i="263"/>
  <c r="D643" i="263"/>
  <c r="D641" i="263"/>
  <c r="D639" i="263"/>
  <c r="D637" i="263"/>
  <c r="D635" i="263"/>
  <c r="D633" i="263"/>
  <c r="D631" i="263"/>
  <c r="D629" i="263"/>
  <c r="D627" i="263"/>
  <c r="D625" i="263"/>
  <c r="D623" i="263"/>
  <c r="D621" i="263"/>
  <c r="D619" i="263"/>
  <c r="D617" i="263"/>
  <c r="D615" i="263"/>
  <c r="D613" i="263"/>
  <c r="D611" i="263"/>
  <c r="D609" i="263"/>
  <c r="D607" i="263"/>
  <c r="D605" i="263"/>
  <c r="D603" i="263"/>
  <c r="D601" i="263"/>
  <c r="D599" i="263"/>
  <c r="D597" i="263"/>
  <c r="D595" i="263"/>
  <c r="D593" i="263"/>
  <c r="D591" i="263"/>
  <c r="D589" i="263"/>
  <c r="D587" i="263"/>
  <c r="D585" i="263"/>
  <c r="D583" i="263"/>
  <c r="D581" i="263"/>
  <c r="D579" i="263"/>
  <c r="D577" i="263"/>
  <c r="D575" i="263"/>
  <c r="D573" i="263"/>
  <c r="D571" i="263"/>
  <c r="D569" i="263"/>
  <c r="D567" i="263"/>
  <c r="D565" i="263"/>
  <c r="D563" i="263"/>
  <c r="D561" i="263"/>
  <c r="D559" i="263"/>
  <c r="D557" i="263"/>
  <c r="D555" i="263"/>
  <c r="D553" i="263"/>
  <c r="D551" i="263"/>
  <c r="D549" i="263"/>
  <c r="D547" i="263"/>
  <c r="D545" i="263"/>
  <c r="D543" i="263"/>
  <c r="D541" i="263"/>
  <c r="D539" i="263"/>
  <c r="D537" i="263"/>
  <c r="D535" i="263"/>
  <c r="D533" i="263"/>
  <c r="D531" i="263"/>
  <c r="D529" i="263"/>
  <c r="D527" i="263"/>
  <c r="D525" i="263"/>
  <c r="D523" i="263"/>
  <c r="D521" i="263"/>
  <c r="D519" i="263"/>
  <c r="D517" i="263"/>
  <c r="D515" i="263"/>
  <c r="D513" i="263"/>
  <c r="D511" i="263"/>
  <c r="D509" i="263"/>
  <c r="D507" i="263"/>
  <c r="D505" i="263"/>
  <c r="D503" i="263"/>
  <c r="D501" i="263"/>
  <c r="D499" i="263"/>
  <c r="D497" i="263"/>
  <c r="D495" i="263"/>
  <c r="D493" i="263"/>
  <c r="D491" i="263"/>
  <c r="D489" i="263"/>
  <c r="D487" i="263"/>
  <c r="D485" i="263"/>
  <c r="D483" i="263"/>
  <c r="D481" i="263"/>
  <c r="D479" i="263"/>
  <c r="D477" i="263"/>
  <c r="D475" i="263"/>
  <c r="D473" i="263"/>
  <c r="D471" i="263"/>
  <c r="D469" i="263"/>
  <c r="D467" i="263"/>
  <c r="D465" i="263"/>
  <c r="D463" i="263"/>
  <c r="D461" i="263"/>
  <c r="D459" i="263"/>
  <c r="D457" i="263"/>
  <c r="D455" i="263"/>
  <c r="D453" i="263"/>
  <c r="D451" i="263"/>
  <c r="D449" i="263"/>
  <c r="D447" i="263"/>
  <c r="D445" i="263"/>
  <c r="D443" i="263"/>
  <c r="D441" i="263"/>
  <c r="D439" i="263"/>
  <c r="D437" i="263"/>
  <c r="D435" i="263"/>
  <c r="D433" i="263"/>
  <c r="D431" i="263"/>
  <c r="D429" i="263"/>
  <c r="D427" i="263"/>
  <c r="D425" i="263"/>
  <c r="D423" i="263"/>
  <c r="D421" i="263"/>
  <c r="D419" i="263"/>
  <c r="D417" i="263"/>
  <c r="D415" i="263"/>
  <c r="D413" i="263"/>
  <c r="D411" i="263"/>
  <c r="D409" i="263"/>
  <c r="CT2" i="263"/>
  <c r="CS2" i="263"/>
  <c r="CR2" i="263"/>
  <c r="CR1" i="263" s="1"/>
  <c r="CQ2" i="263"/>
  <c r="CQ1" i="263" s="1"/>
  <c r="CP2" i="263"/>
  <c r="CO2" i="263"/>
  <c r="CN2" i="263"/>
  <c r="CM2" i="263"/>
  <c r="CL2" i="263"/>
  <c r="CL1" i="263" s="1"/>
  <c r="CK2" i="263"/>
  <c r="CK1" i="263" s="1"/>
  <c r="CT1" i="263"/>
  <c r="CS1" i="263"/>
  <c r="CP1" i="263"/>
  <c r="CO1" i="263"/>
  <c r="CN1" i="263"/>
  <c r="CM1" i="263"/>
  <c r="R134" i="265" l="1" a="1"/>
  <c r="R134" i="265" s="1"/>
  <c r="R133" i="265" a="1"/>
  <c r="R133" i="265" s="1"/>
  <c r="U133" i="265" a="1"/>
  <c r="U133" i="265" s="1"/>
  <c r="U134" i="265" a="1"/>
  <c r="U134" i="265" s="1"/>
  <c r="M133" i="265" a="1"/>
  <c r="M133" i="265" s="1"/>
  <c r="M134" i="265" a="1"/>
  <c r="M134" i="265" s="1"/>
  <c r="S133" i="265" a="1"/>
  <c r="S133" i="265" s="1"/>
  <c r="S134" i="265" a="1"/>
  <c r="S134" i="265" s="1"/>
  <c r="N134" i="265" a="1"/>
  <c r="N134" i="265" s="1"/>
  <c r="N133" i="265" a="1"/>
  <c r="N133" i="265" s="1"/>
  <c r="T133" i="265" a="1"/>
  <c r="T133" i="265" s="1"/>
  <c r="T134" i="265" a="1"/>
  <c r="T134" i="265" s="1"/>
  <c r="L134" i="265" a="1"/>
  <c r="L134" i="265" s="1"/>
  <c r="L133" i="265" a="1"/>
  <c r="L133" i="265" s="1"/>
  <c r="AG134" i="265" s="1"/>
  <c r="AG135" i="265" s="1"/>
  <c r="K133" i="265" a="1"/>
  <c r="K133" i="265" s="1"/>
  <c r="K134" i="265" a="1"/>
  <c r="K134" i="265" s="1"/>
  <c r="Q134" i="265" a="1"/>
  <c r="Q134" i="265" s="1"/>
  <c r="Q133" i="265" a="1"/>
  <c r="Q133" i="265" s="1"/>
  <c r="O134" i="265" a="1"/>
  <c r="O134" i="265" s="1"/>
  <c r="O133" i="265" a="1"/>
  <c r="O133" i="265" s="1"/>
  <c r="J134" i="265" a="1"/>
  <c r="J134" i="265" s="1"/>
  <c r="J133" i="265" a="1"/>
  <c r="J133" i="265" s="1"/>
  <c r="I134" i="265" a="1"/>
  <c r="I134" i="265" s="1"/>
  <c r="I133" i="265" a="1"/>
  <c r="I133" i="265" s="1"/>
  <c r="B11" i="25"/>
  <c r="B10" i="265" s="1"/>
  <c r="C11" i="25"/>
  <c r="D11" i="25"/>
  <c r="B13" i="25"/>
  <c r="B12" i="265" s="1"/>
  <c r="C13" i="25"/>
  <c r="D13" i="25"/>
  <c r="B15" i="25"/>
  <c r="B14" i="265" s="1"/>
  <c r="C15" i="25"/>
  <c r="D15" i="25"/>
  <c r="B17" i="25"/>
  <c r="B16" i="265" s="1"/>
  <c r="C17" i="25"/>
  <c r="D17" i="25"/>
  <c r="B19" i="25"/>
  <c r="B18" i="265" s="1"/>
  <c r="C19" i="25"/>
  <c r="D19" i="25"/>
  <c r="B21" i="25"/>
  <c r="B20" i="265" s="1"/>
  <c r="C21" i="25"/>
  <c r="D21" i="25"/>
  <c r="B23" i="25"/>
  <c r="B22" i="265" s="1"/>
  <c r="C23" i="25"/>
  <c r="D23" i="25"/>
  <c r="B25" i="25"/>
  <c r="B24" i="265" s="1"/>
  <c r="C25" i="25"/>
  <c r="D25" i="25"/>
  <c r="B27" i="25"/>
  <c r="B26" i="265" s="1"/>
  <c r="C27" i="25"/>
  <c r="D27" i="25"/>
  <c r="B29" i="25"/>
  <c r="B28" i="265" s="1"/>
  <c r="C29" i="25"/>
  <c r="D29" i="25"/>
  <c r="B31" i="25"/>
  <c r="B30" i="265" s="1"/>
  <c r="C31" i="25"/>
  <c r="D31" i="25"/>
  <c r="B33" i="25"/>
  <c r="B32" i="265" s="1"/>
  <c r="C33" i="25"/>
  <c r="D33" i="25"/>
  <c r="B35" i="25"/>
  <c r="B34" i="265" s="1"/>
  <c r="C35" i="25"/>
  <c r="D35" i="25"/>
  <c r="B37" i="25"/>
  <c r="B36" i="265" s="1"/>
  <c r="C37" i="25"/>
  <c r="D37" i="25"/>
  <c r="B39" i="25"/>
  <c r="B38" i="265" s="1"/>
  <c r="C39" i="25"/>
  <c r="D39" i="25"/>
  <c r="B41" i="25"/>
  <c r="B40" i="265" s="1"/>
  <c r="C41" i="25"/>
  <c r="D41" i="25"/>
  <c r="B43" i="25"/>
  <c r="B42" i="265" s="1"/>
  <c r="C43" i="25"/>
  <c r="D43" i="25"/>
  <c r="B45" i="25"/>
  <c r="B44" i="265" s="1"/>
  <c r="C45" i="25"/>
  <c r="D45" i="25"/>
  <c r="B47" i="25"/>
  <c r="B46" i="265" s="1"/>
  <c r="C47" i="25"/>
  <c r="D47" i="25"/>
  <c r="B49" i="25"/>
  <c r="B48" i="265" s="1"/>
  <c r="C49" i="25"/>
  <c r="D49" i="25"/>
  <c r="B51" i="25"/>
  <c r="B50" i="265" s="1"/>
  <c r="C51" i="25"/>
  <c r="D51" i="25"/>
  <c r="B53" i="25"/>
  <c r="B52" i="265" s="1"/>
  <c r="C53" i="25"/>
  <c r="D53" i="25"/>
  <c r="B55" i="25"/>
  <c r="B54" i="265" s="1"/>
  <c r="C55" i="25"/>
  <c r="D55" i="25"/>
  <c r="B57" i="25"/>
  <c r="B56" i="265" s="1"/>
  <c r="C57" i="25"/>
  <c r="D57" i="25"/>
  <c r="B59" i="25"/>
  <c r="B58" i="265" s="1"/>
  <c r="C59" i="25"/>
  <c r="D59" i="25"/>
  <c r="B61" i="25"/>
  <c r="B60" i="265" s="1"/>
  <c r="C61" i="25"/>
  <c r="D61" i="25"/>
  <c r="B63" i="25"/>
  <c r="B62" i="265" s="1"/>
  <c r="C63" i="25"/>
  <c r="D63" i="25"/>
  <c r="B65" i="25"/>
  <c r="B64" i="265" s="1"/>
  <c r="C65" i="25"/>
  <c r="D65" i="25"/>
  <c r="B67" i="25"/>
  <c r="B66" i="265" s="1"/>
  <c r="C67" i="25"/>
  <c r="D67" i="25"/>
  <c r="B69" i="25"/>
  <c r="B68" i="265" s="1"/>
  <c r="C69" i="25"/>
  <c r="D69" i="25"/>
  <c r="B71" i="25"/>
  <c r="B70" i="265" s="1"/>
  <c r="C71" i="25"/>
  <c r="D71" i="25"/>
  <c r="B73" i="25"/>
  <c r="B72" i="265" s="1"/>
  <c r="C73" i="25"/>
  <c r="D73" i="25"/>
  <c r="B75" i="25"/>
  <c r="B74" i="265" s="1"/>
  <c r="C75" i="25"/>
  <c r="D75" i="25"/>
  <c r="B77" i="25"/>
  <c r="B76" i="265" s="1"/>
  <c r="C77" i="25"/>
  <c r="D77" i="25"/>
  <c r="D767" i="262"/>
  <c r="D765" i="262"/>
  <c r="D763" i="262"/>
  <c r="D761" i="262"/>
  <c r="D759" i="262"/>
  <c r="D757" i="262"/>
  <c r="D755" i="262"/>
  <c r="D753" i="262"/>
  <c r="D751" i="262"/>
  <c r="D749" i="262"/>
  <c r="D747" i="262"/>
  <c r="D745" i="262"/>
  <c r="D743" i="262"/>
  <c r="D741" i="262"/>
  <c r="D739" i="262"/>
  <c r="D737" i="262"/>
  <c r="D735" i="262"/>
  <c r="D733" i="262"/>
  <c r="D731" i="262"/>
  <c r="D729" i="262"/>
  <c r="D727" i="262"/>
  <c r="D725" i="262"/>
  <c r="D723" i="262"/>
  <c r="D721" i="262"/>
  <c r="D719" i="262"/>
  <c r="D717" i="262"/>
  <c r="D715" i="262"/>
  <c r="D713" i="262"/>
  <c r="D711" i="262"/>
  <c r="D709" i="262"/>
  <c r="D707" i="262"/>
  <c r="D705" i="262"/>
  <c r="D703" i="262"/>
  <c r="D701" i="262"/>
  <c r="D699" i="262"/>
  <c r="D697" i="262"/>
  <c r="D695" i="262"/>
  <c r="D693" i="262"/>
  <c r="D691" i="262"/>
  <c r="D689" i="262"/>
  <c r="D687" i="262"/>
  <c r="D685" i="262"/>
  <c r="D683" i="262"/>
  <c r="D681" i="262"/>
  <c r="D679" i="262"/>
  <c r="D677" i="262"/>
  <c r="D675" i="262"/>
  <c r="D673" i="262"/>
  <c r="D671" i="262"/>
  <c r="D669" i="262"/>
  <c r="D667" i="262"/>
  <c r="D665" i="262"/>
  <c r="D663" i="262"/>
  <c r="D661" i="262"/>
  <c r="D659" i="262"/>
  <c r="D657" i="262"/>
  <c r="D655" i="262"/>
  <c r="D653" i="262"/>
  <c r="D651" i="262"/>
  <c r="D649" i="262"/>
  <c r="D647" i="262"/>
  <c r="D645" i="262"/>
  <c r="D643" i="262"/>
  <c r="D641" i="262"/>
  <c r="D639" i="262"/>
  <c r="D637" i="262"/>
  <c r="D635" i="262"/>
  <c r="D633" i="262"/>
  <c r="D631" i="262"/>
  <c r="D629" i="262"/>
  <c r="D627" i="262"/>
  <c r="D625" i="262"/>
  <c r="D623" i="262"/>
  <c r="D621" i="262"/>
  <c r="D619" i="262"/>
  <c r="D617" i="262"/>
  <c r="D615" i="262"/>
  <c r="D613" i="262"/>
  <c r="D611" i="262"/>
  <c r="D609" i="262"/>
  <c r="D607" i="262"/>
  <c r="D605" i="262"/>
  <c r="D603" i="262"/>
  <c r="D601" i="262"/>
  <c r="D599" i="262"/>
  <c r="D597" i="262"/>
  <c r="D595" i="262"/>
  <c r="D593" i="262"/>
  <c r="D591" i="262"/>
  <c r="D589" i="262"/>
  <c r="D587" i="262"/>
  <c r="D585" i="262"/>
  <c r="D583" i="262"/>
  <c r="D581" i="262"/>
  <c r="D579" i="262"/>
  <c r="D577" i="262"/>
  <c r="D575" i="262"/>
  <c r="D573" i="262"/>
  <c r="D571" i="262"/>
  <c r="D569" i="262"/>
  <c r="D567" i="262"/>
  <c r="D565" i="262"/>
  <c r="D563" i="262"/>
  <c r="D561" i="262"/>
  <c r="D559" i="262"/>
  <c r="D557" i="262"/>
  <c r="D555" i="262"/>
  <c r="D553" i="262"/>
  <c r="D551" i="262"/>
  <c r="D549" i="262"/>
  <c r="D547" i="262"/>
  <c r="D545" i="262"/>
  <c r="D543" i="262"/>
  <c r="D541" i="262"/>
  <c r="D539" i="262"/>
  <c r="D537" i="262"/>
  <c r="D535" i="262"/>
  <c r="D533" i="262"/>
  <c r="D531" i="262"/>
  <c r="D529" i="262"/>
  <c r="D527" i="262"/>
  <c r="D525" i="262"/>
  <c r="D523" i="262"/>
  <c r="D521" i="262"/>
  <c r="D519" i="262"/>
  <c r="D517" i="262"/>
  <c r="D515" i="262"/>
  <c r="D513" i="262"/>
  <c r="D511" i="262"/>
  <c r="D509" i="262"/>
  <c r="D507" i="262"/>
  <c r="D505" i="262"/>
  <c r="D503" i="262"/>
  <c r="D501" i="262"/>
  <c r="D499" i="262"/>
  <c r="D497" i="262"/>
  <c r="D495" i="262"/>
  <c r="D493" i="262"/>
  <c r="D491" i="262"/>
  <c r="D489" i="262"/>
  <c r="D487" i="262"/>
  <c r="D485" i="262"/>
  <c r="D483" i="262"/>
  <c r="D481" i="262"/>
  <c r="D479" i="262"/>
  <c r="D477" i="262"/>
  <c r="D475" i="262"/>
  <c r="D473" i="262"/>
  <c r="D471" i="262"/>
  <c r="D469" i="262"/>
  <c r="D467" i="262"/>
  <c r="D465" i="262"/>
  <c r="D463" i="262"/>
  <c r="D461" i="262"/>
  <c r="D459" i="262"/>
  <c r="D457" i="262"/>
  <c r="D455" i="262"/>
  <c r="D453" i="262"/>
  <c r="D451" i="262"/>
  <c r="D449" i="262"/>
  <c r="D447" i="262"/>
  <c r="D445" i="262"/>
  <c r="D443" i="262"/>
  <c r="D441" i="262"/>
  <c r="D439" i="262"/>
  <c r="D437" i="262"/>
  <c r="D435" i="262"/>
  <c r="D433" i="262"/>
  <c r="D431" i="262"/>
  <c r="D429" i="262"/>
  <c r="D427" i="262"/>
  <c r="D425" i="262"/>
  <c r="D423" i="262"/>
  <c r="D421" i="262"/>
  <c r="D419" i="262"/>
  <c r="D417" i="262"/>
  <c r="D415" i="262"/>
  <c r="D413" i="262"/>
  <c r="D411" i="262"/>
  <c r="D409" i="262"/>
  <c r="D407" i="262"/>
  <c r="D405" i="262"/>
  <c r="D403" i="262"/>
  <c r="D401" i="262"/>
  <c r="D399" i="262"/>
  <c r="D397" i="262"/>
  <c r="D395" i="262"/>
  <c r="D393" i="262"/>
  <c r="D391" i="262"/>
  <c r="D389" i="262"/>
  <c r="D387" i="262"/>
  <c r="D385" i="262"/>
  <c r="D383" i="262"/>
  <c r="D381" i="262"/>
  <c r="D379" i="262"/>
  <c r="D377" i="262"/>
  <c r="D375" i="262"/>
  <c r="D373" i="262"/>
  <c r="D371" i="262"/>
  <c r="D369" i="262"/>
  <c r="D367" i="262"/>
  <c r="D365" i="262"/>
  <c r="D363" i="262"/>
  <c r="D361" i="262"/>
  <c r="D359" i="262"/>
  <c r="D357" i="262"/>
  <c r="D355" i="262"/>
  <c r="D353" i="262"/>
  <c r="D351" i="262"/>
  <c r="D349" i="262"/>
  <c r="D347" i="262"/>
  <c r="D345" i="262"/>
  <c r="D343" i="262"/>
  <c r="D341" i="262"/>
  <c r="D339" i="262"/>
  <c r="D337" i="262"/>
  <c r="D335" i="262"/>
  <c r="D333" i="262"/>
  <c r="D331" i="262"/>
  <c r="D329" i="262"/>
  <c r="D327" i="262"/>
  <c r="D325" i="262"/>
  <c r="D323" i="262"/>
  <c r="D321" i="262"/>
  <c r="D319" i="262"/>
  <c r="D317" i="262"/>
  <c r="D315" i="262"/>
  <c r="D313" i="262"/>
  <c r="D311" i="262"/>
  <c r="D309" i="262"/>
  <c r="D307" i="262"/>
  <c r="D305" i="262"/>
  <c r="D303" i="262"/>
  <c r="D301" i="262"/>
  <c r="D299" i="262"/>
  <c r="D297" i="262"/>
  <c r="D295" i="262"/>
  <c r="D293" i="262"/>
  <c r="D291" i="262"/>
  <c r="D289" i="262"/>
  <c r="D287" i="262"/>
  <c r="D285" i="262"/>
  <c r="D283" i="262"/>
  <c r="D281" i="262"/>
  <c r="D279" i="262"/>
  <c r="D277" i="262"/>
  <c r="D275" i="262"/>
  <c r="D273" i="262"/>
  <c r="D271" i="262"/>
  <c r="D269" i="262"/>
  <c r="D267" i="262"/>
  <c r="D265" i="262"/>
  <c r="D263" i="262"/>
  <c r="D261" i="262"/>
  <c r="D259" i="262"/>
  <c r="D257" i="262"/>
  <c r="D255" i="262"/>
  <c r="D253" i="262"/>
  <c r="D251" i="262"/>
  <c r="D249" i="262"/>
  <c r="D247" i="262"/>
  <c r="D245" i="262"/>
  <c r="D243" i="262"/>
  <c r="D241" i="262"/>
  <c r="D239" i="262"/>
  <c r="D237" i="262"/>
  <c r="D235" i="262"/>
  <c r="D233" i="262"/>
  <c r="D231" i="262"/>
  <c r="D229" i="262"/>
  <c r="D227" i="262"/>
  <c r="D225" i="262"/>
  <c r="D223" i="262"/>
  <c r="D221" i="262"/>
  <c r="D219" i="262"/>
  <c r="D217" i="262"/>
  <c r="D215" i="262"/>
  <c r="D213" i="262"/>
  <c r="D211" i="262"/>
  <c r="D209" i="262"/>
  <c r="AI37" i="25" l="1"/>
  <c r="AJ37" i="25" s="1" a="1"/>
  <c r="AJ37" i="25" s="1"/>
  <c r="AL37" i="25" s="1"/>
  <c r="BD37" i="25"/>
  <c r="AN37" i="25"/>
  <c r="BD63" i="25"/>
  <c r="AN63" i="25"/>
  <c r="AI63" i="25"/>
  <c r="AJ63" i="25" s="1" a="1"/>
  <c r="AJ63" i="25" s="1"/>
  <c r="AL63" i="25" s="1"/>
  <c r="BD47" i="25"/>
  <c r="AN47" i="25"/>
  <c r="AI47" i="25"/>
  <c r="AJ47" i="25" s="1" a="1"/>
  <c r="AJ47" i="25" s="1"/>
  <c r="AL47" i="25" s="1"/>
  <c r="BD31" i="25"/>
  <c r="AN31" i="25"/>
  <c r="AI31" i="25"/>
  <c r="AJ31" i="25" s="1" a="1"/>
  <c r="AJ31" i="25" s="1"/>
  <c r="AL31" i="25" s="1"/>
  <c r="BD15" i="25"/>
  <c r="AN15" i="25"/>
  <c r="AI15" i="25"/>
  <c r="AJ15" i="25" s="1" a="1"/>
  <c r="AJ15" i="25" s="1"/>
  <c r="AL15" i="25" s="1"/>
  <c r="AN73" i="25"/>
  <c r="BD73" i="25"/>
  <c r="AI73" i="25"/>
  <c r="AJ73" i="25" s="1" a="1"/>
  <c r="AJ73" i="25" s="1"/>
  <c r="AL73" i="25" s="1"/>
  <c r="AN57" i="25"/>
  <c r="AI57" i="25"/>
  <c r="AJ57" i="25" s="1" a="1"/>
  <c r="AJ57" i="25" s="1"/>
  <c r="AL57" i="25" s="1"/>
  <c r="BD57" i="25"/>
  <c r="AN41" i="25"/>
  <c r="BD41" i="25"/>
  <c r="AI41" i="25"/>
  <c r="AJ41" i="25" s="1" a="1"/>
  <c r="AJ41" i="25" s="1"/>
  <c r="AL41" i="25" s="1"/>
  <c r="AN25" i="25"/>
  <c r="BD25" i="25"/>
  <c r="AI25" i="25"/>
  <c r="AJ25" i="25" s="1" a="1"/>
  <c r="AJ25" i="25" s="1"/>
  <c r="AL25" i="25" s="1"/>
  <c r="AI21" i="25"/>
  <c r="AJ21" i="25" s="1" a="1"/>
  <c r="AJ21" i="25" s="1"/>
  <c r="AL21" i="25" s="1"/>
  <c r="BD21" i="25"/>
  <c r="AN21" i="25"/>
  <c r="AI67" i="25"/>
  <c r="AJ67" i="25" s="1" a="1"/>
  <c r="AJ67" i="25" s="1"/>
  <c r="AL67" i="25" s="1"/>
  <c r="BD67" i="25"/>
  <c r="AN67" i="25"/>
  <c r="AI35" i="25"/>
  <c r="AJ35" i="25" s="1" a="1"/>
  <c r="AJ35" i="25" s="1"/>
  <c r="AL35" i="25" s="1"/>
  <c r="BD35" i="25"/>
  <c r="AN35" i="25"/>
  <c r="AI77" i="25"/>
  <c r="AJ77" i="25" s="1" a="1"/>
  <c r="AJ77" i="25" s="1"/>
  <c r="AL77" i="25" s="1"/>
  <c r="BD77" i="25"/>
  <c r="AN77" i="25"/>
  <c r="AI61" i="25"/>
  <c r="AJ61" i="25" s="1" a="1"/>
  <c r="AJ61" i="25" s="1"/>
  <c r="AL61" i="25" s="1"/>
  <c r="BD61" i="25"/>
  <c r="AN61" i="25"/>
  <c r="AI45" i="25"/>
  <c r="AJ45" i="25" s="1" a="1"/>
  <c r="AJ45" i="25" s="1"/>
  <c r="AL45" i="25" s="1"/>
  <c r="BD45" i="25"/>
  <c r="AN45" i="25"/>
  <c r="AI29" i="25"/>
  <c r="AJ29" i="25" s="1" a="1"/>
  <c r="AJ29" i="25" s="1"/>
  <c r="AL29" i="25" s="1"/>
  <c r="BD29" i="25"/>
  <c r="AN29" i="25"/>
  <c r="AI13" i="25"/>
  <c r="AJ13" i="25" s="1" a="1"/>
  <c r="AJ13" i="25" s="1"/>
  <c r="AL13" i="25" s="1"/>
  <c r="BD13" i="25"/>
  <c r="AN13" i="25"/>
  <c r="AI53" i="25"/>
  <c r="AJ53" i="25" s="1" a="1"/>
  <c r="AJ53" i="25" s="1"/>
  <c r="AL53" i="25" s="1"/>
  <c r="BD53" i="25"/>
  <c r="AN53" i="25"/>
  <c r="AI19" i="25"/>
  <c r="AJ19" i="25" s="1" a="1"/>
  <c r="AJ19" i="25" s="1"/>
  <c r="AL19" i="25" s="1"/>
  <c r="BD19" i="25"/>
  <c r="AN19" i="25"/>
  <c r="BD55" i="25"/>
  <c r="AN55" i="25"/>
  <c r="AI55" i="25"/>
  <c r="AJ55" i="25" s="1" a="1"/>
  <c r="AJ55" i="25" s="1"/>
  <c r="AL55" i="25" s="1"/>
  <c r="BD39" i="25"/>
  <c r="AN39" i="25"/>
  <c r="AI39" i="25"/>
  <c r="AJ39" i="25" s="1" a="1"/>
  <c r="AJ39" i="25" s="1"/>
  <c r="AL39" i="25" s="1"/>
  <c r="BD23" i="25"/>
  <c r="AN23" i="25"/>
  <c r="AI23" i="25"/>
  <c r="AJ23" i="25" s="1" a="1"/>
  <c r="AJ23" i="25" s="1"/>
  <c r="AL23" i="25" s="1"/>
  <c r="AN65" i="25"/>
  <c r="BD65" i="25"/>
  <c r="AI65" i="25"/>
  <c r="AJ65" i="25" s="1" a="1"/>
  <c r="AJ65" i="25" s="1"/>
  <c r="AL65" i="25" s="1"/>
  <c r="AN49" i="25"/>
  <c r="AI49" i="25"/>
  <c r="AJ49" i="25" s="1" a="1"/>
  <c r="AJ49" i="25" s="1"/>
  <c r="AL49" i="25" s="1"/>
  <c r="BD49" i="25"/>
  <c r="AN33" i="25"/>
  <c r="AI33" i="25"/>
  <c r="AJ33" i="25" s="1" a="1"/>
  <c r="AJ33" i="25" s="1"/>
  <c r="AL33" i="25" s="1"/>
  <c r="BD33" i="25"/>
  <c r="AN17" i="25"/>
  <c r="BD17" i="25"/>
  <c r="AI17" i="25"/>
  <c r="AJ17" i="25" s="1" a="1"/>
  <c r="AJ17" i="25" s="1"/>
  <c r="AL17" i="25" s="1"/>
  <c r="AI69" i="25"/>
  <c r="AJ69" i="25" s="1" a="1"/>
  <c r="AJ69" i="25" s="1"/>
  <c r="AL69" i="25" s="1"/>
  <c r="BD69" i="25"/>
  <c r="AN69" i="25"/>
  <c r="AI51" i="25"/>
  <c r="AJ51" i="25" s="1" a="1"/>
  <c r="AJ51" i="25" s="1"/>
  <c r="AL51" i="25" s="1"/>
  <c r="BD51" i="25"/>
  <c r="AN51" i="25"/>
  <c r="AN71" i="25"/>
  <c r="AI71" i="25"/>
  <c r="AJ71" i="25" s="1" a="1"/>
  <c r="AJ71" i="25" s="1"/>
  <c r="AL71" i="25" s="1"/>
  <c r="BD71" i="25"/>
  <c r="AI75" i="25"/>
  <c r="AJ75" i="25" s="1" a="1"/>
  <c r="AJ75" i="25" s="1"/>
  <c r="AL75" i="25" s="1"/>
  <c r="BD75" i="25"/>
  <c r="AN75" i="25"/>
  <c r="AI59" i="25"/>
  <c r="AJ59" i="25" s="1" a="1"/>
  <c r="AJ59" i="25" s="1"/>
  <c r="AL59" i="25" s="1"/>
  <c r="BD59" i="25"/>
  <c r="AN59" i="25"/>
  <c r="AI43" i="25"/>
  <c r="AJ43" i="25" s="1" a="1"/>
  <c r="AJ43" i="25" s="1"/>
  <c r="AL43" i="25" s="1"/>
  <c r="BD43" i="25"/>
  <c r="AN43" i="25"/>
  <c r="AI27" i="25"/>
  <c r="AJ27" i="25" s="1" a="1"/>
  <c r="AJ27" i="25" s="1"/>
  <c r="AL27" i="25" s="1"/>
  <c r="BD27" i="25"/>
  <c r="AN27" i="25"/>
  <c r="AI11" i="25"/>
  <c r="AJ11" i="25" s="1" a="1"/>
  <c r="AJ11" i="25" s="1"/>
  <c r="AL11" i="25" s="1"/>
  <c r="BD11" i="25"/>
  <c r="AN11" i="25"/>
  <c r="G9" i="265"/>
  <c r="G133" i="265" l="1" a="1"/>
  <c r="G133" i="265" s="1"/>
  <c r="G134" i="265" a="1"/>
  <c r="G134" i="265" s="1"/>
  <c r="D9" i="25"/>
  <c r="P133" i="265" l="1" a="1"/>
  <c r="P133" i="265" s="1"/>
  <c r="P134" i="265" a="1"/>
  <c r="P134" i="265" s="1"/>
  <c r="D79" i="25"/>
  <c r="D81" i="25"/>
  <c r="D83" i="25"/>
  <c r="D85" i="25"/>
  <c r="D87" i="25"/>
  <c r="D89" i="25"/>
  <c r="D91" i="25"/>
  <c r="D93" i="25"/>
  <c r="D95" i="25"/>
  <c r="D97" i="25"/>
  <c r="D99" i="25"/>
  <c r="D101" i="25"/>
  <c r="D103" i="25"/>
  <c r="D105" i="25"/>
  <c r="D107" i="25"/>
  <c r="D109" i="25"/>
  <c r="D111" i="25"/>
  <c r="D113" i="25"/>
  <c r="D115" i="25"/>
  <c r="D117" i="25"/>
  <c r="D119" i="25"/>
  <c r="D121" i="25"/>
  <c r="AN81" i="25" l="1"/>
  <c r="AI81" i="25"/>
  <c r="AJ81" i="25" s="1" a="1"/>
  <c r="AJ81" i="25" s="1"/>
  <c r="AL81" i="25" s="1"/>
  <c r="BD81" i="25"/>
  <c r="AN111" i="25"/>
  <c r="AI111" i="25"/>
  <c r="AJ111" i="25" s="1" a="1"/>
  <c r="AJ111" i="25" s="1"/>
  <c r="AL111" i="25" s="1"/>
  <c r="BD111" i="25"/>
  <c r="AN79" i="25"/>
  <c r="AI79" i="25"/>
  <c r="AJ79" i="25" s="1" a="1"/>
  <c r="AJ79" i="25" s="1"/>
  <c r="AL79" i="25" s="1"/>
  <c r="AL270" i="25" s="1" a="1"/>
  <c r="AL270" i="25" s="1"/>
  <c r="F281" i="25" s="1"/>
  <c r="F283" i="25" s="1"/>
  <c r="F284" i="25" s="1"/>
  <c r="BD79" i="25"/>
  <c r="D270" i="25" a="1"/>
  <c r="D270" i="25" s="1"/>
  <c r="F282" i="25" s="1"/>
  <c r="AI107" i="25"/>
  <c r="AJ107" i="25" s="1" a="1"/>
  <c r="AJ107" i="25" s="1"/>
  <c r="AL107" i="25" s="1"/>
  <c r="AN107" i="25"/>
  <c r="BD107" i="25"/>
  <c r="AI91" i="25"/>
  <c r="AJ91" i="25" s="1" a="1"/>
  <c r="AJ91" i="25" s="1"/>
  <c r="AL91" i="25" s="1"/>
  <c r="AN91" i="25"/>
  <c r="BD91" i="25"/>
  <c r="AN121" i="25"/>
  <c r="BD121" i="25"/>
  <c r="AI121" i="25"/>
  <c r="AJ121" i="25" s="1" a="1"/>
  <c r="AJ121" i="25" s="1"/>
  <c r="AL121" i="25" s="1"/>
  <c r="AN105" i="25"/>
  <c r="BD105" i="25"/>
  <c r="AI105" i="25"/>
  <c r="AJ105" i="25" s="1" a="1"/>
  <c r="AJ105" i="25" s="1"/>
  <c r="AL105" i="25" s="1"/>
  <c r="AN89" i="25"/>
  <c r="AI89" i="25"/>
  <c r="AJ89" i="25" s="1" a="1"/>
  <c r="AJ89" i="25" s="1"/>
  <c r="AL89" i="25" s="1"/>
  <c r="BD89" i="25"/>
  <c r="AN113" i="25"/>
  <c r="BD113" i="25"/>
  <c r="AI113" i="25"/>
  <c r="AJ113" i="25" s="1" a="1"/>
  <c r="AJ113" i="25" s="1"/>
  <c r="AL113" i="25" s="1"/>
  <c r="AN97" i="25"/>
  <c r="BD97" i="25"/>
  <c r="AI97" i="25"/>
  <c r="AJ97" i="25" s="1" a="1"/>
  <c r="AJ97" i="25" s="1"/>
  <c r="AL97" i="25" s="1"/>
  <c r="AN95" i="25"/>
  <c r="AI95" i="25"/>
  <c r="AJ95" i="25" s="1" a="1"/>
  <c r="AJ95" i="25" s="1"/>
  <c r="AL95" i="25" s="1"/>
  <c r="BD95" i="25"/>
  <c r="AI109" i="25"/>
  <c r="AJ109" i="25" s="1" a="1"/>
  <c r="AJ109" i="25" s="1"/>
  <c r="AL109" i="25" s="1"/>
  <c r="AN109" i="25"/>
  <c r="BD109" i="25"/>
  <c r="AI93" i="25"/>
  <c r="AJ93" i="25" s="1" a="1"/>
  <c r="AJ93" i="25" s="1"/>
  <c r="AL93" i="25" s="1"/>
  <c r="AN93" i="25"/>
  <c r="BD93" i="25"/>
  <c r="AN119" i="25"/>
  <c r="AI119" i="25"/>
  <c r="AJ119" i="25" s="1" a="1"/>
  <c r="AJ119" i="25" s="1"/>
  <c r="AL119" i="25" s="1"/>
  <c r="BD119" i="25"/>
  <c r="AN103" i="25"/>
  <c r="AI103" i="25"/>
  <c r="AJ103" i="25" s="1" a="1"/>
  <c r="AJ103" i="25" s="1"/>
  <c r="AL103" i="25" s="1"/>
  <c r="BD103" i="25"/>
  <c r="AN87" i="25"/>
  <c r="AI87" i="25"/>
  <c r="AJ87" i="25" s="1" a="1"/>
  <c r="AJ87" i="25" s="1"/>
  <c r="AL87" i="25" s="1"/>
  <c r="BD87" i="25"/>
  <c r="AI117" i="25"/>
  <c r="AJ117" i="25" s="1" a="1"/>
  <c r="AJ117" i="25" s="1"/>
  <c r="AL117" i="25" s="1"/>
  <c r="AN117" i="25"/>
  <c r="BD117" i="25"/>
  <c r="AI101" i="25"/>
  <c r="AJ101" i="25" s="1" a="1"/>
  <c r="AJ101" i="25" s="1"/>
  <c r="AL101" i="25" s="1"/>
  <c r="AN101" i="25"/>
  <c r="BD101" i="25"/>
  <c r="AI85" i="25"/>
  <c r="AJ85" i="25" s="1" a="1"/>
  <c r="AJ85" i="25" s="1"/>
  <c r="AL85" i="25" s="1"/>
  <c r="BD85" i="25"/>
  <c r="AN85" i="25"/>
  <c r="AI115" i="25"/>
  <c r="AJ115" i="25" s="1" a="1"/>
  <c r="AJ115" i="25" s="1"/>
  <c r="AL115" i="25" s="1"/>
  <c r="AN115" i="25"/>
  <c r="BD115" i="25"/>
  <c r="AI99" i="25"/>
  <c r="AJ99" i="25" s="1" a="1"/>
  <c r="AJ99" i="25" s="1"/>
  <c r="AL99" i="25" s="1"/>
  <c r="AN99" i="25"/>
  <c r="BD99" i="25"/>
  <c r="AI83" i="25"/>
  <c r="AJ83" i="25" s="1" a="1"/>
  <c r="AJ83" i="25" s="1"/>
  <c r="AL83" i="25" s="1"/>
  <c r="AN83" i="25"/>
  <c r="BD83" i="25"/>
  <c r="AB282" i="25"/>
  <c r="F969" i="143" l="1"/>
  <c r="R932" i="143"/>
  <c r="F932" i="143"/>
  <c r="R895" i="143"/>
  <c r="F895" i="143"/>
  <c r="R858" i="143"/>
  <c r="F858" i="143"/>
  <c r="R821" i="143"/>
  <c r="F821" i="143"/>
  <c r="R784" i="143"/>
  <c r="F784" i="143"/>
  <c r="R747" i="143"/>
  <c r="F747" i="143"/>
  <c r="R710" i="143"/>
  <c r="F710" i="143"/>
  <c r="R673" i="143"/>
  <c r="F673" i="143"/>
  <c r="R636" i="143"/>
  <c r="F636" i="143"/>
  <c r="R599" i="143"/>
  <c r="F599" i="143"/>
  <c r="R562" i="143"/>
  <c r="F562" i="143"/>
  <c r="R525" i="143"/>
  <c r="F525" i="143"/>
  <c r="R488" i="143"/>
  <c r="F488" i="143"/>
  <c r="R451" i="143"/>
  <c r="F451" i="143"/>
  <c r="R414" i="143"/>
  <c r="F414" i="143"/>
  <c r="R377" i="143"/>
  <c r="F377" i="143"/>
  <c r="R340" i="143"/>
  <c r="F340" i="143"/>
  <c r="R303" i="143"/>
  <c r="F303" i="143"/>
  <c r="R266" i="143"/>
  <c r="F266" i="143"/>
  <c r="R229" i="143"/>
  <c r="F229" i="143"/>
  <c r="R192" i="143"/>
  <c r="F192" i="143"/>
  <c r="R155" i="143"/>
  <c r="F155" i="143"/>
  <c r="R118" i="143"/>
  <c r="F118" i="143"/>
  <c r="R81" i="143"/>
  <c r="F81" i="143"/>
  <c r="R44" i="143"/>
  <c r="F44" i="143"/>
  <c r="R6" i="143"/>
  <c r="F6" i="143"/>
  <c r="R934" i="143"/>
  <c r="F934" i="143"/>
  <c r="AZ290" i="25" l="1"/>
  <c r="AZ288" i="25"/>
  <c r="AY286" i="25"/>
  <c r="AZ286" i="25" s="1"/>
  <c r="AY284" i="25"/>
  <c r="AZ284" i="25" s="1"/>
  <c r="AY282" i="25"/>
  <c r="AZ282" i="25" s="1"/>
  <c r="AY280" i="25"/>
  <c r="AZ280" i="25" s="1"/>
  <c r="AY278" i="25"/>
  <c r="AZ278" i="25" s="1"/>
  <c r="AY276" i="25"/>
  <c r="AZ276" i="25" s="1"/>
  <c r="AY274" i="25"/>
  <c r="AZ274" i="25" s="1"/>
  <c r="AY272" i="25"/>
  <c r="AZ272" i="25" s="1"/>
  <c r="AY270" i="25"/>
  <c r="AZ270" i="25" s="1"/>
  <c r="Y9" i="265" l="1"/>
  <c r="X9" i="265"/>
  <c r="Z134" i="265" l="1" a="1"/>
  <c r="Z134" i="265" s="1"/>
  <c r="Z133" i="265" a="1"/>
  <c r="Z133" i="265" s="1"/>
  <c r="X133" i="265" a="1"/>
  <c r="X133" i="265" s="1"/>
  <c r="X134" i="265" a="1"/>
  <c r="X134" i="265" s="1"/>
  <c r="Y134" i="265" a="1"/>
  <c r="Y134" i="265" s="1"/>
  <c r="Y133" i="265" a="1"/>
  <c r="Y133" i="265" s="1"/>
  <c r="AD282" i="25"/>
  <c r="O12" i="143"/>
  <c r="O13" i="143"/>
  <c r="O18" i="143"/>
  <c r="C49" i="143"/>
  <c r="C50" i="143"/>
  <c r="C53" i="143"/>
  <c r="O50" i="143"/>
  <c r="O51" i="143"/>
  <c r="O56" i="143"/>
  <c r="O53" i="143"/>
  <c r="C88" i="143"/>
  <c r="C90" i="143"/>
  <c r="O87" i="143"/>
  <c r="O93" i="143"/>
  <c r="C124" i="143"/>
  <c r="C125" i="143"/>
  <c r="C127" i="143"/>
  <c r="O124" i="143"/>
  <c r="O125" i="143"/>
  <c r="O130" i="143"/>
  <c r="O127" i="143"/>
  <c r="C161" i="143"/>
  <c r="C162" i="143"/>
  <c r="C167" i="143"/>
  <c r="C164" i="143"/>
  <c r="O161" i="143"/>
  <c r="O162" i="143"/>
  <c r="O167" i="143"/>
  <c r="C198" i="143"/>
  <c r="C199" i="143"/>
  <c r="C204" i="143"/>
  <c r="C201" i="143"/>
  <c r="O199" i="143"/>
  <c r="O204" i="143"/>
  <c r="O201" i="143"/>
  <c r="C235" i="143"/>
  <c r="C236" i="143"/>
  <c r="C238" i="143"/>
  <c r="O235" i="143"/>
  <c r="O236" i="143"/>
  <c r="O241" i="143"/>
  <c r="C271" i="143"/>
  <c r="C272" i="143"/>
  <c r="C273" i="143"/>
  <c r="C275" i="143"/>
  <c r="O271" i="143"/>
  <c r="O272" i="143"/>
  <c r="O273" i="143"/>
  <c r="O278" i="143"/>
  <c r="O275" i="143"/>
  <c r="C309" i="143"/>
  <c r="C310" i="143"/>
  <c r="O309" i="143"/>
  <c r="O310" i="143"/>
  <c r="O315" i="143"/>
  <c r="C345" i="143"/>
  <c r="C346" i="143"/>
  <c r="C347" i="143"/>
  <c r="C349" i="143"/>
  <c r="O346" i="143"/>
  <c r="O347" i="143"/>
  <c r="O349" i="143"/>
  <c r="C383" i="143"/>
  <c r="C384" i="143"/>
  <c r="C389" i="143"/>
  <c r="C386" i="143"/>
  <c r="O382" i="143"/>
  <c r="O383" i="143"/>
  <c r="O384" i="143"/>
  <c r="O389" i="143"/>
  <c r="C420" i="143"/>
  <c r="C421" i="143"/>
  <c r="C426" i="143"/>
  <c r="C423" i="143"/>
  <c r="O420" i="143"/>
  <c r="O421" i="143"/>
  <c r="O423" i="143"/>
  <c r="C456" i="143"/>
  <c r="C457" i="143"/>
  <c r="C460" i="143"/>
  <c r="O456" i="143"/>
  <c r="O457" i="143"/>
  <c r="O458" i="143"/>
  <c r="O463" i="143"/>
  <c r="C494" i="143"/>
  <c r="C495" i="143"/>
  <c r="C497" i="143"/>
  <c r="O493" i="143"/>
  <c r="O495" i="143"/>
  <c r="O500" i="143"/>
  <c r="O497" i="143"/>
  <c r="C531" i="143"/>
  <c r="C532" i="143"/>
  <c r="O532" i="143"/>
  <c r="O537" i="143"/>
  <c r="O534" i="143"/>
  <c r="C567" i="143"/>
  <c r="O568" i="143"/>
  <c r="O569" i="143"/>
  <c r="O574" i="143"/>
  <c r="O571" i="143"/>
  <c r="C608" i="143"/>
  <c r="O605" i="143"/>
  <c r="O606" i="143"/>
  <c r="O611" i="143"/>
  <c r="C642" i="143"/>
  <c r="C643" i="143"/>
  <c r="C645" i="143"/>
  <c r="O642" i="143"/>
  <c r="O643" i="143"/>
  <c r="O645" i="143"/>
  <c r="C685" i="143"/>
  <c r="C682" i="143"/>
  <c r="O679" i="143"/>
  <c r="O680" i="143"/>
  <c r="O685" i="143"/>
  <c r="C715" i="143"/>
  <c r="C716" i="143"/>
  <c r="C717" i="143"/>
  <c r="C722" i="143"/>
  <c r="C719" i="143"/>
  <c r="O716" i="143"/>
  <c r="O717" i="143"/>
  <c r="O719" i="143"/>
  <c r="C753" i="143"/>
  <c r="C754" i="143"/>
  <c r="C278" i="143"/>
  <c r="C605" i="143"/>
  <c r="C756" i="143"/>
  <c r="C571" i="143"/>
  <c r="O752" i="143"/>
  <c r="C789" i="143"/>
  <c r="O796" i="143"/>
  <c r="C15" i="143"/>
  <c r="C458" i="143"/>
  <c r="O789" i="143"/>
  <c r="C833" i="143"/>
  <c r="O754" i="143"/>
  <c r="O759" i="143"/>
  <c r="O756" i="143"/>
  <c r="C790" i="143"/>
  <c r="C791" i="143"/>
  <c r="O791" i="143"/>
  <c r="C828" i="143"/>
  <c r="O828" i="143"/>
  <c r="O833" i="143"/>
  <c r="C863" i="143"/>
  <c r="C864" i="143"/>
  <c r="C870" i="143"/>
  <c r="C867" i="143"/>
  <c r="C866" i="143"/>
  <c r="C865" i="143"/>
  <c r="F857" i="143"/>
  <c r="F856" i="143"/>
  <c r="O829" i="143"/>
  <c r="R820" i="143"/>
  <c r="R819" i="143"/>
  <c r="C829" i="143"/>
  <c r="F820" i="143"/>
  <c r="F819" i="143"/>
  <c r="O792" i="143"/>
  <c r="R783" i="143"/>
  <c r="R782" i="143"/>
  <c r="C792" i="143"/>
  <c r="F783" i="143"/>
  <c r="F782" i="143"/>
  <c r="O755" i="143"/>
  <c r="R746" i="143"/>
  <c r="R745" i="143"/>
  <c r="C755" i="143"/>
  <c r="F746" i="143"/>
  <c r="F745" i="143"/>
  <c r="O718" i="143"/>
  <c r="R709" i="143"/>
  <c r="R708" i="143"/>
  <c r="F709" i="143"/>
  <c r="F708" i="143"/>
  <c r="O681" i="143"/>
  <c r="R672" i="143"/>
  <c r="R671" i="143"/>
  <c r="C681" i="143"/>
  <c r="F672" i="143"/>
  <c r="F671" i="143"/>
  <c r="O644" i="143"/>
  <c r="R635" i="143"/>
  <c r="R634" i="143"/>
  <c r="C644" i="143"/>
  <c r="F635" i="143"/>
  <c r="F634" i="143"/>
  <c r="O607" i="143"/>
  <c r="R598" i="143"/>
  <c r="R597" i="143"/>
  <c r="C607" i="143"/>
  <c r="F598" i="143"/>
  <c r="F597" i="143"/>
  <c r="O570" i="143"/>
  <c r="R561" i="143"/>
  <c r="R560" i="143"/>
  <c r="C570" i="143"/>
  <c r="F561" i="143"/>
  <c r="F560" i="143"/>
  <c r="O533" i="143"/>
  <c r="R524" i="143"/>
  <c r="R523" i="143"/>
  <c r="C533" i="143"/>
  <c r="F524" i="143"/>
  <c r="F523" i="143"/>
  <c r="O496" i="143"/>
  <c r="R487" i="143"/>
  <c r="R486" i="143"/>
  <c r="C496" i="143"/>
  <c r="F487" i="143"/>
  <c r="F486" i="143"/>
  <c r="O459" i="143"/>
  <c r="R450" i="143"/>
  <c r="R449" i="143"/>
  <c r="C459" i="143"/>
  <c r="F450" i="143"/>
  <c r="F449" i="143"/>
  <c r="O422" i="143"/>
  <c r="R413" i="143"/>
  <c r="R412" i="143"/>
  <c r="C422" i="143"/>
  <c r="F413" i="143"/>
  <c r="F412" i="143"/>
  <c r="O385" i="143"/>
  <c r="R376" i="143"/>
  <c r="R375" i="143"/>
  <c r="C385" i="143"/>
  <c r="F376" i="143"/>
  <c r="F375" i="143"/>
  <c r="O348" i="143"/>
  <c r="R339" i="143"/>
  <c r="R338" i="143"/>
  <c r="C348" i="143"/>
  <c r="F339" i="143"/>
  <c r="F338" i="143"/>
  <c r="O311" i="143"/>
  <c r="R302" i="143"/>
  <c r="R301" i="143"/>
  <c r="C311" i="143"/>
  <c r="F302" i="143"/>
  <c r="F301" i="143"/>
  <c r="O274" i="143"/>
  <c r="R265" i="143"/>
  <c r="R264" i="143"/>
  <c r="C274" i="143"/>
  <c r="F265" i="143"/>
  <c r="F264" i="143"/>
  <c r="O237" i="143"/>
  <c r="R228" i="143"/>
  <c r="R227" i="143"/>
  <c r="C237" i="143"/>
  <c r="F228" i="143"/>
  <c r="F227" i="143"/>
  <c r="O200" i="143"/>
  <c r="R191" i="143"/>
  <c r="R190" i="143"/>
  <c r="C200" i="143"/>
  <c r="F191" i="143"/>
  <c r="F190" i="143"/>
  <c r="O163" i="143"/>
  <c r="R154" i="143"/>
  <c r="R153" i="143"/>
  <c r="C163" i="143"/>
  <c r="F154" i="143"/>
  <c r="F153" i="143"/>
  <c r="O126" i="143"/>
  <c r="R117" i="143"/>
  <c r="R116" i="143"/>
  <c r="C126" i="143"/>
  <c r="F117" i="143"/>
  <c r="F116" i="143"/>
  <c r="O89" i="143"/>
  <c r="R80" i="143"/>
  <c r="R79" i="143"/>
  <c r="C89" i="143"/>
  <c r="F80" i="143"/>
  <c r="F79" i="143"/>
  <c r="O52" i="143"/>
  <c r="R43" i="143"/>
  <c r="R42" i="143"/>
  <c r="C52" i="143"/>
  <c r="F43" i="143"/>
  <c r="F42" i="143"/>
  <c r="O14" i="143"/>
  <c r="R5" i="143"/>
  <c r="R4" i="143"/>
  <c r="C14" i="143"/>
  <c r="F5" i="143"/>
  <c r="F4" i="143"/>
  <c r="T1180" i="143"/>
  <c r="T1179" i="143"/>
  <c r="T1178" i="143"/>
  <c r="T1177" i="143"/>
  <c r="H1177" i="143"/>
  <c r="T1176" i="143"/>
  <c r="H1176" i="143"/>
  <c r="T1175" i="143"/>
  <c r="H1175" i="143"/>
  <c r="X1163" i="143"/>
  <c r="L1163" i="143"/>
  <c r="X1159" i="143"/>
  <c r="U1159" i="143"/>
  <c r="U1163" i="143" s="1"/>
  <c r="L1159" i="143"/>
  <c r="I1159" i="143"/>
  <c r="T1140" i="143"/>
  <c r="H1140" i="143"/>
  <c r="T1139" i="143"/>
  <c r="H1139" i="143"/>
  <c r="T1138" i="143"/>
  <c r="H1138" i="143"/>
  <c r="X1126" i="143"/>
  <c r="L1126" i="143"/>
  <c r="X1122" i="143"/>
  <c r="U1122" i="143"/>
  <c r="U1126" i="143" s="1"/>
  <c r="L1122" i="143"/>
  <c r="I1122" i="143"/>
  <c r="T1103" i="143"/>
  <c r="H1103" i="143"/>
  <c r="T1102" i="143"/>
  <c r="H1102" i="143"/>
  <c r="T1101" i="143"/>
  <c r="H1101" i="143"/>
  <c r="X1089" i="143"/>
  <c r="L1089" i="143"/>
  <c r="X1085" i="143"/>
  <c r="U1085" i="143"/>
  <c r="U1089" i="143" s="1"/>
  <c r="L1085" i="143"/>
  <c r="I1085" i="143"/>
  <c r="I1089" i="143" s="1"/>
  <c r="T1066" i="143"/>
  <c r="H1066" i="143"/>
  <c r="T1065" i="143"/>
  <c r="H1065" i="143"/>
  <c r="T1064" i="143"/>
  <c r="H1064" i="143"/>
  <c r="X1052" i="143"/>
  <c r="L1052" i="143"/>
  <c r="X1048" i="143"/>
  <c r="U1048" i="143"/>
  <c r="U1047" i="143" s="1"/>
  <c r="L1048" i="143"/>
  <c r="I1048" i="143"/>
  <c r="I1047" i="143" s="1"/>
  <c r="T1029" i="143"/>
  <c r="H1029" i="143"/>
  <c r="T1028" i="143"/>
  <c r="H1028" i="143"/>
  <c r="T1027" i="143"/>
  <c r="H1027" i="143"/>
  <c r="X1015" i="143"/>
  <c r="L1015" i="143"/>
  <c r="X1011" i="143"/>
  <c r="U1011" i="143"/>
  <c r="U1015" i="143" s="1"/>
  <c r="L1011" i="143"/>
  <c r="I1011" i="143"/>
  <c r="I1015" i="143" s="1"/>
  <c r="T992" i="143"/>
  <c r="H992" i="143"/>
  <c r="T991" i="143"/>
  <c r="H991" i="143"/>
  <c r="T990" i="143"/>
  <c r="H990" i="143"/>
  <c r="X978" i="143"/>
  <c r="L978" i="143"/>
  <c r="X974" i="143"/>
  <c r="U974" i="143"/>
  <c r="U973" i="143" s="1"/>
  <c r="L974" i="143"/>
  <c r="I974" i="143"/>
  <c r="I973" i="143" s="1"/>
  <c r="T955" i="143"/>
  <c r="H955" i="143"/>
  <c r="T954" i="143"/>
  <c r="H954" i="143"/>
  <c r="T953" i="143"/>
  <c r="H953" i="143"/>
  <c r="X941" i="143"/>
  <c r="L941" i="143"/>
  <c r="X937" i="143"/>
  <c r="U937" i="143"/>
  <c r="U936" i="143" s="1"/>
  <c r="L937" i="143"/>
  <c r="I937" i="143"/>
  <c r="I936" i="143" s="1"/>
  <c r="T918" i="143"/>
  <c r="H918" i="143"/>
  <c r="T917" i="143"/>
  <c r="H917" i="143"/>
  <c r="T916" i="143"/>
  <c r="H916" i="143"/>
  <c r="U900" i="143"/>
  <c r="U899" i="143" s="1"/>
  <c r="I900" i="143"/>
  <c r="I904" i="143" s="1"/>
  <c r="T881" i="143"/>
  <c r="T880" i="143"/>
  <c r="T879" i="143"/>
  <c r="U863" i="143"/>
  <c r="U862" i="143" s="1"/>
  <c r="AL5" i="25"/>
  <c r="AN5" i="25" s="1"/>
  <c r="AN284" i="25"/>
  <c r="AN285" i="25" s="1"/>
  <c r="I874" i="143"/>
  <c r="I1121" i="143"/>
  <c r="I899" i="143"/>
  <c r="I1126" i="143"/>
  <c r="I1163" i="143"/>
  <c r="I1158" i="143"/>
  <c r="I1084" i="143"/>
  <c r="U1084" i="143"/>
  <c r="C312" i="143"/>
  <c r="C796" i="143"/>
  <c r="O826" i="143"/>
  <c r="C827" i="143"/>
  <c r="O830" i="143"/>
  <c r="C830" i="143"/>
  <c r="O753" i="143"/>
  <c r="O827" i="143"/>
  <c r="U837" i="143"/>
  <c r="O790" i="143"/>
  <c r="C793" i="143"/>
  <c r="C11" i="143"/>
  <c r="O793" i="143"/>
  <c r="O198" i="143"/>
  <c r="C826" i="143"/>
  <c r="U800" i="143"/>
  <c r="U763" i="143"/>
  <c r="I837" i="143"/>
  <c r="I800" i="143"/>
  <c r="C679" i="143"/>
  <c r="C534" i="143"/>
  <c r="C234" i="143"/>
  <c r="O197" i="143"/>
  <c r="O345" i="143"/>
  <c r="AB133" i="265" l="1" a="1"/>
  <c r="AB133" i="265" s="1"/>
  <c r="AB134" i="265" a="1"/>
  <c r="AB134" i="265" s="1"/>
  <c r="U941" i="143"/>
  <c r="I1052" i="143"/>
  <c r="T1031" i="143"/>
  <c r="H1142" i="143"/>
  <c r="T1105" i="143"/>
  <c r="AE282" i="25"/>
  <c r="U904" i="143"/>
  <c r="U867" i="143"/>
  <c r="I978" i="143"/>
  <c r="L1168" i="143"/>
  <c r="I1171" i="143" s="1"/>
  <c r="T883" i="143"/>
  <c r="T920" i="143"/>
  <c r="T957" i="143"/>
  <c r="X1094" i="143"/>
  <c r="U1097" i="143" s="1"/>
  <c r="H1068" i="143"/>
  <c r="L1094" i="143"/>
  <c r="I1097" i="143" s="1"/>
  <c r="U1052" i="143"/>
  <c r="X1057" i="143" s="1"/>
  <c r="U1060" i="143" s="1"/>
  <c r="H994" i="143"/>
  <c r="H1031" i="143"/>
  <c r="U1158" i="143"/>
  <c r="X1131" i="143"/>
  <c r="U1134" i="143" s="1"/>
  <c r="X1168" i="143"/>
  <c r="U1171" i="143" s="1"/>
  <c r="H957" i="143"/>
  <c r="U1121" i="143"/>
  <c r="U1010" i="143"/>
  <c r="I941" i="143"/>
  <c r="L946" i="143" s="1"/>
  <c r="I949" i="143" s="1"/>
  <c r="X946" i="143"/>
  <c r="U949" i="143" s="1"/>
  <c r="T994" i="143"/>
  <c r="H1105" i="143"/>
  <c r="L1131" i="143"/>
  <c r="I1134" i="143" s="1"/>
  <c r="C13" i="143"/>
  <c r="H842" i="143"/>
  <c r="T806" i="143"/>
  <c r="C641" i="143"/>
  <c r="U726" i="143"/>
  <c r="C718" i="143"/>
  <c r="H731" i="143" s="1"/>
  <c r="O567" i="143"/>
  <c r="O312" i="143"/>
  <c r="I60" i="143"/>
  <c r="U652" i="143"/>
  <c r="I245" i="143"/>
  <c r="I689" i="143"/>
  <c r="I652" i="143"/>
  <c r="U615" i="143"/>
  <c r="U541" i="143"/>
  <c r="I430" i="143"/>
  <c r="U319" i="143"/>
  <c r="O641" i="143"/>
  <c r="T658" i="143" s="1"/>
  <c r="C419" i="143"/>
  <c r="I467" i="143"/>
  <c r="U97" i="143"/>
  <c r="C352" i="143"/>
  <c r="C130" i="143"/>
  <c r="I763" i="143"/>
  <c r="U467" i="143"/>
  <c r="U282" i="143"/>
  <c r="I356" i="143"/>
  <c r="C648" i="143"/>
  <c r="C568" i="143"/>
  <c r="O419" i="143"/>
  <c r="C123" i="143"/>
  <c r="H474" i="143"/>
  <c r="C197" i="143"/>
  <c r="I134" i="143"/>
  <c r="I171" i="143"/>
  <c r="O238" i="143"/>
  <c r="H843" i="143"/>
  <c r="I541" i="143"/>
  <c r="H807" i="143"/>
  <c r="O715" i="143"/>
  <c r="C56" i="143"/>
  <c r="U689" i="143"/>
  <c r="U208" i="143"/>
  <c r="C569" i="143"/>
  <c r="U245" i="143"/>
  <c r="O123" i="143"/>
  <c r="T139" i="143" s="1"/>
  <c r="T843" i="143"/>
  <c r="C752" i="143"/>
  <c r="T805" i="143"/>
  <c r="I726" i="143"/>
  <c r="I615" i="143"/>
  <c r="I393" i="143"/>
  <c r="U60" i="143"/>
  <c r="U578" i="143"/>
  <c r="C241" i="143"/>
  <c r="U504" i="143"/>
  <c r="U393" i="143"/>
  <c r="I282" i="143"/>
  <c r="T361" i="143"/>
  <c r="H287" i="143"/>
  <c r="T213" i="143"/>
  <c r="O530" i="143"/>
  <c r="C315" i="143"/>
  <c r="C678" i="143"/>
  <c r="C86" i="143"/>
  <c r="C530" i="143"/>
  <c r="C604" i="143"/>
  <c r="O648" i="143"/>
  <c r="O160" i="143"/>
  <c r="T176" i="143" s="1"/>
  <c r="O234" i="143"/>
  <c r="O86" i="143"/>
  <c r="O386" i="143"/>
  <c r="O90" i="143"/>
  <c r="C759" i="143"/>
  <c r="C463" i="143"/>
  <c r="C93" i="143"/>
  <c r="O722" i="143"/>
  <c r="O678" i="143"/>
  <c r="T695" i="143" s="1"/>
  <c r="O308" i="143"/>
  <c r="C537" i="143"/>
  <c r="O682" i="143"/>
  <c r="C611" i="143"/>
  <c r="C308" i="143"/>
  <c r="C382" i="143"/>
  <c r="O460" i="143"/>
  <c r="O164" i="143"/>
  <c r="H879" i="143"/>
  <c r="T842" i="143"/>
  <c r="T214" i="143"/>
  <c r="H472" i="143"/>
  <c r="H250" i="143"/>
  <c r="T844" i="143"/>
  <c r="T472" i="143"/>
  <c r="H473" i="143"/>
  <c r="H844" i="143"/>
  <c r="T289" i="143"/>
  <c r="T287" i="143"/>
  <c r="T288" i="143"/>
  <c r="T362" i="143"/>
  <c r="H361" i="143"/>
  <c r="O15" i="143"/>
  <c r="U978" i="143"/>
  <c r="X983" i="143" s="1"/>
  <c r="U986" i="143" s="1"/>
  <c r="H880" i="143"/>
  <c r="C12" i="143"/>
  <c r="H806" i="143"/>
  <c r="C500" i="143"/>
  <c r="C18" i="143"/>
  <c r="C680" i="143"/>
  <c r="O608" i="143"/>
  <c r="O604" i="143"/>
  <c r="C606" i="143"/>
  <c r="C493" i="143"/>
  <c r="T473" i="143"/>
  <c r="C160" i="143"/>
  <c r="O88" i="143"/>
  <c r="H920" i="143"/>
  <c r="L983" i="143"/>
  <c r="I986" i="143" s="1"/>
  <c r="T1142" i="143"/>
  <c r="H805" i="143"/>
  <c r="T770" i="143"/>
  <c r="T769" i="143"/>
  <c r="T768" i="143"/>
  <c r="O49" i="143"/>
  <c r="C51" i="143"/>
  <c r="O11" i="143"/>
  <c r="I1010" i="143"/>
  <c r="L1020" i="143"/>
  <c r="I1023" i="143" s="1"/>
  <c r="C574" i="143"/>
  <c r="O426" i="143"/>
  <c r="O352" i="143"/>
  <c r="C87" i="143"/>
  <c r="T363" i="143"/>
  <c r="H288" i="143"/>
  <c r="L1057" i="143"/>
  <c r="I1060" i="143" s="1"/>
  <c r="T1068" i="143"/>
  <c r="H1179" i="143"/>
  <c r="O494" i="143"/>
  <c r="T807" i="143"/>
  <c r="H252" i="143"/>
  <c r="H881" i="143"/>
  <c r="H251" i="143"/>
  <c r="H289" i="143"/>
  <c r="T215" i="143"/>
  <c r="H362" i="143"/>
  <c r="H363" i="143"/>
  <c r="X1020" i="143"/>
  <c r="U1023" i="143" s="1"/>
  <c r="T400" i="143"/>
  <c r="T399" i="143"/>
  <c r="T398" i="143"/>
  <c r="T474" i="143"/>
  <c r="U430" i="143"/>
  <c r="I97" i="143"/>
  <c r="O531" i="143"/>
  <c r="I504" i="143"/>
  <c r="U356" i="143"/>
  <c r="I319" i="143"/>
  <c r="I208" i="143"/>
  <c r="U171" i="143"/>
  <c r="U134" i="143"/>
  <c r="AE133" i="265" l="1" a="1"/>
  <c r="AE133" i="265" s="1"/>
  <c r="AE134" i="265" a="1"/>
  <c r="AE134" i="265" s="1"/>
  <c r="AL134" i="265" a="1"/>
  <c r="AL134" i="265" s="1"/>
  <c r="AH134" i="265" s="1"/>
  <c r="AH135" i="265" s="1"/>
  <c r="I22" i="143"/>
  <c r="H436" i="143"/>
  <c r="H846" i="143"/>
  <c r="H883" i="143"/>
  <c r="T809" i="143"/>
  <c r="H769" i="143"/>
  <c r="T659" i="143"/>
  <c r="H324" i="143"/>
  <c r="H140" i="143"/>
  <c r="T325" i="143"/>
  <c r="H732" i="143"/>
  <c r="H400" i="143"/>
  <c r="H659" i="143"/>
  <c r="H214" i="143"/>
  <c r="H657" i="143"/>
  <c r="H658" i="143"/>
  <c r="H733" i="143"/>
  <c r="H398" i="143"/>
  <c r="H620" i="143"/>
  <c r="H585" i="143"/>
  <c r="T694" i="143"/>
  <c r="H584" i="143"/>
  <c r="H546" i="143"/>
  <c r="T731" i="143"/>
  <c r="T140" i="143"/>
  <c r="T326" i="143"/>
  <c r="T657" i="143"/>
  <c r="H548" i="143"/>
  <c r="T141" i="143"/>
  <c r="T732" i="143"/>
  <c r="T585" i="143"/>
  <c r="H399" i="143"/>
  <c r="H476" i="143"/>
  <c r="H583" i="143"/>
  <c r="T583" i="143"/>
  <c r="H213" i="143"/>
  <c r="T584" i="143"/>
  <c r="H141" i="143"/>
  <c r="H139" i="143"/>
  <c r="H437" i="143"/>
  <c r="H435" i="143"/>
  <c r="H770" i="143"/>
  <c r="T365" i="143"/>
  <c r="T178" i="143"/>
  <c r="H768" i="143"/>
  <c r="T437" i="143"/>
  <c r="T733" i="143"/>
  <c r="T435" i="143"/>
  <c r="H215" i="143"/>
  <c r="T177" i="143"/>
  <c r="T436" i="143"/>
  <c r="T846" i="143"/>
  <c r="H325" i="143"/>
  <c r="H326" i="143"/>
  <c r="T696" i="143"/>
  <c r="T250" i="143"/>
  <c r="T251" i="143"/>
  <c r="T324" i="143"/>
  <c r="T252" i="143"/>
  <c r="H695" i="143"/>
  <c r="H694" i="143"/>
  <c r="H547" i="143"/>
  <c r="H254" i="143"/>
  <c r="T476" i="143"/>
  <c r="T217" i="143"/>
  <c r="H291" i="143"/>
  <c r="T104" i="143"/>
  <c r="T772" i="143"/>
  <c r="T291" i="143"/>
  <c r="T510" i="143"/>
  <c r="T511" i="143"/>
  <c r="T509" i="143"/>
  <c r="H621" i="143"/>
  <c r="T103" i="143"/>
  <c r="H696" i="143"/>
  <c r="H622" i="143"/>
  <c r="H177" i="143"/>
  <c r="H178" i="143"/>
  <c r="H176" i="143"/>
  <c r="H511" i="143"/>
  <c r="H509" i="143"/>
  <c r="H510" i="143"/>
  <c r="T621" i="143"/>
  <c r="T620" i="143"/>
  <c r="T622" i="143"/>
  <c r="T102" i="143"/>
  <c r="H809" i="143"/>
  <c r="H365" i="143"/>
  <c r="T548" i="143"/>
  <c r="T547" i="143"/>
  <c r="T546" i="143"/>
  <c r="I578" i="143"/>
  <c r="U22" i="143"/>
  <c r="T402" i="143"/>
  <c r="J136" i="265" a="1"/>
  <c r="J136" i="265" l="1"/>
  <c r="H772" i="143"/>
  <c r="H550" i="143"/>
  <c r="T661" i="143"/>
  <c r="T698" i="143"/>
  <c r="H587" i="143"/>
  <c r="H735" i="143"/>
  <c r="H661" i="143"/>
  <c r="H217" i="143"/>
  <c r="H143" i="143"/>
  <c r="H402" i="143"/>
  <c r="T143" i="143"/>
  <c r="T587" i="143"/>
  <c r="H328" i="143"/>
  <c r="T328" i="143"/>
  <c r="T180" i="143"/>
  <c r="T735" i="143"/>
  <c r="H439" i="143"/>
  <c r="T439" i="143"/>
  <c r="H698" i="143"/>
  <c r="T254" i="143"/>
  <c r="H624" i="143"/>
  <c r="T624" i="143"/>
  <c r="H180" i="143"/>
  <c r="T513" i="143"/>
  <c r="H513" i="143"/>
  <c r="T106" i="143"/>
  <c r="T550" i="143"/>
  <c r="I306" i="143" l="1"/>
  <c r="I861" i="143"/>
  <c r="I863" i="143" s="1"/>
  <c r="U787" i="143"/>
  <c r="U789" i="143" s="1"/>
  <c r="U269" i="143"/>
  <c r="U750" i="143"/>
  <c r="U793" i="143" l="1"/>
  <c r="I308" i="143"/>
  <c r="I312" i="143"/>
  <c r="U380" i="143"/>
  <c r="I787" i="143"/>
  <c r="U343" i="143"/>
  <c r="U713" i="143"/>
  <c r="U306" i="143"/>
  <c r="I491" i="143"/>
  <c r="U47" i="143"/>
  <c r="U417" i="143"/>
  <c r="I343" i="143"/>
  <c r="I380" i="143"/>
  <c r="U528" i="143"/>
  <c r="I862" i="143"/>
  <c r="I867" i="143"/>
  <c r="U788" i="143"/>
  <c r="I750" i="143"/>
  <c r="I639" i="143"/>
  <c r="U756" i="143"/>
  <c r="U752" i="143"/>
  <c r="U158" i="143"/>
  <c r="AB280" i="25" l="1"/>
  <c r="AB281" i="25" s="1"/>
  <c r="AB283" i="25" s="1"/>
  <c r="R897" i="143"/>
  <c r="F897" i="143"/>
  <c r="R860" i="143"/>
  <c r="R46" i="143"/>
  <c r="F8" i="143"/>
  <c r="R8" i="143"/>
  <c r="F268" i="143"/>
  <c r="F749" i="143"/>
  <c r="R749" i="143"/>
  <c r="F786" i="143"/>
  <c r="R712" i="143"/>
  <c r="F823" i="143"/>
  <c r="R823" i="143"/>
  <c r="F860" i="143"/>
  <c r="R786" i="143"/>
  <c r="F83" i="143"/>
  <c r="R83" i="143"/>
  <c r="F46" i="143"/>
  <c r="R120" i="143"/>
  <c r="F157" i="143"/>
  <c r="R157" i="143"/>
  <c r="F120" i="143"/>
  <c r="R194" i="143"/>
  <c r="F231" i="143"/>
  <c r="R231" i="143"/>
  <c r="F194" i="143"/>
  <c r="R268" i="143"/>
  <c r="F305" i="143"/>
  <c r="R305" i="143"/>
  <c r="F342" i="143"/>
  <c r="R342" i="143"/>
  <c r="F379" i="143"/>
  <c r="R379" i="143"/>
  <c r="F416" i="143"/>
  <c r="R416" i="143"/>
  <c r="F453" i="143"/>
  <c r="R453" i="143"/>
  <c r="F490" i="143"/>
  <c r="R490" i="143"/>
  <c r="F527" i="143"/>
  <c r="R527" i="143"/>
  <c r="F564" i="143"/>
  <c r="R564" i="143"/>
  <c r="F601" i="143"/>
  <c r="R601" i="143"/>
  <c r="F638" i="143"/>
  <c r="R638" i="143"/>
  <c r="F675" i="143"/>
  <c r="R675" i="143"/>
  <c r="F712" i="143"/>
  <c r="I307" i="143"/>
  <c r="U386" i="143"/>
  <c r="U382" i="143"/>
  <c r="U534" i="143"/>
  <c r="I756" i="143"/>
  <c r="U49" i="143"/>
  <c r="I121" i="143"/>
  <c r="U84" i="143"/>
  <c r="U565" i="143"/>
  <c r="I565" i="143"/>
  <c r="I824" i="143"/>
  <c r="I826" i="143" s="1"/>
  <c r="U454" i="143"/>
  <c r="U824" i="143"/>
  <c r="U826" i="143" s="1"/>
  <c r="U719" i="143"/>
  <c r="I382" i="143"/>
  <c r="U423" i="143"/>
  <c r="U53" i="143"/>
  <c r="I386" i="143"/>
  <c r="U715" i="143"/>
  <c r="U602" i="143"/>
  <c r="U530" i="143"/>
  <c r="I417" i="143"/>
  <c r="I528" i="143"/>
  <c r="I195" i="143"/>
  <c r="U312" i="143"/>
  <c r="U419" i="143"/>
  <c r="I454" i="143"/>
  <c r="I602" i="143"/>
  <c r="I84" i="143"/>
  <c r="I269" i="143"/>
  <c r="I345" i="143"/>
  <c r="U308" i="143"/>
  <c r="I349" i="143"/>
  <c r="I232" i="143"/>
  <c r="I493" i="143"/>
  <c r="U345" i="143"/>
  <c r="U349" i="143"/>
  <c r="I497" i="143"/>
  <c r="U275" i="143"/>
  <c r="U271" i="143"/>
  <c r="I752" i="143"/>
  <c r="I793" i="143"/>
  <c r="I645" i="143"/>
  <c r="I789" i="143"/>
  <c r="I641" i="143"/>
  <c r="U751" i="143"/>
  <c r="U160" i="143"/>
  <c r="U164" i="143"/>
  <c r="AB284" i="25" l="1"/>
  <c r="X645" i="143"/>
  <c r="X641" i="143"/>
  <c r="X423" i="143"/>
  <c r="X419" i="143"/>
  <c r="X201" i="143"/>
  <c r="X197" i="143"/>
  <c r="X719" i="143"/>
  <c r="X715" i="143"/>
  <c r="L423" i="143"/>
  <c r="L419" i="143"/>
  <c r="L127" i="143"/>
  <c r="L123" i="143"/>
  <c r="L793" i="143"/>
  <c r="L789" i="143"/>
  <c r="X608" i="143"/>
  <c r="X604" i="143"/>
  <c r="X382" i="143"/>
  <c r="X386" i="143"/>
  <c r="X164" i="143"/>
  <c r="X160" i="143"/>
  <c r="X756" i="143"/>
  <c r="X752" i="143"/>
  <c r="L608" i="143"/>
  <c r="L604" i="143"/>
  <c r="L386" i="143"/>
  <c r="L382" i="143"/>
  <c r="L164" i="143"/>
  <c r="L160" i="143"/>
  <c r="L756" i="143"/>
  <c r="L752" i="143"/>
  <c r="X571" i="143"/>
  <c r="X567" i="143"/>
  <c r="X349" i="143"/>
  <c r="X345" i="143"/>
  <c r="X127" i="143"/>
  <c r="X123" i="143"/>
  <c r="L271" i="143"/>
  <c r="L275" i="143"/>
  <c r="L567" i="143"/>
  <c r="L571" i="143"/>
  <c r="L345" i="143"/>
  <c r="L349" i="143"/>
  <c r="L49" i="143"/>
  <c r="L53" i="143"/>
  <c r="H65" i="143"/>
  <c r="H66" i="143"/>
  <c r="H67" i="143"/>
  <c r="T29" i="143"/>
  <c r="T28" i="143"/>
  <c r="T27" i="143"/>
  <c r="X15" i="143"/>
  <c r="X11" i="143"/>
  <c r="X534" i="143"/>
  <c r="X530" i="143"/>
  <c r="X312" i="143"/>
  <c r="X308" i="143"/>
  <c r="X90" i="143"/>
  <c r="X86" i="143"/>
  <c r="I1160" i="143"/>
  <c r="U1013" i="143"/>
  <c r="U1051" i="143"/>
  <c r="I1018" i="143"/>
  <c r="U866" i="143"/>
  <c r="I1161" i="143"/>
  <c r="I790" i="143"/>
  <c r="U273" i="143"/>
  <c r="I200" i="143"/>
  <c r="I458" i="143"/>
  <c r="I309" i="143"/>
  <c r="U237" i="143"/>
  <c r="I754" i="143"/>
  <c r="U161" i="143"/>
  <c r="I459" i="143"/>
  <c r="U495" i="143"/>
  <c r="U569" i="143"/>
  <c r="U605" i="143"/>
  <c r="I901" i="143"/>
  <c r="U52" i="143"/>
  <c r="I1051" i="143"/>
  <c r="U1049" i="143"/>
  <c r="I1014" i="143"/>
  <c r="U14" i="143"/>
  <c r="I1166" i="143"/>
  <c r="I722" i="143"/>
  <c r="I273" i="143"/>
  <c r="I274" i="143"/>
  <c r="L15" i="143"/>
  <c r="I272" i="143"/>
  <c r="U311" i="143"/>
  <c r="I716" i="143"/>
  <c r="I161" i="143"/>
  <c r="I533" i="143"/>
  <c r="I494" i="143"/>
  <c r="U716" i="143"/>
  <c r="I347" i="143"/>
  <c r="I605" i="143"/>
  <c r="U458" i="143"/>
  <c r="U383" i="143"/>
  <c r="U235" i="143"/>
  <c r="I938" i="143"/>
  <c r="I1088" i="143"/>
  <c r="U1166" i="143"/>
  <c r="I1013" i="143"/>
  <c r="I1012" i="143"/>
  <c r="U827" i="143"/>
  <c r="U126" i="143"/>
  <c r="U685" i="143"/>
  <c r="U236" i="143"/>
  <c r="I348" i="143"/>
  <c r="I278" i="143"/>
  <c r="I204" i="143"/>
  <c r="U385" i="143"/>
  <c r="U679" i="143"/>
  <c r="U124" i="143"/>
  <c r="I607" i="143"/>
  <c r="I426" i="143"/>
  <c r="U717" i="143"/>
  <c r="I421" i="143"/>
  <c r="U1012" i="143"/>
  <c r="I1162" i="143"/>
  <c r="U1162" i="143"/>
  <c r="I976" i="143"/>
  <c r="I981" i="143"/>
  <c r="I827" i="143"/>
  <c r="U200" i="143"/>
  <c r="I685" i="143"/>
  <c r="I235" i="143"/>
  <c r="I422" i="143"/>
  <c r="I717" i="143"/>
  <c r="U162" i="143"/>
  <c r="U459" i="143"/>
  <c r="U643" i="143"/>
  <c r="U93" i="143"/>
  <c r="I681" i="143"/>
  <c r="U384" i="143"/>
  <c r="U87" i="143"/>
  <c r="I50" i="143"/>
  <c r="U1018" i="143"/>
  <c r="U790" i="143"/>
  <c r="U1160" i="143"/>
  <c r="U939" i="143"/>
  <c r="I977" i="143"/>
  <c r="U977" i="143"/>
  <c r="U274" i="143"/>
  <c r="U606" i="143"/>
  <c r="U167" i="143"/>
  <c r="I496" i="143"/>
  <c r="U680" i="143"/>
  <c r="I162" i="143"/>
  <c r="U533" i="143"/>
  <c r="I642" i="143"/>
  <c r="U13" i="143"/>
  <c r="U718" i="143"/>
  <c r="I389" i="143"/>
  <c r="I1049" i="143"/>
  <c r="I796" i="143"/>
  <c r="U1129" i="143"/>
  <c r="U902" i="143"/>
  <c r="I975" i="143"/>
  <c r="U1014" i="143"/>
  <c r="U348" i="143"/>
  <c r="U574" i="143"/>
  <c r="I167" i="143"/>
  <c r="I570" i="143"/>
  <c r="I643" i="143"/>
  <c r="U125" i="143"/>
  <c r="U607" i="143"/>
  <c r="U532" i="143"/>
  <c r="I679" i="143"/>
  <c r="U792" i="143"/>
  <c r="U278" i="143"/>
  <c r="I753" i="143"/>
  <c r="U309" i="143"/>
  <c r="I1125" i="143"/>
  <c r="I1123" i="143"/>
  <c r="I902" i="143"/>
  <c r="U1125" i="143"/>
  <c r="U870" i="143"/>
  <c r="U944" i="143"/>
  <c r="I1050" i="143"/>
  <c r="U422" i="143"/>
  <c r="I531" i="143"/>
  <c r="U130" i="143"/>
  <c r="I644" i="143"/>
  <c r="U537" i="143"/>
  <c r="I124" i="143"/>
  <c r="U681" i="143"/>
  <c r="U500" i="143"/>
  <c r="I14" i="143"/>
  <c r="U833" i="143"/>
  <c r="U241" i="143"/>
  <c r="I865" i="143"/>
  <c r="U457" i="143"/>
  <c r="I346" i="143"/>
  <c r="U865" i="143"/>
  <c r="I907" i="143"/>
  <c r="U1123" i="143"/>
  <c r="U864" i="143"/>
  <c r="U940" i="143"/>
  <c r="I1055" i="143"/>
  <c r="U496" i="143"/>
  <c r="U463" i="143"/>
  <c r="I125" i="143"/>
  <c r="U755" i="143"/>
  <c r="I457" i="143"/>
  <c r="I88" i="143"/>
  <c r="I755" i="143"/>
  <c r="I495" i="143"/>
  <c r="I89" i="143"/>
  <c r="I791" i="143"/>
  <c r="I236" i="143"/>
  <c r="I903" i="143"/>
  <c r="I939" i="143"/>
  <c r="U1092" i="143"/>
  <c r="U1161" i="143"/>
  <c r="U938" i="143"/>
  <c r="I1087" i="143"/>
  <c r="U570" i="143"/>
  <c r="U421" i="143"/>
  <c r="U51" i="143"/>
  <c r="U829" i="143"/>
  <c r="U420" i="143"/>
  <c r="U50" i="143"/>
  <c r="I829" i="143"/>
  <c r="U389" i="143"/>
  <c r="I163" i="143"/>
  <c r="U754" i="143"/>
  <c r="U199" i="143"/>
  <c r="U272" i="143"/>
  <c r="I940" i="143"/>
  <c r="I944" i="143"/>
  <c r="U1088" i="143"/>
  <c r="U1124" i="143"/>
  <c r="U907" i="143"/>
  <c r="I1092" i="143"/>
  <c r="U644" i="143"/>
  <c r="I384" i="143"/>
  <c r="U198" i="143"/>
  <c r="I866" i="143"/>
  <c r="I420" i="143"/>
  <c r="U18" i="143"/>
  <c r="U791" i="143"/>
  <c r="U310" i="143"/>
  <c r="I237" i="143"/>
  <c r="I833" i="143"/>
  <c r="I198" i="143"/>
  <c r="U568" i="143"/>
  <c r="U976" i="143"/>
  <c r="U975" i="143"/>
  <c r="U1086" i="143"/>
  <c r="U1087" i="143"/>
  <c r="U903" i="143"/>
  <c r="I1124" i="143"/>
  <c r="I792" i="143"/>
  <c r="U346" i="143"/>
  <c r="I52" i="143"/>
  <c r="I870" i="143"/>
  <c r="I383" i="143"/>
  <c r="U89" i="143"/>
  <c r="U759" i="143"/>
  <c r="U204" i="143"/>
  <c r="I311" i="143"/>
  <c r="U642" i="143"/>
  <c r="U56" i="143"/>
  <c r="U347" i="143"/>
  <c r="I864" i="143"/>
  <c r="I532" i="143"/>
  <c r="I1086" i="143"/>
  <c r="U981" i="143"/>
  <c r="U1055" i="143"/>
  <c r="U1050" i="143"/>
  <c r="U901" i="143"/>
  <c r="I1129" i="143"/>
  <c r="U828" i="143"/>
  <c r="I310" i="143"/>
  <c r="I126" i="143"/>
  <c r="I828" i="143"/>
  <c r="U315" i="143"/>
  <c r="U163" i="143"/>
  <c r="U796" i="143"/>
  <c r="I199" i="143"/>
  <c r="I385" i="143"/>
  <c r="U611" i="143"/>
  <c r="U12" i="143"/>
  <c r="U753" i="143"/>
  <c r="L11" i="143"/>
  <c r="I574" i="143"/>
  <c r="I606" i="143"/>
  <c r="U722" i="143"/>
  <c r="I463" i="143"/>
  <c r="U426" i="143"/>
  <c r="I718" i="143"/>
  <c r="H28" i="143"/>
  <c r="I51" i="143"/>
  <c r="I315" i="143"/>
  <c r="I56" i="143"/>
  <c r="H29" i="143"/>
  <c r="I87" i="143"/>
  <c r="I648" i="143"/>
  <c r="I569" i="143"/>
  <c r="I352" i="143"/>
  <c r="I611" i="143"/>
  <c r="U88" i="143"/>
  <c r="I537" i="143"/>
  <c r="I13" i="143"/>
  <c r="I568" i="143"/>
  <c r="U494" i="143"/>
  <c r="I130" i="143"/>
  <c r="U648" i="143"/>
  <c r="U352" i="143"/>
  <c r="H27" i="143"/>
  <c r="U531" i="143"/>
  <c r="I680" i="143"/>
  <c r="I18" i="143"/>
  <c r="I500" i="143"/>
  <c r="I93" i="143"/>
  <c r="I12" i="143"/>
  <c r="I241" i="143"/>
  <c r="I759" i="143"/>
  <c r="L645" i="143"/>
  <c r="L641" i="143"/>
  <c r="L534" i="143"/>
  <c r="L530" i="143"/>
  <c r="L312" i="143"/>
  <c r="L308" i="143"/>
  <c r="L90" i="143"/>
  <c r="H102" i="143"/>
  <c r="H103" i="143"/>
  <c r="L86" i="143"/>
  <c r="H104" i="143"/>
  <c r="X53" i="143"/>
  <c r="T66" i="143"/>
  <c r="X49" i="143"/>
  <c r="T65" i="143"/>
  <c r="T67" i="143"/>
  <c r="X493" i="143"/>
  <c r="X497" i="143"/>
  <c r="X275" i="143"/>
  <c r="X271" i="143"/>
  <c r="X793" i="143"/>
  <c r="X789" i="143"/>
  <c r="X867" i="143"/>
  <c r="X863" i="143"/>
  <c r="L719" i="143"/>
  <c r="L715" i="143"/>
  <c r="L497" i="143"/>
  <c r="L493" i="143"/>
  <c r="L201" i="143"/>
  <c r="L197" i="143"/>
  <c r="L863" i="143"/>
  <c r="L867" i="143"/>
  <c r="L900" i="143"/>
  <c r="L904" i="143"/>
  <c r="X682" i="143"/>
  <c r="X678" i="143"/>
  <c r="X456" i="143"/>
  <c r="X460" i="143"/>
  <c r="X234" i="143"/>
  <c r="X238" i="143"/>
  <c r="X826" i="143"/>
  <c r="X830" i="143"/>
  <c r="X900" i="143"/>
  <c r="X904" i="143"/>
  <c r="L682" i="143"/>
  <c r="L678" i="143"/>
  <c r="L460" i="143"/>
  <c r="L456" i="143"/>
  <c r="L234" i="143"/>
  <c r="L238" i="143"/>
  <c r="L830" i="143"/>
  <c r="L826" i="143"/>
  <c r="I15" i="143"/>
  <c r="I11" i="143"/>
  <c r="I10" i="143" s="1"/>
  <c r="I9" i="143"/>
  <c r="I751" i="143"/>
  <c r="U418" i="143"/>
  <c r="U48" i="143"/>
  <c r="U270" i="143"/>
  <c r="U344" i="143"/>
  <c r="U825" i="143"/>
  <c r="I492" i="143"/>
  <c r="U307" i="143"/>
  <c r="I344" i="143"/>
  <c r="U714" i="143"/>
  <c r="I381" i="143"/>
  <c r="I830" i="143"/>
  <c r="U381" i="143"/>
  <c r="U604" i="143"/>
  <c r="I825" i="143"/>
  <c r="I571" i="143"/>
  <c r="U830" i="143"/>
  <c r="I604" i="143"/>
  <c r="U456" i="143"/>
  <c r="U571" i="143"/>
  <c r="U567" i="143"/>
  <c r="I567" i="143"/>
  <c r="U86" i="143"/>
  <c r="I608" i="143"/>
  <c r="U608" i="143"/>
  <c r="U529" i="143"/>
  <c r="I86" i="143"/>
  <c r="I201" i="143"/>
  <c r="I423" i="143"/>
  <c r="I90" i="143"/>
  <c r="I456" i="143"/>
  <c r="U90" i="143"/>
  <c r="I271" i="143"/>
  <c r="I460" i="143"/>
  <c r="I197" i="143"/>
  <c r="I419" i="143"/>
  <c r="I275" i="143"/>
  <c r="I530" i="143"/>
  <c r="I534" i="143"/>
  <c r="U460" i="143"/>
  <c r="I123" i="143"/>
  <c r="I127" i="143"/>
  <c r="I234" i="143"/>
  <c r="I238" i="143"/>
  <c r="I788" i="143"/>
  <c r="I640" i="143"/>
  <c r="U159" i="143"/>
  <c r="X428" i="143" l="1"/>
  <c r="U431" i="143" s="1"/>
  <c r="T432" i="143" s="1"/>
  <c r="T440" i="143" s="1"/>
  <c r="X539" i="143"/>
  <c r="U542" i="143" s="1"/>
  <c r="T543" i="143" s="1"/>
  <c r="T551" i="143" s="1"/>
  <c r="L354" i="143"/>
  <c r="I357" i="143" s="1"/>
  <c r="L761" i="143"/>
  <c r="I764" i="143" s="1"/>
  <c r="X391" i="143"/>
  <c r="U394" i="143" s="1"/>
  <c r="T395" i="143" s="1"/>
  <c r="T403" i="143" s="1"/>
  <c r="L391" i="143"/>
  <c r="I394" i="143" s="1"/>
  <c r="H395" i="143" s="1"/>
  <c r="H403" i="143" s="1"/>
  <c r="L798" i="143"/>
  <c r="I801" i="143" s="1"/>
  <c r="H802" i="143" s="1"/>
  <c r="H810" i="143" s="1"/>
  <c r="X798" i="143"/>
  <c r="U801" i="143" s="1"/>
  <c r="T802" i="143" s="1"/>
  <c r="T810" i="143" s="1"/>
  <c r="X354" i="143"/>
  <c r="U357" i="143" s="1"/>
  <c r="T358" i="143" s="1"/>
  <c r="T366" i="143" s="1"/>
  <c r="X761" i="143"/>
  <c r="U764" i="143" s="1"/>
  <c r="T765" i="143" s="1"/>
  <c r="T773" i="143" s="1"/>
  <c r="L502" i="143"/>
  <c r="I505" i="143" s="1"/>
  <c r="H506" i="143" s="1"/>
  <c r="H514" i="143" s="1"/>
  <c r="X280" i="143"/>
  <c r="U283" i="143" s="1"/>
  <c r="T284" i="143" s="1"/>
  <c r="T292" i="143" s="1"/>
  <c r="H31" i="143"/>
  <c r="X58" i="143"/>
  <c r="U61" i="143" s="1"/>
  <c r="T62" i="143" s="1"/>
  <c r="X317" i="143"/>
  <c r="U320" i="143" s="1"/>
  <c r="T321" i="143" s="1"/>
  <c r="T329" i="143" s="1"/>
  <c r="X169" i="143"/>
  <c r="U172" i="143" s="1"/>
  <c r="T173" i="143" s="1"/>
  <c r="T181" i="143" s="1"/>
  <c r="T1024" i="143"/>
  <c r="T1032" i="143" s="1"/>
  <c r="L650" i="143"/>
  <c r="I653" i="143" s="1"/>
  <c r="H654" i="143" s="1"/>
  <c r="H662" i="143" s="1"/>
  <c r="X724" i="143"/>
  <c r="U727" i="143" s="1"/>
  <c r="T728" i="143" s="1"/>
  <c r="T736" i="143" s="1"/>
  <c r="H1061" i="143"/>
  <c r="H1069" i="143" s="1"/>
  <c r="X909" i="143"/>
  <c r="U912" i="143" s="1"/>
  <c r="T913" i="143" s="1"/>
  <c r="T921" i="143" s="1"/>
  <c r="T950" i="143"/>
  <c r="T958" i="143" s="1"/>
  <c r="H1172" i="143"/>
  <c r="H1180" i="143" s="1"/>
  <c r="T69" i="143"/>
  <c r="T1098" i="143"/>
  <c r="T1106" i="143" s="1"/>
  <c r="T987" i="143"/>
  <c r="T995" i="143" s="1"/>
  <c r="H69" i="143"/>
  <c r="T1172" i="143"/>
  <c r="H1024" i="143"/>
  <c r="H1032" i="143" s="1"/>
  <c r="T1061" i="143"/>
  <c r="T1069" i="143" s="1"/>
  <c r="L835" i="143"/>
  <c r="I838" i="143" s="1"/>
  <c r="H839" i="143" s="1"/>
  <c r="H847" i="143" s="1"/>
  <c r="X872" i="143"/>
  <c r="U875" i="143" s="1"/>
  <c r="T876" i="143" s="1"/>
  <c r="T884" i="143" s="1"/>
  <c r="H1135" i="143"/>
  <c r="H1143" i="143" s="1"/>
  <c r="T1135" i="143"/>
  <c r="T1143" i="143" s="1"/>
  <c r="X835" i="143"/>
  <c r="U838" i="143" s="1"/>
  <c r="T839" i="143" s="1"/>
  <c r="T847" i="143" s="1"/>
  <c r="L909" i="143"/>
  <c r="I912" i="143" s="1"/>
  <c r="H913" i="143" s="1"/>
  <c r="H921" i="143" s="1"/>
  <c r="H1098" i="143"/>
  <c r="H1106" i="143" s="1"/>
  <c r="H950" i="143"/>
  <c r="H958" i="143" s="1"/>
  <c r="H106" i="143"/>
  <c r="H987" i="143"/>
  <c r="H995" i="143" s="1"/>
  <c r="L872" i="143"/>
  <c r="I875" i="143" s="1"/>
  <c r="H876" i="143" s="1"/>
  <c r="H884" i="143" s="1"/>
  <c r="T31" i="143"/>
  <c r="L317" i="143"/>
  <c r="I320" i="143" s="1"/>
  <c r="H321" i="143" s="1"/>
  <c r="H329" i="143" s="1"/>
  <c r="L20" i="143"/>
  <c r="I23" i="143" s="1"/>
  <c r="H24" i="143" s="1"/>
  <c r="I122" i="143"/>
  <c r="I603" i="143"/>
  <c r="U603" i="143"/>
  <c r="I566" i="143"/>
  <c r="I233" i="143"/>
  <c r="U566" i="143"/>
  <c r="H358" i="143"/>
  <c r="H366" i="143" s="1"/>
  <c r="H765" i="143"/>
  <c r="H773" i="143" s="1"/>
  <c r="U85" i="143"/>
  <c r="X613" i="143"/>
  <c r="U616" i="143" s="1"/>
  <c r="L613" i="143"/>
  <c r="I616" i="143" s="1"/>
  <c r="H617" i="143" s="1"/>
  <c r="H625" i="143" s="1"/>
  <c r="X95" i="143"/>
  <c r="U98" i="143" s="1"/>
  <c r="X465" i="143"/>
  <c r="U468" i="143" s="1"/>
  <c r="T469" i="143" s="1"/>
  <c r="U455" i="143"/>
  <c r="X576" i="143"/>
  <c r="U579" i="143" s="1"/>
  <c r="L576" i="143"/>
  <c r="I579" i="143" s="1"/>
  <c r="H580" i="143" s="1"/>
  <c r="I196" i="143"/>
  <c r="L206" i="143"/>
  <c r="I209" i="143" s="1"/>
  <c r="I270" i="143"/>
  <c r="L280" i="143"/>
  <c r="I283" i="143" s="1"/>
  <c r="I455" i="143"/>
  <c r="L465" i="143"/>
  <c r="I468" i="143" s="1"/>
  <c r="H469" i="143" s="1"/>
  <c r="I85" i="143"/>
  <c r="L95" i="143"/>
  <c r="I98" i="143" s="1"/>
  <c r="H99" i="143" s="1"/>
  <c r="I529" i="143"/>
  <c r="L539" i="143"/>
  <c r="I542" i="143" s="1"/>
  <c r="H543" i="143" s="1"/>
  <c r="I418" i="143"/>
  <c r="L428" i="143"/>
  <c r="I431" i="143" s="1"/>
  <c r="L132" i="143"/>
  <c r="I135" i="143" s="1"/>
  <c r="H136" i="143" s="1"/>
  <c r="L243" i="143"/>
  <c r="I246" i="143" s="1"/>
  <c r="H247" i="143" s="1"/>
  <c r="H32" i="143" l="1"/>
  <c r="T70" i="143"/>
  <c r="H255" i="143"/>
  <c r="H551" i="143"/>
  <c r="H477" i="143"/>
  <c r="T580" i="143"/>
  <c r="T588" i="143" s="1"/>
  <c r="H144" i="143"/>
  <c r="T477" i="143"/>
  <c r="H107" i="143"/>
  <c r="H588" i="143"/>
  <c r="T99" i="143"/>
  <c r="T107" i="143" s="1"/>
  <c r="H210" i="143"/>
  <c r="H218" i="143" s="1"/>
  <c r="H432" i="143"/>
  <c r="H440" i="143" s="1"/>
  <c r="H284" i="143"/>
  <c r="H292" i="143" s="1"/>
  <c r="T617" i="143"/>
  <c r="T625" i="143" s="1"/>
  <c r="I713" i="143" l="1"/>
  <c r="U639" i="143"/>
  <c r="U645" i="143" l="1"/>
  <c r="I719" i="143"/>
  <c r="U641" i="143"/>
  <c r="I676" i="143"/>
  <c r="I715" i="143"/>
  <c r="U640" i="143" l="1"/>
  <c r="I714" i="143"/>
  <c r="X650" i="143"/>
  <c r="U653" i="143" s="1"/>
  <c r="T654" i="143" s="1"/>
  <c r="I678" i="143"/>
  <c r="I682" i="143"/>
  <c r="I158" i="143"/>
  <c r="L724" i="143"/>
  <c r="I727" i="143" s="1"/>
  <c r="H728" i="143" s="1"/>
  <c r="I677" i="143" l="1"/>
  <c r="H736" i="143"/>
  <c r="T662" i="143"/>
  <c r="L687" i="143"/>
  <c r="I690" i="143" s="1"/>
  <c r="H691" i="143" s="1"/>
  <c r="I164" i="143"/>
  <c r="I160" i="143"/>
  <c r="H699" i="143" l="1"/>
  <c r="I159" i="143"/>
  <c r="L169" i="143"/>
  <c r="I172" i="143" s="1"/>
  <c r="H173" i="143" l="1"/>
  <c r="H181" i="143" s="1"/>
  <c r="U232" i="143" l="1"/>
  <c r="U234" i="143" l="1"/>
  <c r="U238" i="143"/>
  <c r="U676" i="143" l="1"/>
  <c r="X243" i="143"/>
  <c r="U246" i="143" s="1"/>
  <c r="U233" i="143"/>
  <c r="T247" i="143" l="1"/>
  <c r="T255" i="143" s="1"/>
  <c r="U682" i="143"/>
  <c r="U678" i="143"/>
  <c r="U677" i="143" l="1"/>
  <c r="X687" i="143"/>
  <c r="U690" i="143" s="1"/>
  <c r="T691" i="143" s="1"/>
  <c r="T699" i="143" l="1"/>
  <c r="I47" i="143"/>
  <c r="U195" i="143"/>
  <c r="I53" i="143" l="1"/>
  <c r="I49" i="143"/>
  <c r="U197" i="143"/>
  <c r="U201" i="143"/>
  <c r="U196" i="143" l="1"/>
  <c r="I48" i="143"/>
  <c r="L58" i="143"/>
  <c r="I61" i="143" s="1"/>
  <c r="H62" i="143" s="1"/>
  <c r="X206" i="143"/>
  <c r="U209" i="143" s="1"/>
  <c r="T210" i="143" l="1"/>
  <c r="T218" i="143" s="1"/>
  <c r="H70" i="143"/>
  <c r="U491" i="143" l="1"/>
  <c r="U497" i="143" l="1"/>
  <c r="U493" i="143"/>
  <c r="U9" i="143" l="1"/>
  <c r="U121" i="143"/>
  <c r="X502" i="143"/>
  <c r="U505" i="143" s="1"/>
  <c r="U492" i="143"/>
  <c r="T506" i="143" l="1"/>
  <c r="T514" i="143" s="1"/>
  <c r="U15" i="143"/>
  <c r="U123" i="143"/>
  <c r="U11" i="143"/>
  <c r="U127" i="143"/>
  <c r="U122" i="143" l="1"/>
  <c r="X132" i="143"/>
  <c r="U135" i="143" s="1"/>
  <c r="U10" i="143"/>
  <c r="X20" i="143"/>
  <c r="U23" i="143" s="1"/>
  <c r="T136" i="143" l="1"/>
  <c r="T144" i="143" s="1"/>
  <c r="T24" i="143"/>
  <c r="T32" i="1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<sst xmlns="http://schemas.openxmlformats.org/spreadsheetml/2006/main" count="7322" uniqueCount="240">
  <si>
    <t>TT</t>
  </si>
  <si>
    <t>Mã số</t>
  </si>
  <si>
    <t>Tổng giây</t>
  </si>
  <si>
    <t>Ký nhận</t>
  </si>
  <si>
    <t>Họ và tên</t>
  </si>
  <si>
    <t>Công LĐ</t>
  </si>
  <si>
    <t>Giây</t>
  </si>
  <si>
    <t>CÔNG TY TNHH 888</t>
  </si>
  <si>
    <t>ĐĐ</t>
  </si>
  <si>
    <t>Stt</t>
  </si>
  <si>
    <t>BHXH, BHYT, BHTN</t>
  </si>
  <si>
    <t>Cộng</t>
  </si>
  <si>
    <t>Lãnh đạo công ty</t>
  </si>
  <si>
    <t>GT</t>
  </si>
  <si>
    <t>Bù lương</t>
  </si>
  <si>
    <t>20% Đ Đ</t>
  </si>
  <si>
    <t>bï l­¬ng SP</t>
  </si>
  <si>
    <t>bï l­¬ng Thªm giê</t>
  </si>
  <si>
    <t>BẢNG CHI TIẾT THANH TOÁN LƯƠNG</t>
  </si>
  <si>
    <t>Mã Số</t>
  </si>
  <si>
    <t>Ngày tiếp nhận/ Mức lương CB</t>
  </si>
  <si>
    <t>Tổng cộng</t>
  </si>
  <si>
    <t>Thực lĩnh</t>
  </si>
  <si>
    <t>Phép</t>
  </si>
  <si>
    <t>Lễ, tết</t>
  </si>
  <si>
    <t>Học, họp</t>
  </si>
  <si>
    <t>Lập biểu</t>
  </si>
  <si>
    <t>PHIẾU CHI TIẾT LƯƠNG</t>
  </si>
  <si>
    <t xml:space="preserve">(01) Họ Và Tên </t>
  </si>
  <si>
    <t>: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</si>
  <si>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</si>
  <si>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</si>
  <si>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</si>
  <si>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</si>
  <si>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</si>
  <si>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</si>
  <si>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</si>
  <si>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</si>
  <si>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</si>
  <si>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</si>
  <si>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</si>
  <si>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</si>
  <si>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</si>
  <si>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</si>
  <si>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</si>
  <si>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</si>
  <si>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</si>
  <si>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</si>
  <si>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</si>
  <si>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</si>
  <si>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</si>
  <si>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</si>
  <si>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</si>
  <si>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</si>
  <si>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</si>
  <si>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</si>
  <si>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Lương giờ ca ba</t>
  </si>
  <si>
    <t>(17) Nóng, độc hại</t>
  </si>
  <si>
    <t>%</t>
  </si>
  <si>
    <t>Tiền nóng, độc hại</t>
  </si>
  <si>
    <t>(18) Công ăn ca</t>
  </si>
  <si>
    <t>Tiền ăn ca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</si>
  <si>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</si>
  <si>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</si>
  <si>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</si>
  <si>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</si>
  <si>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</si>
  <si>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</si>
  <si>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</si>
  <si>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</si>
  <si>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</si>
  <si>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</si>
  <si>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</si>
  <si>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</si>
  <si>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</si>
  <si>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01</t>
  </si>
  <si>
    <t>STT : 02</t>
  </si>
  <si>
    <t>STT : 03</t>
  </si>
  <si>
    <t>STT : 04</t>
  </si>
  <si>
    <t>STT : 05</t>
  </si>
  <si>
    <t>STT : 06</t>
  </si>
  <si>
    <t>STT : 07</t>
  </si>
  <si>
    <t>STT : 08</t>
  </si>
  <si>
    <t>STT : 09</t>
  </si>
  <si>
    <t>STT : 10</t>
  </si>
  <si>
    <t>STT : 11</t>
  </si>
  <si>
    <t>STT : 12</t>
  </si>
  <si>
    <t>STT : 13</t>
  </si>
  <si>
    <t>STT : 14</t>
  </si>
  <si>
    <t>STT : 15</t>
  </si>
  <si>
    <t>STT : 16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</si>
  <si>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</si>
  <si>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</si>
  <si>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</si>
  <si>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</si>
  <si>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</si>
  <si>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</si>
  <si>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</si>
  <si>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</si>
  <si>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</si>
  <si>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</si>
  <si>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</si>
  <si>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</si>
  <si>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</si>
  <si>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</si>
  <si>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</si>
  <si>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</si>
  <si>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</si>
  <si>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</si>
  <si>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</si>
  <si>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</si>
  <si>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</si>
  <si>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</si>
  <si>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</si>
  <si>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</si>
  <si>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</si>
  <si>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</si>
  <si>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</si>
  <si>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</si>
  <si>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</si>
  <si>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</si>
  <si>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</si>
  <si>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</si>
  <si>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</si>
  <si>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</si>
  <si>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</si>
  <si>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</si>
  <si>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</si>
  <si>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</si>
  <si>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</si>
  <si>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</si>
  <si>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</si>
  <si>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</si>
  <si>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</si>
  <si>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</si>
  <si>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</si>
  <si>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</si>
  <si>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</si>
  <si>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</si>
  <si>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Tổ 10</t>
  </si>
  <si>
    <t>Giây phát sinh</t>
  </si>
  <si>
    <t>Mức lương</t>
  </si>
  <si>
    <t>Công</t>
  </si>
  <si>
    <t>Thêm giờ</t>
  </si>
  <si>
    <t>Tiền con nhỏ</t>
  </si>
  <si>
    <t xml:space="preserve"> Tổng giây </t>
  </si>
  <si>
    <t>Ngày vào</t>
  </si>
  <si>
    <t>Giờ nghỉ ngắn</t>
  </si>
  <si>
    <t>Tổng ngày công trong tháng</t>
  </si>
  <si>
    <t>Giây BQ CN trong tháng</t>
  </si>
  <si>
    <t>Giây TT</t>
  </si>
  <si>
    <t>Tổng giây thanh toán có TT TP</t>
  </si>
  <si>
    <t>(18) Khuyến công</t>
  </si>
  <si>
    <t>Tiền khuyến công</t>
  </si>
  <si>
    <t>(19) Lương giờ nghỉ ngắn, giờ phụ nữ, chạy thoát hiểm</t>
  </si>
  <si>
    <t>(16) Ăn ca</t>
  </si>
  <si>
    <t>Khuyến công</t>
  </si>
  <si>
    <t xml:space="preserve">Tổ  </t>
  </si>
  <si>
    <t>(13) Trực xưởng</t>
  </si>
  <si>
    <t>Hỗ trợ trực xưởng</t>
  </si>
  <si>
    <t>CN CÔNG TY TNHH S&amp;D TẠI THANH HOÁ</t>
  </si>
  <si>
    <t>Cắt</t>
  </si>
  <si>
    <t>Xăng xe</t>
  </si>
  <si>
    <t>Là TP</t>
  </si>
  <si>
    <t>Kiểm hoá</t>
  </si>
  <si>
    <t>Giây PS làm thêm ngày…giờ..</t>
  </si>
  <si>
    <t>BQ giây</t>
  </si>
  <si>
    <t>Công sản phẩm</t>
  </si>
  <si>
    <t>Giờ kinh nguyệt</t>
  </si>
  <si>
    <t>KN+NN</t>
  </si>
  <si>
    <t>Hệ số NN</t>
  </si>
  <si>
    <t>Thai 7 tháng+Con nhỏ</t>
  </si>
  <si>
    <t>Tổng giây thanh toán chưa có TT</t>
  </si>
  <si>
    <t>Nhóm trưởng</t>
  </si>
  <si>
    <t>So sánh</t>
  </si>
  <si>
    <t>Bằng chữ:</t>
  </si>
  <si>
    <t>Tổng lương thực tế</t>
  </si>
  <si>
    <t>Phân loại lđ</t>
  </si>
  <si>
    <t>Hoàn thiện</t>
  </si>
  <si>
    <t>A</t>
  </si>
  <si>
    <t>B</t>
  </si>
  <si>
    <t>C</t>
  </si>
  <si>
    <t>Vắt sữa</t>
  </si>
  <si>
    <t>Chủ nhật</t>
  </si>
  <si>
    <t>Trừ tiền phân loại</t>
  </si>
  <si>
    <t>ATV</t>
  </si>
  <si>
    <t>PC:</t>
  </si>
  <si>
    <t>Giây phụ cấp ngày công 130</t>
  </si>
  <si>
    <t>Ăn ca</t>
  </si>
  <si>
    <t>Lễ tết</t>
  </si>
  <si>
    <t>Tổ 6</t>
  </si>
  <si>
    <t>Tổ 9</t>
  </si>
  <si>
    <t>CÔNG TY TNHH S&amp;D TẠI THANH HOÁ</t>
  </si>
  <si>
    <t>Mã hàng</t>
  </si>
  <si>
    <t>Ký Nhận</t>
  </si>
  <si>
    <t>BP: Kiểm hóa may</t>
  </si>
  <si>
    <t>Soạn cỡ+bó buôc+ghi diều</t>
  </si>
  <si>
    <t>BP: Kiểm hóa sau là</t>
  </si>
  <si>
    <t>Lê Thị Linh</t>
  </si>
  <si>
    <t>CĐ</t>
  </si>
  <si>
    <t>Khấu trừ</t>
  </si>
  <si>
    <t>Lê Văn Bắc</t>
  </si>
  <si>
    <t>Khám sức khoẻ</t>
  </si>
  <si>
    <t>Tiền lương</t>
  </si>
  <si>
    <t>Các khoản hỗ trợ</t>
  </si>
  <si>
    <t>Trừ PLLĐ</t>
  </si>
  <si>
    <t>Sản phẩm HC</t>
  </si>
  <si>
    <t>Chuyên cần</t>
  </si>
  <si>
    <t>Đi lại</t>
  </si>
  <si>
    <t>Nuôi con nhỏ+ATV</t>
  </si>
  <si>
    <t>Thưởng HTCV</t>
  </si>
  <si>
    <t>Thưởng theo KQKD</t>
  </si>
  <si>
    <t>32=31/30</t>
  </si>
  <si>
    <t>33=35/29</t>
  </si>
  <si>
    <t>34=33/32</t>
  </si>
  <si>
    <t>35=25-9</t>
  </si>
  <si>
    <t>Tổ may: Kiểm hóa</t>
  </si>
  <si>
    <t>Thâm niên</t>
  </si>
  <si>
    <t>Tổ 1</t>
  </si>
  <si>
    <t>Tổ 2</t>
  </si>
  <si>
    <t>Tổ 4</t>
  </si>
  <si>
    <t>Tổ 8</t>
  </si>
  <si>
    <t xml:space="preserve"> Vắt sữa</t>
  </si>
  <si>
    <t>Mang thai + Con nhỏ</t>
  </si>
  <si>
    <t>Tổ 3</t>
  </si>
  <si>
    <t>Tổ 11</t>
  </si>
  <si>
    <t>Tổ 12</t>
  </si>
  <si>
    <t>Nghỉ ngắn+Phụ nữ+KSK</t>
  </si>
  <si>
    <t>Cơ động</t>
  </si>
  <si>
    <t>Tháng 03 năm 2026</t>
  </si>
  <si>
    <t>BQT03</t>
  </si>
  <si>
    <t>Tháng 04/2026</t>
  </si>
  <si>
    <t>BẢNG TỔNG HỢP GIÂY THÁNG 04/2026- TỔ KIỂM HOÁ</t>
  </si>
  <si>
    <t>Tái chế</t>
  </si>
  <si>
    <t>Ngày  15 tháng 05 năm 2026</t>
  </si>
  <si>
    <t>Công T03</t>
  </si>
  <si>
    <t>Lương T03</t>
  </si>
  <si>
    <t>BQT04</t>
  </si>
  <si>
    <t>Tổ 5</t>
  </si>
  <si>
    <t>Tổ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</si>
</sst>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#,##0\ &quot;?&quot;;\-#,##0\ &quot;?&quot;"/>
    <numFmt numFmtId="165" formatCode="_(* #,##0.00_);_(* \(#,##0.00\);_(* &quot;-&quot;&quot;?&quot;&quot;?&quot;_);_(@_)"/>
    <numFmt numFmtId="166" formatCode="_-* #,##0.00\ _₫_-;\-* #,##0.00\ _₫_-;_-* &quot;-&quot;&quot;?&quot;&quot;?&quot;\ _₫_-;_-@_-"/>
    <numFmt numFmtId="167" formatCode="#,##0\ &quot;$&quot;_);[Red]\(#,##0\ &quot;$&quot;\)"/>
    <numFmt numFmtId="168" formatCode="&quot;$&quot;###,0&quot;.&quot;00_);[Red]\(&quot;$&quot;###,0&quot;.&quot;00\)"/>
    <numFmt numFmtId="169" formatCode="&quot;VND&quot;#,##0_);[Red]\(&quot;VND&quot;#,##0\)"/>
    <numFmt numFmtId="170" formatCode="_(* #,##0.0_);_(* \(#,##0.0\);_(* &quot;-&quot;&quot;?&quot;&quot;?&quot;_);_(@_)"/>
    <numFmt numFmtId="171" formatCode="_(* #,##0_);_(* \(#,##0\);_(* &quot;-&quot;&quot;?&quot;&quot;?&quot;_);_(@_)"/>
    <numFmt numFmtId="172" formatCode="#,##0.0"/>
    <numFmt numFmtId="173" formatCode="0.0"/>
    <numFmt numFmtId="174" formatCode="#,##0;[Red]#,##0"/>
    <numFmt numFmtId="175" formatCode="_-* #,##0_-;\-* #,##0_-;_-* &quot;-&quot;&quot;?&quot;&quot;?&quot;_-;_-@_-"/>
    <numFmt numFmtId="176" formatCode="dd\/mm\/yyyy"/>
    <numFmt numFmtId="177" formatCode="0.0000"/>
    <numFmt numFmtId="178" formatCode="_-* #,##0_-;\-* #,##0_-;_-* &quot;-&quot;??_-;_-@_-"/>
  </numFmts>
  <fonts count="50">
    <font>
      <sz val="11"/>
      <name val=".VnTime"/>
    </font>
    <font>
      <sz val="11"/>
      <name val=".VnTime"/>
      <family val="2"/>
    </font>
    <font>
      <sz val="12"/>
      <name val=".VnTime"/>
      <family val="2"/>
    </font>
    <font>
      <sz val="10"/>
      <name val=".VnTime"/>
      <family val="2"/>
    </font>
    <font>
      <sz val="11"/>
      <name val=".VnTime"/>
      <family val="2"/>
    </font>
    <font>
      <sz val="10"/>
      <name val="Arial"/>
      <family val="2"/>
    </font>
    <font>
      <sz val="12"/>
      <name val=".VnTime"/>
      <family val="1"/>
    </font>
    <font>
      <b/>
      <sz val="18"/>
      <name val="Arial"/>
      <family val="2"/>
    </font>
    <font>
      <b/>
      <sz val="12"/>
      <name val="Arial"/>
      <family val="2"/>
    </font>
    <font>
      <sz val="10"/>
      <name val="MS Sans Serif"/>
      <family val="2"/>
    </font>
    <font>
      <sz val="10"/>
      <name val="VNtimes new roman"/>
      <family val="2"/>
    </font>
    <font>
      <sz val="12"/>
      <name val="VNI-Times"/>
    </font>
    <font>
      <sz val="12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sz val="11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Times New Roman"/>
      <family val="1"/>
    </font>
    <font>
      <b/>
      <i/>
      <sz val="12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8"/>
      <name val=".VnTime"/>
      <family val="2"/>
    </font>
    <font>
      <b/>
      <i/>
      <sz val="11"/>
      <name val="Times New Roman"/>
      <family val="1"/>
    </font>
    <font>
      <b/>
      <sz val="8"/>
      <name val="Times New Roman"/>
      <family val="1"/>
    </font>
    <font>
      <sz val="11"/>
      <color indexed="8"/>
      <name val="Calibri"/>
      <family val="2"/>
    </font>
    <font>
      <sz val="8"/>
      <name val="VNI-Helve-Condense"/>
    </font>
    <font>
      <i/>
      <sz val="9"/>
      <name val="Times New Roman"/>
      <family val="1"/>
    </font>
    <font>
      <b/>
      <u/>
      <sz val="9"/>
      <name val="Times New Roman"/>
      <family val="1"/>
    </font>
    <font>
      <sz val="9"/>
      <name val=".VnArial Narrow"/>
      <family val="2"/>
    </font>
    <font>
      <b/>
      <sz val="12"/>
      <name val=".VnArial Narrow"/>
      <family val="2"/>
    </font>
    <font>
      <b/>
      <sz val="10"/>
      <name val=".VnArial Narrow"/>
      <family val="2"/>
    </font>
    <font>
      <b/>
      <sz val="10"/>
      <name val=".VnTime"/>
      <family val="2"/>
    </font>
    <font>
      <b/>
      <sz val="9"/>
      <name val=".VnArial Narrow"/>
      <family val="2"/>
    </font>
    <font>
      <b/>
      <sz val="10"/>
      <color rgb="FFFF0000"/>
      <name val="Times New Roman"/>
      <family val="1"/>
    </font>
    <font>
      <sz val="11"/>
      <color theme="0"/>
      <name val="Times New Roman"/>
      <family val="1"/>
    </font>
    <font>
      <b/>
      <sz val="6"/>
      <name val="Times New Roman"/>
      <family val="1"/>
    </font>
    <font>
      <sz val="10"/>
      <name val=".VnArial Narrow"/>
      <family val="2"/>
    </font>
    <font>
      <sz val="11"/>
      <name val=".VnTime"/>
      <family val="2"/>
    </font>
    <font>
      <b/>
      <i/>
      <u val="singleAccounting"/>
      <sz val="11"/>
      <name val="Times New Roman"/>
      <family val="1"/>
    </font>
    <font>
      <b/>
      <i/>
      <u/>
      <sz val="11"/>
      <name val="Times New Roman"/>
      <family val="1"/>
    </font>
    <font>
      <sz val="10"/>
      <color rgb="FFFF0000"/>
      <name val="Times New Roman"/>
      <family val="1"/>
    </font>
    <font>
      <b/>
      <i/>
      <sz val="10"/>
      <name val="Times New Roman"/>
      <family val="1"/>
    </font>
    <font>
      <i/>
      <sz val="10"/>
      <name val="Times New Roman"/>
      <family val="1"/>
    </font>
    <font>
      <b/>
      <i/>
      <sz val="10"/>
      <color rgb="FFFF0000"/>
      <name val="Times New Roman"/>
      <family val="1"/>
    </font>
    <font>
      <b/>
      <sz val="8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1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39997558519241921"/>
        <bgColor indexed="64"/>
      </patternFill>
    </fill>
  </fills>
  <borders count="58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23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0">
    <xf numFmtId="0" fontId="0" fillId="0" borderId="0"/>
    <xf numFmtId="0" fontId="5" fillId="0" borderId="0" xfId="0" applyFont="1"/>
    <xf numFmtId="165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28" fillId="0" borderId="0" applyFont="0" applyFill="0" applyBorder="0" applyAlignment="0" applyProtection="0"/>
    <xf numFmtId="165" fontId="5" fillId="0" borderId="0" applyFont="0" applyFill="0" applyBorder="0" applyAlignment="0" applyProtection="0"/>
    <xf numFmtId="3" fontId="5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2" fontId="5" fillId="0" borderId="0" applyFont="0" applyFill="0" applyBorder="0" applyAlignment="0" applyProtection="0"/>
    <xf numFmtId="0" fontId="8" fillId="0" borderId="1" applyNumberFormat="0" applyAlignment="0" applyProtection="0">
      <alignment horizontal="left" vertical="center"/>
    </xf>
    <xf numFmtId="0" fontId="8" fillId="0" borderId="2">
      <alignment horizontal="left" vertical="center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38" fontId="9" fillId="0" borderId="0" applyFont="0" applyFill="0" applyBorder="0" applyAlignment="0" applyProtection="0"/>
    <xf numFmtId="40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8" fontId="9" fillId="0" borderId="0" applyFont="0" applyFill="0" applyBorder="0" applyAlignment="0" applyProtection="0"/>
    <xf numFmtId="169" fontId="10" fillId="0" borderId="0"/>
    <xf numFmtId="0" fontId="11" fillId="0" borderId="0"/>
    <xf numFmtId="0" fontId="11" fillId="0" borderId="0"/>
    <xf numFmtId="0" fontId="4" fillId="0" borderId="0"/>
    <xf numFmtId="0" fontId="28" fillId="0" borderId="0"/>
    <xf numFmtId="0" fontId="5" fillId="0" borderId="0"/>
    <xf numFmtId="9" fontId="1" fillId="0" borderId="0" applyFont="0" applyFill="0" applyBorder="0" applyAlignment="0" applyProtection="0"/>
    <xf numFmtId="0" fontId="5" fillId="0" borderId="4" applyNumberFormat="0" applyFont="0" applyFill="0" applyAlignment="0" applyProtection="0"/>
    <xf numFmtId="0" fontId="5" fillId="0" borderId="4" applyNumberFormat="0" applyFont="0" applyFill="0" applyAlignment="0" applyProtection="0"/>
    <xf numFmtId="0" fontId="22" fillId="0" borderId="0" xfId="27" applyFont="1" applyAlignment="1">
      <alignment horizontal="left"/>
    </xf>
    <xf numFmtId="165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0" fillId="0" borderId="0" applyFont="0" applyFill="0" applyBorder="0" applyAlignment="0" applyProtection="0"/>
    <xf numFmtId="165" fontId="40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85">
    <xf numFmtId="0" fontId="0" fillId="0" borderId="0" xfId="0"/>
    <xf numFmtId="0" fontId="5" fillId="0" borderId="0" xfId="1"/>
    <xf numFmtId="0" fontId="0" fillId="0" borderId="0" xfId="0" applyProtection="1">
      <protection locked="0" hidden="1"/>
    </xf>
    <xf numFmtId="0" fontId="5" fillId="0" borderId="0" xfId="31" applyFont="1" applyAlignment="1"/>
    <xf numFmtId="0" fontId="0" fillId="0" borderId="0" xfId="0" applyProtection="1">
      <protection hidden="1"/>
    </xf>
    <xf numFmtId="171" fontId="13" fillId="4" borderId="0" xfId="2" applyNumberFormat="1" applyFont="1" applyFill="1"/>
    <xf numFmtId="171" fontId="12" fillId="4" borderId="0" xfId="2" applyNumberFormat="1" applyFont="1" applyFill="1"/>
    <xf numFmtId="171" fontId="19" fillId="4" borderId="0" xfId="2" applyNumberFormat="1" applyFont="1" applyFill="1"/>
    <xf numFmtId="3" fontId="12" fillId="4" borderId="0" xfId="2" applyNumberFormat="1" applyFont="1" applyFill="1"/>
    <xf numFmtId="170" fontId="12" fillId="4" borderId="0" xfId="2" applyNumberFormat="1" applyFont="1" applyFill="1"/>
    <xf numFmtId="173" fontId="19" fillId="4" borderId="7" xfId="0" applyNumberFormat="1" applyFont="1" applyFill="1" applyBorder="1" applyAlignment="1">
      <alignment vertical="center" shrinkToFit="1"/>
    </xf>
    <xf numFmtId="171" fontId="19" fillId="4" borderId="7" xfId="2" applyNumberFormat="1" applyFont="1" applyFill="1" applyBorder="1" applyAlignment="1">
      <alignment vertical="center" shrinkToFit="1"/>
    </xf>
    <xf numFmtId="173" fontId="19" fillId="4" borderId="7" xfId="2" applyNumberFormat="1" applyFont="1" applyFill="1" applyBorder="1" applyAlignment="1">
      <alignment vertical="center" shrinkToFit="1"/>
    </xf>
    <xf numFmtId="0" fontId="19" fillId="4" borderId="5" xfId="0" applyFont="1" applyFill="1" applyBorder="1" applyAlignment="1">
      <alignment vertical="center" shrinkToFit="1"/>
    </xf>
    <xf numFmtId="171" fontId="16" fillId="4" borderId="0" xfId="2" applyNumberFormat="1" applyFont="1" applyFill="1"/>
    <xf numFmtId="172" fontId="18" fillId="4" borderId="3" xfId="2" applyNumberFormat="1" applyFont="1" applyFill="1" applyBorder="1" applyAlignment="1">
      <alignment vertical="center" shrinkToFit="1"/>
    </xf>
    <xf numFmtId="3" fontId="18" fillId="4" borderId="3" xfId="2" applyNumberFormat="1" applyFont="1" applyFill="1" applyBorder="1" applyAlignment="1">
      <alignment vertical="center" shrinkToFit="1"/>
    </xf>
    <xf numFmtId="0" fontId="19" fillId="4" borderId="0" xfId="0" applyFont="1" applyFill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173" fontId="18" fillId="4" borderId="0" xfId="2" applyNumberFormat="1" applyFont="1" applyFill="1" applyBorder="1" applyAlignment="1">
      <alignment vertical="center" shrinkToFit="1"/>
    </xf>
    <xf numFmtId="171" fontId="18" fillId="4" borderId="0" xfId="2" applyNumberFormat="1" applyFont="1" applyFill="1" applyBorder="1" applyAlignment="1">
      <alignment vertical="center" shrinkToFit="1"/>
    </xf>
    <xf numFmtId="0" fontId="18" fillId="4" borderId="0" xfId="2" applyNumberFormat="1" applyFont="1" applyFill="1" applyBorder="1" applyAlignment="1">
      <alignment vertical="center" shrinkToFit="1"/>
    </xf>
    <xf numFmtId="171" fontId="19" fillId="4" borderId="0" xfId="2" applyNumberFormat="1" applyFont="1" applyFill="1" applyBorder="1" applyAlignment="1">
      <alignment vertical="center"/>
    </xf>
    <xf numFmtId="0" fontId="16" fillId="4" borderId="0" xfId="2" applyNumberFormat="1" applyFont="1" applyFill="1"/>
    <xf numFmtId="0" fontId="12" fillId="4" borderId="0" xfId="2" applyNumberFormat="1" applyFont="1" applyFill="1"/>
    <xf numFmtId="171" fontId="21" fillId="4" borderId="0" xfId="2" applyNumberFormat="1" applyFont="1" applyFill="1"/>
    <xf numFmtId="0" fontId="23" fillId="0" borderId="0" xfId="26" applyFont="1"/>
    <xf numFmtId="0" fontId="22" fillId="5" borderId="15" xfId="27" applyFont="1" applyFill="1" applyBorder="1" applyAlignment="1">
      <alignment horizontal="center"/>
    </xf>
    <xf numFmtId="0" fontId="22" fillId="0" borderId="0" xfId="27" applyFont="1" applyAlignment="1">
      <alignment horizontal="center"/>
    </xf>
    <xf numFmtId="0" fontId="22" fillId="0" borderId="16" xfId="27" applyFont="1" applyBorder="1" applyAlignment="1">
      <alignment horizontal="center"/>
    </xf>
    <xf numFmtId="0" fontId="23" fillId="0" borderId="0" xfId="27" applyFont="1"/>
    <xf numFmtId="0" fontId="22" fillId="0" borderId="0" xfId="27" applyFont="1" applyAlignment="1">
      <alignment horizontal="left"/>
    </xf>
    <xf numFmtId="0" fontId="23" fillId="0" borderId="17" xfId="27" applyFont="1" applyBorder="1"/>
    <xf numFmtId="0" fontId="22" fillId="0" borderId="15" xfId="27" applyFont="1" applyBorder="1"/>
    <xf numFmtId="2" fontId="23" fillId="0" borderId="18" xfId="27" applyNumberFormat="1" applyFont="1" applyBorder="1" applyAlignment="1">
      <alignment horizontal="right"/>
    </xf>
    <xf numFmtId="0" fontId="29" fillId="0" borderId="0" xfId="27" applyFont="1"/>
    <xf numFmtId="0" fontId="23" fillId="0" borderId="0" xfId="27" applyFont="1" applyAlignment="1">
      <alignment horizontal="left"/>
    </xf>
    <xf numFmtId="3" fontId="12" fillId="4" borderId="0" xfId="26" applyNumberFormat="1" applyFont="1" applyFill="1" applyAlignment="1">
      <alignment vertical="center" shrinkToFit="1"/>
    </xf>
    <xf numFmtId="174" fontId="13" fillId="0" borderId="0" xfId="7" applyNumberFormat="1" applyFont="1" applyBorder="1" applyAlignment="1">
      <alignment horizontal="right"/>
    </xf>
    <xf numFmtId="0" fontId="29" fillId="0" borderId="17" xfId="27" applyFont="1" applyBorder="1"/>
    <xf numFmtId="175" fontId="23" fillId="0" borderId="0" xfId="6" applyNumberFormat="1" applyFont="1"/>
    <xf numFmtId="2" fontId="23" fillId="0" borderId="0" xfId="27" applyNumberFormat="1" applyFont="1"/>
    <xf numFmtId="0" fontId="26" fillId="0" borderId="15" xfId="27" applyFont="1" applyBorder="1"/>
    <xf numFmtId="0" fontId="22" fillId="0" borderId="19" xfId="27" applyFont="1" applyBorder="1"/>
    <xf numFmtId="0" fontId="23" fillId="0" borderId="18" xfId="27" applyFont="1" applyBorder="1"/>
    <xf numFmtId="0" fontId="23" fillId="0" borderId="20" xfId="27" applyFont="1" applyBorder="1"/>
    <xf numFmtId="0" fontId="23" fillId="0" borderId="10" xfId="27" applyFont="1" applyBorder="1"/>
    <xf numFmtId="0" fontId="29" fillId="0" borderId="21" xfId="27" applyFont="1" applyBorder="1"/>
    <xf numFmtId="0" fontId="23" fillId="0" borderId="22" xfId="27" applyFont="1" applyBorder="1"/>
    <xf numFmtId="2" fontId="23" fillId="0" borderId="23" xfId="27" applyNumberFormat="1" applyFont="1" applyBorder="1"/>
    <xf numFmtId="0" fontId="23" fillId="0" borderId="24" xfId="27" applyFont="1" applyBorder="1"/>
    <xf numFmtId="0" fontId="23" fillId="0" borderId="15" xfId="27" applyFont="1" applyBorder="1"/>
    <xf numFmtId="0" fontId="23" fillId="0" borderId="0" xfId="27" applyFont="1" applyAlignment="1">
      <alignment horizontal="center"/>
    </xf>
    <xf numFmtId="0" fontId="23" fillId="0" borderId="25" xfId="27" applyFont="1" applyBorder="1"/>
    <xf numFmtId="0" fontId="23" fillId="0" borderId="26" xfId="27" applyFont="1" applyBorder="1"/>
    <xf numFmtId="4" fontId="19" fillId="4" borderId="5" xfId="0" applyNumberFormat="1" applyFont="1" applyFill="1" applyBorder="1" applyAlignment="1">
      <alignment vertical="center" shrinkToFit="1"/>
    </xf>
    <xf numFmtId="3" fontId="19" fillId="4" borderId="5" xfId="5" applyNumberFormat="1" applyFont="1" applyFill="1" applyBorder="1" applyAlignment="1">
      <alignment vertical="center" shrinkToFit="1"/>
    </xf>
    <xf numFmtId="1" fontId="18" fillId="4" borderId="29" xfId="0" applyNumberFormat="1" applyFont="1" applyFill="1" applyBorder="1" applyAlignment="1">
      <alignment horizontal="center" vertical="center"/>
    </xf>
    <xf numFmtId="1" fontId="16" fillId="4" borderId="9" xfId="0" applyNumberFormat="1" applyFont="1" applyFill="1" applyBorder="1" applyAlignment="1">
      <alignment horizontal="left" vertical="center" wrapText="1"/>
    </xf>
    <xf numFmtId="1" fontId="16" fillId="4" borderId="9" xfId="0" applyNumberFormat="1" applyFont="1" applyFill="1" applyBorder="1" applyAlignment="1">
      <alignment horizontal="center" vertical="center" wrapText="1"/>
    </xf>
    <xf numFmtId="0" fontId="22" fillId="4" borderId="29" xfId="0" applyFont="1" applyFill="1" applyBorder="1" applyAlignment="1">
      <alignment horizontal="center" vertical="center" wrapText="1"/>
    </xf>
    <xf numFmtId="3" fontId="22" fillId="4" borderId="29" xfId="0" applyNumberFormat="1" applyFont="1" applyFill="1" applyBorder="1" applyAlignment="1">
      <alignment horizontal="center" vertical="center" wrapText="1"/>
    </xf>
    <xf numFmtId="1" fontId="16" fillId="4" borderId="9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shrinkToFit="1"/>
    </xf>
    <xf numFmtId="1" fontId="16" fillId="4" borderId="5" xfId="0" applyNumberFormat="1" applyFont="1" applyFill="1" applyBorder="1" applyAlignment="1">
      <alignment horizontal="left" vertical="center" wrapText="1"/>
    </xf>
    <xf numFmtId="1" fontId="16" fillId="4" borderId="12" xfId="0" applyNumberFormat="1" applyFont="1" applyFill="1" applyBorder="1" applyAlignment="1">
      <alignment horizontal="center" vertical="center"/>
    </xf>
    <xf numFmtId="2" fontId="19" fillId="4" borderId="7" xfId="2" applyNumberFormat="1" applyFont="1" applyFill="1" applyBorder="1" applyAlignment="1">
      <alignment vertical="center" shrinkToFit="1"/>
    </xf>
    <xf numFmtId="1" fontId="18" fillId="4" borderId="0" xfId="0" applyNumberFormat="1" applyFont="1" applyFill="1" applyAlignment="1">
      <alignment horizontal="center" vertical="center"/>
    </xf>
    <xf numFmtId="1" fontId="16" fillId="4" borderId="5" xfId="0" applyNumberFormat="1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1" fontId="12" fillId="4" borderId="3" xfId="0" applyNumberFormat="1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14" fillId="5" borderId="7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 wrapText="1"/>
    </xf>
    <xf numFmtId="0" fontId="26" fillId="5" borderId="3" xfId="0" applyFont="1" applyFill="1" applyBorder="1" applyAlignment="1">
      <alignment horizontal="center" vertical="center" wrapText="1"/>
    </xf>
    <xf numFmtId="0" fontId="22" fillId="5" borderId="3" xfId="0" applyFont="1" applyFill="1" applyBorder="1" applyAlignment="1">
      <alignment horizontal="center" vertical="center" wrapText="1"/>
    </xf>
    <xf numFmtId="171" fontId="22" fillId="5" borderId="3" xfId="2" applyNumberFormat="1" applyFont="1" applyFill="1" applyBorder="1" applyAlignment="1">
      <alignment horizontal="center" vertical="center" wrapText="1"/>
    </xf>
    <xf numFmtId="1" fontId="26" fillId="5" borderId="3" xfId="0" applyNumberFormat="1" applyFont="1" applyFill="1" applyBorder="1" applyAlignment="1">
      <alignment horizontal="center" vertical="center" wrapText="1"/>
    </xf>
    <xf numFmtId="3" fontId="22" fillId="5" borderId="3" xfId="0" applyNumberFormat="1" applyFont="1" applyFill="1" applyBorder="1" applyAlignment="1">
      <alignment horizontal="center" vertical="center" wrapText="1"/>
    </xf>
    <xf numFmtId="3" fontId="13" fillId="5" borderId="3" xfId="0" applyNumberFormat="1" applyFont="1" applyFill="1" applyBorder="1" applyAlignment="1">
      <alignment horizontal="center" vertical="center" wrapText="1"/>
    </xf>
    <xf numFmtId="173" fontId="3" fillId="4" borderId="12" xfId="0" applyNumberFormat="1" applyFont="1" applyFill="1" applyBorder="1" applyAlignment="1">
      <alignment horizontal="center" vertical="center" shrinkToFit="1"/>
    </xf>
    <xf numFmtId="3" fontId="14" fillId="4" borderId="12" xfId="0" applyNumberFormat="1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1" fontId="16" fillId="4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171" fontId="15" fillId="4" borderId="0" xfId="2" applyNumberFormat="1" applyFont="1" applyFill="1" applyAlignment="1">
      <alignment horizontal="center" vertical="center"/>
    </xf>
    <xf numFmtId="3" fontId="15" fillId="4" borderId="0" xfId="0" applyNumberFormat="1" applyFont="1" applyFill="1" applyAlignment="1">
      <alignment horizontal="center" vertical="center"/>
    </xf>
    <xf numFmtId="3" fontId="13" fillId="4" borderId="0" xfId="0" applyNumberFormat="1" applyFont="1" applyFill="1" applyAlignment="1">
      <alignment horizontal="center" vertical="center"/>
    </xf>
    <xf numFmtId="0" fontId="22" fillId="4" borderId="29" xfId="2" applyNumberFormat="1" applyFont="1" applyFill="1" applyBorder="1" applyAlignment="1">
      <alignment horizontal="center" vertical="center"/>
    </xf>
    <xf numFmtId="3" fontId="23" fillId="4" borderId="9" xfId="2" applyNumberFormat="1" applyFont="1" applyFill="1" applyBorder="1" applyAlignment="1">
      <alignment horizontal="center" vertical="center"/>
    </xf>
    <xf numFmtId="3" fontId="23" fillId="4" borderId="9" xfId="28" applyNumberFormat="1" applyFont="1" applyFill="1" applyBorder="1" applyAlignment="1">
      <alignment horizontal="center" vertical="center"/>
    </xf>
    <xf numFmtId="3" fontId="23" fillId="4" borderId="12" xfId="28" applyNumberFormat="1" applyFont="1" applyFill="1" applyBorder="1" applyAlignment="1">
      <alignment horizontal="center" vertical="center"/>
    </xf>
    <xf numFmtId="3" fontId="37" fillId="4" borderId="9" xfId="2" applyNumberFormat="1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1" fontId="14" fillId="4" borderId="12" xfId="2" applyNumberFormat="1" applyFont="1" applyFill="1" applyBorder="1" applyAlignment="1">
      <alignment horizontal="center" vertical="center"/>
    </xf>
    <xf numFmtId="3" fontId="23" fillId="4" borderId="12" xfId="2" applyNumberFormat="1" applyFont="1" applyFill="1" applyBorder="1" applyAlignment="1">
      <alignment horizontal="center" vertical="center"/>
    </xf>
    <xf numFmtId="3" fontId="19" fillId="0" borderId="12" xfId="28" applyNumberFormat="1" applyFont="1" applyFill="1" applyBorder="1" applyAlignment="1">
      <alignment horizontal="center" vertical="center"/>
    </xf>
    <xf numFmtId="3" fontId="14" fillId="4" borderId="12" xfId="0" applyNumberFormat="1" applyFont="1" applyFill="1" applyBorder="1" applyAlignment="1">
      <alignment horizontal="center" vertical="center"/>
    </xf>
    <xf numFmtId="0" fontId="5" fillId="4" borderId="0" xfId="3" applyNumberFormat="1" applyFont="1" applyFill="1" applyAlignment="1">
      <alignment horizontal="center" vertical="center"/>
    </xf>
    <xf numFmtId="0" fontId="4" fillId="4" borderId="0" xfId="3" applyNumberFormat="1" applyFont="1" applyFill="1" applyAlignment="1">
      <alignment horizontal="center" vertical="center"/>
    </xf>
    <xf numFmtId="0" fontId="32" fillId="4" borderId="0" xfId="3" applyNumberFormat="1" applyFont="1" applyFill="1" applyAlignment="1">
      <alignment horizontal="center" vertical="center"/>
    </xf>
    <xf numFmtId="3" fontId="13" fillId="4" borderId="0" xfId="3" applyNumberFormat="1" applyFont="1" applyFill="1" applyAlignment="1">
      <alignment horizontal="center" vertical="center"/>
    </xf>
    <xf numFmtId="3" fontId="13" fillId="4" borderId="0" xfId="2" applyNumberFormat="1" applyFont="1" applyFill="1" applyAlignment="1">
      <alignment horizontal="center" vertical="center"/>
    </xf>
    <xf numFmtId="3" fontId="26" fillId="4" borderId="0" xfId="3" applyNumberFormat="1" applyFont="1" applyFill="1" applyBorder="1" applyAlignment="1">
      <alignment horizontal="center" vertical="center"/>
    </xf>
    <xf numFmtId="3" fontId="13" fillId="4" borderId="0" xfId="3" applyNumberFormat="1" applyFont="1" applyFill="1" applyBorder="1" applyAlignment="1">
      <alignment horizontal="center" vertical="center"/>
    </xf>
    <xf numFmtId="3" fontId="13" fillId="4" borderId="0" xfId="2" applyNumberFormat="1" applyFont="1" applyFill="1" applyBorder="1" applyAlignment="1">
      <alignment horizontal="center" vertical="center"/>
    </xf>
    <xf numFmtId="171" fontId="16" fillId="4" borderId="0" xfId="2" applyNumberFormat="1" applyFont="1" applyFill="1" applyAlignment="1">
      <alignment horizontal="center" vertical="center"/>
    </xf>
    <xf numFmtId="3" fontId="16" fillId="4" borderId="0" xfId="0" applyNumberFormat="1" applyFont="1" applyFill="1" applyAlignment="1">
      <alignment horizontal="center" vertical="center"/>
    </xf>
    <xf numFmtId="3" fontId="22" fillId="4" borderId="29" xfId="0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171" fontId="16" fillId="4" borderId="3" xfId="2" applyNumberFormat="1" applyFont="1" applyFill="1" applyBorder="1" applyAlignment="1">
      <alignment horizontal="center" vertical="center"/>
    </xf>
    <xf numFmtId="3" fontId="16" fillId="4" borderId="3" xfId="0" applyNumberFormat="1" applyFont="1" applyFill="1" applyBorder="1" applyAlignment="1">
      <alignment horizontal="center" vertical="center"/>
    </xf>
    <xf numFmtId="3" fontId="13" fillId="4" borderId="3" xfId="0" applyNumberFormat="1" applyFont="1" applyFill="1" applyBorder="1" applyAlignment="1">
      <alignment horizontal="center" vertical="center"/>
    </xf>
    <xf numFmtId="4" fontId="16" fillId="4" borderId="0" xfId="0" applyNumberFormat="1" applyFont="1" applyFill="1" applyAlignment="1">
      <alignment horizontal="center" vertical="center"/>
    </xf>
    <xf numFmtId="1" fontId="23" fillId="4" borderId="12" xfId="0" applyNumberFormat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171" fontId="16" fillId="4" borderId="0" xfId="2" applyNumberFormat="1" applyFont="1" applyFill="1" applyBorder="1" applyAlignment="1">
      <alignment horizontal="center" vertical="center"/>
    </xf>
    <xf numFmtId="3" fontId="26" fillId="4" borderId="0" xfId="0" applyNumberFormat="1" applyFont="1" applyFill="1" applyAlignment="1">
      <alignment horizontal="center" vertical="center"/>
    </xf>
    <xf numFmtId="171" fontId="4" fillId="4" borderId="0" xfId="2" applyNumberFormat="1" applyFont="1" applyFill="1" applyAlignment="1">
      <alignment horizontal="center" vertical="center"/>
    </xf>
    <xf numFmtId="3" fontId="4" fillId="4" borderId="0" xfId="0" applyNumberFormat="1" applyFont="1" applyFill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32" fillId="4" borderId="0" xfId="3" applyNumberFormat="1" applyFont="1" applyFill="1" applyBorder="1" applyAlignment="1">
      <alignment horizontal="center" vertical="center"/>
    </xf>
    <xf numFmtId="3" fontId="18" fillId="4" borderId="0" xfId="2" applyNumberFormat="1" applyFont="1" applyFill="1" applyAlignment="1">
      <alignment horizontal="center" vertical="center"/>
    </xf>
    <xf numFmtId="0" fontId="33" fillId="4" borderId="0" xfId="0" applyFont="1" applyFill="1" applyAlignment="1">
      <alignment horizontal="center" vertical="center"/>
    </xf>
    <xf numFmtId="3" fontId="2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71" fontId="14" fillId="4" borderId="0" xfId="2" applyNumberFormat="1" applyFont="1" applyFill="1" applyBorder="1" applyAlignment="1">
      <alignment horizontal="center" vertical="center"/>
    </xf>
    <xf numFmtId="3" fontId="14" fillId="4" borderId="0" xfId="0" applyNumberFormat="1" applyFont="1" applyFill="1" applyAlignment="1">
      <alignment horizontal="center" vertical="center"/>
    </xf>
    <xf numFmtId="0" fontId="14" fillId="4" borderId="0" xfId="0" applyFont="1" applyFill="1" applyAlignment="1">
      <alignment horizontal="left" vertical="center"/>
    </xf>
    <xf numFmtId="0" fontId="16" fillId="4" borderId="0" xfId="0" applyFont="1" applyFill="1" applyAlignment="1">
      <alignment horizontal="left" vertical="center"/>
    </xf>
    <xf numFmtId="0" fontId="16" fillId="4" borderId="3" xfId="0" applyFont="1" applyFill="1" applyBorder="1" applyAlignment="1">
      <alignment horizontal="left" vertical="center"/>
    </xf>
    <xf numFmtId="0" fontId="5" fillId="4" borderId="0" xfId="3" applyNumberFormat="1" applyFont="1" applyFill="1" applyAlignment="1">
      <alignment horizontal="left" vertical="center"/>
    </xf>
    <xf numFmtId="0" fontId="32" fillId="4" borderId="0" xfId="3" applyNumberFormat="1" applyFont="1" applyFill="1" applyAlignment="1">
      <alignment horizontal="left" vertical="center"/>
    </xf>
    <xf numFmtId="4" fontId="16" fillId="4" borderId="11" xfId="0" applyNumberFormat="1" applyFont="1" applyFill="1" applyBorder="1" applyAlignment="1">
      <alignment horizontal="center" vertical="center"/>
    </xf>
    <xf numFmtId="2" fontId="16" fillId="4" borderId="11" xfId="0" applyNumberFormat="1" applyFont="1" applyFill="1" applyBorder="1" applyAlignment="1">
      <alignment horizontal="center" vertical="center"/>
    </xf>
    <xf numFmtId="173" fontId="16" fillId="4" borderId="11" xfId="0" applyNumberFormat="1" applyFont="1" applyFill="1" applyBorder="1" applyAlignment="1">
      <alignment horizontal="center" vertical="center"/>
    </xf>
    <xf numFmtId="14" fontId="16" fillId="4" borderId="11" xfId="0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 applyProtection="1">
      <alignment horizontal="center" vertical="center" wrapText="1"/>
      <protection locked="0"/>
    </xf>
    <xf numFmtId="0" fontId="12" fillId="4" borderId="3" xfId="0" applyFont="1" applyFill="1" applyBorder="1" applyAlignment="1">
      <alignment horizontal="center" vertical="center" wrapText="1"/>
    </xf>
    <xf numFmtId="4" fontId="16" fillId="4" borderId="3" xfId="0" applyNumberFormat="1" applyFont="1" applyFill="1" applyBorder="1" applyAlignment="1">
      <alignment horizontal="center" vertical="center"/>
    </xf>
    <xf numFmtId="4" fontId="16" fillId="4" borderId="3" xfId="0" applyNumberFormat="1" applyFont="1" applyFill="1" applyBorder="1" applyAlignment="1">
      <alignment horizontal="center" vertical="center" wrapText="1"/>
    </xf>
    <xf numFmtId="171" fontId="12" fillId="4" borderId="0" xfId="2" applyNumberFormat="1" applyFont="1" applyFill="1" applyAlignment="1">
      <alignment horizontal="center" vertical="center"/>
    </xf>
    <xf numFmtId="2" fontId="16" fillId="4" borderId="0" xfId="0" applyNumberFormat="1" applyFont="1" applyFill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34" fillId="4" borderId="0" xfId="2" applyNumberFormat="1" applyFont="1" applyFill="1" applyBorder="1" applyAlignment="1">
      <alignment horizontal="center" vertical="center"/>
    </xf>
    <xf numFmtId="0" fontId="35" fillId="4" borderId="0" xfId="0" applyFont="1" applyFill="1" applyAlignment="1">
      <alignment horizontal="center" vertical="center"/>
    </xf>
    <xf numFmtId="0" fontId="33" fillId="4" borderId="0" xfId="3" applyNumberFormat="1" applyFont="1" applyFill="1" applyAlignment="1">
      <alignment horizontal="left" vertical="center"/>
    </xf>
    <xf numFmtId="0" fontId="33" fillId="4" borderId="0" xfId="3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3" fontId="18" fillId="4" borderId="0" xfId="3" applyNumberFormat="1" applyFont="1" applyFill="1" applyAlignment="1">
      <alignment horizontal="center" vertical="center"/>
    </xf>
    <xf numFmtId="3" fontId="19" fillId="4" borderId="0" xfId="0" applyNumberFormat="1" applyFont="1" applyFill="1" applyAlignment="1">
      <alignment horizontal="center" vertical="center"/>
    </xf>
    <xf numFmtId="0" fontId="39" fillId="4" borderId="0" xfId="0" applyFont="1" applyFill="1" applyAlignment="1">
      <alignment horizontal="center" vertical="center"/>
    </xf>
    <xf numFmtId="4" fontId="19" fillId="4" borderId="0" xfId="0" applyNumberFormat="1" applyFont="1" applyFill="1" applyAlignment="1">
      <alignment horizontal="center" vertical="center"/>
    </xf>
    <xf numFmtId="0" fontId="33" fillId="4" borderId="30" xfId="3" applyNumberFormat="1" applyFont="1" applyFill="1" applyBorder="1" applyAlignment="1">
      <alignment horizontal="left" vertical="center"/>
    </xf>
    <xf numFmtId="0" fontId="33" fillId="4" borderId="30" xfId="3" applyNumberFormat="1" applyFont="1" applyFill="1" applyBorder="1" applyAlignment="1">
      <alignment horizontal="center" vertical="center"/>
    </xf>
    <xf numFmtId="3" fontId="18" fillId="4" borderId="30" xfId="3" applyNumberFormat="1" applyFont="1" applyFill="1" applyBorder="1" applyAlignment="1">
      <alignment horizontal="center" vertical="center"/>
    </xf>
    <xf numFmtId="3" fontId="18" fillId="4" borderId="30" xfId="2" applyNumberFormat="1" applyFont="1" applyFill="1" applyBorder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0" fontId="18" fillId="4" borderId="8" xfId="0" applyFont="1" applyFill="1" applyBorder="1" applyAlignment="1">
      <alignment horizontal="left" vertical="center"/>
    </xf>
    <xf numFmtId="0" fontId="18" fillId="4" borderId="8" xfId="0" applyFont="1" applyFill="1" applyBorder="1" applyAlignment="1">
      <alignment horizontal="center" vertical="center"/>
    </xf>
    <xf numFmtId="0" fontId="33" fillId="4" borderId="0" xfId="3" applyNumberFormat="1" applyFont="1" applyFill="1" applyBorder="1" applyAlignment="1">
      <alignment horizontal="center" vertical="center"/>
    </xf>
    <xf numFmtId="3" fontId="18" fillId="4" borderId="31" xfId="3" applyNumberFormat="1" applyFont="1" applyFill="1" applyBorder="1" applyAlignment="1">
      <alignment horizontal="center" vertical="center"/>
    </xf>
    <xf numFmtId="3" fontId="18" fillId="4" borderId="31" xfId="2" applyNumberFormat="1" applyFont="1" applyFill="1" applyBorder="1" applyAlignment="1">
      <alignment horizontal="center" vertical="center"/>
    </xf>
    <xf numFmtId="0" fontId="18" fillId="4" borderId="0" xfId="0" applyFont="1" applyFill="1" applyAlignment="1">
      <alignment horizontal="left" vertical="center"/>
    </xf>
    <xf numFmtId="3" fontId="18" fillId="4" borderId="0" xfId="3" applyNumberFormat="1" applyFont="1" applyFill="1" applyBorder="1" applyAlignment="1">
      <alignment horizontal="center" vertical="center"/>
    </xf>
    <xf numFmtId="172" fontId="18" fillId="4" borderId="0" xfId="3" applyNumberFormat="1" applyFont="1" applyFill="1" applyBorder="1" applyAlignment="1">
      <alignment horizontal="center" vertical="center"/>
    </xf>
    <xf numFmtId="3" fontId="18" fillId="4" borderId="0" xfId="2" applyNumberFormat="1" applyFont="1" applyFill="1" applyBorder="1" applyAlignment="1">
      <alignment horizontal="center" vertical="center"/>
    </xf>
    <xf numFmtId="3" fontId="18" fillId="4" borderId="0" xfId="0" applyNumberFormat="1" applyFont="1" applyFill="1" applyAlignment="1">
      <alignment horizontal="center" vertical="center"/>
    </xf>
    <xf numFmtId="0" fontId="18" fillId="4" borderId="30" xfId="3" applyNumberFormat="1" applyFont="1" applyFill="1" applyBorder="1" applyAlignment="1">
      <alignment horizontal="center" vertical="center"/>
    </xf>
    <xf numFmtId="0" fontId="39" fillId="4" borderId="30" xfId="0" applyFont="1" applyFill="1" applyBorder="1" applyAlignment="1">
      <alignment horizontal="center" vertical="center"/>
    </xf>
    <xf numFmtId="0" fontId="23" fillId="0" borderId="3" xfId="23" applyFont="1" applyBorder="1" applyAlignment="1">
      <alignment horizontal="center" vertical="center"/>
    </xf>
    <xf numFmtId="0" fontId="16" fillId="0" borderId="3" xfId="23" applyFont="1" applyBorder="1"/>
    <xf numFmtId="171" fontId="16" fillId="6" borderId="3" xfId="3" applyNumberFormat="1" applyFont="1" applyFill="1" applyBorder="1"/>
    <xf numFmtId="9" fontId="16" fillId="6" borderId="3" xfId="33" applyFont="1" applyFill="1" applyBorder="1"/>
    <xf numFmtId="3" fontId="16" fillId="0" borderId="3" xfId="23" applyNumberFormat="1" applyFont="1" applyBorder="1"/>
    <xf numFmtId="171" fontId="26" fillId="5" borderId="3" xfId="2" applyNumberFormat="1" applyFont="1" applyFill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center" vertical="center"/>
    </xf>
    <xf numFmtId="0" fontId="16" fillId="4" borderId="53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0" fontId="16" fillId="4" borderId="53" xfId="0" applyFont="1" applyFill="1" applyBorder="1" applyAlignment="1">
      <alignment horizontal="left" vertical="center"/>
    </xf>
    <xf numFmtId="171" fontId="41" fillId="4" borderId="0" xfId="2" applyNumberFormat="1" applyFont="1" applyFill="1" applyAlignment="1">
      <alignment horizontal="center" vertical="center"/>
    </xf>
    <xf numFmtId="3" fontId="33" fillId="4" borderId="0" xfId="3" applyNumberFormat="1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36" fillId="2" borderId="0" xfId="36" applyNumberFormat="1" applyFont="1" applyFill="1" applyAlignment="1"/>
    <xf numFmtId="0" fontId="43" fillId="0" borderId="0" xfId="36" applyNumberFormat="1" applyFont="1" applyAlignment="1"/>
    <xf numFmtId="0" fontId="36" fillId="0" borderId="0" xfId="36" applyNumberFormat="1" applyFont="1" applyAlignment="1"/>
    <xf numFmtId="0" fontId="36" fillId="2" borderId="0" xfId="36" applyNumberFormat="1" applyFont="1" applyFill="1" applyBorder="1" applyAlignment="1">
      <alignment horizontal="center"/>
    </xf>
    <xf numFmtId="0" fontId="43" fillId="0" borderId="0" xfId="36" applyNumberFormat="1" applyFont="1"/>
    <xf numFmtId="0" fontId="18" fillId="0" borderId="0" xfId="37" applyFont="1" applyAlignment="1">
      <alignment horizontal="center" vertical="center"/>
    </xf>
    <xf numFmtId="0" fontId="43" fillId="0" borderId="0" xfId="37" applyFont="1" applyAlignment="1">
      <alignment horizontal="center" vertical="center"/>
    </xf>
    <xf numFmtId="0" fontId="19" fillId="0" borderId="0" xfId="37" applyFont="1"/>
    <xf numFmtId="0" fontId="44" fillId="2" borderId="54" xfId="37" applyFont="1" applyFill="1" applyBorder="1"/>
    <xf numFmtId="0" fontId="45" fillId="0" borderId="54" xfId="37" applyFont="1" applyBorder="1"/>
    <xf numFmtId="0" fontId="46" fillId="0" borderId="54" xfId="37" applyFont="1" applyBorder="1"/>
    <xf numFmtId="9" fontId="36" fillId="8" borderId="0" xfId="37" applyNumberFormat="1" applyFont="1" applyFill="1" applyAlignment="1">
      <alignment horizontal="center"/>
    </xf>
    <xf numFmtId="9" fontId="36" fillId="0" borderId="0" xfId="37" applyNumberFormat="1" applyFont="1" applyAlignment="1">
      <alignment horizontal="center"/>
    </xf>
    <xf numFmtId="0" fontId="26" fillId="5" borderId="3" xfId="37" applyFont="1" applyFill="1" applyBorder="1" applyAlignment="1">
      <alignment horizontal="center" vertical="center" wrapText="1"/>
    </xf>
    <xf numFmtId="176" fontId="26" fillId="5" borderId="14" xfId="37" applyNumberFormat="1" applyFont="1" applyFill="1" applyBorder="1" applyAlignment="1">
      <alignment horizontal="center" vertical="center" wrapText="1"/>
    </xf>
    <xf numFmtId="1" fontId="26" fillId="3" borderId="3" xfId="37" applyNumberFormat="1" applyFont="1" applyFill="1" applyBorder="1" applyAlignment="1">
      <alignment horizontal="center" vertical="center" wrapText="1"/>
    </xf>
    <xf numFmtId="1" fontId="26" fillId="5" borderId="14" xfId="37" applyNumberFormat="1" applyFont="1" applyFill="1" applyBorder="1" applyAlignment="1">
      <alignment horizontal="center" vertical="center" wrapText="1"/>
    </xf>
    <xf numFmtId="1" fontId="26" fillId="5" borderId="3" xfId="37" applyNumberFormat="1" applyFont="1" applyFill="1" applyBorder="1" applyAlignment="1">
      <alignment horizontal="center" vertical="center" wrapText="1"/>
    </xf>
    <xf numFmtId="1" fontId="26" fillId="5" borderId="6" xfId="37" applyNumberFormat="1" applyFont="1" applyFill="1" applyBorder="1" applyAlignment="1">
      <alignment horizontal="center" vertical="center" wrapText="1"/>
    </xf>
    <xf numFmtId="0" fontId="26" fillId="0" borderId="0" xfId="37" applyFont="1" applyAlignment="1">
      <alignment horizontal="center" vertical="center" wrapText="1"/>
    </xf>
    <xf numFmtId="1" fontId="26" fillId="3" borderId="6" xfId="38" applyNumberFormat="1" applyFont="1" applyFill="1" applyBorder="1" applyAlignment="1">
      <alignment horizontal="center" vertical="center" wrapText="1"/>
    </xf>
    <xf numFmtId="0" fontId="26" fillId="2" borderId="0" xfId="37" applyFont="1" applyFill="1" applyAlignment="1">
      <alignment horizontal="center" vertical="center" wrapText="1"/>
    </xf>
    <xf numFmtId="165" fontId="26" fillId="5" borderId="3" xfId="3" applyFont="1" applyFill="1" applyBorder="1" applyAlignment="1">
      <alignment horizontal="center" vertical="center" wrapText="1"/>
    </xf>
    <xf numFmtId="1" fontId="26" fillId="3" borderId="7" xfId="37" applyNumberFormat="1" applyFont="1" applyFill="1" applyBorder="1" applyAlignment="1">
      <alignment horizontal="center" vertical="center" wrapText="1"/>
    </xf>
    <xf numFmtId="1" fontId="26" fillId="3" borderId="27" xfId="37" applyNumberFormat="1" applyFont="1" applyFill="1" applyBorder="1" applyAlignment="1">
      <alignment horizontal="center" vertical="center" wrapText="1"/>
    </xf>
    <xf numFmtId="165" fontId="26" fillId="5" borderId="7" xfId="37" applyNumberFormat="1" applyFont="1" applyFill="1" applyBorder="1" applyAlignment="1">
      <alignment horizontal="center" vertical="center" wrapText="1"/>
    </xf>
    <xf numFmtId="165" fontId="26" fillId="3" borderId="6" xfId="38" applyFont="1" applyFill="1" applyBorder="1" applyAlignment="1">
      <alignment horizontal="center" vertical="center" wrapText="1"/>
    </xf>
    <xf numFmtId="165" fontId="26" fillId="3" borderId="27" xfId="37" applyNumberFormat="1" applyFont="1" applyFill="1" applyBorder="1" applyAlignment="1">
      <alignment horizontal="center" vertical="center" wrapText="1"/>
    </xf>
    <xf numFmtId="165" fontId="26" fillId="5" borderId="3" xfId="37" applyNumberFormat="1" applyFont="1" applyFill="1" applyBorder="1" applyAlignment="1">
      <alignment horizontal="center" vertical="center" wrapText="1"/>
    </xf>
    <xf numFmtId="165" fontId="26" fillId="5" borderId="27" xfId="37" applyNumberFormat="1" applyFont="1" applyFill="1" applyBorder="1" applyAlignment="1">
      <alignment horizontal="center" vertical="center" wrapText="1"/>
    </xf>
    <xf numFmtId="165" fontId="26" fillId="2" borderId="0" xfId="3" applyFont="1" applyFill="1" applyAlignment="1">
      <alignment horizontal="center" vertical="center" wrapText="1"/>
    </xf>
    <xf numFmtId="0" fontId="47" fillId="5" borderId="7" xfId="37" applyFont="1" applyFill="1" applyBorder="1" applyAlignment="1">
      <alignment horizontal="center" vertical="center" wrapText="1"/>
    </xf>
    <xf numFmtId="0" fontId="47" fillId="5" borderId="3" xfId="37" applyFont="1" applyFill="1" applyBorder="1" applyAlignment="1">
      <alignment horizontal="center" vertical="center" wrapText="1"/>
    </xf>
    <xf numFmtId="0" fontId="47" fillId="5" borderId="55" xfId="37" applyFont="1" applyFill="1" applyBorder="1" applyAlignment="1">
      <alignment horizontal="center" vertical="center" wrapText="1"/>
    </xf>
    <xf numFmtId="1" fontId="47" fillId="5" borderId="3" xfId="37" applyNumberFormat="1" applyFont="1" applyFill="1" applyBorder="1" applyAlignment="1">
      <alignment horizontal="center" vertical="center" wrapText="1"/>
    </xf>
    <xf numFmtId="177" fontId="47" fillId="5" borderId="7" xfId="37" applyNumberFormat="1" applyFont="1" applyFill="1" applyBorder="1" applyAlignment="1">
      <alignment horizontal="center" vertical="center" wrapText="1"/>
    </xf>
    <xf numFmtId="0" fontId="26" fillId="5" borderId="3" xfId="37" applyFont="1" applyFill="1" applyBorder="1" applyAlignment="1">
      <alignment vertical="center" wrapText="1"/>
    </xf>
    <xf numFmtId="0" fontId="47" fillId="0" borderId="0" xfId="37" applyFont="1" applyAlignment="1">
      <alignment horizontal="center" vertical="center" wrapText="1"/>
    </xf>
    <xf numFmtId="0" fontId="19" fillId="4" borderId="3" xfId="37" applyFont="1" applyFill="1" applyBorder="1" applyAlignment="1">
      <alignment horizontal="center" vertical="center"/>
    </xf>
    <xf numFmtId="0" fontId="43" fillId="9" borderId="3" xfId="37" applyFont="1" applyFill="1" applyBorder="1" applyAlignment="1">
      <alignment horizontal="center" vertical="center"/>
    </xf>
    <xf numFmtId="0" fontId="19" fillId="4" borderId="3" xfId="37" applyFont="1" applyFill="1" applyBorder="1"/>
    <xf numFmtId="0" fontId="19" fillId="4" borderId="0" xfId="37" applyFont="1" applyFill="1"/>
    <xf numFmtId="0" fontId="19" fillId="0" borderId="3" xfId="37" applyFont="1" applyBorder="1"/>
    <xf numFmtId="178" fontId="43" fillId="9" borderId="3" xfId="37" applyNumberFormat="1" applyFont="1" applyFill="1" applyBorder="1"/>
    <xf numFmtId="0" fontId="19" fillId="2" borderId="0" xfId="37" applyFont="1" applyFill="1"/>
    <xf numFmtId="0" fontId="43" fillId="0" borderId="0" xfId="37" applyFont="1"/>
    <xf numFmtId="0" fontId="48" fillId="2" borderId="0" xfId="36" applyNumberFormat="1" applyFont="1" applyFill="1" applyAlignment="1"/>
    <xf numFmtId="0" fontId="49" fillId="4" borderId="0" xfId="36" applyNumberFormat="1" applyFont="1" applyFill="1"/>
    <xf numFmtId="0" fontId="25" fillId="0" borderId="54" xfId="37" applyFont="1" applyBorder="1"/>
    <xf numFmtId="170" fontId="26" fillId="5" borderId="3" xfId="2" applyNumberFormat="1" applyFont="1" applyFill="1" applyBorder="1" applyAlignment="1">
      <alignment horizontal="center" vertical="center" wrapText="1"/>
    </xf>
    <xf numFmtId="170" fontId="26" fillId="3" borderId="7" xfId="2" applyNumberFormat="1" applyFont="1" applyFill="1" applyBorder="1" applyAlignment="1">
      <alignment horizontal="center" vertical="center" wrapText="1"/>
    </xf>
    <xf numFmtId="170" fontId="26" fillId="3" borderId="27" xfId="2" applyNumberFormat="1" applyFont="1" applyFill="1" applyBorder="1" applyAlignment="1">
      <alignment horizontal="center" vertical="center" wrapText="1"/>
    </xf>
    <xf numFmtId="170" fontId="26" fillId="5" borderId="7" xfId="2" applyNumberFormat="1" applyFont="1" applyFill="1" applyBorder="1" applyAlignment="1">
      <alignment horizontal="center" vertical="center" wrapText="1"/>
    </xf>
    <xf numFmtId="170" fontId="26" fillId="3" borderId="6" xfId="2" applyNumberFormat="1" applyFont="1" applyFill="1" applyBorder="1" applyAlignment="1">
      <alignment horizontal="center" vertical="center" wrapText="1"/>
    </xf>
    <xf numFmtId="170" fontId="26" fillId="5" borderId="27" xfId="2" applyNumberFormat="1" applyFont="1" applyFill="1" applyBorder="1" applyAlignment="1">
      <alignment horizontal="center" vertical="center" wrapText="1"/>
    </xf>
    <xf numFmtId="170" fontId="26" fillId="2" borderId="0" xfId="2" applyNumberFormat="1" applyFont="1" applyFill="1" applyAlignment="1">
      <alignment horizontal="center" vertical="center" wrapText="1"/>
    </xf>
    <xf numFmtId="170" fontId="16" fillId="5" borderId="3" xfId="2" applyNumberFormat="1" applyFont="1" applyFill="1" applyBorder="1"/>
    <xf numFmtId="0" fontId="13" fillId="4" borderId="0" xfId="37" applyFont="1" applyFill="1"/>
    <xf numFmtId="0" fontId="16" fillId="4" borderId="0" xfId="37" applyFont="1" applyFill="1"/>
    <xf numFmtId="170" fontId="16" fillId="4" borderId="0" xfId="2" applyNumberFormat="1" applyFont="1" applyFill="1"/>
    <xf numFmtId="2" fontId="16" fillId="4" borderId="0" xfId="37" applyNumberFormat="1" applyFont="1" applyFill="1"/>
    <xf numFmtId="0" fontId="12" fillId="4" borderId="0" xfId="37" applyFont="1" applyFill="1"/>
    <xf numFmtId="0" fontId="15" fillId="4" borderId="0" xfId="37" applyFont="1" applyFill="1" applyAlignment="1">
      <alignment horizontal="center"/>
    </xf>
    <xf numFmtId="3" fontId="12" fillId="4" borderId="0" xfId="37" applyNumberFormat="1" applyFont="1" applyFill="1"/>
    <xf numFmtId="171" fontId="20" fillId="4" borderId="0" xfId="37" applyNumberFormat="1" applyFont="1" applyFill="1"/>
    <xf numFmtId="0" fontId="18" fillId="4" borderId="3" xfId="37" applyFont="1" applyFill="1" applyBorder="1" applyAlignment="1">
      <alignment horizontal="center" vertical="center" wrapText="1"/>
    </xf>
    <xf numFmtId="0" fontId="18" fillId="4" borderId="7" xfId="37" applyFont="1" applyFill="1" applyBorder="1" applyAlignment="1">
      <alignment horizontal="center" vertical="center" wrapText="1"/>
    </xf>
    <xf numFmtId="171" fontId="22" fillId="4" borderId="7" xfId="39" applyNumberFormat="1" applyFont="1" applyFill="1" applyBorder="1" applyAlignment="1">
      <alignment horizontal="center" vertical="center" wrapText="1"/>
    </xf>
    <xf numFmtId="0" fontId="23" fillId="4" borderId="7" xfId="37" applyFont="1" applyFill="1" applyBorder="1" applyAlignment="1">
      <alignment horizontal="center" vertical="center" wrapText="1"/>
    </xf>
    <xf numFmtId="171" fontId="23" fillId="4" borderId="7" xfId="39" applyNumberFormat="1" applyFont="1" applyFill="1" applyBorder="1" applyAlignment="1">
      <alignment horizontal="center" vertical="center" wrapText="1"/>
    </xf>
    <xf numFmtId="0" fontId="23" fillId="5" borderId="7" xfId="37" applyFont="1" applyFill="1" applyBorder="1" applyAlignment="1">
      <alignment horizontal="center" vertical="center" wrapText="1"/>
    </xf>
    <xf numFmtId="171" fontId="23" fillId="6" borderId="7" xfId="39" applyNumberFormat="1" applyFont="1" applyFill="1" applyBorder="1" applyAlignment="1">
      <alignment horizontal="center" vertical="center" wrapText="1"/>
    </xf>
    <xf numFmtId="0" fontId="23" fillId="6" borderId="7" xfId="37" applyFont="1" applyFill="1" applyBorder="1" applyAlignment="1">
      <alignment horizontal="center" vertical="center" wrapText="1"/>
    </xf>
    <xf numFmtId="171" fontId="23" fillId="6" borderId="7" xfId="32" applyNumberFormat="1" applyFont="1" applyFill="1" applyBorder="1" applyAlignment="1">
      <alignment horizontal="center" vertical="center" wrapText="1"/>
    </xf>
    <xf numFmtId="3" fontId="19" fillId="4" borderId="7" xfId="37" applyNumberFormat="1" applyFont="1" applyFill="1" applyBorder="1" applyAlignment="1">
      <alignment vertical="center" shrinkToFit="1"/>
    </xf>
    <xf numFmtId="0" fontId="19" fillId="4" borderId="7" xfId="37" applyFont="1" applyFill="1" applyBorder="1" applyAlignment="1">
      <alignment vertical="center" shrinkToFit="1"/>
    </xf>
    <xf numFmtId="173" fontId="19" fillId="4" borderId="7" xfId="37" applyNumberFormat="1" applyFont="1" applyFill="1" applyBorder="1" applyAlignment="1">
      <alignment vertical="center" shrinkToFit="1"/>
    </xf>
    <xf numFmtId="173" fontId="19" fillId="4" borderId="28" xfId="37" applyNumberFormat="1" applyFont="1" applyFill="1" applyBorder="1" applyAlignment="1">
      <alignment vertical="center" shrinkToFit="1"/>
    </xf>
    <xf numFmtId="3" fontId="19" fillId="4" borderId="53" xfId="37" applyNumberFormat="1" applyFont="1" applyFill="1" applyBorder="1" applyAlignment="1">
      <alignment vertical="center" shrinkToFit="1"/>
    </xf>
    <xf numFmtId="3" fontId="19" fillId="4" borderId="53" xfId="39" applyNumberFormat="1" applyFont="1" applyFill="1" applyBorder="1" applyAlignment="1">
      <alignment vertical="center" shrinkToFit="1"/>
    </xf>
    <xf numFmtId="0" fontId="19" fillId="4" borderId="53" xfId="37" applyFont="1" applyFill="1" applyBorder="1" applyAlignment="1">
      <alignment vertical="center" shrinkToFit="1"/>
    </xf>
    <xf numFmtId="171" fontId="16" fillId="5" borderId="3" xfId="39" applyNumberFormat="1" applyFont="1" applyFill="1" applyBorder="1"/>
    <xf numFmtId="171" fontId="16" fillId="4" borderId="0" xfId="37" applyNumberFormat="1" applyFont="1" applyFill="1"/>
    <xf numFmtId="1" fontId="16" fillId="4" borderId="0" xfId="37" applyNumberFormat="1" applyFont="1" applyFill="1"/>
    <xf numFmtId="0" fontId="19" fillId="4" borderId="53" xfId="37" applyFont="1" applyFill="1" applyBorder="1" applyAlignment="1">
      <alignment horizontal="center" vertical="center"/>
    </xf>
    <xf numFmtId="0" fontId="19" fillId="4" borderId="53" xfId="37" applyFont="1" applyFill="1" applyBorder="1" applyAlignment="1">
      <alignment horizontal="left" vertical="center" wrapText="1"/>
    </xf>
    <xf numFmtId="0" fontId="19" fillId="4" borderId="56" xfId="37" applyFont="1" applyFill="1" applyBorder="1" applyAlignment="1">
      <alignment vertical="center" shrinkToFit="1"/>
    </xf>
    <xf numFmtId="0" fontId="19" fillId="4" borderId="57" xfId="37" applyFont="1" applyFill="1" applyBorder="1" applyAlignment="1">
      <alignment vertical="center" shrinkToFit="1"/>
    </xf>
    <xf numFmtId="0" fontId="42" fillId="4" borderId="0" xfId="37" applyFont="1" applyFill="1"/>
    <xf numFmtId="0" fontId="19" fillId="4" borderId="0" xfId="37" applyFont="1" applyFill="1" applyAlignment="1">
      <alignment horizontal="center" vertical="center"/>
    </xf>
    <xf numFmtId="0" fontId="18" fillId="4" borderId="0" xfId="37" applyFont="1" applyFill="1" applyAlignment="1">
      <alignment horizontal="center" vertical="center" wrapText="1"/>
    </xf>
    <xf numFmtId="0" fontId="18" fillId="4" borderId="0" xfId="37" applyFont="1" applyFill="1" applyAlignment="1">
      <alignment horizontal="center" vertical="center"/>
    </xf>
    <xf numFmtId="0" fontId="17" fillId="4" borderId="0" xfId="37" applyFont="1" applyFill="1" applyAlignment="1">
      <alignment horizontal="right"/>
    </xf>
    <xf numFmtId="0" fontId="21" fillId="4" borderId="0" xfId="37" applyFont="1" applyFill="1"/>
    <xf numFmtId="0" fontId="13" fillId="4" borderId="0" xfId="37" applyFont="1" applyFill="1" applyAlignment="1">
      <alignment horizontal="center" vertical="center"/>
    </xf>
    <xf numFmtId="0" fontId="12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wrapText="1"/>
    </xf>
    <xf numFmtId="0" fontId="25" fillId="4" borderId="0" xfId="37" applyFont="1" applyFill="1"/>
    <xf numFmtId="170" fontId="25" fillId="4" borderId="0" xfId="2" applyNumberFormat="1" applyFont="1" applyFill="1"/>
    <xf numFmtId="2" fontId="25" fillId="4" borderId="0" xfId="37" applyNumberFormat="1" applyFont="1" applyFill="1"/>
    <xf numFmtId="0" fontId="16" fillId="5" borderId="3" xfId="0" applyFont="1" applyFill="1" applyBorder="1"/>
    <xf numFmtId="0" fontId="16" fillId="6" borderId="3" xfId="0" applyFont="1" applyFill="1" applyBorder="1"/>
    <xf numFmtId="2" fontId="16" fillId="6" borderId="3" xfId="0" applyNumberFormat="1" applyFont="1" applyFill="1" applyBorder="1"/>
    <xf numFmtId="171" fontId="18" fillId="4" borderId="11" xfId="2" applyNumberFormat="1" applyFont="1" applyFill="1" applyBorder="1" applyAlignment="1">
      <alignment horizontal="center" vertical="center" shrinkToFit="1"/>
    </xf>
    <xf numFmtId="171" fontId="18" fillId="4" borderId="0" xfId="2" applyNumberFormat="1" applyFont="1" applyFill="1" applyAlignment="1">
      <alignment horizontal="center" vertical="center"/>
    </xf>
    <xf numFmtId="3" fontId="19" fillId="4" borderId="53" xfId="0" applyNumberFormat="1" applyFont="1" applyFill="1" applyBorder="1" applyAlignment="1">
      <alignment vertical="center" shrinkToFit="1"/>
    </xf>
    <xf numFmtId="0" fontId="26" fillId="5" borderId="39" xfId="37" applyFont="1" applyFill="1" applyBorder="1" applyAlignment="1">
      <alignment horizontal="center" vertical="center" wrapText="1"/>
    </xf>
    <xf numFmtId="0" fontId="5" fillId="0" borderId="0" xfId="1"/>
    <xf numFmtId="0" fontId="19" fillId="0" borderId="0" xfId="1" applyFont="1"/>
    <xf numFmtId="0" fontId="48" fillId="5" borderId="0" xfId="1" applyFont="1" applyFill="1" applyAlignment="1">
      <alignment horizontal="center" vertical="center" wrapText="1"/>
    </xf>
    <xf numFmtId="0" fontId="48" fillId="5" borderId="32" xfId="37" applyFont="1" applyFill="1" applyBorder="1" applyAlignment="1">
      <alignment horizontal="center" vertical="center" wrapText="1"/>
    </xf>
    <xf numFmtId="0" fontId="48" fillId="5" borderId="53" xfId="37" applyFont="1" applyFill="1" applyBorder="1" applyAlignment="1">
      <alignment horizontal="center" vertical="center" wrapText="1"/>
    </xf>
    <xf numFmtId="0" fontId="18" fillId="5" borderId="3" xfId="1" applyFont="1" applyFill="1" applyBorder="1" applyAlignment="1">
      <alignment horizontal="center" vertical="center"/>
    </xf>
    <xf numFmtId="0" fontId="18" fillId="5" borderId="3" xfId="37" applyFont="1" applyFill="1" applyBorder="1" applyAlignment="1">
      <alignment horizontal="center" vertical="center" wrapText="1"/>
    </xf>
    <xf numFmtId="0" fontId="26" fillId="5" borderId="7" xfId="37" applyFont="1" applyFill="1" applyBorder="1" applyAlignment="1">
      <alignment horizontal="center" vertical="center" wrapText="1"/>
    </xf>
    <xf numFmtId="0" fontId="26" fillId="5" borderId="11" xfId="37" applyFont="1" applyFill="1" applyBorder="1" applyAlignment="1">
      <alignment horizontal="center" vertical="center" wrapText="1"/>
    </xf>
    <xf numFmtId="0" fontId="26" fillId="5" borderId="53" xfId="37" applyFont="1" applyFill="1" applyBorder="1" applyAlignment="1">
      <alignment horizontal="center" vertical="center" wrapText="1"/>
    </xf>
    <xf numFmtId="0" fontId="13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horizontal="center" vertical="center"/>
    </xf>
    <xf numFmtId="0" fontId="19" fillId="4" borderId="7" xfId="37" applyFont="1" applyFill="1" applyBorder="1" applyAlignment="1">
      <alignment horizontal="center" vertical="center"/>
    </xf>
    <xf numFmtId="0" fontId="19" fillId="4" borderId="12" xfId="37" applyFont="1" applyFill="1" applyBorder="1" applyAlignment="1">
      <alignment horizontal="center" vertical="center"/>
    </xf>
    <xf numFmtId="1" fontId="19" fillId="4" borderId="7" xfId="0" applyNumberFormat="1" applyFont="1" applyFill="1" applyBorder="1" applyAlignment="1">
      <alignment horizontal="center" vertical="center" wrapText="1"/>
    </xf>
    <xf numFmtId="1" fontId="19" fillId="4" borderId="5" xfId="0" applyNumberFormat="1" applyFont="1" applyFill="1" applyBorder="1" applyAlignment="1">
      <alignment horizontal="center" vertical="center" wrapText="1"/>
    </xf>
    <xf numFmtId="1" fontId="19" fillId="4" borderId="7" xfId="0" applyNumberFormat="1" applyFont="1" applyFill="1" applyBorder="1" applyAlignment="1">
      <alignment horizontal="center" vertical="center"/>
    </xf>
    <xf numFmtId="0" fontId="19" fillId="4" borderId="12" xfId="0" applyFont="1" applyFill="1" applyBorder="1" applyAlignment="1">
      <alignment horizontal="center" vertical="center"/>
    </xf>
    <xf numFmtId="14" fontId="19" fillId="4" borderId="33" xfId="0" applyNumberFormat="1" applyFont="1" applyFill="1" applyBorder="1" applyAlignment="1">
      <alignment horizontal="center" vertical="center" shrinkToFit="1"/>
    </xf>
    <xf numFmtId="0" fontId="19" fillId="4" borderId="34" xfId="0" quotePrefix="1" applyFont="1" applyFill="1" applyBorder="1" applyAlignment="1">
      <alignment horizontal="center" vertical="center" shrinkToFit="1"/>
    </xf>
    <xf numFmtId="0" fontId="19" fillId="4" borderId="35" xfId="37" applyFont="1" applyFill="1" applyBorder="1" applyAlignment="1">
      <alignment horizontal="center" vertical="center"/>
    </xf>
    <xf numFmtId="0" fontId="19" fillId="4" borderId="36" xfId="37" applyFont="1" applyFill="1" applyBorder="1" applyAlignment="1">
      <alignment horizontal="center" vertical="center"/>
    </xf>
    <xf numFmtId="0" fontId="18" fillId="4" borderId="8" xfId="37" applyFont="1" applyFill="1" applyBorder="1" applyAlignment="1">
      <alignment horizontal="center" vertical="center" wrapText="1"/>
    </xf>
    <xf numFmtId="0" fontId="18" fillId="4" borderId="54" xfId="37" applyFont="1" applyFill="1" applyBorder="1" applyAlignment="1">
      <alignment horizontal="center" vertical="center" wrapText="1"/>
    </xf>
    <xf numFmtId="0" fontId="18" fillId="4" borderId="37" xfId="37" applyFont="1" applyFill="1" applyBorder="1" applyAlignment="1">
      <alignment horizontal="center" vertical="center"/>
    </xf>
    <xf numFmtId="0" fontId="18" fillId="4" borderId="38" xfId="37" applyFont="1" applyFill="1" applyBorder="1" applyAlignment="1">
      <alignment horizontal="center" vertical="center"/>
    </xf>
    <xf numFmtId="0" fontId="19" fillId="4" borderId="36" xfId="0" applyFont="1" applyFill="1" applyBorder="1" applyAlignment="1">
      <alignment horizontal="center" vertical="center" shrinkToFit="1"/>
    </xf>
    <xf numFmtId="0" fontId="19" fillId="4" borderId="38" xfId="0" applyFont="1" applyFill="1" applyBorder="1" applyAlignment="1">
      <alignment horizontal="center" vertical="center" shrinkToFit="1"/>
    </xf>
    <xf numFmtId="0" fontId="18" fillId="4" borderId="7" xfId="37" applyFont="1" applyFill="1" applyBorder="1" applyAlignment="1">
      <alignment horizontal="center" vertical="center" wrapText="1"/>
    </xf>
    <xf numFmtId="0" fontId="18" fillId="4" borderId="53" xfId="37" applyFont="1" applyFill="1" applyBorder="1" applyAlignment="1">
      <alignment horizontal="center" vertical="center" wrapText="1"/>
    </xf>
    <xf numFmtId="0" fontId="22" fillId="5" borderId="3" xfId="27" applyFont="1" applyFill="1" applyBorder="1" applyAlignment="1">
      <alignment horizontal="center" vertical="center"/>
    </xf>
    <xf numFmtId="0" fontId="5" fillId="5" borderId="3" xfId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53" xfId="0" applyFont="1" applyFill="1" applyBorder="1" applyAlignment="1">
      <alignment horizontal="center" vertical="center"/>
    </xf>
    <xf numFmtId="0" fontId="18" fillId="4" borderId="3" xfId="37" applyFont="1" applyFill="1" applyBorder="1" applyAlignment="1">
      <alignment horizontal="center" vertical="center" wrapText="1"/>
    </xf>
    <xf numFmtId="0" fontId="18" fillId="7" borderId="7" xfId="23" applyFont="1" applyFill="1" applyBorder="1" applyAlignment="1">
      <alignment horizontal="center" vertical="center" wrapText="1"/>
    </xf>
    <xf numFmtId="0" fontId="18" fillId="7" borderId="11" xfId="23" applyFont="1" applyFill="1" applyBorder="1" applyAlignment="1">
      <alignment horizontal="center" vertical="center" wrapText="1"/>
    </xf>
    <xf numFmtId="0" fontId="23" fillId="4" borderId="14" xfId="37" applyFont="1" applyFill="1" applyBorder="1" applyAlignment="1">
      <alignment horizontal="center" vertical="center" wrapText="1"/>
    </xf>
    <xf numFmtId="0" fontId="23" fillId="4" borderId="39" xfId="37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53" xfId="0" applyFont="1" applyFill="1" applyBorder="1" applyAlignment="1">
      <alignment horizontal="center" vertical="center"/>
    </xf>
    <xf numFmtId="2" fontId="18" fillId="6" borderId="7" xfId="0" applyNumberFormat="1" applyFont="1" applyFill="1" applyBorder="1" applyAlignment="1">
      <alignment horizontal="center" vertical="center"/>
    </xf>
    <xf numFmtId="2" fontId="18" fillId="6" borderId="53" xfId="0" applyNumberFormat="1" applyFont="1" applyFill="1" applyBorder="1" applyAlignment="1">
      <alignment horizontal="center" vertical="center"/>
    </xf>
    <xf numFmtId="0" fontId="18" fillId="4" borderId="14" xfId="37" applyFont="1" applyFill="1" applyBorder="1" applyAlignment="1">
      <alignment horizontal="center" vertical="center" wrapText="1"/>
    </xf>
    <xf numFmtId="0" fontId="18" fillId="4" borderId="2" xfId="37" applyFont="1" applyFill="1" applyBorder="1" applyAlignment="1">
      <alignment horizontal="center" vertical="center" wrapText="1"/>
    </xf>
    <xf numFmtId="0" fontId="18" fillId="4" borderId="39" xfId="37" applyFont="1" applyFill="1" applyBorder="1" applyAlignment="1">
      <alignment horizontal="center" vertical="center" wrapText="1"/>
    </xf>
    <xf numFmtId="0" fontId="18" fillId="4" borderId="11" xfId="37" applyFont="1" applyFill="1" applyBorder="1" applyAlignment="1">
      <alignment horizontal="center" vertical="center" wrapText="1"/>
    </xf>
    <xf numFmtId="0" fontId="22" fillId="4" borderId="7" xfId="37" applyFont="1" applyFill="1" applyBorder="1" applyAlignment="1">
      <alignment horizontal="center" vertical="center" wrapText="1"/>
    </xf>
    <xf numFmtId="0" fontId="22" fillId="4" borderId="53" xfId="37" applyFont="1" applyFill="1" applyBorder="1" applyAlignment="1">
      <alignment horizontal="center" vertical="center" wrapText="1"/>
    </xf>
    <xf numFmtId="171" fontId="18" fillId="4" borderId="3" xfId="2" applyNumberFormat="1" applyFont="1" applyFill="1" applyBorder="1" applyAlignment="1">
      <alignment horizontal="center" vertical="center" wrapText="1"/>
    </xf>
    <xf numFmtId="0" fontId="18" fillId="4" borderId="27" xfId="37" applyFont="1" applyFill="1" applyBorder="1" applyAlignment="1">
      <alignment horizontal="center" vertical="center" wrapText="1"/>
    </xf>
    <xf numFmtId="0" fontId="18" fillId="4" borderId="28" xfId="37" applyFont="1" applyFill="1" applyBorder="1" applyAlignment="1">
      <alignment horizontal="center" vertical="center" wrapText="1"/>
    </xf>
    <xf numFmtId="0" fontId="18" fillId="4" borderId="13" xfId="37" applyFont="1" applyFill="1" applyBorder="1" applyAlignment="1">
      <alignment horizontal="center" vertical="center" wrapText="1"/>
    </xf>
    <xf numFmtId="0" fontId="18" fillId="4" borderId="32" xfId="37" applyFont="1" applyFill="1" applyBorder="1" applyAlignment="1">
      <alignment horizontal="center" vertical="center" wrapText="1"/>
    </xf>
    <xf numFmtId="0" fontId="22" fillId="0" borderId="15" xfId="27" applyFont="1" applyBorder="1" applyAlignment="1">
      <alignment horizontal="left"/>
    </xf>
    <xf numFmtId="1" fontId="22" fillId="0" borderId="0" xfId="27" applyNumberFormat="1" applyFont="1" applyAlignment="1">
      <alignment horizontal="left"/>
    </xf>
    <xf numFmtId="1" fontId="22" fillId="0" borderId="16" xfId="27" applyNumberFormat="1" applyFont="1" applyBorder="1" applyAlignment="1">
      <alignment horizontal="left"/>
    </xf>
    <xf numFmtId="0" fontId="22" fillId="0" borderId="16" xfId="27" applyFont="1" applyBorder="1" applyAlignment="1">
      <alignment horizontal="left"/>
    </xf>
    <xf numFmtId="0" fontId="22" fillId="0" borderId="49" xfId="27" applyFont="1" applyBorder="1" applyAlignment="1">
      <alignment horizontal="center"/>
    </xf>
    <xf numFmtId="0" fontId="22" fillId="0" borderId="50" xfId="27" applyFont="1" applyBorder="1" applyAlignment="1">
      <alignment horizontal="center"/>
    </xf>
    <xf numFmtId="0" fontId="22" fillId="0" borderId="51" xfId="27" applyFont="1" applyBorder="1" applyAlignment="1">
      <alignment horizontal="center"/>
    </xf>
    <xf numFmtId="0" fontId="22" fillId="0" borderId="15" xfId="27" applyFont="1" applyBorder="1" applyAlignment="1">
      <alignment horizontal="center"/>
    </xf>
    <xf numFmtId="0" fontId="22" fillId="0" borderId="0" xfId="27" applyFont="1" applyAlignment="1">
      <alignment horizontal="center"/>
    </xf>
    <xf numFmtId="0" fontId="22" fillId="0" borderId="16" xfId="27" applyFont="1" applyBorder="1" applyAlignment="1">
      <alignment horizontal="center"/>
    </xf>
    <xf numFmtId="0" fontId="22" fillId="4" borderId="0" xfId="27" applyFont="1" applyFill="1" applyAlignment="1">
      <alignment horizontal="left"/>
    </xf>
    <xf numFmtId="174" fontId="22" fillId="0" borderId="45" xfId="7" applyNumberFormat="1" applyFont="1" applyBorder="1" applyAlignment="1">
      <alignment horizontal="right"/>
    </xf>
    <xf numFmtId="0" fontId="22" fillId="0" borderId="47" xfId="27" applyFont="1" applyBorder="1" applyAlignment="1">
      <alignment horizontal="left"/>
    </xf>
    <xf numFmtId="174" fontId="22" fillId="0" borderId="18" xfId="7" applyNumberFormat="1" applyFont="1" applyBorder="1" applyAlignment="1">
      <alignment horizontal="right"/>
    </xf>
    <xf numFmtId="174" fontId="22" fillId="0" borderId="0" xfId="27" applyNumberFormat="1" applyFont="1" applyAlignment="1">
      <alignment horizontal="left"/>
    </xf>
    <xf numFmtId="0" fontId="30" fillId="0" borderId="46" xfId="27" applyFont="1" applyBorder="1" applyAlignment="1">
      <alignment horizontal="left"/>
    </xf>
    <xf numFmtId="0" fontId="30" fillId="0" borderId="47" xfId="27" applyFont="1" applyBorder="1" applyAlignment="1">
      <alignment horizontal="left"/>
    </xf>
    <xf numFmtId="0" fontId="22" fillId="0" borderId="48" xfId="7" applyNumberFormat="1" applyFont="1" applyBorder="1" applyAlignment="1">
      <alignment horizontal="right"/>
    </xf>
    <xf numFmtId="174" fontId="22" fillId="0" borderId="48" xfId="7" applyNumberFormat="1" applyFont="1" applyBorder="1" applyAlignment="1">
      <alignment horizontal="right"/>
    </xf>
    <xf numFmtId="0" fontId="38" fillId="0" borderId="46" xfId="27" applyFont="1" applyBorder="1" applyAlignment="1">
      <alignment horizontal="left" wrapText="1"/>
    </xf>
    <xf numFmtId="0" fontId="38" fillId="0" borderId="47" xfId="27" applyFont="1" applyBorder="1" applyAlignment="1">
      <alignment horizontal="left" wrapText="1"/>
    </xf>
    <xf numFmtId="0" fontId="22" fillId="0" borderId="15" xfId="27" applyFont="1" applyBorder="1"/>
    <xf numFmtId="0" fontId="22" fillId="0" borderId="0" xfId="27" applyFont="1"/>
    <xf numFmtId="174" fontId="22" fillId="0" borderId="42" xfId="7" applyNumberFormat="1" applyFont="1" applyBorder="1" applyAlignment="1">
      <alignment horizontal="right"/>
    </xf>
    <xf numFmtId="0" fontId="30" fillId="0" borderId="15" xfId="27" applyFont="1" applyBorder="1"/>
    <xf numFmtId="0" fontId="30" fillId="0" borderId="0" xfId="27" applyFont="1"/>
    <xf numFmtId="174" fontId="22" fillId="0" borderId="43" xfId="7" applyNumberFormat="1" applyFont="1" applyBorder="1" applyAlignment="1">
      <alignment horizontal="right"/>
    </xf>
    <xf numFmtId="0" fontId="30" fillId="0" borderId="44" xfId="27" applyFont="1" applyBorder="1"/>
    <xf numFmtId="0" fontId="30" fillId="0" borderId="8" xfId="27" applyFont="1" applyBorder="1"/>
    <xf numFmtId="174" fontId="22" fillId="0" borderId="41" xfId="7" applyNumberFormat="1" applyFont="1" applyBorder="1" applyAlignment="1">
      <alignment horizontal="right"/>
    </xf>
    <xf numFmtId="0" fontId="23" fillId="0" borderId="0" xfId="27" quotePrefix="1" applyFont="1" applyAlignment="1">
      <alignment horizontal="center"/>
    </xf>
    <xf numFmtId="0" fontId="23" fillId="0" borderId="0" xfId="27" applyFont="1" applyAlignment="1">
      <alignment horizontal="center"/>
    </xf>
    <xf numFmtId="0" fontId="23" fillId="0" borderId="26" xfId="27" applyFont="1" applyBorder="1" applyAlignment="1">
      <alignment horizontal="center"/>
    </xf>
    <xf numFmtId="0" fontId="23" fillId="0" borderId="40" xfId="27" applyFont="1" applyBorder="1" applyAlignment="1">
      <alignment horizontal="center"/>
    </xf>
    <xf numFmtId="37" fontId="22" fillId="0" borderId="10" xfId="7" applyNumberFormat="1" applyFont="1" applyBorder="1" applyAlignment="1">
      <alignment horizontal="right"/>
    </xf>
    <xf numFmtId="0" fontId="23" fillId="0" borderId="17" xfId="27" applyFont="1" applyBorder="1" applyAlignment="1">
      <alignment horizontal="center"/>
    </xf>
    <xf numFmtId="0" fontId="22" fillId="0" borderId="46" xfId="27" applyFont="1" applyBorder="1" applyAlignment="1">
      <alignment horizontal="left"/>
    </xf>
    <xf numFmtId="37" fontId="22" fillId="0" borderId="52" xfId="7" applyNumberFormat="1" applyFont="1" applyBorder="1" applyAlignment="1">
      <alignment horizontal="right"/>
    </xf>
  </cellXfs>
  <cellStyles count="38">
    <cellStyle name="Comma" xfId="2" builtinId="3"/>
    <cellStyle name="Comma 2" xfId="3" xr:uid="{00000000-0005-0000-0000-000001000000}"/>
    <cellStyle name="Comma 2 2" xfId="32" xr:uid="{2CF383CC-61FF-4D06-ABD1-5B676D650A91}"/>
    <cellStyle name="Comma 3" xfId="4" xr:uid="{00000000-0005-0000-0000-000002000000}"/>
    <cellStyle name="Comma 4" xfId="5" xr:uid="{00000000-0005-0000-0000-000003000000}"/>
    <cellStyle name="Comma 4 2" xfId="39" xr:uid="{29A9AEE4-D9DE-47B0-856A-9BBB2B77C4D2}"/>
    <cellStyle name="Comma 5" xfId="6" xr:uid="{00000000-0005-0000-0000-000004000000}"/>
    <cellStyle name="Comma 6" xfId="35" xr:uid="{243D1F71-B44C-45F8-96FF-F278453DCFEF}"/>
    <cellStyle name="Comma 6 2" xfId="38" xr:uid="{53AD0C90-8A45-47A6-870D-29674A97D5B4}"/>
    <cellStyle name="Comma_Sheet1" xfId="7" xr:uid="{00000000-0005-0000-0000-000005000000}"/>
    <cellStyle name="Comma0" xfId="8" xr:uid="{00000000-0005-0000-0000-000006000000}"/>
    <cellStyle name="Currency0" xfId="9" xr:uid="{00000000-0005-0000-0000-000007000000}"/>
    <cellStyle name="Date" xfId="10" xr:uid="{00000000-0005-0000-0000-000008000000}"/>
    <cellStyle name="Fixed" xfId="11" xr:uid="{00000000-0005-0000-0000-000009000000}"/>
    <cellStyle name="Header1" xfId="12" xr:uid="{00000000-0005-0000-0000-00000A000000}"/>
    <cellStyle name="Header2" xfId="13" xr:uid="{00000000-0005-0000-0000-00000B000000}"/>
    <cellStyle name="Heading 1" xfId="14" builtinId="16" customBuiltin="1"/>
    <cellStyle name="Heading 1 2" xfId="15" xr:uid="{00000000-0005-0000-0000-00000D000000}"/>
    <cellStyle name="Heading 2" xfId="16" builtinId="17" customBuiltin="1"/>
    <cellStyle name="Heading 2 2" xfId="17" xr:uid="{00000000-0005-0000-0000-00000F000000}"/>
    <cellStyle name="Millares [0]_Well Timing" xfId="18" xr:uid="{00000000-0005-0000-0000-000010000000}"/>
    <cellStyle name="Millares_Well Timing" xfId="19" xr:uid="{00000000-0005-0000-0000-000011000000}"/>
    <cellStyle name="Moneda [0]_Well Timing" xfId="20" xr:uid="{00000000-0005-0000-0000-000012000000}"/>
    <cellStyle name="Moneda_Well Timing" xfId="21" xr:uid="{00000000-0005-0000-0000-000013000000}"/>
    <cellStyle name="Normal" xfId="0" builtinId="0"/>
    <cellStyle name="Normal - Style1" xfId="22" xr:uid="{00000000-0005-0000-0000-000015000000}"/>
    <cellStyle name="Normal 2" xfId="23" xr:uid="{00000000-0005-0000-0000-000016000000}"/>
    <cellStyle name="Normal 2 10" xfId="24" xr:uid="{00000000-0005-0000-0000-000017000000}"/>
    <cellStyle name="Normal 2 2" xfId="25" xr:uid="{00000000-0005-0000-0000-000018000000}"/>
    <cellStyle name="Normal 3" xfId="26" xr:uid="{00000000-0005-0000-0000-000019000000}"/>
    <cellStyle name="Normal 4" xfId="37" xr:uid="{3BA66F62-9D1D-4650-BB6D-BD24188C1045}"/>
    <cellStyle name="Normal_Sheet1 2" xfId="27" xr:uid="{00000000-0005-0000-0000-00001B000000}"/>
    <cellStyle name="Percent" xfId="28" builtinId="5"/>
    <cellStyle name="Percent 2" xfId="33" xr:uid="{78956032-7076-438D-98AA-E62A2F7C50A6}"/>
    <cellStyle name="Percent 3" xfId="34" xr:uid="{6EFCBC01-65D6-4202-ADAF-955A6CBF01DF}"/>
    <cellStyle name="Percent 3 2" xfId="36" xr:uid="{F7FE3D4D-1874-4AEA-8DD9-9856D3C542A3}"/>
    <cellStyle name="Total" xfId="29" builtinId="25" customBuiltin="1"/>
    <cellStyle name="Total 2" xfId="30" xr:uid="{00000000-0005-0000-0000-00001E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H&#7890;%20S&#416;+L&#431;&#416;NG%20SD/L&#431;&#416;NG/L&#431;&#416;NG%20+%20C&#212;NG%202026/File%20m&#7851;u/SX%20m&#7851;u/T&#7893;%20may%20file%20m&#7851;u.xlsx" TargetMode="External"/><Relationship Id="rId2" Type="http://schemas.openxmlformats.org/officeDocument/2006/relationships/externalLinkPath" Target="file:///D:\H&#7890;%20S&#416;+L&#431;&#416;NG%20SD\L&#431;&#416;NG\L&#431;&#416;NG%20+%20C&#212;NG%202026\File%20m&#7851;u\SX%20m&#7851;u\T&#7893;%20may%20file%20m&#7851;u.xlsx" TargetMode="External"/><Relationship Id="rId1" Type="http://schemas.openxmlformats.org/officeDocument/2006/relationships/externalLinkPath" Target="/H&#7890;%20S&#416;+L&#431;&#416;NG%20SD/L&#431;&#416;NG/L&#431;&#416;NG%20+%20C&#212;NG%202026/File%20m&#7851;u/SX%20m&#7851;u/T&#7893;%20may%20file%20m&#7851;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0000000"/>
      <sheetName val="10000000"/>
      <sheetName val="6797"/>
      <sheetName val="Tong hop cac ma"/>
      <sheetName val="Bang TH nop"/>
      <sheetName val="LƯƠNG T04"/>
      <sheetName val="Phieu lương"/>
      <sheetName val="CĐ"/>
    </sheetNames>
    <sheetDataSet>
      <sheetData sheetId="0"/>
      <sheetData sheetId="1"/>
      <sheetData sheetId="2"/>
      <sheetData sheetId="3"/>
      <sheetData sheetId="4">
        <row r="9">
          <cell r="AH9" t="str">
            <v>A</v>
          </cell>
        </row>
        <row r="133">
          <cell r="AZ133">
            <v>0</v>
          </cell>
          <cell r="BB133">
            <v>0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C41"/>
  <sheetViews>
    <sheetView workbookViewId="0">
      <selection activeCell="C1" sqref="C1"/>
    </sheetView>
  </sheetViews>
  <sheetFormatPr defaultColWidth="11" defaultRowHeight="12.75"/>
  <cols>
    <col min="1" max="1" width="26.125" style="1" customWidth="1"/>
    <col min="2" max="2" width="1.125" style="1" customWidth="1"/>
    <col min="3" max="3" width="28.125" style="1" customWidth="1"/>
    <col min="4" max="16384" width="11" style="1"/>
  </cols>
  <sheetData>
    <row r="1" spans="1:3" ht="14.25">
      <c r="A1" s="2"/>
      <c r="C1" s="2"/>
    </row>
    <row r="2" spans="1:3" ht="15" thickBot="1">
      <c r="A2" s="2"/>
    </row>
    <row r="3" spans="1:3" ht="15" thickBot="1">
      <c r="A3" s="2"/>
      <c r="C3" s="2"/>
    </row>
    <row r="4" spans="1:3" ht="14.25">
      <c r="A4" s="2"/>
      <c r="C4" s="2"/>
    </row>
    <row r="5" spans="1:3" ht="14.25">
      <c r="C5" s="2"/>
    </row>
    <row r="6" spans="1:3" ht="15" thickBot="1">
      <c r="C6" s="2"/>
    </row>
    <row r="7" spans="1:3" ht="14.25">
      <c r="A7" s="2"/>
      <c r="C7" s="2"/>
    </row>
    <row r="8" spans="1:3" ht="14.25">
      <c r="A8" s="2"/>
      <c r="C8" s="2"/>
    </row>
    <row r="9" spans="1:3" ht="14.25">
      <c r="A9" s="2"/>
      <c r="C9" s="2"/>
    </row>
    <row r="10" spans="1:3" ht="14.25">
      <c r="A10" s="2"/>
      <c r="C10" s="2"/>
    </row>
    <row r="11" spans="1:3" ht="15" thickBot="1">
      <c r="A11" s="2"/>
      <c r="C11" s="2"/>
    </row>
    <row r="12" spans="1:3" ht="14.25">
      <c r="C12" s="2"/>
    </row>
    <row r="13" spans="1:3" ht="15" thickBot="1">
      <c r="C13" s="2"/>
    </row>
    <row r="14" spans="1:3" ht="15" thickBot="1">
      <c r="A14" s="2"/>
      <c r="C14" s="2"/>
    </row>
    <row r="15" spans="1:3" ht="14.25">
      <c r="A15" s="2"/>
    </row>
    <row r="16" spans="1:3" ht="15" thickBot="1">
      <c r="A16" s="2"/>
    </row>
    <row r="17" spans="1:3" ht="15" thickBot="1">
      <c r="A17" s="2"/>
      <c r="C17" s="2"/>
    </row>
    <row r="18" spans="1:3" ht="14.25">
      <c r="C18" s="2"/>
    </row>
    <row r="19" spans="1:3" ht="14.25">
      <c r="C19" s="2"/>
    </row>
    <row r="20" spans="1:3" ht="14.25">
      <c r="A20" s="2"/>
      <c r="C20" s="2"/>
    </row>
    <row r="21" spans="1:3" ht="14.25">
      <c r="A21" s="2"/>
      <c r="C21" s="2"/>
    </row>
    <row r="22" spans="1:3" ht="14.25">
      <c r="A22" s="2"/>
      <c r="C22" s="2"/>
    </row>
    <row r="23" spans="1:3" ht="14.25">
      <c r="A23" s="2"/>
      <c r="C23" s="2"/>
    </row>
    <row r="24" spans="1:3" ht="14.25">
      <c r="A24" s="2"/>
    </row>
    <row r="25" spans="1:3" ht="14.25">
      <c r="A25" s="2"/>
    </row>
    <row r="26" spans="1:3" ht="15" thickBot="1">
      <c r="A26" s="2"/>
      <c r="C26" s="2"/>
    </row>
    <row r="27" spans="1:3" ht="14.25">
      <c r="A27" s="2"/>
      <c r="C27" s="2"/>
    </row>
    <row r="28" spans="1:3" ht="14.25">
      <c r="A28" s="2"/>
      <c r="C28" s="2"/>
    </row>
    <row r="29" spans="1:3" ht="14.25">
      <c r="A29" s="2"/>
      <c r="C29" s="2"/>
    </row>
    <row r="30" spans="1:3" ht="14.25">
      <c r="A30" s="2"/>
      <c r="C30" s="2"/>
    </row>
    <row r="31" spans="1:3" ht="14.25">
      <c r="A31" s="2"/>
      <c r="C31" s="2"/>
    </row>
    <row r="32" spans="1:3" ht="14.25">
      <c r="A32" s="2"/>
      <c r="C32" s="2"/>
    </row>
    <row r="33" spans="1:3" ht="14.25">
      <c r="A33" s="2"/>
      <c r="C33" s="2"/>
    </row>
    <row r="34" spans="1:3" ht="14.25">
      <c r="A34" s="2"/>
      <c r="C34" s="2"/>
    </row>
    <row r="35" spans="1:3" ht="14.25">
      <c r="A35" s="2"/>
      <c r="C35" s="2"/>
    </row>
    <row r="36" spans="1:3" ht="14.25">
      <c r="A36" s="2"/>
      <c r="C36" s="2"/>
    </row>
    <row r="37" spans="1:3" ht="14.25">
      <c r="A37" s="2"/>
    </row>
    <row r="38" spans="1:3" ht="14.25">
      <c r="A38" s="2"/>
    </row>
    <row r="39" spans="1:3" ht="14.25">
      <c r="A39" s="2"/>
      <c r="C39" s="2"/>
    </row>
    <row r="40" spans="1:3" ht="14.25">
      <c r="A40" s="2"/>
      <c r="C40" s="2"/>
    </row>
    <row r="41" spans="1:3" ht="14.25">
      <c r="A41" s="2"/>
      <c r="C41" s="2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C41"/>
  <sheetViews>
    <sheetView workbookViewId="0">
      <selection activeCell="C1" sqref="C1"/>
    </sheetView>
  </sheetViews>
  <sheetFormatPr defaultColWidth="7.125" defaultRowHeight="12.75"/>
  <cols>
    <col min="1" max="1" width="23.25" style="3" customWidth="1"/>
    <col min="2" max="2" width="1" style="3" customWidth="1"/>
    <col min="3" max="3" width="25" style="3" customWidth="1"/>
    <col min="4" max="16384" width="7.125" style="3"/>
  </cols>
  <sheetData>
    <row r="1" spans="1:3" ht="14.25">
      <c r="A1" s="4"/>
      <c r="C1" s="4"/>
    </row>
    <row r="2" spans="1:3" ht="15" thickBot="1">
      <c r="A2" s="4"/>
    </row>
    <row r="3" spans="1:3" ht="15" thickBot="1">
      <c r="A3" s="4"/>
      <c r="C3" s="4"/>
    </row>
    <row r="4" spans="1:3" ht="14.25">
      <c r="A4" s="4"/>
      <c r="C4" s="4"/>
    </row>
    <row r="5" spans="1:3" ht="14.25">
      <c r="C5" s="4"/>
    </row>
    <row r="6" spans="1:3" ht="15" thickBot="1">
      <c r="C6" s="4"/>
    </row>
    <row r="7" spans="1:3" ht="14.25">
      <c r="A7" s="4"/>
      <c r="C7" s="4"/>
    </row>
    <row r="8" spans="1:3" ht="14.25">
      <c r="A8" s="4"/>
      <c r="C8" s="4"/>
    </row>
    <row r="9" spans="1:3" ht="14.25">
      <c r="A9" s="4"/>
      <c r="C9" s="4"/>
    </row>
    <row r="10" spans="1:3" ht="14.25">
      <c r="A10" s="4"/>
      <c r="C10" s="4"/>
    </row>
    <row r="11" spans="1:3" ht="15" thickBot="1">
      <c r="A11" s="4"/>
      <c r="C11" s="4"/>
    </row>
    <row r="12" spans="1:3" ht="14.25">
      <c r="C12" s="4"/>
    </row>
    <row r="13" spans="1:3" ht="15" thickBot="1">
      <c r="C13" s="4"/>
    </row>
    <row r="14" spans="1:3" ht="15" thickBot="1">
      <c r="A14" s="4"/>
      <c r="C14" s="4"/>
    </row>
    <row r="15" spans="1:3" ht="14.25">
      <c r="A15" s="4"/>
    </row>
    <row r="16" spans="1:3" ht="15" thickBot="1">
      <c r="A16" s="4"/>
    </row>
    <row r="17" spans="1:3" ht="15" thickBot="1">
      <c r="A17" s="4"/>
      <c r="C17" s="4"/>
    </row>
    <row r="18" spans="1:3" ht="14.25">
      <c r="C18" s="4"/>
    </row>
    <row r="19" spans="1:3" ht="14.25">
      <c r="C19" s="4"/>
    </row>
    <row r="20" spans="1:3" ht="14.25">
      <c r="A20" s="4"/>
      <c r="C20" s="4"/>
    </row>
    <row r="21" spans="1:3" ht="14.25">
      <c r="A21" s="4"/>
      <c r="C21" s="4"/>
    </row>
    <row r="22" spans="1:3" ht="14.25">
      <c r="A22" s="4"/>
      <c r="C22" s="4"/>
    </row>
    <row r="23" spans="1:3" ht="14.25">
      <c r="A23" s="4"/>
      <c r="C23" s="4"/>
    </row>
    <row r="24" spans="1:3" ht="14.25">
      <c r="A24" s="4"/>
    </row>
    <row r="25" spans="1:3" ht="14.25">
      <c r="A25" s="4"/>
    </row>
    <row r="26" spans="1:3" ht="15" thickBot="1">
      <c r="A26" s="4"/>
      <c r="C26" s="4"/>
    </row>
    <row r="27" spans="1:3" ht="14.25">
      <c r="A27" s="4"/>
      <c r="C27" s="4"/>
    </row>
    <row r="28" spans="1:3" ht="14.25">
      <c r="A28" s="4"/>
      <c r="C28" s="4"/>
    </row>
    <row r="29" spans="1:3" ht="14.25">
      <c r="A29" s="4"/>
      <c r="C29" s="4"/>
    </row>
    <row r="30" spans="1:3" ht="14.25">
      <c r="A30" s="4"/>
      <c r="C30" s="4"/>
    </row>
    <row r="31" spans="1:3" ht="14.25">
      <c r="A31" s="4"/>
      <c r="C31" s="4"/>
    </row>
    <row r="32" spans="1:3" ht="14.25">
      <c r="A32" s="4"/>
      <c r="C32" s="4"/>
    </row>
    <row r="33" spans="1:3" ht="14.25">
      <c r="A33" s="4"/>
      <c r="C33" s="4"/>
    </row>
    <row r="34" spans="1:3" ht="14.25">
      <c r="A34" s="4"/>
      <c r="C34" s="4"/>
    </row>
    <row r="35" spans="1:3" ht="14.25">
      <c r="A35" s="4"/>
      <c r="C35" s="4"/>
    </row>
    <row r="36" spans="1:3" ht="14.25">
      <c r="A36" s="4"/>
      <c r="C36" s="4"/>
    </row>
    <row r="37" spans="1:3" ht="14.25">
      <c r="A37" s="4"/>
    </row>
    <row r="38" spans="1:3" ht="14.25">
      <c r="A38" s="4"/>
    </row>
    <row r="39" spans="1:3" ht="14.25">
      <c r="A39" s="4"/>
      <c r="C39" s="4"/>
    </row>
    <row r="40" spans="1:3" ht="14.25">
      <c r="A40" s="4"/>
      <c r="C40" s="4"/>
    </row>
    <row r="41" spans="1:3" ht="14.25">
      <c r="A41" s="4"/>
      <c r="C41" s="4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5E2F8-D1FD-4BE0-AEB8-2B9CD2CC4513}">
  <dimension ref="A1:AM768"/>
  <sheetViews>
    <sheetView view="pageBreakPreview" zoomScaleNormal="100" zoomScaleSheetLayoutView="100" workbookViewId="0">
      <pane xSplit="4" ySplit="7" topLeftCell="AD53" activePane="bottomRight" state="frozen"/>
      <selection pane="topRight" activeCell="F1" sqref="F1"/>
      <selection pane="bottomLeft" activeCell="A9" sqref="A9"/>
      <selection pane="bottomRight" activeCell="D63" sqref="D63"/>
    </sheetView>
  </sheetViews>
  <sheetFormatPr defaultRowHeight="20.100000000000001" customHeight="1"/>
  <cols>
    <col min="1" max="1" width="4.5" style="192" customWidth="1"/>
    <col min="2" max="2" width="15.5" style="229" customWidth="1"/>
    <col min="3" max="3" width="7.875" style="192" customWidth="1"/>
    <col min="4" max="4" width="6.875" style="230" customWidth="1"/>
    <col min="5" max="37" width="6.75" style="192" customWidth="1"/>
    <col min="38" max="38" width="7.875" style="229" hidden="1" customWidth="1"/>
    <col min="39" max="39" width="6" style="192" customWidth="1"/>
    <col min="40" max="157" width="8.75" style="192"/>
    <col min="158" max="158" width="4.5" style="192" customWidth="1"/>
    <col min="159" max="159" width="20.5" style="192" customWidth="1"/>
    <col min="160" max="160" width="7.875" style="192" customWidth="1"/>
    <col min="161" max="161" width="6.875" style="192" customWidth="1"/>
    <col min="162" max="162" width="7.25" style="192" customWidth="1"/>
    <col min="163" max="225" width="6.125" style="192" customWidth="1"/>
    <col min="226" max="235" width="0" style="192" hidden="1" customWidth="1"/>
    <col min="236" max="240" width="6.875" style="192" customWidth="1"/>
    <col min="241" max="293" width="0" style="192" hidden="1" customWidth="1"/>
    <col min="294" max="294" width="7.875" style="192" customWidth="1"/>
    <col min="295" max="295" width="6" style="192" customWidth="1"/>
    <col min="296" max="413" width="8.75" style="192"/>
    <col min="414" max="414" width="4.5" style="192" customWidth="1"/>
    <col min="415" max="415" width="20.5" style="192" customWidth="1"/>
    <col min="416" max="416" width="7.875" style="192" customWidth="1"/>
    <col min="417" max="417" width="6.875" style="192" customWidth="1"/>
    <col min="418" max="418" width="7.25" style="192" customWidth="1"/>
    <col min="419" max="481" width="6.125" style="192" customWidth="1"/>
    <col min="482" max="491" width="0" style="192" hidden="1" customWidth="1"/>
    <col min="492" max="496" width="6.875" style="192" customWidth="1"/>
    <col min="497" max="549" width="0" style="192" hidden="1" customWidth="1"/>
    <col min="550" max="550" width="7.875" style="192" customWidth="1"/>
    <col min="551" max="551" width="6" style="192" customWidth="1"/>
    <col min="552" max="669" width="8.75" style="192"/>
    <col min="670" max="670" width="4.5" style="192" customWidth="1"/>
    <col min="671" max="671" width="20.5" style="192" customWidth="1"/>
    <col min="672" max="672" width="7.875" style="192" customWidth="1"/>
    <col min="673" max="673" width="6.875" style="192" customWidth="1"/>
    <col min="674" max="674" width="7.25" style="192" customWidth="1"/>
    <col min="675" max="737" width="6.125" style="192" customWidth="1"/>
    <col min="738" max="747" width="0" style="192" hidden="1" customWidth="1"/>
    <col min="748" max="752" width="6.875" style="192" customWidth="1"/>
    <col min="753" max="805" width="0" style="192" hidden="1" customWidth="1"/>
    <col min="806" max="806" width="7.875" style="192" customWidth="1"/>
    <col min="807" max="807" width="6" style="192" customWidth="1"/>
    <col min="808" max="925" width="8.75" style="192"/>
    <col min="926" max="926" width="4.5" style="192" customWidth="1"/>
    <col min="927" max="927" width="20.5" style="192" customWidth="1"/>
    <col min="928" max="928" width="7.875" style="192" customWidth="1"/>
    <col min="929" max="929" width="6.875" style="192" customWidth="1"/>
    <col min="930" max="930" width="7.25" style="192" customWidth="1"/>
    <col min="931" max="993" width="6.125" style="192" customWidth="1"/>
    <col min="994" max="1003" width="0" style="192" hidden="1" customWidth="1"/>
    <col min="1004" max="1008" width="6.875" style="192" customWidth="1"/>
    <col min="1009" max="1061" width="0" style="192" hidden="1" customWidth="1"/>
    <col min="1062" max="1062" width="7.875" style="192" customWidth="1"/>
    <col min="1063" max="1063" width="6" style="192" customWidth="1"/>
    <col min="1064" max="1181" width="8.75" style="192"/>
    <col min="1182" max="1182" width="4.5" style="192" customWidth="1"/>
    <col min="1183" max="1183" width="20.5" style="192" customWidth="1"/>
    <col min="1184" max="1184" width="7.875" style="192" customWidth="1"/>
    <col min="1185" max="1185" width="6.875" style="192" customWidth="1"/>
    <col min="1186" max="1186" width="7.25" style="192" customWidth="1"/>
    <col min="1187" max="1249" width="6.125" style="192" customWidth="1"/>
    <col min="1250" max="1259" width="0" style="192" hidden="1" customWidth="1"/>
    <col min="1260" max="1264" width="6.875" style="192" customWidth="1"/>
    <col min="1265" max="1317" width="0" style="192" hidden="1" customWidth="1"/>
    <col min="1318" max="1318" width="7.875" style="192" customWidth="1"/>
    <col min="1319" max="1319" width="6" style="192" customWidth="1"/>
    <col min="1320" max="1437" width="8.75" style="192"/>
    <col min="1438" max="1438" width="4.5" style="192" customWidth="1"/>
    <col min="1439" max="1439" width="20.5" style="192" customWidth="1"/>
    <col min="1440" max="1440" width="7.875" style="192" customWidth="1"/>
    <col min="1441" max="1441" width="6.875" style="192" customWidth="1"/>
    <col min="1442" max="1442" width="7.25" style="192" customWidth="1"/>
    <col min="1443" max="1505" width="6.125" style="192" customWidth="1"/>
    <col min="1506" max="1515" width="0" style="192" hidden="1" customWidth="1"/>
    <col min="1516" max="1520" width="6.875" style="192" customWidth="1"/>
    <col min="1521" max="1573" width="0" style="192" hidden="1" customWidth="1"/>
    <col min="1574" max="1574" width="7.875" style="192" customWidth="1"/>
    <col min="1575" max="1575" width="6" style="192" customWidth="1"/>
    <col min="1576" max="1693" width="8.75" style="192"/>
    <col min="1694" max="1694" width="4.5" style="192" customWidth="1"/>
    <col min="1695" max="1695" width="20.5" style="192" customWidth="1"/>
    <col min="1696" max="1696" width="7.875" style="192" customWidth="1"/>
    <col min="1697" max="1697" width="6.875" style="192" customWidth="1"/>
    <col min="1698" max="1698" width="7.25" style="192" customWidth="1"/>
    <col min="1699" max="1761" width="6.125" style="192" customWidth="1"/>
    <col min="1762" max="1771" width="0" style="192" hidden="1" customWidth="1"/>
    <col min="1772" max="1776" width="6.875" style="192" customWidth="1"/>
    <col min="1777" max="1829" width="0" style="192" hidden="1" customWidth="1"/>
    <col min="1830" max="1830" width="7.875" style="192" customWidth="1"/>
    <col min="1831" max="1831" width="6" style="192" customWidth="1"/>
    <col min="1832" max="1949" width="8.75" style="192"/>
    <col min="1950" max="1950" width="4.5" style="192" customWidth="1"/>
    <col min="1951" max="1951" width="20.5" style="192" customWidth="1"/>
    <col min="1952" max="1952" width="7.875" style="192" customWidth="1"/>
    <col min="1953" max="1953" width="6.875" style="192" customWidth="1"/>
    <col min="1954" max="1954" width="7.25" style="192" customWidth="1"/>
    <col min="1955" max="2017" width="6.125" style="192" customWidth="1"/>
    <col min="2018" max="2027" width="0" style="192" hidden="1" customWidth="1"/>
    <col min="2028" max="2032" width="6.875" style="192" customWidth="1"/>
    <col min="2033" max="2085" width="0" style="192" hidden="1" customWidth="1"/>
    <col min="2086" max="2086" width="7.875" style="192" customWidth="1"/>
    <col min="2087" max="2087" width="6" style="192" customWidth="1"/>
    <col min="2088" max="2205" width="8.75" style="192"/>
    <col min="2206" max="2206" width="4.5" style="192" customWidth="1"/>
    <col min="2207" max="2207" width="20.5" style="192" customWidth="1"/>
    <col min="2208" max="2208" width="7.875" style="192" customWidth="1"/>
    <col min="2209" max="2209" width="6.875" style="192" customWidth="1"/>
    <col min="2210" max="2210" width="7.25" style="192" customWidth="1"/>
    <col min="2211" max="2273" width="6.125" style="192" customWidth="1"/>
    <col min="2274" max="2283" width="0" style="192" hidden="1" customWidth="1"/>
    <col min="2284" max="2288" width="6.875" style="192" customWidth="1"/>
    <col min="2289" max="2341" width="0" style="192" hidden="1" customWidth="1"/>
    <col min="2342" max="2342" width="7.875" style="192" customWidth="1"/>
    <col min="2343" max="2343" width="6" style="192" customWidth="1"/>
    <col min="2344" max="2461" width="8.75" style="192"/>
    <col min="2462" max="2462" width="4.5" style="192" customWidth="1"/>
    <col min="2463" max="2463" width="20.5" style="192" customWidth="1"/>
    <col min="2464" max="2464" width="7.875" style="192" customWidth="1"/>
    <col min="2465" max="2465" width="6.875" style="192" customWidth="1"/>
    <col min="2466" max="2466" width="7.25" style="192" customWidth="1"/>
    <col min="2467" max="2529" width="6.125" style="192" customWidth="1"/>
    <col min="2530" max="2539" width="0" style="192" hidden="1" customWidth="1"/>
    <col min="2540" max="2544" width="6.875" style="192" customWidth="1"/>
    <col min="2545" max="2597" width="0" style="192" hidden="1" customWidth="1"/>
    <col min="2598" max="2598" width="7.875" style="192" customWidth="1"/>
    <col min="2599" max="2599" width="6" style="192" customWidth="1"/>
    <col min="2600" max="2717" width="8.75" style="192"/>
    <col min="2718" max="2718" width="4.5" style="192" customWidth="1"/>
    <col min="2719" max="2719" width="20.5" style="192" customWidth="1"/>
    <col min="2720" max="2720" width="7.875" style="192" customWidth="1"/>
    <col min="2721" max="2721" width="6.875" style="192" customWidth="1"/>
    <col min="2722" max="2722" width="7.25" style="192" customWidth="1"/>
    <col min="2723" max="2785" width="6.125" style="192" customWidth="1"/>
    <col min="2786" max="2795" width="0" style="192" hidden="1" customWidth="1"/>
    <col min="2796" max="2800" width="6.875" style="192" customWidth="1"/>
    <col min="2801" max="2853" width="0" style="192" hidden="1" customWidth="1"/>
    <col min="2854" max="2854" width="7.875" style="192" customWidth="1"/>
    <col min="2855" max="2855" width="6" style="192" customWidth="1"/>
    <col min="2856" max="2973" width="8.75" style="192"/>
    <col min="2974" max="2974" width="4.5" style="192" customWidth="1"/>
    <col min="2975" max="2975" width="20.5" style="192" customWidth="1"/>
    <col min="2976" max="2976" width="7.875" style="192" customWidth="1"/>
    <col min="2977" max="2977" width="6.875" style="192" customWidth="1"/>
    <col min="2978" max="2978" width="7.25" style="192" customWidth="1"/>
    <col min="2979" max="3041" width="6.125" style="192" customWidth="1"/>
    <col min="3042" max="3051" width="0" style="192" hidden="1" customWidth="1"/>
    <col min="3052" max="3056" width="6.875" style="192" customWidth="1"/>
    <col min="3057" max="3109" width="0" style="192" hidden="1" customWidth="1"/>
    <col min="3110" max="3110" width="7.875" style="192" customWidth="1"/>
    <col min="3111" max="3111" width="6" style="192" customWidth="1"/>
    <col min="3112" max="3229" width="8.75" style="192"/>
    <col min="3230" max="3230" width="4.5" style="192" customWidth="1"/>
    <col min="3231" max="3231" width="20.5" style="192" customWidth="1"/>
    <col min="3232" max="3232" width="7.875" style="192" customWidth="1"/>
    <col min="3233" max="3233" width="6.875" style="192" customWidth="1"/>
    <col min="3234" max="3234" width="7.25" style="192" customWidth="1"/>
    <col min="3235" max="3297" width="6.125" style="192" customWidth="1"/>
    <col min="3298" max="3307" width="0" style="192" hidden="1" customWidth="1"/>
    <col min="3308" max="3312" width="6.875" style="192" customWidth="1"/>
    <col min="3313" max="3365" width="0" style="192" hidden="1" customWidth="1"/>
    <col min="3366" max="3366" width="7.875" style="192" customWidth="1"/>
    <col min="3367" max="3367" width="6" style="192" customWidth="1"/>
    <col min="3368" max="3485" width="8.75" style="192"/>
    <col min="3486" max="3486" width="4.5" style="192" customWidth="1"/>
    <col min="3487" max="3487" width="20.5" style="192" customWidth="1"/>
    <col min="3488" max="3488" width="7.875" style="192" customWidth="1"/>
    <col min="3489" max="3489" width="6.875" style="192" customWidth="1"/>
    <col min="3490" max="3490" width="7.25" style="192" customWidth="1"/>
    <col min="3491" max="3553" width="6.125" style="192" customWidth="1"/>
    <col min="3554" max="3563" width="0" style="192" hidden="1" customWidth="1"/>
    <col min="3564" max="3568" width="6.875" style="192" customWidth="1"/>
    <col min="3569" max="3621" width="0" style="192" hidden="1" customWidth="1"/>
    <col min="3622" max="3622" width="7.875" style="192" customWidth="1"/>
    <col min="3623" max="3623" width="6" style="192" customWidth="1"/>
    <col min="3624" max="3741" width="8.75" style="192"/>
    <col min="3742" max="3742" width="4.5" style="192" customWidth="1"/>
    <col min="3743" max="3743" width="20.5" style="192" customWidth="1"/>
    <col min="3744" max="3744" width="7.875" style="192" customWidth="1"/>
    <col min="3745" max="3745" width="6.875" style="192" customWidth="1"/>
    <col min="3746" max="3746" width="7.25" style="192" customWidth="1"/>
    <col min="3747" max="3809" width="6.125" style="192" customWidth="1"/>
    <col min="3810" max="3819" width="0" style="192" hidden="1" customWidth="1"/>
    <col min="3820" max="3824" width="6.875" style="192" customWidth="1"/>
    <col min="3825" max="3877" width="0" style="192" hidden="1" customWidth="1"/>
    <col min="3878" max="3878" width="7.875" style="192" customWidth="1"/>
    <col min="3879" max="3879" width="6" style="192" customWidth="1"/>
    <col min="3880" max="3997" width="8.75" style="192"/>
    <col min="3998" max="3998" width="4.5" style="192" customWidth="1"/>
    <col min="3999" max="3999" width="20.5" style="192" customWidth="1"/>
    <col min="4000" max="4000" width="7.875" style="192" customWidth="1"/>
    <col min="4001" max="4001" width="6.875" style="192" customWidth="1"/>
    <col min="4002" max="4002" width="7.25" style="192" customWidth="1"/>
    <col min="4003" max="4065" width="6.125" style="192" customWidth="1"/>
    <col min="4066" max="4075" width="0" style="192" hidden="1" customWidth="1"/>
    <col min="4076" max="4080" width="6.875" style="192" customWidth="1"/>
    <col min="4081" max="4133" width="0" style="192" hidden="1" customWidth="1"/>
    <col min="4134" max="4134" width="7.875" style="192" customWidth="1"/>
    <col min="4135" max="4135" width="6" style="192" customWidth="1"/>
    <col min="4136" max="4253" width="8.75" style="192"/>
    <col min="4254" max="4254" width="4.5" style="192" customWidth="1"/>
    <col min="4255" max="4255" width="20.5" style="192" customWidth="1"/>
    <col min="4256" max="4256" width="7.875" style="192" customWidth="1"/>
    <col min="4257" max="4257" width="6.875" style="192" customWidth="1"/>
    <col min="4258" max="4258" width="7.25" style="192" customWidth="1"/>
    <col min="4259" max="4321" width="6.125" style="192" customWidth="1"/>
    <col min="4322" max="4331" width="0" style="192" hidden="1" customWidth="1"/>
    <col min="4332" max="4336" width="6.875" style="192" customWidth="1"/>
    <col min="4337" max="4389" width="0" style="192" hidden="1" customWidth="1"/>
    <col min="4390" max="4390" width="7.875" style="192" customWidth="1"/>
    <col min="4391" max="4391" width="6" style="192" customWidth="1"/>
    <col min="4392" max="4509" width="8.75" style="192"/>
    <col min="4510" max="4510" width="4.5" style="192" customWidth="1"/>
    <col min="4511" max="4511" width="20.5" style="192" customWidth="1"/>
    <col min="4512" max="4512" width="7.875" style="192" customWidth="1"/>
    <col min="4513" max="4513" width="6.875" style="192" customWidth="1"/>
    <col min="4514" max="4514" width="7.25" style="192" customWidth="1"/>
    <col min="4515" max="4577" width="6.125" style="192" customWidth="1"/>
    <col min="4578" max="4587" width="0" style="192" hidden="1" customWidth="1"/>
    <col min="4588" max="4592" width="6.875" style="192" customWidth="1"/>
    <col min="4593" max="4645" width="0" style="192" hidden="1" customWidth="1"/>
    <col min="4646" max="4646" width="7.875" style="192" customWidth="1"/>
    <col min="4647" max="4647" width="6" style="192" customWidth="1"/>
    <col min="4648" max="4765" width="8.75" style="192"/>
    <col min="4766" max="4766" width="4.5" style="192" customWidth="1"/>
    <col min="4767" max="4767" width="20.5" style="192" customWidth="1"/>
    <col min="4768" max="4768" width="7.875" style="192" customWidth="1"/>
    <col min="4769" max="4769" width="6.875" style="192" customWidth="1"/>
    <col min="4770" max="4770" width="7.25" style="192" customWidth="1"/>
    <col min="4771" max="4833" width="6.125" style="192" customWidth="1"/>
    <col min="4834" max="4843" width="0" style="192" hidden="1" customWidth="1"/>
    <col min="4844" max="4848" width="6.875" style="192" customWidth="1"/>
    <col min="4849" max="4901" width="0" style="192" hidden="1" customWidth="1"/>
    <col min="4902" max="4902" width="7.875" style="192" customWidth="1"/>
    <col min="4903" max="4903" width="6" style="192" customWidth="1"/>
    <col min="4904" max="5021" width="8.75" style="192"/>
    <col min="5022" max="5022" width="4.5" style="192" customWidth="1"/>
    <col min="5023" max="5023" width="20.5" style="192" customWidth="1"/>
    <col min="5024" max="5024" width="7.875" style="192" customWidth="1"/>
    <col min="5025" max="5025" width="6.875" style="192" customWidth="1"/>
    <col min="5026" max="5026" width="7.25" style="192" customWidth="1"/>
    <col min="5027" max="5089" width="6.125" style="192" customWidth="1"/>
    <col min="5090" max="5099" width="0" style="192" hidden="1" customWidth="1"/>
    <col min="5100" max="5104" width="6.875" style="192" customWidth="1"/>
    <col min="5105" max="5157" width="0" style="192" hidden="1" customWidth="1"/>
    <col min="5158" max="5158" width="7.875" style="192" customWidth="1"/>
    <col min="5159" max="5159" width="6" style="192" customWidth="1"/>
    <col min="5160" max="5277" width="8.75" style="192"/>
    <col min="5278" max="5278" width="4.5" style="192" customWidth="1"/>
    <col min="5279" max="5279" width="20.5" style="192" customWidth="1"/>
    <col min="5280" max="5280" width="7.875" style="192" customWidth="1"/>
    <col min="5281" max="5281" width="6.875" style="192" customWidth="1"/>
    <col min="5282" max="5282" width="7.25" style="192" customWidth="1"/>
    <col min="5283" max="5345" width="6.125" style="192" customWidth="1"/>
    <col min="5346" max="5355" width="0" style="192" hidden="1" customWidth="1"/>
    <col min="5356" max="5360" width="6.875" style="192" customWidth="1"/>
    <col min="5361" max="5413" width="0" style="192" hidden="1" customWidth="1"/>
    <col min="5414" max="5414" width="7.875" style="192" customWidth="1"/>
    <col min="5415" max="5415" width="6" style="192" customWidth="1"/>
    <col min="5416" max="5533" width="8.75" style="192"/>
    <col min="5534" max="5534" width="4.5" style="192" customWidth="1"/>
    <col min="5535" max="5535" width="20.5" style="192" customWidth="1"/>
    <col min="5536" max="5536" width="7.875" style="192" customWidth="1"/>
    <col min="5537" max="5537" width="6.875" style="192" customWidth="1"/>
    <col min="5538" max="5538" width="7.25" style="192" customWidth="1"/>
    <col min="5539" max="5601" width="6.125" style="192" customWidth="1"/>
    <col min="5602" max="5611" width="0" style="192" hidden="1" customWidth="1"/>
    <col min="5612" max="5616" width="6.875" style="192" customWidth="1"/>
    <col min="5617" max="5669" width="0" style="192" hidden="1" customWidth="1"/>
    <col min="5670" max="5670" width="7.875" style="192" customWidth="1"/>
    <col min="5671" max="5671" width="6" style="192" customWidth="1"/>
    <col min="5672" max="5789" width="8.75" style="192"/>
    <col min="5790" max="5790" width="4.5" style="192" customWidth="1"/>
    <col min="5791" max="5791" width="20.5" style="192" customWidth="1"/>
    <col min="5792" max="5792" width="7.875" style="192" customWidth="1"/>
    <col min="5793" max="5793" width="6.875" style="192" customWidth="1"/>
    <col min="5794" max="5794" width="7.25" style="192" customWidth="1"/>
    <col min="5795" max="5857" width="6.125" style="192" customWidth="1"/>
    <col min="5858" max="5867" width="0" style="192" hidden="1" customWidth="1"/>
    <col min="5868" max="5872" width="6.875" style="192" customWidth="1"/>
    <col min="5873" max="5925" width="0" style="192" hidden="1" customWidth="1"/>
    <col min="5926" max="5926" width="7.875" style="192" customWidth="1"/>
    <col min="5927" max="5927" width="6" style="192" customWidth="1"/>
    <col min="5928" max="6045" width="8.75" style="192"/>
    <col min="6046" max="6046" width="4.5" style="192" customWidth="1"/>
    <col min="6047" max="6047" width="20.5" style="192" customWidth="1"/>
    <col min="6048" max="6048" width="7.875" style="192" customWidth="1"/>
    <col min="6049" max="6049" width="6.875" style="192" customWidth="1"/>
    <col min="6050" max="6050" width="7.25" style="192" customWidth="1"/>
    <col min="6051" max="6113" width="6.125" style="192" customWidth="1"/>
    <col min="6114" max="6123" width="0" style="192" hidden="1" customWidth="1"/>
    <col min="6124" max="6128" width="6.875" style="192" customWidth="1"/>
    <col min="6129" max="6181" width="0" style="192" hidden="1" customWidth="1"/>
    <col min="6182" max="6182" width="7.875" style="192" customWidth="1"/>
    <col min="6183" max="6183" width="6" style="192" customWidth="1"/>
    <col min="6184" max="6301" width="8.75" style="192"/>
    <col min="6302" max="6302" width="4.5" style="192" customWidth="1"/>
    <col min="6303" max="6303" width="20.5" style="192" customWidth="1"/>
    <col min="6304" max="6304" width="7.875" style="192" customWidth="1"/>
    <col min="6305" max="6305" width="6.875" style="192" customWidth="1"/>
    <col min="6306" max="6306" width="7.25" style="192" customWidth="1"/>
    <col min="6307" max="6369" width="6.125" style="192" customWidth="1"/>
    <col min="6370" max="6379" width="0" style="192" hidden="1" customWidth="1"/>
    <col min="6380" max="6384" width="6.875" style="192" customWidth="1"/>
    <col min="6385" max="6437" width="0" style="192" hidden="1" customWidth="1"/>
    <col min="6438" max="6438" width="7.875" style="192" customWidth="1"/>
    <col min="6439" max="6439" width="6" style="192" customWidth="1"/>
    <col min="6440" max="6557" width="8.75" style="192"/>
    <col min="6558" max="6558" width="4.5" style="192" customWidth="1"/>
    <col min="6559" max="6559" width="20.5" style="192" customWidth="1"/>
    <col min="6560" max="6560" width="7.875" style="192" customWidth="1"/>
    <col min="6561" max="6561" width="6.875" style="192" customWidth="1"/>
    <col min="6562" max="6562" width="7.25" style="192" customWidth="1"/>
    <col min="6563" max="6625" width="6.125" style="192" customWidth="1"/>
    <col min="6626" max="6635" width="0" style="192" hidden="1" customWidth="1"/>
    <col min="6636" max="6640" width="6.875" style="192" customWidth="1"/>
    <col min="6641" max="6693" width="0" style="192" hidden="1" customWidth="1"/>
    <col min="6694" max="6694" width="7.875" style="192" customWidth="1"/>
    <col min="6695" max="6695" width="6" style="192" customWidth="1"/>
    <col min="6696" max="6813" width="8.75" style="192"/>
    <col min="6814" max="6814" width="4.5" style="192" customWidth="1"/>
    <col min="6815" max="6815" width="20.5" style="192" customWidth="1"/>
    <col min="6816" max="6816" width="7.875" style="192" customWidth="1"/>
    <col min="6817" max="6817" width="6.875" style="192" customWidth="1"/>
    <col min="6818" max="6818" width="7.25" style="192" customWidth="1"/>
    <col min="6819" max="6881" width="6.125" style="192" customWidth="1"/>
    <col min="6882" max="6891" width="0" style="192" hidden="1" customWidth="1"/>
    <col min="6892" max="6896" width="6.875" style="192" customWidth="1"/>
    <col min="6897" max="6949" width="0" style="192" hidden="1" customWidth="1"/>
    <col min="6950" max="6950" width="7.875" style="192" customWidth="1"/>
    <col min="6951" max="6951" width="6" style="192" customWidth="1"/>
    <col min="6952" max="7069" width="8.75" style="192"/>
    <col min="7070" max="7070" width="4.5" style="192" customWidth="1"/>
    <col min="7071" max="7071" width="20.5" style="192" customWidth="1"/>
    <col min="7072" max="7072" width="7.875" style="192" customWidth="1"/>
    <col min="7073" max="7073" width="6.875" style="192" customWidth="1"/>
    <col min="7074" max="7074" width="7.25" style="192" customWidth="1"/>
    <col min="7075" max="7137" width="6.125" style="192" customWidth="1"/>
    <col min="7138" max="7147" width="0" style="192" hidden="1" customWidth="1"/>
    <col min="7148" max="7152" width="6.875" style="192" customWidth="1"/>
    <col min="7153" max="7205" width="0" style="192" hidden="1" customWidth="1"/>
    <col min="7206" max="7206" width="7.875" style="192" customWidth="1"/>
    <col min="7207" max="7207" width="6" style="192" customWidth="1"/>
    <col min="7208" max="7325" width="8.75" style="192"/>
    <col min="7326" max="7326" width="4.5" style="192" customWidth="1"/>
    <col min="7327" max="7327" width="20.5" style="192" customWidth="1"/>
    <col min="7328" max="7328" width="7.875" style="192" customWidth="1"/>
    <col min="7329" max="7329" width="6.875" style="192" customWidth="1"/>
    <col min="7330" max="7330" width="7.25" style="192" customWidth="1"/>
    <col min="7331" max="7393" width="6.125" style="192" customWidth="1"/>
    <col min="7394" max="7403" width="0" style="192" hidden="1" customWidth="1"/>
    <col min="7404" max="7408" width="6.875" style="192" customWidth="1"/>
    <col min="7409" max="7461" width="0" style="192" hidden="1" customWidth="1"/>
    <col min="7462" max="7462" width="7.875" style="192" customWidth="1"/>
    <col min="7463" max="7463" width="6" style="192" customWidth="1"/>
    <col min="7464" max="7581" width="8.75" style="192"/>
    <col min="7582" max="7582" width="4.5" style="192" customWidth="1"/>
    <col min="7583" max="7583" width="20.5" style="192" customWidth="1"/>
    <col min="7584" max="7584" width="7.875" style="192" customWidth="1"/>
    <col min="7585" max="7585" width="6.875" style="192" customWidth="1"/>
    <col min="7586" max="7586" width="7.25" style="192" customWidth="1"/>
    <col min="7587" max="7649" width="6.125" style="192" customWidth="1"/>
    <col min="7650" max="7659" width="0" style="192" hidden="1" customWidth="1"/>
    <col min="7660" max="7664" width="6.875" style="192" customWidth="1"/>
    <col min="7665" max="7717" width="0" style="192" hidden="1" customWidth="1"/>
    <col min="7718" max="7718" width="7.875" style="192" customWidth="1"/>
    <col min="7719" max="7719" width="6" style="192" customWidth="1"/>
    <col min="7720" max="7837" width="8.75" style="192"/>
    <col min="7838" max="7838" width="4.5" style="192" customWidth="1"/>
    <col min="7839" max="7839" width="20.5" style="192" customWidth="1"/>
    <col min="7840" max="7840" width="7.875" style="192" customWidth="1"/>
    <col min="7841" max="7841" width="6.875" style="192" customWidth="1"/>
    <col min="7842" max="7842" width="7.25" style="192" customWidth="1"/>
    <col min="7843" max="7905" width="6.125" style="192" customWidth="1"/>
    <col min="7906" max="7915" width="0" style="192" hidden="1" customWidth="1"/>
    <col min="7916" max="7920" width="6.875" style="192" customWidth="1"/>
    <col min="7921" max="7973" width="0" style="192" hidden="1" customWidth="1"/>
    <col min="7974" max="7974" width="7.875" style="192" customWidth="1"/>
    <col min="7975" max="7975" width="6" style="192" customWidth="1"/>
    <col min="7976" max="8093" width="8.75" style="192"/>
    <col min="8094" max="8094" width="4.5" style="192" customWidth="1"/>
    <col min="8095" max="8095" width="20.5" style="192" customWidth="1"/>
    <col min="8096" max="8096" width="7.875" style="192" customWidth="1"/>
    <col min="8097" max="8097" width="6.875" style="192" customWidth="1"/>
    <col min="8098" max="8098" width="7.25" style="192" customWidth="1"/>
    <col min="8099" max="8161" width="6.125" style="192" customWidth="1"/>
    <col min="8162" max="8171" width="0" style="192" hidden="1" customWidth="1"/>
    <col min="8172" max="8176" width="6.875" style="192" customWidth="1"/>
    <col min="8177" max="8229" width="0" style="192" hidden="1" customWidth="1"/>
    <col min="8230" max="8230" width="7.875" style="192" customWidth="1"/>
    <col min="8231" max="8231" width="6" style="192" customWidth="1"/>
    <col min="8232" max="8349" width="8.75" style="192"/>
    <col min="8350" max="8350" width="4.5" style="192" customWidth="1"/>
    <col min="8351" max="8351" width="20.5" style="192" customWidth="1"/>
    <col min="8352" max="8352" width="7.875" style="192" customWidth="1"/>
    <col min="8353" max="8353" width="6.875" style="192" customWidth="1"/>
    <col min="8354" max="8354" width="7.25" style="192" customWidth="1"/>
    <col min="8355" max="8417" width="6.125" style="192" customWidth="1"/>
    <col min="8418" max="8427" width="0" style="192" hidden="1" customWidth="1"/>
    <col min="8428" max="8432" width="6.875" style="192" customWidth="1"/>
    <col min="8433" max="8485" width="0" style="192" hidden="1" customWidth="1"/>
    <col min="8486" max="8486" width="7.875" style="192" customWidth="1"/>
    <col min="8487" max="8487" width="6" style="192" customWidth="1"/>
    <col min="8488" max="8605" width="8.75" style="192"/>
    <col min="8606" max="8606" width="4.5" style="192" customWidth="1"/>
    <col min="8607" max="8607" width="20.5" style="192" customWidth="1"/>
    <col min="8608" max="8608" width="7.875" style="192" customWidth="1"/>
    <col min="8609" max="8609" width="6.875" style="192" customWidth="1"/>
    <col min="8610" max="8610" width="7.25" style="192" customWidth="1"/>
    <col min="8611" max="8673" width="6.125" style="192" customWidth="1"/>
    <col min="8674" max="8683" width="0" style="192" hidden="1" customWidth="1"/>
    <col min="8684" max="8688" width="6.875" style="192" customWidth="1"/>
    <col min="8689" max="8741" width="0" style="192" hidden="1" customWidth="1"/>
    <col min="8742" max="8742" width="7.875" style="192" customWidth="1"/>
    <col min="8743" max="8743" width="6" style="192" customWidth="1"/>
    <col min="8744" max="8861" width="8.75" style="192"/>
    <col min="8862" max="8862" width="4.5" style="192" customWidth="1"/>
    <col min="8863" max="8863" width="20.5" style="192" customWidth="1"/>
    <col min="8864" max="8864" width="7.875" style="192" customWidth="1"/>
    <col min="8865" max="8865" width="6.875" style="192" customWidth="1"/>
    <col min="8866" max="8866" width="7.25" style="192" customWidth="1"/>
    <col min="8867" max="8929" width="6.125" style="192" customWidth="1"/>
    <col min="8930" max="8939" width="0" style="192" hidden="1" customWidth="1"/>
    <col min="8940" max="8944" width="6.875" style="192" customWidth="1"/>
    <col min="8945" max="8997" width="0" style="192" hidden="1" customWidth="1"/>
    <col min="8998" max="8998" width="7.875" style="192" customWidth="1"/>
    <col min="8999" max="8999" width="6" style="192" customWidth="1"/>
    <col min="9000" max="9117" width="8.75" style="192"/>
    <col min="9118" max="9118" width="4.5" style="192" customWidth="1"/>
    <col min="9119" max="9119" width="20.5" style="192" customWidth="1"/>
    <col min="9120" max="9120" width="7.875" style="192" customWidth="1"/>
    <col min="9121" max="9121" width="6.875" style="192" customWidth="1"/>
    <col min="9122" max="9122" width="7.25" style="192" customWidth="1"/>
    <col min="9123" max="9185" width="6.125" style="192" customWidth="1"/>
    <col min="9186" max="9195" width="0" style="192" hidden="1" customWidth="1"/>
    <col min="9196" max="9200" width="6.875" style="192" customWidth="1"/>
    <col min="9201" max="9253" width="0" style="192" hidden="1" customWidth="1"/>
    <col min="9254" max="9254" width="7.875" style="192" customWidth="1"/>
    <col min="9255" max="9255" width="6" style="192" customWidth="1"/>
    <col min="9256" max="9373" width="8.75" style="192"/>
    <col min="9374" max="9374" width="4.5" style="192" customWidth="1"/>
    <col min="9375" max="9375" width="20.5" style="192" customWidth="1"/>
    <col min="9376" max="9376" width="7.875" style="192" customWidth="1"/>
    <col min="9377" max="9377" width="6.875" style="192" customWidth="1"/>
    <col min="9378" max="9378" width="7.25" style="192" customWidth="1"/>
    <col min="9379" max="9441" width="6.125" style="192" customWidth="1"/>
    <col min="9442" max="9451" width="0" style="192" hidden="1" customWidth="1"/>
    <col min="9452" max="9456" width="6.875" style="192" customWidth="1"/>
    <col min="9457" max="9509" width="0" style="192" hidden="1" customWidth="1"/>
    <col min="9510" max="9510" width="7.875" style="192" customWidth="1"/>
    <col min="9511" max="9511" width="6" style="192" customWidth="1"/>
    <col min="9512" max="9629" width="8.75" style="192"/>
    <col min="9630" max="9630" width="4.5" style="192" customWidth="1"/>
    <col min="9631" max="9631" width="20.5" style="192" customWidth="1"/>
    <col min="9632" max="9632" width="7.875" style="192" customWidth="1"/>
    <col min="9633" max="9633" width="6.875" style="192" customWidth="1"/>
    <col min="9634" max="9634" width="7.25" style="192" customWidth="1"/>
    <col min="9635" max="9697" width="6.125" style="192" customWidth="1"/>
    <col min="9698" max="9707" width="0" style="192" hidden="1" customWidth="1"/>
    <col min="9708" max="9712" width="6.875" style="192" customWidth="1"/>
    <col min="9713" max="9765" width="0" style="192" hidden="1" customWidth="1"/>
    <col min="9766" max="9766" width="7.875" style="192" customWidth="1"/>
    <col min="9767" max="9767" width="6" style="192" customWidth="1"/>
    <col min="9768" max="9885" width="8.75" style="192"/>
    <col min="9886" max="9886" width="4.5" style="192" customWidth="1"/>
    <col min="9887" max="9887" width="20.5" style="192" customWidth="1"/>
    <col min="9888" max="9888" width="7.875" style="192" customWidth="1"/>
    <col min="9889" max="9889" width="6.875" style="192" customWidth="1"/>
    <col min="9890" max="9890" width="7.25" style="192" customWidth="1"/>
    <col min="9891" max="9953" width="6.125" style="192" customWidth="1"/>
    <col min="9954" max="9963" width="0" style="192" hidden="1" customWidth="1"/>
    <col min="9964" max="9968" width="6.875" style="192" customWidth="1"/>
    <col min="9969" max="10021" width="0" style="192" hidden="1" customWidth="1"/>
    <col min="10022" max="10022" width="7.875" style="192" customWidth="1"/>
    <col min="10023" max="10023" width="6" style="192" customWidth="1"/>
    <col min="10024" max="10141" width="8.75" style="192"/>
    <col min="10142" max="10142" width="4.5" style="192" customWidth="1"/>
    <col min="10143" max="10143" width="20.5" style="192" customWidth="1"/>
    <col min="10144" max="10144" width="7.875" style="192" customWidth="1"/>
    <col min="10145" max="10145" width="6.875" style="192" customWidth="1"/>
    <col min="10146" max="10146" width="7.25" style="192" customWidth="1"/>
    <col min="10147" max="10209" width="6.125" style="192" customWidth="1"/>
    <col min="10210" max="10219" width="0" style="192" hidden="1" customWidth="1"/>
    <col min="10220" max="10224" width="6.875" style="192" customWidth="1"/>
    <col min="10225" max="10277" width="0" style="192" hidden="1" customWidth="1"/>
    <col min="10278" max="10278" width="7.875" style="192" customWidth="1"/>
    <col min="10279" max="10279" width="6" style="192" customWidth="1"/>
    <col min="10280" max="10397" width="8.75" style="192"/>
    <col min="10398" max="10398" width="4.5" style="192" customWidth="1"/>
    <col min="10399" max="10399" width="20.5" style="192" customWidth="1"/>
    <col min="10400" max="10400" width="7.875" style="192" customWidth="1"/>
    <col min="10401" max="10401" width="6.875" style="192" customWidth="1"/>
    <col min="10402" max="10402" width="7.25" style="192" customWidth="1"/>
    <col min="10403" max="10465" width="6.125" style="192" customWidth="1"/>
    <col min="10466" max="10475" width="0" style="192" hidden="1" customWidth="1"/>
    <col min="10476" max="10480" width="6.875" style="192" customWidth="1"/>
    <col min="10481" max="10533" width="0" style="192" hidden="1" customWidth="1"/>
    <col min="10534" max="10534" width="7.875" style="192" customWidth="1"/>
    <col min="10535" max="10535" width="6" style="192" customWidth="1"/>
    <col min="10536" max="10653" width="8.75" style="192"/>
    <col min="10654" max="10654" width="4.5" style="192" customWidth="1"/>
    <col min="10655" max="10655" width="20.5" style="192" customWidth="1"/>
    <col min="10656" max="10656" width="7.875" style="192" customWidth="1"/>
    <col min="10657" max="10657" width="6.875" style="192" customWidth="1"/>
    <col min="10658" max="10658" width="7.25" style="192" customWidth="1"/>
    <col min="10659" max="10721" width="6.125" style="192" customWidth="1"/>
    <col min="10722" max="10731" width="0" style="192" hidden="1" customWidth="1"/>
    <col min="10732" max="10736" width="6.875" style="192" customWidth="1"/>
    <col min="10737" max="10789" width="0" style="192" hidden="1" customWidth="1"/>
    <col min="10790" max="10790" width="7.875" style="192" customWidth="1"/>
    <col min="10791" max="10791" width="6" style="192" customWidth="1"/>
    <col min="10792" max="10909" width="8.75" style="192"/>
    <col min="10910" max="10910" width="4.5" style="192" customWidth="1"/>
    <col min="10911" max="10911" width="20.5" style="192" customWidth="1"/>
    <col min="10912" max="10912" width="7.875" style="192" customWidth="1"/>
    <col min="10913" max="10913" width="6.875" style="192" customWidth="1"/>
    <col min="10914" max="10914" width="7.25" style="192" customWidth="1"/>
    <col min="10915" max="10977" width="6.125" style="192" customWidth="1"/>
    <col min="10978" max="10987" width="0" style="192" hidden="1" customWidth="1"/>
    <col min="10988" max="10992" width="6.875" style="192" customWidth="1"/>
    <col min="10993" max="11045" width="0" style="192" hidden="1" customWidth="1"/>
    <col min="11046" max="11046" width="7.875" style="192" customWidth="1"/>
    <col min="11047" max="11047" width="6" style="192" customWidth="1"/>
    <col min="11048" max="11165" width="8.75" style="192"/>
    <col min="11166" max="11166" width="4.5" style="192" customWidth="1"/>
    <col min="11167" max="11167" width="20.5" style="192" customWidth="1"/>
    <col min="11168" max="11168" width="7.875" style="192" customWidth="1"/>
    <col min="11169" max="11169" width="6.875" style="192" customWidth="1"/>
    <col min="11170" max="11170" width="7.25" style="192" customWidth="1"/>
    <col min="11171" max="11233" width="6.125" style="192" customWidth="1"/>
    <col min="11234" max="11243" width="0" style="192" hidden="1" customWidth="1"/>
    <col min="11244" max="11248" width="6.875" style="192" customWidth="1"/>
    <col min="11249" max="11301" width="0" style="192" hidden="1" customWidth="1"/>
    <col min="11302" max="11302" width="7.875" style="192" customWidth="1"/>
    <col min="11303" max="11303" width="6" style="192" customWidth="1"/>
    <col min="11304" max="11421" width="8.75" style="192"/>
    <col min="11422" max="11422" width="4.5" style="192" customWidth="1"/>
    <col min="11423" max="11423" width="20.5" style="192" customWidth="1"/>
    <col min="11424" max="11424" width="7.875" style="192" customWidth="1"/>
    <col min="11425" max="11425" width="6.875" style="192" customWidth="1"/>
    <col min="11426" max="11426" width="7.25" style="192" customWidth="1"/>
    <col min="11427" max="11489" width="6.125" style="192" customWidth="1"/>
    <col min="11490" max="11499" width="0" style="192" hidden="1" customWidth="1"/>
    <col min="11500" max="11504" width="6.875" style="192" customWidth="1"/>
    <col min="11505" max="11557" width="0" style="192" hidden="1" customWidth="1"/>
    <col min="11558" max="11558" width="7.875" style="192" customWidth="1"/>
    <col min="11559" max="11559" width="6" style="192" customWidth="1"/>
    <col min="11560" max="11677" width="8.75" style="192"/>
    <col min="11678" max="11678" width="4.5" style="192" customWidth="1"/>
    <col min="11679" max="11679" width="20.5" style="192" customWidth="1"/>
    <col min="11680" max="11680" width="7.875" style="192" customWidth="1"/>
    <col min="11681" max="11681" width="6.875" style="192" customWidth="1"/>
    <col min="11682" max="11682" width="7.25" style="192" customWidth="1"/>
    <col min="11683" max="11745" width="6.125" style="192" customWidth="1"/>
    <col min="11746" max="11755" width="0" style="192" hidden="1" customWidth="1"/>
    <col min="11756" max="11760" width="6.875" style="192" customWidth="1"/>
    <col min="11761" max="11813" width="0" style="192" hidden="1" customWidth="1"/>
    <col min="11814" max="11814" width="7.875" style="192" customWidth="1"/>
    <col min="11815" max="11815" width="6" style="192" customWidth="1"/>
    <col min="11816" max="11933" width="8.75" style="192"/>
    <col min="11934" max="11934" width="4.5" style="192" customWidth="1"/>
    <col min="11935" max="11935" width="20.5" style="192" customWidth="1"/>
    <col min="11936" max="11936" width="7.875" style="192" customWidth="1"/>
    <col min="11937" max="11937" width="6.875" style="192" customWidth="1"/>
    <col min="11938" max="11938" width="7.25" style="192" customWidth="1"/>
    <col min="11939" max="12001" width="6.125" style="192" customWidth="1"/>
    <col min="12002" max="12011" width="0" style="192" hidden="1" customWidth="1"/>
    <col min="12012" max="12016" width="6.875" style="192" customWidth="1"/>
    <col min="12017" max="12069" width="0" style="192" hidden="1" customWidth="1"/>
    <col min="12070" max="12070" width="7.875" style="192" customWidth="1"/>
    <col min="12071" max="12071" width="6" style="192" customWidth="1"/>
    <col min="12072" max="12189" width="8.75" style="192"/>
    <col min="12190" max="12190" width="4.5" style="192" customWidth="1"/>
    <col min="12191" max="12191" width="20.5" style="192" customWidth="1"/>
    <col min="12192" max="12192" width="7.875" style="192" customWidth="1"/>
    <col min="12193" max="12193" width="6.875" style="192" customWidth="1"/>
    <col min="12194" max="12194" width="7.25" style="192" customWidth="1"/>
    <col min="12195" max="12257" width="6.125" style="192" customWidth="1"/>
    <col min="12258" max="12267" width="0" style="192" hidden="1" customWidth="1"/>
    <col min="12268" max="12272" width="6.875" style="192" customWidth="1"/>
    <col min="12273" max="12325" width="0" style="192" hidden="1" customWidth="1"/>
    <col min="12326" max="12326" width="7.875" style="192" customWidth="1"/>
    <col min="12327" max="12327" width="6" style="192" customWidth="1"/>
    <col min="12328" max="12445" width="8.75" style="192"/>
    <col min="12446" max="12446" width="4.5" style="192" customWidth="1"/>
    <col min="12447" max="12447" width="20.5" style="192" customWidth="1"/>
    <col min="12448" max="12448" width="7.875" style="192" customWidth="1"/>
    <col min="12449" max="12449" width="6.875" style="192" customWidth="1"/>
    <col min="12450" max="12450" width="7.25" style="192" customWidth="1"/>
    <col min="12451" max="12513" width="6.125" style="192" customWidth="1"/>
    <col min="12514" max="12523" width="0" style="192" hidden="1" customWidth="1"/>
    <col min="12524" max="12528" width="6.875" style="192" customWidth="1"/>
    <col min="12529" max="12581" width="0" style="192" hidden="1" customWidth="1"/>
    <col min="12582" max="12582" width="7.875" style="192" customWidth="1"/>
    <col min="12583" max="12583" width="6" style="192" customWidth="1"/>
    <col min="12584" max="12701" width="8.75" style="192"/>
    <col min="12702" max="12702" width="4.5" style="192" customWidth="1"/>
    <col min="12703" max="12703" width="20.5" style="192" customWidth="1"/>
    <col min="12704" max="12704" width="7.875" style="192" customWidth="1"/>
    <col min="12705" max="12705" width="6.875" style="192" customWidth="1"/>
    <col min="12706" max="12706" width="7.25" style="192" customWidth="1"/>
    <col min="12707" max="12769" width="6.125" style="192" customWidth="1"/>
    <col min="12770" max="12779" width="0" style="192" hidden="1" customWidth="1"/>
    <col min="12780" max="12784" width="6.875" style="192" customWidth="1"/>
    <col min="12785" max="12837" width="0" style="192" hidden="1" customWidth="1"/>
    <col min="12838" max="12838" width="7.875" style="192" customWidth="1"/>
    <col min="12839" max="12839" width="6" style="192" customWidth="1"/>
    <col min="12840" max="12957" width="8.75" style="192"/>
    <col min="12958" max="12958" width="4.5" style="192" customWidth="1"/>
    <col min="12959" max="12959" width="20.5" style="192" customWidth="1"/>
    <col min="12960" max="12960" width="7.875" style="192" customWidth="1"/>
    <col min="12961" max="12961" width="6.875" style="192" customWidth="1"/>
    <col min="12962" max="12962" width="7.25" style="192" customWidth="1"/>
    <col min="12963" max="13025" width="6.125" style="192" customWidth="1"/>
    <col min="13026" max="13035" width="0" style="192" hidden="1" customWidth="1"/>
    <col min="13036" max="13040" width="6.875" style="192" customWidth="1"/>
    <col min="13041" max="13093" width="0" style="192" hidden="1" customWidth="1"/>
    <col min="13094" max="13094" width="7.875" style="192" customWidth="1"/>
    <col min="13095" max="13095" width="6" style="192" customWidth="1"/>
    <col min="13096" max="13213" width="8.75" style="192"/>
    <col min="13214" max="13214" width="4.5" style="192" customWidth="1"/>
    <col min="13215" max="13215" width="20.5" style="192" customWidth="1"/>
    <col min="13216" max="13216" width="7.875" style="192" customWidth="1"/>
    <col min="13217" max="13217" width="6.875" style="192" customWidth="1"/>
    <col min="13218" max="13218" width="7.25" style="192" customWidth="1"/>
    <col min="13219" max="13281" width="6.125" style="192" customWidth="1"/>
    <col min="13282" max="13291" width="0" style="192" hidden="1" customWidth="1"/>
    <col min="13292" max="13296" width="6.875" style="192" customWidth="1"/>
    <col min="13297" max="13349" width="0" style="192" hidden="1" customWidth="1"/>
    <col min="13350" max="13350" width="7.875" style="192" customWidth="1"/>
    <col min="13351" max="13351" width="6" style="192" customWidth="1"/>
    <col min="13352" max="13469" width="8.75" style="192"/>
    <col min="13470" max="13470" width="4.5" style="192" customWidth="1"/>
    <col min="13471" max="13471" width="20.5" style="192" customWidth="1"/>
    <col min="13472" max="13472" width="7.875" style="192" customWidth="1"/>
    <col min="13473" max="13473" width="6.875" style="192" customWidth="1"/>
    <col min="13474" max="13474" width="7.25" style="192" customWidth="1"/>
    <col min="13475" max="13537" width="6.125" style="192" customWidth="1"/>
    <col min="13538" max="13547" width="0" style="192" hidden="1" customWidth="1"/>
    <col min="13548" max="13552" width="6.875" style="192" customWidth="1"/>
    <col min="13553" max="13605" width="0" style="192" hidden="1" customWidth="1"/>
    <col min="13606" max="13606" width="7.875" style="192" customWidth="1"/>
    <col min="13607" max="13607" width="6" style="192" customWidth="1"/>
    <col min="13608" max="13725" width="8.75" style="192"/>
    <col min="13726" max="13726" width="4.5" style="192" customWidth="1"/>
    <col min="13727" max="13727" width="20.5" style="192" customWidth="1"/>
    <col min="13728" max="13728" width="7.875" style="192" customWidth="1"/>
    <col min="13729" max="13729" width="6.875" style="192" customWidth="1"/>
    <col min="13730" max="13730" width="7.25" style="192" customWidth="1"/>
    <col min="13731" max="13793" width="6.125" style="192" customWidth="1"/>
    <col min="13794" max="13803" width="0" style="192" hidden="1" customWidth="1"/>
    <col min="13804" max="13808" width="6.875" style="192" customWidth="1"/>
    <col min="13809" max="13861" width="0" style="192" hidden="1" customWidth="1"/>
    <col min="13862" max="13862" width="7.875" style="192" customWidth="1"/>
    <col min="13863" max="13863" width="6" style="192" customWidth="1"/>
    <col min="13864" max="13981" width="8.75" style="192"/>
    <col min="13982" max="13982" width="4.5" style="192" customWidth="1"/>
    <col min="13983" max="13983" width="20.5" style="192" customWidth="1"/>
    <col min="13984" max="13984" width="7.875" style="192" customWidth="1"/>
    <col min="13985" max="13985" width="6.875" style="192" customWidth="1"/>
    <col min="13986" max="13986" width="7.25" style="192" customWidth="1"/>
    <col min="13987" max="14049" width="6.125" style="192" customWidth="1"/>
    <col min="14050" max="14059" width="0" style="192" hidden="1" customWidth="1"/>
    <col min="14060" max="14064" width="6.875" style="192" customWidth="1"/>
    <col min="14065" max="14117" width="0" style="192" hidden="1" customWidth="1"/>
    <col min="14118" max="14118" width="7.875" style="192" customWidth="1"/>
    <col min="14119" max="14119" width="6" style="192" customWidth="1"/>
    <col min="14120" max="14237" width="8.75" style="192"/>
    <col min="14238" max="14238" width="4.5" style="192" customWidth="1"/>
    <col min="14239" max="14239" width="20.5" style="192" customWidth="1"/>
    <col min="14240" max="14240" width="7.875" style="192" customWidth="1"/>
    <col min="14241" max="14241" width="6.875" style="192" customWidth="1"/>
    <col min="14242" max="14242" width="7.25" style="192" customWidth="1"/>
    <col min="14243" max="14305" width="6.125" style="192" customWidth="1"/>
    <col min="14306" max="14315" width="0" style="192" hidden="1" customWidth="1"/>
    <col min="14316" max="14320" width="6.875" style="192" customWidth="1"/>
    <col min="14321" max="14373" width="0" style="192" hidden="1" customWidth="1"/>
    <col min="14374" max="14374" width="7.875" style="192" customWidth="1"/>
    <col min="14375" max="14375" width="6" style="192" customWidth="1"/>
    <col min="14376" max="14493" width="8.75" style="192"/>
    <col min="14494" max="14494" width="4.5" style="192" customWidth="1"/>
    <col min="14495" max="14495" width="20.5" style="192" customWidth="1"/>
    <col min="14496" max="14496" width="7.875" style="192" customWidth="1"/>
    <col min="14497" max="14497" width="6.875" style="192" customWidth="1"/>
    <col min="14498" max="14498" width="7.25" style="192" customWidth="1"/>
    <col min="14499" max="14561" width="6.125" style="192" customWidth="1"/>
    <col min="14562" max="14571" width="0" style="192" hidden="1" customWidth="1"/>
    <col min="14572" max="14576" width="6.875" style="192" customWidth="1"/>
    <col min="14577" max="14629" width="0" style="192" hidden="1" customWidth="1"/>
    <col min="14630" max="14630" width="7.875" style="192" customWidth="1"/>
    <col min="14631" max="14631" width="6" style="192" customWidth="1"/>
    <col min="14632" max="14749" width="8.75" style="192"/>
    <col min="14750" max="14750" width="4.5" style="192" customWidth="1"/>
    <col min="14751" max="14751" width="20.5" style="192" customWidth="1"/>
    <col min="14752" max="14752" width="7.875" style="192" customWidth="1"/>
    <col min="14753" max="14753" width="6.875" style="192" customWidth="1"/>
    <col min="14754" max="14754" width="7.25" style="192" customWidth="1"/>
    <col min="14755" max="14817" width="6.125" style="192" customWidth="1"/>
    <col min="14818" max="14827" width="0" style="192" hidden="1" customWidth="1"/>
    <col min="14828" max="14832" width="6.875" style="192" customWidth="1"/>
    <col min="14833" max="14885" width="0" style="192" hidden="1" customWidth="1"/>
    <col min="14886" max="14886" width="7.875" style="192" customWidth="1"/>
    <col min="14887" max="14887" width="6" style="192" customWidth="1"/>
    <col min="14888" max="15005" width="8.75" style="192"/>
    <col min="15006" max="15006" width="4.5" style="192" customWidth="1"/>
    <col min="15007" max="15007" width="20.5" style="192" customWidth="1"/>
    <col min="15008" max="15008" width="7.875" style="192" customWidth="1"/>
    <col min="15009" max="15009" width="6.875" style="192" customWidth="1"/>
    <col min="15010" max="15010" width="7.25" style="192" customWidth="1"/>
    <col min="15011" max="15073" width="6.125" style="192" customWidth="1"/>
    <col min="15074" max="15083" width="0" style="192" hidden="1" customWidth="1"/>
    <col min="15084" max="15088" width="6.875" style="192" customWidth="1"/>
    <col min="15089" max="15141" width="0" style="192" hidden="1" customWidth="1"/>
    <col min="15142" max="15142" width="7.875" style="192" customWidth="1"/>
    <col min="15143" max="15143" width="6" style="192" customWidth="1"/>
    <col min="15144" max="15261" width="8.75" style="192"/>
    <col min="15262" max="15262" width="4.5" style="192" customWidth="1"/>
    <col min="15263" max="15263" width="20.5" style="192" customWidth="1"/>
    <col min="15264" max="15264" width="7.875" style="192" customWidth="1"/>
    <col min="15265" max="15265" width="6.875" style="192" customWidth="1"/>
    <col min="15266" max="15266" width="7.25" style="192" customWidth="1"/>
    <col min="15267" max="15329" width="6.125" style="192" customWidth="1"/>
    <col min="15330" max="15339" width="0" style="192" hidden="1" customWidth="1"/>
    <col min="15340" max="15344" width="6.875" style="192" customWidth="1"/>
    <col min="15345" max="15397" width="0" style="192" hidden="1" customWidth="1"/>
    <col min="15398" max="15398" width="7.875" style="192" customWidth="1"/>
    <col min="15399" max="15399" width="6" style="192" customWidth="1"/>
    <col min="15400" max="15517" width="8.75" style="192"/>
    <col min="15518" max="15518" width="4.5" style="192" customWidth="1"/>
    <col min="15519" max="15519" width="20.5" style="192" customWidth="1"/>
    <col min="15520" max="15520" width="7.875" style="192" customWidth="1"/>
    <col min="15521" max="15521" width="6.875" style="192" customWidth="1"/>
    <col min="15522" max="15522" width="7.25" style="192" customWidth="1"/>
    <col min="15523" max="15585" width="6.125" style="192" customWidth="1"/>
    <col min="15586" max="15595" width="0" style="192" hidden="1" customWidth="1"/>
    <col min="15596" max="15600" width="6.875" style="192" customWidth="1"/>
    <col min="15601" max="15653" width="0" style="192" hidden="1" customWidth="1"/>
    <col min="15654" max="15654" width="7.875" style="192" customWidth="1"/>
    <col min="15655" max="15655" width="6" style="192" customWidth="1"/>
    <col min="15656" max="15773" width="8.75" style="192"/>
    <col min="15774" max="15774" width="4.5" style="192" customWidth="1"/>
    <col min="15775" max="15775" width="20.5" style="192" customWidth="1"/>
    <col min="15776" max="15776" width="7.875" style="192" customWidth="1"/>
    <col min="15777" max="15777" width="6.875" style="192" customWidth="1"/>
    <col min="15778" max="15778" width="7.25" style="192" customWidth="1"/>
    <col min="15779" max="15841" width="6.125" style="192" customWidth="1"/>
    <col min="15842" max="15851" width="0" style="192" hidden="1" customWidth="1"/>
    <col min="15852" max="15856" width="6.875" style="192" customWidth="1"/>
    <col min="15857" max="15909" width="0" style="192" hidden="1" customWidth="1"/>
    <col min="15910" max="15910" width="7.875" style="192" customWidth="1"/>
    <col min="15911" max="15911" width="6" style="192" customWidth="1"/>
    <col min="15912" max="16029" width="8.75" style="192"/>
    <col min="16030" max="16030" width="4.5" style="192" customWidth="1"/>
    <col min="16031" max="16031" width="20.5" style="192" customWidth="1"/>
    <col min="16032" max="16032" width="7.875" style="192" customWidth="1"/>
    <col min="16033" max="16033" width="6.875" style="192" customWidth="1"/>
    <col min="16034" max="16034" width="7.25" style="192" customWidth="1"/>
    <col min="16035" max="16097" width="6.125" style="192" customWidth="1"/>
    <col min="16098" max="16107" width="0" style="192" hidden="1" customWidth="1"/>
    <col min="16108" max="16112" width="6.875" style="192" customWidth="1"/>
    <col min="16113" max="16165" width="0" style="192" hidden="1" customWidth="1"/>
    <col min="16166" max="16166" width="7.875" style="192" customWidth="1"/>
    <col min="16167" max="16167" width="6" style="192" customWidth="1"/>
    <col min="16168" max="16384" width="8.75" style="192"/>
  </cols>
  <sheetData>
    <row r="1" spans="1:39" s="189" customFormat="1" ht="20.100000000000001" customHeight="1">
      <c r="A1" s="232" t="s">
        <v>192</v>
      </c>
      <c r="B1" s="231"/>
      <c r="C1" s="186"/>
      <c r="D1" s="187"/>
      <c r="E1" s="188">
        <f>IFERROR(E5-E2,0)</f>
        <v>0</v>
      </c>
      <c r="F1" s="188">
        <f t="shared" ref="F1:AK1" si="0">IFERROR(F5-F2,0)</f>
        <v>0</v>
      </c>
      <c r="G1" s="188">
        <f t="shared" si="0"/>
        <v>0</v>
      </c>
      <c r="H1" s="188">
        <f t="shared" si="0"/>
        <v>0</v>
      </c>
      <c r="I1" s="188">
        <f t="shared" si="0"/>
        <v>0</v>
      </c>
      <c r="J1" s="188">
        <f t="shared" si="0"/>
        <v>0</v>
      </c>
      <c r="K1" s="188">
        <f t="shared" si="0"/>
        <v>0</v>
      </c>
      <c r="L1" s="188">
        <f t="shared" si="0"/>
        <v>0</v>
      </c>
      <c r="M1" s="188">
        <f t="shared" si="0"/>
        <v>0</v>
      </c>
      <c r="N1" s="188">
        <f t="shared" si="0"/>
        <v>0</v>
      </c>
      <c r="O1" s="188">
        <f t="shared" si="0"/>
        <v>0</v>
      </c>
      <c r="P1" s="188">
        <f t="shared" si="0"/>
        <v>0</v>
      </c>
      <c r="Q1" s="188">
        <f t="shared" si="0"/>
        <v>0</v>
      </c>
      <c r="R1" s="188">
        <f t="shared" si="0"/>
        <v>0</v>
      </c>
      <c r="S1" s="188">
        <f t="shared" si="0"/>
        <v>0</v>
      </c>
      <c r="T1" s="188">
        <f t="shared" si="0"/>
        <v>0</v>
      </c>
      <c r="U1" s="188">
        <f t="shared" si="0"/>
        <v>0</v>
      </c>
      <c r="V1" s="188">
        <f t="shared" si="0"/>
        <v>0</v>
      </c>
      <c r="W1" s="188">
        <f t="shared" si="0"/>
        <v>0</v>
      </c>
      <c r="X1" s="188">
        <f t="shared" si="0"/>
        <v>0</v>
      </c>
      <c r="Y1" s="188">
        <f t="shared" si="0"/>
        <v>0</v>
      </c>
      <c r="Z1" s="188">
        <f t="shared" si="0"/>
        <v>0</v>
      </c>
      <c r="AA1" s="188">
        <f t="shared" si="0"/>
        <v>0</v>
      </c>
      <c r="AB1" s="188">
        <f t="shared" si="0"/>
        <v>0</v>
      </c>
      <c r="AC1" s="188">
        <f t="shared" si="0"/>
        <v>0</v>
      </c>
      <c r="AD1" s="188">
        <f t="shared" si="0"/>
        <v>0</v>
      </c>
      <c r="AE1" s="188">
        <f t="shared" si="0"/>
        <v>0</v>
      </c>
      <c r="AF1" s="188">
        <f t="shared" si="0"/>
        <v>0</v>
      </c>
      <c r="AG1" s="188">
        <f t="shared" si="0"/>
        <v>0</v>
      </c>
      <c r="AH1" s="188">
        <f t="shared" si="0"/>
        <v>0</v>
      </c>
      <c r="AI1" s="188">
        <f t="shared" si="0"/>
        <v>0</v>
      </c>
      <c r="AJ1" s="188">
        <f t="shared" si="0"/>
        <v>0</v>
      </c>
      <c r="AK1" s="188">
        <f t="shared" si="0"/>
        <v>0</v>
      </c>
      <c r="AL1" s="185"/>
    </row>
    <row r="2" spans="1:39" ht="23.25" customHeight="1">
      <c r="A2" s="31" t="s">
        <v>195</v>
      </c>
      <c r="B2" s="31"/>
      <c r="C2" s="190"/>
      <c r="D2" s="191"/>
      <c r="E2" s="190" cm="1">
        <f t="array" ref="E2">IFERROR(SUM(_xlfn._xlws.FILTER(E8:E832,ISNUMBER(E8:E832))),0)</f>
        <v>0</v>
      </c>
      <c r="F2" s="190" cm="1">
        <f t="array" ref="F2">IFERROR(SUM(_xlfn._xlws.FILTER(F8:F832,ISNUMBER(F8:F832))),0)</f>
        <v>0</v>
      </c>
      <c r="G2" s="190" cm="1">
        <f t="array" ref="G2">IFERROR(SUM(_xlfn._xlws.FILTER(G8:G832,ISNUMBER(G8:G832))),0)</f>
        <v>0</v>
      </c>
      <c r="H2" s="190" cm="1">
        <f t="array" ref="H2">IFERROR(SUM(_xlfn._xlws.FILTER(H8:H832,ISNUMBER(H8:H832))),0)</f>
        <v>0</v>
      </c>
      <c r="I2" s="190" cm="1">
        <f t="array" ref="I2">IFERROR(SUM(_xlfn._xlws.FILTER(I8:I832,ISNUMBER(I8:I832))),0)</f>
        <v>0</v>
      </c>
      <c r="J2" s="190" cm="1">
        <f t="array" ref="J2">IFERROR(SUM(_xlfn._xlws.FILTER(J8:J832,ISNUMBER(J8:J832))),0)</f>
        <v>0</v>
      </c>
      <c r="K2" s="190" cm="1">
        <f t="array" ref="K2">IFERROR(SUM(_xlfn._xlws.FILTER(K8:K832,ISNUMBER(K8:K832))),0)</f>
        <v>0</v>
      </c>
      <c r="L2" s="190" cm="1">
        <f t="array" ref="L2">IFERROR(SUM(_xlfn._xlws.FILTER(L8:L832,ISNUMBER(L8:L832))),0)</f>
        <v>0</v>
      </c>
      <c r="M2" s="190" cm="1">
        <f t="array" ref="M2">IFERROR(SUM(_xlfn._xlws.FILTER(M8:M832,ISNUMBER(M8:M832))),0)</f>
        <v>0</v>
      </c>
      <c r="N2" s="190" cm="1">
        <f t="array" ref="N2">IFERROR(SUM(_xlfn._xlws.FILTER(N8:N832,ISNUMBER(N8:N832))),0)</f>
        <v>0</v>
      </c>
      <c r="O2" s="190" cm="1">
        <f t="array" ref="O2">IFERROR(SUM(_xlfn._xlws.FILTER(O8:O832,ISNUMBER(O8:O832))),0)</f>
        <v>0</v>
      </c>
      <c r="P2" s="190" cm="1">
        <f t="array" ref="P2">IFERROR(SUM(_xlfn._xlws.FILTER(P8:P832,ISNUMBER(P8:P832))),0)</f>
        <v>0</v>
      </c>
      <c r="Q2" s="190" cm="1">
        <f t="array" ref="Q2">IFERROR(SUM(_xlfn._xlws.FILTER(Q8:Q832,ISNUMBER(Q8:Q832))),0)</f>
        <v>0</v>
      </c>
      <c r="R2" s="190" cm="1">
        <f t="array" ref="R2">IFERROR(SUM(_xlfn._xlws.FILTER(R8:R832,ISNUMBER(R8:R832))),0)</f>
        <v>0</v>
      </c>
      <c r="S2" s="190" cm="1">
        <f t="array" ref="S2">IFERROR(SUM(_xlfn._xlws.FILTER(S8:S832,ISNUMBER(S8:S832))),0)</f>
        <v>0</v>
      </c>
      <c r="T2" s="190" cm="1">
        <f t="array" ref="T2">IFERROR(SUM(_xlfn._xlws.FILTER(T8:T832,ISNUMBER(T8:T832))),0)</f>
        <v>0</v>
      </c>
      <c r="U2" s="190" cm="1">
        <f t="array" ref="U2">IFERROR(SUM(_xlfn._xlws.FILTER(U8:U832,ISNUMBER(U8:U832))),0)</f>
        <v>0</v>
      </c>
      <c r="V2" s="190" cm="1">
        <f t="array" ref="V2">IFERROR(SUM(_xlfn._xlws.FILTER(V8:V832,ISNUMBER(V8:V832))),0)</f>
        <v>0</v>
      </c>
      <c r="W2" s="190" cm="1">
        <f t="array" ref="W2">IFERROR(SUM(_xlfn._xlws.FILTER(W8:W832,ISNUMBER(W8:W832))),0)</f>
        <v>0</v>
      </c>
      <c r="X2" s="190" cm="1">
        <f t="array" ref="X2">IFERROR(SUM(_xlfn._xlws.FILTER(X8:X832,ISNUMBER(X8:X832))),0)</f>
        <v>0</v>
      </c>
      <c r="Y2" s="190" cm="1">
        <f t="array" ref="Y2">IFERROR(SUM(_xlfn._xlws.FILTER(Y8:Y832,ISNUMBER(Y8:Y832))),0)</f>
        <v>0</v>
      </c>
      <c r="Z2" s="190" cm="1">
        <f t="array" ref="Z2">IFERROR(SUM(_xlfn._xlws.FILTER(Z8:Z832,ISNUMBER(Z8:Z832))),0)</f>
        <v>0</v>
      </c>
      <c r="AA2" s="190" cm="1">
        <f t="array" ref="AA2">IFERROR(SUM(_xlfn._xlws.FILTER(AA8:AA832,ISNUMBER(AA8:AA832))),0)</f>
        <v>0</v>
      </c>
      <c r="AB2" s="190" cm="1">
        <f t="array" ref="AB2">IFERROR(SUM(_xlfn._xlws.FILTER(AB8:AB832,ISNUMBER(AB8:AB832))),0)</f>
        <v>0</v>
      </c>
      <c r="AC2" s="190" cm="1">
        <f t="array" ref="AC2">IFERROR(SUM(_xlfn._xlws.FILTER(AC8:AC832,ISNUMBER(AC8:AC832))),0)</f>
        <v>0</v>
      </c>
      <c r="AD2" s="190" cm="1">
        <f t="array" ref="AD2">IFERROR(SUM(_xlfn._xlws.FILTER(AD8:AD832,ISNUMBER(AD8:AD832))),0)</f>
        <v>0</v>
      </c>
      <c r="AE2" s="190" cm="1">
        <f t="array" ref="AE2">IFERROR(SUM(_xlfn._xlws.FILTER(AE8:AE832,ISNUMBER(AE8:AE832))),0)</f>
        <v>0</v>
      </c>
      <c r="AF2" s="190" cm="1">
        <f t="array" ref="AF2">IFERROR(SUM(_xlfn._xlws.FILTER(AF8:AF832,ISNUMBER(AF8:AF832))),0)</f>
        <v>0</v>
      </c>
      <c r="AG2" s="190" cm="1">
        <f t="array" ref="AG2">IFERROR(SUM(_xlfn._xlws.FILTER(AG8:AG832,ISNUMBER(AG8:AG832))),0)</f>
        <v>0</v>
      </c>
      <c r="AH2" s="190" cm="1">
        <f t="array" ref="AH2">IFERROR(SUM(_xlfn._xlws.FILTER(AH8:AH832,ISNUMBER(AH8:AH832))),0)</f>
        <v>0</v>
      </c>
      <c r="AI2" s="190" cm="1">
        <f t="array" ref="AI2">IFERROR(SUM(_xlfn._xlws.FILTER(AI8:AI832,ISNUMBER(AI8:AI832))),0)</f>
        <v>0</v>
      </c>
      <c r="AJ2" s="190" cm="1">
        <f t="array" ref="AJ2">IFERROR(SUM(_xlfn._xlws.FILTER(AJ8:AJ832,ISNUMBER(AJ8:AJ832))),0)</f>
        <v>0</v>
      </c>
      <c r="AK2" s="190" cm="1">
        <f t="array" ref="AK2">IFERROR(SUM(_xlfn._xlws.FILTER(AK8:AK832,ISNUMBER(AK8:AK832))),0)</f>
        <v>0</v>
      </c>
      <c r="AL2" s="190"/>
    </row>
    <row r="3" spans="1:39" ht="21" customHeight="1">
      <c r="A3" s="233" t="s">
        <v>231</v>
      </c>
      <c r="B3" s="193"/>
      <c r="C3" s="194"/>
      <c r="D3" s="195"/>
      <c r="E3" s="196"/>
      <c r="F3" s="196"/>
      <c r="G3" s="196"/>
      <c r="H3" s="197"/>
      <c r="I3" s="197"/>
      <c r="J3" s="197"/>
      <c r="K3" s="197"/>
      <c r="L3" s="197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  <c r="AL3" s="193"/>
    </row>
    <row r="4" spans="1:39" s="204" customFormat="1" ht="42" customHeight="1">
      <c r="A4" s="298" t="s">
        <v>0</v>
      </c>
      <c r="B4" s="298" t="s">
        <v>4</v>
      </c>
      <c r="C4" s="298" t="s">
        <v>1</v>
      </c>
      <c r="D4" s="292" t="s">
        <v>193</v>
      </c>
      <c r="E4" s="199"/>
      <c r="F4" s="200"/>
      <c r="G4" s="201"/>
      <c r="H4" s="202"/>
      <c r="I4" s="201"/>
      <c r="J4" s="200"/>
      <c r="K4" s="200"/>
      <c r="L4" s="201"/>
      <c r="M4" s="200"/>
      <c r="N4" s="200"/>
      <c r="O4" s="200"/>
      <c r="P4" s="200"/>
      <c r="Q4" s="198"/>
      <c r="R4" s="203"/>
      <c r="S4" s="198"/>
      <c r="T4" s="198"/>
      <c r="U4" s="198"/>
      <c r="V4" s="201"/>
      <c r="W4" s="201"/>
      <c r="X4" s="201"/>
      <c r="Y4" s="201"/>
      <c r="Z4" s="201"/>
      <c r="AA4" s="202"/>
      <c r="AB4" s="202"/>
      <c r="AC4" s="202"/>
      <c r="AD4" s="201"/>
      <c r="AE4" s="201"/>
      <c r="AF4" s="201"/>
      <c r="AG4" s="198"/>
      <c r="AH4" s="198"/>
      <c r="AI4" s="198"/>
      <c r="AJ4" s="202"/>
      <c r="AK4" s="200" t="s">
        <v>196</v>
      </c>
      <c r="AL4" s="300" t="s">
        <v>194</v>
      </c>
      <c r="AM4" s="294" t="s">
        <v>0</v>
      </c>
    </row>
    <row r="5" spans="1:39" s="206" customFormat="1" ht="19.5" customHeight="1">
      <c r="A5" s="298"/>
      <c r="B5" s="298"/>
      <c r="C5" s="298"/>
      <c r="D5" s="295" t="s">
        <v>2</v>
      </c>
      <c r="E5" s="198"/>
      <c r="F5" s="200"/>
      <c r="G5" s="201"/>
      <c r="H5" s="200"/>
      <c r="I5" s="201"/>
      <c r="J5" s="200"/>
      <c r="K5" s="200"/>
      <c r="L5" s="201"/>
      <c r="M5" s="200"/>
      <c r="N5" s="200"/>
      <c r="O5" s="200"/>
      <c r="P5" s="200"/>
      <c r="Q5" s="198"/>
      <c r="R5" s="205"/>
      <c r="S5" s="198"/>
      <c r="T5" s="198"/>
      <c r="U5" s="198"/>
      <c r="V5" s="201"/>
      <c r="W5" s="201"/>
      <c r="X5" s="201"/>
      <c r="Y5" s="201"/>
      <c r="Z5" s="201"/>
      <c r="AA5" s="200"/>
      <c r="AB5" s="202"/>
      <c r="AC5" s="202"/>
      <c r="AD5" s="201"/>
      <c r="AE5" s="201"/>
      <c r="AF5" s="201"/>
      <c r="AG5" s="198"/>
      <c r="AH5" s="198"/>
      <c r="AI5" s="198"/>
      <c r="AJ5" s="200"/>
      <c r="AK5" s="200"/>
      <c r="AL5" s="301"/>
      <c r="AM5" s="294"/>
    </row>
    <row r="6" spans="1:39" s="240" customFormat="1" ht="17.25" customHeight="1">
      <c r="A6" s="299"/>
      <c r="B6" s="299"/>
      <c r="C6" s="299"/>
      <c r="D6" s="296"/>
      <c r="E6" s="234"/>
      <c r="F6" s="235"/>
      <c r="G6" s="236"/>
      <c r="H6" s="236"/>
      <c r="I6" s="236"/>
      <c r="J6" s="236"/>
      <c r="K6" s="236"/>
      <c r="L6" s="236"/>
      <c r="M6" s="236"/>
      <c r="N6" s="235"/>
      <c r="O6" s="236"/>
      <c r="P6" s="235"/>
      <c r="Q6" s="237"/>
      <c r="R6" s="238"/>
      <c r="S6" s="237"/>
      <c r="T6" s="237"/>
      <c r="U6" s="237"/>
      <c r="V6" s="236"/>
      <c r="W6" s="236"/>
      <c r="X6" s="236"/>
      <c r="Y6" s="236"/>
      <c r="Z6" s="236"/>
      <c r="AA6" s="237"/>
      <c r="AB6" s="234"/>
      <c r="AC6" s="234"/>
      <c r="AD6" s="239"/>
      <c r="AE6" s="236"/>
      <c r="AF6" s="236"/>
      <c r="AG6" s="237"/>
      <c r="AH6" s="237"/>
      <c r="AI6" s="237"/>
      <c r="AJ6" s="237"/>
      <c r="AK6" s="235">
        <v>1.5</v>
      </c>
      <c r="AL6" s="302"/>
      <c r="AM6" s="294"/>
    </row>
    <row r="7" spans="1:39" s="222" customFormat="1" ht="22.5" customHeight="1">
      <c r="A7" s="216"/>
      <c r="B7" s="216"/>
      <c r="C7" s="216"/>
      <c r="D7" s="29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7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9"/>
      <c r="AL7" s="220"/>
      <c r="AM7" s="221"/>
    </row>
    <row r="8" spans="1:39" s="226" customFormat="1" ht="20.100000000000001" customHeight="1">
      <c r="A8" s="223"/>
      <c r="B8" s="223"/>
      <c r="C8" s="223"/>
      <c r="D8" s="224"/>
      <c r="E8" s="223"/>
      <c r="F8" s="223"/>
      <c r="G8" s="223"/>
      <c r="H8" s="223"/>
      <c r="I8" s="223"/>
      <c r="J8" s="223"/>
      <c r="K8" s="223"/>
      <c r="L8" s="223"/>
      <c r="M8" s="223"/>
      <c r="N8" s="223"/>
      <c r="O8" s="223"/>
      <c r="P8" s="223"/>
      <c r="Q8" s="223"/>
      <c r="R8" s="223"/>
      <c r="S8" s="223"/>
      <c r="T8" s="223"/>
      <c r="U8" s="223"/>
      <c r="V8" s="223"/>
      <c r="W8" s="223"/>
      <c r="X8" s="223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5"/>
    </row>
    <row r="9" spans="1:39" ht="20.100000000000001" customHeight="1">
      <c r="A9" s="227">
        <v>1</v>
      </c>
      <c r="B9" s="225"/>
      <c r="C9" s="227"/>
      <c r="D9" s="228" cm="1">
        <f t="array" ref="D9">IFERROR(
(SUMPRODUCT(E9:AL9*$E$6:$AL$6)/100) + (SUMPRODUCT(E9:AL9*$E$6:$AL$6*$E$3:$AL$3)/100),
0
)</f>
        <v>0</v>
      </c>
      <c r="E9" s="227"/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7"/>
      <c r="T9" s="227"/>
      <c r="U9" s="227"/>
      <c r="V9" s="227"/>
      <c r="W9" s="227"/>
      <c r="X9" s="227"/>
      <c r="Y9" s="227"/>
      <c r="Z9" s="227"/>
      <c r="AA9" s="227"/>
      <c r="AB9" s="227"/>
      <c r="AC9" s="227"/>
      <c r="AD9" s="227"/>
      <c r="AE9" s="227"/>
      <c r="AF9" s="227"/>
      <c r="AG9" s="227"/>
      <c r="AH9" s="227"/>
      <c r="AI9" s="227"/>
      <c r="AJ9" s="227"/>
      <c r="AK9" s="227"/>
      <c r="AL9" s="225"/>
      <c r="AM9" s="227">
        <v>1</v>
      </c>
    </row>
    <row r="10" spans="1:39" ht="20.100000000000001" customHeight="1">
      <c r="A10" s="227"/>
      <c r="B10" s="225"/>
      <c r="C10" s="227"/>
      <c r="D10" s="224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3"/>
      <c r="T10" s="223"/>
      <c r="U10" s="223"/>
      <c r="V10" s="223"/>
      <c r="W10" s="223"/>
      <c r="X10" s="223"/>
      <c r="Y10" s="223"/>
      <c r="Z10" s="223"/>
      <c r="AA10" s="223"/>
      <c r="AB10" s="223"/>
      <c r="AC10" s="223"/>
      <c r="AD10" s="223"/>
      <c r="AE10" s="223"/>
      <c r="AF10" s="223"/>
      <c r="AG10" s="223"/>
      <c r="AH10" s="223"/>
      <c r="AI10" s="223"/>
      <c r="AJ10" s="223"/>
      <c r="AK10" s="223"/>
      <c r="AL10" s="223"/>
      <c r="AM10" s="225"/>
    </row>
    <row r="11" spans="1:39" ht="20.100000000000001" customHeight="1">
      <c r="A11" s="227">
        <v>2</v>
      </c>
      <c r="B11" s="225"/>
      <c r="C11" s="227"/>
      <c r="D11" s="228" cm="1">
        <f t="array" ref="D11">IFERROR(
(SUMPRODUCT(E11:AL11*$E$6:$AL$6)/100) + (SUMPRODUCT(E11:AL11*$E$6:$AL$6*$E$3:$AL$3)/100),
0
)</f>
        <v>0</v>
      </c>
      <c r="E11" s="227"/>
      <c r="F11" s="227"/>
      <c r="G11" s="227"/>
      <c r="H11" s="227"/>
      <c r="I11" s="227"/>
      <c r="J11" s="227"/>
      <c r="K11" s="227"/>
      <c r="L11" s="227"/>
      <c r="M11" s="227"/>
      <c r="N11" s="227"/>
      <c r="O11" s="227"/>
      <c r="P11" s="227"/>
      <c r="Q11" s="227"/>
      <c r="R11" s="22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5"/>
      <c r="AM11" s="227">
        <v>2</v>
      </c>
    </row>
    <row r="12" spans="1:39" ht="20.100000000000001" customHeight="1">
      <c r="A12" s="223"/>
      <c r="B12" s="225"/>
      <c r="C12" s="227"/>
      <c r="D12" s="224"/>
      <c r="E12" s="223"/>
      <c r="F12" s="223"/>
      <c r="G12" s="223"/>
      <c r="H12" s="223"/>
      <c r="I12" s="223"/>
      <c r="J12" s="223"/>
      <c r="K12" s="223"/>
      <c r="L12" s="223"/>
      <c r="M12" s="223"/>
      <c r="N12" s="223"/>
      <c r="O12" s="223"/>
      <c r="P12" s="223"/>
      <c r="Q12" s="223"/>
      <c r="R12" s="223"/>
      <c r="S12" s="223"/>
      <c r="T12" s="223"/>
      <c r="U12" s="223"/>
      <c r="V12" s="223"/>
      <c r="W12" s="223"/>
      <c r="X12" s="223"/>
      <c r="Y12" s="223"/>
      <c r="Z12" s="223"/>
      <c r="AA12" s="223"/>
      <c r="AB12" s="223"/>
      <c r="AC12" s="223"/>
      <c r="AD12" s="223"/>
      <c r="AE12" s="223"/>
      <c r="AF12" s="223"/>
      <c r="AG12" s="223"/>
      <c r="AH12" s="223"/>
      <c r="AI12" s="223"/>
      <c r="AJ12" s="223"/>
      <c r="AK12" s="223"/>
      <c r="AL12" s="223"/>
      <c r="AM12" s="225"/>
    </row>
    <row r="13" spans="1:39" ht="20.100000000000001" customHeight="1">
      <c r="A13" s="227">
        <v>3</v>
      </c>
      <c r="B13" s="225"/>
      <c r="C13" s="227"/>
      <c r="D13" s="228" cm="1">
        <f t="array" ref="D13">IFERROR(
(SUMPRODUCT(E13:AL13*$E$6:$AL$6)/100) + (SUMPRODUCT(E13:AL13*$E$6:$AL$6*$E$3:$AL$3)/100),
0
)</f>
        <v>0</v>
      </c>
      <c r="E13" s="227"/>
      <c r="F13" s="227"/>
      <c r="G13" s="227"/>
      <c r="H13" s="227"/>
      <c r="I13" s="227"/>
      <c r="J13" s="227"/>
      <c r="K13" s="227"/>
      <c r="L13" s="227"/>
      <c r="M13" s="227"/>
      <c r="N13" s="227"/>
      <c r="O13" s="227"/>
      <c r="P13" s="227"/>
      <c r="Q13" s="227"/>
      <c r="R13" s="227"/>
      <c r="S13" s="227"/>
      <c r="T13" s="227"/>
      <c r="U13" s="227"/>
      <c r="V13" s="227"/>
      <c r="W13" s="227"/>
      <c r="X13" s="227"/>
      <c r="Y13" s="227"/>
      <c r="Z13" s="227"/>
      <c r="AA13" s="227"/>
      <c r="AB13" s="227"/>
      <c r="AC13" s="227"/>
      <c r="AD13" s="227"/>
      <c r="AE13" s="227"/>
      <c r="AF13" s="227"/>
      <c r="AG13" s="227"/>
      <c r="AH13" s="227"/>
      <c r="AI13" s="227"/>
      <c r="AJ13" s="227"/>
      <c r="AK13" s="227"/>
      <c r="AL13" s="225"/>
      <c r="AM13" s="227">
        <v>3</v>
      </c>
    </row>
    <row r="14" spans="1:39" ht="20.100000000000001" customHeight="1">
      <c r="A14" s="227"/>
      <c r="B14" s="225"/>
      <c r="C14" s="227"/>
      <c r="D14" s="224"/>
      <c r="E14" s="223"/>
      <c r="F14" s="223"/>
      <c r="G14" s="223"/>
      <c r="H14" s="223"/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  <c r="AC14" s="223"/>
      <c r="AD14" s="223"/>
      <c r="AE14" s="223"/>
      <c r="AF14" s="223"/>
      <c r="AG14" s="223"/>
      <c r="AH14" s="223"/>
      <c r="AI14" s="223"/>
      <c r="AJ14" s="223"/>
      <c r="AK14" s="223"/>
      <c r="AL14" s="223"/>
      <c r="AM14" s="225"/>
    </row>
    <row r="15" spans="1:39" ht="20.100000000000001" customHeight="1">
      <c r="A15" s="227">
        <v>4</v>
      </c>
      <c r="B15" s="225"/>
      <c r="C15" s="227"/>
      <c r="D15" s="228" cm="1">
        <f t="array" ref="D15">IFERROR(
(SUMPRODUCT(E15:AL15*$E$6:$AL$6)/100) + (SUMPRODUCT(E15:AL15*$E$6:$AL$6*$E$3:$AL$3)/100),
0
)</f>
        <v>0</v>
      </c>
      <c r="E15" s="227"/>
      <c r="F15" s="227"/>
      <c r="G15" s="227"/>
      <c r="H15" s="227"/>
      <c r="I15" s="227"/>
      <c r="J15" s="227"/>
      <c r="K15" s="227"/>
      <c r="L15" s="227"/>
      <c r="M15" s="227"/>
      <c r="N15" s="227"/>
      <c r="O15" s="227"/>
      <c r="P15" s="227"/>
      <c r="Q15" s="227"/>
      <c r="R15" s="227"/>
      <c r="S15" s="227"/>
      <c r="T15" s="227"/>
      <c r="U15" s="227"/>
      <c r="V15" s="227"/>
      <c r="W15" s="227"/>
      <c r="X15" s="227"/>
      <c r="Y15" s="227"/>
      <c r="Z15" s="227"/>
      <c r="AA15" s="227"/>
      <c r="AB15" s="227"/>
      <c r="AC15" s="227"/>
      <c r="AD15" s="227"/>
      <c r="AE15" s="227"/>
      <c r="AF15" s="227"/>
      <c r="AG15" s="227"/>
      <c r="AH15" s="227"/>
      <c r="AI15" s="227"/>
      <c r="AJ15" s="227"/>
      <c r="AK15" s="227"/>
      <c r="AL15" s="225"/>
      <c r="AM15" s="227">
        <v>4</v>
      </c>
    </row>
    <row r="16" spans="1:39" ht="20.100000000000001" customHeight="1">
      <c r="A16" s="223"/>
      <c r="B16" s="225"/>
      <c r="C16" s="227"/>
      <c r="D16" s="224"/>
      <c r="E16" s="223"/>
      <c r="F16" s="223"/>
      <c r="G16" s="223"/>
      <c r="H16" s="223"/>
      <c r="I16" s="223"/>
      <c r="J16" s="223"/>
      <c r="K16" s="223"/>
      <c r="L16" s="223"/>
      <c r="M16" s="223"/>
      <c r="N16" s="223"/>
      <c r="O16" s="223"/>
      <c r="P16" s="223"/>
      <c r="Q16" s="223"/>
      <c r="R16" s="223"/>
      <c r="S16" s="223"/>
      <c r="T16" s="223"/>
      <c r="U16" s="223"/>
      <c r="V16" s="223"/>
      <c r="W16" s="223"/>
      <c r="X16" s="223"/>
      <c r="Y16" s="223"/>
      <c r="Z16" s="223"/>
      <c r="AA16" s="223"/>
      <c r="AB16" s="223"/>
      <c r="AC16" s="223"/>
      <c r="AD16" s="223"/>
      <c r="AE16" s="223"/>
      <c r="AF16" s="223"/>
      <c r="AG16" s="223"/>
      <c r="AH16" s="223"/>
      <c r="AI16" s="223"/>
      <c r="AJ16" s="223"/>
      <c r="AK16" s="223"/>
      <c r="AL16" s="223"/>
      <c r="AM16" s="225"/>
    </row>
    <row r="17" spans="1:39" ht="20.100000000000001" customHeight="1">
      <c r="A17" s="227">
        <v>5</v>
      </c>
      <c r="B17" s="225"/>
      <c r="C17" s="227"/>
      <c r="D17" s="228" cm="1">
        <f t="array" ref="D17">IFERROR(
(SUMPRODUCT(E17:AL17*$E$6:$AL$6)/100) + (SUMPRODUCT(E17:AL17*$E$6:$AL$6*$E$3:$AL$3)/100),
0
)</f>
        <v>0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5"/>
      <c r="AM17" s="227">
        <v>5</v>
      </c>
    </row>
    <row r="18" spans="1:39" ht="20.100000000000001" customHeight="1">
      <c r="A18" s="227"/>
      <c r="B18" s="225"/>
      <c r="C18" s="227"/>
      <c r="D18" s="224"/>
      <c r="E18" s="223"/>
      <c r="F18" s="223"/>
      <c r="G18" s="223"/>
      <c r="H18" s="223"/>
      <c r="I18" s="223"/>
      <c r="J18" s="223"/>
      <c r="K18" s="223"/>
      <c r="L18" s="223"/>
      <c r="M18" s="223"/>
      <c r="N18" s="223"/>
      <c r="O18" s="223"/>
      <c r="P18" s="223"/>
      <c r="Q18" s="223"/>
      <c r="R18" s="223"/>
      <c r="S18" s="223"/>
      <c r="T18" s="223"/>
      <c r="U18" s="223"/>
      <c r="V18" s="223"/>
      <c r="W18" s="223"/>
      <c r="X18" s="223"/>
      <c r="Y18" s="223"/>
      <c r="Z18" s="223"/>
      <c r="AA18" s="223"/>
      <c r="AB18" s="223"/>
      <c r="AC18" s="223"/>
      <c r="AD18" s="223"/>
      <c r="AE18" s="223"/>
      <c r="AF18" s="223"/>
      <c r="AG18" s="223"/>
      <c r="AH18" s="223"/>
      <c r="AI18" s="223"/>
      <c r="AJ18" s="223"/>
      <c r="AK18" s="223"/>
      <c r="AL18" s="223"/>
      <c r="AM18" s="225"/>
    </row>
    <row r="19" spans="1:39" ht="20.100000000000001" customHeight="1">
      <c r="A19" s="227">
        <v>6</v>
      </c>
      <c r="B19" s="225"/>
      <c r="C19" s="227"/>
      <c r="D19" s="228" cm="1">
        <f t="array" ref="D19">IFERROR(
(SUMPRODUCT(E19:AL19*$E$6:$AL$6)/100) + (SUMPRODUCT(E19:AL19*$E$6:$AL$6*$E$3:$AL$3)/100),
0
)</f>
        <v>0</v>
      </c>
      <c r="E19" s="227"/>
      <c r="F19" s="227"/>
      <c r="G19" s="227"/>
      <c r="H19" s="227"/>
      <c r="I19" s="227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  <c r="AA19" s="227"/>
      <c r="AB19" s="227"/>
      <c r="AC19" s="227"/>
      <c r="AD19" s="227"/>
      <c r="AE19" s="227"/>
      <c r="AF19" s="227"/>
      <c r="AG19" s="227"/>
      <c r="AH19" s="227"/>
      <c r="AI19" s="227"/>
      <c r="AJ19" s="227"/>
      <c r="AK19" s="227"/>
      <c r="AL19" s="225"/>
      <c r="AM19" s="227">
        <v>6</v>
      </c>
    </row>
    <row r="20" spans="1:39" ht="20.100000000000001" customHeight="1">
      <c r="A20" s="223"/>
      <c r="B20" s="225"/>
      <c r="C20" s="227"/>
      <c r="D20" s="224"/>
      <c r="E20" s="223"/>
      <c r="F20" s="223"/>
      <c r="G20" s="223"/>
      <c r="H20" s="223"/>
      <c r="I20" s="223"/>
      <c r="J20" s="223"/>
      <c r="K20" s="223"/>
      <c r="L20" s="223"/>
      <c r="M20" s="223"/>
      <c r="N20" s="223"/>
      <c r="O20" s="223"/>
      <c r="P20" s="223"/>
      <c r="Q20" s="223"/>
      <c r="R20" s="223"/>
      <c r="S20" s="223"/>
      <c r="T20" s="223"/>
      <c r="U20" s="223"/>
      <c r="V20" s="223"/>
      <c r="W20" s="223"/>
      <c r="X20" s="223"/>
      <c r="Y20" s="223"/>
      <c r="Z20" s="223"/>
      <c r="AA20" s="223"/>
      <c r="AB20" s="223"/>
      <c r="AC20" s="223"/>
      <c r="AD20" s="223"/>
      <c r="AE20" s="223"/>
      <c r="AF20" s="223"/>
      <c r="AG20" s="223"/>
      <c r="AH20" s="223"/>
      <c r="AI20" s="223"/>
      <c r="AJ20" s="223"/>
      <c r="AK20" s="223"/>
      <c r="AL20" s="223"/>
      <c r="AM20" s="225"/>
    </row>
    <row r="21" spans="1:39" ht="20.100000000000001" customHeight="1">
      <c r="A21" s="227">
        <v>7</v>
      </c>
      <c r="B21" s="225"/>
      <c r="C21" s="227"/>
      <c r="D21" s="228" cm="1">
        <f t="array" ref="D21">IFERROR(
(SUMPRODUCT(E21:AL21*$E$6:$AL$6)/100) + (SUMPRODUCT(E21:AL21*$E$6:$AL$6*$E$3:$AL$3)/100),
0
)</f>
        <v>0</v>
      </c>
      <c r="E21" s="227"/>
      <c r="F21" s="227"/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  <c r="AA21" s="227"/>
      <c r="AB21" s="227"/>
      <c r="AC21" s="227"/>
      <c r="AD21" s="227"/>
      <c r="AE21" s="227"/>
      <c r="AF21" s="227"/>
      <c r="AG21" s="227"/>
      <c r="AH21" s="227"/>
      <c r="AI21" s="227"/>
      <c r="AJ21" s="227"/>
      <c r="AK21" s="227"/>
      <c r="AL21" s="225"/>
      <c r="AM21" s="227">
        <v>7</v>
      </c>
    </row>
    <row r="22" spans="1:39" ht="20.100000000000001" customHeight="1">
      <c r="A22" s="227"/>
      <c r="B22" s="225"/>
      <c r="C22" s="227"/>
      <c r="D22" s="224"/>
      <c r="E22" s="223"/>
      <c r="F22" s="223"/>
      <c r="G22" s="223"/>
      <c r="H22" s="223"/>
      <c r="I22" s="223"/>
      <c r="J22" s="223"/>
      <c r="K22" s="223"/>
      <c r="L22" s="223"/>
      <c r="M22" s="223"/>
      <c r="N22" s="223"/>
      <c r="O22" s="223"/>
      <c r="P22" s="223"/>
      <c r="Q22" s="223"/>
      <c r="R22" s="223"/>
      <c r="S22" s="223"/>
      <c r="T22" s="223"/>
      <c r="U22" s="223"/>
      <c r="V22" s="223"/>
      <c r="W22" s="223"/>
      <c r="X22" s="223"/>
      <c r="Y22" s="223"/>
      <c r="Z22" s="223"/>
      <c r="AA22" s="223"/>
      <c r="AB22" s="223"/>
      <c r="AC22" s="223"/>
      <c r="AD22" s="223"/>
      <c r="AE22" s="223"/>
      <c r="AF22" s="223"/>
      <c r="AG22" s="223"/>
      <c r="AH22" s="223"/>
      <c r="AI22" s="223"/>
      <c r="AJ22" s="223"/>
      <c r="AK22" s="223"/>
      <c r="AL22" s="223"/>
      <c r="AM22" s="225"/>
    </row>
    <row r="23" spans="1:39" ht="20.100000000000001" customHeight="1">
      <c r="A23" s="227">
        <v>8</v>
      </c>
      <c r="B23" s="225"/>
      <c r="C23" s="227"/>
      <c r="D23" s="228" cm="1">
        <f t="array" ref="D23">IFERROR(
(SUMPRODUCT(E23:AL23*$E$6:$AL$6)/100) + (SUMPRODUCT(E23:AL23*$E$6:$AL$6*$E$3:$AL$3)/100),
0
)</f>
        <v>0</v>
      </c>
      <c r="E23" s="227"/>
      <c r="F23" s="227"/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  <c r="AF23" s="227"/>
      <c r="AG23" s="227"/>
      <c r="AH23" s="227"/>
      <c r="AI23" s="227"/>
      <c r="AJ23" s="227"/>
      <c r="AK23" s="227"/>
      <c r="AL23" s="225"/>
      <c r="AM23" s="227">
        <v>8</v>
      </c>
    </row>
    <row r="24" spans="1:39" ht="20.100000000000001" customHeight="1">
      <c r="A24" s="223"/>
      <c r="B24" s="225"/>
      <c r="C24" s="227"/>
      <c r="D24" s="224"/>
      <c r="E24" s="223"/>
      <c r="F24" s="223"/>
      <c r="G24" s="223"/>
      <c r="H24" s="223"/>
      <c r="I24" s="223"/>
      <c r="J24" s="223"/>
      <c r="K24" s="223"/>
      <c r="L24" s="223"/>
      <c r="M24" s="223"/>
      <c r="N24" s="223"/>
      <c r="O24" s="223"/>
      <c r="P24" s="223"/>
      <c r="Q24" s="223"/>
      <c r="R24" s="223"/>
      <c r="S24" s="223"/>
      <c r="T24" s="223"/>
      <c r="U24" s="223"/>
      <c r="V24" s="223"/>
      <c r="W24" s="223"/>
      <c r="X24" s="223"/>
      <c r="Y24" s="223"/>
      <c r="Z24" s="223"/>
      <c r="AA24" s="223"/>
      <c r="AB24" s="223"/>
      <c r="AC24" s="223"/>
      <c r="AD24" s="223"/>
      <c r="AE24" s="223"/>
      <c r="AF24" s="223"/>
      <c r="AG24" s="223"/>
      <c r="AH24" s="223"/>
      <c r="AI24" s="223"/>
      <c r="AJ24" s="223"/>
      <c r="AK24" s="223"/>
      <c r="AL24" s="223"/>
      <c r="AM24" s="225"/>
    </row>
    <row r="25" spans="1:39" ht="20.100000000000001" customHeight="1">
      <c r="A25" s="227">
        <v>9</v>
      </c>
      <c r="B25" s="225"/>
      <c r="C25" s="227"/>
      <c r="D25" s="228" cm="1">
        <f t="array" ref="D25">IFERROR(
(SUMPRODUCT(E25:AL25*$E$6:$AL$6)/100) + (SUMPRODUCT(E25:AL25*$E$6:$AL$6*$E$3:$AL$3)/100),
0
)</f>
        <v>0</v>
      </c>
      <c r="E25" s="227"/>
      <c r="F25" s="227"/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  <c r="AA25" s="227"/>
      <c r="AB25" s="227"/>
      <c r="AC25" s="227"/>
      <c r="AD25" s="227"/>
      <c r="AE25" s="227"/>
      <c r="AF25" s="227"/>
      <c r="AG25" s="227"/>
      <c r="AH25" s="227"/>
      <c r="AI25" s="227"/>
      <c r="AJ25" s="227"/>
      <c r="AK25" s="227"/>
      <c r="AL25" s="225"/>
      <c r="AM25" s="227">
        <v>9</v>
      </c>
    </row>
    <row r="26" spans="1:39" ht="20.100000000000001" customHeight="1">
      <c r="A26" s="227"/>
      <c r="B26" s="225"/>
      <c r="C26" s="227"/>
      <c r="D26" s="224"/>
      <c r="E26" s="223"/>
      <c r="F26" s="223"/>
      <c r="G26" s="223"/>
      <c r="H26" s="223"/>
      <c r="I26" s="223"/>
      <c r="J26" s="223"/>
      <c r="K26" s="223"/>
      <c r="L26" s="223"/>
      <c r="M26" s="223"/>
      <c r="N26" s="223"/>
      <c r="O26" s="223"/>
      <c r="P26" s="223"/>
      <c r="Q26" s="223"/>
      <c r="R26" s="223"/>
      <c r="S26" s="223"/>
      <c r="T26" s="223"/>
      <c r="U26" s="223"/>
      <c r="V26" s="223"/>
      <c r="W26" s="223"/>
      <c r="X26" s="223"/>
      <c r="Y26" s="223"/>
      <c r="Z26" s="223"/>
      <c r="AA26" s="223"/>
      <c r="AB26" s="223"/>
      <c r="AC26" s="223"/>
      <c r="AD26" s="223"/>
      <c r="AE26" s="223"/>
      <c r="AF26" s="223"/>
      <c r="AG26" s="223"/>
      <c r="AH26" s="223"/>
      <c r="AI26" s="223"/>
      <c r="AJ26" s="223"/>
      <c r="AK26" s="223"/>
      <c r="AL26" s="223"/>
      <c r="AM26" s="225"/>
    </row>
    <row r="27" spans="1:39" ht="20.100000000000001" customHeight="1">
      <c r="A27" s="227">
        <v>10</v>
      </c>
      <c r="B27" s="225"/>
      <c r="C27" s="227"/>
      <c r="D27" s="228" cm="1">
        <f t="array" ref="D27">IFERROR(
(SUMPRODUCT(E27:AL27*$E$6:$AL$6)/100) + (SUMPRODUCT(E27:AL27*$E$6:$AL$6*$E$3:$AL$3)/100),
0
)</f>
        <v>0</v>
      </c>
      <c r="E27" s="227"/>
      <c r="F27" s="227"/>
      <c r="G27" s="227"/>
      <c r="H27" s="227"/>
      <c r="I27" s="227"/>
      <c r="J27" s="227"/>
      <c r="K27" s="227"/>
      <c r="L27" s="227"/>
      <c r="M27" s="227"/>
      <c r="N27" s="227"/>
      <c r="O27" s="227"/>
      <c r="P27" s="227"/>
      <c r="Q27" s="227"/>
      <c r="R27" s="227"/>
      <c r="S27" s="227"/>
      <c r="T27" s="227"/>
      <c r="U27" s="227"/>
      <c r="V27" s="227"/>
      <c r="W27" s="227"/>
      <c r="X27" s="227"/>
      <c r="Y27" s="227"/>
      <c r="Z27" s="227"/>
      <c r="AA27" s="227"/>
      <c r="AB27" s="227"/>
      <c r="AC27" s="227"/>
      <c r="AD27" s="227"/>
      <c r="AE27" s="227"/>
      <c r="AF27" s="227"/>
      <c r="AG27" s="227"/>
      <c r="AH27" s="227"/>
      <c r="AI27" s="227"/>
      <c r="AJ27" s="227"/>
      <c r="AK27" s="227"/>
      <c r="AL27" s="225"/>
      <c r="AM27" s="227">
        <v>10</v>
      </c>
    </row>
    <row r="28" spans="1:39" ht="20.100000000000001" customHeight="1">
      <c r="A28" s="223"/>
      <c r="B28" s="225"/>
      <c r="C28" s="227"/>
      <c r="D28" s="224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223"/>
      <c r="P28" s="223"/>
      <c r="Q28" s="223"/>
      <c r="R28" s="223"/>
      <c r="S28" s="223"/>
      <c r="T28" s="223"/>
      <c r="U28" s="223"/>
      <c r="V28" s="223"/>
      <c r="W28" s="223"/>
      <c r="X28" s="223"/>
      <c r="Y28" s="223"/>
      <c r="Z28" s="223"/>
      <c r="AA28" s="223"/>
      <c r="AB28" s="223"/>
      <c r="AC28" s="223"/>
      <c r="AD28" s="223"/>
      <c r="AE28" s="223"/>
      <c r="AF28" s="223"/>
      <c r="AG28" s="223"/>
      <c r="AH28" s="223"/>
      <c r="AI28" s="223"/>
      <c r="AJ28" s="223"/>
      <c r="AK28" s="223"/>
      <c r="AL28" s="223"/>
      <c r="AM28" s="225"/>
    </row>
    <row r="29" spans="1:39" ht="20.100000000000001" customHeight="1">
      <c r="A29" s="227">
        <v>11</v>
      </c>
      <c r="B29" s="225"/>
      <c r="C29" s="227"/>
      <c r="D29" s="228" cm="1">
        <f t="array" ref="D29">IFERROR(
(SUMPRODUCT(E29:AL29*$E$6:$AL$6)/100) + (SUMPRODUCT(E29:AL29*$E$6:$AL$6*$E$3:$AL$3)/100),
0
)</f>
        <v>0</v>
      </c>
      <c r="E29" s="227"/>
      <c r="F29" s="227"/>
      <c r="G29" s="227"/>
      <c r="H29" s="227"/>
      <c r="I29" s="227"/>
      <c r="J29" s="227"/>
      <c r="K29" s="227"/>
      <c r="L29" s="227"/>
      <c r="M29" s="227"/>
      <c r="N29" s="227"/>
      <c r="O29" s="227"/>
      <c r="P29" s="227"/>
      <c r="Q29" s="227"/>
      <c r="R29" s="227"/>
      <c r="S29" s="227"/>
      <c r="T29" s="227"/>
      <c r="U29" s="227"/>
      <c r="V29" s="227"/>
      <c r="W29" s="227"/>
      <c r="X29" s="227"/>
      <c r="Y29" s="227"/>
      <c r="Z29" s="227"/>
      <c r="AA29" s="227"/>
      <c r="AB29" s="227"/>
      <c r="AC29" s="227"/>
      <c r="AD29" s="227"/>
      <c r="AE29" s="227"/>
      <c r="AF29" s="227"/>
      <c r="AG29" s="227"/>
      <c r="AH29" s="227"/>
      <c r="AI29" s="227"/>
      <c r="AJ29" s="227"/>
      <c r="AK29" s="227"/>
      <c r="AL29" s="225"/>
      <c r="AM29" s="227">
        <v>11</v>
      </c>
    </row>
    <row r="30" spans="1:39" ht="20.100000000000001" customHeight="1">
      <c r="A30" s="227"/>
      <c r="B30" s="225"/>
      <c r="C30" s="227"/>
      <c r="D30" s="224"/>
      <c r="E30" s="223"/>
      <c r="F30" s="223"/>
      <c r="G30" s="223"/>
      <c r="H30" s="223"/>
      <c r="I30" s="223"/>
      <c r="J30" s="223"/>
      <c r="K30" s="223"/>
      <c r="L30" s="223"/>
      <c r="M30" s="223"/>
      <c r="N30" s="223"/>
      <c r="O30" s="223"/>
      <c r="P30" s="223"/>
      <c r="Q30" s="223"/>
      <c r="R30" s="223"/>
      <c r="S30" s="223"/>
      <c r="T30" s="223"/>
      <c r="U30" s="223"/>
      <c r="V30" s="223"/>
      <c r="W30" s="223"/>
      <c r="X30" s="223"/>
      <c r="Y30" s="223"/>
      <c r="Z30" s="223"/>
      <c r="AA30" s="223"/>
      <c r="AB30" s="223"/>
      <c r="AC30" s="223"/>
      <c r="AD30" s="223"/>
      <c r="AE30" s="223"/>
      <c r="AF30" s="223"/>
      <c r="AG30" s="223"/>
      <c r="AH30" s="223"/>
      <c r="AI30" s="223"/>
      <c r="AJ30" s="223"/>
      <c r="AK30" s="223"/>
      <c r="AL30" s="223"/>
      <c r="AM30" s="225"/>
    </row>
    <row r="31" spans="1:39" ht="20.100000000000001" customHeight="1">
      <c r="A31" s="227">
        <v>12</v>
      </c>
      <c r="B31" s="225"/>
      <c r="C31" s="227"/>
      <c r="D31" s="228" cm="1">
        <f t="array" ref="D31">IFERROR(
(SUMPRODUCT(E31:AL31*$E$6:$AL$6)/100) + (SUMPRODUCT(E31:AL31*$E$6:$AL$6*$E$3:$AL$3)/100),
0
)</f>
        <v>0</v>
      </c>
      <c r="E31" s="227"/>
      <c r="F31" s="227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  <c r="AF31" s="227"/>
      <c r="AG31" s="227"/>
      <c r="AH31" s="227"/>
      <c r="AI31" s="227"/>
      <c r="AJ31" s="227"/>
      <c r="AK31" s="227"/>
      <c r="AL31" s="225"/>
      <c r="AM31" s="227">
        <v>12</v>
      </c>
    </row>
    <row r="32" spans="1:39" ht="20.100000000000001" customHeight="1">
      <c r="A32" s="223"/>
      <c r="B32" s="225"/>
      <c r="C32" s="227"/>
      <c r="D32" s="224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223"/>
      <c r="S32" s="223"/>
      <c r="T32" s="223"/>
      <c r="U32" s="223"/>
      <c r="V32" s="223"/>
      <c r="W32" s="223"/>
      <c r="X32" s="223"/>
      <c r="Y32" s="223"/>
      <c r="Z32" s="223"/>
      <c r="AA32" s="223"/>
      <c r="AB32" s="223"/>
      <c r="AC32" s="223"/>
      <c r="AD32" s="223"/>
      <c r="AE32" s="223"/>
      <c r="AF32" s="223"/>
      <c r="AG32" s="223"/>
      <c r="AH32" s="223"/>
      <c r="AI32" s="223"/>
      <c r="AJ32" s="223"/>
      <c r="AK32" s="223"/>
      <c r="AL32" s="223"/>
      <c r="AM32" s="225"/>
    </row>
    <row r="33" spans="1:39" ht="20.100000000000001" customHeight="1">
      <c r="A33" s="227">
        <v>13</v>
      </c>
      <c r="B33" s="225"/>
      <c r="C33" s="227"/>
      <c r="D33" s="228" cm="1">
        <f t="array" ref="D33">IFERROR(
(SUMPRODUCT(E33:AL33*$E$6:$AL$6)/100) + (SUMPRODUCT(E33:AL33*$E$6:$AL$6*$E$3:$AL$3)/100),
0
)</f>
        <v>0</v>
      </c>
      <c r="E33" s="227"/>
      <c r="F33" s="227"/>
      <c r="G33" s="227"/>
      <c r="H33" s="227"/>
      <c r="I33" s="227"/>
      <c r="J33" s="227"/>
      <c r="K33" s="227"/>
      <c r="L33" s="227"/>
      <c r="M33" s="227"/>
      <c r="N33" s="227"/>
      <c r="O33" s="227"/>
      <c r="P33" s="227"/>
      <c r="Q33" s="227"/>
      <c r="R33" s="227"/>
      <c r="S33" s="227"/>
      <c r="T33" s="227"/>
      <c r="U33" s="227"/>
      <c r="V33" s="227"/>
      <c r="W33" s="227"/>
      <c r="X33" s="227"/>
      <c r="Y33" s="227"/>
      <c r="Z33" s="227"/>
      <c r="AA33" s="227"/>
      <c r="AB33" s="227"/>
      <c r="AC33" s="227"/>
      <c r="AD33" s="227"/>
      <c r="AE33" s="227"/>
      <c r="AF33" s="227"/>
      <c r="AG33" s="227"/>
      <c r="AH33" s="227"/>
      <c r="AI33" s="227"/>
      <c r="AJ33" s="227"/>
      <c r="AK33" s="227"/>
      <c r="AL33" s="225"/>
      <c r="AM33" s="227">
        <v>13</v>
      </c>
    </row>
    <row r="34" spans="1:39" ht="20.100000000000001" customHeight="1">
      <c r="A34" s="227"/>
      <c r="B34" s="225"/>
      <c r="C34" s="227"/>
      <c r="D34" s="224"/>
      <c r="E34" s="223"/>
      <c r="F34" s="223"/>
      <c r="G34" s="223"/>
      <c r="H34" s="223"/>
      <c r="I34" s="223"/>
      <c r="J34" s="223"/>
      <c r="K34" s="223"/>
      <c r="L34" s="223"/>
      <c r="M34" s="223"/>
      <c r="N34" s="223"/>
      <c r="O34" s="223"/>
      <c r="P34" s="223"/>
      <c r="Q34" s="223"/>
      <c r="R34" s="223"/>
      <c r="S34" s="223"/>
      <c r="T34" s="223"/>
      <c r="U34" s="223"/>
      <c r="V34" s="223"/>
      <c r="W34" s="223"/>
      <c r="X34" s="223"/>
      <c r="Y34" s="223"/>
      <c r="Z34" s="223"/>
      <c r="AA34" s="223"/>
      <c r="AB34" s="223"/>
      <c r="AC34" s="223"/>
      <c r="AD34" s="223"/>
      <c r="AE34" s="223"/>
      <c r="AF34" s="223"/>
      <c r="AG34" s="223"/>
      <c r="AH34" s="223"/>
      <c r="AI34" s="223"/>
      <c r="AJ34" s="223"/>
      <c r="AK34" s="223"/>
      <c r="AL34" s="223"/>
      <c r="AM34" s="225"/>
    </row>
    <row r="35" spans="1:39" ht="20.100000000000001" customHeight="1">
      <c r="A35" s="227">
        <v>14</v>
      </c>
      <c r="B35" s="225"/>
      <c r="C35" s="227"/>
      <c r="D35" s="228" cm="1">
        <f t="array" ref="D35">IFERROR(
(SUMPRODUCT(E35:AL35*$E$6:$AL$6)/100) + (SUMPRODUCT(E35:AL35*$E$6:$AL$6*$E$3:$AL$3)/100),
0
)</f>
        <v>0</v>
      </c>
      <c r="E35" s="227"/>
      <c r="F35" s="227"/>
      <c r="G35" s="227"/>
      <c r="H35" s="227"/>
      <c r="I35" s="227"/>
      <c r="J35" s="227"/>
      <c r="K35" s="227"/>
      <c r="L35" s="227"/>
      <c r="M35" s="227"/>
      <c r="N35" s="227"/>
      <c r="O35" s="227"/>
      <c r="P35" s="227"/>
      <c r="Q35" s="227"/>
      <c r="R35" s="227"/>
      <c r="S35" s="227"/>
      <c r="T35" s="227"/>
      <c r="U35" s="227"/>
      <c r="V35" s="227"/>
      <c r="W35" s="227"/>
      <c r="X35" s="227"/>
      <c r="Y35" s="227"/>
      <c r="Z35" s="227"/>
      <c r="AA35" s="227"/>
      <c r="AB35" s="227"/>
      <c r="AC35" s="227"/>
      <c r="AD35" s="227"/>
      <c r="AE35" s="227"/>
      <c r="AF35" s="227"/>
      <c r="AG35" s="227"/>
      <c r="AH35" s="227"/>
      <c r="AI35" s="227"/>
      <c r="AJ35" s="227"/>
      <c r="AK35" s="227"/>
      <c r="AL35" s="225"/>
      <c r="AM35" s="227">
        <v>14</v>
      </c>
    </row>
    <row r="36" spans="1:39" ht="20.100000000000001" customHeight="1">
      <c r="A36" s="223"/>
      <c r="B36" s="225"/>
      <c r="C36" s="227"/>
      <c r="D36" s="224"/>
      <c r="E36" s="223"/>
      <c r="F36" s="223"/>
      <c r="G36" s="223"/>
      <c r="H36" s="223"/>
      <c r="I36" s="223"/>
      <c r="J36" s="223"/>
      <c r="K36" s="223"/>
      <c r="L36" s="223"/>
      <c r="M36" s="223"/>
      <c r="N36" s="223"/>
      <c r="O36" s="223"/>
      <c r="P36" s="223"/>
      <c r="Q36" s="223"/>
      <c r="R36" s="223"/>
      <c r="S36" s="223"/>
      <c r="T36" s="223"/>
      <c r="U36" s="223"/>
      <c r="V36" s="223"/>
      <c r="W36" s="223"/>
      <c r="X36" s="223"/>
      <c r="Y36" s="223"/>
      <c r="Z36" s="223"/>
      <c r="AA36" s="223"/>
      <c r="AB36" s="223"/>
      <c r="AC36" s="223"/>
      <c r="AD36" s="223"/>
      <c r="AE36" s="223"/>
      <c r="AF36" s="223"/>
      <c r="AG36" s="223"/>
      <c r="AH36" s="223"/>
      <c r="AI36" s="223"/>
      <c r="AJ36" s="223"/>
      <c r="AK36" s="223"/>
      <c r="AL36" s="223"/>
      <c r="AM36" s="225"/>
    </row>
    <row r="37" spans="1:39" ht="20.100000000000001" customHeight="1">
      <c r="A37" s="227">
        <v>15</v>
      </c>
      <c r="B37" s="225"/>
      <c r="C37" s="227"/>
      <c r="D37" s="228" cm="1">
        <f t="array" ref="D37">IFERROR(
(SUMPRODUCT(E37:AL37*$E$6:$AL$6)/100) + (SUMPRODUCT(E37:AL37*$E$6:$AL$6*$E$3:$AL$3)/100),
0
)</f>
        <v>0</v>
      </c>
      <c r="E37" s="227"/>
      <c r="F37" s="227"/>
      <c r="G37" s="227"/>
      <c r="H37" s="227"/>
      <c r="I37" s="227"/>
      <c r="J37" s="227"/>
      <c r="K37" s="227"/>
      <c r="L37" s="227"/>
      <c r="M37" s="227"/>
      <c r="N37" s="227"/>
      <c r="O37" s="227"/>
      <c r="P37" s="227"/>
      <c r="Q37" s="227"/>
      <c r="R37" s="227"/>
      <c r="S37" s="227"/>
      <c r="T37" s="227"/>
      <c r="U37" s="227"/>
      <c r="V37" s="227"/>
      <c r="W37" s="227"/>
      <c r="X37" s="227"/>
      <c r="Y37" s="227"/>
      <c r="Z37" s="227"/>
      <c r="AA37" s="227"/>
      <c r="AB37" s="227"/>
      <c r="AC37" s="227"/>
      <c r="AD37" s="227"/>
      <c r="AE37" s="227"/>
      <c r="AF37" s="227"/>
      <c r="AG37" s="227"/>
      <c r="AH37" s="227"/>
      <c r="AI37" s="227"/>
      <c r="AJ37" s="227"/>
      <c r="AK37" s="227"/>
      <c r="AL37" s="225"/>
      <c r="AM37" s="227">
        <v>15</v>
      </c>
    </row>
    <row r="38" spans="1:39" ht="20.100000000000001" customHeight="1">
      <c r="A38" s="227"/>
      <c r="B38" s="225"/>
      <c r="C38" s="227"/>
      <c r="D38" s="224"/>
      <c r="E38" s="223"/>
      <c r="F38" s="223"/>
      <c r="G38" s="223"/>
      <c r="H38" s="223"/>
      <c r="I38" s="223"/>
      <c r="J38" s="223"/>
      <c r="K38" s="223"/>
      <c r="L38" s="223"/>
      <c r="M38" s="223"/>
      <c r="N38" s="223"/>
      <c r="O38" s="223"/>
      <c r="P38" s="223"/>
      <c r="Q38" s="223"/>
      <c r="R38" s="223"/>
      <c r="S38" s="223"/>
      <c r="T38" s="223"/>
      <c r="U38" s="223"/>
      <c r="V38" s="223"/>
      <c r="W38" s="223"/>
      <c r="X38" s="223"/>
      <c r="Y38" s="223"/>
      <c r="Z38" s="223"/>
      <c r="AA38" s="223"/>
      <c r="AB38" s="223"/>
      <c r="AC38" s="223"/>
      <c r="AD38" s="223"/>
      <c r="AE38" s="223"/>
      <c r="AF38" s="223"/>
      <c r="AG38" s="223"/>
      <c r="AH38" s="223"/>
      <c r="AI38" s="223"/>
      <c r="AJ38" s="223"/>
      <c r="AK38" s="223"/>
      <c r="AL38" s="223"/>
      <c r="AM38" s="225"/>
    </row>
    <row r="39" spans="1:39" ht="20.100000000000001" customHeight="1">
      <c r="A39" s="227">
        <v>16</v>
      </c>
      <c r="B39" s="225"/>
      <c r="C39" s="227"/>
      <c r="D39" s="228" cm="1">
        <f t="array" ref="D39">IFERROR(
(SUMPRODUCT(E39:AL39*$E$6:$AL$6)/100) + (SUMPRODUCT(E39:AL39*$E$6:$AL$6*$E$3:$AL$3)/100),
0
)</f>
        <v>0</v>
      </c>
      <c r="E39" s="227"/>
      <c r="F39" s="227"/>
      <c r="G39" s="227"/>
      <c r="H39" s="227"/>
      <c r="I39" s="227"/>
      <c r="J39" s="227"/>
      <c r="K39" s="227"/>
      <c r="L39" s="227"/>
      <c r="M39" s="227"/>
      <c r="N39" s="227"/>
      <c r="O39" s="227"/>
      <c r="P39" s="227"/>
      <c r="Q39" s="227"/>
      <c r="R39" s="227"/>
      <c r="S39" s="227"/>
      <c r="T39" s="227"/>
      <c r="U39" s="227"/>
      <c r="V39" s="227"/>
      <c r="W39" s="227"/>
      <c r="X39" s="227"/>
      <c r="Y39" s="227"/>
      <c r="Z39" s="227"/>
      <c r="AA39" s="227"/>
      <c r="AB39" s="227"/>
      <c r="AC39" s="227"/>
      <c r="AD39" s="227"/>
      <c r="AE39" s="227"/>
      <c r="AF39" s="227"/>
      <c r="AG39" s="227"/>
      <c r="AH39" s="227"/>
      <c r="AI39" s="227"/>
      <c r="AJ39" s="227"/>
      <c r="AK39" s="227"/>
      <c r="AL39" s="225"/>
      <c r="AM39" s="227">
        <v>16</v>
      </c>
    </row>
    <row r="40" spans="1:39" ht="20.100000000000001" customHeight="1">
      <c r="A40" s="223"/>
      <c r="B40" s="225"/>
      <c r="C40" s="227"/>
      <c r="D40" s="224"/>
      <c r="E40" s="223"/>
      <c r="F40" s="223"/>
      <c r="G40" s="223"/>
      <c r="H40" s="223"/>
      <c r="I40" s="223"/>
      <c r="J40" s="223"/>
      <c r="K40" s="223"/>
      <c r="L40" s="223"/>
      <c r="M40" s="223"/>
      <c r="N40" s="223"/>
      <c r="O40" s="223"/>
      <c r="P40" s="223"/>
      <c r="Q40" s="223"/>
      <c r="R40" s="223"/>
      <c r="S40" s="223"/>
      <c r="T40" s="223"/>
      <c r="U40" s="223"/>
      <c r="V40" s="223"/>
      <c r="W40" s="223"/>
      <c r="X40" s="223"/>
      <c r="Y40" s="223"/>
      <c r="Z40" s="223"/>
      <c r="AA40" s="223"/>
      <c r="AB40" s="223"/>
      <c r="AC40" s="223"/>
      <c r="AD40" s="223"/>
      <c r="AE40" s="223"/>
      <c r="AF40" s="223"/>
      <c r="AG40" s="223"/>
      <c r="AH40" s="223"/>
      <c r="AI40" s="223"/>
      <c r="AJ40" s="223"/>
      <c r="AK40" s="223"/>
      <c r="AL40" s="223"/>
      <c r="AM40" s="225"/>
    </row>
    <row r="41" spans="1:39" ht="20.100000000000001" customHeight="1">
      <c r="A41" s="227">
        <v>17</v>
      </c>
      <c r="B41" s="225"/>
      <c r="C41" s="227"/>
      <c r="D41" s="228" cm="1">
        <f t="array" ref="D41">IFERROR(
(SUMPRODUCT(E41:AL41*$E$6:$AL$6)/100) + (SUMPRODUCT(E41:AL41*$E$6:$AL$6*$E$3:$AL$3)/100),
0
)</f>
        <v>0</v>
      </c>
      <c r="E41" s="227"/>
      <c r="F41" s="227"/>
      <c r="G41" s="227"/>
      <c r="H41" s="227"/>
      <c r="I41" s="227"/>
      <c r="J41" s="227"/>
      <c r="K41" s="227"/>
      <c r="L41" s="227"/>
      <c r="M41" s="227"/>
      <c r="N41" s="227"/>
      <c r="O41" s="227"/>
      <c r="P41" s="227"/>
      <c r="Q41" s="227"/>
      <c r="R41" s="227"/>
      <c r="S41" s="227"/>
      <c r="T41" s="227"/>
      <c r="U41" s="227"/>
      <c r="V41" s="227"/>
      <c r="W41" s="227"/>
      <c r="X41" s="227"/>
      <c r="Y41" s="227"/>
      <c r="Z41" s="227"/>
      <c r="AA41" s="227"/>
      <c r="AB41" s="227"/>
      <c r="AC41" s="227"/>
      <c r="AD41" s="227"/>
      <c r="AE41" s="227"/>
      <c r="AF41" s="227"/>
      <c r="AG41" s="227"/>
      <c r="AH41" s="227"/>
      <c r="AI41" s="227"/>
      <c r="AJ41" s="227"/>
      <c r="AK41" s="227"/>
      <c r="AL41" s="225"/>
      <c r="AM41" s="227">
        <v>17</v>
      </c>
    </row>
    <row r="42" spans="1:39" ht="20.100000000000001" customHeight="1">
      <c r="A42" s="227"/>
      <c r="B42" s="225"/>
      <c r="C42" s="227"/>
      <c r="D42" s="224"/>
      <c r="E42" s="223"/>
      <c r="F42" s="223"/>
      <c r="G42" s="223"/>
      <c r="H42" s="223"/>
      <c r="I42" s="223"/>
      <c r="J42" s="223"/>
      <c r="K42" s="223"/>
      <c r="L42" s="223"/>
      <c r="M42" s="223"/>
      <c r="N42" s="223"/>
      <c r="O42" s="223"/>
      <c r="P42" s="223"/>
      <c r="Q42" s="223"/>
      <c r="R42" s="223"/>
      <c r="S42" s="223"/>
      <c r="T42" s="223"/>
      <c r="U42" s="223"/>
      <c r="V42" s="223"/>
      <c r="W42" s="223"/>
      <c r="X42" s="223"/>
      <c r="Y42" s="223"/>
      <c r="Z42" s="223"/>
      <c r="AA42" s="223"/>
      <c r="AB42" s="223"/>
      <c r="AC42" s="223"/>
      <c r="AD42" s="223"/>
      <c r="AE42" s="223"/>
      <c r="AF42" s="223"/>
      <c r="AG42" s="223"/>
      <c r="AH42" s="223"/>
      <c r="AI42" s="223"/>
      <c r="AJ42" s="223"/>
      <c r="AK42" s="223"/>
      <c r="AL42" s="223"/>
      <c r="AM42" s="225"/>
    </row>
    <row r="43" spans="1:39" ht="20.100000000000001" customHeight="1">
      <c r="A43" s="227">
        <v>18</v>
      </c>
      <c r="B43" s="225"/>
      <c r="C43" s="227"/>
      <c r="D43" s="228" cm="1">
        <f t="array" ref="D43">IFERROR(
(SUMPRODUCT(E43:AL43*$E$6:$AL$6)/100) + (SUMPRODUCT(E43:AL43*$E$6:$AL$6*$E$3:$AL$3)/100),
0
)</f>
        <v>0</v>
      </c>
      <c r="E43" s="227"/>
      <c r="F43" s="227"/>
      <c r="G43" s="227"/>
      <c r="H43" s="227"/>
      <c r="I43" s="227"/>
      <c r="J43" s="227"/>
      <c r="K43" s="227"/>
      <c r="L43" s="227"/>
      <c r="M43" s="227"/>
      <c r="N43" s="227"/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5"/>
      <c r="AM43" s="227">
        <v>18</v>
      </c>
    </row>
    <row r="44" spans="1:39" ht="20.100000000000001" customHeight="1">
      <c r="A44" s="223"/>
      <c r="B44" s="225"/>
      <c r="C44" s="227"/>
      <c r="D44" s="224"/>
      <c r="E44" s="223"/>
      <c r="F44" s="223"/>
      <c r="G44" s="223"/>
      <c r="H44" s="223"/>
      <c r="I44" s="223"/>
      <c r="J44" s="223"/>
      <c r="K44" s="223"/>
      <c r="L44" s="223"/>
      <c r="M44" s="223"/>
      <c r="N44" s="223"/>
      <c r="O44" s="223"/>
      <c r="P44" s="223"/>
      <c r="Q44" s="223"/>
      <c r="R44" s="223"/>
      <c r="S44" s="223"/>
      <c r="T44" s="223"/>
      <c r="U44" s="223"/>
      <c r="V44" s="223"/>
      <c r="W44" s="223"/>
      <c r="X44" s="223"/>
      <c r="Y44" s="223"/>
      <c r="Z44" s="223"/>
      <c r="AA44" s="223"/>
      <c r="AB44" s="223"/>
      <c r="AC44" s="223"/>
      <c r="AD44" s="223"/>
      <c r="AE44" s="223"/>
      <c r="AF44" s="223"/>
      <c r="AG44" s="223"/>
      <c r="AH44" s="223"/>
      <c r="AI44" s="223"/>
      <c r="AJ44" s="223"/>
      <c r="AK44" s="223"/>
      <c r="AL44" s="223"/>
      <c r="AM44" s="225"/>
    </row>
    <row r="45" spans="1:39" ht="20.100000000000001" customHeight="1">
      <c r="A45" s="227">
        <v>19</v>
      </c>
      <c r="B45" s="225"/>
      <c r="C45" s="227"/>
      <c r="D45" s="228" cm="1">
        <f t="array" ref="D45">IFERROR(
(SUMPRODUCT(E45:AL45*$E$6:$AL$6)/100) + (SUMPRODUCT(E45:AL45*$E$6:$AL$6*$E$3:$AL$3)/100),
0
)</f>
        <v>0</v>
      </c>
      <c r="E45" s="227"/>
      <c r="F45" s="227"/>
      <c r="G45" s="227"/>
      <c r="H45" s="227"/>
      <c r="I45" s="227"/>
      <c r="J45" s="227"/>
      <c r="K45" s="227"/>
      <c r="L45" s="227"/>
      <c r="M45" s="227"/>
      <c r="N45" s="227"/>
      <c r="O45" s="227"/>
      <c r="P45" s="227"/>
      <c r="Q45" s="227"/>
      <c r="R45" s="227"/>
      <c r="S45" s="227"/>
      <c r="T45" s="227"/>
      <c r="U45" s="227"/>
      <c r="V45" s="227"/>
      <c r="W45" s="227"/>
      <c r="X45" s="227"/>
      <c r="Y45" s="227"/>
      <c r="Z45" s="227"/>
      <c r="AA45" s="227"/>
      <c r="AB45" s="227"/>
      <c r="AC45" s="227"/>
      <c r="AD45" s="227"/>
      <c r="AE45" s="227"/>
      <c r="AF45" s="227"/>
      <c r="AG45" s="227"/>
      <c r="AH45" s="227"/>
      <c r="AI45" s="227"/>
      <c r="AJ45" s="227"/>
      <c r="AK45" s="227"/>
      <c r="AL45" s="225"/>
      <c r="AM45" s="227">
        <v>19</v>
      </c>
    </row>
    <row r="46" spans="1:39" ht="20.100000000000001" customHeight="1">
      <c r="A46" s="227"/>
      <c r="B46" s="225"/>
      <c r="C46" s="227"/>
      <c r="D46" s="224"/>
      <c r="E46" s="223"/>
      <c r="F46" s="223"/>
      <c r="G46" s="223"/>
      <c r="H46" s="223"/>
      <c r="I46" s="223"/>
      <c r="J46" s="223"/>
      <c r="K46" s="223"/>
      <c r="L46" s="223"/>
      <c r="M46" s="223"/>
      <c r="N46" s="223"/>
      <c r="O46" s="223"/>
      <c r="P46" s="223"/>
      <c r="Q46" s="223"/>
      <c r="R46" s="223"/>
      <c r="S46" s="223"/>
      <c r="T46" s="223"/>
      <c r="U46" s="223"/>
      <c r="V46" s="223"/>
      <c r="W46" s="223"/>
      <c r="X46" s="223"/>
      <c r="Y46" s="223"/>
      <c r="Z46" s="223"/>
      <c r="AA46" s="223"/>
      <c r="AB46" s="223"/>
      <c r="AC46" s="223"/>
      <c r="AD46" s="223"/>
      <c r="AE46" s="223"/>
      <c r="AF46" s="223"/>
      <c r="AG46" s="223"/>
      <c r="AH46" s="223"/>
      <c r="AI46" s="223"/>
      <c r="AJ46" s="223"/>
      <c r="AK46" s="223"/>
      <c r="AL46" s="223"/>
      <c r="AM46" s="225"/>
    </row>
    <row r="47" spans="1:39" ht="20.100000000000001" customHeight="1">
      <c r="A47" s="227">
        <v>20</v>
      </c>
      <c r="B47" s="225"/>
      <c r="C47" s="227"/>
      <c r="D47" s="228" cm="1">
        <f t="array" ref="D47">IFERROR(
(SUMPRODUCT(E47:AL47*$E$6:$AL$6)/100) + (SUMPRODUCT(E47:AL47*$E$6:$AL$6*$E$3:$AL$3)/100),
0
)</f>
        <v>0</v>
      </c>
      <c r="E47" s="227"/>
      <c r="F47" s="227"/>
      <c r="G47" s="227"/>
      <c r="H47" s="227"/>
      <c r="I47" s="227"/>
      <c r="J47" s="227"/>
      <c r="K47" s="227"/>
      <c r="L47" s="227"/>
      <c r="M47" s="227"/>
      <c r="N47" s="227"/>
      <c r="O47" s="227"/>
      <c r="P47" s="227"/>
      <c r="Q47" s="227"/>
      <c r="R47" s="227"/>
      <c r="S47" s="227"/>
      <c r="T47" s="227"/>
      <c r="U47" s="227"/>
      <c r="V47" s="227"/>
      <c r="W47" s="227"/>
      <c r="X47" s="227"/>
      <c r="Y47" s="227"/>
      <c r="Z47" s="227"/>
      <c r="AA47" s="227"/>
      <c r="AB47" s="227"/>
      <c r="AC47" s="227"/>
      <c r="AD47" s="227"/>
      <c r="AE47" s="227"/>
      <c r="AF47" s="227"/>
      <c r="AG47" s="227"/>
      <c r="AH47" s="227"/>
      <c r="AI47" s="227"/>
      <c r="AJ47" s="227"/>
      <c r="AK47" s="227"/>
      <c r="AL47" s="225"/>
      <c r="AM47" s="227">
        <v>20</v>
      </c>
    </row>
    <row r="48" spans="1:39" ht="20.100000000000001" customHeight="1">
      <c r="A48" s="223"/>
      <c r="B48" s="225"/>
      <c r="C48" s="227"/>
      <c r="D48" s="224"/>
      <c r="E48" s="223"/>
      <c r="F48" s="223"/>
      <c r="G48" s="223"/>
      <c r="H48" s="223"/>
      <c r="I48" s="223"/>
      <c r="J48" s="223"/>
      <c r="K48" s="223"/>
      <c r="L48" s="223"/>
      <c r="M48" s="223"/>
      <c r="N48" s="223"/>
      <c r="O48" s="223"/>
      <c r="P48" s="223"/>
      <c r="Q48" s="223"/>
      <c r="R48" s="223"/>
      <c r="S48" s="223"/>
      <c r="T48" s="223"/>
      <c r="U48" s="223"/>
      <c r="V48" s="223"/>
      <c r="W48" s="223"/>
      <c r="X48" s="223"/>
      <c r="Y48" s="223"/>
      <c r="Z48" s="223"/>
      <c r="AA48" s="223"/>
      <c r="AB48" s="223"/>
      <c r="AC48" s="223"/>
      <c r="AD48" s="223"/>
      <c r="AE48" s="223"/>
      <c r="AF48" s="223"/>
      <c r="AG48" s="223"/>
      <c r="AH48" s="223"/>
      <c r="AI48" s="223"/>
      <c r="AJ48" s="223"/>
      <c r="AK48" s="223"/>
      <c r="AL48" s="223"/>
      <c r="AM48" s="225"/>
    </row>
    <row r="49" spans="1:39" ht="20.100000000000001" customHeight="1">
      <c r="A49" s="227">
        <v>21</v>
      </c>
      <c r="B49" s="225"/>
      <c r="C49" s="227"/>
      <c r="D49" s="228" cm="1">
        <f t="array" ref="D49">IFERROR(
(SUMPRODUCT(E49:AL49*$E$6:$AL$6)/100) + (SUMPRODUCT(E49:AL49*$E$6:$AL$6*$E$3:$AL$3)/100),
0
)</f>
        <v>0</v>
      </c>
      <c r="E49" s="227"/>
      <c r="F49" s="227"/>
      <c r="G49" s="227"/>
      <c r="H49" s="227"/>
      <c r="I49" s="227"/>
      <c r="J49" s="227"/>
      <c r="K49" s="227"/>
      <c r="L49" s="227"/>
      <c r="M49" s="227"/>
      <c r="N49" s="227"/>
      <c r="O49" s="227"/>
      <c r="P49" s="227"/>
      <c r="Q49" s="227"/>
      <c r="R49" s="227"/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227"/>
      <c r="AF49" s="227"/>
      <c r="AG49" s="227"/>
      <c r="AH49" s="227"/>
      <c r="AI49" s="227"/>
      <c r="AJ49" s="227"/>
      <c r="AK49" s="227"/>
      <c r="AL49" s="225"/>
      <c r="AM49" s="227">
        <v>21</v>
      </c>
    </row>
    <row r="50" spans="1:39" ht="20.100000000000001" customHeight="1">
      <c r="A50" s="227"/>
      <c r="B50" s="225"/>
      <c r="C50" s="227"/>
      <c r="D50" s="224"/>
      <c r="E50" s="223"/>
      <c r="F50" s="223"/>
      <c r="G50" s="223"/>
      <c r="H50" s="223"/>
      <c r="I50" s="223"/>
      <c r="J50" s="223"/>
      <c r="K50" s="223"/>
      <c r="L50" s="223"/>
      <c r="M50" s="223"/>
      <c r="N50" s="223"/>
      <c r="O50" s="223"/>
      <c r="P50" s="223"/>
      <c r="Q50" s="223"/>
      <c r="R50" s="223"/>
      <c r="S50" s="223"/>
      <c r="T50" s="223"/>
      <c r="U50" s="223"/>
      <c r="V50" s="223"/>
      <c r="W50" s="223"/>
      <c r="X50" s="223"/>
      <c r="Y50" s="223"/>
      <c r="Z50" s="223"/>
      <c r="AA50" s="223"/>
      <c r="AB50" s="223"/>
      <c r="AC50" s="223"/>
      <c r="AD50" s="223"/>
      <c r="AE50" s="223"/>
      <c r="AF50" s="223"/>
      <c r="AG50" s="223"/>
      <c r="AH50" s="223"/>
      <c r="AI50" s="223"/>
      <c r="AJ50" s="223"/>
      <c r="AK50" s="223"/>
      <c r="AL50" s="223"/>
      <c r="AM50" s="225"/>
    </row>
    <row r="51" spans="1:39" ht="20.100000000000001" customHeight="1">
      <c r="A51" s="227">
        <v>22</v>
      </c>
      <c r="B51" s="225"/>
      <c r="C51" s="227"/>
      <c r="D51" s="228" cm="1">
        <f t="array" ref="D51">IFERROR(
(SUMPRODUCT(E51:AL51*$E$6:$AL$6)/100) + (SUMPRODUCT(E51:AL51*$E$6:$AL$6*$E$3:$AL$3)/100),
0
)</f>
        <v>0</v>
      </c>
      <c r="E51" s="227"/>
      <c r="F51" s="227"/>
      <c r="G51" s="227"/>
      <c r="H51" s="227"/>
      <c r="I51" s="227"/>
      <c r="J51" s="227"/>
      <c r="K51" s="227"/>
      <c r="L51" s="227"/>
      <c r="M51" s="227"/>
      <c r="N51" s="227"/>
      <c r="O51" s="227"/>
      <c r="P51" s="227"/>
      <c r="Q51" s="227"/>
      <c r="R51" s="227"/>
      <c r="S51" s="227"/>
      <c r="T51" s="227"/>
      <c r="U51" s="227"/>
      <c r="V51" s="227"/>
      <c r="W51" s="227"/>
      <c r="X51" s="227"/>
      <c r="Y51" s="227"/>
      <c r="Z51" s="227"/>
      <c r="AA51" s="227"/>
      <c r="AB51" s="227"/>
      <c r="AC51" s="227"/>
      <c r="AD51" s="227"/>
      <c r="AE51" s="227"/>
      <c r="AF51" s="227"/>
      <c r="AG51" s="227"/>
      <c r="AH51" s="227"/>
      <c r="AI51" s="227"/>
      <c r="AJ51" s="227"/>
      <c r="AK51" s="227"/>
      <c r="AL51" s="225"/>
      <c r="AM51" s="227">
        <v>22</v>
      </c>
    </row>
    <row r="52" spans="1:39" ht="20.100000000000001" customHeight="1">
      <c r="A52" s="223"/>
      <c r="B52" s="225"/>
      <c r="C52" s="227"/>
      <c r="D52" s="224"/>
      <c r="E52" s="223"/>
      <c r="F52" s="223"/>
      <c r="G52" s="223"/>
      <c r="H52" s="223"/>
      <c r="I52" s="223"/>
      <c r="J52" s="223"/>
      <c r="K52" s="223"/>
      <c r="L52" s="223"/>
      <c r="M52" s="223"/>
      <c r="N52" s="223"/>
      <c r="O52" s="223"/>
      <c r="P52" s="223"/>
      <c r="Q52" s="223"/>
      <c r="R52" s="223"/>
      <c r="S52" s="223"/>
      <c r="T52" s="223"/>
      <c r="U52" s="223"/>
      <c r="V52" s="223"/>
      <c r="W52" s="223"/>
      <c r="X52" s="223"/>
      <c r="Y52" s="223"/>
      <c r="Z52" s="223"/>
      <c r="AA52" s="223"/>
      <c r="AB52" s="223"/>
      <c r="AC52" s="223"/>
      <c r="AD52" s="223"/>
      <c r="AE52" s="223"/>
      <c r="AF52" s="223"/>
      <c r="AG52" s="223"/>
      <c r="AH52" s="223"/>
      <c r="AI52" s="223"/>
      <c r="AJ52" s="223"/>
      <c r="AK52" s="223"/>
      <c r="AL52" s="223"/>
      <c r="AM52" s="225"/>
    </row>
    <row r="53" spans="1:39" ht="20.100000000000001" customHeight="1">
      <c r="A53" s="227">
        <v>23</v>
      </c>
      <c r="B53" s="225"/>
      <c r="C53" s="227"/>
      <c r="D53" s="228" cm="1">
        <f t="array" ref="D53">IFERROR(
(SUMPRODUCT(E53:AL53*$E$6:$AL$6)/100) + (SUMPRODUCT(E53:AL53*$E$6:$AL$6*$E$3:$AL$3)/100),
0
)</f>
        <v>0</v>
      </c>
      <c r="E53" s="227"/>
      <c r="F53" s="227"/>
      <c r="G53" s="227"/>
      <c r="H53" s="227"/>
      <c r="I53" s="227"/>
      <c r="J53" s="227"/>
      <c r="K53" s="227"/>
      <c r="L53" s="227"/>
      <c r="M53" s="227"/>
      <c r="N53" s="227"/>
      <c r="O53" s="227"/>
      <c r="P53" s="227"/>
      <c r="Q53" s="227"/>
      <c r="R53" s="227"/>
      <c r="S53" s="227"/>
      <c r="T53" s="227"/>
      <c r="U53" s="227"/>
      <c r="V53" s="227"/>
      <c r="W53" s="227"/>
      <c r="X53" s="227"/>
      <c r="Y53" s="227"/>
      <c r="Z53" s="227"/>
      <c r="AA53" s="227"/>
      <c r="AB53" s="227"/>
      <c r="AC53" s="227"/>
      <c r="AD53" s="227"/>
      <c r="AE53" s="227"/>
      <c r="AF53" s="227"/>
      <c r="AG53" s="227"/>
      <c r="AH53" s="227"/>
      <c r="AI53" s="227"/>
      <c r="AJ53" s="227"/>
      <c r="AK53" s="227"/>
      <c r="AL53" s="225"/>
      <c r="AM53" s="227">
        <v>23</v>
      </c>
    </row>
    <row r="54" spans="1:39" ht="20.100000000000001" customHeight="1">
      <c r="A54" s="227"/>
      <c r="B54" s="225"/>
      <c r="C54" s="227"/>
      <c r="D54" s="224"/>
      <c r="E54" s="223"/>
      <c r="F54" s="223"/>
      <c r="G54" s="223"/>
      <c r="H54" s="223"/>
      <c r="I54" s="223"/>
      <c r="J54" s="223"/>
      <c r="K54" s="223"/>
      <c r="L54" s="223"/>
      <c r="M54" s="223"/>
      <c r="N54" s="223"/>
      <c r="O54" s="223"/>
      <c r="P54" s="223"/>
      <c r="Q54" s="223"/>
      <c r="R54" s="223"/>
      <c r="S54" s="223"/>
      <c r="T54" s="223"/>
      <c r="U54" s="223"/>
      <c r="V54" s="223"/>
      <c r="W54" s="223"/>
      <c r="X54" s="223"/>
      <c r="Y54" s="223"/>
      <c r="Z54" s="223"/>
      <c r="AA54" s="223"/>
      <c r="AB54" s="223"/>
      <c r="AC54" s="223"/>
      <c r="AD54" s="223"/>
      <c r="AE54" s="223"/>
      <c r="AF54" s="223"/>
      <c r="AG54" s="223"/>
      <c r="AH54" s="223"/>
      <c r="AI54" s="223"/>
      <c r="AJ54" s="223"/>
      <c r="AK54" s="223"/>
      <c r="AL54" s="223"/>
      <c r="AM54" s="225"/>
    </row>
    <row r="55" spans="1:39" ht="20.100000000000001" customHeight="1">
      <c r="A55" s="227">
        <v>24</v>
      </c>
      <c r="B55" s="225"/>
      <c r="C55" s="227"/>
      <c r="D55" s="228" cm="1">
        <f t="array" ref="D55">IFERROR(
(SUMPRODUCT(E55:AL55*$E$6:$AL$6)/100) + (SUMPRODUCT(E55:AL55*$E$6:$AL$6*$E$3:$AL$3)/100),
0
)</f>
        <v>0</v>
      </c>
      <c r="E55" s="227"/>
      <c r="F55" s="227"/>
      <c r="G55" s="227"/>
      <c r="H55" s="227"/>
      <c r="I55" s="227"/>
      <c r="J55" s="227"/>
      <c r="K55" s="227"/>
      <c r="L55" s="227"/>
      <c r="M55" s="227"/>
      <c r="N55" s="227"/>
      <c r="O55" s="227"/>
      <c r="P55" s="227"/>
      <c r="Q55" s="227"/>
      <c r="R55" s="227"/>
      <c r="S55" s="227"/>
      <c r="T55" s="227"/>
      <c r="U55" s="227"/>
      <c r="V55" s="227"/>
      <c r="W55" s="227"/>
      <c r="X55" s="227"/>
      <c r="Y55" s="227"/>
      <c r="Z55" s="227"/>
      <c r="AA55" s="227"/>
      <c r="AB55" s="227"/>
      <c r="AC55" s="227"/>
      <c r="AD55" s="227"/>
      <c r="AE55" s="227"/>
      <c r="AF55" s="227"/>
      <c r="AG55" s="227"/>
      <c r="AH55" s="227"/>
      <c r="AI55" s="227"/>
      <c r="AJ55" s="227"/>
      <c r="AK55" s="227"/>
      <c r="AL55" s="225"/>
      <c r="AM55" s="227">
        <v>24</v>
      </c>
    </row>
    <row r="56" spans="1:39" ht="20.100000000000001" customHeight="1">
      <c r="A56" s="223"/>
      <c r="B56" s="225"/>
      <c r="C56" s="227"/>
      <c r="D56" s="224"/>
      <c r="E56" s="223"/>
      <c r="F56" s="223"/>
      <c r="G56" s="223"/>
      <c r="H56" s="223"/>
      <c r="I56" s="223"/>
      <c r="J56" s="223"/>
      <c r="K56" s="223"/>
      <c r="L56" s="223"/>
      <c r="M56" s="223"/>
      <c r="N56" s="223"/>
      <c r="O56" s="223"/>
      <c r="P56" s="223"/>
      <c r="Q56" s="223"/>
      <c r="R56" s="223"/>
      <c r="S56" s="223"/>
      <c r="T56" s="223"/>
      <c r="U56" s="223"/>
      <c r="V56" s="223"/>
      <c r="W56" s="223"/>
      <c r="X56" s="223"/>
      <c r="Y56" s="223"/>
      <c r="Z56" s="223"/>
      <c r="AA56" s="223"/>
      <c r="AB56" s="223"/>
      <c r="AC56" s="223"/>
      <c r="AD56" s="223"/>
      <c r="AE56" s="223"/>
      <c r="AF56" s="223"/>
      <c r="AG56" s="223"/>
      <c r="AH56" s="223"/>
      <c r="AI56" s="223"/>
      <c r="AJ56" s="223"/>
      <c r="AK56" s="223"/>
      <c r="AL56" s="223"/>
      <c r="AM56" s="225"/>
    </row>
    <row r="57" spans="1:39" ht="20.100000000000001" customHeight="1">
      <c r="A57" s="227">
        <v>25</v>
      </c>
      <c r="B57" s="225"/>
      <c r="C57" s="227"/>
      <c r="D57" s="228" cm="1">
        <f t="array" ref="D57">IFERROR(
(SUMPRODUCT(E57:AL57*$E$6:$AL$6)/100) + (SUMPRODUCT(E57:AL57*$E$6:$AL$6*$E$3:$AL$3)/100),
0
)</f>
        <v>0</v>
      </c>
      <c r="E57" s="227"/>
      <c r="F57" s="227"/>
      <c r="G57" s="227"/>
      <c r="H57" s="227"/>
      <c r="I57" s="227"/>
      <c r="J57" s="227"/>
      <c r="K57" s="227"/>
      <c r="L57" s="227"/>
      <c r="M57" s="227"/>
      <c r="N57" s="227"/>
      <c r="O57" s="227"/>
      <c r="P57" s="227"/>
      <c r="Q57" s="227"/>
      <c r="R57" s="227"/>
      <c r="S57" s="227"/>
      <c r="T57" s="227"/>
      <c r="U57" s="227"/>
      <c r="V57" s="227"/>
      <c r="W57" s="227"/>
      <c r="X57" s="227"/>
      <c r="Y57" s="227"/>
      <c r="Z57" s="227"/>
      <c r="AA57" s="227"/>
      <c r="AB57" s="227"/>
      <c r="AC57" s="227"/>
      <c r="AD57" s="227"/>
      <c r="AE57" s="227"/>
      <c r="AF57" s="227"/>
      <c r="AG57" s="227"/>
      <c r="AH57" s="227"/>
      <c r="AI57" s="227"/>
      <c r="AJ57" s="227"/>
      <c r="AK57" s="227"/>
      <c r="AL57" s="225"/>
      <c r="AM57" s="227">
        <v>25</v>
      </c>
    </row>
    <row r="58" spans="1:39" ht="20.100000000000001" customHeight="1">
      <c r="A58" s="227"/>
      <c r="B58" s="225"/>
      <c r="C58" s="227"/>
      <c r="D58" s="224"/>
      <c r="E58" s="223"/>
      <c r="F58" s="223"/>
      <c r="G58" s="223"/>
      <c r="H58" s="223"/>
      <c r="I58" s="223"/>
      <c r="J58" s="223"/>
      <c r="K58" s="223"/>
      <c r="L58" s="223"/>
      <c r="M58" s="223"/>
      <c r="N58" s="223"/>
      <c r="O58" s="223"/>
      <c r="P58" s="223"/>
      <c r="Q58" s="223"/>
      <c r="R58" s="223"/>
      <c r="S58" s="223"/>
      <c r="T58" s="223"/>
      <c r="U58" s="223"/>
      <c r="V58" s="223"/>
      <c r="W58" s="223"/>
      <c r="X58" s="223"/>
      <c r="Y58" s="223"/>
      <c r="Z58" s="223"/>
      <c r="AA58" s="223"/>
      <c r="AB58" s="223"/>
      <c r="AC58" s="223"/>
      <c r="AD58" s="223"/>
      <c r="AE58" s="223"/>
      <c r="AF58" s="223"/>
      <c r="AG58" s="223"/>
      <c r="AH58" s="223"/>
      <c r="AI58" s="223"/>
      <c r="AJ58" s="223"/>
      <c r="AK58" s="223"/>
      <c r="AL58" s="223"/>
      <c r="AM58" s="225"/>
    </row>
    <row r="59" spans="1:39" ht="20.100000000000001" customHeight="1">
      <c r="A59" s="227">
        <v>26</v>
      </c>
      <c r="B59" s="225"/>
      <c r="C59" s="227"/>
      <c r="D59" s="228" cm="1">
        <f t="array" ref="D59">IFERROR(
(SUMPRODUCT(E59:AL59*$E$6:$AL$6)/100) + (SUMPRODUCT(E59:AL59*$E$6:$AL$6*$E$3:$AL$3)/100),
0
)</f>
        <v>0</v>
      </c>
      <c r="E59" s="227"/>
      <c r="F59" s="227"/>
      <c r="G59" s="227"/>
      <c r="H59" s="227"/>
      <c r="I59" s="227"/>
      <c r="J59" s="227"/>
      <c r="K59" s="227"/>
      <c r="L59" s="227"/>
      <c r="M59" s="227"/>
      <c r="N59" s="227"/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  <c r="AA59" s="227"/>
      <c r="AB59" s="227"/>
      <c r="AC59" s="227"/>
      <c r="AD59" s="227"/>
      <c r="AE59" s="227"/>
      <c r="AF59" s="227"/>
      <c r="AG59" s="227"/>
      <c r="AH59" s="227"/>
      <c r="AI59" s="227"/>
      <c r="AJ59" s="227"/>
      <c r="AK59" s="227"/>
      <c r="AL59" s="225"/>
      <c r="AM59" s="227">
        <v>26</v>
      </c>
    </row>
    <row r="60" spans="1:39" ht="20.100000000000001" customHeight="1">
      <c r="A60" s="223"/>
      <c r="B60" s="225"/>
      <c r="C60" s="227"/>
      <c r="D60" s="224"/>
      <c r="E60" s="223"/>
      <c r="F60" s="223"/>
      <c r="G60" s="223"/>
      <c r="H60" s="223"/>
      <c r="I60" s="223"/>
      <c r="J60" s="223"/>
      <c r="K60" s="223"/>
      <c r="L60" s="223"/>
      <c r="M60" s="223"/>
      <c r="N60" s="223"/>
      <c r="O60" s="223"/>
      <c r="P60" s="223"/>
      <c r="Q60" s="223"/>
      <c r="R60" s="223"/>
      <c r="S60" s="223"/>
      <c r="T60" s="223"/>
      <c r="U60" s="223"/>
      <c r="V60" s="223"/>
      <c r="W60" s="223"/>
      <c r="X60" s="223"/>
      <c r="Y60" s="223"/>
      <c r="Z60" s="223"/>
      <c r="AA60" s="223"/>
      <c r="AB60" s="223"/>
      <c r="AC60" s="223"/>
      <c r="AD60" s="223"/>
      <c r="AE60" s="223"/>
      <c r="AF60" s="223"/>
      <c r="AG60" s="223"/>
      <c r="AH60" s="223"/>
      <c r="AI60" s="223"/>
      <c r="AJ60" s="223"/>
      <c r="AK60" s="223"/>
      <c r="AL60" s="223"/>
      <c r="AM60" s="225"/>
    </row>
    <row r="61" spans="1:39" ht="20.100000000000001" customHeight="1">
      <c r="A61" s="227">
        <v>27</v>
      </c>
      <c r="B61" s="225"/>
      <c r="C61" s="227"/>
      <c r="D61" s="228" cm="1">
        <f t="array" ref="D61">IFERROR(
(SUMPRODUCT(E61:AL61*$E$6:$AL$6)/100) + (SUMPRODUCT(E61:AL61*$E$6:$AL$6*$E$3:$AL$3)/100),
0
)</f>
        <v>0</v>
      </c>
      <c r="E61" s="227"/>
      <c r="F61" s="227"/>
      <c r="G61" s="227"/>
      <c r="H61" s="227"/>
      <c r="I61" s="227"/>
      <c r="J61" s="227"/>
      <c r="K61" s="227"/>
      <c r="L61" s="227"/>
      <c r="M61" s="227"/>
      <c r="N61" s="227"/>
      <c r="O61" s="227"/>
      <c r="P61" s="227"/>
      <c r="Q61" s="227"/>
      <c r="R61" s="227"/>
      <c r="S61" s="227"/>
      <c r="T61" s="227"/>
      <c r="U61" s="227"/>
      <c r="V61" s="227"/>
      <c r="W61" s="227"/>
      <c r="X61" s="227"/>
      <c r="Y61" s="227"/>
      <c r="Z61" s="227"/>
      <c r="AA61" s="227"/>
      <c r="AB61" s="227"/>
      <c r="AC61" s="227"/>
      <c r="AD61" s="227"/>
      <c r="AE61" s="227"/>
      <c r="AF61" s="227"/>
      <c r="AG61" s="227"/>
      <c r="AH61" s="227"/>
      <c r="AI61" s="227"/>
      <c r="AJ61" s="227"/>
      <c r="AK61" s="227"/>
      <c r="AL61" s="225"/>
      <c r="AM61" s="227">
        <v>27</v>
      </c>
    </row>
    <row r="62" spans="1:39" ht="20.100000000000001" customHeight="1">
      <c r="A62" s="227"/>
      <c r="B62" s="225"/>
      <c r="C62" s="227"/>
      <c r="D62" s="224"/>
      <c r="E62" s="223"/>
      <c r="F62" s="223"/>
      <c r="G62" s="223"/>
      <c r="H62" s="223"/>
      <c r="I62" s="223"/>
      <c r="J62" s="223"/>
      <c r="K62" s="223"/>
      <c r="L62" s="223"/>
      <c r="M62" s="223"/>
      <c r="N62" s="223"/>
      <c r="O62" s="223"/>
      <c r="P62" s="223"/>
      <c r="Q62" s="223"/>
      <c r="R62" s="223"/>
      <c r="S62" s="223"/>
      <c r="T62" s="223"/>
      <c r="U62" s="223"/>
      <c r="V62" s="223"/>
      <c r="W62" s="223"/>
      <c r="X62" s="223"/>
      <c r="Y62" s="223"/>
      <c r="Z62" s="223"/>
      <c r="AA62" s="223"/>
      <c r="AB62" s="223"/>
      <c r="AC62" s="223"/>
      <c r="AD62" s="223"/>
      <c r="AE62" s="223"/>
      <c r="AF62" s="223"/>
      <c r="AG62" s="223"/>
      <c r="AH62" s="223"/>
      <c r="AI62" s="223"/>
      <c r="AJ62" s="223"/>
      <c r="AK62" s="223"/>
      <c r="AL62" s="223"/>
      <c r="AM62" s="225"/>
    </row>
    <row r="63" spans="1:39" ht="20.100000000000001" customHeight="1">
      <c r="A63" s="227">
        <v>28</v>
      </c>
      <c r="B63" s="225"/>
      <c r="C63" s="227"/>
      <c r="D63" s="228" cm="1">
        <f t="array" ref="D63">IFERROR(
(SUMPRODUCT(E63:AL63*$E$6:$AL$6)/100) + (SUMPRODUCT(E63:AL63*$E$6:$AL$6*$E$3:$AL$3)/100),
0
)</f>
        <v>0</v>
      </c>
      <c r="E63" s="227"/>
      <c r="F63" s="227"/>
      <c r="G63" s="227"/>
      <c r="H63" s="227"/>
      <c r="I63" s="227"/>
      <c r="J63" s="227"/>
      <c r="K63" s="227"/>
      <c r="L63" s="227"/>
      <c r="M63" s="227"/>
      <c r="N63" s="227"/>
      <c r="O63" s="227"/>
      <c r="P63" s="227"/>
      <c r="Q63" s="227"/>
      <c r="R63" s="22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5"/>
      <c r="AM63" s="227">
        <v>28</v>
      </c>
    </row>
    <row r="64" spans="1:39" ht="20.100000000000001" customHeight="1">
      <c r="A64" s="223"/>
      <c r="B64" s="225"/>
      <c r="C64" s="227"/>
      <c r="D64" s="224"/>
      <c r="E64" s="223"/>
      <c r="F64" s="223"/>
      <c r="G64" s="223"/>
      <c r="H64" s="223"/>
      <c r="I64" s="223"/>
      <c r="J64" s="223"/>
      <c r="K64" s="223"/>
      <c r="L64" s="223"/>
      <c r="M64" s="223"/>
      <c r="N64" s="223"/>
      <c r="O64" s="223"/>
      <c r="P64" s="223"/>
      <c r="Q64" s="223"/>
      <c r="R64" s="223"/>
      <c r="S64" s="223"/>
      <c r="T64" s="223"/>
      <c r="U64" s="223"/>
      <c r="V64" s="223"/>
      <c r="W64" s="223"/>
      <c r="X64" s="223"/>
      <c r="Y64" s="223"/>
      <c r="Z64" s="223"/>
      <c r="AA64" s="223"/>
      <c r="AB64" s="223"/>
      <c r="AC64" s="223"/>
      <c r="AD64" s="223"/>
      <c r="AE64" s="223"/>
      <c r="AF64" s="223"/>
      <c r="AG64" s="223"/>
      <c r="AH64" s="223"/>
      <c r="AI64" s="223"/>
      <c r="AJ64" s="223"/>
      <c r="AK64" s="223"/>
      <c r="AL64" s="223"/>
      <c r="AM64" s="225"/>
    </row>
    <row r="65" spans="1:39" ht="20.100000000000001" customHeight="1">
      <c r="A65" s="227">
        <v>29</v>
      </c>
      <c r="B65" s="225"/>
      <c r="C65" s="227"/>
      <c r="D65" s="228" cm="1">
        <f t="array" ref="D65">IFERROR(
(SUMPRODUCT(E65:AL65*$E$6:$AL$6)/100) + (SUMPRODUCT(E65:AL65*$E$6:$AL$6*$E$3:$AL$3)/100),
0
)</f>
        <v>0</v>
      </c>
      <c r="E65" s="227"/>
      <c r="F65" s="227"/>
      <c r="G65" s="227"/>
      <c r="H65" s="227"/>
      <c r="I65" s="227"/>
      <c r="J65" s="227"/>
      <c r="K65" s="227"/>
      <c r="L65" s="227"/>
      <c r="M65" s="227"/>
      <c r="N65" s="227"/>
      <c r="O65" s="227"/>
      <c r="P65" s="227"/>
      <c r="Q65" s="227"/>
      <c r="R65" s="227"/>
      <c r="S65" s="227"/>
      <c r="T65" s="227"/>
      <c r="U65" s="227"/>
      <c r="V65" s="227"/>
      <c r="W65" s="227"/>
      <c r="X65" s="227"/>
      <c r="Y65" s="227"/>
      <c r="Z65" s="227"/>
      <c r="AA65" s="227"/>
      <c r="AB65" s="227"/>
      <c r="AC65" s="227"/>
      <c r="AD65" s="227"/>
      <c r="AE65" s="227"/>
      <c r="AF65" s="227"/>
      <c r="AG65" s="227"/>
      <c r="AH65" s="227"/>
      <c r="AI65" s="227"/>
      <c r="AJ65" s="227"/>
      <c r="AK65" s="227"/>
      <c r="AL65" s="225"/>
      <c r="AM65" s="227">
        <v>29</v>
      </c>
    </row>
    <row r="66" spans="1:39" ht="20.100000000000001" customHeight="1">
      <c r="A66" s="227"/>
      <c r="B66" s="225"/>
      <c r="C66" s="227"/>
      <c r="D66" s="224"/>
      <c r="E66" s="223"/>
      <c r="F66" s="223"/>
      <c r="G66" s="223"/>
      <c r="H66" s="223"/>
      <c r="I66" s="223"/>
      <c r="J66" s="223"/>
      <c r="K66" s="223"/>
      <c r="L66" s="223"/>
      <c r="M66" s="223"/>
      <c r="N66" s="223"/>
      <c r="O66" s="223"/>
      <c r="P66" s="223"/>
      <c r="Q66" s="223"/>
      <c r="R66" s="223"/>
      <c r="S66" s="223"/>
      <c r="T66" s="223"/>
      <c r="U66" s="223"/>
      <c r="V66" s="223"/>
      <c r="W66" s="223"/>
      <c r="X66" s="223"/>
      <c r="Y66" s="223"/>
      <c r="Z66" s="223"/>
      <c r="AA66" s="223"/>
      <c r="AB66" s="223"/>
      <c r="AC66" s="223"/>
      <c r="AD66" s="223"/>
      <c r="AE66" s="223"/>
      <c r="AF66" s="223"/>
      <c r="AG66" s="223"/>
      <c r="AH66" s="223"/>
      <c r="AI66" s="223"/>
      <c r="AJ66" s="223"/>
      <c r="AK66" s="223"/>
      <c r="AL66" s="223"/>
      <c r="AM66" s="225"/>
    </row>
    <row r="67" spans="1:39" ht="20.100000000000001" customHeight="1">
      <c r="A67" s="227">
        <v>30</v>
      </c>
      <c r="B67" s="225"/>
      <c r="C67" s="227"/>
      <c r="D67" s="228" cm="1">
        <f t="array" ref="D67">IFERROR(
(SUMPRODUCT(E67:AL67*$E$6:$AL$6)/100) + (SUMPRODUCT(E67:AL67*$E$6:$AL$6*$E$3:$AL$3)/100),
0
)</f>
        <v>0</v>
      </c>
      <c r="E67" s="227"/>
      <c r="F67" s="227"/>
      <c r="G67" s="227"/>
      <c r="H67" s="227"/>
      <c r="I67" s="227"/>
      <c r="J67" s="227"/>
      <c r="K67" s="227"/>
      <c r="L67" s="227"/>
      <c r="M67" s="227"/>
      <c r="N67" s="227"/>
      <c r="O67" s="227"/>
      <c r="P67" s="227"/>
      <c r="Q67" s="227"/>
      <c r="R67" s="227"/>
      <c r="S67" s="227"/>
      <c r="T67" s="227"/>
      <c r="U67" s="227"/>
      <c r="V67" s="227"/>
      <c r="W67" s="227"/>
      <c r="X67" s="227"/>
      <c r="Y67" s="227"/>
      <c r="Z67" s="227"/>
      <c r="AA67" s="227"/>
      <c r="AB67" s="227"/>
      <c r="AC67" s="227"/>
      <c r="AD67" s="227"/>
      <c r="AE67" s="227"/>
      <c r="AF67" s="227"/>
      <c r="AG67" s="227"/>
      <c r="AH67" s="227"/>
      <c r="AI67" s="227"/>
      <c r="AJ67" s="227"/>
      <c r="AK67" s="227"/>
      <c r="AL67" s="225"/>
      <c r="AM67" s="227">
        <v>30</v>
      </c>
    </row>
    <row r="68" spans="1:39" ht="20.100000000000001" customHeight="1">
      <c r="A68" s="223"/>
      <c r="B68" s="225"/>
      <c r="C68" s="227"/>
      <c r="D68" s="224"/>
      <c r="E68" s="223"/>
      <c r="F68" s="223"/>
      <c r="G68" s="223"/>
      <c r="H68" s="223"/>
      <c r="I68" s="223"/>
      <c r="J68" s="223"/>
      <c r="K68" s="223"/>
      <c r="L68" s="223"/>
      <c r="M68" s="223"/>
      <c r="N68" s="223"/>
      <c r="O68" s="223"/>
      <c r="P68" s="223"/>
      <c r="Q68" s="223"/>
      <c r="R68" s="223"/>
      <c r="S68" s="223"/>
      <c r="T68" s="223"/>
      <c r="U68" s="223"/>
      <c r="V68" s="223"/>
      <c r="W68" s="223"/>
      <c r="X68" s="223"/>
      <c r="Y68" s="223"/>
      <c r="Z68" s="223"/>
      <c r="AA68" s="223"/>
      <c r="AB68" s="223"/>
      <c r="AC68" s="223"/>
      <c r="AD68" s="223"/>
      <c r="AE68" s="223"/>
      <c r="AF68" s="223"/>
      <c r="AG68" s="223"/>
      <c r="AH68" s="223"/>
      <c r="AI68" s="223"/>
      <c r="AJ68" s="223"/>
      <c r="AK68" s="223"/>
      <c r="AL68" s="223"/>
      <c r="AM68" s="225"/>
    </row>
    <row r="69" spans="1:39" ht="20.100000000000001" customHeight="1">
      <c r="A69" s="227">
        <v>31</v>
      </c>
      <c r="B69" s="225"/>
      <c r="C69" s="227"/>
      <c r="D69" s="228" cm="1">
        <f t="array" ref="D69">IFERROR(
(SUMPRODUCT(E69:AL69*$E$6:$AL$6)/100) + (SUMPRODUCT(E69:AL69*$E$6:$AL$6*$E$3:$AL$3)/100),
0
)</f>
        <v>0</v>
      </c>
      <c r="E69" s="227"/>
      <c r="F69" s="227"/>
      <c r="G69" s="227"/>
      <c r="H69" s="227"/>
      <c r="I69" s="227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227"/>
      <c r="AA69" s="227"/>
      <c r="AB69" s="227"/>
      <c r="AC69" s="227"/>
      <c r="AD69" s="227"/>
      <c r="AE69" s="227"/>
      <c r="AF69" s="227"/>
      <c r="AG69" s="227"/>
      <c r="AH69" s="227"/>
      <c r="AI69" s="227"/>
      <c r="AJ69" s="227"/>
      <c r="AK69" s="227"/>
      <c r="AL69" s="225"/>
      <c r="AM69" s="227">
        <v>31</v>
      </c>
    </row>
    <row r="70" spans="1:39" ht="20.100000000000001" customHeight="1">
      <c r="A70" s="227"/>
      <c r="B70" s="225"/>
      <c r="C70" s="227"/>
      <c r="D70" s="224"/>
      <c r="E70" s="223"/>
      <c r="F70" s="223"/>
      <c r="G70" s="223"/>
      <c r="H70" s="223"/>
      <c r="I70" s="223"/>
      <c r="J70" s="223"/>
      <c r="K70" s="223"/>
      <c r="L70" s="223"/>
      <c r="M70" s="223"/>
      <c r="N70" s="223"/>
      <c r="O70" s="223"/>
      <c r="P70" s="223"/>
      <c r="Q70" s="223"/>
      <c r="R70" s="223"/>
      <c r="S70" s="223"/>
      <c r="T70" s="223"/>
      <c r="U70" s="223"/>
      <c r="V70" s="223"/>
      <c r="W70" s="223"/>
      <c r="X70" s="223"/>
      <c r="Y70" s="223"/>
      <c r="Z70" s="223"/>
      <c r="AA70" s="223"/>
      <c r="AB70" s="223"/>
      <c r="AC70" s="223"/>
      <c r="AD70" s="223"/>
      <c r="AE70" s="223"/>
      <c r="AF70" s="223"/>
      <c r="AG70" s="223"/>
      <c r="AH70" s="223"/>
      <c r="AI70" s="223"/>
      <c r="AJ70" s="223"/>
      <c r="AK70" s="223"/>
      <c r="AL70" s="223"/>
      <c r="AM70" s="225"/>
    </row>
    <row r="71" spans="1:39" ht="20.100000000000001" customHeight="1">
      <c r="A71" s="227">
        <v>32</v>
      </c>
      <c r="B71" s="225"/>
      <c r="C71" s="227"/>
      <c r="D71" s="228" cm="1">
        <f t="array" ref="D71">IFERROR(
(SUMPRODUCT(E71:AL71*$E$6:$AL$6)/100) + (SUMPRODUCT(E71:AL71*$E$6:$AL$6*$E$3:$AL$3)/100),
0
)</f>
        <v>0</v>
      </c>
      <c r="E71" s="227"/>
      <c r="F71" s="227"/>
      <c r="G71" s="227"/>
      <c r="H71" s="227"/>
      <c r="I71" s="227"/>
      <c r="J71" s="227"/>
      <c r="K71" s="227"/>
      <c r="L71" s="227"/>
      <c r="M71" s="227"/>
      <c r="N71" s="227"/>
      <c r="O71" s="227"/>
      <c r="P71" s="227"/>
      <c r="Q71" s="227"/>
      <c r="R71" s="227"/>
      <c r="S71" s="227"/>
      <c r="T71" s="227"/>
      <c r="U71" s="227"/>
      <c r="V71" s="227"/>
      <c r="W71" s="227"/>
      <c r="X71" s="227"/>
      <c r="Y71" s="227"/>
      <c r="Z71" s="227"/>
      <c r="AA71" s="227"/>
      <c r="AB71" s="227"/>
      <c r="AC71" s="227"/>
      <c r="AD71" s="227"/>
      <c r="AE71" s="227"/>
      <c r="AF71" s="227"/>
      <c r="AG71" s="227"/>
      <c r="AH71" s="227"/>
      <c r="AI71" s="227"/>
      <c r="AJ71" s="227"/>
      <c r="AK71" s="227"/>
      <c r="AL71" s="225"/>
      <c r="AM71" s="227">
        <v>32</v>
      </c>
    </row>
    <row r="72" spans="1:39" ht="20.100000000000001" customHeight="1">
      <c r="A72" s="223"/>
      <c r="B72" s="225"/>
      <c r="C72" s="227"/>
      <c r="D72" s="224"/>
      <c r="E72" s="223"/>
      <c r="F72" s="223"/>
      <c r="G72" s="223"/>
      <c r="H72" s="223"/>
      <c r="I72" s="223"/>
      <c r="J72" s="223"/>
      <c r="K72" s="223"/>
      <c r="L72" s="223"/>
      <c r="M72" s="223"/>
      <c r="N72" s="223"/>
      <c r="O72" s="223"/>
      <c r="P72" s="223"/>
      <c r="Q72" s="223"/>
      <c r="R72" s="223"/>
      <c r="S72" s="223"/>
      <c r="T72" s="223"/>
      <c r="U72" s="223"/>
      <c r="V72" s="223"/>
      <c r="W72" s="223"/>
      <c r="X72" s="223"/>
      <c r="Y72" s="223"/>
      <c r="Z72" s="223"/>
      <c r="AA72" s="223"/>
      <c r="AB72" s="223"/>
      <c r="AC72" s="223"/>
      <c r="AD72" s="223"/>
      <c r="AE72" s="223"/>
      <c r="AF72" s="223"/>
      <c r="AG72" s="223"/>
      <c r="AH72" s="223"/>
      <c r="AI72" s="223"/>
      <c r="AJ72" s="223"/>
      <c r="AK72" s="223"/>
      <c r="AL72" s="223"/>
      <c r="AM72" s="225"/>
    </row>
    <row r="73" spans="1:39" ht="20.100000000000001" customHeight="1">
      <c r="A73" s="227">
        <v>33</v>
      </c>
      <c r="B73" s="225"/>
      <c r="C73" s="227"/>
      <c r="D73" s="228" cm="1">
        <f t="array" ref="D73">IFERROR(
(SUMPRODUCT(E73:AL73*$E$6:$AL$6)/100) + (SUMPRODUCT(E73:AL73*$E$6:$AL$6*$E$3:$AL$3)/100),
0
)</f>
        <v>0</v>
      </c>
      <c r="E73" s="227"/>
      <c r="F73" s="227"/>
      <c r="G73" s="227"/>
      <c r="H73" s="227"/>
      <c r="I73" s="227"/>
      <c r="J73" s="227"/>
      <c r="K73" s="227"/>
      <c r="L73" s="227"/>
      <c r="M73" s="227"/>
      <c r="N73" s="227"/>
      <c r="O73" s="227"/>
      <c r="P73" s="227"/>
      <c r="Q73" s="227"/>
      <c r="R73" s="227"/>
      <c r="S73" s="227"/>
      <c r="T73" s="227"/>
      <c r="U73" s="227"/>
      <c r="V73" s="227"/>
      <c r="W73" s="227"/>
      <c r="X73" s="227"/>
      <c r="Y73" s="227"/>
      <c r="Z73" s="227"/>
      <c r="AA73" s="227"/>
      <c r="AB73" s="227"/>
      <c r="AC73" s="227"/>
      <c r="AD73" s="227"/>
      <c r="AE73" s="227"/>
      <c r="AF73" s="227"/>
      <c r="AG73" s="227"/>
      <c r="AH73" s="227"/>
      <c r="AI73" s="227"/>
      <c r="AJ73" s="227"/>
      <c r="AK73" s="227"/>
      <c r="AL73" s="225"/>
      <c r="AM73" s="227">
        <v>33</v>
      </c>
    </row>
    <row r="74" spans="1:39" ht="20.100000000000001" customHeight="1">
      <c r="A74" s="227"/>
      <c r="B74" s="225"/>
      <c r="C74" s="227"/>
      <c r="D74" s="224"/>
      <c r="E74" s="223"/>
      <c r="F74" s="223"/>
      <c r="G74" s="223"/>
      <c r="H74" s="223"/>
      <c r="I74" s="223"/>
      <c r="J74" s="223"/>
      <c r="K74" s="223"/>
      <c r="L74" s="223"/>
      <c r="M74" s="223"/>
      <c r="N74" s="223"/>
      <c r="O74" s="223"/>
      <c r="P74" s="223"/>
      <c r="Q74" s="223"/>
      <c r="R74" s="223"/>
      <c r="S74" s="223"/>
      <c r="T74" s="223"/>
      <c r="U74" s="223"/>
      <c r="V74" s="223"/>
      <c r="W74" s="223"/>
      <c r="X74" s="223"/>
      <c r="Y74" s="223"/>
      <c r="Z74" s="223"/>
      <c r="AA74" s="223"/>
      <c r="AB74" s="223"/>
      <c r="AC74" s="223"/>
      <c r="AD74" s="223"/>
      <c r="AE74" s="223"/>
      <c r="AF74" s="223"/>
      <c r="AG74" s="223"/>
      <c r="AH74" s="223"/>
      <c r="AI74" s="223"/>
      <c r="AJ74" s="223"/>
      <c r="AK74" s="223"/>
      <c r="AL74" s="223"/>
      <c r="AM74" s="225"/>
    </row>
    <row r="75" spans="1:39" ht="20.100000000000001" customHeight="1">
      <c r="A75" s="227">
        <v>34</v>
      </c>
      <c r="B75" s="225"/>
      <c r="C75" s="227"/>
      <c r="D75" s="228" cm="1">
        <f t="array" ref="D75">IFERROR(
(SUMPRODUCT(E75:AL75*$E$6:$AL$6)/100) + (SUMPRODUCT(E75:AL75*$E$6:$AL$6*$E$3:$AL$3)/100),
0
)</f>
        <v>0</v>
      </c>
      <c r="E75" s="227"/>
      <c r="F75" s="227"/>
      <c r="G75" s="227"/>
      <c r="H75" s="227"/>
      <c r="I75" s="227"/>
      <c r="J75" s="227"/>
      <c r="K75" s="227"/>
      <c r="L75" s="227"/>
      <c r="M75" s="227"/>
      <c r="N75" s="227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5"/>
      <c r="AM75" s="227">
        <v>34</v>
      </c>
    </row>
    <row r="76" spans="1:39" ht="20.100000000000001" customHeight="1">
      <c r="A76" s="223"/>
      <c r="B76" s="225"/>
      <c r="C76" s="227"/>
      <c r="D76" s="224"/>
      <c r="E76" s="223"/>
      <c r="F76" s="223"/>
      <c r="G76" s="223"/>
      <c r="H76" s="223"/>
      <c r="I76" s="223"/>
      <c r="J76" s="223"/>
      <c r="K76" s="223"/>
      <c r="L76" s="223"/>
      <c r="M76" s="223"/>
      <c r="N76" s="223"/>
      <c r="O76" s="223"/>
      <c r="P76" s="223"/>
      <c r="Q76" s="223"/>
      <c r="R76" s="223"/>
      <c r="S76" s="223"/>
      <c r="T76" s="223"/>
      <c r="U76" s="223"/>
      <c r="V76" s="223"/>
      <c r="W76" s="223"/>
      <c r="X76" s="223"/>
      <c r="Y76" s="223"/>
      <c r="Z76" s="223"/>
      <c r="AA76" s="223"/>
      <c r="AB76" s="223"/>
      <c r="AC76" s="223"/>
      <c r="AD76" s="223"/>
      <c r="AE76" s="223"/>
      <c r="AF76" s="223"/>
      <c r="AG76" s="223"/>
      <c r="AH76" s="223"/>
      <c r="AI76" s="223"/>
      <c r="AJ76" s="223"/>
      <c r="AK76" s="223"/>
      <c r="AL76" s="223"/>
      <c r="AM76" s="225"/>
    </row>
    <row r="77" spans="1:39" ht="20.100000000000001" customHeight="1">
      <c r="A77" s="227">
        <v>35</v>
      </c>
      <c r="B77" s="225"/>
      <c r="C77" s="227"/>
      <c r="D77" s="228" cm="1">
        <f t="array" ref="D77">IFERROR(
(SUMPRODUCT(E77:AL77*$E$6:$AL$6)/100) + (SUMPRODUCT(E77:AL77*$E$6:$AL$6*$E$3:$AL$3)/100),
0
)</f>
        <v>0</v>
      </c>
      <c r="E77" s="227"/>
      <c r="F77" s="227"/>
      <c r="G77" s="227"/>
      <c r="H77" s="227"/>
      <c r="I77" s="227"/>
      <c r="J77" s="227"/>
      <c r="K77" s="227"/>
      <c r="L77" s="227"/>
      <c r="M77" s="227"/>
      <c r="N77" s="227"/>
      <c r="O77" s="227"/>
      <c r="P77" s="227"/>
      <c r="Q77" s="227"/>
      <c r="R77" s="227"/>
      <c r="S77" s="227"/>
      <c r="T77" s="227"/>
      <c r="U77" s="22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5"/>
      <c r="AM77" s="227">
        <v>35</v>
      </c>
    </row>
    <row r="78" spans="1:39" ht="20.100000000000001" customHeight="1">
      <c r="A78" s="227"/>
      <c r="B78" s="225"/>
      <c r="C78" s="227"/>
      <c r="D78" s="224"/>
      <c r="E78" s="223"/>
      <c r="F78" s="223"/>
      <c r="G78" s="223"/>
      <c r="H78" s="223"/>
      <c r="I78" s="223"/>
      <c r="J78" s="223"/>
      <c r="K78" s="223"/>
      <c r="L78" s="223"/>
      <c r="M78" s="223"/>
      <c r="N78" s="223"/>
      <c r="O78" s="223"/>
      <c r="P78" s="223"/>
      <c r="Q78" s="223"/>
      <c r="R78" s="223"/>
      <c r="S78" s="223"/>
      <c r="T78" s="223"/>
      <c r="U78" s="223"/>
      <c r="V78" s="223"/>
      <c r="W78" s="223"/>
      <c r="X78" s="223"/>
      <c r="Y78" s="223"/>
      <c r="Z78" s="223"/>
      <c r="AA78" s="223"/>
      <c r="AB78" s="223"/>
      <c r="AC78" s="223"/>
      <c r="AD78" s="223"/>
      <c r="AE78" s="223"/>
      <c r="AF78" s="223"/>
      <c r="AG78" s="223"/>
      <c r="AH78" s="223"/>
      <c r="AI78" s="223"/>
      <c r="AJ78" s="223"/>
      <c r="AK78" s="223"/>
      <c r="AL78" s="223"/>
      <c r="AM78" s="225"/>
    </row>
    <row r="79" spans="1:39" ht="20.100000000000001" customHeight="1">
      <c r="A79" s="227">
        <v>36</v>
      </c>
      <c r="B79" s="225"/>
      <c r="C79" s="227"/>
      <c r="D79" s="228" cm="1">
        <f t="array" ref="D79">IFERROR(
(SUMPRODUCT(E79:AL79*$E$6:$AL$6)/100) + (SUMPRODUCT(E79:AL79*$E$6:$AL$6*$E$3:$AL$3)/100),
0
)</f>
        <v>0</v>
      </c>
      <c r="E79" s="227"/>
      <c r="F79" s="227"/>
      <c r="G79" s="227"/>
      <c r="H79" s="227"/>
      <c r="I79" s="227"/>
      <c r="J79" s="227"/>
      <c r="K79" s="227"/>
      <c r="L79" s="227"/>
      <c r="M79" s="227"/>
      <c r="N79" s="227"/>
      <c r="O79" s="227"/>
      <c r="P79" s="227"/>
      <c r="Q79" s="227"/>
      <c r="R79" s="227"/>
      <c r="S79" s="227"/>
      <c r="T79" s="227"/>
      <c r="U79" s="22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5"/>
      <c r="AM79" s="227">
        <v>36</v>
      </c>
    </row>
    <row r="80" spans="1:39" ht="20.100000000000001" customHeight="1">
      <c r="A80" s="223"/>
      <c r="B80" s="225"/>
      <c r="C80" s="227"/>
      <c r="D80" s="224"/>
      <c r="E80" s="223"/>
      <c r="F80" s="223"/>
      <c r="G80" s="223"/>
      <c r="H80" s="223"/>
      <c r="I80" s="223"/>
      <c r="J80" s="223"/>
      <c r="K80" s="223"/>
      <c r="L80" s="223"/>
      <c r="M80" s="223"/>
      <c r="N80" s="223"/>
      <c r="O80" s="223"/>
      <c r="P80" s="223"/>
      <c r="Q80" s="223"/>
      <c r="R80" s="223"/>
      <c r="S80" s="223"/>
      <c r="T80" s="223"/>
      <c r="U80" s="223"/>
      <c r="V80" s="223"/>
      <c r="W80" s="223"/>
      <c r="X80" s="223"/>
      <c r="Y80" s="223"/>
      <c r="Z80" s="223"/>
      <c r="AA80" s="223"/>
      <c r="AB80" s="223"/>
      <c r="AC80" s="223"/>
      <c r="AD80" s="223"/>
      <c r="AE80" s="223"/>
      <c r="AF80" s="223"/>
      <c r="AG80" s="223"/>
      <c r="AH80" s="223"/>
      <c r="AI80" s="223"/>
      <c r="AJ80" s="223"/>
      <c r="AK80" s="223"/>
      <c r="AL80" s="223"/>
      <c r="AM80" s="225"/>
    </row>
    <row r="81" spans="1:39" ht="20.100000000000001" customHeight="1">
      <c r="A81" s="227">
        <v>37</v>
      </c>
      <c r="B81" s="225"/>
      <c r="C81" s="227"/>
      <c r="D81" s="228" cm="1">
        <f t="array" ref="D81">IFERROR(
(SUMPRODUCT(E81:AL81*$E$6:$AL$6)/100) + (SUMPRODUCT(E81:AL81*$E$6:$AL$6*$E$3:$AL$3)/100),
0
)</f>
        <v>0</v>
      </c>
      <c r="E81" s="227"/>
      <c r="F81" s="227"/>
      <c r="G81" s="227"/>
      <c r="H81" s="227"/>
      <c r="I81" s="227"/>
      <c r="J81" s="227"/>
      <c r="K81" s="227"/>
      <c r="L81" s="227"/>
      <c r="M81" s="227"/>
      <c r="N81" s="227"/>
      <c r="O81" s="227"/>
      <c r="P81" s="227"/>
      <c r="Q81" s="227"/>
      <c r="R81" s="227"/>
      <c r="S81" s="227"/>
      <c r="T81" s="227"/>
      <c r="U81" s="22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5"/>
      <c r="AM81" s="227">
        <v>37</v>
      </c>
    </row>
    <row r="82" spans="1:39" ht="20.100000000000001" customHeight="1">
      <c r="A82" s="227"/>
      <c r="B82" s="225"/>
      <c r="C82" s="227"/>
      <c r="D82" s="224"/>
      <c r="E82" s="223"/>
      <c r="F82" s="223"/>
      <c r="G82" s="223"/>
      <c r="H82" s="223"/>
      <c r="I82" s="223"/>
      <c r="J82" s="223"/>
      <c r="K82" s="223"/>
      <c r="L82" s="223"/>
      <c r="M82" s="223"/>
      <c r="N82" s="223"/>
      <c r="O82" s="223"/>
      <c r="P82" s="223"/>
      <c r="Q82" s="223"/>
      <c r="R82" s="223"/>
      <c r="S82" s="223"/>
      <c r="T82" s="223"/>
      <c r="U82" s="223"/>
      <c r="V82" s="223"/>
      <c r="W82" s="223"/>
      <c r="X82" s="223"/>
      <c r="Y82" s="223"/>
      <c r="Z82" s="223"/>
      <c r="AA82" s="223"/>
      <c r="AB82" s="223"/>
      <c r="AC82" s="223"/>
      <c r="AD82" s="223"/>
      <c r="AE82" s="223"/>
      <c r="AF82" s="223"/>
      <c r="AG82" s="223"/>
      <c r="AH82" s="223"/>
      <c r="AI82" s="223"/>
      <c r="AJ82" s="223"/>
      <c r="AK82" s="223"/>
      <c r="AL82" s="223"/>
      <c r="AM82" s="225"/>
    </row>
    <row r="83" spans="1:39" ht="20.100000000000001" customHeight="1">
      <c r="A83" s="227">
        <v>38</v>
      </c>
      <c r="B83" s="225"/>
      <c r="C83" s="227"/>
      <c r="D83" s="228" cm="1">
        <f t="array" ref="D83">IFERROR(
(SUMPRODUCT(E83:AL83*$E$6:$AL$6)/100) + (SUMPRODUCT(E83:AL83*$E$6:$AL$6*$E$3:$AL$3)/100),
0
)</f>
        <v>0</v>
      </c>
      <c r="E83" s="227"/>
      <c r="F83" s="227"/>
      <c r="G83" s="227"/>
      <c r="H83" s="227"/>
      <c r="I83" s="227"/>
      <c r="J83" s="227"/>
      <c r="K83" s="227"/>
      <c r="L83" s="227"/>
      <c r="M83" s="227"/>
      <c r="N83" s="227"/>
      <c r="O83" s="227"/>
      <c r="P83" s="227"/>
      <c r="Q83" s="227"/>
      <c r="R83" s="227"/>
      <c r="S83" s="227"/>
      <c r="T83" s="227"/>
      <c r="U83" s="22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5"/>
      <c r="AM83" s="227">
        <v>38</v>
      </c>
    </row>
    <row r="84" spans="1:39" ht="20.100000000000001" customHeight="1">
      <c r="A84" s="223"/>
      <c r="B84" s="225"/>
      <c r="C84" s="227"/>
      <c r="D84" s="224"/>
      <c r="E84" s="223"/>
      <c r="F84" s="223"/>
      <c r="G84" s="223"/>
      <c r="H84" s="223"/>
      <c r="I84" s="223"/>
      <c r="J84" s="223"/>
      <c r="K84" s="223"/>
      <c r="L84" s="223"/>
      <c r="M84" s="223"/>
      <c r="N84" s="223"/>
      <c r="O84" s="223"/>
      <c r="P84" s="223"/>
      <c r="Q84" s="223"/>
      <c r="R84" s="223"/>
      <c r="S84" s="223"/>
      <c r="T84" s="223"/>
      <c r="U84" s="223"/>
      <c r="V84" s="223"/>
      <c r="W84" s="223"/>
      <c r="X84" s="223"/>
      <c r="Y84" s="223"/>
      <c r="Z84" s="223"/>
      <c r="AA84" s="223"/>
      <c r="AB84" s="223"/>
      <c r="AC84" s="223"/>
      <c r="AD84" s="223"/>
      <c r="AE84" s="223"/>
      <c r="AF84" s="223"/>
      <c r="AG84" s="223"/>
      <c r="AH84" s="223"/>
      <c r="AI84" s="223"/>
      <c r="AJ84" s="223"/>
      <c r="AK84" s="223"/>
      <c r="AL84" s="223"/>
      <c r="AM84" s="225"/>
    </row>
    <row r="85" spans="1:39" ht="20.100000000000001" customHeight="1">
      <c r="A85" s="227">
        <v>39</v>
      </c>
      <c r="B85" s="225"/>
      <c r="C85" s="227"/>
      <c r="D85" s="228" cm="1">
        <f t="array" ref="D85">IFERROR(
(SUMPRODUCT(E85:AL85*$E$6:$AL$6)/100) + (SUMPRODUCT(E85:AL85*$E$6:$AL$6*$E$3:$AL$3)/100),
0
)</f>
        <v>0</v>
      </c>
      <c r="E85" s="227"/>
      <c r="F85" s="227"/>
      <c r="G85" s="227"/>
      <c r="H85" s="227"/>
      <c r="I85" s="227"/>
      <c r="J85" s="227"/>
      <c r="K85" s="227"/>
      <c r="L85" s="227"/>
      <c r="M85" s="227"/>
      <c r="N85" s="227"/>
      <c r="O85" s="227"/>
      <c r="P85" s="227"/>
      <c r="Q85" s="227"/>
      <c r="R85" s="227"/>
      <c r="S85" s="227"/>
      <c r="T85" s="227"/>
      <c r="U85" s="227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5"/>
      <c r="AM85" s="227">
        <v>39</v>
      </c>
    </row>
    <row r="86" spans="1:39" ht="20.100000000000001" customHeight="1">
      <c r="A86" s="227"/>
      <c r="B86" s="225"/>
      <c r="C86" s="227"/>
      <c r="D86" s="224"/>
      <c r="E86" s="223"/>
      <c r="F86" s="223"/>
      <c r="G86" s="223"/>
      <c r="H86" s="223"/>
      <c r="I86" s="223"/>
      <c r="J86" s="223"/>
      <c r="K86" s="223"/>
      <c r="L86" s="223"/>
      <c r="M86" s="223"/>
      <c r="N86" s="223"/>
      <c r="O86" s="223"/>
      <c r="P86" s="223"/>
      <c r="Q86" s="223"/>
      <c r="R86" s="223"/>
      <c r="S86" s="223"/>
      <c r="T86" s="223"/>
      <c r="U86" s="223"/>
      <c r="V86" s="223"/>
      <c r="W86" s="223"/>
      <c r="X86" s="223"/>
      <c r="Y86" s="223"/>
      <c r="Z86" s="223"/>
      <c r="AA86" s="223"/>
      <c r="AB86" s="223"/>
      <c r="AC86" s="223"/>
      <c r="AD86" s="223"/>
      <c r="AE86" s="223"/>
      <c r="AF86" s="223"/>
      <c r="AG86" s="223"/>
      <c r="AH86" s="223"/>
      <c r="AI86" s="223"/>
      <c r="AJ86" s="223"/>
      <c r="AK86" s="223"/>
      <c r="AL86" s="223"/>
      <c r="AM86" s="225"/>
    </row>
    <row r="87" spans="1:39" ht="20.100000000000001" customHeight="1">
      <c r="A87" s="227">
        <v>40</v>
      </c>
      <c r="B87" s="225"/>
      <c r="C87" s="227"/>
      <c r="D87" s="228" cm="1">
        <f t="array" ref="D87">IFERROR(
(SUMPRODUCT(E87:AL87*$E$6:$AL$6)/100) + (SUMPRODUCT(E87:AL87*$E$6:$AL$6*$E$3:$AL$3)/100),
0
)</f>
        <v>0</v>
      </c>
      <c r="E87" s="227"/>
      <c r="F87" s="227"/>
      <c r="G87" s="227"/>
      <c r="H87" s="227"/>
      <c r="I87" s="227"/>
      <c r="J87" s="227"/>
      <c r="K87" s="227"/>
      <c r="L87" s="227"/>
      <c r="M87" s="227"/>
      <c r="N87" s="227"/>
      <c r="O87" s="227"/>
      <c r="P87" s="227"/>
      <c r="Q87" s="227"/>
      <c r="R87" s="22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5"/>
      <c r="AM87" s="227">
        <v>40</v>
      </c>
    </row>
    <row r="88" spans="1:39" ht="20.100000000000001" customHeight="1">
      <c r="A88" s="223"/>
      <c r="B88" s="225"/>
      <c r="C88" s="227"/>
      <c r="D88" s="224"/>
      <c r="E88" s="223"/>
      <c r="F88" s="223"/>
      <c r="G88" s="223"/>
      <c r="H88" s="223"/>
      <c r="I88" s="223"/>
      <c r="J88" s="223"/>
      <c r="K88" s="223"/>
      <c r="L88" s="223"/>
      <c r="M88" s="223"/>
      <c r="N88" s="223"/>
      <c r="O88" s="223"/>
      <c r="P88" s="223"/>
      <c r="Q88" s="223"/>
      <c r="R88" s="223"/>
      <c r="S88" s="223"/>
      <c r="T88" s="223"/>
      <c r="U88" s="223"/>
      <c r="V88" s="223"/>
      <c r="W88" s="223"/>
      <c r="X88" s="223"/>
      <c r="Y88" s="223"/>
      <c r="Z88" s="223"/>
      <c r="AA88" s="223"/>
      <c r="AB88" s="223"/>
      <c r="AC88" s="223"/>
      <c r="AD88" s="223"/>
      <c r="AE88" s="223"/>
      <c r="AF88" s="223"/>
      <c r="AG88" s="223"/>
      <c r="AH88" s="223"/>
      <c r="AI88" s="223"/>
      <c r="AJ88" s="223"/>
      <c r="AK88" s="223"/>
      <c r="AL88" s="223"/>
      <c r="AM88" s="225"/>
    </row>
    <row r="89" spans="1:39" ht="20.100000000000001" customHeight="1">
      <c r="A89" s="227">
        <v>41</v>
      </c>
      <c r="B89" s="225"/>
      <c r="C89" s="227"/>
      <c r="D89" s="228" cm="1">
        <f t="array" ref="D89">IFERROR(
(SUMPRODUCT(E89:AL89*$E$6:$AL$6)/100) + (SUMPRODUCT(E89:AL89*$E$6:$AL$6*$E$3:$AL$3)/100),
0
)</f>
        <v>0</v>
      </c>
      <c r="E89" s="227"/>
      <c r="F89" s="227"/>
      <c r="G89" s="227"/>
      <c r="H89" s="227"/>
      <c r="I89" s="227"/>
      <c r="J89" s="227"/>
      <c r="K89" s="227"/>
      <c r="L89" s="227"/>
      <c r="M89" s="227"/>
      <c r="N89" s="227"/>
      <c r="O89" s="227"/>
      <c r="P89" s="227"/>
      <c r="Q89" s="227"/>
      <c r="R89" s="22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5"/>
      <c r="AM89" s="227">
        <v>41</v>
      </c>
    </row>
    <row r="90" spans="1:39" ht="20.100000000000001" customHeight="1">
      <c r="A90" s="227"/>
      <c r="B90" s="225"/>
      <c r="C90" s="227"/>
      <c r="D90" s="224"/>
      <c r="E90" s="223"/>
      <c r="F90" s="223"/>
      <c r="G90" s="223"/>
      <c r="H90" s="223"/>
      <c r="I90" s="223"/>
      <c r="J90" s="223"/>
      <c r="K90" s="223"/>
      <c r="L90" s="223"/>
      <c r="M90" s="223"/>
      <c r="N90" s="223"/>
      <c r="O90" s="223"/>
      <c r="P90" s="223"/>
      <c r="Q90" s="223"/>
      <c r="R90" s="223"/>
      <c r="S90" s="223"/>
      <c r="T90" s="223"/>
      <c r="U90" s="223"/>
      <c r="V90" s="223"/>
      <c r="W90" s="223"/>
      <c r="X90" s="223"/>
      <c r="Y90" s="223"/>
      <c r="Z90" s="223"/>
      <c r="AA90" s="223"/>
      <c r="AB90" s="223"/>
      <c r="AC90" s="223"/>
      <c r="AD90" s="223"/>
      <c r="AE90" s="223"/>
      <c r="AF90" s="223"/>
      <c r="AG90" s="223"/>
      <c r="AH90" s="223"/>
      <c r="AI90" s="223"/>
      <c r="AJ90" s="223"/>
      <c r="AK90" s="223"/>
      <c r="AL90" s="223"/>
      <c r="AM90" s="225"/>
    </row>
    <row r="91" spans="1:39" ht="20.100000000000001" customHeight="1">
      <c r="A91" s="227">
        <v>42</v>
      </c>
      <c r="B91" s="225"/>
      <c r="C91" s="227"/>
      <c r="D91" s="228" cm="1">
        <f t="array" ref="D91">IFERROR(
(SUMPRODUCT(E91:AL91*$E$6:$AL$6)/100) + (SUMPRODUCT(E91:AL91*$E$6:$AL$6*$E$3:$AL$3)/100),
0
)</f>
        <v>0</v>
      </c>
      <c r="E91" s="227"/>
      <c r="F91" s="227"/>
      <c r="G91" s="227"/>
      <c r="H91" s="227"/>
      <c r="I91" s="227"/>
      <c r="J91" s="227"/>
      <c r="K91" s="227"/>
      <c r="L91" s="227"/>
      <c r="M91" s="227"/>
      <c r="N91" s="227"/>
      <c r="O91" s="227"/>
      <c r="P91" s="227"/>
      <c r="Q91" s="227"/>
      <c r="R91" s="227"/>
      <c r="S91" s="227"/>
      <c r="T91" s="227"/>
      <c r="U91" s="227"/>
      <c r="V91" s="227"/>
      <c r="W91" s="227"/>
      <c r="X91" s="227"/>
      <c r="Y91" s="227"/>
      <c r="Z91" s="227"/>
      <c r="AA91" s="227"/>
      <c r="AB91" s="227"/>
      <c r="AC91" s="227"/>
      <c r="AD91" s="227"/>
      <c r="AE91" s="227"/>
      <c r="AF91" s="227"/>
      <c r="AG91" s="227"/>
      <c r="AH91" s="227"/>
      <c r="AI91" s="227"/>
      <c r="AJ91" s="227"/>
      <c r="AK91" s="227"/>
      <c r="AL91" s="225"/>
      <c r="AM91" s="227">
        <v>42</v>
      </c>
    </row>
    <row r="92" spans="1:39" ht="20.100000000000001" customHeight="1">
      <c r="A92" s="223"/>
      <c r="B92" s="225"/>
      <c r="C92" s="227"/>
      <c r="D92" s="224"/>
      <c r="E92" s="223"/>
      <c r="F92" s="223"/>
      <c r="G92" s="223"/>
      <c r="H92" s="223"/>
      <c r="I92" s="223"/>
      <c r="J92" s="223"/>
      <c r="K92" s="223"/>
      <c r="L92" s="223"/>
      <c r="M92" s="223"/>
      <c r="N92" s="223"/>
      <c r="O92" s="223"/>
      <c r="P92" s="223"/>
      <c r="Q92" s="223"/>
      <c r="R92" s="223"/>
      <c r="S92" s="223"/>
      <c r="T92" s="223"/>
      <c r="U92" s="223"/>
      <c r="V92" s="223"/>
      <c r="W92" s="223"/>
      <c r="X92" s="223"/>
      <c r="Y92" s="223"/>
      <c r="Z92" s="223"/>
      <c r="AA92" s="223"/>
      <c r="AB92" s="223"/>
      <c r="AC92" s="223"/>
      <c r="AD92" s="223"/>
      <c r="AE92" s="223"/>
      <c r="AF92" s="223"/>
      <c r="AG92" s="223"/>
      <c r="AH92" s="223"/>
      <c r="AI92" s="223"/>
      <c r="AJ92" s="223"/>
      <c r="AK92" s="223"/>
      <c r="AL92" s="223"/>
      <c r="AM92" s="225"/>
    </row>
    <row r="93" spans="1:39" ht="20.100000000000001" customHeight="1">
      <c r="A93" s="227">
        <v>43</v>
      </c>
      <c r="B93" s="225"/>
      <c r="C93" s="227"/>
      <c r="D93" s="228" cm="1">
        <f t="array" ref="D93">IFERROR(
(SUMPRODUCT(E93:AL93*$E$6:$AL$6)/100) + (SUMPRODUCT(E93:AL93*$E$6:$AL$6*$E$3:$AL$3)/100),
0
)</f>
        <v>0</v>
      </c>
      <c r="E93" s="227"/>
      <c r="F93" s="227"/>
      <c r="G93" s="227"/>
      <c r="H93" s="227"/>
      <c r="I93" s="227"/>
      <c r="J93" s="227"/>
      <c r="K93" s="227"/>
      <c r="L93" s="227"/>
      <c r="M93" s="227"/>
      <c r="N93" s="227"/>
      <c r="O93" s="227"/>
      <c r="P93" s="227"/>
      <c r="Q93" s="227"/>
      <c r="R93" s="227"/>
      <c r="S93" s="227"/>
      <c r="T93" s="227"/>
      <c r="U93" s="227"/>
      <c r="V93" s="227"/>
      <c r="W93" s="227"/>
      <c r="X93" s="227"/>
      <c r="Y93" s="227"/>
      <c r="Z93" s="227"/>
      <c r="AA93" s="227"/>
      <c r="AB93" s="227"/>
      <c r="AC93" s="227"/>
      <c r="AD93" s="227"/>
      <c r="AE93" s="227"/>
      <c r="AF93" s="227"/>
      <c r="AG93" s="227"/>
      <c r="AH93" s="227"/>
      <c r="AI93" s="227"/>
      <c r="AJ93" s="227"/>
      <c r="AK93" s="227"/>
      <c r="AL93" s="225"/>
      <c r="AM93" s="227">
        <v>43</v>
      </c>
    </row>
    <row r="94" spans="1:39" ht="20.100000000000001" customHeight="1">
      <c r="A94" s="227"/>
      <c r="B94" s="225"/>
      <c r="C94" s="227"/>
      <c r="D94" s="224"/>
      <c r="E94" s="223"/>
      <c r="F94" s="223"/>
      <c r="G94" s="223"/>
      <c r="H94" s="223"/>
      <c r="I94" s="223"/>
      <c r="J94" s="223"/>
      <c r="K94" s="223"/>
      <c r="L94" s="223"/>
      <c r="M94" s="223"/>
      <c r="N94" s="223"/>
      <c r="O94" s="223"/>
      <c r="P94" s="223"/>
      <c r="Q94" s="223"/>
      <c r="R94" s="223"/>
      <c r="S94" s="223"/>
      <c r="T94" s="223"/>
      <c r="U94" s="223"/>
      <c r="V94" s="223"/>
      <c r="W94" s="223"/>
      <c r="X94" s="223"/>
      <c r="Y94" s="223"/>
      <c r="Z94" s="223"/>
      <c r="AA94" s="223"/>
      <c r="AB94" s="223"/>
      <c r="AC94" s="223"/>
      <c r="AD94" s="223"/>
      <c r="AE94" s="223"/>
      <c r="AF94" s="223"/>
      <c r="AG94" s="223"/>
      <c r="AH94" s="223"/>
      <c r="AI94" s="223"/>
      <c r="AJ94" s="223"/>
      <c r="AK94" s="223"/>
      <c r="AL94" s="223"/>
      <c r="AM94" s="225"/>
    </row>
    <row r="95" spans="1:39" ht="20.100000000000001" customHeight="1">
      <c r="A95" s="227">
        <v>44</v>
      </c>
      <c r="B95" s="225"/>
      <c r="C95" s="227"/>
      <c r="D95" s="228" cm="1">
        <f t="array" ref="D95">IFERROR(
(SUMPRODUCT(E95:AL95*$E$6:$AL$6)/100) + (SUMPRODUCT(E95:AL95*$E$6:$AL$6*$E$3:$AL$3)/100),
0
)</f>
        <v>0</v>
      </c>
      <c r="E95" s="227"/>
      <c r="F95" s="227"/>
      <c r="G95" s="227"/>
      <c r="H95" s="227"/>
      <c r="I95" s="227"/>
      <c r="J95" s="227"/>
      <c r="K95" s="227"/>
      <c r="L95" s="227"/>
      <c r="M95" s="227"/>
      <c r="N95" s="227"/>
      <c r="O95" s="227"/>
      <c r="P95" s="227"/>
      <c r="Q95" s="227"/>
      <c r="R95" s="227"/>
      <c r="S95" s="227"/>
      <c r="T95" s="227"/>
      <c r="U95" s="227"/>
      <c r="V95" s="227"/>
      <c r="W95" s="227"/>
      <c r="X95" s="227"/>
      <c r="Y95" s="227"/>
      <c r="Z95" s="227"/>
      <c r="AA95" s="227"/>
      <c r="AB95" s="227"/>
      <c r="AC95" s="227"/>
      <c r="AD95" s="227"/>
      <c r="AE95" s="227"/>
      <c r="AF95" s="227"/>
      <c r="AG95" s="227"/>
      <c r="AH95" s="227"/>
      <c r="AI95" s="227"/>
      <c r="AJ95" s="227"/>
      <c r="AK95" s="227"/>
      <c r="AL95" s="225"/>
      <c r="AM95" s="227">
        <v>44</v>
      </c>
    </row>
    <row r="96" spans="1:39" ht="20.100000000000001" customHeight="1">
      <c r="A96" s="223"/>
      <c r="B96" s="225"/>
      <c r="C96" s="227"/>
      <c r="D96" s="224"/>
      <c r="E96" s="223"/>
      <c r="F96" s="223"/>
      <c r="G96" s="223"/>
      <c r="H96" s="223"/>
      <c r="I96" s="223"/>
      <c r="J96" s="223"/>
      <c r="K96" s="223"/>
      <c r="L96" s="223"/>
      <c r="M96" s="223"/>
      <c r="N96" s="223"/>
      <c r="O96" s="223"/>
      <c r="P96" s="223"/>
      <c r="Q96" s="223"/>
      <c r="R96" s="223"/>
      <c r="S96" s="223"/>
      <c r="T96" s="223"/>
      <c r="U96" s="223"/>
      <c r="V96" s="223"/>
      <c r="W96" s="223"/>
      <c r="X96" s="223"/>
      <c r="Y96" s="223"/>
      <c r="Z96" s="223"/>
      <c r="AA96" s="223"/>
      <c r="AB96" s="223"/>
      <c r="AC96" s="223"/>
      <c r="AD96" s="223"/>
      <c r="AE96" s="223"/>
      <c r="AF96" s="223"/>
      <c r="AG96" s="223"/>
      <c r="AH96" s="223"/>
      <c r="AI96" s="223"/>
      <c r="AJ96" s="223"/>
      <c r="AK96" s="223"/>
      <c r="AL96" s="223"/>
      <c r="AM96" s="225"/>
    </row>
    <row r="97" spans="1:39" ht="20.100000000000001" customHeight="1">
      <c r="A97" s="227">
        <v>45</v>
      </c>
      <c r="B97" s="225"/>
      <c r="C97" s="227"/>
      <c r="D97" s="228" cm="1">
        <f t="array" ref="D97">IFERROR(
(SUMPRODUCT(E97:AL97*$E$6:$AL$6)/100) + (SUMPRODUCT(E97:AL97*$E$6:$AL$6*$E$3:$AL$3)/100),
0
)</f>
        <v>0</v>
      </c>
      <c r="E97" s="227"/>
      <c r="F97" s="227"/>
      <c r="G97" s="227"/>
      <c r="H97" s="227"/>
      <c r="I97" s="227"/>
      <c r="J97" s="227"/>
      <c r="K97" s="227"/>
      <c r="L97" s="227"/>
      <c r="M97" s="227"/>
      <c r="N97" s="227"/>
      <c r="O97" s="227"/>
      <c r="P97" s="227"/>
      <c r="Q97" s="227"/>
      <c r="R97" s="227"/>
      <c r="S97" s="227"/>
      <c r="T97" s="227"/>
      <c r="U97" s="227"/>
      <c r="V97" s="227"/>
      <c r="W97" s="227"/>
      <c r="X97" s="227"/>
      <c r="Y97" s="227"/>
      <c r="Z97" s="227"/>
      <c r="AA97" s="227"/>
      <c r="AB97" s="227"/>
      <c r="AC97" s="227"/>
      <c r="AD97" s="227"/>
      <c r="AE97" s="227"/>
      <c r="AF97" s="227"/>
      <c r="AG97" s="227"/>
      <c r="AH97" s="227"/>
      <c r="AI97" s="227"/>
      <c r="AJ97" s="227"/>
      <c r="AK97" s="227"/>
      <c r="AL97" s="225"/>
      <c r="AM97" s="227">
        <v>45</v>
      </c>
    </row>
    <row r="98" spans="1:39" ht="20.100000000000001" customHeight="1">
      <c r="A98" s="227"/>
      <c r="B98" s="225"/>
      <c r="C98" s="227"/>
      <c r="D98" s="224"/>
      <c r="E98" s="223"/>
      <c r="F98" s="223"/>
      <c r="G98" s="223"/>
      <c r="H98" s="223"/>
      <c r="I98" s="223"/>
      <c r="J98" s="223"/>
      <c r="K98" s="223"/>
      <c r="L98" s="223"/>
      <c r="M98" s="223"/>
      <c r="N98" s="223"/>
      <c r="O98" s="223"/>
      <c r="P98" s="223"/>
      <c r="Q98" s="223"/>
      <c r="R98" s="223"/>
      <c r="S98" s="223"/>
      <c r="T98" s="223"/>
      <c r="U98" s="223"/>
      <c r="V98" s="223"/>
      <c r="W98" s="223"/>
      <c r="X98" s="223"/>
      <c r="Y98" s="223"/>
      <c r="Z98" s="223"/>
      <c r="AA98" s="223"/>
      <c r="AB98" s="223"/>
      <c r="AC98" s="223"/>
      <c r="AD98" s="223"/>
      <c r="AE98" s="223"/>
      <c r="AF98" s="223"/>
      <c r="AG98" s="223"/>
      <c r="AH98" s="223"/>
      <c r="AI98" s="223"/>
      <c r="AJ98" s="223"/>
      <c r="AK98" s="223"/>
      <c r="AL98" s="223"/>
      <c r="AM98" s="225"/>
    </row>
    <row r="99" spans="1:39" ht="20.100000000000001" customHeight="1">
      <c r="A99" s="227">
        <v>46</v>
      </c>
      <c r="B99" s="225"/>
      <c r="C99" s="227"/>
      <c r="D99" s="228" cm="1">
        <f t="array" ref="D99">IFERROR(
(SUMPRODUCT(E99:AL99*$E$6:$AL$6)/100) + (SUMPRODUCT(E99:AL99*$E$6:$AL$6*$E$3:$AL$3)/100),
0
)</f>
        <v>0</v>
      </c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  <c r="U99" s="227"/>
      <c r="V99" s="227"/>
      <c r="W99" s="227"/>
      <c r="X99" s="227"/>
      <c r="Y99" s="227"/>
      <c r="Z99" s="227"/>
      <c r="AA99" s="227"/>
      <c r="AB99" s="227"/>
      <c r="AC99" s="227"/>
      <c r="AD99" s="227"/>
      <c r="AE99" s="227"/>
      <c r="AF99" s="227"/>
      <c r="AG99" s="227"/>
      <c r="AH99" s="227"/>
      <c r="AI99" s="227"/>
      <c r="AJ99" s="227"/>
      <c r="AK99" s="227"/>
      <c r="AL99" s="225"/>
      <c r="AM99" s="227">
        <v>46</v>
      </c>
    </row>
    <row r="100" spans="1:39" ht="20.100000000000001" customHeight="1">
      <c r="A100" s="223"/>
      <c r="B100" s="225"/>
      <c r="C100" s="227"/>
      <c r="D100" s="224"/>
      <c r="E100" s="223"/>
      <c r="F100" s="223"/>
      <c r="G100" s="223"/>
      <c r="H100" s="223"/>
      <c r="I100" s="223"/>
      <c r="J100" s="223"/>
      <c r="K100" s="223"/>
      <c r="L100" s="223"/>
      <c r="M100" s="223"/>
      <c r="N100" s="223"/>
      <c r="O100" s="223"/>
      <c r="P100" s="223"/>
      <c r="Q100" s="223"/>
      <c r="R100" s="223"/>
      <c r="S100" s="223"/>
      <c r="T100" s="223"/>
      <c r="U100" s="223"/>
      <c r="V100" s="223"/>
      <c r="W100" s="223"/>
      <c r="X100" s="223"/>
      <c r="Y100" s="223"/>
      <c r="Z100" s="223"/>
      <c r="AA100" s="223"/>
      <c r="AB100" s="223"/>
      <c r="AC100" s="223"/>
      <c r="AD100" s="223"/>
      <c r="AE100" s="223"/>
      <c r="AF100" s="223"/>
      <c r="AG100" s="223"/>
      <c r="AH100" s="223"/>
      <c r="AI100" s="223"/>
      <c r="AJ100" s="223"/>
      <c r="AK100" s="223"/>
      <c r="AL100" s="223"/>
      <c r="AM100" s="225"/>
    </row>
    <row r="101" spans="1:39" ht="20.100000000000001" customHeight="1">
      <c r="A101" s="227">
        <v>47</v>
      </c>
      <c r="B101" s="225"/>
      <c r="C101" s="227"/>
      <c r="D101" s="228" cm="1">
        <f t="array" ref="D101">IFERROR(
(SUMPRODUCT(E101:AL101*$E$6:$AL$6)/100) + (SUMPRODUCT(E101:AL101*$E$6:$AL$6*$E$3:$AL$3)/100),
0
)</f>
        <v>0</v>
      </c>
      <c r="E101" s="227"/>
      <c r="F101" s="227"/>
      <c r="G101" s="227"/>
      <c r="H101" s="227"/>
      <c r="I101" s="227"/>
      <c r="J101" s="227"/>
      <c r="K101" s="227"/>
      <c r="L101" s="227"/>
      <c r="M101" s="227"/>
      <c r="N101" s="227"/>
      <c r="O101" s="227"/>
      <c r="P101" s="227"/>
      <c r="Q101" s="227"/>
      <c r="R101" s="227"/>
      <c r="S101" s="227"/>
      <c r="T101" s="227"/>
      <c r="U101" s="227"/>
      <c r="V101" s="227"/>
      <c r="W101" s="227"/>
      <c r="X101" s="227"/>
      <c r="Y101" s="227"/>
      <c r="Z101" s="227"/>
      <c r="AA101" s="227"/>
      <c r="AB101" s="227"/>
      <c r="AC101" s="227"/>
      <c r="AD101" s="227"/>
      <c r="AE101" s="227"/>
      <c r="AF101" s="227"/>
      <c r="AG101" s="227"/>
      <c r="AH101" s="227"/>
      <c r="AI101" s="227"/>
      <c r="AJ101" s="227"/>
      <c r="AK101" s="227"/>
      <c r="AL101" s="225"/>
      <c r="AM101" s="227">
        <v>47</v>
      </c>
    </row>
    <row r="102" spans="1:39" ht="20.100000000000001" customHeight="1">
      <c r="A102" s="227"/>
      <c r="B102" s="225"/>
      <c r="C102" s="227"/>
      <c r="D102" s="224"/>
      <c r="E102" s="223"/>
      <c r="F102" s="223"/>
      <c r="G102" s="223"/>
      <c r="H102" s="223"/>
      <c r="I102" s="223"/>
      <c r="J102" s="223"/>
      <c r="K102" s="223"/>
      <c r="L102" s="223"/>
      <c r="M102" s="223"/>
      <c r="N102" s="223"/>
      <c r="O102" s="223"/>
      <c r="P102" s="223"/>
      <c r="Q102" s="223"/>
      <c r="R102" s="223"/>
      <c r="S102" s="223"/>
      <c r="T102" s="223"/>
      <c r="U102" s="223"/>
      <c r="V102" s="223"/>
      <c r="W102" s="223"/>
      <c r="X102" s="223"/>
      <c r="Y102" s="223"/>
      <c r="Z102" s="223"/>
      <c r="AA102" s="223"/>
      <c r="AB102" s="223"/>
      <c r="AC102" s="223"/>
      <c r="AD102" s="223"/>
      <c r="AE102" s="223"/>
      <c r="AF102" s="223"/>
      <c r="AG102" s="223"/>
      <c r="AH102" s="223"/>
      <c r="AI102" s="223"/>
      <c r="AJ102" s="223"/>
      <c r="AK102" s="223"/>
      <c r="AL102" s="223"/>
      <c r="AM102" s="225"/>
    </row>
    <row r="103" spans="1:39" ht="20.100000000000001" customHeight="1">
      <c r="A103" s="227">
        <v>48</v>
      </c>
      <c r="B103" s="225"/>
      <c r="C103" s="227"/>
      <c r="D103" s="228" cm="1">
        <f t="array" ref="D103">IFERROR(
(SUMPRODUCT(E103:AL103*$E$6:$AL$6)/100) + (SUMPRODUCT(E103:AL103*$E$6:$AL$6*$E$3:$AL$3)/100),
0
)</f>
        <v>0</v>
      </c>
      <c r="E103" s="227"/>
      <c r="F103" s="227"/>
      <c r="G103" s="227"/>
      <c r="H103" s="227"/>
      <c r="I103" s="227"/>
      <c r="J103" s="227"/>
      <c r="K103" s="227"/>
      <c r="L103" s="227"/>
      <c r="M103" s="227"/>
      <c r="N103" s="227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  <c r="AF103" s="227"/>
      <c r="AG103" s="227"/>
      <c r="AH103" s="227"/>
      <c r="AI103" s="227"/>
      <c r="AJ103" s="227"/>
      <c r="AK103" s="227"/>
      <c r="AL103" s="225"/>
      <c r="AM103" s="227">
        <v>48</v>
      </c>
    </row>
    <row r="104" spans="1:39" ht="20.100000000000001" customHeight="1">
      <c r="A104" s="223"/>
      <c r="B104" s="225"/>
      <c r="C104" s="227"/>
      <c r="D104" s="224"/>
      <c r="E104" s="223"/>
      <c r="F104" s="223"/>
      <c r="G104" s="223"/>
      <c r="H104" s="223"/>
      <c r="I104" s="223"/>
      <c r="J104" s="223"/>
      <c r="K104" s="223"/>
      <c r="L104" s="223"/>
      <c r="M104" s="223"/>
      <c r="N104" s="223"/>
      <c r="O104" s="223"/>
      <c r="P104" s="223"/>
      <c r="Q104" s="223"/>
      <c r="R104" s="223"/>
      <c r="S104" s="223"/>
      <c r="T104" s="223"/>
      <c r="U104" s="223"/>
      <c r="V104" s="223"/>
      <c r="W104" s="223"/>
      <c r="X104" s="223"/>
      <c r="Y104" s="223"/>
      <c r="Z104" s="223"/>
      <c r="AA104" s="223"/>
      <c r="AB104" s="223"/>
      <c r="AC104" s="223"/>
      <c r="AD104" s="223"/>
      <c r="AE104" s="223"/>
      <c r="AF104" s="223"/>
      <c r="AG104" s="223"/>
      <c r="AH104" s="223"/>
      <c r="AI104" s="223"/>
      <c r="AJ104" s="223"/>
      <c r="AK104" s="223"/>
      <c r="AL104" s="223"/>
      <c r="AM104" s="225"/>
    </row>
    <row r="105" spans="1:39" ht="20.100000000000001" customHeight="1">
      <c r="A105" s="227">
        <v>49</v>
      </c>
      <c r="B105" s="225"/>
      <c r="C105" s="227"/>
      <c r="D105" s="228" cm="1">
        <f t="array" ref="D105">IFERROR(
(SUMPRODUCT(E105:AL105*$E$6:$AL$6)/100) + (SUMPRODUCT(E105:AL105*$E$6:$AL$6*$E$3:$AL$3)/100),
0
)</f>
        <v>0</v>
      </c>
      <c r="E105" s="227"/>
      <c r="F105" s="227"/>
      <c r="G105" s="227"/>
      <c r="H105" s="227"/>
      <c r="I105" s="227"/>
      <c r="J105" s="227"/>
      <c r="K105" s="227"/>
      <c r="L105" s="227"/>
      <c r="M105" s="227"/>
      <c r="N105" s="227"/>
      <c r="O105" s="227"/>
      <c r="P105" s="227"/>
      <c r="Q105" s="227"/>
      <c r="R105" s="227"/>
      <c r="S105" s="227"/>
      <c r="T105" s="227"/>
      <c r="U105" s="227"/>
      <c r="V105" s="227"/>
      <c r="W105" s="227"/>
      <c r="X105" s="227"/>
      <c r="Y105" s="227"/>
      <c r="Z105" s="227"/>
      <c r="AA105" s="227"/>
      <c r="AB105" s="227"/>
      <c r="AC105" s="227"/>
      <c r="AD105" s="227"/>
      <c r="AE105" s="227"/>
      <c r="AF105" s="227"/>
      <c r="AG105" s="227"/>
      <c r="AH105" s="227"/>
      <c r="AI105" s="227"/>
      <c r="AJ105" s="227"/>
      <c r="AK105" s="227"/>
      <c r="AL105" s="225"/>
      <c r="AM105" s="227">
        <v>49</v>
      </c>
    </row>
    <row r="106" spans="1:39" ht="20.100000000000001" customHeight="1">
      <c r="A106" s="227"/>
      <c r="B106" s="225"/>
      <c r="C106" s="227"/>
      <c r="D106" s="224"/>
      <c r="E106" s="223"/>
      <c r="F106" s="223"/>
      <c r="G106" s="223"/>
      <c r="H106" s="223"/>
      <c r="I106" s="223"/>
      <c r="J106" s="223"/>
      <c r="K106" s="223"/>
      <c r="L106" s="223"/>
      <c r="M106" s="223"/>
      <c r="N106" s="223"/>
      <c r="O106" s="223"/>
      <c r="P106" s="223"/>
      <c r="Q106" s="223"/>
      <c r="R106" s="223"/>
      <c r="S106" s="223"/>
      <c r="T106" s="223"/>
      <c r="U106" s="223"/>
      <c r="V106" s="223"/>
      <c r="W106" s="223"/>
      <c r="X106" s="223"/>
      <c r="Y106" s="223"/>
      <c r="Z106" s="223"/>
      <c r="AA106" s="223"/>
      <c r="AB106" s="223"/>
      <c r="AC106" s="223"/>
      <c r="AD106" s="223"/>
      <c r="AE106" s="223"/>
      <c r="AF106" s="223"/>
      <c r="AG106" s="223"/>
      <c r="AH106" s="223"/>
      <c r="AI106" s="223"/>
      <c r="AJ106" s="223"/>
      <c r="AK106" s="223"/>
      <c r="AL106" s="223"/>
      <c r="AM106" s="225"/>
    </row>
    <row r="107" spans="1:39" ht="20.100000000000001" customHeight="1">
      <c r="A107" s="227">
        <v>50</v>
      </c>
      <c r="B107" s="225"/>
      <c r="C107" s="227"/>
      <c r="D107" s="228" cm="1">
        <f t="array" ref="D107">IFERROR(
(SUMPRODUCT(E107:AL107*$E$6:$AL$6)/100) + (SUMPRODUCT(E107:AL107*$E$6:$AL$6*$E$3:$AL$3)/100),
0
)</f>
        <v>0</v>
      </c>
      <c r="E107" s="227"/>
      <c r="F107" s="227"/>
      <c r="G107" s="227"/>
      <c r="H107" s="227"/>
      <c r="I107" s="227"/>
      <c r="J107" s="227"/>
      <c r="K107" s="227"/>
      <c r="L107" s="227"/>
      <c r="M107" s="227"/>
      <c r="N107" s="227"/>
      <c r="O107" s="227"/>
      <c r="P107" s="227"/>
      <c r="Q107" s="227"/>
      <c r="R107" s="227"/>
      <c r="S107" s="227"/>
      <c r="T107" s="227"/>
      <c r="U107" s="227"/>
      <c r="V107" s="227"/>
      <c r="W107" s="227"/>
      <c r="X107" s="227"/>
      <c r="Y107" s="227"/>
      <c r="Z107" s="227"/>
      <c r="AA107" s="227"/>
      <c r="AB107" s="227"/>
      <c r="AC107" s="227"/>
      <c r="AD107" s="227"/>
      <c r="AE107" s="227"/>
      <c r="AF107" s="227"/>
      <c r="AG107" s="227"/>
      <c r="AH107" s="227"/>
      <c r="AI107" s="227"/>
      <c r="AJ107" s="227"/>
      <c r="AK107" s="227"/>
      <c r="AL107" s="225"/>
      <c r="AM107" s="227">
        <v>50</v>
      </c>
    </row>
    <row r="108" spans="1:39" ht="20.100000000000001" customHeight="1">
      <c r="A108" s="223"/>
      <c r="B108" s="225"/>
      <c r="C108" s="227"/>
      <c r="D108" s="224"/>
      <c r="E108" s="223"/>
      <c r="F108" s="223"/>
      <c r="G108" s="223"/>
      <c r="H108" s="223"/>
      <c r="I108" s="223"/>
      <c r="J108" s="223"/>
      <c r="K108" s="223"/>
      <c r="L108" s="223"/>
      <c r="M108" s="223"/>
      <c r="N108" s="223"/>
      <c r="O108" s="223"/>
      <c r="P108" s="223"/>
      <c r="Q108" s="223"/>
      <c r="R108" s="223"/>
      <c r="S108" s="223"/>
      <c r="T108" s="223"/>
      <c r="U108" s="223"/>
      <c r="V108" s="223"/>
      <c r="W108" s="223"/>
      <c r="X108" s="223"/>
      <c r="Y108" s="223"/>
      <c r="Z108" s="223"/>
      <c r="AA108" s="223"/>
      <c r="AB108" s="223"/>
      <c r="AC108" s="223"/>
      <c r="AD108" s="223"/>
      <c r="AE108" s="223"/>
      <c r="AF108" s="223"/>
      <c r="AG108" s="223"/>
      <c r="AH108" s="223"/>
      <c r="AI108" s="223"/>
      <c r="AJ108" s="223"/>
      <c r="AK108" s="223"/>
      <c r="AL108" s="223"/>
      <c r="AM108" s="225"/>
    </row>
    <row r="109" spans="1:39" ht="20.100000000000001" customHeight="1">
      <c r="A109" s="227">
        <v>51</v>
      </c>
      <c r="B109" s="225"/>
      <c r="C109" s="227"/>
      <c r="D109" s="228" cm="1">
        <f t="array" ref="D109">IFERROR(
(SUMPRODUCT(E109:AL109*$E$6:$AL$6)/100) + (SUMPRODUCT(E109:AL109*$E$6:$AL$6*$E$3:$AL$3)/100),
0
)</f>
        <v>0</v>
      </c>
      <c r="E109" s="227"/>
      <c r="F109" s="227"/>
      <c r="G109" s="227"/>
      <c r="H109" s="227"/>
      <c r="I109" s="227"/>
      <c r="J109" s="227"/>
      <c r="K109" s="227"/>
      <c r="L109" s="227"/>
      <c r="M109" s="227"/>
      <c r="N109" s="227"/>
      <c r="O109" s="227"/>
      <c r="P109" s="227"/>
      <c r="Q109" s="227"/>
      <c r="R109" s="227"/>
      <c r="S109" s="227"/>
      <c r="T109" s="227"/>
      <c r="U109" s="227"/>
      <c r="V109" s="227"/>
      <c r="W109" s="227"/>
      <c r="X109" s="227"/>
      <c r="Y109" s="227"/>
      <c r="Z109" s="227"/>
      <c r="AA109" s="227"/>
      <c r="AB109" s="227"/>
      <c r="AC109" s="227"/>
      <c r="AD109" s="227"/>
      <c r="AE109" s="227"/>
      <c r="AF109" s="227"/>
      <c r="AG109" s="227"/>
      <c r="AH109" s="227"/>
      <c r="AI109" s="227"/>
      <c r="AJ109" s="227"/>
      <c r="AK109" s="227"/>
      <c r="AL109" s="225"/>
      <c r="AM109" s="227">
        <v>51</v>
      </c>
    </row>
    <row r="110" spans="1:39" ht="20.100000000000001" customHeight="1">
      <c r="A110" s="227"/>
      <c r="B110" s="225"/>
      <c r="C110" s="227"/>
      <c r="D110" s="224"/>
      <c r="E110" s="223"/>
      <c r="F110" s="223"/>
      <c r="G110" s="223"/>
      <c r="H110" s="223"/>
      <c r="I110" s="223"/>
      <c r="J110" s="223"/>
      <c r="K110" s="223"/>
      <c r="L110" s="223"/>
      <c r="M110" s="223"/>
      <c r="N110" s="223"/>
      <c r="O110" s="223"/>
      <c r="P110" s="223"/>
      <c r="Q110" s="223"/>
      <c r="R110" s="223"/>
      <c r="S110" s="223"/>
      <c r="T110" s="223"/>
      <c r="U110" s="223"/>
      <c r="V110" s="223"/>
      <c r="W110" s="223"/>
      <c r="X110" s="223"/>
      <c r="Y110" s="223"/>
      <c r="Z110" s="223"/>
      <c r="AA110" s="223"/>
      <c r="AB110" s="223"/>
      <c r="AC110" s="223"/>
      <c r="AD110" s="223"/>
      <c r="AE110" s="223"/>
      <c r="AF110" s="223"/>
      <c r="AG110" s="223"/>
      <c r="AH110" s="223"/>
      <c r="AI110" s="223"/>
      <c r="AJ110" s="223"/>
      <c r="AK110" s="223"/>
      <c r="AL110" s="223"/>
      <c r="AM110" s="225"/>
    </row>
    <row r="111" spans="1:39" ht="20.100000000000001" customHeight="1">
      <c r="A111" s="227">
        <v>52</v>
      </c>
      <c r="B111" s="225"/>
      <c r="C111" s="227"/>
      <c r="D111" s="228" cm="1">
        <f t="array" ref="D111">IFERROR(
(SUMPRODUCT(E111:AL111*$E$6:$AL$6)/100) + (SUMPRODUCT(E111:AL111*$E$6:$AL$6*$E$3:$AL$3)/100),
0
)</f>
        <v>0</v>
      </c>
      <c r="E111" s="227"/>
      <c r="F111" s="227"/>
      <c r="G111" s="227"/>
      <c r="H111" s="227"/>
      <c r="I111" s="227"/>
      <c r="J111" s="227"/>
      <c r="K111" s="227"/>
      <c r="L111" s="227"/>
      <c r="M111" s="227"/>
      <c r="N111" s="227"/>
      <c r="O111" s="227"/>
      <c r="P111" s="227"/>
      <c r="Q111" s="227"/>
      <c r="R111" s="227"/>
      <c r="S111" s="227"/>
      <c r="T111" s="227"/>
      <c r="U111" s="227"/>
      <c r="V111" s="227"/>
      <c r="W111" s="227"/>
      <c r="X111" s="227"/>
      <c r="Y111" s="227"/>
      <c r="Z111" s="227"/>
      <c r="AA111" s="227"/>
      <c r="AB111" s="227"/>
      <c r="AC111" s="227"/>
      <c r="AD111" s="227"/>
      <c r="AE111" s="227"/>
      <c r="AF111" s="227"/>
      <c r="AG111" s="227"/>
      <c r="AH111" s="227"/>
      <c r="AI111" s="227"/>
      <c r="AJ111" s="227"/>
      <c r="AK111" s="227"/>
      <c r="AL111" s="225"/>
      <c r="AM111" s="227">
        <v>52</v>
      </c>
    </row>
    <row r="112" spans="1:39" ht="20.100000000000001" customHeight="1">
      <c r="A112" s="223"/>
      <c r="B112" s="225"/>
      <c r="C112" s="227"/>
      <c r="D112" s="224"/>
      <c r="E112" s="223"/>
      <c r="F112" s="223"/>
      <c r="G112" s="223"/>
      <c r="H112" s="223"/>
      <c r="I112" s="223"/>
      <c r="J112" s="223"/>
      <c r="K112" s="223"/>
      <c r="L112" s="223"/>
      <c r="M112" s="223"/>
      <c r="N112" s="223"/>
      <c r="O112" s="223"/>
      <c r="P112" s="223"/>
      <c r="Q112" s="223"/>
      <c r="R112" s="223"/>
      <c r="S112" s="223"/>
      <c r="T112" s="223"/>
      <c r="U112" s="223"/>
      <c r="V112" s="223"/>
      <c r="W112" s="223"/>
      <c r="X112" s="223"/>
      <c r="Y112" s="223"/>
      <c r="Z112" s="223"/>
      <c r="AA112" s="223"/>
      <c r="AB112" s="223"/>
      <c r="AC112" s="223"/>
      <c r="AD112" s="223"/>
      <c r="AE112" s="223"/>
      <c r="AF112" s="223"/>
      <c r="AG112" s="223"/>
      <c r="AH112" s="223"/>
      <c r="AI112" s="223"/>
      <c r="AJ112" s="223"/>
      <c r="AK112" s="223"/>
      <c r="AL112" s="223"/>
      <c r="AM112" s="225"/>
    </row>
    <row r="113" spans="1:39" ht="20.100000000000001" customHeight="1">
      <c r="A113" s="227">
        <v>53</v>
      </c>
      <c r="B113" s="225"/>
      <c r="C113" s="227"/>
      <c r="D113" s="228" cm="1">
        <f t="array" ref="D113">IFERROR(
(SUMPRODUCT(E113:AL113*$E$6:$AL$6)/100) + (SUMPRODUCT(E113:AL113*$E$6:$AL$6*$E$3:$AL$3)/100),
0
)</f>
        <v>0</v>
      </c>
      <c r="E113" s="227"/>
      <c r="F113" s="227"/>
      <c r="G113" s="227"/>
      <c r="H113" s="227"/>
      <c r="I113" s="227"/>
      <c r="J113" s="227"/>
      <c r="K113" s="227"/>
      <c r="L113" s="227"/>
      <c r="M113" s="227"/>
      <c r="N113" s="227"/>
      <c r="O113" s="227"/>
      <c r="P113" s="227"/>
      <c r="Q113" s="227"/>
      <c r="R113" s="227"/>
      <c r="S113" s="227"/>
      <c r="T113" s="227"/>
      <c r="U113" s="227"/>
      <c r="V113" s="227"/>
      <c r="W113" s="227"/>
      <c r="X113" s="227"/>
      <c r="Y113" s="227"/>
      <c r="Z113" s="227"/>
      <c r="AA113" s="227"/>
      <c r="AB113" s="227"/>
      <c r="AC113" s="227"/>
      <c r="AD113" s="227"/>
      <c r="AE113" s="227"/>
      <c r="AF113" s="227"/>
      <c r="AG113" s="227"/>
      <c r="AH113" s="227"/>
      <c r="AI113" s="227"/>
      <c r="AJ113" s="227"/>
      <c r="AK113" s="227"/>
      <c r="AL113" s="225"/>
      <c r="AM113" s="227">
        <v>53</v>
      </c>
    </row>
    <row r="114" spans="1:39" ht="20.100000000000001" customHeight="1">
      <c r="A114" s="227"/>
      <c r="B114" s="225"/>
      <c r="C114" s="227"/>
      <c r="D114" s="224"/>
      <c r="E114" s="223"/>
      <c r="F114" s="223"/>
      <c r="G114" s="223"/>
      <c r="H114" s="223"/>
      <c r="I114" s="223"/>
      <c r="J114" s="223"/>
      <c r="K114" s="223"/>
      <c r="L114" s="223"/>
      <c r="M114" s="223"/>
      <c r="N114" s="223"/>
      <c r="O114" s="223"/>
      <c r="P114" s="223"/>
      <c r="Q114" s="223"/>
      <c r="R114" s="223"/>
      <c r="S114" s="223"/>
      <c r="T114" s="223"/>
      <c r="U114" s="223"/>
      <c r="V114" s="223"/>
      <c r="W114" s="223"/>
      <c r="X114" s="223"/>
      <c r="Y114" s="223"/>
      <c r="Z114" s="223"/>
      <c r="AA114" s="223"/>
      <c r="AB114" s="223"/>
      <c r="AC114" s="223"/>
      <c r="AD114" s="223"/>
      <c r="AE114" s="223"/>
      <c r="AF114" s="223"/>
      <c r="AG114" s="223"/>
      <c r="AH114" s="223"/>
      <c r="AI114" s="223"/>
      <c r="AJ114" s="223"/>
      <c r="AK114" s="223"/>
      <c r="AL114" s="223"/>
      <c r="AM114" s="225"/>
    </row>
    <row r="115" spans="1:39" ht="20.100000000000001" customHeight="1">
      <c r="A115" s="227">
        <v>54</v>
      </c>
      <c r="B115" s="225"/>
      <c r="C115" s="227"/>
      <c r="D115" s="228" cm="1">
        <f t="array" ref="D115">IFERROR(
(SUMPRODUCT(E115:AL115*$E$6:$AL$6)/100) + (SUMPRODUCT(E115:AL115*$E$6:$AL$6*$E$3:$AL$3)/100),
0
)</f>
        <v>0</v>
      </c>
      <c r="E115" s="227"/>
      <c r="F115" s="227"/>
      <c r="G115" s="227"/>
      <c r="H115" s="227"/>
      <c r="I115" s="227"/>
      <c r="J115" s="227"/>
      <c r="K115" s="227"/>
      <c r="L115" s="227"/>
      <c r="M115" s="227"/>
      <c r="N115" s="227"/>
      <c r="O115" s="227"/>
      <c r="P115" s="227"/>
      <c r="Q115" s="227"/>
      <c r="R115" s="227"/>
      <c r="S115" s="227"/>
      <c r="T115" s="227"/>
      <c r="U115" s="227"/>
      <c r="V115" s="227"/>
      <c r="W115" s="227"/>
      <c r="X115" s="227"/>
      <c r="Y115" s="227"/>
      <c r="Z115" s="227"/>
      <c r="AA115" s="227"/>
      <c r="AB115" s="227"/>
      <c r="AC115" s="227"/>
      <c r="AD115" s="227"/>
      <c r="AE115" s="227"/>
      <c r="AF115" s="227"/>
      <c r="AG115" s="227"/>
      <c r="AH115" s="227"/>
      <c r="AI115" s="227"/>
      <c r="AJ115" s="227"/>
      <c r="AK115" s="227"/>
      <c r="AL115" s="225"/>
      <c r="AM115" s="227">
        <v>54</v>
      </c>
    </row>
    <row r="116" spans="1:39" ht="20.100000000000001" customHeight="1">
      <c r="A116" s="223"/>
      <c r="B116" s="225"/>
      <c r="C116" s="227"/>
      <c r="D116" s="224"/>
      <c r="E116" s="223"/>
      <c r="F116" s="223"/>
      <c r="G116" s="223"/>
      <c r="H116" s="223"/>
      <c r="I116" s="223"/>
      <c r="J116" s="223"/>
      <c r="K116" s="223"/>
      <c r="L116" s="223"/>
      <c r="M116" s="223"/>
      <c r="N116" s="223"/>
      <c r="O116" s="223"/>
      <c r="P116" s="223"/>
      <c r="Q116" s="223"/>
      <c r="R116" s="223"/>
      <c r="S116" s="223"/>
      <c r="T116" s="223"/>
      <c r="U116" s="223"/>
      <c r="V116" s="223"/>
      <c r="W116" s="223"/>
      <c r="X116" s="223"/>
      <c r="Y116" s="223"/>
      <c r="Z116" s="223"/>
      <c r="AA116" s="223"/>
      <c r="AB116" s="223"/>
      <c r="AC116" s="223"/>
      <c r="AD116" s="223"/>
      <c r="AE116" s="223"/>
      <c r="AF116" s="223"/>
      <c r="AG116" s="223"/>
      <c r="AH116" s="223"/>
      <c r="AI116" s="223"/>
      <c r="AJ116" s="223"/>
      <c r="AK116" s="223"/>
      <c r="AL116" s="223"/>
      <c r="AM116" s="225"/>
    </row>
    <row r="117" spans="1:39" ht="20.100000000000001" customHeight="1">
      <c r="A117" s="227">
        <v>55</v>
      </c>
      <c r="B117" s="225"/>
      <c r="C117" s="227"/>
      <c r="D117" s="228" cm="1">
        <f t="array" ref="D117">IFERROR(
(SUMPRODUCT(E117:AL117*$E$6:$AL$6)/100) + (SUMPRODUCT(E117:AL117*$E$6:$AL$6*$E$3:$AL$3)/100),
0
)</f>
        <v>0</v>
      </c>
      <c r="E117" s="227"/>
      <c r="F117" s="227"/>
      <c r="G117" s="227"/>
      <c r="H117" s="227"/>
      <c r="I117" s="227"/>
      <c r="J117" s="227"/>
      <c r="K117" s="227"/>
      <c r="L117" s="227"/>
      <c r="M117" s="227"/>
      <c r="N117" s="227"/>
      <c r="O117" s="227"/>
      <c r="P117" s="227"/>
      <c r="Q117" s="227"/>
      <c r="R117" s="227"/>
      <c r="S117" s="227"/>
      <c r="T117" s="227"/>
      <c r="U117" s="227"/>
      <c r="V117" s="227"/>
      <c r="W117" s="227"/>
      <c r="X117" s="227"/>
      <c r="Y117" s="227"/>
      <c r="Z117" s="227"/>
      <c r="AA117" s="227"/>
      <c r="AB117" s="227"/>
      <c r="AC117" s="227"/>
      <c r="AD117" s="227"/>
      <c r="AE117" s="227"/>
      <c r="AF117" s="227"/>
      <c r="AG117" s="227"/>
      <c r="AH117" s="227"/>
      <c r="AI117" s="227"/>
      <c r="AJ117" s="227"/>
      <c r="AK117" s="227"/>
      <c r="AL117" s="225"/>
      <c r="AM117" s="227">
        <v>55</v>
      </c>
    </row>
    <row r="118" spans="1:39" ht="20.100000000000001" customHeight="1">
      <c r="A118" s="227"/>
      <c r="B118" s="225"/>
      <c r="C118" s="227"/>
      <c r="D118" s="224"/>
      <c r="E118" s="223"/>
      <c r="F118" s="223"/>
      <c r="G118" s="223"/>
      <c r="H118" s="223"/>
      <c r="I118" s="223"/>
      <c r="J118" s="223"/>
      <c r="K118" s="223"/>
      <c r="L118" s="223"/>
      <c r="M118" s="223"/>
      <c r="N118" s="223"/>
      <c r="O118" s="223"/>
      <c r="P118" s="223"/>
      <c r="Q118" s="223"/>
      <c r="R118" s="223"/>
      <c r="S118" s="223"/>
      <c r="T118" s="223"/>
      <c r="U118" s="223"/>
      <c r="V118" s="223"/>
      <c r="W118" s="223"/>
      <c r="X118" s="223"/>
      <c r="Y118" s="223"/>
      <c r="Z118" s="223"/>
      <c r="AA118" s="223"/>
      <c r="AB118" s="223"/>
      <c r="AC118" s="223"/>
      <c r="AD118" s="223"/>
      <c r="AE118" s="223"/>
      <c r="AF118" s="223"/>
      <c r="AG118" s="223"/>
      <c r="AH118" s="223"/>
      <c r="AI118" s="223"/>
      <c r="AJ118" s="223"/>
      <c r="AK118" s="223"/>
      <c r="AL118" s="223"/>
      <c r="AM118" s="225"/>
    </row>
    <row r="119" spans="1:39" ht="20.100000000000001" customHeight="1">
      <c r="A119" s="227">
        <v>56</v>
      </c>
      <c r="B119" s="225"/>
      <c r="C119" s="227"/>
      <c r="D119" s="228" cm="1">
        <f t="array" ref="D119">IFERROR(
(SUMPRODUCT(E119:AL119*$E$6:$AL$6)/100) + (SUMPRODUCT(E119:AL119*$E$6:$AL$6*$E$3:$AL$3)/100),
0
)</f>
        <v>0</v>
      </c>
      <c r="E119" s="227"/>
      <c r="F119" s="227"/>
      <c r="G119" s="227"/>
      <c r="H119" s="227"/>
      <c r="I119" s="227"/>
      <c r="J119" s="227"/>
      <c r="K119" s="227"/>
      <c r="L119" s="227"/>
      <c r="M119" s="227"/>
      <c r="N119" s="227"/>
      <c r="O119" s="227"/>
      <c r="P119" s="227"/>
      <c r="Q119" s="227"/>
      <c r="R119" s="227"/>
      <c r="S119" s="227"/>
      <c r="T119" s="227"/>
      <c r="U119" s="227"/>
      <c r="V119" s="227"/>
      <c r="W119" s="227"/>
      <c r="X119" s="227"/>
      <c r="Y119" s="227"/>
      <c r="Z119" s="227"/>
      <c r="AA119" s="227"/>
      <c r="AB119" s="227"/>
      <c r="AC119" s="227"/>
      <c r="AD119" s="227"/>
      <c r="AE119" s="227"/>
      <c r="AF119" s="227"/>
      <c r="AG119" s="227"/>
      <c r="AH119" s="227"/>
      <c r="AI119" s="227"/>
      <c r="AJ119" s="227"/>
      <c r="AK119" s="227"/>
      <c r="AL119" s="225"/>
      <c r="AM119" s="227">
        <v>56</v>
      </c>
    </row>
    <row r="120" spans="1:39" ht="20.100000000000001" customHeight="1">
      <c r="A120" s="223"/>
      <c r="B120" s="225"/>
      <c r="C120" s="227"/>
      <c r="D120" s="224"/>
      <c r="E120" s="223"/>
      <c r="F120" s="223"/>
      <c r="G120" s="223"/>
      <c r="H120" s="223"/>
      <c r="I120" s="223"/>
      <c r="J120" s="223"/>
      <c r="K120" s="223"/>
      <c r="L120" s="223"/>
      <c r="M120" s="223"/>
      <c r="N120" s="223"/>
      <c r="O120" s="223"/>
      <c r="P120" s="223"/>
      <c r="Q120" s="223"/>
      <c r="R120" s="223"/>
      <c r="S120" s="223"/>
      <c r="T120" s="223"/>
      <c r="U120" s="223"/>
      <c r="V120" s="223"/>
      <c r="W120" s="223"/>
      <c r="X120" s="223"/>
      <c r="Y120" s="223"/>
      <c r="Z120" s="223"/>
      <c r="AA120" s="223"/>
      <c r="AB120" s="223"/>
      <c r="AC120" s="223"/>
      <c r="AD120" s="223"/>
      <c r="AE120" s="223"/>
      <c r="AF120" s="223"/>
      <c r="AG120" s="223"/>
      <c r="AH120" s="223"/>
      <c r="AI120" s="223"/>
      <c r="AJ120" s="223"/>
      <c r="AK120" s="223"/>
      <c r="AL120" s="223"/>
      <c r="AM120" s="225"/>
    </row>
    <row r="121" spans="1:39" ht="20.100000000000001" customHeight="1">
      <c r="A121" s="227">
        <v>57</v>
      </c>
      <c r="B121" s="225"/>
      <c r="C121" s="227"/>
      <c r="D121" s="228" cm="1">
        <f t="array" ref="D121">IFERROR(
(SUMPRODUCT(E121:AL121*$E$6:$AL$6)/100) + (SUMPRODUCT(E121:AL121*$E$6:$AL$6*$E$3:$AL$3)/100),
0
)</f>
        <v>0</v>
      </c>
      <c r="E121" s="227"/>
      <c r="F121" s="227"/>
      <c r="G121" s="227"/>
      <c r="H121" s="227"/>
      <c r="I121" s="227"/>
      <c r="J121" s="227"/>
      <c r="K121" s="227"/>
      <c r="L121" s="227"/>
      <c r="M121" s="227"/>
      <c r="N121" s="227"/>
      <c r="O121" s="227"/>
      <c r="P121" s="227"/>
      <c r="Q121" s="227"/>
      <c r="R121" s="227"/>
      <c r="S121" s="227"/>
      <c r="T121" s="227"/>
      <c r="U121" s="227"/>
      <c r="V121" s="227"/>
      <c r="W121" s="227"/>
      <c r="X121" s="227"/>
      <c r="Y121" s="227"/>
      <c r="Z121" s="227"/>
      <c r="AA121" s="227"/>
      <c r="AB121" s="227"/>
      <c r="AC121" s="227"/>
      <c r="AD121" s="227"/>
      <c r="AE121" s="227"/>
      <c r="AF121" s="227"/>
      <c r="AG121" s="227"/>
      <c r="AH121" s="227"/>
      <c r="AI121" s="227"/>
      <c r="AJ121" s="227"/>
      <c r="AK121" s="227"/>
      <c r="AL121" s="225"/>
      <c r="AM121" s="227">
        <v>57</v>
      </c>
    </row>
    <row r="122" spans="1:39" ht="20.100000000000001" customHeight="1">
      <c r="A122" s="227"/>
      <c r="B122" s="225"/>
      <c r="C122" s="227"/>
      <c r="D122" s="224"/>
      <c r="E122" s="223"/>
      <c r="F122" s="223"/>
      <c r="G122" s="223"/>
      <c r="H122" s="223"/>
      <c r="I122" s="223"/>
      <c r="J122" s="223"/>
      <c r="K122" s="223"/>
      <c r="L122" s="223"/>
      <c r="M122" s="223"/>
      <c r="N122" s="223"/>
      <c r="O122" s="223"/>
      <c r="P122" s="223"/>
      <c r="Q122" s="223"/>
      <c r="R122" s="223"/>
      <c r="S122" s="223"/>
      <c r="T122" s="223"/>
      <c r="U122" s="223"/>
      <c r="V122" s="223"/>
      <c r="W122" s="223"/>
      <c r="X122" s="223"/>
      <c r="Y122" s="223"/>
      <c r="Z122" s="223"/>
      <c r="AA122" s="223"/>
      <c r="AB122" s="223"/>
      <c r="AC122" s="223"/>
      <c r="AD122" s="223"/>
      <c r="AE122" s="223"/>
      <c r="AF122" s="223"/>
      <c r="AG122" s="223"/>
      <c r="AH122" s="223"/>
      <c r="AI122" s="223"/>
      <c r="AJ122" s="223"/>
      <c r="AK122" s="223"/>
      <c r="AL122" s="223"/>
      <c r="AM122" s="225"/>
    </row>
    <row r="123" spans="1:39" ht="20.100000000000001" customHeight="1">
      <c r="A123" s="227">
        <v>58</v>
      </c>
      <c r="B123" s="225"/>
      <c r="C123" s="227"/>
      <c r="D123" s="228" cm="1">
        <f t="array" ref="D123">IFERROR(
(SUMPRODUCT(E123:AL123*$E$6:$AL$6)/100) + (SUMPRODUCT(E123:AL123*$E$6:$AL$6*$E$3:$AL$3)/100),
0
)</f>
        <v>0</v>
      </c>
      <c r="E123" s="227"/>
      <c r="F123" s="227"/>
      <c r="G123" s="227"/>
      <c r="H123" s="227"/>
      <c r="I123" s="227"/>
      <c r="J123" s="227"/>
      <c r="K123" s="227"/>
      <c r="L123" s="227"/>
      <c r="M123" s="227"/>
      <c r="N123" s="227"/>
      <c r="O123" s="227"/>
      <c r="P123" s="227"/>
      <c r="Q123" s="227"/>
      <c r="R123" s="227"/>
      <c r="S123" s="227"/>
      <c r="T123" s="227"/>
      <c r="U123" s="227"/>
      <c r="V123" s="227"/>
      <c r="W123" s="227"/>
      <c r="X123" s="227"/>
      <c r="Y123" s="227"/>
      <c r="Z123" s="227"/>
      <c r="AA123" s="227"/>
      <c r="AB123" s="227"/>
      <c r="AC123" s="227"/>
      <c r="AD123" s="227"/>
      <c r="AE123" s="227"/>
      <c r="AF123" s="227"/>
      <c r="AG123" s="227"/>
      <c r="AH123" s="227"/>
      <c r="AI123" s="227"/>
      <c r="AJ123" s="227"/>
      <c r="AK123" s="227"/>
      <c r="AL123" s="225"/>
      <c r="AM123" s="227">
        <v>58</v>
      </c>
    </row>
    <row r="124" spans="1:39" ht="20.100000000000001" customHeight="1">
      <c r="A124" s="223"/>
      <c r="B124" s="225"/>
      <c r="C124" s="227"/>
      <c r="D124" s="224"/>
      <c r="E124" s="223"/>
      <c r="F124" s="223"/>
      <c r="G124" s="223"/>
      <c r="H124" s="223"/>
      <c r="I124" s="223"/>
      <c r="J124" s="223"/>
      <c r="K124" s="223"/>
      <c r="L124" s="223"/>
      <c r="M124" s="223"/>
      <c r="N124" s="223"/>
      <c r="O124" s="223"/>
      <c r="P124" s="223"/>
      <c r="Q124" s="223"/>
      <c r="R124" s="223"/>
      <c r="S124" s="223"/>
      <c r="T124" s="223"/>
      <c r="U124" s="223"/>
      <c r="V124" s="223"/>
      <c r="W124" s="223"/>
      <c r="X124" s="223"/>
      <c r="Y124" s="223"/>
      <c r="Z124" s="223"/>
      <c r="AA124" s="223"/>
      <c r="AB124" s="223"/>
      <c r="AC124" s="223"/>
      <c r="AD124" s="223"/>
      <c r="AE124" s="223"/>
      <c r="AF124" s="223"/>
      <c r="AG124" s="223"/>
      <c r="AH124" s="223"/>
      <c r="AI124" s="223"/>
      <c r="AJ124" s="223"/>
      <c r="AK124" s="223"/>
      <c r="AL124" s="223"/>
      <c r="AM124" s="225"/>
    </row>
    <row r="125" spans="1:39" ht="20.100000000000001" customHeight="1">
      <c r="A125" s="227">
        <v>59</v>
      </c>
      <c r="B125" s="225"/>
      <c r="C125" s="227"/>
      <c r="D125" s="228" cm="1">
        <f t="array" ref="D125">IFERROR(
(SUMPRODUCT(E125:AL125*$E$6:$AL$6)/100) + (SUMPRODUCT(E125:AL125*$E$6:$AL$6*$E$3:$AL$3)/100),
0
)</f>
        <v>0</v>
      </c>
      <c r="E125" s="227"/>
      <c r="F125" s="227"/>
      <c r="G125" s="227"/>
      <c r="H125" s="227"/>
      <c r="I125" s="227"/>
      <c r="J125" s="227"/>
      <c r="K125" s="227"/>
      <c r="L125" s="227"/>
      <c r="M125" s="227"/>
      <c r="N125" s="227"/>
      <c r="O125" s="227"/>
      <c r="P125" s="227"/>
      <c r="Q125" s="227"/>
      <c r="R125" s="227"/>
      <c r="S125" s="227"/>
      <c r="T125" s="227"/>
      <c r="U125" s="227"/>
      <c r="V125" s="227"/>
      <c r="W125" s="227"/>
      <c r="X125" s="227"/>
      <c r="Y125" s="227"/>
      <c r="Z125" s="227"/>
      <c r="AA125" s="227"/>
      <c r="AB125" s="227"/>
      <c r="AC125" s="227"/>
      <c r="AD125" s="227"/>
      <c r="AE125" s="227"/>
      <c r="AF125" s="227"/>
      <c r="AG125" s="227"/>
      <c r="AH125" s="227"/>
      <c r="AI125" s="227"/>
      <c r="AJ125" s="227"/>
      <c r="AK125" s="227"/>
      <c r="AL125" s="225"/>
      <c r="AM125" s="227">
        <v>59</v>
      </c>
    </row>
    <row r="126" spans="1:39" ht="20.100000000000001" customHeight="1">
      <c r="A126" s="227"/>
      <c r="B126" s="225"/>
      <c r="C126" s="227"/>
      <c r="D126" s="224"/>
      <c r="E126" s="223"/>
      <c r="F126" s="223"/>
      <c r="G126" s="223"/>
      <c r="H126" s="223"/>
      <c r="I126" s="223"/>
      <c r="J126" s="223"/>
      <c r="K126" s="223"/>
      <c r="L126" s="223"/>
      <c r="M126" s="223"/>
      <c r="N126" s="223"/>
      <c r="O126" s="223"/>
      <c r="P126" s="223"/>
      <c r="Q126" s="223"/>
      <c r="R126" s="223"/>
      <c r="S126" s="223"/>
      <c r="T126" s="223"/>
      <c r="U126" s="223"/>
      <c r="V126" s="223"/>
      <c r="W126" s="223"/>
      <c r="X126" s="223"/>
      <c r="Y126" s="223"/>
      <c r="Z126" s="223"/>
      <c r="AA126" s="223"/>
      <c r="AB126" s="223"/>
      <c r="AC126" s="223"/>
      <c r="AD126" s="223"/>
      <c r="AE126" s="223"/>
      <c r="AF126" s="223"/>
      <c r="AG126" s="223"/>
      <c r="AH126" s="223"/>
      <c r="AI126" s="223"/>
      <c r="AJ126" s="223"/>
      <c r="AK126" s="223"/>
      <c r="AL126" s="223"/>
      <c r="AM126" s="225"/>
    </row>
    <row r="127" spans="1:39" ht="20.100000000000001" customHeight="1">
      <c r="A127" s="227">
        <v>60</v>
      </c>
      <c r="B127" s="225"/>
      <c r="C127" s="227"/>
      <c r="D127" s="228" cm="1">
        <f t="array" ref="D127">IFERROR(
(SUMPRODUCT(E127:AL127*$E$6:$AL$6)/100) + (SUMPRODUCT(E127:AL127*$E$6:$AL$6*$E$3:$AL$3)/100),
0
)</f>
        <v>0</v>
      </c>
      <c r="E127" s="227"/>
      <c r="F127" s="227"/>
      <c r="G127" s="227"/>
      <c r="H127" s="227"/>
      <c r="I127" s="227"/>
      <c r="J127" s="227"/>
      <c r="K127" s="227"/>
      <c r="L127" s="227"/>
      <c r="M127" s="227"/>
      <c r="N127" s="227"/>
      <c r="O127" s="227"/>
      <c r="P127" s="227"/>
      <c r="Q127" s="227"/>
      <c r="R127" s="227"/>
      <c r="S127" s="227"/>
      <c r="T127" s="227"/>
      <c r="U127" s="227"/>
      <c r="V127" s="227"/>
      <c r="W127" s="227"/>
      <c r="X127" s="227"/>
      <c r="Y127" s="227"/>
      <c r="Z127" s="227"/>
      <c r="AA127" s="227"/>
      <c r="AB127" s="227"/>
      <c r="AC127" s="227"/>
      <c r="AD127" s="227"/>
      <c r="AE127" s="227"/>
      <c r="AF127" s="227"/>
      <c r="AG127" s="227"/>
      <c r="AH127" s="227"/>
      <c r="AI127" s="227"/>
      <c r="AJ127" s="227"/>
      <c r="AK127" s="227"/>
      <c r="AL127" s="225"/>
      <c r="AM127" s="227">
        <v>60</v>
      </c>
    </row>
    <row r="128" spans="1:39" ht="20.100000000000001" customHeight="1">
      <c r="A128" s="223"/>
      <c r="B128" s="225"/>
      <c r="C128" s="227"/>
      <c r="D128" s="224"/>
      <c r="E128" s="223"/>
      <c r="F128" s="223"/>
      <c r="G128" s="223"/>
      <c r="H128" s="223"/>
      <c r="I128" s="223"/>
      <c r="J128" s="223"/>
      <c r="K128" s="223"/>
      <c r="L128" s="223"/>
      <c r="M128" s="223"/>
      <c r="N128" s="223"/>
      <c r="O128" s="223"/>
      <c r="P128" s="223"/>
      <c r="Q128" s="223"/>
      <c r="R128" s="223"/>
      <c r="S128" s="223"/>
      <c r="T128" s="223"/>
      <c r="U128" s="223"/>
      <c r="V128" s="223"/>
      <c r="W128" s="223"/>
      <c r="X128" s="223"/>
      <c r="Y128" s="223"/>
      <c r="Z128" s="223"/>
      <c r="AA128" s="223"/>
      <c r="AB128" s="223"/>
      <c r="AC128" s="223"/>
      <c r="AD128" s="223"/>
      <c r="AE128" s="223"/>
      <c r="AF128" s="223"/>
      <c r="AG128" s="223"/>
      <c r="AH128" s="223"/>
      <c r="AI128" s="223"/>
      <c r="AJ128" s="223"/>
      <c r="AK128" s="223"/>
      <c r="AL128" s="223"/>
      <c r="AM128" s="225"/>
    </row>
    <row r="129" spans="1:39" ht="20.100000000000001" customHeight="1">
      <c r="A129" s="227">
        <v>61</v>
      </c>
      <c r="B129" s="225"/>
      <c r="C129" s="227"/>
      <c r="D129" s="228" cm="1">
        <f t="array" ref="D129">IFERROR(
(SUMPRODUCT(E129:AL129*$E$6:$AL$6)/100) + (SUMPRODUCT(E129:AL129*$E$6:$AL$6*$E$3:$AL$3)/100),
0
)</f>
        <v>0</v>
      </c>
      <c r="E129" s="227"/>
      <c r="F129" s="227"/>
      <c r="G129" s="227"/>
      <c r="H129" s="227"/>
      <c r="I129" s="227"/>
      <c r="J129" s="227"/>
      <c r="K129" s="227"/>
      <c r="L129" s="227"/>
      <c r="M129" s="227"/>
      <c r="N129" s="227"/>
      <c r="O129" s="227"/>
      <c r="P129" s="227"/>
      <c r="Q129" s="227"/>
      <c r="R129" s="227"/>
      <c r="S129" s="227"/>
      <c r="T129" s="227"/>
      <c r="U129" s="227"/>
      <c r="V129" s="227"/>
      <c r="W129" s="227"/>
      <c r="X129" s="227"/>
      <c r="Y129" s="227"/>
      <c r="Z129" s="227"/>
      <c r="AA129" s="227"/>
      <c r="AB129" s="227"/>
      <c r="AC129" s="227"/>
      <c r="AD129" s="227"/>
      <c r="AE129" s="227"/>
      <c r="AF129" s="227"/>
      <c r="AG129" s="227"/>
      <c r="AH129" s="227"/>
      <c r="AI129" s="227"/>
      <c r="AJ129" s="227"/>
      <c r="AK129" s="227"/>
      <c r="AL129" s="225"/>
      <c r="AM129" s="227">
        <v>61</v>
      </c>
    </row>
    <row r="130" spans="1:39" ht="20.100000000000001" customHeight="1">
      <c r="A130" s="227"/>
      <c r="B130" s="225"/>
      <c r="C130" s="227"/>
      <c r="D130" s="224"/>
      <c r="E130" s="223"/>
      <c r="F130" s="223"/>
      <c r="G130" s="223"/>
      <c r="H130" s="223"/>
      <c r="I130" s="223"/>
      <c r="J130" s="223"/>
      <c r="K130" s="223"/>
      <c r="L130" s="223"/>
      <c r="M130" s="223"/>
      <c r="N130" s="223"/>
      <c r="O130" s="223"/>
      <c r="P130" s="223"/>
      <c r="Q130" s="223"/>
      <c r="R130" s="223"/>
      <c r="S130" s="223"/>
      <c r="T130" s="223"/>
      <c r="U130" s="223"/>
      <c r="V130" s="223"/>
      <c r="W130" s="223"/>
      <c r="X130" s="223"/>
      <c r="Y130" s="223"/>
      <c r="Z130" s="223"/>
      <c r="AA130" s="223"/>
      <c r="AB130" s="223"/>
      <c r="AC130" s="223"/>
      <c r="AD130" s="223"/>
      <c r="AE130" s="223"/>
      <c r="AF130" s="223"/>
      <c r="AG130" s="223"/>
      <c r="AH130" s="223"/>
      <c r="AI130" s="223"/>
      <c r="AJ130" s="223"/>
      <c r="AK130" s="223"/>
      <c r="AL130" s="223"/>
      <c r="AM130" s="225"/>
    </row>
    <row r="131" spans="1:39" ht="20.100000000000001" customHeight="1">
      <c r="A131" s="227">
        <v>62</v>
      </c>
      <c r="B131" s="225"/>
      <c r="C131" s="227"/>
      <c r="D131" s="228" cm="1">
        <f t="array" ref="D131">IFERROR(
(SUMPRODUCT(E131:AL131*$E$6:$AL$6)/100) + (SUMPRODUCT(E131:AL131*$E$6:$AL$6*$E$3:$AL$3)/100),
0
)</f>
        <v>0</v>
      </c>
      <c r="E131" s="227"/>
      <c r="F131" s="227"/>
      <c r="G131" s="227"/>
      <c r="H131" s="227"/>
      <c r="I131" s="227"/>
      <c r="J131" s="227"/>
      <c r="K131" s="227"/>
      <c r="L131" s="227"/>
      <c r="M131" s="227"/>
      <c r="N131" s="227"/>
      <c r="O131" s="227"/>
      <c r="P131" s="227"/>
      <c r="Q131" s="227"/>
      <c r="R131" s="227"/>
      <c r="S131" s="227"/>
      <c r="T131" s="227"/>
      <c r="U131" s="227"/>
      <c r="V131" s="227"/>
      <c r="W131" s="227"/>
      <c r="X131" s="227"/>
      <c r="Y131" s="227"/>
      <c r="Z131" s="227"/>
      <c r="AA131" s="227"/>
      <c r="AB131" s="227"/>
      <c r="AC131" s="227"/>
      <c r="AD131" s="227"/>
      <c r="AE131" s="227"/>
      <c r="AF131" s="227"/>
      <c r="AG131" s="227"/>
      <c r="AH131" s="227"/>
      <c r="AI131" s="227"/>
      <c r="AJ131" s="227"/>
      <c r="AK131" s="227"/>
      <c r="AL131" s="225"/>
      <c r="AM131" s="227">
        <v>62</v>
      </c>
    </row>
    <row r="132" spans="1:39" ht="20.100000000000001" customHeight="1">
      <c r="A132" s="223"/>
      <c r="B132" s="225"/>
      <c r="C132" s="227"/>
      <c r="D132" s="224"/>
      <c r="E132" s="223"/>
      <c r="F132" s="223"/>
      <c r="G132" s="223"/>
      <c r="H132" s="223"/>
      <c r="I132" s="223"/>
      <c r="J132" s="223"/>
      <c r="K132" s="223"/>
      <c r="L132" s="223"/>
      <c r="M132" s="223"/>
      <c r="N132" s="223"/>
      <c r="O132" s="223"/>
      <c r="P132" s="223"/>
      <c r="Q132" s="223"/>
      <c r="R132" s="223"/>
      <c r="S132" s="223"/>
      <c r="T132" s="223"/>
      <c r="U132" s="223"/>
      <c r="V132" s="223"/>
      <c r="W132" s="223"/>
      <c r="X132" s="223"/>
      <c r="Y132" s="223"/>
      <c r="Z132" s="223"/>
      <c r="AA132" s="223"/>
      <c r="AB132" s="223"/>
      <c r="AC132" s="223"/>
      <c r="AD132" s="223"/>
      <c r="AE132" s="223"/>
      <c r="AF132" s="223"/>
      <c r="AG132" s="223"/>
      <c r="AH132" s="223"/>
      <c r="AI132" s="223"/>
      <c r="AJ132" s="223"/>
      <c r="AK132" s="223"/>
      <c r="AL132" s="223"/>
      <c r="AM132" s="225"/>
    </row>
    <row r="133" spans="1:39" ht="20.100000000000001" customHeight="1">
      <c r="A133" s="227">
        <v>63</v>
      </c>
      <c r="B133" s="225"/>
      <c r="C133" s="227"/>
      <c r="D133" s="228" cm="1">
        <f t="array" ref="D133">IFERROR(
(SUMPRODUCT(E133:AL133*$E$6:$AL$6)/100) + (SUMPRODUCT(E133:AL133*$E$6:$AL$6*$E$3:$AL$3)/100),
0
)</f>
        <v>0</v>
      </c>
      <c r="E133" s="227"/>
      <c r="F133" s="227"/>
      <c r="G133" s="227"/>
      <c r="H133" s="227"/>
      <c r="I133" s="227"/>
      <c r="J133" s="227"/>
      <c r="K133" s="227"/>
      <c r="L133" s="227"/>
      <c r="M133" s="227"/>
      <c r="N133" s="227"/>
      <c r="O133" s="227"/>
      <c r="P133" s="227"/>
      <c r="Q133" s="227"/>
      <c r="R133" s="227"/>
      <c r="S133" s="227"/>
      <c r="T133" s="227"/>
      <c r="U133" s="227"/>
      <c r="V133" s="227"/>
      <c r="W133" s="227"/>
      <c r="X133" s="227"/>
      <c r="Y133" s="227"/>
      <c r="Z133" s="227"/>
      <c r="AA133" s="227"/>
      <c r="AB133" s="227"/>
      <c r="AC133" s="227"/>
      <c r="AD133" s="227"/>
      <c r="AE133" s="227"/>
      <c r="AF133" s="227"/>
      <c r="AG133" s="227"/>
      <c r="AH133" s="227"/>
      <c r="AI133" s="227"/>
      <c r="AJ133" s="227"/>
      <c r="AK133" s="227"/>
      <c r="AL133" s="225"/>
      <c r="AM133" s="227">
        <v>63</v>
      </c>
    </row>
    <row r="134" spans="1:39" ht="20.100000000000001" customHeight="1">
      <c r="A134" s="227"/>
      <c r="B134" s="225"/>
      <c r="C134" s="227"/>
      <c r="D134" s="224"/>
      <c r="E134" s="223"/>
      <c r="F134" s="223"/>
      <c r="G134" s="223"/>
      <c r="H134" s="223"/>
      <c r="I134" s="223"/>
      <c r="J134" s="223"/>
      <c r="K134" s="223"/>
      <c r="L134" s="223"/>
      <c r="M134" s="223"/>
      <c r="N134" s="223"/>
      <c r="O134" s="223"/>
      <c r="P134" s="223"/>
      <c r="Q134" s="223"/>
      <c r="R134" s="223"/>
      <c r="S134" s="223"/>
      <c r="T134" s="223"/>
      <c r="U134" s="223"/>
      <c r="V134" s="223"/>
      <c r="W134" s="223"/>
      <c r="X134" s="223"/>
      <c r="Y134" s="223"/>
      <c r="Z134" s="223"/>
      <c r="AA134" s="223"/>
      <c r="AB134" s="223"/>
      <c r="AC134" s="223"/>
      <c r="AD134" s="223"/>
      <c r="AE134" s="223"/>
      <c r="AF134" s="223"/>
      <c r="AG134" s="223"/>
      <c r="AH134" s="223"/>
      <c r="AI134" s="223"/>
      <c r="AJ134" s="223"/>
      <c r="AK134" s="223"/>
      <c r="AL134" s="223"/>
      <c r="AM134" s="225"/>
    </row>
    <row r="135" spans="1:39" ht="20.100000000000001" customHeight="1">
      <c r="A135" s="227">
        <v>64</v>
      </c>
      <c r="B135" s="225"/>
      <c r="C135" s="227"/>
      <c r="D135" s="228" cm="1">
        <f t="array" ref="D135">IFERROR(
(SUMPRODUCT(E135:AL135*$E$6:$AL$6)/100) + (SUMPRODUCT(E135:AL135*$E$6:$AL$6*$E$3:$AL$3)/100),
0
)</f>
        <v>0</v>
      </c>
      <c r="E135" s="227"/>
      <c r="F135" s="227"/>
      <c r="G135" s="227"/>
      <c r="H135" s="227"/>
      <c r="I135" s="227"/>
      <c r="J135" s="227"/>
      <c r="K135" s="227"/>
      <c r="L135" s="227"/>
      <c r="M135" s="227"/>
      <c r="N135" s="227"/>
      <c r="O135" s="227"/>
      <c r="P135" s="227"/>
      <c r="Q135" s="227"/>
      <c r="R135" s="227"/>
      <c r="S135" s="227"/>
      <c r="T135" s="227"/>
      <c r="U135" s="227"/>
      <c r="V135" s="227"/>
      <c r="W135" s="227"/>
      <c r="X135" s="227"/>
      <c r="Y135" s="227"/>
      <c r="Z135" s="227"/>
      <c r="AA135" s="227"/>
      <c r="AB135" s="227"/>
      <c r="AC135" s="227"/>
      <c r="AD135" s="227"/>
      <c r="AE135" s="227"/>
      <c r="AF135" s="227"/>
      <c r="AG135" s="227"/>
      <c r="AH135" s="227"/>
      <c r="AI135" s="227"/>
      <c r="AJ135" s="227"/>
      <c r="AK135" s="227"/>
      <c r="AL135" s="225"/>
      <c r="AM135" s="227">
        <v>64</v>
      </c>
    </row>
    <row r="136" spans="1:39" ht="20.100000000000001" customHeight="1">
      <c r="A136" s="223"/>
      <c r="B136" s="225"/>
      <c r="C136" s="227"/>
      <c r="D136" s="224"/>
      <c r="E136" s="223"/>
      <c r="F136" s="223"/>
      <c r="G136" s="223"/>
      <c r="H136" s="223"/>
      <c r="I136" s="223"/>
      <c r="J136" s="223"/>
      <c r="K136" s="223"/>
      <c r="L136" s="223"/>
      <c r="M136" s="223"/>
      <c r="N136" s="223"/>
      <c r="O136" s="223"/>
      <c r="P136" s="223"/>
      <c r="Q136" s="223"/>
      <c r="R136" s="223"/>
      <c r="S136" s="223"/>
      <c r="T136" s="223"/>
      <c r="U136" s="223"/>
      <c r="V136" s="223"/>
      <c r="W136" s="223"/>
      <c r="X136" s="223"/>
      <c r="Y136" s="223"/>
      <c r="Z136" s="223"/>
      <c r="AA136" s="223"/>
      <c r="AB136" s="223"/>
      <c r="AC136" s="223"/>
      <c r="AD136" s="223"/>
      <c r="AE136" s="223"/>
      <c r="AF136" s="223"/>
      <c r="AG136" s="223"/>
      <c r="AH136" s="223"/>
      <c r="AI136" s="223"/>
      <c r="AJ136" s="223"/>
      <c r="AK136" s="223"/>
      <c r="AL136" s="223"/>
      <c r="AM136" s="225"/>
    </row>
    <row r="137" spans="1:39" ht="20.100000000000001" customHeight="1">
      <c r="A137" s="227">
        <v>65</v>
      </c>
      <c r="B137" s="225"/>
      <c r="C137" s="227"/>
      <c r="D137" s="228" cm="1">
        <f t="array" ref="D137">IFERROR(
(SUMPRODUCT(E137:AL137*$E$6:$AL$6)/100) + (SUMPRODUCT(E137:AL137*$E$6:$AL$6*$E$3:$AL$3)/100),
0
)</f>
        <v>0</v>
      </c>
      <c r="E137" s="227"/>
      <c r="F137" s="227"/>
      <c r="G137" s="227"/>
      <c r="H137" s="227"/>
      <c r="I137" s="227"/>
      <c r="J137" s="227"/>
      <c r="K137" s="227"/>
      <c r="L137" s="227"/>
      <c r="M137" s="227"/>
      <c r="N137" s="227"/>
      <c r="O137" s="227"/>
      <c r="P137" s="227"/>
      <c r="Q137" s="227"/>
      <c r="R137" s="227"/>
      <c r="S137" s="227"/>
      <c r="T137" s="227"/>
      <c r="U137" s="227"/>
      <c r="V137" s="227"/>
      <c r="W137" s="227"/>
      <c r="X137" s="227"/>
      <c r="Y137" s="227"/>
      <c r="Z137" s="227"/>
      <c r="AA137" s="227"/>
      <c r="AB137" s="227"/>
      <c r="AC137" s="227"/>
      <c r="AD137" s="227"/>
      <c r="AE137" s="227"/>
      <c r="AF137" s="227"/>
      <c r="AG137" s="227"/>
      <c r="AH137" s="227"/>
      <c r="AI137" s="227"/>
      <c r="AJ137" s="227"/>
      <c r="AK137" s="227"/>
      <c r="AL137" s="225"/>
      <c r="AM137" s="227">
        <v>65</v>
      </c>
    </row>
    <row r="138" spans="1:39" ht="20.100000000000001" customHeight="1">
      <c r="A138" s="227"/>
      <c r="B138" s="225"/>
      <c r="C138" s="227"/>
      <c r="D138" s="224"/>
      <c r="E138" s="223"/>
      <c r="F138" s="223"/>
      <c r="G138" s="223"/>
      <c r="H138" s="223"/>
      <c r="I138" s="223"/>
      <c r="J138" s="223"/>
      <c r="K138" s="223"/>
      <c r="L138" s="223"/>
      <c r="M138" s="223"/>
      <c r="N138" s="223"/>
      <c r="O138" s="223"/>
      <c r="P138" s="223"/>
      <c r="Q138" s="223"/>
      <c r="R138" s="223"/>
      <c r="S138" s="223"/>
      <c r="T138" s="223"/>
      <c r="U138" s="223"/>
      <c r="V138" s="223"/>
      <c r="W138" s="223"/>
      <c r="X138" s="223"/>
      <c r="Y138" s="223"/>
      <c r="Z138" s="223"/>
      <c r="AA138" s="223"/>
      <c r="AB138" s="223"/>
      <c r="AC138" s="223"/>
      <c r="AD138" s="223"/>
      <c r="AE138" s="223"/>
      <c r="AF138" s="223"/>
      <c r="AG138" s="223"/>
      <c r="AH138" s="223"/>
      <c r="AI138" s="223"/>
      <c r="AJ138" s="223"/>
      <c r="AK138" s="223"/>
      <c r="AL138" s="223"/>
      <c r="AM138" s="225"/>
    </row>
    <row r="139" spans="1:39" ht="20.100000000000001" customHeight="1">
      <c r="A139" s="227">
        <v>66</v>
      </c>
      <c r="B139" s="225"/>
      <c r="C139" s="227"/>
      <c r="D139" s="228" cm="1">
        <f t="array" ref="D139">IFERROR(
(SUMPRODUCT(E139:AL139*$E$6:$AL$6)/100) + (SUMPRODUCT(E139:AL139*$E$6:$AL$6*$E$3:$AL$3)/100),
0
)</f>
        <v>0</v>
      </c>
      <c r="E139" s="227"/>
      <c r="F139" s="227"/>
      <c r="G139" s="227"/>
      <c r="H139" s="227"/>
      <c r="I139" s="227"/>
      <c r="J139" s="227"/>
      <c r="K139" s="227"/>
      <c r="L139" s="227"/>
      <c r="M139" s="227"/>
      <c r="N139" s="227"/>
      <c r="O139" s="227"/>
      <c r="P139" s="227"/>
      <c r="Q139" s="227"/>
      <c r="R139" s="227"/>
      <c r="S139" s="227"/>
      <c r="T139" s="227"/>
      <c r="U139" s="227"/>
      <c r="V139" s="227"/>
      <c r="W139" s="227"/>
      <c r="X139" s="227"/>
      <c r="Y139" s="227"/>
      <c r="Z139" s="227"/>
      <c r="AA139" s="227"/>
      <c r="AB139" s="227"/>
      <c r="AC139" s="227"/>
      <c r="AD139" s="227"/>
      <c r="AE139" s="227"/>
      <c r="AF139" s="227"/>
      <c r="AG139" s="227"/>
      <c r="AH139" s="227"/>
      <c r="AI139" s="227"/>
      <c r="AJ139" s="227"/>
      <c r="AK139" s="227"/>
      <c r="AL139" s="225"/>
      <c r="AM139" s="227">
        <v>66</v>
      </c>
    </row>
    <row r="140" spans="1:39" ht="20.100000000000001" customHeight="1">
      <c r="A140" s="223"/>
      <c r="B140" s="225"/>
      <c r="C140" s="227"/>
      <c r="D140" s="224"/>
      <c r="E140" s="223"/>
      <c r="F140" s="223"/>
      <c r="G140" s="223"/>
      <c r="H140" s="223"/>
      <c r="I140" s="223"/>
      <c r="J140" s="223"/>
      <c r="K140" s="223"/>
      <c r="L140" s="223"/>
      <c r="M140" s="223"/>
      <c r="N140" s="223"/>
      <c r="O140" s="223"/>
      <c r="P140" s="223"/>
      <c r="Q140" s="223"/>
      <c r="R140" s="223"/>
      <c r="S140" s="223"/>
      <c r="T140" s="223"/>
      <c r="U140" s="223"/>
      <c r="V140" s="223"/>
      <c r="W140" s="223"/>
      <c r="X140" s="223"/>
      <c r="Y140" s="223"/>
      <c r="Z140" s="223"/>
      <c r="AA140" s="223"/>
      <c r="AB140" s="223"/>
      <c r="AC140" s="223"/>
      <c r="AD140" s="223"/>
      <c r="AE140" s="223"/>
      <c r="AF140" s="223"/>
      <c r="AG140" s="223"/>
      <c r="AH140" s="223"/>
      <c r="AI140" s="223"/>
      <c r="AJ140" s="223"/>
      <c r="AK140" s="223"/>
      <c r="AL140" s="223"/>
      <c r="AM140" s="225"/>
    </row>
    <row r="141" spans="1:39" ht="20.100000000000001" customHeight="1">
      <c r="A141" s="227">
        <v>67</v>
      </c>
      <c r="B141" s="225"/>
      <c r="C141" s="227"/>
      <c r="D141" s="228" cm="1">
        <f t="array" ref="D141">IFERROR(
(SUMPRODUCT(E141:AL141*$E$6:$AL$6)/100) + (SUMPRODUCT(E141:AL141*$E$6:$AL$6*$E$3:$AL$3)/100),
0
)</f>
        <v>0</v>
      </c>
      <c r="E141" s="227"/>
      <c r="F141" s="227"/>
      <c r="G141" s="227"/>
      <c r="H141" s="227"/>
      <c r="I141" s="227"/>
      <c r="J141" s="227"/>
      <c r="K141" s="227"/>
      <c r="L141" s="227"/>
      <c r="M141" s="227"/>
      <c r="N141" s="227"/>
      <c r="O141" s="227"/>
      <c r="P141" s="227"/>
      <c r="Q141" s="227"/>
      <c r="R141" s="227"/>
      <c r="S141" s="227"/>
      <c r="T141" s="227"/>
      <c r="U141" s="227"/>
      <c r="V141" s="227"/>
      <c r="W141" s="227"/>
      <c r="X141" s="227"/>
      <c r="Y141" s="227"/>
      <c r="Z141" s="227"/>
      <c r="AA141" s="227"/>
      <c r="AB141" s="227"/>
      <c r="AC141" s="227"/>
      <c r="AD141" s="227"/>
      <c r="AE141" s="227"/>
      <c r="AF141" s="227"/>
      <c r="AG141" s="227"/>
      <c r="AH141" s="227"/>
      <c r="AI141" s="227"/>
      <c r="AJ141" s="227"/>
      <c r="AK141" s="227"/>
      <c r="AL141" s="225"/>
      <c r="AM141" s="227">
        <v>67</v>
      </c>
    </row>
    <row r="142" spans="1:39" ht="20.100000000000001" customHeight="1">
      <c r="A142" s="227"/>
      <c r="B142" s="225"/>
      <c r="C142" s="227"/>
      <c r="D142" s="224"/>
      <c r="E142" s="223"/>
      <c r="F142" s="223"/>
      <c r="G142" s="223"/>
      <c r="H142" s="223"/>
      <c r="I142" s="223"/>
      <c r="J142" s="223"/>
      <c r="K142" s="223"/>
      <c r="L142" s="223"/>
      <c r="M142" s="223"/>
      <c r="N142" s="223"/>
      <c r="O142" s="223"/>
      <c r="P142" s="223"/>
      <c r="Q142" s="223"/>
      <c r="R142" s="223"/>
      <c r="S142" s="223"/>
      <c r="T142" s="223"/>
      <c r="U142" s="223"/>
      <c r="V142" s="223"/>
      <c r="W142" s="223"/>
      <c r="X142" s="223"/>
      <c r="Y142" s="223"/>
      <c r="Z142" s="223"/>
      <c r="AA142" s="223"/>
      <c r="AB142" s="223"/>
      <c r="AC142" s="223"/>
      <c r="AD142" s="223"/>
      <c r="AE142" s="223"/>
      <c r="AF142" s="223"/>
      <c r="AG142" s="223"/>
      <c r="AH142" s="223"/>
      <c r="AI142" s="223"/>
      <c r="AJ142" s="223"/>
      <c r="AK142" s="223"/>
      <c r="AL142" s="223"/>
      <c r="AM142" s="225"/>
    </row>
    <row r="143" spans="1:39" ht="20.100000000000001" customHeight="1">
      <c r="A143" s="227">
        <v>68</v>
      </c>
      <c r="B143" s="225"/>
      <c r="C143" s="227"/>
      <c r="D143" s="228" cm="1">
        <f t="array" ref="D143">IFERROR(
(SUMPRODUCT(E143:AL143*$E$6:$AL$6)/100) + (SUMPRODUCT(E143:AL143*$E$6:$AL$6*$E$3:$AL$3)/100),
0
)</f>
        <v>0</v>
      </c>
      <c r="E143" s="227"/>
      <c r="F143" s="227"/>
      <c r="G143" s="227"/>
      <c r="H143" s="227"/>
      <c r="I143" s="227"/>
      <c r="J143" s="227"/>
      <c r="K143" s="227"/>
      <c r="L143" s="227"/>
      <c r="M143" s="227"/>
      <c r="N143" s="227"/>
      <c r="O143" s="227"/>
      <c r="P143" s="227"/>
      <c r="Q143" s="227"/>
      <c r="R143" s="227"/>
      <c r="S143" s="227"/>
      <c r="T143" s="227"/>
      <c r="U143" s="227"/>
      <c r="V143" s="227"/>
      <c r="W143" s="227"/>
      <c r="X143" s="227"/>
      <c r="Y143" s="227"/>
      <c r="Z143" s="227"/>
      <c r="AA143" s="227"/>
      <c r="AB143" s="227"/>
      <c r="AC143" s="227"/>
      <c r="AD143" s="227"/>
      <c r="AE143" s="227"/>
      <c r="AF143" s="227"/>
      <c r="AG143" s="227"/>
      <c r="AH143" s="227"/>
      <c r="AI143" s="227"/>
      <c r="AJ143" s="227"/>
      <c r="AK143" s="227"/>
      <c r="AL143" s="225"/>
      <c r="AM143" s="227">
        <v>68</v>
      </c>
    </row>
    <row r="144" spans="1:39" ht="20.100000000000001" customHeight="1">
      <c r="A144" s="223"/>
      <c r="B144" s="225"/>
      <c r="C144" s="227"/>
      <c r="D144" s="224"/>
      <c r="E144" s="223"/>
      <c r="F144" s="223"/>
      <c r="G144" s="223"/>
      <c r="H144" s="223"/>
      <c r="I144" s="223"/>
      <c r="J144" s="223"/>
      <c r="K144" s="223"/>
      <c r="L144" s="223"/>
      <c r="M144" s="223"/>
      <c r="N144" s="223"/>
      <c r="O144" s="223"/>
      <c r="P144" s="223"/>
      <c r="Q144" s="223"/>
      <c r="R144" s="223"/>
      <c r="S144" s="223"/>
      <c r="T144" s="223"/>
      <c r="U144" s="223"/>
      <c r="V144" s="223"/>
      <c r="W144" s="223"/>
      <c r="X144" s="223"/>
      <c r="Y144" s="223"/>
      <c r="Z144" s="223"/>
      <c r="AA144" s="223"/>
      <c r="AB144" s="223"/>
      <c r="AC144" s="223"/>
      <c r="AD144" s="223"/>
      <c r="AE144" s="223"/>
      <c r="AF144" s="223"/>
      <c r="AG144" s="223"/>
      <c r="AH144" s="223"/>
      <c r="AI144" s="223"/>
      <c r="AJ144" s="223"/>
      <c r="AK144" s="223"/>
      <c r="AL144" s="223"/>
      <c r="AM144" s="225"/>
    </row>
    <row r="145" spans="1:39" ht="20.100000000000001" customHeight="1">
      <c r="A145" s="227">
        <v>69</v>
      </c>
      <c r="B145" s="225"/>
      <c r="C145" s="227"/>
      <c r="D145" s="228" cm="1">
        <f t="array" ref="D145">IFERROR(
(SUMPRODUCT(E145:AL145*$E$6:$AL$6)/100) + (SUMPRODUCT(E145:AL145*$E$6:$AL$6*$E$3:$AL$3)/100),
0
)</f>
        <v>0</v>
      </c>
      <c r="E145" s="227"/>
      <c r="F145" s="227"/>
      <c r="G145" s="227"/>
      <c r="H145" s="227"/>
      <c r="I145" s="227"/>
      <c r="J145" s="227"/>
      <c r="K145" s="227"/>
      <c r="L145" s="227"/>
      <c r="M145" s="227"/>
      <c r="N145" s="227"/>
      <c r="O145" s="227"/>
      <c r="P145" s="227"/>
      <c r="Q145" s="227"/>
      <c r="R145" s="227"/>
      <c r="S145" s="227"/>
      <c r="T145" s="227"/>
      <c r="U145" s="227"/>
      <c r="V145" s="227"/>
      <c r="W145" s="227"/>
      <c r="X145" s="227"/>
      <c r="Y145" s="227"/>
      <c r="Z145" s="227"/>
      <c r="AA145" s="227"/>
      <c r="AB145" s="227"/>
      <c r="AC145" s="227"/>
      <c r="AD145" s="227"/>
      <c r="AE145" s="227"/>
      <c r="AF145" s="227"/>
      <c r="AG145" s="227"/>
      <c r="AH145" s="227"/>
      <c r="AI145" s="227"/>
      <c r="AJ145" s="227"/>
      <c r="AK145" s="227"/>
      <c r="AL145" s="225"/>
      <c r="AM145" s="227">
        <v>69</v>
      </c>
    </row>
    <row r="146" spans="1:39" ht="20.100000000000001" customHeight="1">
      <c r="A146" s="227"/>
      <c r="B146" s="225"/>
      <c r="C146" s="227"/>
      <c r="D146" s="224"/>
      <c r="E146" s="223"/>
      <c r="F146" s="223"/>
      <c r="G146" s="223"/>
      <c r="H146" s="223"/>
      <c r="I146" s="223"/>
      <c r="J146" s="223"/>
      <c r="K146" s="223"/>
      <c r="L146" s="223"/>
      <c r="M146" s="223"/>
      <c r="N146" s="223"/>
      <c r="O146" s="223"/>
      <c r="P146" s="223"/>
      <c r="Q146" s="223"/>
      <c r="R146" s="223"/>
      <c r="S146" s="223"/>
      <c r="T146" s="223"/>
      <c r="U146" s="223"/>
      <c r="V146" s="223"/>
      <c r="W146" s="223"/>
      <c r="X146" s="223"/>
      <c r="Y146" s="223"/>
      <c r="Z146" s="223"/>
      <c r="AA146" s="223"/>
      <c r="AB146" s="223"/>
      <c r="AC146" s="223"/>
      <c r="AD146" s="223"/>
      <c r="AE146" s="223"/>
      <c r="AF146" s="223"/>
      <c r="AG146" s="223"/>
      <c r="AH146" s="223"/>
      <c r="AI146" s="223"/>
      <c r="AJ146" s="223"/>
      <c r="AK146" s="223"/>
      <c r="AL146" s="223"/>
      <c r="AM146" s="225"/>
    </row>
    <row r="147" spans="1:39" ht="20.100000000000001" customHeight="1">
      <c r="A147" s="227">
        <v>70</v>
      </c>
      <c r="B147" s="225"/>
      <c r="C147" s="227"/>
      <c r="D147" s="228" cm="1">
        <f t="array" ref="D147">IFERROR(
(SUMPRODUCT(E147:AL147*$E$6:$AL$6)/100) + (SUMPRODUCT(E147:AL147*$E$6:$AL$6*$E$3:$AL$3)/100),
0
)</f>
        <v>0</v>
      </c>
      <c r="E147" s="227"/>
      <c r="F147" s="227"/>
      <c r="G147" s="227"/>
      <c r="H147" s="227"/>
      <c r="I147" s="227"/>
      <c r="J147" s="227"/>
      <c r="K147" s="227"/>
      <c r="L147" s="227"/>
      <c r="M147" s="227"/>
      <c r="N147" s="227"/>
      <c r="O147" s="227"/>
      <c r="P147" s="227"/>
      <c r="Q147" s="227"/>
      <c r="R147" s="227"/>
      <c r="S147" s="227"/>
      <c r="T147" s="227"/>
      <c r="U147" s="227"/>
      <c r="V147" s="227"/>
      <c r="W147" s="227"/>
      <c r="X147" s="227"/>
      <c r="Y147" s="227"/>
      <c r="Z147" s="227"/>
      <c r="AA147" s="227"/>
      <c r="AB147" s="227"/>
      <c r="AC147" s="227"/>
      <c r="AD147" s="227"/>
      <c r="AE147" s="227"/>
      <c r="AF147" s="227"/>
      <c r="AG147" s="227"/>
      <c r="AH147" s="227"/>
      <c r="AI147" s="227"/>
      <c r="AJ147" s="227"/>
      <c r="AK147" s="227"/>
      <c r="AL147" s="225"/>
      <c r="AM147" s="227">
        <v>70</v>
      </c>
    </row>
    <row r="148" spans="1:39" ht="20.100000000000001" customHeight="1">
      <c r="A148" s="223"/>
      <c r="B148" s="225"/>
      <c r="C148" s="227"/>
      <c r="D148" s="224"/>
      <c r="E148" s="223"/>
      <c r="F148" s="223"/>
      <c r="G148" s="223"/>
      <c r="H148" s="223"/>
      <c r="I148" s="223"/>
      <c r="J148" s="223"/>
      <c r="K148" s="223"/>
      <c r="L148" s="223"/>
      <c r="M148" s="223"/>
      <c r="N148" s="223"/>
      <c r="O148" s="223"/>
      <c r="P148" s="223"/>
      <c r="Q148" s="223"/>
      <c r="R148" s="223"/>
      <c r="S148" s="223"/>
      <c r="T148" s="223"/>
      <c r="U148" s="223"/>
      <c r="V148" s="223"/>
      <c r="W148" s="223"/>
      <c r="X148" s="223"/>
      <c r="Y148" s="223"/>
      <c r="Z148" s="223"/>
      <c r="AA148" s="223"/>
      <c r="AB148" s="223"/>
      <c r="AC148" s="223"/>
      <c r="AD148" s="223"/>
      <c r="AE148" s="223"/>
      <c r="AF148" s="223"/>
      <c r="AG148" s="223"/>
      <c r="AH148" s="223"/>
      <c r="AI148" s="223"/>
      <c r="AJ148" s="223"/>
      <c r="AK148" s="223"/>
      <c r="AL148" s="223"/>
      <c r="AM148" s="225"/>
    </row>
    <row r="149" spans="1:39" ht="20.100000000000001" customHeight="1">
      <c r="A149" s="227">
        <v>71</v>
      </c>
      <c r="B149" s="225"/>
      <c r="C149" s="227"/>
      <c r="D149" s="228" cm="1">
        <f t="array" ref="D149">IFERROR(
(SUMPRODUCT(E149:AL149*$E$6:$AL$6)/100) + (SUMPRODUCT(E149:AL149*$E$6:$AL$6*$E$3:$AL$3)/100),
0
)</f>
        <v>0</v>
      </c>
      <c r="E149" s="227"/>
      <c r="F149" s="227"/>
      <c r="G149" s="227"/>
      <c r="H149" s="227"/>
      <c r="I149" s="227"/>
      <c r="J149" s="227"/>
      <c r="K149" s="227"/>
      <c r="L149" s="227"/>
      <c r="M149" s="227"/>
      <c r="N149" s="227"/>
      <c r="O149" s="227"/>
      <c r="P149" s="227"/>
      <c r="Q149" s="227"/>
      <c r="R149" s="227"/>
      <c r="S149" s="227"/>
      <c r="T149" s="227"/>
      <c r="U149" s="227"/>
      <c r="V149" s="227"/>
      <c r="W149" s="227"/>
      <c r="X149" s="227"/>
      <c r="Y149" s="227"/>
      <c r="Z149" s="227"/>
      <c r="AA149" s="227"/>
      <c r="AB149" s="227"/>
      <c r="AC149" s="227"/>
      <c r="AD149" s="227"/>
      <c r="AE149" s="227"/>
      <c r="AF149" s="227"/>
      <c r="AG149" s="227"/>
      <c r="AH149" s="227"/>
      <c r="AI149" s="227"/>
      <c r="AJ149" s="227"/>
      <c r="AK149" s="227"/>
      <c r="AL149" s="225"/>
      <c r="AM149" s="227">
        <v>71</v>
      </c>
    </row>
    <row r="150" spans="1:39" ht="20.100000000000001" customHeight="1">
      <c r="A150" s="227"/>
      <c r="B150" s="225"/>
      <c r="C150" s="227"/>
      <c r="D150" s="224"/>
      <c r="E150" s="223"/>
      <c r="F150" s="223"/>
      <c r="G150" s="223"/>
      <c r="H150" s="223"/>
      <c r="I150" s="223"/>
      <c r="J150" s="223"/>
      <c r="K150" s="223"/>
      <c r="L150" s="223"/>
      <c r="M150" s="223"/>
      <c r="N150" s="223"/>
      <c r="O150" s="223"/>
      <c r="P150" s="223"/>
      <c r="Q150" s="223"/>
      <c r="R150" s="223"/>
      <c r="S150" s="223"/>
      <c r="T150" s="223"/>
      <c r="U150" s="223"/>
      <c r="V150" s="223"/>
      <c r="W150" s="223"/>
      <c r="X150" s="223"/>
      <c r="Y150" s="223"/>
      <c r="Z150" s="223"/>
      <c r="AA150" s="223"/>
      <c r="AB150" s="223"/>
      <c r="AC150" s="223"/>
      <c r="AD150" s="223"/>
      <c r="AE150" s="223"/>
      <c r="AF150" s="223"/>
      <c r="AG150" s="223"/>
      <c r="AH150" s="223"/>
      <c r="AI150" s="223"/>
      <c r="AJ150" s="223"/>
      <c r="AK150" s="223"/>
      <c r="AL150" s="223"/>
      <c r="AM150" s="225"/>
    </row>
    <row r="151" spans="1:39" ht="20.100000000000001" customHeight="1">
      <c r="A151" s="227">
        <v>72</v>
      </c>
      <c r="B151" s="225"/>
      <c r="C151" s="227"/>
      <c r="D151" s="228" cm="1">
        <f t="array" ref="D151">IFERROR(
(SUMPRODUCT(E151:AL151*$E$6:$AL$6)/100) + (SUMPRODUCT(E151:AL151*$E$6:$AL$6*$E$3:$AL$3)/100),
0
)</f>
        <v>0</v>
      </c>
      <c r="E151" s="227"/>
      <c r="F151" s="227"/>
      <c r="G151" s="227"/>
      <c r="H151" s="227"/>
      <c r="I151" s="227"/>
      <c r="J151" s="227"/>
      <c r="K151" s="227"/>
      <c r="L151" s="227"/>
      <c r="M151" s="227"/>
      <c r="N151" s="227"/>
      <c r="O151" s="227"/>
      <c r="P151" s="227"/>
      <c r="Q151" s="227"/>
      <c r="R151" s="227"/>
      <c r="S151" s="227"/>
      <c r="T151" s="227"/>
      <c r="U151" s="227"/>
      <c r="V151" s="227"/>
      <c r="W151" s="227"/>
      <c r="X151" s="227"/>
      <c r="Y151" s="227"/>
      <c r="Z151" s="227"/>
      <c r="AA151" s="227"/>
      <c r="AB151" s="227"/>
      <c r="AC151" s="227"/>
      <c r="AD151" s="227"/>
      <c r="AE151" s="227"/>
      <c r="AF151" s="227"/>
      <c r="AG151" s="227"/>
      <c r="AH151" s="227"/>
      <c r="AI151" s="227"/>
      <c r="AJ151" s="227"/>
      <c r="AK151" s="227"/>
      <c r="AL151" s="225"/>
      <c r="AM151" s="227">
        <v>72</v>
      </c>
    </row>
    <row r="152" spans="1:39" ht="20.100000000000001" customHeight="1">
      <c r="A152" s="223"/>
      <c r="B152" s="225"/>
      <c r="C152" s="227"/>
      <c r="D152" s="224"/>
      <c r="E152" s="223"/>
      <c r="F152" s="223"/>
      <c r="G152" s="223"/>
      <c r="H152" s="223"/>
      <c r="I152" s="223"/>
      <c r="J152" s="223"/>
      <c r="K152" s="223"/>
      <c r="L152" s="223"/>
      <c r="M152" s="223"/>
      <c r="N152" s="223"/>
      <c r="O152" s="223"/>
      <c r="P152" s="223"/>
      <c r="Q152" s="223"/>
      <c r="R152" s="223"/>
      <c r="S152" s="223"/>
      <c r="T152" s="223"/>
      <c r="U152" s="223"/>
      <c r="V152" s="223"/>
      <c r="W152" s="223"/>
      <c r="X152" s="223"/>
      <c r="Y152" s="223"/>
      <c r="Z152" s="223"/>
      <c r="AA152" s="223"/>
      <c r="AB152" s="223"/>
      <c r="AC152" s="223"/>
      <c r="AD152" s="223"/>
      <c r="AE152" s="223"/>
      <c r="AF152" s="223"/>
      <c r="AG152" s="223"/>
      <c r="AH152" s="223"/>
      <c r="AI152" s="223"/>
      <c r="AJ152" s="223"/>
      <c r="AK152" s="223"/>
      <c r="AL152" s="223"/>
      <c r="AM152" s="225"/>
    </row>
    <row r="153" spans="1:39" ht="20.100000000000001" customHeight="1">
      <c r="A153" s="227">
        <v>73</v>
      </c>
      <c r="B153" s="225"/>
      <c r="C153" s="227"/>
      <c r="D153" s="228" cm="1">
        <f t="array" ref="D153">IFERROR(
(SUMPRODUCT(E153:AL153*$E$6:$AL$6)/100) + (SUMPRODUCT(E153:AL153*$E$6:$AL$6*$E$3:$AL$3)/100),
0
)</f>
        <v>0</v>
      </c>
      <c r="E153" s="227"/>
      <c r="F153" s="227"/>
      <c r="G153" s="227"/>
      <c r="H153" s="227"/>
      <c r="I153" s="227"/>
      <c r="J153" s="227"/>
      <c r="K153" s="227"/>
      <c r="L153" s="227"/>
      <c r="M153" s="227"/>
      <c r="N153" s="227"/>
      <c r="O153" s="227"/>
      <c r="P153" s="227"/>
      <c r="Q153" s="227"/>
      <c r="R153" s="227"/>
      <c r="S153" s="227"/>
      <c r="T153" s="227"/>
      <c r="U153" s="227"/>
      <c r="V153" s="227"/>
      <c r="W153" s="227"/>
      <c r="X153" s="227"/>
      <c r="Y153" s="227"/>
      <c r="Z153" s="227"/>
      <c r="AA153" s="227"/>
      <c r="AB153" s="227"/>
      <c r="AC153" s="227"/>
      <c r="AD153" s="227"/>
      <c r="AE153" s="227"/>
      <c r="AF153" s="227"/>
      <c r="AG153" s="227"/>
      <c r="AH153" s="227"/>
      <c r="AI153" s="227"/>
      <c r="AJ153" s="227"/>
      <c r="AK153" s="227"/>
      <c r="AL153" s="225"/>
      <c r="AM153" s="227">
        <v>73</v>
      </c>
    </row>
    <row r="154" spans="1:39" ht="20.100000000000001" customHeight="1">
      <c r="A154" s="227"/>
      <c r="B154" s="225"/>
      <c r="C154" s="227"/>
      <c r="D154" s="224"/>
      <c r="E154" s="223"/>
      <c r="F154" s="223"/>
      <c r="G154" s="223"/>
      <c r="H154" s="223"/>
      <c r="I154" s="223"/>
      <c r="J154" s="223"/>
      <c r="K154" s="223"/>
      <c r="L154" s="223"/>
      <c r="M154" s="223"/>
      <c r="N154" s="223"/>
      <c r="O154" s="223"/>
      <c r="P154" s="223"/>
      <c r="Q154" s="223"/>
      <c r="R154" s="223"/>
      <c r="S154" s="223"/>
      <c r="T154" s="223"/>
      <c r="U154" s="223"/>
      <c r="V154" s="223"/>
      <c r="W154" s="223"/>
      <c r="X154" s="223"/>
      <c r="Y154" s="223"/>
      <c r="Z154" s="223"/>
      <c r="AA154" s="223"/>
      <c r="AB154" s="223"/>
      <c r="AC154" s="223"/>
      <c r="AD154" s="223"/>
      <c r="AE154" s="223"/>
      <c r="AF154" s="223"/>
      <c r="AG154" s="223"/>
      <c r="AH154" s="223"/>
      <c r="AI154" s="223"/>
      <c r="AJ154" s="223"/>
      <c r="AK154" s="223"/>
      <c r="AL154" s="223"/>
      <c r="AM154" s="225"/>
    </row>
    <row r="155" spans="1:39" ht="20.100000000000001" customHeight="1">
      <c r="A155" s="227">
        <v>74</v>
      </c>
      <c r="B155" s="225"/>
      <c r="C155" s="227"/>
      <c r="D155" s="228" cm="1">
        <f t="array" ref="D155">IFERROR(
(SUMPRODUCT(E155:AL155*$E$6:$AL$6)/100) + (SUMPRODUCT(E155:AL155*$E$6:$AL$6*$E$3:$AL$3)/100),
0
)</f>
        <v>0</v>
      </c>
      <c r="E155" s="227"/>
      <c r="F155" s="227"/>
      <c r="G155" s="227"/>
      <c r="H155" s="227"/>
      <c r="I155" s="227"/>
      <c r="J155" s="227"/>
      <c r="K155" s="227"/>
      <c r="L155" s="227"/>
      <c r="M155" s="227"/>
      <c r="N155" s="227"/>
      <c r="O155" s="227"/>
      <c r="P155" s="227"/>
      <c r="Q155" s="227"/>
      <c r="R155" s="227"/>
      <c r="S155" s="227"/>
      <c r="T155" s="227"/>
      <c r="U155" s="227"/>
      <c r="V155" s="227"/>
      <c r="W155" s="227"/>
      <c r="X155" s="227"/>
      <c r="Y155" s="227"/>
      <c r="Z155" s="227"/>
      <c r="AA155" s="227"/>
      <c r="AB155" s="227"/>
      <c r="AC155" s="227"/>
      <c r="AD155" s="227"/>
      <c r="AE155" s="227"/>
      <c r="AF155" s="227"/>
      <c r="AG155" s="227"/>
      <c r="AH155" s="227"/>
      <c r="AI155" s="227"/>
      <c r="AJ155" s="227"/>
      <c r="AK155" s="227"/>
      <c r="AL155" s="225"/>
      <c r="AM155" s="227">
        <v>74</v>
      </c>
    </row>
    <row r="156" spans="1:39" ht="20.100000000000001" customHeight="1">
      <c r="A156" s="223"/>
      <c r="B156" s="225"/>
      <c r="C156" s="227"/>
      <c r="D156" s="224"/>
      <c r="E156" s="223"/>
      <c r="F156" s="223"/>
      <c r="G156" s="223"/>
      <c r="H156" s="223"/>
      <c r="I156" s="223"/>
      <c r="J156" s="223"/>
      <c r="K156" s="223"/>
      <c r="L156" s="223"/>
      <c r="M156" s="223"/>
      <c r="N156" s="223"/>
      <c r="O156" s="223"/>
      <c r="P156" s="223"/>
      <c r="Q156" s="223"/>
      <c r="R156" s="223"/>
      <c r="S156" s="223"/>
      <c r="T156" s="223"/>
      <c r="U156" s="223"/>
      <c r="V156" s="223"/>
      <c r="W156" s="223"/>
      <c r="X156" s="223"/>
      <c r="Y156" s="223"/>
      <c r="Z156" s="223"/>
      <c r="AA156" s="223"/>
      <c r="AB156" s="223"/>
      <c r="AC156" s="223"/>
      <c r="AD156" s="223"/>
      <c r="AE156" s="223"/>
      <c r="AF156" s="223"/>
      <c r="AG156" s="223"/>
      <c r="AH156" s="223"/>
      <c r="AI156" s="223"/>
      <c r="AJ156" s="223"/>
      <c r="AK156" s="223"/>
      <c r="AL156" s="223"/>
      <c r="AM156" s="225"/>
    </row>
    <row r="157" spans="1:39" ht="20.100000000000001" customHeight="1">
      <c r="A157" s="227">
        <v>75</v>
      </c>
      <c r="B157" s="225"/>
      <c r="C157" s="227"/>
      <c r="D157" s="228" cm="1">
        <f t="array" ref="D157">IFERROR(
(SUMPRODUCT(E157:AL157*$E$6:$AL$6)/100) + (SUMPRODUCT(E157:AL157*$E$6:$AL$6*$E$3:$AL$3)/100),
0
)</f>
        <v>0</v>
      </c>
      <c r="E157" s="227"/>
      <c r="F157" s="227"/>
      <c r="G157" s="227"/>
      <c r="H157" s="227"/>
      <c r="I157" s="227"/>
      <c r="J157" s="227"/>
      <c r="K157" s="227"/>
      <c r="L157" s="227"/>
      <c r="M157" s="227"/>
      <c r="N157" s="227"/>
      <c r="O157" s="227"/>
      <c r="P157" s="227"/>
      <c r="Q157" s="227"/>
      <c r="R157" s="227"/>
      <c r="S157" s="227"/>
      <c r="T157" s="227"/>
      <c r="U157" s="227"/>
      <c r="V157" s="227"/>
      <c r="W157" s="227"/>
      <c r="X157" s="227"/>
      <c r="Y157" s="227"/>
      <c r="Z157" s="227"/>
      <c r="AA157" s="227"/>
      <c r="AB157" s="227"/>
      <c r="AC157" s="227"/>
      <c r="AD157" s="227"/>
      <c r="AE157" s="227"/>
      <c r="AF157" s="227"/>
      <c r="AG157" s="227"/>
      <c r="AH157" s="227"/>
      <c r="AI157" s="227"/>
      <c r="AJ157" s="227"/>
      <c r="AK157" s="227"/>
      <c r="AL157" s="225"/>
      <c r="AM157" s="227">
        <v>75</v>
      </c>
    </row>
    <row r="158" spans="1:39" ht="20.100000000000001" customHeight="1">
      <c r="A158" s="227"/>
      <c r="B158" s="225"/>
      <c r="C158" s="227"/>
      <c r="D158" s="224"/>
      <c r="E158" s="223"/>
      <c r="F158" s="223"/>
      <c r="G158" s="223"/>
      <c r="H158" s="223"/>
      <c r="I158" s="223"/>
      <c r="J158" s="223"/>
      <c r="K158" s="223"/>
      <c r="L158" s="223"/>
      <c r="M158" s="223"/>
      <c r="N158" s="223"/>
      <c r="O158" s="223"/>
      <c r="P158" s="223"/>
      <c r="Q158" s="223"/>
      <c r="R158" s="223"/>
      <c r="S158" s="223"/>
      <c r="T158" s="223"/>
      <c r="U158" s="223"/>
      <c r="V158" s="223"/>
      <c r="W158" s="223"/>
      <c r="X158" s="223"/>
      <c r="Y158" s="223"/>
      <c r="Z158" s="223"/>
      <c r="AA158" s="223"/>
      <c r="AB158" s="223"/>
      <c r="AC158" s="223"/>
      <c r="AD158" s="223"/>
      <c r="AE158" s="223"/>
      <c r="AF158" s="223"/>
      <c r="AG158" s="223"/>
      <c r="AH158" s="223"/>
      <c r="AI158" s="223"/>
      <c r="AJ158" s="223"/>
      <c r="AK158" s="223"/>
      <c r="AL158" s="223"/>
      <c r="AM158" s="225"/>
    </row>
    <row r="159" spans="1:39" ht="20.100000000000001" customHeight="1">
      <c r="A159" s="227">
        <v>76</v>
      </c>
      <c r="B159" s="225"/>
      <c r="C159" s="227"/>
      <c r="D159" s="228" cm="1">
        <f t="array" ref="D159">IFERROR(
(SUMPRODUCT(E159:AL159*$E$6:$AL$6)/100) + (SUMPRODUCT(E159:AL159*$E$6:$AL$6*$E$3:$AL$3)/100),
0
)</f>
        <v>0</v>
      </c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7"/>
      <c r="Y159" s="227"/>
      <c r="Z159" s="227"/>
      <c r="AA159" s="227"/>
      <c r="AB159" s="227"/>
      <c r="AC159" s="227"/>
      <c r="AD159" s="227"/>
      <c r="AE159" s="227"/>
      <c r="AF159" s="227"/>
      <c r="AG159" s="227"/>
      <c r="AH159" s="227"/>
      <c r="AI159" s="227"/>
      <c r="AJ159" s="227"/>
      <c r="AK159" s="227"/>
      <c r="AL159" s="225"/>
      <c r="AM159" s="227">
        <v>76</v>
      </c>
    </row>
    <row r="160" spans="1:39" ht="20.100000000000001" customHeight="1">
      <c r="A160" s="223"/>
      <c r="B160" s="225"/>
      <c r="C160" s="227"/>
      <c r="D160" s="224"/>
      <c r="E160" s="223"/>
      <c r="F160" s="223"/>
      <c r="G160" s="223"/>
      <c r="H160" s="223"/>
      <c r="I160" s="223"/>
      <c r="J160" s="223"/>
      <c r="K160" s="223"/>
      <c r="L160" s="223"/>
      <c r="M160" s="223"/>
      <c r="N160" s="223"/>
      <c r="O160" s="223"/>
      <c r="P160" s="223"/>
      <c r="Q160" s="223"/>
      <c r="R160" s="223"/>
      <c r="S160" s="223"/>
      <c r="T160" s="223"/>
      <c r="U160" s="223"/>
      <c r="V160" s="223"/>
      <c r="W160" s="223"/>
      <c r="X160" s="223"/>
      <c r="Y160" s="223"/>
      <c r="Z160" s="223"/>
      <c r="AA160" s="223"/>
      <c r="AB160" s="223"/>
      <c r="AC160" s="223"/>
      <c r="AD160" s="223"/>
      <c r="AE160" s="223"/>
      <c r="AF160" s="223"/>
      <c r="AG160" s="223"/>
      <c r="AH160" s="223"/>
      <c r="AI160" s="223"/>
      <c r="AJ160" s="223"/>
      <c r="AK160" s="223"/>
      <c r="AL160" s="223"/>
      <c r="AM160" s="225"/>
    </row>
    <row r="161" spans="1:39" ht="20.100000000000001" customHeight="1">
      <c r="A161" s="227">
        <v>77</v>
      </c>
      <c r="B161" s="225"/>
      <c r="C161" s="227"/>
      <c r="D161" s="228" cm="1">
        <f t="array" ref="D161">IFERROR(
(SUMPRODUCT(E161:AL161*$E$6:$AL$6)/100) + (SUMPRODUCT(E161:AL161*$E$6:$AL$6*$E$3:$AL$3)/100),
0
)</f>
        <v>0</v>
      </c>
      <c r="E161" s="227"/>
      <c r="F161" s="227"/>
      <c r="G161" s="227"/>
      <c r="H161" s="227"/>
      <c r="I161" s="227"/>
      <c r="J161" s="227"/>
      <c r="K161" s="227"/>
      <c r="L161" s="227"/>
      <c r="M161" s="227"/>
      <c r="N161" s="227"/>
      <c r="O161" s="227"/>
      <c r="P161" s="227"/>
      <c r="Q161" s="227"/>
      <c r="R161" s="227"/>
      <c r="S161" s="227"/>
      <c r="T161" s="227"/>
      <c r="U161" s="227"/>
      <c r="V161" s="227"/>
      <c r="W161" s="227"/>
      <c r="X161" s="227"/>
      <c r="Y161" s="227"/>
      <c r="Z161" s="227"/>
      <c r="AA161" s="227"/>
      <c r="AB161" s="227"/>
      <c r="AC161" s="227"/>
      <c r="AD161" s="227"/>
      <c r="AE161" s="227"/>
      <c r="AF161" s="227"/>
      <c r="AG161" s="227"/>
      <c r="AH161" s="227"/>
      <c r="AI161" s="227"/>
      <c r="AJ161" s="227"/>
      <c r="AK161" s="227"/>
      <c r="AL161" s="225"/>
      <c r="AM161" s="227">
        <v>77</v>
      </c>
    </row>
    <row r="162" spans="1:39" ht="20.100000000000001" customHeight="1">
      <c r="A162" s="227"/>
      <c r="B162" s="225"/>
      <c r="C162" s="227"/>
      <c r="D162" s="224"/>
      <c r="E162" s="223"/>
      <c r="F162" s="223"/>
      <c r="G162" s="223"/>
      <c r="H162" s="223"/>
      <c r="I162" s="223"/>
      <c r="J162" s="223"/>
      <c r="K162" s="223"/>
      <c r="L162" s="223"/>
      <c r="M162" s="223"/>
      <c r="N162" s="223"/>
      <c r="O162" s="223"/>
      <c r="P162" s="223"/>
      <c r="Q162" s="223"/>
      <c r="R162" s="223"/>
      <c r="S162" s="223"/>
      <c r="T162" s="223"/>
      <c r="U162" s="223"/>
      <c r="V162" s="223"/>
      <c r="W162" s="223"/>
      <c r="X162" s="223"/>
      <c r="Y162" s="223"/>
      <c r="Z162" s="223"/>
      <c r="AA162" s="223"/>
      <c r="AB162" s="223"/>
      <c r="AC162" s="223"/>
      <c r="AD162" s="223"/>
      <c r="AE162" s="223"/>
      <c r="AF162" s="223"/>
      <c r="AG162" s="223"/>
      <c r="AH162" s="223"/>
      <c r="AI162" s="223"/>
      <c r="AJ162" s="223"/>
      <c r="AK162" s="223"/>
      <c r="AL162" s="223"/>
      <c r="AM162" s="225"/>
    </row>
    <row r="163" spans="1:39" ht="20.100000000000001" customHeight="1">
      <c r="A163" s="227">
        <v>78</v>
      </c>
      <c r="B163" s="225"/>
      <c r="C163" s="227"/>
      <c r="D163" s="228" cm="1">
        <f t="array" ref="D163">IFERROR(
(SUMPRODUCT(E163:AL163*$E$6:$AL$6)/100) + (SUMPRODUCT(E163:AL163*$E$6:$AL$6*$E$3:$AL$3)/100),
0
)</f>
        <v>0</v>
      </c>
      <c r="E163" s="227"/>
      <c r="F163" s="227"/>
      <c r="G163" s="227"/>
      <c r="H163" s="227"/>
      <c r="I163" s="227"/>
      <c r="J163" s="227"/>
      <c r="K163" s="227"/>
      <c r="L163" s="227"/>
      <c r="M163" s="227"/>
      <c r="N163" s="227"/>
      <c r="O163" s="227"/>
      <c r="P163" s="227"/>
      <c r="Q163" s="227"/>
      <c r="R163" s="227"/>
      <c r="S163" s="227"/>
      <c r="T163" s="227"/>
      <c r="U163" s="227"/>
      <c r="V163" s="227"/>
      <c r="W163" s="227"/>
      <c r="X163" s="227"/>
      <c r="Y163" s="227"/>
      <c r="Z163" s="227"/>
      <c r="AA163" s="227"/>
      <c r="AB163" s="227"/>
      <c r="AC163" s="227"/>
      <c r="AD163" s="227"/>
      <c r="AE163" s="227"/>
      <c r="AF163" s="227"/>
      <c r="AG163" s="227"/>
      <c r="AH163" s="227"/>
      <c r="AI163" s="227"/>
      <c r="AJ163" s="227"/>
      <c r="AK163" s="227"/>
      <c r="AL163" s="225"/>
      <c r="AM163" s="227">
        <v>78</v>
      </c>
    </row>
    <row r="164" spans="1:39" ht="20.100000000000001" customHeight="1">
      <c r="A164" s="223"/>
      <c r="B164" s="225"/>
      <c r="C164" s="227"/>
      <c r="D164" s="224"/>
      <c r="E164" s="223"/>
      <c r="F164" s="223"/>
      <c r="G164" s="223"/>
      <c r="H164" s="223"/>
      <c r="I164" s="223"/>
      <c r="J164" s="223"/>
      <c r="K164" s="223"/>
      <c r="L164" s="223"/>
      <c r="M164" s="223"/>
      <c r="N164" s="223"/>
      <c r="O164" s="223"/>
      <c r="P164" s="223"/>
      <c r="Q164" s="223"/>
      <c r="R164" s="223"/>
      <c r="S164" s="223"/>
      <c r="T164" s="223"/>
      <c r="U164" s="223"/>
      <c r="V164" s="223"/>
      <c r="W164" s="223"/>
      <c r="X164" s="223"/>
      <c r="Y164" s="223"/>
      <c r="Z164" s="223"/>
      <c r="AA164" s="223"/>
      <c r="AB164" s="223"/>
      <c r="AC164" s="223"/>
      <c r="AD164" s="223"/>
      <c r="AE164" s="223"/>
      <c r="AF164" s="223"/>
      <c r="AG164" s="223"/>
      <c r="AH164" s="223"/>
      <c r="AI164" s="223"/>
      <c r="AJ164" s="223"/>
      <c r="AK164" s="223"/>
      <c r="AL164" s="223"/>
      <c r="AM164" s="225"/>
    </row>
    <row r="165" spans="1:39" ht="20.100000000000001" customHeight="1">
      <c r="A165" s="227">
        <v>79</v>
      </c>
      <c r="B165" s="225"/>
      <c r="C165" s="227"/>
      <c r="D165" s="228" cm="1">
        <f t="array" ref="D165">IFERROR(
(SUMPRODUCT(E165:AL165*$E$6:$AL$6)/100) + (SUMPRODUCT(E165:AL165*$E$6:$AL$6*$E$3:$AL$3)/100),
0
)</f>
        <v>0</v>
      </c>
      <c r="E165" s="227"/>
      <c r="F165" s="227"/>
      <c r="G165" s="227"/>
      <c r="H165" s="227"/>
      <c r="I165" s="227"/>
      <c r="J165" s="227"/>
      <c r="K165" s="227"/>
      <c r="L165" s="227"/>
      <c r="M165" s="227"/>
      <c r="N165" s="227"/>
      <c r="O165" s="227"/>
      <c r="P165" s="227"/>
      <c r="Q165" s="227"/>
      <c r="R165" s="227"/>
      <c r="S165" s="227"/>
      <c r="T165" s="227"/>
      <c r="U165" s="227"/>
      <c r="V165" s="227"/>
      <c r="W165" s="227"/>
      <c r="X165" s="227"/>
      <c r="Y165" s="227"/>
      <c r="Z165" s="227"/>
      <c r="AA165" s="227"/>
      <c r="AB165" s="227"/>
      <c r="AC165" s="227"/>
      <c r="AD165" s="227"/>
      <c r="AE165" s="227"/>
      <c r="AF165" s="227"/>
      <c r="AG165" s="227"/>
      <c r="AH165" s="227"/>
      <c r="AI165" s="227"/>
      <c r="AJ165" s="227"/>
      <c r="AK165" s="227"/>
      <c r="AL165" s="225"/>
      <c r="AM165" s="227">
        <v>79</v>
      </c>
    </row>
    <row r="166" spans="1:39" ht="20.100000000000001" customHeight="1">
      <c r="A166" s="227"/>
      <c r="B166" s="225"/>
      <c r="C166" s="227"/>
      <c r="D166" s="224"/>
      <c r="E166" s="223"/>
      <c r="F166" s="223"/>
      <c r="G166" s="223"/>
      <c r="H166" s="223"/>
      <c r="I166" s="223"/>
      <c r="J166" s="223"/>
      <c r="K166" s="223"/>
      <c r="L166" s="223"/>
      <c r="M166" s="223"/>
      <c r="N166" s="223"/>
      <c r="O166" s="223"/>
      <c r="P166" s="223"/>
      <c r="Q166" s="223"/>
      <c r="R166" s="223"/>
      <c r="S166" s="223"/>
      <c r="T166" s="223"/>
      <c r="U166" s="223"/>
      <c r="V166" s="223"/>
      <c r="W166" s="223"/>
      <c r="X166" s="223"/>
      <c r="Y166" s="223"/>
      <c r="Z166" s="223"/>
      <c r="AA166" s="223"/>
      <c r="AB166" s="223"/>
      <c r="AC166" s="223"/>
      <c r="AD166" s="223"/>
      <c r="AE166" s="223"/>
      <c r="AF166" s="223"/>
      <c r="AG166" s="223"/>
      <c r="AH166" s="223"/>
      <c r="AI166" s="223"/>
      <c r="AJ166" s="223"/>
      <c r="AK166" s="223"/>
      <c r="AL166" s="223"/>
      <c r="AM166" s="225"/>
    </row>
    <row r="167" spans="1:39" ht="20.100000000000001" customHeight="1">
      <c r="A167" s="227">
        <v>80</v>
      </c>
      <c r="B167" s="225"/>
      <c r="C167" s="227"/>
      <c r="D167" s="228" cm="1">
        <f t="array" ref="D167">IFERROR(
(SUMPRODUCT(E167:AL167*$E$6:$AL$6)/100) + (SUMPRODUCT(E167:AL167*$E$6:$AL$6*$E$3:$AL$3)/100),
0
)</f>
        <v>0</v>
      </c>
      <c r="E167" s="227"/>
      <c r="F167" s="227"/>
      <c r="G167" s="227"/>
      <c r="H167" s="227"/>
      <c r="I167" s="227"/>
      <c r="J167" s="227"/>
      <c r="K167" s="227"/>
      <c r="L167" s="227"/>
      <c r="M167" s="227"/>
      <c r="N167" s="227"/>
      <c r="O167" s="227"/>
      <c r="P167" s="227"/>
      <c r="Q167" s="227"/>
      <c r="R167" s="227"/>
      <c r="S167" s="227"/>
      <c r="T167" s="227"/>
      <c r="U167" s="227"/>
      <c r="V167" s="227"/>
      <c r="W167" s="227"/>
      <c r="X167" s="227"/>
      <c r="Y167" s="227"/>
      <c r="Z167" s="227"/>
      <c r="AA167" s="227"/>
      <c r="AB167" s="227"/>
      <c r="AC167" s="227"/>
      <c r="AD167" s="227"/>
      <c r="AE167" s="227"/>
      <c r="AF167" s="227"/>
      <c r="AG167" s="227"/>
      <c r="AH167" s="227"/>
      <c r="AI167" s="227"/>
      <c r="AJ167" s="227"/>
      <c r="AK167" s="227"/>
      <c r="AL167" s="225"/>
      <c r="AM167" s="227">
        <v>80</v>
      </c>
    </row>
    <row r="168" spans="1:39" ht="20.100000000000001" customHeight="1">
      <c r="A168" s="223"/>
      <c r="B168" s="225"/>
      <c r="C168" s="227"/>
      <c r="D168" s="224"/>
      <c r="E168" s="223"/>
      <c r="F168" s="223"/>
      <c r="G168" s="223"/>
      <c r="H168" s="223"/>
      <c r="I168" s="223"/>
      <c r="J168" s="223"/>
      <c r="K168" s="223"/>
      <c r="L168" s="223"/>
      <c r="M168" s="223"/>
      <c r="N168" s="223"/>
      <c r="O168" s="223"/>
      <c r="P168" s="223"/>
      <c r="Q168" s="223"/>
      <c r="R168" s="223"/>
      <c r="S168" s="223"/>
      <c r="T168" s="223"/>
      <c r="U168" s="223"/>
      <c r="V168" s="223"/>
      <c r="W168" s="223"/>
      <c r="X168" s="223"/>
      <c r="Y168" s="223"/>
      <c r="Z168" s="223"/>
      <c r="AA168" s="223"/>
      <c r="AB168" s="223"/>
      <c r="AC168" s="223"/>
      <c r="AD168" s="223"/>
      <c r="AE168" s="223"/>
      <c r="AF168" s="223"/>
      <c r="AG168" s="223"/>
      <c r="AH168" s="223"/>
      <c r="AI168" s="223"/>
      <c r="AJ168" s="223"/>
      <c r="AK168" s="223"/>
      <c r="AL168" s="223"/>
      <c r="AM168" s="225"/>
    </row>
    <row r="169" spans="1:39" ht="20.100000000000001" customHeight="1">
      <c r="A169" s="227">
        <v>81</v>
      </c>
      <c r="B169" s="225"/>
      <c r="C169" s="227"/>
      <c r="D169" s="228" cm="1">
        <f t="array" ref="D169">IFERROR(
(SUMPRODUCT(E169:AL169*$E$6:$AL$6)/100) + (SUMPRODUCT(E169:AL169*$E$6:$AL$6*$E$3:$AL$3)/100),
0
)</f>
        <v>0</v>
      </c>
      <c r="E169" s="227"/>
      <c r="F169" s="227"/>
      <c r="G169" s="227"/>
      <c r="H169" s="227"/>
      <c r="I169" s="227"/>
      <c r="J169" s="227"/>
      <c r="K169" s="227"/>
      <c r="L169" s="227"/>
      <c r="M169" s="227"/>
      <c r="N169" s="227"/>
      <c r="O169" s="227"/>
      <c r="P169" s="227"/>
      <c r="Q169" s="227"/>
      <c r="R169" s="227"/>
      <c r="S169" s="227"/>
      <c r="T169" s="227"/>
      <c r="U169" s="227"/>
      <c r="V169" s="227"/>
      <c r="W169" s="227"/>
      <c r="X169" s="227"/>
      <c r="Y169" s="227"/>
      <c r="Z169" s="227"/>
      <c r="AA169" s="227"/>
      <c r="AB169" s="227"/>
      <c r="AC169" s="227"/>
      <c r="AD169" s="227"/>
      <c r="AE169" s="227"/>
      <c r="AF169" s="227"/>
      <c r="AG169" s="227"/>
      <c r="AH169" s="227"/>
      <c r="AI169" s="227"/>
      <c r="AJ169" s="227"/>
      <c r="AK169" s="227"/>
      <c r="AL169" s="225"/>
      <c r="AM169" s="227">
        <v>81</v>
      </c>
    </row>
    <row r="170" spans="1:39" ht="20.100000000000001" customHeight="1">
      <c r="A170" s="227"/>
      <c r="B170" s="225"/>
      <c r="C170" s="227"/>
      <c r="D170" s="224"/>
      <c r="E170" s="223"/>
      <c r="F170" s="223"/>
      <c r="G170" s="223"/>
      <c r="H170" s="223"/>
      <c r="I170" s="223"/>
      <c r="J170" s="223"/>
      <c r="K170" s="223"/>
      <c r="L170" s="223"/>
      <c r="M170" s="223"/>
      <c r="N170" s="223"/>
      <c r="O170" s="223"/>
      <c r="P170" s="223"/>
      <c r="Q170" s="223"/>
      <c r="R170" s="223"/>
      <c r="S170" s="223"/>
      <c r="T170" s="223"/>
      <c r="U170" s="223"/>
      <c r="V170" s="223"/>
      <c r="W170" s="223"/>
      <c r="X170" s="223"/>
      <c r="Y170" s="223"/>
      <c r="Z170" s="223"/>
      <c r="AA170" s="223"/>
      <c r="AB170" s="223"/>
      <c r="AC170" s="223"/>
      <c r="AD170" s="223"/>
      <c r="AE170" s="223"/>
      <c r="AF170" s="223"/>
      <c r="AG170" s="223"/>
      <c r="AH170" s="223"/>
      <c r="AI170" s="223"/>
      <c r="AJ170" s="223"/>
      <c r="AK170" s="223"/>
      <c r="AL170" s="223"/>
      <c r="AM170" s="225"/>
    </row>
    <row r="171" spans="1:39" ht="20.100000000000001" customHeight="1">
      <c r="A171" s="227">
        <v>82</v>
      </c>
      <c r="B171" s="225"/>
      <c r="C171" s="227"/>
      <c r="D171" s="228" cm="1">
        <f t="array" ref="D171">IFERROR(
(SUMPRODUCT(E171:AL171*$E$6:$AL$6)/100) + (SUMPRODUCT(E171:AL171*$E$6:$AL$6*$E$3:$AL$3)/100),
0
)</f>
        <v>0</v>
      </c>
      <c r="E171" s="227"/>
      <c r="F171" s="227"/>
      <c r="G171" s="227"/>
      <c r="H171" s="227"/>
      <c r="I171" s="227"/>
      <c r="J171" s="227"/>
      <c r="K171" s="227"/>
      <c r="L171" s="227"/>
      <c r="M171" s="227"/>
      <c r="N171" s="227"/>
      <c r="O171" s="227"/>
      <c r="P171" s="227"/>
      <c r="Q171" s="227"/>
      <c r="R171" s="227"/>
      <c r="S171" s="227"/>
      <c r="T171" s="227"/>
      <c r="U171" s="227"/>
      <c r="V171" s="227"/>
      <c r="W171" s="227"/>
      <c r="X171" s="227"/>
      <c r="Y171" s="227"/>
      <c r="Z171" s="227"/>
      <c r="AA171" s="227"/>
      <c r="AB171" s="227"/>
      <c r="AC171" s="227"/>
      <c r="AD171" s="227"/>
      <c r="AE171" s="227"/>
      <c r="AF171" s="227"/>
      <c r="AG171" s="227"/>
      <c r="AH171" s="227"/>
      <c r="AI171" s="227"/>
      <c r="AJ171" s="227"/>
      <c r="AK171" s="227"/>
      <c r="AL171" s="225"/>
      <c r="AM171" s="227">
        <v>82</v>
      </c>
    </row>
    <row r="172" spans="1:39" ht="20.100000000000001" customHeight="1">
      <c r="A172" s="223"/>
      <c r="B172" s="225"/>
      <c r="C172" s="227"/>
      <c r="D172" s="224"/>
      <c r="E172" s="223"/>
      <c r="F172" s="223"/>
      <c r="G172" s="223"/>
      <c r="H172" s="223"/>
      <c r="I172" s="223"/>
      <c r="J172" s="223"/>
      <c r="K172" s="223"/>
      <c r="L172" s="223"/>
      <c r="M172" s="223"/>
      <c r="N172" s="223"/>
      <c r="O172" s="223"/>
      <c r="P172" s="223"/>
      <c r="Q172" s="223"/>
      <c r="R172" s="223"/>
      <c r="S172" s="223"/>
      <c r="T172" s="223"/>
      <c r="U172" s="223"/>
      <c r="V172" s="223"/>
      <c r="W172" s="223"/>
      <c r="X172" s="223"/>
      <c r="Y172" s="223"/>
      <c r="Z172" s="223"/>
      <c r="AA172" s="223"/>
      <c r="AB172" s="223"/>
      <c r="AC172" s="223"/>
      <c r="AD172" s="223"/>
      <c r="AE172" s="223"/>
      <c r="AF172" s="223"/>
      <c r="AG172" s="223"/>
      <c r="AH172" s="223"/>
      <c r="AI172" s="223"/>
      <c r="AJ172" s="223"/>
      <c r="AK172" s="223"/>
      <c r="AL172" s="223"/>
      <c r="AM172" s="225"/>
    </row>
    <row r="173" spans="1:39" ht="20.100000000000001" customHeight="1">
      <c r="A173" s="227">
        <v>83</v>
      </c>
      <c r="B173" s="225"/>
      <c r="C173" s="227"/>
      <c r="D173" s="228" cm="1">
        <f t="array" ref="D173">IFERROR(
(SUMPRODUCT(E173:AL173*$E$6:$AL$6)/100) + (SUMPRODUCT(E173:AL173*$E$6:$AL$6*$E$3:$AL$3)/100),
0
)</f>
        <v>0</v>
      </c>
      <c r="E173" s="227"/>
      <c r="F173" s="227"/>
      <c r="G173" s="227"/>
      <c r="H173" s="227"/>
      <c r="I173" s="227"/>
      <c r="J173" s="227"/>
      <c r="K173" s="227"/>
      <c r="L173" s="227"/>
      <c r="M173" s="227"/>
      <c r="N173" s="227"/>
      <c r="O173" s="227"/>
      <c r="P173" s="227"/>
      <c r="Q173" s="227"/>
      <c r="R173" s="227"/>
      <c r="S173" s="227"/>
      <c r="T173" s="227"/>
      <c r="U173" s="227"/>
      <c r="V173" s="227"/>
      <c r="W173" s="227"/>
      <c r="X173" s="227"/>
      <c r="Y173" s="227"/>
      <c r="Z173" s="227"/>
      <c r="AA173" s="227"/>
      <c r="AB173" s="227"/>
      <c r="AC173" s="227"/>
      <c r="AD173" s="227"/>
      <c r="AE173" s="227"/>
      <c r="AF173" s="227"/>
      <c r="AG173" s="227"/>
      <c r="AH173" s="227"/>
      <c r="AI173" s="227"/>
      <c r="AJ173" s="227"/>
      <c r="AK173" s="227"/>
      <c r="AL173" s="225"/>
      <c r="AM173" s="227">
        <v>83</v>
      </c>
    </row>
    <row r="174" spans="1:39" ht="20.100000000000001" customHeight="1">
      <c r="A174" s="227"/>
      <c r="B174" s="225"/>
      <c r="C174" s="227"/>
      <c r="D174" s="224"/>
      <c r="E174" s="223"/>
      <c r="F174" s="223"/>
      <c r="G174" s="223"/>
      <c r="H174" s="223"/>
      <c r="I174" s="223"/>
      <c r="J174" s="223"/>
      <c r="K174" s="223"/>
      <c r="L174" s="223"/>
      <c r="M174" s="223"/>
      <c r="N174" s="223"/>
      <c r="O174" s="223"/>
      <c r="P174" s="223"/>
      <c r="Q174" s="223"/>
      <c r="R174" s="223"/>
      <c r="S174" s="223"/>
      <c r="T174" s="223"/>
      <c r="U174" s="223"/>
      <c r="V174" s="223"/>
      <c r="W174" s="223"/>
      <c r="X174" s="223"/>
      <c r="Y174" s="223"/>
      <c r="Z174" s="223"/>
      <c r="AA174" s="223"/>
      <c r="AB174" s="223"/>
      <c r="AC174" s="223"/>
      <c r="AD174" s="223"/>
      <c r="AE174" s="223"/>
      <c r="AF174" s="223"/>
      <c r="AG174" s="223"/>
      <c r="AH174" s="223"/>
      <c r="AI174" s="223"/>
      <c r="AJ174" s="223"/>
      <c r="AK174" s="223"/>
      <c r="AL174" s="223"/>
      <c r="AM174" s="225"/>
    </row>
    <row r="175" spans="1:39" ht="20.100000000000001" customHeight="1">
      <c r="A175" s="227">
        <v>84</v>
      </c>
      <c r="B175" s="225"/>
      <c r="C175" s="227"/>
      <c r="D175" s="228" cm="1">
        <f t="array" ref="D175">IFERROR(
(SUMPRODUCT(E175:AL175*$E$6:$AL$6)/100) + (SUMPRODUCT(E175:AL175*$E$6:$AL$6*$E$3:$AL$3)/100),
0
)</f>
        <v>0</v>
      </c>
      <c r="E175" s="227"/>
      <c r="F175" s="227"/>
      <c r="G175" s="227"/>
      <c r="H175" s="227"/>
      <c r="I175" s="227"/>
      <c r="J175" s="227"/>
      <c r="K175" s="227"/>
      <c r="L175" s="227"/>
      <c r="M175" s="227"/>
      <c r="N175" s="227"/>
      <c r="O175" s="227"/>
      <c r="P175" s="227"/>
      <c r="Q175" s="227"/>
      <c r="R175" s="227"/>
      <c r="S175" s="227"/>
      <c r="T175" s="227"/>
      <c r="U175" s="227"/>
      <c r="V175" s="227"/>
      <c r="W175" s="227"/>
      <c r="X175" s="227"/>
      <c r="Y175" s="227"/>
      <c r="Z175" s="227"/>
      <c r="AA175" s="227"/>
      <c r="AB175" s="227"/>
      <c r="AC175" s="227"/>
      <c r="AD175" s="227"/>
      <c r="AE175" s="227"/>
      <c r="AF175" s="227"/>
      <c r="AG175" s="227"/>
      <c r="AH175" s="227"/>
      <c r="AI175" s="227"/>
      <c r="AJ175" s="227"/>
      <c r="AK175" s="227"/>
      <c r="AL175" s="225"/>
      <c r="AM175" s="227">
        <v>84</v>
      </c>
    </row>
    <row r="176" spans="1:39" ht="20.100000000000001" customHeight="1">
      <c r="A176" s="223"/>
      <c r="B176" s="225"/>
      <c r="C176" s="227"/>
      <c r="D176" s="224"/>
      <c r="E176" s="223"/>
      <c r="F176" s="223"/>
      <c r="G176" s="223"/>
      <c r="H176" s="223"/>
      <c r="I176" s="223"/>
      <c r="J176" s="223"/>
      <c r="K176" s="223"/>
      <c r="L176" s="223"/>
      <c r="M176" s="223"/>
      <c r="N176" s="223"/>
      <c r="O176" s="223"/>
      <c r="P176" s="223"/>
      <c r="Q176" s="223"/>
      <c r="R176" s="223"/>
      <c r="S176" s="223"/>
      <c r="T176" s="223"/>
      <c r="U176" s="223"/>
      <c r="V176" s="223"/>
      <c r="W176" s="223"/>
      <c r="X176" s="223"/>
      <c r="Y176" s="223"/>
      <c r="Z176" s="223"/>
      <c r="AA176" s="223"/>
      <c r="AB176" s="223"/>
      <c r="AC176" s="223"/>
      <c r="AD176" s="223"/>
      <c r="AE176" s="223"/>
      <c r="AF176" s="223"/>
      <c r="AG176" s="223"/>
      <c r="AH176" s="223"/>
      <c r="AI176" s="223"/>
      <c r="AJ176" s="223"/>
      <c r="AK176" s="223"/>
      <c r="AL176" s="223"/>
      <c r="AM176" s="225"/>
    </row>
    <row r="177" spans="1:39" ht="20.100000000000001" customHeight="1">
      <c r="A177" s="227">
        <v>85</v>
      </c>
      <c r="B177" s="225"/>
      <c r="C177" s="227"/>
      <c r="D177" s="228" cm="1">
        <f t="array" ref="D177">IFERROR(
(SUMPRODUCT(E177:AL177*$E$6:$AL$6)/100) + (SUMPRODUCT(E177:AL177*$E$6:$AL$6*$E$3:$AL$3)/100),
0
)</f>
        <v>0</v>
      </c>
      <c r="E177" s="227"/>
      <c r="F177" s="227"/>
      <c r="G177" s="227"/>
      <c r="H177" s="227"/>
      <c r="I177" s="227"/>
      <c r="J177" s="227"/>
      <c r="K177" s="227"/>
      <c r="L177" s="227"/>
      <c r="M177" s="227"/>
      <c r="N177" s="227"/>
      <c r="O177" s="227"/>
      <c r="P177" s="227"/>
      <c r="Q177" s="227"/>
      <c r="R177" s="227"/>
      <c r="S177" s="227"/>
      <c r="T177" s="227"/>
      <c r="U177" s="227"/>
      <c r="V177" s="227"/>
      <c r="W177" s="227"/>
      <c r="X177" s="227"/>
      <c r="Y177" s="227"/>
      <c r="Z177" s="227"/>
      <c r="AA177" s="227"/>
      <c r="AB177" s="227"/>
      <c r="AC177" s="227"/>
      <c r="AD177" s="227"/>
      <c r="AE177" s="227"/>
      <c r="AF177" s="227"/>
      <c r="AG177" s="227"/>
      <c r="AH177" s="227"/>
      <c r="AI177" s="227"/>
      <c r="AJ177" s="227"/>
      <c r="AK177" s="227"/>
      <c r="AL177" s="225"/>
      <c r="AM177" s="227">
        <v>85</v>
      </c>
    </row>
    <row r="178" spans="1:39" ht="20.100000000000001" customHeight="1">
      <c r="A178" s="227"/>
      <c r="B178" s="225"/>
      <c r="C178" s="227"/>
      <c r="D178" s="224"/>
      <c r="E178" s="223"/>
      <c r="F178" s="223"/>
      <c r="G178" s="223"/>
      <c r="H178" s="223"/>
      <c r="I178" s="223"/>
      <c r="J178" s="223"/>
      <c r="K178" s="223"/>
      <c r="L178" s="223"/>
      <c r="M178" s="223"/>
      <c r="N178" s="223"/>
      <c r="O178" s="223"/>
      <c r="P178" s="223"/>
      <c r="Q178" s="223"/>
      <c r="R178" s="223"/>
      <c r="S178" s="223"/>
      <c r="T178" s="223"/>
      <c r="U178" s="223"/>
      <c r="V178" s="223"/>
      <c r="W178" s="223"/>
      <c r="X178" s="223"/>
      <c r="Y178" s="223"/>
      <c r="Z178" s="223"/>
      <c r="AA178" s="223"/>
      <c r="AB178" s="223"/>
      <c r="AC178" s="223"/>
      <c r="AD178" s="223"/>
      <c r="AE178" s="223"/>
      <c r="AF178" s="223"/>
      <c r="AG178" s="223"/>
      <c r="AH178" s="223"/>
      <c r="AI178" s="223"/>
      <c r="AJ178" s="223"/>
      <c r="AK178" s="223"/>
      <c r="AL178" s="223"/>
      <c r="AM178" s="225"/>
    </row>
    <row r="179" spans="1:39" ht="20.100000000000001" customHeight="1">
      <c r="A179" s="227">
        <v>86</v>
      </c>
      <c r="B179" s="225"/>
      <c r="C179" s="227"/>
      <c r="D179" s="228" cm="1">
        <f t="array" ref="D179">IFERROR(
(SUMPRODUCT(E179:AL179*$E$6:$AL$6)/100) + (SUMPRODUCT(E179:AL179*$E$6:$AL$6*$E$3:$AL$3)/100),
0
)</f>
        <v>0</v>
      </c>
      <c r="E179" s="227"/>
      <c r="F179" s="227"/>
      <c r="G179" s="227"/>
      <c r="H179" s="227"/>
      <c r="I179" s="227"/>
      <c r="J179" s="227"/>
      <c r="K179" s="227"/>
      <c r="L179" s="227"/>
      <c r="M179" s="227"/>
      <c r="N179" s="227"/>
      <c r="O179" s="227"/>
      <c r="P179" s="227"/>
      <c r="Q179" s="227"/>
      <c r="R179" s="227"/>
      <c r="S179" s="227"/>
      <c r="T179" s="227"/>
      <c r="U179" s="227"/>
      <c r="V179" s="227"/>
      <c r="W179" s="227"/>
      <c r="X179" s="227"/>
      <c r="Y179" s="227"/>
      <c r="Z179" s="227"/>
      <c r="AA179" s="227"/>
      <c r="AB179" s="227"/>
      <c r="AC179" s="227"/>
      <c r="AD179" s="227"/>
      <c r="AE179" s="227"/>
      <c r="AF179" s="227"/>
      <c r="AG179" s="227"/>
      <c r="AH179" s="227"/>
      <c r="AI179" s="227"/>
      <c r="AJ179" s="227"/>
      <c r="AK179" s="227"/>
      <c r="AL179" s="225"/>
      <c r="AM179" s="227">
        <v>86</v>
      </c>
    </row>
    <row r="180" spans="1:39" ht="20.100000000000001" customHeight="1">
      <c r="A180" s="223"/>
      <c r="B180" s="225"/>
      <c r="C180" s="227"/>
      <c r="D180" s="224"/>
      <c r="E180" s="223"/>
      <c r="F180" s="223"/>
      <c r="G180" s="223"/>
      <c r="H180" s="223"/>
      <c r="I180" s="223"/>
      <c r="J180" s="223"/>
      <c r="K180" s="223"/>
      <c r="L180" s="223"/>
      <c r="M180" s="223"/>
      <c r="N180" s="223"/>
      <c r="O180" s="223"/>
      <c r="P180" s="223"/>
      <c r="Q180" s="223"/>
      <c r="R180" s="223"/>
      <c r="S180" s="223"/>
      <c r="T180" s="223"/>
      <c r="U180" s="223"/>
      <c r="V180" s="223"/>
      <c r="W180" s="223"/>
      <c r="X180" s="223"/>
      <c r="Y180" s="223"/>
      <c r="Z180" s="223"/>
      <c r="AA180" s="223"/>
      <c r="AB180" s="223"/>
      <c r="AC180" s="223"/>
      <c r="AD180" s="223"/>
      <c r="AE180" s="223"/>
      <c r="AF180" s="223"/>
      <c r="AG180" s="223"/>
      <c r="AH180" s="223"/>
      <c r="AI180" s="223"/>
      <c r="AJ180" s="223"/>
      <c r="AK180" s="223"/>
      <c r="AL180" s="223"/>
      <c r="AM180" s="225"/>
    </row>
    <row r="181" spans="1:39" ht="20.100000000000001" customHeight="1">
      <c r="A181" s="227">
        <v>87</v>
      </c>
      <c r="B181" s="225"/>
      <c r="C181" s="227"/>
      <c r="D181" s="228" cm="1">
        <f t="array" ref="D181">IFERROR(
(SUMPRODUCT(E181:AL181*$E$6:$AL$6)/100) + (SUMPRODUCT(E181:AL181*$E$6:$AL$6*$E$3:$AL$3)/100),
0
)</f>
        <v>0</v>
      </c>
      <c r="E181" s="227"/>
      <c r="F181" s="227"/>
      <c r="G181" s="227"/>
      <c r="H181" s="227"/>
      <c r="I181" s="227"/>
      <c r="J181" s="227"/>
      <c r="K181" s="227"/>
      <c r="L181" s="227"/>
      <c r="M181" s="227"/>
      <c r="N181" s="227"/>
      <c r="O181" s="227"/>
      <c r="P181" s="227"/>
      <c r="Q181" s="227"/>
      <c r="R181" s="227"/>
      <c r="S181" s="227"/>
      <c r="T181" s="227"/>
      <c r="U181" s="227"/>
      <c r="V181" s="227"/>
      <c r="W181" s="227"/>
      <c r="X181" s="227"/>
      <c r="Y181" s="227"/>
      <c r="Z181" s="227"/>
      <c r="AA181" s="227"/>
      <c r="AB181" s="227"/>
      <c r="AC181" s="227"/>
      <c r="AD181" s="227"/>
      <c r="AE181" s="227"/>
      <c r="AF181" s="227"/>
      <c r="AG181" s="227"/>
      <c r="AH181" s="227"/>
      <c r="AI181" s="227"/>
      <c r="AJ181" s="227"/>
      <c r="AK181" s="227"/>
      <c r="AL181" s="225"/>
      <c r="AM181" s="227">
        <v>87</v>
      </c>
    </row>
    <row r="182" spans="1:39" ht="20.100000000000001" customHeight="1">
      <c r="A182" s="227"/>
      <c r="B182" s="225"/>
      <c r="C182" s="227"/>
      <c r="D182" s="224"/>
      <c r="E182" s="223"/>
      <c r="F182" s="223"/>
      <c r="G182" s="223"/>
      <c r="H182" s="223"/>
      <c r="I182" s="223"/>
      <c r="J182" s="223"/>
      <c r="K182" s="223"/>
      <c r="L182" s="223"/>
      <c r="M182" s="223"/>
      <c r="N182" s="223"/>
      <c r="O182" s="223"/>
      <c r="P182" s="223"/>
      <c r="Q182" s="223"/>
      <c r="R182" s="223"/>
      <c r="S182" s="223"/>
      <c r="T182" s="223"/>
      <c r="U182" s="223"/>
      <c r="V182" s="223"/>
      <c r="W182" s="223"/>
      <c r="X182" s="223"/>
      <c r="Y182" s="223"/>
      <c r="Z182" s="223"/>
      <c r="AA182" s="223"/>
      <c r="AB182" s="223"/>
      <c r="AC182" s="223"/>
      <c r="AD182" s="223"/>
      <c r="AE182" s="223"/>
      <c r="AF182" s="223"/>
      <c r="AG182" s="223"/>
      <c r="AH182" s="223"/>
      <c r="AI182" s="223"/>
      <c r="AJ182" s="223"/>
      <c r="AK182" s="223"/>
      <c r="AL182" s="223"/>
      <c r="AM182" s="225"/>
    </row>
    <row r="183" spans="1:39" ht="20.100000000000001" customHeight="1">
      <c r="A183" s="227">
        <v>88</v>
      </c>
      <c r="B183" s="225"/>
      <c r="C183" s="227"/>
      <c r="D183" s="228" cm="1">
        <f t="array" ref="D183">IFERROR(
(SUMPRODUCT(E183:AL183*$E$6:$AL$6)/100) + (SUMPRODUCT(E183:AL183*$E$6:$AL$6*$E$3:$AL$3)/100),
0
)</f>
        <v>0</v>
      </c>
      <c r="E183" s="227"/>
      <c r="F183" s="227"/>
      <c r="G183" s="227"/>
      <c r="H183" s="227"/>
      <c r="I183" s="227"/>
      <c r="J183" s="227"/>
      <c r="K183" s="227"/>
      <c r="L183" s="227"/>
      <c r="M183" s="227"/>
      <c r="N183" s="227"/>
      <c r="O183" s="227"/>
      <c r="P183" s="227"/>
      <c r="Q183" s="227"/>
      <c r="R183" s="227"/>
      <c r="S183" s="227"/>
      <c r="T183" s="227"/>
      <c r="U183" s="227"/>
      <c r="V183" s="227"/>
      <c r="W183" s="227"/>
      <c r="X183" s="227"/>
      <c r="Y183" s="227"/>
      <c r="Z183" s="227"/>
      <c r="AA183" s="227"/>
      <c r="AB183" s="227"/>
      <c r="AC183" s="227"/>
      <c r="AD183" s="227"/>
      <c r="AE183" s="227"/>
      <c r="AF183" s="227"/>
      <c r="AG183" s="227"/>
      <c r="AH183" s="227"/>
      <c r="AI183" s="227"/>
      <c r="AJ183" s="227"/>
      <c r="AK183" s="227"/>
      <c r="AL183" s="225"/>
      <c r="AM183" s="227">
        <v>88</v>
      </c>
    </row>
    <row r="184" spans="1:39" ht="20.100000000000001" customHeight="1">
      <c r="A184" s="223"/>
      <c r="B184" s="225"/>
      <c r="C184" s="227"/>
      <c r="D184" s="224"/>
      <c r="E184" s="223"/>
      <c r="F184" s="223"/>
      <c r="G184" s="223"/>
      <c r="H184" s="223"/>
      <c r="I184" s="223"/>
      <c r="J184" s="223"/>
      <c r="K184" s="223"/>
      <c r="L184" s="223"/>
      <c r="M184" s="223"/>
      <c r="N184" s="223"/>
      <c r="O184" s="223"/>
      <c r="P184" s="223"/>
      <c r="Q184" s="223"/>
      <c r="R184" s="223"/>
      <c r="S184" s="223"/>
      <c r="T184" s="223"/>
      <c r="U184" s="223"/>
      <c r="V184" s="223"/>
      <c r="W184" s="223"/>
      <c r="X184" s="223"/>
      <c r="Y184" s="223"/>
      <c r="Z184" s="223"/>
      <c r="AA184" s="223"/>
      <c r="AB184" s="223"/>
      <c r="AC184" s="223"/>
      <c r="AD184" s="223"/>
      <c r="AE184" s="223"/>
      <c r="AF184" s="223"/>
      <c r="AG184" s="223"/>
      <c r="AH184" s="223"/>
      <c r="AI184" s="223"/>
      <c r="AJ184" s="223"/>
      <c r="AK184" s="223"/>
      <c r="AL184" s="223"/>
      <c r="AM184" s="225"/>
    </row>
    <row r="185" spans="1:39" ht="20.100000000000001" customHeight="1">
      <c r="A185" s="227">
        <v>89</v>
      </c>
      <c r="B185" s="225"/>
      <c r="C185" s="227"/>
      <c r="D185" s="228" cm="1">
        <f t="array" ref="D185">IFERROR(
(SUMPRODUCT(E185:AL185*$E$6:$AL$6)/100) + (SUMPRODUCT(E185:AL185*$E$6:$AL$6*$E$3:$AL$3)/100),
0
)</f>
        <v>0</v>
      </c>
      <c r="E185" s="227"/>
      <c r="F185" s="227"/>
      <c r="G185" s="227"/>
      <c r="H185" s="227"/>
      <c r="I185" s="227"/>
      <c r="J185" s="227"/>
      <c r="K185" s="227"/>
      <c r="L185" s="227"/>
      <c r="M185" s="227"/>
      <c r="N185" s="227"/>
      <c r="O185" s="227"/>
      <c r="P185" s="227"/>
      <c r="Q185" s="227"/>
      <c r="R185" s="227"/>
      <c r="S185" s="227"/>
      <c r="T185" s="227"/>
      <c r="U185" s="227"/>
      <c r="V185" s="227"/>
      <c r="W185" s="227"/>
      <c r="X185" s="227"/>
      <c r="Y185" s="227"/>
      <c r="Z185" s="227"/>
      <c r="AA185" s="227"/>
      <c r="AB185" s="227"/>
      <c r="AC185" s="227"/>
      <c r="AD185" s="227"/>
      <c r="AE185" s="227"/>
      <c r="AF185" s="227"/>
      <c r="AG185" s="227"/>
      <c r="AH185" s="227"/>
      <c r="AI185" s="227"/>
      <c r="AJ185" s="227"/>
      <c r="AK185" s="227"/>
      <c r="AL185" s="225"/>
      <c r="AM185" s="227">
        <v>89</v>
      </c>
    </row>
    <row r="186" spans="1:39" ht="20.100000000000001" customHeight="1">
      <c r="A186" s="227"/>
      <c r="B186" s="225"/>
      <c r="C186" s="227"/>
      <c r="D186" s="224"/>
      <c r="E186" s="223"/>
      <c r="F186" s="223"/>
      <c r="G186" s="223"/>
      <c r="H186" s="223"/>
      <c r="I186" s="223"/>
      <c r="J186" s="223"/>
      <c r="K186" s="223"/>
      <c r="L186" s="223"/>
      <c r="M186" s="223"/>
      <c r="N186" s="223"/>
      <c r="O186" s="223"/>
      <c r="P186" s="223"/>
      <c r="Q186" s="223"/>
      <c r="R186" s="223"/>
      <c r="S186" s="223"/>
      <c r="T186" s="223"/>
      <c r="U186" s="223"/>
      <c r="V186" s="223"/>
      <c r="W186" s="223"/>
      <c r="X186" s="223"/>
      <c r="Y186" s="223"/>
      <c r="Z186" s="223"/>
      <c r="AA186" s="223"/>
      <c r="AB186" s="223"/>
      <c r="AC186" s="223"/>
      <c r="AD186" s="223"/>
      <c r="AE186" s="223"/>
      <c r="AF186" s="223"/>
      <c r="AG186" s="223"/>
      <c r="AH186" s="223"/>
      <c r="AI186" s="223"/>
      <c r="AJ186" s="223"/>
      <c r="AK186" s="223"/>
      <c r="AL186" s="223"/>
      <c r="AM186" s="225"/>
    </row>
    <row r="187" spans="1:39" ht="20.100000000000001" customHeight="1">
      <c r="A187" s="227">
        <v>90</v>
      </c>
      <c r="B187" s="225"/>
      <c r="C187" s="227"/>
      <c r="D187" s="228" cm="1">
        <f t="array" ref="D187">IFERROR(
(SUMPRODUCT(E187:AL187*$E$6:$AL$6)/100) + (SUMPRODUCT(E187:AL187*$E$6:$AL$6*$E$3:$AL$3)/100),
0
)</f>
        <v>0</v>
      </c>
      <c r="E187" s="227"/>
      <c r="F187" s="227"/>
      <c r="G187" s="227"/>
      <c r="H187" s="227"/>
      <c r="I187" s="227"/>
      <c r="J187" s="227"/>
      <c r="K187" s="227"/>
      <c r="L187" s="227"/>
      <c r="M187" s="227"/>
      <c r="N187" s="227"/>
      <c r="O187" s="227"/>
      <c r="P187" s="227"/>
      <c r="Q187" s="227"/>
      <c r="R187" s="227"/>
      <c r="S187" s="227"/>
      <c r="T187" s="227"/>
      <c r="U187" s="227"/>
      <c r="V187" s="227"/>
      <c r="W187" s="227"/>
      <c r="X187" s="227"/>
      <c r="Y187" s="227"/>
      <c r="Z187" s="227"/>
      <c r="AA187" s="227"/>
      <c r="AB187" s="227"/>
      <c r="AC187" s="227"/>
      <c r="AD187" s="227"/>
      <c r="AE187" s="227"/>
      <c r="AF187" s="227"/>
      <c r="AG187" s="227"/>
      <c r="AH187" s="227"/>
      <c r="AI187" s="227"/>
      <c r="AJ187" s="227"/>
      <c r="AK187" s="227"/>
      <c r="AL187" s="225"/>
      <c r="AM187" s="227">
        <v>90</v>
      </c>
    </row>
    <row r="188" spans="1:39" ht="20.100000000000001" customHeight="1">
      <c r="A188" s="223"/>
      <c r="B188" s="225"/>
      <c r="C188" s="227"/>
      <c r="D188" s="224"/>
      <c r="E188" s="223"/>
      <c r="F188" s="223"/>
      <c r="G188" s="223"/>
      <c r="H188" s="223"/>
      <c r="I188" s="223"/>
      <c r="J188" s="223"/>
      <c r="K188" s="223"/>
      <c r="L188" s="223"/>
      <c r="M188" s="223"/>
      <c r="N188" s="223"/>
      <c r="O188" s="223"/>
      <c r="P188" s="223"/>
      <c r="Q188" s="223"/>
      <c r="R188" s="223"/>
      <c r="S188" s="223"/>
      <c r="T188" s="223"/>
      <c r="U188" s="223"/>
      <c r="V188" s="223"/>
      <c r="W188" s="223"/>
      <c r="X188" s="223"/>
      <c r="Y188" s="223"/>
      <c r="Z188" s="223"/>
      <c r="AA188" s="223"/>
      <c r="AB188" s="223"/>
      <c r="AC188" s="223"/>
      <c r="AD188" s="223"/>
      <c r="AE188" s="223"/>
      <c r="AF188" s="223"/>
      <c r="AG188" s="223"/>
      <c r="AH188" s="223"/>
      <c r="AI188" s="223"/>
      <c r="AJ188" s="223"/>
      <c r="AK188" s="223"/>
      <c r="AL188" s="223"/>
      <c r="AM188" s="225"/>
    </row>
    <row r="189" spans="1:39" ht="20.100000000000001" customHeight="1">
      <c r="A189" s="227">
        <v>91</v>
      </c>
      <c r="B189" s="225"/>
      <c r="C189" s="227"/>
      <c r="D189" s="228" cm="1">
        <f t="array" ref="D189">IFERROR(
(SUMPRODUCT(E189:AL189*$E$6:$AL$6)/100) + (SUMPRODUCT(E189:AL189*$E$6:$AL$6*$E$3:$AL$3)/100),
0
)</f>
        <v>0</v>
      </c>
      <c r="E189" s="227"/>
      <c r="F189" s="227"/>
      <c r="G189" s="227"/>
      <c r="H189" s="227"/>
      <c r="I189" s="227"/>
      <c r="J189" s="227"/>
      <c r="K189" s="227"/>
      <c r="L189" s="227"/>
      <c r="M189" s="227"/>
      <c r="N189" s="227"/>
      <c r="O189" s="227"/>
      <c r="P189" s="227"/>
      <c r="Q189" s="227"/>
      <c r="R189" s="227"/>
      <c r="S189" s="227"/>
      <c r="T189" s="227"/>
      <c r="U189" s="227"/>
      <c r="V189" s="227"/>
      <c r="W189" s="227"/>
      <c r="X189" s="227"/>
      <c r="Y189" s="227"/>
      <c r="Z189" s="227"/>
      <c r="AA189" s="227"/>
      <c r="AB189" s="227"/>
      <c r="AC189" s="227"/>
      <c r="AD189" s="227"/>
      <c r="AE189" s="227"/>
      <c r="AF189" s="227"/>
      <c r="AG189" s="227"/>
      <c r="AH189" s="227"/>
      <c r="AI189" s="227"/>
      <c r="AJ189" s="227"/>
      <c r="AK189" s="227"/>
      <c r="AL189" s="225"/>
      <c r="AM189" s="227">
        <v>91</v>
      </c>
    </row>
    <row r="190" spans="1:39" ht="20.100000000000001" customHeight="1">
      <c r="A190" s="227"/>
      <c r="B190" s="225"/>
      <c r="C190" s="227"/>
      <c r="D190" s="224"/>
      <c r="E190" s="223"/>
      <c r="F190" s="223"/>
      <c r="G190" s="223"/>
      <c r="H190" s="223"/>
      <c r="I190" s="223"/>
      <c r="J190" s="223"/>
      <c r="K190" s="223"/>
      <c r="L190" s="223"/>
      <c r="M190" s="223"/>
      <c r="N190" s="223"/>
      <c r="O190" s="223"/>
      <c r="P190" s="223"/>
      <c r="Q190" s="223"/>
      <c r="R190" s="223"/>
      <c r="S190" s="223"/>
      <c r="T190" s="223"/>
      <c r="U190" s="223"/>
      <c r="V190" s="223"/>
      <c r="W190" s="223"/>
      <c r="X190" s="223"/>
      <c r="Y190" s="223"/>
      <c r="Z190" s="223"/>
      <c r="AA190" s="223"/>
      <c r="AB190" s="223"/>
      <c r="AC190" s="223"/>
      <c r="AD190" s="223"/>
      <c r="AE190" s="223"/>
      <c r="AF190" s="223"/>
      <c r="AG190" s="223"/>
      <c r="AH190" s="223"/>
      <c r="AI190" s="223"/>
      <c r="AJ190" s="223"/>
      <c r="AK190" s="223"/>
      <c r="AL190" s="223"/>
      <c r="AM190" s="225"/>
    </row>
    <row r="191" spans="1:39" ht="20.100000000000001" customHeight="1">
      <c r="A191" s="227">
        <v>92</v>
      </c>
      <c r="B191" s="225"/>
      <c r="C191" s="227"/>
      <c r="D191" s="228" cm="1">
        <f t="array" ref="D191">IFERROR(
(SUMPRODUCT(E191:AL191*$E$6:$AL$6)/100) + (SUMPRODUCT(E191:AL191*$E$6:$AL$6*$E$3:$AL$3)/100),
0
)</f>
        <v>0</v>
      </c>
      <c r="E191" s="227"/>
      <c r="F191" s="227"/>
      <c r="G191" s="227"/>
      <c r="H191" s="227"/>
      <c r="I191" s="227"/>
      <c r="J191" s="227"/>
      <c r="K191" s="227"/>
      <c r="L191" s="227"/>
      <c r="M191" s="227"/>
      <c r="N191" s="227"/>
      <c r="O191" s="227"/>
      <c r="P191" s="227"/>
      <c r="Q191" s="227"/>
      <c r="R191" s="227"/>
      <c r="S191" s="227"/>
      <c r="T191" s="227"/>
      <c r="U191" s="227"/>
      <c r="V191" s="227"/>
      <c r="W191" s="227"/>
      <c r="X191" s="227"/>
      <c r="Y191" s="227"/>
      <c r="Z191" s="227"/>
      <c r="AA191" s="227"/>
      <c r="AB191" s="227"/>
      <c r="AC191" s="227"/>
      <c r="AD191" s="227"/>
      <c r="AE191" s="227"/>
      <c r="AF191" s="227"/>
      <c r="AG191" s="227"/>
      <c r="AH191" s="227"/>
      <c r="AI191" s="227"/>
      <c r="AJ191" s="227"/>
      <c r="AK191" s="227"/>
      <c r="AL191" s="225"/>
      <c r="AM191" s="227">
        <v>92</v>
      </c>
    </row>
    <row r="192" spans="1:39" ht="20.100000000000001" customHeight="1">
      <c r="A192" s="223"/>
      <c r="B192" s="225"/>
      <c r="C192" s="227"/>
      <c r="D192" s="224"/>
      <c r="E192" s="223"/>
      <c r="F192" s="223"/>
      <c r="G192" s="223"/>
      <c r="H192" s="223"/>
      <c r="I192" s="223"/>
      <c r="J192" s="223"/>
      <c r="K192" s="223"/>
      <c r="L192" s="223"/>
      <c r="M192" s="223"/>
      <c r="N192" s="223"/>
      <c r="O192" s="223"/>
      <c r="P192" s="223"/>
      <c r="Q192" s="223"/>
      <c r="R192" s="223"/>
      <c r="S192" s="223"/>
      <c r="T192" s="223"/>
      <c r="U192" s="223"/>
      <c r="V192" s="223"/>
      <c r="W192" s="223"/>
      <c r="X192" s="223"/>
      <c r="Y192" s="223"/>
      <c r="Z192" s="223"/>
      <c r="AA192" s="223"/>
      <c r="AB192" s="223"/>
      <c r="AC192" s="223"/>
      <c r="AD192" s="223"/>
      <c r="AE192" s="223"/>
      <c r="AF192" s="223"/>
      <c r="AG192" s="223"/>
      <c r="AH192" s="223"/>
      <c r="AI192" s="223"/>
      <c r="AJ192" s="223"/>
      <c r="AK192" s="223"/>
      <c r="AL192" s="223"/>
      <c r="AM192" s="225"/>
    </row>
    <row r="193" spans="1:39" ht="20.100000000000001" customHeight="1">
      <c r="A193" s="227">
        <v>93</v>
      </c>
      <c r="B193" s="225"/>
      <c r="C193" s="227"/>
      <c r="D193" s="228" cm="1">
        <f t="array" ref="D193">IFERROR(
(SUMPRODUCT(E193:AL193*$E$6:$AL$6)/100) + (SUMPRODUCT(E193:AL193*$E$6:$AL$6*$E$3:$AL$3)/100),
0
)</f>
        <v>0</v>
      </c>
      <c r="E193" s="227"/>
      <c r="F193" s="227"/>
      <c r="G193" s="227"/>
      <c r="H193" s="227"/>
      <c r="I193" s="227"/>
      <c r="J193" s="227"/>
      <c r="K193" s="227"/>
      <c r="L193" s="227"/>
      <c r="M193" s="227"/>
      <c r="N193" s="227"/>
      <c r="O193" s="227"/>
      <c r="P193" s="227"/>
      <c r="Q193" s="227"/>
      <c r="R193" s="227"/>
      <c r="S193" s="227"/>
      <c r="T193" s="227"/>
      <c r="U193" s="227"/>
      <c r="V193" s="227"/>
      <c r="W193" s="227"/>
      <c r="X193" s="227"/>
      <c r="Y193" s="227"/>
      <c r="Z193" s="227"/>
      <c r="AA193" s="227"/>
      <c r="AB193" s="227"/>
      <c r="AC193" s="227"/>
      <c r="AD193" s="227"/>
      <c r="AE193" s="227"/>
      <c r="AF193" s="227"/>
      <c r="AG193" s="227"/>
      <c r="AH193" s="227"/>
      <c r="AI193" s="227"/>
      <c r="AJ193" s="227"/>
      <c r="AK193" s="227"/>
      <c r="AL193" s="225"/>
      <c r="AM193" s="227">
        <v>93</v>
      </c>
    </row>
    <row r="194" spans="1:39" ht="20.100000000000001" customHeight="1">
      <c r="A194" s="227"/>
      <c r="B194" s="225"/>
      <c r="C194" s="227"/>
      <c r="D194" s="224"/>
      <c r="E194" s="223"/>
      <c r="F194" s="223"/>
      <c r="G194" s="223"/>
      <c r="H194" s="223"/>
      <c r="I194" s="223"/>
      <c r="J194" s="223"/>
      <c r="K194" s="223"/>
      <c r="L194" s="223"/>
      <c r="M194" s="223"/>
      <c r="N194" s="223"/>
      <c r="O194" s="223"/>
      <c r="P194" s="223"/>
      <c r="Q194" s="223"/>
      <c r="R194" s="223"/>
      <c r="S194" s="223"/>
      <c r="T194" s="223"/>
      <c r="U194" s="223"/>
      <c r="V194" s="223"/>
      <c r="W194" s="223"/>
      <c r="X194" s="223"/>
      <c r="Y194" s="223"/>
      <c r="Z194" s="223"/>
      <c r="AA194" s="223"/>
      <c r="AB194" s="223"/>
      <c r="AC194" s="223"/>
      <c r="AD194" s="223"/>
      <c r="AE194" s="223"/>
      <c r="AF194" s="223"/>
      <c r="AG194" s="223"/>
      <c r="AH194" s="223"/>
      <c r="AI194" s="223"/>
      <c r="AJ194" s="223"/>
      <c r="AK194" s="223"/>
      <c r="AL194" s="223"/>
      <c r="AM194" s="225"/>
    </row>
    <row r="195" spans="1:39" ht="20.100000000000001" customHeight="1">
      <c r="A195" s="227">
        <v>94</v>
      </c>
      <c r="B195" s="225"/>
      <c r="C195" s="227"/>
      <c r="D195" s="228" cm="1">
        <f t="array" ref="D195">IFERROR(
(SUMPRODUCT(E195:AL195*$E$6:$AL$6)/100) + (SUMPRODUCT(E195:AL195*$E$6:$AL$6*$E$3:$AL$3)/100),
0
)</f>
        <v>0</v>
      </c>
      <c r="E195" s="227"/>
      <c r="F195" s="227"/>
      <c r="G195" s="227"/>
      <c r="H195" s="227"/>
      <c r="I195" s="227"/>
      <c r="J195" s="227"/>
      <c r="K195" s="227"/>
      <c r="L195" s="227"/>
      <c r="M195" s="227"/>
      <c r="N195" s="227"/>
      <c r="O195" s="227"/>
      <c r="P195" s="227"/>
      <c r="Q195" s="227"/>
      <c r="R195" s="227"/>
      <c r="S195" s="227"/>
      <c r="T195" s="227"/>
      <c r="U195" s="227"/>
      <c r="V195" s="227"/>
      <c r="W195" s="227"/>
      <c r="X195" s="227"/>
      <c r="Y195" s="227"/>
      <c r="Z195" s="227"/>
      <c r="AA195" s="227"/>
      <c r="AB195" s="227"/>
      <c r="AC195" s="227"/>
      <c r="AD195" s="227"/>
      <c r="AE195" s="227"/>
      <c r="AF195" s="227"/>
      <c r="AG195" s="227"/>
      <c r="AH195" s="227"/>
      <c r="AI195" s="227"/>
      <c r="AJ195" s="227"/>
      <c r="AK195" s="227"/>
      <c r="AL195" s="225"/>
      <c r="AM195" s="227">
        <v>94</v>
      </c>
    </row>
    <row r="196" spans="1:39" ht="20.100000000000001" customHeight="1">
      <c r="A196" s="223"/>
      <c r="B196" s="225"/>
      <c r="C196" s="227"/>
      <c r="D196" s="224"/>
      <c r="E196" s="223"/>
      <c r="F196" s="223"/>
      <c r="G196" s="223"/>
      <c r="H196" s="223"/>
      <c r="I196" s="223"/>
      <c r="J196" s="223"/>
      <c r="K196" s="223"/>
      <c r="L196" s="223"/>
      <c r="M196" s="223"/>
      <c r="N196" s="223"/>
      <c r="O196" s="223"/>
      <c r="P196" s="223"/>
      <c r="Q196" s="223"/>
      <c r="R196" s="223"/>
      <c r="S196" s="223"/>
      <c r="T196" s="223"/>
      <c r="U196" s="223"/>
      <c r="V196" s="223"/>
      <c r="W196" s="223"/>
      <c r="X196" s="223"/>
      <c r="Y196" s="223"/>
      <c r="Z196" s="223"/>
      <c r="AA196" s="223"/>
      <c r="AB196" s="223"/>
      <c r="AC196" s="223"/>
      <c r="AD196" s="223"/>
      <c r="AE196" s="223"/>
      <c r="AF196" s="223"/>
      <c r="AG196" s="223"/>
      <c r="AH196" s="223"/>
      <c r="AI196" s="223"/>
      <c r="AJ196" s="223"/>
      <c r="AK196" s="223"/>
      <c r="AL196" s="223"/>
      <c r="AM196" s="225"/>
    </row>
    <row r="197" spans="1:39" ht="20.100000000000001" customHeight="1">
      <c r="A197" s="227">
        <v>95</v>
      </c>
      <c r="B197" s="225"/>
      <c r="C197" s="227"/>
      <c r="D197" s="228" cm="1">
        <f t="array" ref="D197">IFERROR(
(SUMPRODUCT(E197:AL197*$E$6:$AL$6)/100) + (SUMPRODUCT(E197:AL197*$E$6:$AL$6*$E$3:$AL$3)/100),
0
)</f>
        <v>0</v>
      </c>
      <c r="E197" s="227"/>
      <c r="F197" s="227"/>
      <c r="G197" s="227"/>
      <c r="H197" s="227"/>
      <c r="I197" s="227"/>
      <c r="J197" s="227"/>
      <c r="K197" s="227"/>
      <c r="L197" s="227"/>
      <c r="M197" s="227"/>
      <c r="N197" s="227"/>
      <c r="O197" s="227"/>
      <c r="P197" s="227"/>
      <c r="Q197" s="227"/>
      <c r="R197" s="227"/>
      <c r="S197" s="227"/>
      <c r="T197" s="227"/>
      <c r="U197" s="227"/>
      <c r="V197" s="227"/>
      <c r="W197" s="227"/>
      <c r="X197" s="227"/>
      <c r="Y197" s="227"/>
      <c r="Z197" s="227"/>
      <c r="AA197" s="227"/>
      <c r="AB197" s="227"/>
      <c r="AC197" s="227"/>
      <c r="AD197" s="227"/>
      <c r="AE197" s="227"/>
      <c r="AF197" s="227"/>
      <c r="AG197" s="227"/>
      <c r="AH197" s="227"/>
      <c r="AI197" s="227"/>
      <c r="AJ197" s="227"/>
      <c r="AK197" s="227"/>
      <c r="AL197" s="225"/>
      <c r="AM197" s="227">
        <v>95</v>
      </c>
    </row>
    <row r="198" spans="1:39" ht="20.100000000000001" customHeight="1">
      <c r="A198" s="227"/>
      <c r="B198" s="225"/>
      <c r="C198" s="227"/>
      <c r="D198" s="224"/>
      <c r="E198" s="223"/>
      <c r="F198" s="223"/>
      <c r="G198" s="223"/>
      <c r="H198" s="223"/>
      <c r="I198" s="223"/>
      <c r="J198" s="223"/>
      <c r="K198" s="223"/>
      <c r="L198" s="223"/>
      <c r="M198" s="223"/>
      <c r="N198" s="223"/>
      <c r="O198" s="223"/>
      <c r="P198" s="223"/>
      <c r="Q198" s="223"/>
      <c r="R198" s="223"/>
      <c r="S198" s="223"/>
      <c r="T198" s="223"/>
      <c r="U198" s="223"/>
      <c r="V198" s="223"/>
      <c r="W198" s="223"/>
      <c r="X198" s="223"/>
      <c r="Y198" s="223"/>
      <c r="Z198" s="223"/>
      <c r="AA198" s="223"/>
      <c r="AB198" s="223"/>
      <c r="AC198" s="223"/>
      <c r="AD198" s="223"/>
      <c r="AE198" s="223"/>
      <c r="AF198" s="223"/>
      <c r="AG198" s="223"/>
      <c r="AH198" s="223"/>
      <c r="AI198" s="223"/>
      <c r="AJ198" s="223"/>
      <c r="AK198" s="223"/>
      <c r="AL198" s="223"/>
      <c r="AM198" s="225"/>
    </row>
    <row r="199" spans="1:39" ht="20.100000000000001" customHeight="1">
      <c r="A199" s="227">
        <v>96</v>
      </c>
      <c r="B199" s="225"/>
      <c r="C199" s="227"/>
      <c r="D199" s="228" cm="1">
        <f t="array" ref="D199">IFERROR(
(SUMPRODUCT(E199:AL199*$E$6:$AL$6)/100) + (SUMPRODUCT(E199:AL199*$E$6:$AL$6*$E$3:$AL$3)/100),
0
)</f>
        <v>0</v>
      </c>
      <c r="E199" s="227"/>
      <c r="F199" s="227"/>
      <c r="G199" s="227"/>
      <c r="H199" s="227"/>
      <c r="I199" s="227"/>
      <c r="J199" s="227"/>
      <c r="K199" s="227"/>
      <c r="L199" s="227"/>
      <c r="M199" s="227"/>
      <c r="N199" s="227"/>
      <c r="O199" s="227"/>
      <c r="P199" s="227"/>
      <c r="Q199" s="227"/>
      <c r="R199" s="227"/>
      <c r="S199" s="227"/>
      <c r="T199" s="227"/>
      <c r="U199" s="227"/>
      <c r="V199" s="227"/>
      <c r="W199" s="227"/>
      <c r="X199" s="227"/>
      <c r="Y199" s="227"/>
      <c r="Z199" s="227"/>
      <c r="AA199" s="227"/>
      <c r="AB199" s="227"/>
      <c r="AC199" s="227"/>
      <c r="AD199" s="227"/>
      <c r="AE199" s="227"/>
      <c r="AF199" s="227"/>
      <c r="AG199" s="227"/>
      <c r="AH199" s="227"/>
      <c r="AI199" s="227"/>
      <c r="AJ199" s="227"/>
      <c r="AK199" s="227"/>
      <c r="AL199" s="225"/>
      <c r="AM199" s="227">
        <v>96</v>
      </c>
    </row>
    <row r="200" spans="1:39" ht="20.100000000000001" customHeight="1">
      <c r="A200" s="223"/>
      <c r="B200" s="225"/>
      <c r="C200" s="227"/>
      <c r="D200" s="224"/>
      <c r="E200" s="223"/>
      <c r="F200" s="223"/>
      <c r="G200" s="223"/>
      <c r="H200" s="223"/>
      <c r="I200" s="223"/>
      <c r="J200" s="223"/>
      <c r="K200" s="223"/>
      <c r="L200" s="223"/>
      <c r="M200" s="223"/>
      <c r="N200" s="223"/>
      <c r="O200" s="223"/>
      <c r="P200" s="223"/>
      <c r="Q200" s="223"/>
      <c r="R200" s="223"/>
      <c r="S200" s="223"/>
      <c r="T200" s="223"/>
      <c r="U200" s="223"/>
      <c r="V200" s="223"/>
      <c r="W200" s="223"/>
      <c r="X200" s="223"/>
      <c r="Y200" s="223"/>
      <c r="Z200" s="223"/>
      <c r="AA200" s="223"/>
      <c r="AB200" s="223"/>
      <c r="AC200" s="223"/>
      <c r="AD200" s="223"/>
      <c r="AE200" s="223"/>
      <c r="AF200" s="223"/>
      <c r="AG200" s="223"/>
      <c r="AH200" s="223"/>
      <c r="AI200" s="223"/>
      <c r="AJ200" s="223"/>
      <c r="AK200" s="223"/>
      <c r="AL200" s="223"/>
      <c r="AM200" s="225"/>
    </row>
    <row r="201" spans="1:39" ht="20.100000000000001" customHeight="1">
      <c r="A201" s="227">
        <v>97</v>
      </c>
      <c r="B201" s="225"/>
      <c r="C201" s="227"/>
      <c r="D201" s="228" cm="1">
        <f t="array" ref="D201">IFERROR(
(SUMPRODUCT(E201:AL201*$E$6:$AL$6)/100) + (SUMPRODUCT(E201:AL201*$E$6:$AL$6*$E$3:$AL$3)/100),
0
)</f>
        <v>0</v>
      </c>
      <c r="E201" s="227"/>
      <c r="F201" s="227"/>
      <c r="G201" s="227"/>
      <c r="H201" s="227"/>
      <c r="I201" s="227"/>
      <c r="J201" s="227"/>
      <c r="K201" s="227"/>
      <c r="L201" s="227"/>
      <c r="M201" s="227"/>
      <c r="N201" s="227"/>
      <c r="O201" s="227"/>
      <c r="P201" s="227"/>
      <c r="Q201" s="227"/>
      <c r="R201" s="227"/>
      <c r="S201" s="227"/>
      <c r="T201" s="227"/>
      <c r="U201" s="227"/>
      <c r="V201" s="227"/>
      <c r="W201" s="227"/>
      <c r="X201" s="227"/>
      <c r="Y201" s="227"/>
      <c r="Z201" s="227"/>
      <c r="AA201" s="227"/>
      <c r="AB201" s="227"/>
      <c r="AC201" s="227"/>
      <c r="AD201" s="227"/>
      <c r="AE201" s="227"/>
      <c r="AF201" s="227"/>
      <c r="AG201" s="227"/>
      <c r="AH201" s="227"/>
      <c r="AI201" s="227"/>
      <c r="AJ201" s="227"/>
      <c r="AK201" s="227"/>
      <c r="AL201" s="225"/>
      <c r="AM201" s="227">
        <v>97</v>
      </c>
    </row>
    <row r="202" spans="1:39" ht="20.100000000000001" customHeight="1">
      <c r="A202" s="227"/>
      <c r="B202" s="225"/>
      <c r="C202" s="227"/>
      <c r="D202" s="224"/>
      <c r="E202" s="223"/>
      <c r="F202" s="223"/>
      <c r="G202" s="223"/>
      <c r="H202" s="223"/>
      <c r="I202" s="223"/>
      <c r="J202" s="223"/>
      <c r="K202" s="223"/>
      <c r="L202" s="223"/>
      <c r="M202" s="223"/>
      <c r="N202" s="223"/>
      <c r="O202" s="223"/>
      <c r="P202" s="223"/>
      <c r="Q202" s="223"/>
      <c r="R202" s="223"/>
      <c r="S202" s="223"/>
      <c r="T202" s="223"/>
      <c r="U202" s="223"/>
      <c r="V202" s="223"/>
      <c r="W202" s="223"/>
      <c r="X202" s="223"/>
      <c r="Y202" s="223"/>
      <c r="Z202" s="223"/>
      <c r="AA202" s="223"/>
      <c r="AB202" s="223"/>
      <c r="AC202" s="223"/>
      <c r="AD202" s="223"/>
      <c r="AE202" s="223"/>
      <c r="AF202" s="223"/>
      <c r="AG202" s="223"/>
      <c r="AH202" s="223"/>
      <c r="AI202" s="223"/>
      <c r="AJ202" s="223"/>
      <c r="AK202" s="223"/>
      <c r="AL202" s="223"/>
      <c r="AM202" s="225"/>
    </row>
    <row r="203" spans="1:39" ht="20.100000000000001" customHeight="1">
      <c r="A203" s="227">
        <v>98</v>
      </c>
      <c r="B203" s="225"/>
      <c r="C203" s="227"/>
      <c r="D203" s="228" cm="1">
        <f t="array" ref="D203">IFERROR(
(SUMPRODUCT(E203:AL203*$E$6:$AL$6)/100) + (SUMPRODUCT(E203:AL203*$E$6:$AL$6*$E$3:$AL$3)/100),
0
)</f>
        <v>0</v>
      </c>
      <c r="E203" s="227"/>
      <c r="F203" s="227"/>
      <c r="G203" s="227"/>
      <c r="H203" s="227"/>
      <c r="I203" s="227"/>
      <c r="J203" s="227"/>
      <c r="K203" s="227"/>
      <c r="L203" s="227"/>
      <c r="M203" s="227"/>
      <c r="N203" s="227"/>
      <c r="O203" s="227"/>
      <c r="P203" s="227"/>
      <c r="Q203" s="227"/>
      <c r="R203" s="227"/>
      <c r="S203" s="227"/>
      <c r="T203" s="227"/>
      <c r="U203" s="227"/>
      <c r="V203" s="227"/>
      <c r="W203" s="227"/>
      <c r="X203" s="227"/>
      <c r="Y203" s="227"/>
      <c r="Z203" s="227"/>
      <c r="AA203" s="227"/>
      <c r="AB203" s="227"/>
      <c r="AC203" s="227"/>
      <c r="AD203" s="227"/>
      <c r="AE203" s="227"/>
      <c r="AF203" s="227"/>
      <c r="AG203" s="227"/>
      <c r="AH203" s="227"/>
      <c r="AI203" s="227"/>
      <c r="AJ203" s="227"/>
      <c r="AK203" s="227"/>
      <c r="AL203" s="225"/>
      <c r="AM203" s="227">
        <v>98</v>
      </c>
    </row>
    <row r="204" spans="1:39" ht="20.100000000000001" customHeight="1">
      <c r="A204" s="223"/>
      <c r="B204" s="225"/>
      <c r="C204" s="227"/>
      <c r="D204" s="224"/>
      <c r="E204" s="223"/>
      <c r="F204" s="223"/>
      <c r="G204" s="223"/>
      <c r="H204" s="223"/>
      <c r="I204" s="223"/>
      <c r="J204" s="223"/>
      <c r="K204" s="223"/>
      <c r="L204" s="223"/>
      <c r="M204" s="223"/>
      <c r="N204" s="223"/>
      <c r="O204" s="223"/>
      <c r="P204" s="223"/>
      <c r="Q204" s="223"/>
      <c r="R204" s="223"/>
      <c r="S204" s="223"/>
      <c r="T204" s="223"/>
      <c r="U204" s="223"/>
      <c r="V204" s="223"/>
      <c r="W204" s="223"/>
      <c r="X204" s="223"/>
      <c r="Y204" s="223"/>
      <c r="Z204" s="223"/>
      <c r="AA204" s="223"/>
      <c r="AB204" s="223"/>
      <c r="AC204" s="223"/>
      <c r="AD204" s="223"/>
      <c r="AE204" s="223"/>
      <c r="AF204" s="223"/>
      <c r="AG204" s="223"/>
      <c r="AH204" s="223"/>
      <c r="AI204" s="223"/>
      <c r="AJ204" s="223"/>
      <c r="AK204" s="223"/>
      <c r="AL204" s="223"/>
      <c r="AM204" s="225"/>
    </row>
    <row r="205" spans="1:39" ht="20.100000000000001" customHeight="1">
      <c r="A205" s="227">
        <v>99</v>
      </c>
      <c r="B205" s="225"/>
      <c r="C205" s="227"/>
      <c r="D205" s="228" cm="1">
        <f t="array" ref="D205">IFERROR(
(SUMPRODUCT(E205:AL205*$E$6:$AL$6)/100) + (SUMPRODUCT(E205:AL205*$E$6:$AL$6*$E$3:$AL$3)/100),
0
)</f>
        <v>0</v>
      </c>
      <c r="E205" s="227"/>
      <c r="F205" s="227"/>
      <c r="G205" s="227"/>
      <c r="H205" s="227"/>
      <c r="I205" s="227"/>
      <c r="J205" s="227"/>
      <c r="K205" s="227"/>
      <c r="L205" s="227"/>
      <c r="M205" s="227"/>
      <c r="N205" s="227"/>
      <c r="O205" s="227"/>
      <c r="P205" s="227"/>
      <c r="Q205" s="227"/>
      <c r="R205" s="227"/>
      <c r="S205" s="227"/>
      <c r="T205" s="227"/>
      <c r="U205" s="227"/>
      <c r="V205" s="227"/>
      <c r="W205" s="227"/>
      <c r="X205" s="227"/>
      <c r="Y205" s="227"/>
      <c r="Z205" s="227"/>
      <c r="AA205" s="227"/>
      <c r="AB205" s="227"/>
      <c r="AC205" s="227"/>
      <c r="AD205" s="227"/>
      <c r="AE205" s="227"/>
      <c r="AF205" s="227"/>
      <c r="AG205" s="227"/>
      <c r="AH205" s="227"/>
      <c r="AI205" s="227"/>
      <c r="AJ205" s="227"/>
      <c r="AK205" s="227"/>
      <c r="AL205" s="225"/>
      <c r="AM205" s="227">
        <v>99</v>
      </c>
    </row>
    <row r="206" spans="1:39" ht="20.100000000000001" customHeight="1">
      <c r="A206" s="227"/>
      <c r="B206" s="225"/>
      <c r="C206" s="227"/>
      <c r="D206" s="224"/>
      <c r="E206" s="223"/>
      <c r="F206" s="223"/>
      <c r="G206" s="223"/>
      <c r="H206" s="223"/>
      <c r="I206" s="223"/>
      <c r="J206" s="223"/>
      <c r="K206" s="223"/>
      <c r="L206" s="223"/>
      <c r="M206" s="223"/>
      <c r="N206" s="223"/>
      <c r="O206" s="223"/>
      <c r="P206" s="223"/>
      <c r="Q206" s="223"/>
      <c r="R206" s="223"/>
      <c r="S206" s="223"/>
      <c r="T206" s="223"/>
      <c r="U206" s="223"/>
      <c r="V206" s="223"/>
      <c r="W206" s="223"/>
      <c r="X206" s="223"/>
      <c r="Y206" s="223"/>
      <c r="Z206" s="223"/>
      <c r="AA206" s="223"/>
      <c r="AB206" s="223"/>
      <c r="AC206" s="223"/>
      <c r="AD206" s="223"/>
      <c r="AE206" s="223"/>
      <c r="AF206" s="223"/>
      <c r="AG206" s="223"/>
      <c r="AH206" s="223"/>
      <c r="AI206" s="223"/>
      <c r="AJ206" s="223"/>
      <c r="AK206" s="223"/>
      <c r="AL206" s="223"/>
      <c r="AM206" s="225"/>
    </row>
    <row r="207" spans="1:39" ht="20.100000000000001" customHeight="1">
      <c r="A207" s="227">
        <v>100</v>
      </c>
      <c r="B207" s="225"/>
      <c r="C207" s="227"/>
      <c r="D207" s="228" cm="1">
        <f t="array" ref="D207">IFERROR(
(SUMPRODUCT(E207:AL207*$E$6:$AL$6)/100) + (SUMPRODUCT(E207:AL207*$E$6:$AL$6*$E$3:$AL$3)/100),
0
)</f>
        <v>0</v>
      </c>
      <c r="E207" s="227"/>
      <c r="F207" s="227"/>
      <c r="G207" s="227"/>
      <c r="H207" s="227"/>
      <c r="I207" s="227"/>
      <c r="J207" s="227"/>
      <c r="K207" s="227"/>
      <c r="L207" s="227"/>
      <c r="M207" s="227"/>
      <c r="N207" s="227"/>
      <c r="O207" s="227"/>
      <c r="P207" s="227"/>
      <c r="Q207" s="227"/>
      <c r="R207" s="227"/>
      <c r="S207" s="227"/>
      <c r="T207" s="227"/>
      <c r="U207" s="227"/>
      <c r="V207" s="227"/>
      <c r="W207" s="227"/>
      <c r="X207" s="227"/>
      <c r="Y207" s="227"/>
      <c r="Z207" s="227"/>
      <c r="AA207" s="227"/>
      <c r="AB207" s="227"/>
      <c r="AC207" s="227"/>
      <c r="AD207" s="227"/>
      <c r="AE207" s="227"/>
      <c r="AF207" s="227"/>
      <c r="AG207" s="227"/>
      <c r="AH207" s="227"/>
      <c r="AI207" s="227"/>
      <c r="AJ207" s="227"/>
      <c r="AK207" s="227"/>
      <c r="AL207" s="225"/>
      <c r="AM207" s="227">
        <v>100</v>
      </c>
    </row>
    <row r="208" spans="1:39" ht="20.100000000000001" customHeight="1">
      <c r="A208" s="223"/>
      <c r="B208" s="225"/>
      <c r="C208" s="227"/>
      <c r="D208" s="224"/>
      <c r="E208" s="227"/>
      <c r="F208" s="227"/>
      <c r="G208" s="227"/>
      <c r="H208" s="227"/>
      <c r="I208" s="227"/>
      <c r="J208" s="227"/>
      <c r="K208" s="227"/>
      <c r="L208" s="227"/>
      <c r="M208" s="227"/>
      <c r="N208" s="227"/>
      <c r="O208" s="227"/>
      <c r="P208" s="227"/>
      <c r="Q208" s="227"/>
      <c r="R208" s="227"/>
      <c r="S208" s="227"/>
      <c r="T208" s="227"/>
      <c r="U208" s="227"/>
      <c r="V208" s="227"/>
      <c r="W208" s="227"/>
      <c r="X208" s="227"/>
      <c r="Y208" s="227"/>
      <c r="Z208" s="227"/>
      <c r="AA208" s="227"/>
      <c r="AB208" s="227"/>
      <c r="AC208" s="227"/>
      <c r="AD208" s="227"/>
      <c r="AE208" s="227"/>
      <c r="AF208" s="227"/>
      <c r="AG208" s="227"/>
      <c r="AH208" s="227"/>
      <c r="AI208" s="227"/>
      <c r="AJ208" s="227"/>
      <c r="AK208" s="227"/>
      <c r="AL208" s="225"/>
      <c r="AM208" s="227"/>
    </row>
    <row r="209" spans="1:39" ht="20.100000000000001" customHeight="1">
      <c r="A209" s="227">
        <v>101</v>
      </c>
      <c r="B209" s="225"/>
      <c r="C209" s="227"/>
      <c r="D209" s="228">
        <f>(SUMPRODUCT(E209:AL209*$E$6:$AL$6)/100)+(SUMPRODUCT(E209:AL209*$E$6:$AL$6*$E$3:$AL$3)/100)</f>
        <v>0</v>
      </c>
      <c r="E209" s="227"/>
      <c r="F209" s="227"/>
      <c r="G209" s="227"/>
      <c r="H209" s="227"/>
      <c r="I209" s="227"/>
      <c r="J209" s="227"/>
      <c r="K209" s="227"/>
      <c r="L209" s="227"/>
      <c r="M209" s="227"/>
      <c r="N209" s="227"/>
      <c r="O209" s="227"/>
      <c r="P209" s="227"/>
      <c r="Q209" s="227"/>
      <c r="R209" s="227"/>
      <c r="S209" s="227"/>
      <c r="T209" s="227"/>
      <c r="U209" s="227"/>
      <c r="V209" s="227"/>
      <c r="W209" s="227"/>
      <c r="X209" s="227"/>
      <c r="Y209" s="227"/>
      <c r="Z209" s="227"/>
      <c r="AA209" s="227"/>
      <c r="AB209" s="227"/>
      <c r="AC209" s="227"/>
      <c r="AD209" s="227"/>
      <c r="AE209" s="227"/>
      <c r="AF209" s="227"/>
      <c r="AG209" s="227"/>
      <c r="AH209" s="227"/>
      <c r="AI209" s="227"/>
      <c r="AJ209" s="227"/>
      <c r="AK209" s="227"/>
      <c r="AL209" s="225"/>
      <c r="AM209" s="227"/>
    </row>
    <row r="210" spans="1:39" ht="20.100000000000001" customHeight="1">
      <c r="A210" s="227"/>
      <c r="B210" s="225"/>
      <c r="C210" s="227"/>
      <c r="D210" s="224"/>
      <c r="E210" s="227"/>
      <c r="F210" s="227"/>
      <c r="G210" s="227"/>
      <c r="H210" s="227"/>
      <c r="I210" s="227"/>
      <c r="J210" s="227"/>
      <c r="K210" s="227"/>
      <c r="L210" s="227"/>
      <c r="M210" s="227"/>
      <c r="N210" s="227"/>
      <c r="O210" s="227"/>
      <c r="P210" s="227"/>
      <c r="Q210" s="227"/>
      <c r="R210" s="227"/>
      <c r="S210" s="227"/>
      <c r="T210" s="227"/>
      <c r="U210" s="227"/>
      <c r="V210" s="227"/>
      <c r="W210" s="227"/>
      <c r="X210" s="227"/>
      <c r="Y210" s="227"/>
      <c r="Z210" s="227"/>
      <c r="AA210" s="227"/>
      <c r="AB210" s="227"/>
      <c r="AC210" s="227"/>
      <c r="AD210" s="227"/>
      <c r="AE210" s="227"/>
      <c r="AF210" s="227"/>
      <c r="AG210" s="227"/>
      <c r="AH210" s="227"/>
      <c r="AI210" s="227"/>
      <c r="AJ210" s="227"/>
      <c r="AK210" s="227"/>
      <c r="AL210" s="225"/>
      <c r="AM210" s="227"/>
    </row>
    <row r="211" spans="1:39" ht="20.100000000000001" customHeight="1">
      <c r="A211" s="227">
        <v>102</v>
      </c>
      <c r="B211" s="225"/>
      <c r="C211" s="227"/>
      <c r="D211" s="228">
        <f>(SUMPRODUCT(E211:AL211*$E$6:$AL$6)/100)+(SUMPRODUCT(E211:AL211*$E$6:$AL$6*$E$3:$AL$3)/100)</f>
        <v>0</v>
      </c>
      <c r="E211" s="227"/>
      <c r="F211" s="227"/>
      <c r="G211" s="227"/>
      <c r="H211" s="227"/>
      <c r="I211" s="227"/>
      <c r="J211" s="227"/>
      <c r="K211" s="227"/>
      <c r="L211" s="227"/>
      <c r="M211" s="227"/>
      <c r="N211" s="227"/>
      <c r="O211" s="227"/>
      <c r="P211" s="227"/>
      <c r="Q211" s="227"/>
      <c r="R211" s="227"/>
      <c r="S211" s="227"/>
      <c r="T211" s="227"/>
      <c r="U211" s="227"/>
      <c r="V211" s="227"/>
      <c r="W211" s="227"/>
      <c r="X211" s="227"/>
      <c r="Y211" s="227"/>
      <c r="Z211" s="227"/>
      <c r="AA211" s="227"/>
      <c r="AB211" s="227"/>
      <c r="AC211" s="227"/>
      <c r="AD211" s="227"/>
      <c r="AE211" s="227"/>
      <c r="AF211" s="227"/>
      <c r="AG211" s="227"/>
      <c r="AH211" s="227"/>
      <c r="AI211" s="227"/>
      <c r="AJ211" s="227"/>
      <c r="AK211" s="227"/>
      <c r="AL211" s="225"/>
      <c r="AM211" s="227"/>
    </row>
    <row r="212" spans="1:39" ht="20.100000000000001" customHeight="1">
      <c r="A212" s="223"/>
      <c r="B212" s="225"/>
      <c r="C212" s="227"/>
      <c r="D212" s="224"/>
      <c r="E212" s="227"/>
      <c r="F212" s="227"/>
      <c r="G212" s="227"/>
      <c r="H212" s="227"/>
      <c r="I212" s="227"/>
      <c r="J212" s="227"/>
      <c r="K212" s="227"/>
      <c r="L212" s="227"/>
      <c r="M212" s="227"/>
      <c r="N212" s="227"/>
      <c r="O212" s="227"/>
      <c r="P212" s="227"/>
      <c r="Q212" s="227"/>
      <c r="R212" s="227"/>
      <c r="S212" s="227"/>
      <c r="T212" s="227"/>
      <c r="U212" s="227"/>
      <c r="V212" s="227"/>
      <c r="W212" s="227"/>
      <c r="X212" s="227"/>
      <c r="Y212" s="227"/>
      <c r="Z212" s="227"/>
      <c r="AA212" s="227"/>
      <c r="AB212" s="227"/>
      <c r="AC212" s="227"/>
      <c r="AD212" s="227"/>
      <c r="AE212" s="227"/>
      <c r="AF212" s="227"/>
      <c r="AG212" s="227"/>
      <c r="AH212" s="227"/>
      <c r="AI212" s="227"/>
      <c r="AJ212" s="227"/>
      <c r="AK212" s="227"/>
      <c r="AL212" s="225"/>
      <c r="AM212" s="227"/>
    </row>
    <row r="213" spans="1:39" ht="20.100000000000001" customHeight="1">
      <c r="A213" s="227">
        <v>103</v>
      </c>
      <c r="B213" s="225"/>
      <c r="C213" s="227"/>
      <c r="D213" s="228">
        <f>(SUMPRODUCT(E213:AL213*$E$6:$AL$6)/100)+(SUMPRODUCT(E213:AL213*$E$6:$AL$6*$E$3:$AL$3)/100)</f>
        <v>0</v>
      </c>
      <c r="E213" s="227"/>
      <c r="F213" s="227"/>
      <c r="G213" s="227"/>
      <c r="H213" s="227"/>
      <c r="I213" s="227"/>
      <c r="J213" s="227"/>
      <c r="K213" s="227"/>
      <c r="L213" s="227"/>
      <c r="M213" s="227"/>
      <c r="N213" s="227"/>
      <c r="O213" s="227"/>
      <c r="P213" s="227"/>
      <c r="Q213" s="227"/>
      <c r="R213" s="227"/>
      <c r="S213" s="227"/>
      <c r="T213" s="227"/>
      <c r="U213" s="227"/>
      <c r="V213" s="227"/>
      <c r="W213" s="227"/>
      <c r="X213" s="227"/>
      <c r="Y213" s="227"/>
      <c r="Z213" s="227"/>
      <c r="AA213" s="227"/>
      <c r="AB213" s="227"/>
      <c r="AC213" s="227"/>
      <c r="AD213" s="227"/>
      <c r="AE213" s="227"/>
      <c r="AF213" s="227"/>
      <c r="AG213" s="227"/>
      <c r="AH213" s="227"/>
      <c r="AI213" s="227"/>
      <c r="AJ213" s="227"/>
      <c r="AK213" s="227"/>
      <c r="AL213" s="225"/>
      <c r="AM213" s="227"/>
    </row>
    <row r="214" spans="1:39" ht="20.100000000000001" customHeight="1">
      <c r="A214" s="227"/>
      <c r="B214" s="225"/>
      <c r="C214" s="227"/>
      <c r="D214" s="224"/>
      <c r="E214" s="227"/>
      <c r="F214" s="227"/>
      <c r="G214" s="227"/>
      <c r="H214" s="227"/>
      <c r="I214" s="227"/>
      <c r="J214" s="227"/>
      <c r="K214" s="227"/>
      <c r="L214" s="227"/>
      <c r="M214" s="227"/>
      <c r="N214" s="227"/>
      <c r="O214" s="227"/>
      <c r="P214" s="227"/>
      <c r="Q214" s="227"/>
      <c r="R214" s="227"/>
      <c r="S214" s="227"/>
      <c r="T214" s="227"/>
      <c r="U214" s="227"/>
      <c r="V214" s="227"/>
      <c r="W214" s="227"/>
      <c r="X214" s="227"/>
      <c r="Y214" s="227"/>
      <c r="Z214" s="227"/>
      <c r="AA214" s="227"/>
      <c r="AB214" s="227"/>
      <c r="AC214" s="227"/>
      <c r="AD214" s="227"/>
      <c r="AE214" s="227"/>
      <c r="AF214" s="227"/>
      <c r="AG214" s="227"/>
      <c r="AH214" s="227"/>
      <c r="AI214" s="227"/>
      <c r="AJ214" s="227"/>
      <c r="AK214" s="227"/>
      <c r="AL214" s="225"/>
      <c r="AM214" s="227"/>
    </row>
    <row r="215" spans="1:39" ht="20.100000000000001" customHeight="1">
      <c r="A215" s="227">
        <v>104</v>
      </c>
      <c r="B215" s="225"/>
      <c r="C215" s="227"/>
      <c r="D215" s="228">
        <f>(SUMPRODUCT(E215:AL215*$E$6:$AL$6)/100)+(SUMPRODUCT(E215:AL215*$E$6:$AL$6*$E$3:$AL$3)/100)</f>
        <v>0</v>
      </c>
      <c r="E215" s="227"/>
      <c r="F215" s="227"/>
      <c r="G215" s="227"/>
      <c r="H215" s="227"/>
      <c r="I215" s="227"/>
      <c r="J215" s="227"/>
      <c r="K215" s="227"/>
      <c r="L215" s="227"/>
      <c r="M215" s="227"/>
      <c r="N215" s="227"/>
      <c r="O215" s="227"/>
      <c r="P215" s="227"/>
      <c r="Q215" s="227"/>
      <c r="R215" s="227"/>
      <c r="S215" s="227"/>
      <c r="T215" s="227"/>
      <c r="U215" s="227"/>
      <c r="V215" s="227"/>
      <c r="W215" s="227"/>
      <c r="X215" s="227"/>
      <c r="Y215" s="227"/>
      <c r="Z215" s="227"/>
      <c r="AA215" s="227"/>
      <c r="AB215" s="227"/>
      <c r="AC215" s="227"/>
      <c r="AD215" s="227"/>
      <c r="AE215" s="227"/>
      <c r="AF215" s="227"/>
      <c r="AG215" s="227"/>
      <c r="AH215" s="227"/>
      <c r="AI215" s="227"/>
      <c r="AJ215" s="227"/>
      <c r="AK215" s="227"/>
      <c r="AL215" s="225"/>
      <c r="AM215" s="227"/>
    </row>
    <row r="216" spans="1:39" ht="20.100000000000001" customHeight="1">
      <c r="A216" s="223"/>
      <c r="B216" s="225"/>
      <c r="C216" s="227"/>
      <c r="D216" s="224"/>
      <c r="E216" s="227"/>
      <c r="F216" s="227"/>
      <c r="G216" s="227"/>
      <c r="H216" s="227"/>
      <c r="I216" s="227"/>
      <c r="J216" s="227"/>
      <c r="K216" s="227"/>
      <c r="L216" s="227"/>
      <c r="M216" s="227"/>
      <c r="N216" s="227"/>
      <c r="O216" s="227"/>
      <c r="P216" s="227"/>
      <c r="Q216" s="227"/>
      <c r="R216" s="227"/>
      <c r="S216" s="227"/>
      <c r="T216" s="227"/>
      <c r="U216" s="227"/>
      <c r="V216" s="227"/>
      <c r="W216" s="227"/>
      <c r="X216" s="227"/>
      <c r="Y216" s="227"/>
      <c r="Z216" s="227"/>
      <c r="AA216" s="227"/>
      <c r="AB216" s="227"/>
      <c r="AC216" s="227"/>
      <c r="AD216" s="227"/>
      <c r="AE216" s="227"/>
      <c r="AF216" s="227"/>
      <c r="AG216" s="227"/>
      <c r="AH216" s="227"/>
      <c r="AI216" s="227"/>
      <c r="AJ216" s="227"/>
      <c r="AK216" s="227"/>
      <c r="AL216" s="225"/>
      <c r="AM216" s="227"/>
    </row>
    <row r="217" spans="1:39" ht="20.100000000000001" customHeight="1">
      <c r="A217" s="227">
        <v>105</v>
      </c>
      <c r="B217" s="225"/>
      <c r="C217" s="227"/>
      <c r="D217" s="228">
        <f>(SUMPRODUCT(E217:AL217*$E$6:$AL$6)/100)+(SUMPRODUCT(E217:AL217*$E$6:$AL$6*$E$3:$AL$3)/100)</f>
        <v>0</v>
      </c>
      <c r="E217" s="227"/>
      <c r="F217" s="227"/>
      <c r="G217" s="227"/>
      <c r="H217" s="227"/>
      <c r="I217" s="227"/>
      <c r="J217" s="227"/>
      <c r="K217" s="227"/>
      <c r="L217" s="227"/>
      <c r="M217" s="227"/>
      <c r="N217" s="227"/>
      <c r="O217" s="227"/>
      <c r="P217" s="227"/>
      <c r="Q217" s="227"/>
      <c r="R217" s="227"/>
      <c r="S217" s="227"/>
      <c r="T217" s="227"/>
      <c r="U217" s="227"/>
      <c r="V217" s="227"/>
      <c r="W217" s="227"/>
      <c r="X217" s="227"/>
      <c r="Y217" s="227"/>
      <c r="Z217" s="227"/>
      <c r="AA217" s="227"/>
      <c r="AB217" s="227"/>
      <c r="AC217" s="227"/>
      <c r="AD217" s="227"/>
      <c r="AE217" s="227"/>
      <c r="AF217" s="227"/>
      <c r="AG217" s="227"/>
      <c r="AH217" s="227"/>
      <c r="AI217" s="227"/>
      <c r="AJ217" s="227"/>
      <c r="AK217" s="227"/>
      <c r="AL217" s="225"/>
      <c r="AM217" s="227"/>
    </row>
    <row r="218" spans="1:39" ht="20.100000000000001" customHeight="1">
      <c r="A218" s="227"/>
      <c r="B218" s="225"/>
      <c r="C218" s="227"/>
      <c r="D218" s="224"/>
      <c r="E218" s="227"/>
      <c r="F218" s="227"/>
      <c r="G218" s="227"/>
      <c r="H218" s="227"/>
      <c r="I218" s="227"/>
      <c r="J218" s="227"/>
      <c r="K218" s="227"/>
      <c r="L218" s="227"/>
      <c r="M218" s="227"/>
      <c r="N218" s="227"/>
      <c r="O218" s="227"/>
      <c r="P218" s="227"/>
      <c r="Q218" s="227"/>
      <c r="R218" s="227"/>
      <c r="S218" s="227"/>
      <c r="T218" s="227"/>
      <c r="U218" s="227"/>
      <c r="V218" s="227"/>
      <c r="W218" s="227"/>
      <c r="X218" s="227"/>
      <c r="Y218" s="227"/>
      <c r="Z218" s="227"/>
      <c r="AA218" s="227"/>
      <c r="AB218" s="227"/>
      <c r="AC218" s="227"/>
      <c r="AD218" s="227"/>
      <c r="AE218" s="227"/>
      <c r="AF218" s="227"/>
      <c r="AG218" s="227"/>
      <c r="AH218" s="227"/>
      <c r="AI218" s="227"/>
      <c r="AJ218" s="227"/>
      <c r="AK218" s="227"/>
      <c r="AL218" s="225"/>
      <c r="AM218" s="227"/>
    </row>
    <row r="219" spans="1:39" ht="20.100000000000001" customHeight="1">
      <c r="A219" s="227">
        <v>106</v>
      </c>
      <c r="B219" s="225"/>
      <c r="C219" s="227"/>
      <c r="D219" s="228">
        <f>(SUMPRODUCT(E219:AL219*$E$6:$AL$6)/100)+(SUMPRODUCT(E219:AL219*$E$6:$AL$6*$E$3:$AL$3)/100)</f>
        <v>0</v>
      </c>
      <c r="E219" s="227"/>
      <c r="F219" s="227"/>
      <c r="G219" s="227"/>
      <c r="H219" s="227"/>
      <c r="I219" s="227"/>
      <c r="J219" s="227"/>
      <c r="K219" s="227"/>
      <c r="L219" s="227"/>
      <c r="M219" s="227"/>
      <c r="N219" s="227"/>
      <c r="O219" s="227"/>
      <c r="P219" s="227"/>
      <c r="Q219" s="227"/>
      <c r="R219" s="227"/>
      <c r="S219" s="227"/>
      <c r="T219" s="227"/>
      <c r="U219" s="227"/>
      <c r="V219" s="227"/>
      <c r="W219" s="227"/>
      <c r="X219" s="227"/>
      <c r="Y219" s="227"/>
      <c r="Z219" s="227"/>
      <c r="AA219" s="227"/>
      <c r="AB219" s="227"/>
      <c r="AC219" s="227"/>
      <c r="AD219" s="227"/>
      <c r="AE219" s="227"/>
      <c r="AF219" s="227"/>
      <c r="AG219" s="227"/>
      <c r="AH219" s="227"/>
      <c r="AI219" s="227"/>
      <c r="AJ219" s="227"/>
      <c r="AK219" s="227"/>
      <c r="AL219" s="225"/>
      <c r="AM219" s="227"/>
    </row>
    <row r="220" spans="1:39" ht="20.100000000000001" customHeight="1">
      <c r="A220" s="223"/>
      <c r="B220" s="225"/>
      <c r="C220" s="227"/>
      <c r="D220" s="224"/>
      <c r="E220" s="227"/>
      <c r="F220" s="227"/>
      <c r="G220" s="227"/>
      <c r="H220" s="227"/>
      <c r="I220" s="227"/>
      <c r="J220" s="227"/>
      <c r="K220" s="227"/>
      <c r="L220" s="227"/>
      <c r="M220" s="227"/>
      <c r="N220" s="227"/>
      <c r="O220" s="227"/>
      <c r="P220" s="227"/>
      <c r="Q220" s="227"/>
      <c r="R220" s="227"/>
      <c r="S220" s="227"/>
      <c r="T220" s="227"/>
      <c r="U220" s="227"/>
      <c r="V220" s="227"/>
      <c r="W220" s="227"/>
      <c r="X220" s="227"/>
      <c r="Y220" s="227"/>
      <c r="Z220" s="227"/>
      <c r="AA220" s="227"/>
      <c r="AB220" s="227"/>
      <c r="AC220" s="227"/>
      <c r="AD220" s="227"/>
      <c r="AE220" s="227"/>
      <c r="AF220" s="227"/>
      <c r="AG220" s="227"/>
      <c r="AH220" s="227"/>
      <c r="AI220" s="227"/>
      <c r="AJ220" s="227"/>
      <c r="AK220" s="227"/>
      <c r="AL220" s="225"/>
      <c r="AM220" s="227"/>
    </row>
    <row r="221" spans="1:39" ht="20.100000000000001" customHeight="1">
      <c r="A221" s="227">
        <v>107</v>
      </c>
      <c r="B221" s="225"/>
      <c r="C221" s="227"/>
      <c r="D221" s="228">
        <f>(SUMPRODUCT(E221:AL221*$E$6:$AL$6)/100)+(SUMPRODUCT(E221:AL221*$E$6:$AL$6*$E$3:$AL$3)/100)</f>
        <v>0</v>
      </c>
      <c r="E221" s="227"/>
      <c r="F221" s="227"/>
      <c r="G221" s="227"/>
      <c r="H221" s="227"/>
      <c r="I221" s="227"/>
      <c r="J221" s="227"/>
      <c r="K221" s="227"/>
      <c r="L221" s="227"/>
      <c r="M221" s="227"/>
      <c r="N221" s="227"/>
      <c r="O221" s="227"/>
      <c r="P221" s="227"/>
      <c r="Q221" s="227"/>
      <c r="R221" s="227"/>
      <c r="S221" s="227"/>
      <c r="T221" s="227"/>
      <c r="U221" s="227"/>
      <c r="V221" s="227"/>
      <c r="W221" s="227"/>
      <c r="X221" s="227"/>
      <c r="Y221" s="227"/>
      <c r="Z221" s="227"/>
      <c r="AA221" s="227"/>
      <c r="AB221" s="227"/>
      <c r="AC221" s="227"/>
      <c r="AD221" s="227"/>
      <c r="AE221" s="227"/>
      <c r="AF221" s="227"/>
      <c r="AG221" s="227"/>
      <c r="AH221" s="227"/>
      <c r="AI221" s="227"/>
      <c r="AJ221" s="227"/>
      <c r="AK221" s="227"/>
      <c r="AL221" s="225"/>
      <c r="AM221" s="227"/>
    </row>
    <row r="222" spans="1:39" ht="20.100000000000001" customHeight="1">
      <c r="A222" s="227"/>
      <c r="B222" s="225"/>
      <c r="C222" s="227"/>
      <c r="D222" s="224"/>
      <c r="E222" s="227"/>
      <c r="F222" s="227"/>
      <c r="G222" s="227"/>
      <c r="H222" s="227"/>
      <c r="I222" s="227"/>
      <c r="J222" s="227"/>
      <c r="K222" s="227"/>
      <c r="L222" s="227"/>
      <c r="M222" s="227"/>
      <c r="N222" s="227"/>
      <c r="O222" s="227"/>
      <c r="P222" s="227"/>
      <c r="Q222" s="227"/>
      <c r="R222" s="227"/>
      <c r="S222" s="227"/>
      <c r="T222" s="227"/>
      <c r="U222" s="227"/>
      <c r="V222" s="227"/>
      <c r="W222" s="227"/>
      <c r="X222" s="227"/>
      <c r="Y222" s="227"/>
      <c r="Z222" s="227"/>
      <c r="AA222" s="227"/>
      <c r="AB222" s="227"/>
      <c r="AC222" s="227"/>
      <c r="AD222" s="227"/>
      <c r="AE222" s="227"/>
      <c r="AF222" s="227"/>
      <c r="AG222" s="227"/>
      <c r="AH222" s="227"/>
      <c r="AI222" s="227"/>
      <c r="AJ222" s="227"/>
      <c r="AK222" s="227"/>
      <c r="AL222" s="225"/>
      <c r="AM222" s="227"/>
    </row>
    <row r="223" spans="1:39" ht="20.100000000000001" customHeight="1">
      <c r="A223" s="227">
        <v>108</v>
      </c>
      <c r="B223" s="225"/>
      <c r="C223" s="227"/>
      <c r="D223" s="228">
        <f>(SUMPRODUCT(E223:AL223*$E$6:$AL$6)/100)+(SUMPRODUCT(E223:AL223*$E$6:$AL$6*$E$3:$AL$3)/100)</f>
        <v>0</v>
      </c>
      <c r="E223" s="227"/>
      <c r="F223" s="227"/>
      <c r="G223" s="227"/>
      <c r="H223" s="227"/>
      <c r="I223" s="227"/>
      <c r="J223" s="227"/>
      <c r="K223" s="227"/>
      <c r="L223" s="227"/>
      <c r="M223" s="227"/>
      <c r="N223" s="227"/>
      <c r="O223" s="227"/>
      <c r="P223" s="227"/>
      <c r="Q223" s="227"/>
      <c r="R223" s="227"/>
      <c r="S223" s="227"/>
      <c r="T223" s="227"/>
      <c r="U223" s="227"/>
      <c r="V223" s="227"/>
      <c r="W223" s="227"/>
      <c r="X223" s="227"/>
      <c r="Y223" s="227"/>
      <c r="Z223" s="227"/>
      <c r="AA223" s="227"/>
      <c r="AB223" s="227"/>
      <c r="AC223" s="227"/>
      <c r="AD223" s="227"/>
      <c r="AE223" s="227"/>
      <c r="AF223" s="227"/>
      <c r="AG223" s="227"/>
      <c r="AH223" s="227"/>
      <c r="AI223" s="227"/>
      <c r="AJ223" s="227"/>
      <c r="AK223" s="227"/>
      <c r="AL223" s="225"/>
      <c r="AM223" s="227"/>
    </row>
    <row r="224" spans="1:39" ht="20.100000000000001" customHeight="1">
      <c r="A224" s="223"/>
      <c r="B224" s="225"/>
      <c r="C224" s="227"/>
      <c r="D224" s="224"/>
      <c r="E224" s="227"/>
      <c r="F224" s="227"/>
      <c r="G224" s="227"/>
      <c r="H224" s="227"/>
      <c r="I224" s="227"/>
      <c r="J224" s="227"/>
      <c r="K224" s="227"/>
      <c r="L224" s="227"/>
      <c r="M224" s="227"/>
      <c r="N224" s="227"/>
      <c r="O224" s="227"/>
      <c r="P224" s="227"/>
      <c r="Q224" s="227"/>
      <c r="R224" s="227"/>
      <c r="S224" s="227"/>
      <c r="T224" s="227"/>
      <c r="U224" s="227"/>
      <c r="V224" s="227"/>
      <c r="W224" s="227"/>
      <c r="X224" s="227"/>
      <c r="Y224" s="227"/>
      <c r="Z224" s="227"/>
      <c r="AA224" s="227"/>
      <c r="AB224" s="227"/>
      <c r="AC224" s="227"/>
      <c r="AD224" s="227"/>
      <c r="AE224" s="227"/>
      <c r="AF224" s="227"/>
      <c r="AG224" s="227"/>
      <c r="AH224" s="227"/>
      <c r="AI224" s="227"/>
      <c r="AJ224" s="227"/>
      <c r="AK224" s="227"/>
      <c r="AL224" s="225"/>
      <c r="AM224" s="227"/>
    </row>
    <row r="225" spans="1:39" ht="20.100000000000001" customHeight="1">
      <c r="A225" s="227">
        <v>109</v>
      </c>
      <c r="B225" s="225"/>
      <c r="C225" s="227"/>
      <c r="D225" s="228">
        <f>(SUMPRODUCT(E225:AL225*$E$6:$AL$6)/100)+(SUMPRODUCT(E225:AL225*$E$6:$AL$6*$E$3:$AL$3)/100)</f>
        <v>0</v>
      </c>
      <c r="E225" s="227"/>
      <c r="F225" s="227"/>
      <c r="G225" s="227"/>
      <c r="H225" s="227"/>
      <c r="I225" s="227"/>
      <c r="J225" s="227"/>
      <c r="K225" s="227"/>
      <c r="L225" s="227"/>
      <c r="M225" s="227"/>
      <c r="N225" s="227"/>
      <c r="O225" s="227"/>
      <c r="P225" s="227"/>
      <c r="Q225" s="227"/>
      <c r="R225" s="227"/>
      <c r="S225" s="227"/>
      <c r="T225" s="227"/>
      <c r="U225" s="227"/>
      <c r="V225" s="227"/>
      <c r="W225" s="227"/>
      <c r="X225" s="227"/>
      <c r="Y225" s="227"/>
      <c r="Z225" s="227"/>
      <c r="AA225" s="227"/>
      <c r="AB225" s="227"/>
      <c r="AC225" s="227"/>
      <c r="AD225" s="227"/>
      <c r="AE225" s="227"/>
      <c r="AF225" s="227"/>
      <c r="AG225" s="227"/>
      <c r="AH225" s="227"/>
      <c r="AI225" s="227"/>
      <c r="AJ225" s="227"/>
      <c r="AK225" s="227"/>
      <c r="AL225" s="225"/>
      <c r="AM225" s="227"/>
    </row>
    <row r="226" spans="1:39" ht="20.100000000000001" customHeight="1">
      <c r="A226" s="227"/>
      <c r="B226" s="225"/>
      <c r="C226" s="227"/>
      <c r="D226" s="224"/>
      <c r="E226" s="227"/>
      <c r="F226" s="227"/>
      <c r="G226" s="227"/>
      <c r="H226" s="227"/>
      <c r="I226" s="227"/>
      <c r="J226" s="227"/>
      <c r="K226" s="227"/>
      <c r="L226" s="227"/>
      <c r="M226" s="227"/>
      <c r="N226" s="227"/>
      <c r="O226" s="227"/>
      <c r="P226" s="227"/>
      <c r="Q226" s="227"/>
      <c r="R226" s="227"/>
      <c r="S226" s="227"/>
      <c r="T226" s="227"/>
      <c r="U226" s="227"/>
      <c r="V226" s="227"/>
      <c r="W226" s="227"/>
      <c r="X226" s="227"/>
      <c r="Y226" s="227"/>
      <c r="Z226" s="227"/>
      <c r="AA226" s="227"/>
      <c r="AB226" s="227"/>
      <c r="AC226" s="227"/>
      <c r="AD226" s="227"/>
      <c r="AE226" s="227"/>
      <c r="AF226" s="227"/>
      <c r="AG226" s="227"/>
      <c r="AH226" s="227"/>
      <c r="AI226" s="227"/>
      <c r="AJ226" s="227"/>
      <c r="AK226" s="227"/>
      <c r="AL226" s="225"/>
      <c r="AM226" s="227"/>
    </row>
    <row r="227" spans="1:39" ht="20.100000000000001" customHeight="1">
      <c r="A227" s="227">
        <v>110</v>
      </c>
      <c r="B227" s="225"/>
      <c r="C227" s="227"/>
      <c r="D227" s="228">
        <f>(SUMPRODUCT(E227:AL227*$E$6:$AL$6)/100)+(SUMPRODUCT(E227:AL227*$E$6:$AL$6*$E$3:$AL$3)/100)</f>
        <v>0</v>
      </c>
      <c r="E227" s="227"/>
      <c r="F227" s="227"/>
      <c r="G227" s="227"/>
      <c r="H227" s="227"/>
      <c r="I227" s="227"/>
      <c r="J227" s="227"/>
      <c r="K227" s="227"/>
      <c r="L227" s="227"/>
      <c r="M227" s="227"/>
      <c r="N227" s="227"/>
      <c r="O227" s="227"/>
      <c r="P227" s="227"/>
      <c r="Q227" s="227"/>
      <c r="R227" s="227"/>
      <c r="S227" s="227"/>
      <c r="T227" s="227"/>
      <c r="U227" s="227"/>
      <c r="V227" s="227"/>
      <c r="W227" s="227"/>
      <c r="X227" s="227"/>
      <c r="Y227" s="227"/>
      <c r="Z227" s="227"/>
      <c r="AA227" s="227"/>
      <c r="AB227" s="227"/>
      <c r="AC227" s="227"/>
      <c r="AD227" s="227"/>
      <c r="AE227" s="227"/>
      <c r="AF227" s="227"/>
      <c r="AG227" s="227"/>
      <c r="AH227" s="227"/>
      <c r="AI227" s="227"/>
      <c r="AJ227" s="227"/>
      <c r="AK227" s="227"/>
      <c r="AL227" s="225"/>
      <c r="AM227" s="227"/>
    </row>
    <row r="228" spans="1:39" ht="20.100000000000001" customHeight="1">
      <c r="A228" s="223"/>
      <c r="B228" s="225"/>
      <c r="C228" s="227"/>
      <c r="D228" s="224"/>
      <c r="E228" s="227"/>
      <c r="F228" s="227"/>
      <c r="G228" s="227"/>
      <c r="H228" s="227"/>
      <c r="I228" s="227"/>
      <c r="J228" s="227"/>
      <c r="K228" s="227"/>
      <c r="L228" s="227"/>
      <c r="M228" s="227"/>
      <c r="N228" s="227"/>
      <c r="O228" s="227"/>
      <c r="P228" s="227"/>
      <c r="Q228" s="227"/>
      <c r="R228" s="227"/>
      <c r="S228" s="227"/>
      <c r="T228" s="227"/>
      <c r="U228" s="227"/>
      <c r="V228" s="227"/>
      <c r="W228" s="227"/>
      <c r="X228" s="227"/>
      <c r="Y228" s="227"/>
      <c r="Z228" s="227"/>
      <c r="AA228" s="227"/>
      <c r="AB228" s="227"/>
      <c r="AC228" s="227"/>
      <c r="AD228" s="227"/>
      <c r="AE228" s="227"/>
      <c r="AF228" s="227"/>
      <c r="AG228" s="227"/>
      <c r="AH228" s="227"/>
      <c r="AI228" s="227"/>
      <c r="AJ228" s="227"/>
      <c r="AK228" s="227"/>
      <c r="AL228" s="225"/>
      <c r="AM228" s="227"/>
    </row>
    <row r="229" spans="1:39" ht="20.100000000000001" customHeight="1">
      <c r="A229" s="227">
        <v>111</v>
      </c>
      <c r="B229" s="225"/>
      <c r="C229" s="227"/>
      <c r="D229" s="228">
        <f>(SUMPRODUCT(E229:AL229*$E$6:$AL$6)/100)+(SUMPRODUCT(E229:AL229*$E$6:$AL$6*$E$3:$AL$3)/100)</f>
        <v>0</v>
      </c>
      <c r="E229" s="227"/>
      <c r="F229" s="227"/>
      <c r="G229" s="227"/>
      <c r="H229" s="227"/>
      <c r="I229" s="227"/>
      <c r="J229" s="227"/>
      <c r="K229" s="227"/>
      <c r="L229" s="227"/>
      <c r="M229" s="227"/>
      <c r="N229" s="227"/>
      <c r="O229" s="227"/>
      <c r="P229" s="227"/>
      <c r="Q229" s="227"/>
      <c r="R229" s="227"/>
      <c r="S229" s="227"/>
      <c r="T229" s="227"/>
      <c r="U229" s="227"/>
      <c r="V229" s="227"/>
      <c r="W229" s="227"/>
      <c r="X229" s="227"/>
      <c r="Y229" s="227"/>
      <c r="Z229" s="227"/>
      <c r="AA229" s="227"/>
      <c r="AB229" s="227"/>
      <c r="AC229" s="227"/>
      <c r="AD229" s="227"/>
      <c r="AE229" s="227"/>
      <c r="AF229" s="227"/>
      <c r="AG229" s="227"/>
      <c r="AH229" s="227"/>
      <c r="AI229" s="227"/>
      <c r="AJ229" s="227"/>
      <c r="AK229" s="227"/>
      <c r="AL229" s="225"/>
      <c r="AM229" s="227"/>
    </row>
    <row r="230" spans="1:39" ht="20.100000000000001" customHeight="1">
      <c r="A230" s="227"/>
      <c r="B230" s="225"/>
      <c r="C230" s="227"/>
      <c r="D230" s="224"/>
      <c r="E230" s="227"/>
      <c r="F230" s="227"/>
      <c r="G230" s="227"/>
      <c r="H230" s="227"/>
      <c r="I230" s="227"/>
      <c r="J230" s="227"/>
      <c r="K230" s="227"/>
      <c r="L230" s="227"/>
      <c r="M230" s="227"/>
      <c r="N230" s="227"/>
      <c r="O230" s="227"/>
      <c r="P230" s="227"/>
      <c r="Q230" s="227"/>
      <c r="R230" s="227"/>
      <c r="S230" s="227"/>
      <c r="T230" s="227"/>
      <c r="U230" s="227"/>
      <c r="V230" s="227"/>
      <c r="W230" s="227"/>
      <c r="X230" s="227"/>
      <c r="Y230" s="227"/>
      <c r="Z230" s="227"/>
      <c r="AA230" s="227"/>
      <c r="AB230" s="227"/>
      <c r="AC230" s="227"/>
      <c r="AD230" s="227"/>
      <c r="AE230" s="227"/>
      <c r="AF230" s="227"/>
      <c r="AG230" s="227"/>
      <c r="AH230" s="227"/>
      <c r="AI230" s="227"/>
      <c r="AJ230" s="227"/>
      <c r="AK230" s="227"/>
      <c r="AL230" s="225"/>
      <c r="AM230" s="227"/>
    </row>
    <row r="231" spans="1:39" ht="20.100000000000001" customHeight="1">
      <c r="A231" s="227">
        <v>112</v>
      </c>
      <c r="B231" s="225"/>
      <c r="C231" s="227"/>
      <c r="D231" s="228">
        <f>(SUMPRODUCT(E231:AL231*$E$6:$AL$6)/100)+(SUMPRODUCT(E231:AL231*$E$6:$AL$6*$E$3:$AL$3)/100)</f>
        <v>0</v>
      </c>
      <c r="E231" s="227"/>
      <c r="F231" s="227"/>
      <c r="G231" s="227"/>
      <c r="H231" s="227"/>
      <c r="I231" s="227"/>
      <c r="J231" s="227"/>
      <c r="K231" s="227"/>
      <c r="L231" s="227"/>
      <c r="M231" s="227"/>
      <c r="N231" s="227"/>
      <c r="O231" s="227"/>
      <c r="P231" s="227"/>
      <c r="Q231" s="227"/>
      <c r="R231" s="227"/>
      <c r="S231" s="227"/>
      <c r="T231" s="227"/>
      <c r="U231" s="227"/>
      <c r="V231" s="227"/>
      <c r="W231" s="227"/>
      <c r="X231" s="227"/>
      <c r="Y231" s="227"/>
      <c r="Z231" s="227"/>
      <c r="AA231" s="227"/>
      <c r="AB231" s="227"/>
      <c r="AC231" s="227"/>
      <c r="AD231" s="227"/>
      <c r="AE231" s="227"/>
      <c r="AF231" s="227"/>
      <c r="AG231" s="227"/>
      <c r="AH231" s="227"/>
      <c r="AI231" s="227"/>
      <c r="AJ231" s="227"/>
      <c r="AK231" s="227"/>
      <c r="AL231" s="225"/>
      <c r="AM231" s="227"/>
    </row>
    <row r="232" spans="1:39" ht="20.100000000000001" customHeight="1">
      <c r="A232" s="223"/>
      <c r="B232" s="225"/>
      <c r="C232" s="227"/>
      <c r="D232" s="224"/>
      <c r="E232" s="227"/>
      <c r="F232" s="227"/>
      <c r="G232" s="227"/>
      <c r="H232" s="227"/>
      <c r="I232" s="227"/>
      <c r="J232" s="227"/>
      <c r="K232" s="227"/>
      <c r="L232" s="227"/>
      <c r="M232" s="227"/>
      <c r="N232" s="227"/>
      <c r="O232" s="227"/>
      <c r="P232" s="227"/>
      <c r="Q232" s="227"/>
      <c r="R232" s="227"/>
      <c r="S232" s="227"/>
      <c r="T232" s="227"/>
      <c r="U232" s="227"/>
      <c r="V232" s="227"/>
      <c r="W232" s="227"/>
      <c r="X232" s="227"/>
      <c r="Y232" s="227"/>
      <c r="Z232" s="227"/>
      <c r="AA232" s="227"/>
      <c r="AB232" s="227"/>
      <c r="AC232" s="227"/>
      <c r="AD232" s="227"/>
      <c r="AE232" s="227"/>
      <c r="AF232" s="227"/>
      <c r="AG232" s="227"/>
      <c r="AH232" s="227"/>
      <c r="AI232" s="227"/>
      <c r="AJ232" s="227"/>
      <c r="AK232" s="227"/>
      <c r="AL232" s="225"/>
      <c r="AM232" s="227"/>
    </row>
    <row r="233" spans="1:39" ht="20.100000000000001" customHeight="1">
      <c r="A233" s="227">
        <v>113</v>
      </c>
      <c r="B233" s="225"/>
      <c r="C233" s="227"/>
      <c r="D233" s="228">
        <f>(SUMPRODUCT(E233:AL233*$E$6:$AL$6)/100)+(SUMPRODUCT(E233:AL233*$E$6:$AL$6*$E$3:$AL$3)/100)</f>
        <v>0</v>
      </c>
      <c r="E233" s="227"/>
      <c r="F233" s="227"/>
      <c r="G233" s="227"/>
      <c r="H233" s="227"/>
      <c r="I233" s="227"/>
      <c r="J233" s="227"/>
      <c r="K233" s="227"/>
      <c r="L233" s="227"/>
      <c r="M233" s="227"/>
      <c r="N233" s="227"/>
      <c r="O233" s="227"/>
      <c r="P233" s="227"/>
      <c r="Q233" s="227"/>
      <c r="R233" s="227"/>
      <c r="S233" s="227"/>
      <c r="T233" s="227"/>
      <c r="U233" s="227"/>
      <c r="V233" s="227"/>
      <c r="W233" s="227"/>
      <c r="X233" s="227"/>
      <c r="Y233" s="227"/>
      <c r="Z233" s="227"/>
      <c r="AA233" s="227"/>
      <c r="AB233" s="227"/>
      <c r="AC233" s="227"/>
      <c r="AD233" s="227"/>
      <c r="AE233" s="227"/>
      <c r="AF233" s="227"/>
      <c r="AG233" s="227"/>
      <c r="AH233" s="227"/>
      <c r="AI233" s="227"/>
      <c r="AJ233" s="227"/>
      <c r="AK233" s="227"/>
      <c r="AL233" s="225"/>
      <c r="AM233" s="227"/>
    </row>
    <row r="234" spans="1:39" ht="20.100000000000001" customHeight="1">
      <c r="A234" s="227"/>
      <c r="B234" s="225"/>
      <c r="C234" s="227"/>
      <c r="D234" s="224"/>
      <c r="E234" s="227"/>
      <c r="F234" s="227"/>
      <c r="G234" s="227"/>
      <c r="H234" s="227"/>
      <c r="I234" s="227"/>
      <c r="J234" s="227"/>
      <c r="K234" s="227"/>
      <c r="L234" s="227"/>
      <c r="M234" s="227"/>
      <c r="N234" s="227"/>
      <c r="O234" s="227"/>
      <c r="P234" s="227"/>
      <c r="Q234" s="227"/>
      <c r="R234" s="227"/>
      <c r="S234" s="227"/>
      <c r="T234" s="227"/>
      <c r="U234" s="227"/>
      <c r="V234" s="227"/>
      <c r="W234" s="227"/>
      <c r="X234" s="227"/>
      <c r="Y234" s="227"/>
      <c r="Z234" s="227"/>
      <c r="AA234" s="227"/>
      <c r="AB234" s="227"/>
      <c r="AC234" s="227"/>
      <c r="AD234" s="227"/>
      <c r="AE234" s="227"/>
      <c r="AF234" s="227"/>
      <c r="AG234" s="227"/>
      <c r="AH234" s="227"/>
      <c r="AI234" s="227"/>
      <c r="AJ234" s="227"/>
      <c r="AK234" s="227"/>
      <c r="AL234" s="225"/>
      <c r="AM234" s="227"/>
    </row>
    <row r="235" spans="1:39" ht="20.100000000000001" customHeight="1">
      <c r="A235" s="227">
        <v>114</v>
      </c>
      <c r="B235" s="225"/>
      <c r="C235" s="227"/>
      <c r="D235" s="228">
        <f>(SUMPRODUCT(E235:AL235*$E$6:$AL$6)/100)+(SUMPRODUCT(E235:AL235*$E$6:$AL$6*$E$3:$AL$3)/100)</f>
        <v>0</v>
      </c>
      <c r="E235" s="227"/>
      <c r="F235" s="227"/>
      <c r="G235" s="227"/>
      <c r="H235" s="227"/>
      <c r="I235" s="227"/>
      <c r="J235" s="227"/>
      <c r="K235" s="227"/>
      <c r="L235" s="227"/>
      <c r="M235" s="227"/>
      <c r="N235" s="227"/>
      <c r="O235" s="227"/>
      <c r="P235" s="227"/>
      <c r="Q235" s="227"/>
      <c r="R235" s="227"/>
      <c r="S235" s="227"/>
      <c r="T235" s="227"/>
      <c r="U235" s="227"/>
      <c r="V235" s="227"/>
      <c r="W235" s="227"/>
      <c r="X235" s="227"/>
      <c r="Y235" s="227"/>
      <c r="Z235" s="227"/>
      <c r="AA235" s="227"/>
      <c r="AB235" s="227"/>
      <c r="AC235" s="227"/>
      <c r="AD235" s="227"/>
      <c r="AE235" s="227"/>
      <c r="AF235" s="227"/>
      <c r="AG235" s="227"/>
      <c r="AH235" s="227"/>
      <c r="AI235" s="227"/>
      <c r="AJ235" s="227"/>
      <c r="AK235" s="227"/>
      <c r="AL235" s="225"/>
      <c r="AM235" s="227"/>
    </row>
    <row r="236" spans="1:39" ht="20.100000000000001" customHeight="1">
      <c r="A236" s="223"/>
      <c r="B236" s="225"/>
      <c r="C236" s="227"/>
      <c r="D236" s="224"/>
      <c r="E236" s="227"/>
      <c r="F236" s="227"/>
      <c r="G236" s="227"/>
      <c r="H236" s="227"/>
      <c r="I236" s="227"/>
      <c r="J236" s="227"/>
      <c r="K236" s="227"/>
      <c r="L236" s="227"/>
      <c r="M236" s="227"/>
      <c r="N236" s="227"/>
      <c r="O236" s="227"/>
      <c r="P236" s="227"/>
      <c r="Q236" s="227"/>
      <c r="R236" s="227"/>
      <c r="S236" s="227"/>
      <c r="T236" s="227"/>
      <c r="U236" s="227"/>
      <c r="V236" s="227"/>
      <c r="W236" s="227"/>
      <c r="X236" s="227"/>
      <c r="Y236" s="227"/>
      <c r="Z236" s="227"/>
      <c r="AA236" s="227"/>
      <c r="AB236" s="227"/>
      <c r="AC236" s="227"/>
      <c r="AD236" s="227"/>
      <c r="AE236" s="227"/>
      <c r="AF236" s="227"/>
      <c r="AG236" s="227"/>
      <c r="AH236" s="227"/>
      <c r="AI236" s="227"/>
      <c r="AJ236" s="227"/>
      <c r="AK236" s="227"/>
      <c r="AL236" s="225"/>
      <c r="AM236" s="227"/>
    </row>
    <row r="237" spans="1:39" ht="20.100000000000001" customHeight="1">
      <c r="A237" s="227">
        <v>115</v>
      </c>
      <c r="B237" s="225"/>
      <c r="C237" s="227"/>
      <c r="D237" s="228">
        <f>(SUMPRODUCT(E237:AL237*$E$6:$AL$6)/100)+(SUMPRODUCT(E237:AL237*$E$6:$AL$6*$E$3:$AL$3)/100)</f>
        <v>0</v>
      </c>
      <c r="E237" s="227"/>
      <c r="F237" s="227"/>
      <c r="G237" s="227"/>
      <c r="H237" s="227"/>
      <c r="I237" s="227"/>
      <c r="J237" s="227"/>
      <c r="K237" s="227"/>
      <c r="L237" s="227"/>
      <c r="M237" s="227"/>
      <c r="N237" s="227"/>
      <c r="O237" s="227"/>
      <c r="P237" s="227"/>
      <c r="Q237" s="227"/>
      <c r="R237" s="227"/>
      <c r="S237" s="227"/>
      <c r="T237" s="227"/>
      <c r="U237" s="227"/>
      <c r="V237" s="227"/>
      <c r="W237" s="227"/>
      <c r="X237" s="227"/>
      <c r="Y237" s="227"/>
      <c r="Z237" s="227"/>
      <c r="AA237" s="227"/>
      <c r="AB237" s="227"/>
      <c r="AC237" s="227"/>
      <c r="AD237" s="227"/>
      <c r="AE237" s="227"/>
      <c r="AF237" s="227"/>
      <c r="AG237" s="227"/>
      <c r="AH237" s="227"/>
      <c r="AI237" s="227"/>
      <c r="AJ237" s="227"/>
      <c r="AK237" s="227"/>
      <c r="AL237" s="225"/>
      <c r="AM237" s="227"/>
    </row>
    <row r="238" spans="1:39" ht="20.100000000000001" customHeight="1">
      <c r="A238" s="227"/>
      <c r="B238" s="225"/>
      <c r="C238" s="227"/>
      <c r="D238" s="224"/>
      <c r="E238" s="227"/>
      <c r="F238" s="227"/>
      <c r="G238" s="227"/>
      <c r="H238" s="227"/>
      <c r="I238" s="227"/>
      <c r="J238" s="227"/>
      <c r="K238" s="227"/>
      <c r="L238" s="227"/>
      <c r="M238" s="227"/>
      <c r="N238" s="227"/>
      <c r="O238" s="227"/>
      <c r="P238" s="227"/>
      <c r="Q238" s="227"/>
      <c r="R238" s="227"/>
      <c r="S238" s="227"/>
      <c r="T238" s="227"/>
      <c r="U238" s="227"/>
      <c r="V238" s="227"/>
      <c r="W238" s="227"/>
      <c r="X238" s="227"/>
      <c r="Y238" s="227"/>
      <c r="Z238" s="227"/>
      <c r="AA238" s="227"/>
      <c r="AB238" s="227"/>
      <c r="AC238" s="227"/>
      <c r="AD238" s="227"/>
      <c r="AE238" s="227"/>
      <c r="AF238" s="227"/>
      <c r="AG238" s="227"/>
      <c r="AH238" s="227"/>
      <c r="AI238" s="227"/>
      <c r="AJ238" s="227"/>
      <c r="AK238" s="227"/>
      <c r="AL238" s="225"/>
      <c r="AM238" s="227"/>
    </row>
    <row r="239" spans="1:39" ht="20.100000000000001" customHeight="1">
      <c r="A239" s="227">
        <v>116</v>
      </c>
      <c r="B239" s="225"/>
      <c r="C239" s="227"/>
      <c r="D239" s="228">
        <f>(SUMPRODUCT(E239:AL239*$E$6:$AL$6)/100)+(SUMPRODUCT(E239:AL239*$E$6:$AL$6*$E$3:$AL$3)/100)</f>
        <v>0</v>
      </c>
      <c r="E239" s="227"/>
      <c r="F239" s="227"/>
      <c r="G239" s="227"/>
      <c r="H239" s="227"/>
      <c r="I239" s="227"/>
      <c r="J239" s="227"/>
      <c r="K239" s="227"/>
      <c r="L239" s="227"/>
      <c r="M239" s="227"/>
      <c r="N239" s="227"/>
      <c r="O239" s="227"/>
      <c r="P239" s="227"/>
      <c r="Q239" s="227"/>
      <c r="R239" s="227"/>
      <c r="S239" s="227"/>
      <c r="T239" s="227"/>
      <c r="U239" s="227"/>
      <c r="V239" s="227"/>
      <c r="W239" s="227"/>
      <c r="X239" s="227"/>
      <c r="Y239" s="227"/>
      <c r="Z239" s="227"/>
      <c r="AA239" s="227"/>
      <c r="AB239" s="227"/>
      <c r="AC239" s="227"/>
      <c r="AD239" s="227"/>
      <c r="AE239" s="227"/>
      <c r="AF239" s="227"/>
      <c r="AG239" s="227"/>
      <c r="AH239" s="227"/>
      <c r="AI239" s="227"/>
      <c r="AJ239" s="227"/>
      <c r="AK239" s="227"/>
      <c r="AL239" s="225"/>
      <c r="AM239" s="227"/>
    </row>
    <row r="240" spans="1:39" ht="20.100000000000001" customHeight="1">
      <c r="A240" s="223"/>
      <c r="B240" s="225"/>
      <c r="C240" s="227"/>
      <c r="D240" s="224"/>
      <c r="E240" s="227"/>
      <c r="F240" s="227"/>
      <c r="G240" s="227"/>
      <c r="H240" s="227"/>
      <c r="I240" s="227"/>
      <c r="J240" s="227"/>
      <c r="K240" s="227"/>
      <c r="L240" s="227"/>
      <c r="M240" s="227"/>
      <c r="N240" s="227"/>
      <c r="O240" s="227"/>
      <c r="P240" s="227"/>
      <c r="Q240" s="227"/>
      <c r="R240" s="227"/>
      <c r="S240" s="227"/>
      <c r="T240" s="227"/>
      <c r="U240" s="227"/>
      <c r="V240" s="227"/>
      <c r="W240" s="227"/>
      <c r="X240" s="227"/>
      <c r="Y240" s="227"/>
      <c r="Z240" s="227"/>
      <c r="AA240" s="227"/>
      <c r="AB240" s="227"/>
      <c r="AC240" s="227"/>
      <c r="AD240" s="227"/>
      <c r="AE240" s="227"/>
      <c r="AF240" s="227"/>
      <c r="AG240" s="227"/>
      <c r="AH240" s="227"/>
      <c r="AI240" s="227"/>
      <c r="AJ240" s="227"/>
      <c r="AK240" s="227"/>
      <c r="AL240" s="225"/>
      <c r="AM240" s="227"/>
    </row>
    <row r="241" spans="1:39" ht="20.100000000000001" customHeight="1">
      <c r="A241" s="227">
        <v>117</v>
      </c>
      <c r="B241" s="225"/>
      <c r="C241" s="227"/>
      <c r="D241" s="228">
        <f>(SUMPRODUCT(E241:AL241*$E$6:$AL$6)/100)+(SUMPRODUCT(E241:AL241*$E$6:$AL$6*$E$3:$AL$3)/100)</f>
        <v>0</v>
      </c>
      <c r="E241" s="227"/>
      <c r="F241" s="227"/>
      <c r="G241" s="227"/>
      <c r="H241" s="227"/>
      <c r="I241" s="227"/>
      <c r="J241" s="227"/>
      <c r="K241" s="227"/>
      <c r="L241" s="227"/>
      <c r="M241" s="227"/>
      <c r="N241" s="227"/>
      <c r="O241" s="227"/>
      <c r="P241" s="227"/>
      <c r="Q241" s="227"/>
      <c r="R241" s="227"/>
      <c r="S241" s="227"/>
      <c r="T241" s="227"/>
      <c r="U241" s="227"/>
      <c r="V241" s="227"/>
      <c r="W241" s="227"/>
      <c r="X241" s="227"/>
      <c r="Y241" s="227"/>
      <c r="Z241" s="227"/>
      <c r="AA241" s="227"/>
      <c r="AB241" s="227"/>
      <c r="AC241" s="227"/>
      <c r="AD241" s="227"/>
      <c r="AE241" s="227"/>
      <c r="AF241" s="227"/>
      <c r="AG241" s="227"/>
      <c r="AH241" s="227"/>
      <c r="AI241" s="227"/>
      <c r="AJ241" s="227"/>
      <c r="AK241" s="227"/>
      <c r="AL241" s="225"/>
      <c r="AM241" s="227"/>
    </row>
    <row r="242" spans="1:39" ht="20.100000000000001" customHeight="1">
      <c r="A242" s="227"/>
      <c r="B242" s="225"/>
      <c r="C242" s="227"/>
      <c r="D242" s="224"/>
      <c r="E242" s="227"/>
      <c r="F242" s="227"/>
      <c r="G242" s="227"/>
      <c r="H242" s="227"/>
      <c r="I242" s="227"/>
      <c r="J242" s="227"/>
      <c r="K242" s="227"/>
      <c r="L242" s="227"/>
      <c r="M242" s="227"/>
      <c r="N242" s="227"/>
      <c r="O242" s="227"/>
      <c r="P242" s="227"/>
      <c r="Q242" s="227"/>
      <c r="R242" s="227"/>
      <c r="S242" s="227"/>
      <c r="T242" s="227"/>
      <c r="U242" s="227"/>
      <c r="V242" s="227"/>
      <c r="W242" s="227"/>
      <c r="X242" s="227"/>
      <c r="Y242" s="227"/>
      <c r="Z242" s="227"/>
      <c r="AA242" s="227"/>
      <c r="AB242" s="227"/>
      <c r="AC242" s="227"/>
      <c r="AD242" s="227"/>
      <c r="AE242" s="227"/>
      <c r="AF242" s="227"/>
      <c r="AG242" s="227"/>
      <c r="AH242" s="227"/>
      <c r="AI242" s="227"/>
      <c r="AJ242" s="227"/>
      <c r="AK242" s="227"/>
      <c r="AL242" s="225"/>
      <c r="AM242" s="227"/>
    </row>
    <row r="243" spans="1:39" ht="20.100000000000001" customHeight="1">
      <c r="A243" s="227">
        <v>118</v>
      </c>
      <c r="B243" s="225"/>
      <c r="C243" s="227"/>
      <c r="D243" s="228">
        <f>(SUMPRODUCT(E243:AL243*$E$6:$AL$6)/100)+(SUMPRODUCT(E243:AL243*$E$6:$AL$6*$E$3:$AL$3)/100)</f>
        <v>0</v>
      </c>
      <c r="E243" s="227"/>
      <c r="F243" s="227"/>
      <c r="G243" s="227"/>
      <c r="H243" s="227"/>
      <c r="I243" s="227"/>
      <c r="J243" s="227"/>
      <c r="K243" s="227"/>
      <c r="L243" s="227"/>
      <c r="M243" s="227"/>
      <c r="N243" s="227"/>
      <c r="O243" s="227"/>
      <c r="P243" s="227"/>
      <c r="Q243" s="227"/>
      <c r="R243" s="227"/>
      <c r="S243" s="227"/>
      <c r="T243" s="227"/>
      <c r="U243" s="227"/>
      <c r="V243" s="227"/>
      <c r="W243" s="227"/>
      <c r="X243" s="227"/>
      <c r="Y243" s="227"/>
      <c r="Z243" s="227"/>
      <c r="AA243" s="227"/>
      <c r="AB243" s="227"/>
      <c r="AC243" s="227"/>
      <c r="AD243" s="227"/>
      <c r="AE243" s="227"/>
      <c r="AF243" s="227"/>
      <c r="AG243" s="227"/>
      <c r="AH243" s="227"/>
      <c r="AI243" s="227"/>
      <c r="AJ243" s="227"/>
      <c r="AK243" s="227"/>
      <c r="AL243" s="225"/>
      <c r="AM243" s="227"/>
    </row>
    <row r="244" spans="1:39" ht="20.100000000000001" customHeight="1">
      <c r="A244" s="223"/>
      <c r="B244" s="225"/>
      <c r="C244" s="227"/>
      <c r="D244" s="224"/>
      <c r="E244" s="227"/>
      <c r="F244" s="227"/>
      <c r="G244" s="227"/>
      <c r="H244" s="227"/>
      <c r="I244" s="227"/>
      <c r="J244" s="227"/>
      <c r="K244" s="227"/>
      <c r="L244" s="227"/>
      <c r="M244" s="227"/>
      <c r="N244" s="227"/>
      <c r="O244" s="227"/>
      <c r="P244" s="227"/>
      <c r="Q244" s="227"/>
      <c r="R244" s="227"/>
      <c r="S244" s="227"/>
      <c r="T244" s="227"/>
      <c r="U244" s="227"/>
      <c r="V244" s="227"/>
      <c r="W244" s="227"/>
      <c r="X244" s="227"/>
      <c r="Y244" s="227"/>
      <c r="Z244" s="227"/>
      <c r="AA244" s="227"/>
      <c r="AB244" s="227"/>
      <c r="AC244" s="227"/>
      <c r="AD244" s="227"/>
      <c r="AE244" s="227"/>
      <c r="AF244" s="227"/>
      <c r="AG244" s="227"/>
      <c r="AH244" s="227"/>
      <c r="AI244" s="227"/>
      <c r="AJ244" s="227"/>
      <c r="AK244" s="227"/>
      <c r="AL244" s="225"/>
      <c r="AM244" s="227"/>
    </row>
    <row r="245" spans="1:39" ht="20.100000000000001" customHeight="1">
      <c r="A245" s="227">
        <v>119</v>
      </c>
      <c r="B245" s="225"/>
      <c r="C245" s="227"/>
      <c r="D245" s="228">
        <f>(SUMPRODUCT(E245:AL245*$E$6:$AL$6)/100)+(SUMPRODUCT(E245:AL245*$E$6:$AL$6*$E$3:$AL$3)/100)</f>
        <v>0</v>
      </c>
      <c r="E245" s="227"/>
      <c r="F245" s="227"/>
      <c r="G245" s="227"/>
      <c r="H245" s="227"/>
      <c r="I245" s="227"/>
      <c r="J245" s="227"/>
      <c r="K245" s="227"/>
      <c r="L245" s="227"/>
      <c r="M245" s="227"/>
      <c r="N245" s="227"/>
      <c r="O245" s="227"/>
      <c r="P245" s="227"/>
      <c r="Q245" s="227"/>
      <c r="R245" s="227"/>
      <c r="S245" s="227"/>
      <c r="T245" s="227"/>
      <c r="U245" s="227"/>
      <c r="V245" s="227"/>
      <c r="W245" s="227"/>
      <c r="X245" s="227"/>
      <c r="Y245" s="227"/>
      <c r="Z245" s="227"/>
      <c r="AA245" s="227"/>
      <c r="AB245" s="227"/>
      <c r="AC245" s="227"/>
      <c r="AD245" s="227"/>
      <c r="AE245" s="227"/>
      <c r="AF245" s="227"/>
      <c r="AG245" s="227"/>
      <c r="AH245" s="227"/>
      <c r="AI245" s="227"/>
      <c r="AJ245" s="227"/>
      <c r="AK245" s="227"/>
      <c r="AL245" s="225"/>
      <c r="AM245" s="227"/>
    </row>
    <row r="246" spans="1:39" ht="20.100000000000001" customHeight="1">
      <c r="A246" s="227"/>
      <c r="B246" s="225"/>
      <c r="C246" s="227"/>
      <c r="D246" s="224"/>
      <c r="E246" s="227"/>
      <c r="F246" s="227"/>
      <c r="G246" s="227"/>
      <c r="H246" s="227"/>
      <c r="I246" s="227"/>
      <c r="J246" s="227"/>
      <c r="K246" s="227"/>
      <c r="L246" s="227"/>
      <c r="M246" s="227"/>
      <c r="N246" s="227"/>
      <c r="O246" s="227"/>
      <c r="P246" s="227"/>
      <c r="Q246" s="227"/>
      <c r="R246" s="227"/>
      <c r="S246" s="227"/>
      <c r="T246" s="227"/>
      <c r="U246" s="227"/>
      <c r="V246" s="227"/>
      <c r="W246" s="227"/>
      <c r="X246" s="227"/>
      <c r="Y246" s="227"/>
      <c r="Z246" s="227"/>
      <c r="AA246" s="227"/>
      <c r="AB246" s="227"/>
      <c r="AC246" s="227"/>
      <c r="AD246" s="227"/>
      <c r="AE246" s="227"/>
      <c r="AF246" s="227"/>
      <c r="AG246" s="227"/>
      <c r="AH246" s="227"/>
      <c r="AI246" s="227"/>
      <c r="AJ246" s="227"/>
      <c r="AK246" s="227"/>
      <c r="AL246" s="225"/>
      <c r="AM246" s="227"/>
    </row>
    <row r="247" spans="1:39" ht="20.100000000000001" customHeight="1">
      <c r="A247" s="227">
        <v>120</v>
      </c>
      <c r="B247" s="225"/>
      <c r="C247" s="227"/>
      <c r="D247" s="228">
        <f>(SUMPRODUCT(E247:AL247*$E$6:$AL$6)/100)+(SUMPRODUCT(E247:AL247*$E$6:$AL$6*$E$3:$AL$3)/100)</f>
        <v>0</v>
      </c>
      <c r="E247" s="227"/>
      <c r="F247" s="227"/>
      <c r="G247" s="227"/>
      <c r="H247" s="227"/>
      <c r="I247" s="227"/>
      <c r="J247" s="227"/>
      <c r="K247" s="227"/>
      <c r="L247" s="227"/>
      <c r="M247" s="227"/>
      <c r="N247" s="227"/>
      <c r="O247" s="227"/>
      <c r="P247" s="227"/>
      <c r="Q247" s="227"/>
      <c r="R247" s="227"/>
      <c r="S247" s="227"/>
      <c r="T247" s="227"/>
      <c r="U247" s="227"/>
      <c r="V247" s="227"/>
      <c r="W247" s="227"/>
      <c r="X247" s="227"/>
      <c r="Y247" s="227"/>
      <c r="Z247" s="227"/>
      <c r="AA247" s="227"/>
      <c r="AB247" s="227"/>
      <c r="AC247" s="227"/>
      <c r="AD247" s="227"/>
      <c r="AE247" s="227"/>
      <c r="AF247" s="227"/>
      <c r="AG247" s="227"/>
      <c r="AH247" s="227"/>
      <c r="AI247" s="227"/>
      <c r="AJ247" s="227"/>
      <c r="AK247" s="227"/>
      <c r="AL247" s="225"/>
      <c r="AM247" s="227"/>
    </row>
    <row r="248" spans="1:39" ht="20.100000000000001" customHeight="1">
      <c r="A248" s="223"/>
      <c r="B248" s="225"/>
      <c r="C248" s="227"/>
      <c r="D248" s="224"/>
      <c r="E248" s="227"/>
      <c r="F248" s="227"/>
      <c r="G248" s="227"/>
      <c r="H248" s="227"/>
      <c r="I248" s="227"/>
      <c r="J248" s="227"/>
      <c r="K248" s="227"/>
      <c r="L248" s="227"/>
      <c r="M248" s="227"/>
      <c r="N248" s="227"/>
      <c r="O248" s="227"/>
      <c r="P248" s="227"/>
      <c r="Q248" s="227"/>
      <c r="R248" s="227"/>
      <c r="S248" s="227"/>
      <c r="T248" s="227"/>
      <c r="U248" s="227"/>
      <c r="V248" s="227"/>
      <c r="W248" s="227"/>
      <c r="X248" s="227"/>
      <c r="Y248" s="227"/>
      <c r="Z248" s="227"/>
      <c r="AA248" s="227"/>
      <c r="AB248" s="227"/>
      <c r="AC248" s="227"/>
      <c r="AD248" s="227"/>
      <c r="AE248" s="227"/>
      <c r="AF248" s="227"/>
      <c r="AG248" s="227"/>
      <c r="AH248" s="227"/>
      <c r="AI248" s="227"/>
      <c r="AJ248" s="227"/>
      <c r="AK248" s="227"/>
      <c r="AL248" s="225"/>
      <c r="AM248" s="227"/>
    </row>
    <row r="249" spans="1:39" ht="20.100000000000001" customHeight="1">
      <c r="A249" s="227">
        <v>121</v>
      </c>
      <c r="B249" s="225"/>
      <c r="C249" s="227"/>
      <c r="D249" s="228">
        <f>(SUMPRODUCT(E249:AL249*$E$6:$AL$6)/100)+(SUMPRODUCT(E249:AL249*$E$6:$AL$6*$E$3:$AL$3)/100)</f>
        <v>0</v>
      </c>
      <c r="E249" s="227"/>
      <c r="F249" s="227"/>
      <c r="G249" s="227"/>
      <c r="H249" s="227"/>
      <c r="I249" s="227"/>
      <c r="J249" s="227"/>
      <c r="K249" s="227"/>
      <c r="L249" s="227"/>
      <c r="M249" s="227"/>
      <c r="N249" s="227"/>
      <c r="O249" s="227"/>
      <c r="P249" s="227"/>
      <c r="Q249" s="227"/>
      <c r="R249" s="227"/>
      <c r="S249" s="227"/>
      <c r="T249" s="227"/>
      <c r="U249" s="227"/>
      <c r="V249" s="227"/>
      <c r="W249" s="227"/>
      <c r="X249" s="227"/>
      <c r="Y249" s="227"/>
      <c r="Z249" s="227"/>
      <c r="AA249" s="227"/>
      <c r="AB249" s="227"/>
      <c r="AC249" s="227"/>
      <c r="AD249" s="227"/>
      <c r="AE249" s="227"/>
      <c r="AF249" s="227"/>
      <c r="AG249" s="227"/>
      <c r="AH249" s="227"/>
      <c r="AI249" s="227"/>
      <c r="AJ249" s="227"/>
      <c r="AK249" s="227"/>
      <c r="AL249" s="225"/>
      <c r="AM249" s="227"/>
    </row>
    <row r="250" spans="1:39" ht="20.100000000000001" customHeight="1">
      <c r="A250" s="227"/>
      <c r="B250" s="225"/>
      <c r="C250" s="227"/>
      <c r="D250" s="224"/>
      <c r="E250" s="227"/>
      <c r="F250" s="227"/>
      <c r="G250" s="227"/>
      <c r="H250" s="227"/>
      <c r="I250" s="227"/>
      <c r="J250" s="227"/>
      <c r="K250" s="227"/>
      <c r="L250" s="227"/>
      <c r="M250" s="227"/>
      <c r="N250" s="227"/>
      <c r="O250" s="227"/>
      <c r="P250" s="227"/>
      <c r="Q250" s="227"/>
      <c r="R250" s="227"/>
      <c r="S250" s="227"/>
      <c r="T250" s="227"/>
      <c r="U250" s="227"/>
      <c r="V250" s="227"/>
      <c r="W250" s="227"/>
      <c r="X250" s="227"/>
      <c r="Y250" s="227"/>
      <c r="Z250" s="227"/>
      <c r="AA250" s="227"/>
      <c r="AB250" s="227"/>
      <c r="AC250" s="227"/>
      <c r="AD250" s="227"/>
      <c r="AE250" s="227"/>
      <c r="AF250" s="227"/>
      <c r="AG250" s="227"/>
      <c r="AH250" s="227"/>
      <c r="AI250" s="227"/>
      <c r="AJ250" s="227"/>
      <c r="AK250" s="227"/>
      <c r="AL250" s="225"/>
      <c r="AM250" s="227"/>
    </row>
    <row r="251" spans="1:39" ht="20.100000000000001" customHeight="1">
      <c r="A251" s="227">
        <v>122</v>
      </c>
      <c r="B251" s="225"/>
      <c r="C251" s="227"/>
      <c r="D251" s="228">
        <f>(SUMPRODUCT(E251:AL251*$E$6:$AL$6)/100)+(SUMPRODUCT(E251:AL251*$E$6:$AL$6*$E$3:$AL$3)/100)</f>
        <v>0</v>
      </c>
      <c r="E251" s="227"/>
      <c r="F251" s="227"/>
      <c r="G251" s="227"/>
      <c r="H251" s="227"/>
      <c r="I251" s="227"/>
      <c r="J251" s="227"/>
      <c r="K251" s="227"/>
      <c r="L251" s="227"/>
      <c r="M251" s="227"/>
      <c r="N251" s="227"/>
      <c r="O251" s="227"/>
      <c r="P251" s="227"/>
      <c r="Q251" s="227"/>
      <c r="R251" s="227"/>
      <c r="S251" s="227"/>
      <c r="T251" s="227"/>
      <c r="U251" s="227"/>
      <c r="V251" s="227"/>
      <c r="W251" s="227"/>
      <c r="X251" s="227"/>
      <c r="Y251" s="227"/>
      <c r="Z251" s="227"/>
      <c r="AA251" s="227"/>
      <c r="AB251" s="227"/>
      <c r="AC251" s="227"/>
      <c r="AD251" s="227"/>
      <c r="AE251" s="227"/>
      <c r="AF251" s="227"/>
      <c r="AG251" s="227"/>
      <c r="AH251" s="227"/>
      <c r="AI251" s="227"/>
      <c r="AJ251" s="227"/>
      <c r="AK251" s="227"/>
      <c r="AL251" s="225"/>
      <c r="AM251" s="227"/>
    </row>
    <row r="252" spans="1:39" ht="20.100000000000001" customHeight="1">
      <c r="A252" s="223"/>
      <c r="B252" s="225"/>
      <c r="C252" s="227"/>
      <c r="D252" s="224"/>
      <c r="E252" s="227"/>
      <c r="F252" s="227"/>
      <c r="G252" s="227"/>
      <c r="H252" s="227"/>
      <c r="I252" s="227"/>
      <c r="J252" s="227"/>
      <c r="K252" s="227"/>
      <c r="L252" s="227"/>
      <c r="M252" s="227"/>
      <c r="N252" s="227"/>
      <c r="O252" s="227"/>
      <c r="P252" s="227"/>
      <c r="Q252" s="227"/>
      <c r="R252" s="227"/>
      <c r="S252" s="227"/>
      <c r="T252" s="227"/>
      <c r="U252" s="227"/>
      <c r="V252" s="227"/>
      <c r="W252" s="227"/>
      <c r="X252" s="227"/>
      <c r="Y252" s="227"/>
      <c r="Z252" s="227"/>
      <c r="AA252" s="227"/>
      <c r="AB252" s="227"/>
      <c r="AC252" s="227"/>
      <c r="AD252" s="227"/>
      <c r="AE252" s="227"/>
      <c r="AF252" s="227"/>
      <c r="AG252" s="227"/>
      <c r="AH252" s="227"/>
      <c r="AI252" s="227"/>
      <c r="AJ252" s="227"/>
      <c r="AK252" s="227"/>
      <c r="AL252" s="225"/>
      <c r="AM252" s="227"/>
    </row>
    <row r="253" spans="1:39" ht="20.100000000000001" customHeight="1">
      <c r="A253" s="227">
        <v>123</v>
      </c>
      <c r="B253" s="225"/>
      <c r="C253" s="227"/>
      <c r="D253" s="228">
        <f>(SUMPRODUCT(E253:AL253*$E$6:$AL$6)/100)+(SUMPRODUCT(E253:AL253*$E$6:$AL$6*$E$3:$AL$3)/100)</f>
        <v>0</v>
      </c>
      <c r="E253" s="227"/>
      <c r="F253" s="227"/>
      <c r="G253" s="227"/>
      <c r="H253" s="227"/>
      <c r="I253" s="227"/>
      <c r="J253" s="227"/>
      <c r="K253" s="227"/>
      <c r="L253" s="227"/>
      <c r="M253" s="227"/>
      <c r="N253" s="227"/>
      <c r="O253" s="227"/>
      <c r="P253" s="227"/>
      <c r="Q253" s="227"/>
      <c r="R253" s="227"/>
      <c r="S253" s="227"/>
      <c r="T253" s="227"/>
      <c r="U253" s="227"/>
      <c r="V253" s="227"/>
      <c r="W253" s="227"/>
      <c r="X253" s="227"/>
      <c r="Y253" s="227"/>
      <c r="Z253" s="227"/>
      <c r="AA253" s="227"/>
      <c r="AB253" s="227"/>
      <c r="AC253" s="227"/>
      <c r="AD253" s="227"/>
      <c r="AE253" s="227"/>
      <c r="AF253" s="227"/>
      <c r="AG253" s="227"/>
      <c r="AH253" s="227"/>
      <c r="AI253" s="227"/>
      <c r="AJ253" s="227"/>
      <c r="AK253" s="227"/>
      <c r="AL253" s="225"/>
      <c r="AM253" s="227"/>
    </row>
    <row r="254" spans="1:39" ht="20.100000000000001" customHeight="1">
      <c r="A254" s="227"/>
      <c r="B254" s="225"/>
      <c r="C254" s="227"/>
      <c r="D254" s="224"/>
      <c r="E254" s="227"/>
      <c r="F254" s="227"/>
      <c r="G254" s="227"/>
      <c r="H254" s="227"/>
      <c r="I254" s="227"/>
      <c r="J254" s="227"/>
      <c r="K254" s="227"/>
      <c r="L254" s="227"/>
      <c r="M254" s="227"/>
      <c r="N254" s="227"/>
      <c r="O254" s="227"/>
      <c r="P254" s="227"/>
      <c r="Q254" s="227"/>
      <c r="R254" s="227"/>
      <c r="S254" s="227"/>
      <c r="T254" s="227"/>
      <c r="U254" s="227"/>
      <c r="V254" s="227"/>
      <c r="W254" s="227"/>
      <c r="X254" s="227"/>
      <c r="Y254" s="227"/>
      <c r="Z254" s="227"/>
      <c r="AA254" s="227"/>
      <c r="AB254" s="227"/>
      <c r="AC254" s="227"/>
      <c r="AD254" s="227"/>
      <c r="AE254" s="227"/>
      <c r="AF254" s="227"/>
      <c r="AG254" s="227"/>
      <c r="AH254" s="227"/>
      <c r="AI254" s="227"/>
      <c r="AJ254" s="227"/>
      <c r="AK254" s="227"/>
      <c r="AL254" s="225"/>
      <c r="AM254" s="227"/>
    </row>
    <row r="255" spans="1:39" ht="20.100000000000001" customHeight="1">
      <c r="A255" s="227">
        <v>124</v>
      </c>
      <c r="B255" s="225"/>
      <c r="C255" s="227"/>
      <c r="D255" s="228">
        <f>(SUMPRODUCT(E255:AL255*$E$6:$AL$6)/100)+(SUMPRODUCT(E255:AL255*$E$6:$AL$6*$E$3:$AL$3)/100)</f>
        <v>0</v>
      </c>
      <c r="E255" s="227"/>
      <c r="F255" s="227"/>
      <c r="G255" s="227"/>
      <c r="H255" s="227"/>
      <c r="I255" s="227"/>
      <c r="J255" s="227"/>
      <c r="K255" s="227"/>
      <c r="L255" s="227"/>
      <c r="M255" s="227"/>
      <c r="N255" s="227"/>
      <c r="O255" s="227"/>
      <c r="P255" s="227"/>
      <c r="Q255" s="227"/>
      <c r="R255" s="227"/>
      <c r="S255" s="227"/>
      <c r="T255" s="227"/>
      <c r="U255" s="227"/>
      <c r="V255" s="227"/>
      <c r="W255" s="227"/>
      <c r="X255" s="227"/>
      <c r="Y255" s="227"/>
      <c r="Z255" s="227"/>
      <c r="AA255" s="227"/>
      <c r="AB255" s="227"/>
      <c r="AC255" s="227"/>
      <c r="AD255" s="227"/>
      <c r="AE255" s="227"/>
      <c r="AF255" s="227"/>
      <c r="AG255" s="227"/>
      <c r="AH255" s="227"/>
      <c r="AI255" s="227"/>
      <c r="AJ255" s="227"/>
      <c r="AK255" s="227"/>
      <c r="AL255" s="225"/>
      <c r="AM255" s="227"/>
    </row>
    <row r="256" spans="1:39" ht="20.100000000000001" customHeight="1">
      <c r="A256" s="223"/>
      <c r="B256" s="225"/>
      <c r="C256" s="227"/>
      <c r="D256" s="224"/>
      <c r="E256" s="227"/>
      <c r="F256" s="227"/>
      <c r="G256" s="227"/>
      <c r="H256" s="227"/>
      <c r="I256" s="227"/>
      <c r="J256" s="227"/>
      <c r="K256" s="227"/>
      <c r="L256" s="227"/>
      <c r="M256" s="227"/>
      <c r="N256" s="227"/>
      <c r="O256" s="227"/>
      <c r="P256" s="227"/>
      <c r="Q256" s="227"/>
      <c r="R256" s="227"/>
      <c r="S256" s="227"/>
      <c r="T256" s="227"/>
      <c r="U256" s="227"/>
      <c r="V256" s="227"/>
      <c r="W256" s="227"/>
      <c r="X256" s="227"/>
      <c r="Y256" s="227"/>
      <c r="Z256" s="227"/>
      <c r="AA256" s="227"/>
      <c r="AB256" s="227"/>
      <c r="AC256" s="227"/>
      <c r="AD256" s="227"/>
      <c r="AE256" s="227"/>
      <c r="AF256" s="227"/>
      <c r="AG256" s="227"/>
      <c r="AH256" s="227"/>
      <c r="AI256" s="227"/>
      <c r="AJ256" s="227"/>
      <c r="AK256" s="227"/>
      <c r="AL256" s="225"/>
      <c r="AM256" s="227"/>
    </row>
    <row r="257" spans="1:39" ht="20.100000000000001" customHeight="1">
      <c r="A257" s="227">
        <v>125</v>
      </c>
      <c r="B257" s="225"/>
      <c r="C257" s="227"/>
      <c r="D257" s="228">
        <f>(SUMPRODUCT(E257:AL257*$E$6:$AL$6)/100)+(SUMPRODUCT(E257:AL257*$E$6:$AL$6*$E$3:$AL$3)/100)</f>
        <v>0</v>
      </c>
      <c r="E257" s="227"/>
      <c r="F257" s="227"/>
      <c r="G257" s="227"/>
      <c r="H257" s="227"/>
      <c r="I257" s="227"/>
      <c r="J257" s="227"/>
      <c r="K257" s="227"/>
      <c r="L257" s="227"/>
      <c r="M257" s="227"/>
      <c r="N257" s="227"/>
      <c r="O257" s="227"/>
      <c r="P257" s="227"/>
      <c r="Q257" s="227"/>
      <c r="R257" s="227"/>
      <c r="S257" s="227"/>
      <c r="T257" s="227"/>
      <c r="U257" s="227"/>
      <c r="V257" s="227"/>
      <c r="W257" s="227"/>
      <c r="X257" s="227"/>
      <c r="Y257" s="227"/>
      <c r="Z257" s="227"/>
      <c r="AA257" s="227"/>
      <c r="AB257" s="227"/>
      <c r="AC257" s="227"/>
      <c r="AD257" s="227"/>
      <c r="AE257" s="227"/>
      <c r="AF257" s="227"/>
      <c r="AG257" s="227"/>
      <c r="AH257" s="227"/>
      <c r="AI257" s="227"/>
      <c r="AJ257" s="227"/>
      <c r="AK257" s="227"/>
      <c r="AL257" s="225"/>
      <c r="AM257" s="227"/>
    </row>
    <row r="258" spans="1:39" ht="20.100000000000001" customHeight="1">
      <c r="A258" s="227"/>
      <c r="B258" s="225"/>
      <c r="C258" s="227"/>
      <c r="D258" s="224"/>
      <c r="E258" s="227"/>
      <c r="F258" s="227"/>
      <c r="G258" s="227"/>
      <c r="H258" s="227"/>
      <c r="I258" s="227"/>
      <c r="J258" s="227"/>
      <c r="K258" s="227"/>
      <c r="L258" s="227"/>
      <c r="M258" s="227"/>
      <c r="N258" s="227"/>
      <c r="O258" s="227"/>
      <c r="P258" s="227"/>
      <c r="Q258" s="227"/>
      <c r="R258" s="227"/>
      <c r="S258" s="227"/>
      <c r="T258" s="227"/>
      <c r="U258" s="227"/>
      <c r="V258" s="227"/>
      <c r="W258" s="227"/>
      <c r="X258" s="227"/>
      <c r="Y258" s="227"/>
      <c r="Z258" s="227"/>
      <c r="AA258" s="227"/>
      <c r="AB258" s="227"/>
      <c r="AC258" s="227"/>
      <c r="AD258" s="227"/>
      <c r="AE258" s="227"/>
      <c r="AF258" s="227"/>
      <c r="AG258" s="227"/>
      <c r="AH258" s="227"/>
      <c r="AI258" s="227"/>
      <c r="AJ258" s="227"/>
      <c r="AK258" s="227"/>
      <c r="AL258" s="225"/>
      <c r="AM258" s="227"/>
    </row>
    <row r="259" spans="1:39" ht="20.100000000000001" customHeight="1">
      <c r="A259" s="227">
        <v>126</v>
      </c>
      <c r="B259" s="225"/>
      <c r="C259" s="227"/>
      <c r="D259" s="228">
        <f>(SUMPRODUCT(E259:AL259*$E$6:$AL$6)/100)+(SUMPRODUCT(E259:AL259*$E$6:$AL$6*$E$3:$AL$3)/100)</f>
        <v>0</v>
      </c>
      <c r="E259" s="227"/>
      <c r="F259" s="227"/>
      <c r="G259" s="227"/>
      <c r="H259" s="227"/>
      <c r="I259" s="227"/>
      <c r="J259" s="227"/>
      <c r="K259" s="227"/>
      <c r="L259" s="227"/>
      <c r="M259" s="227"/>
      <c r="N259" s="227"/>
      <c r="O259" s="227"/>
      <c r="P259" s="227"/>
      <c r="Q259" s="227"/>
      <c r="R259" s="227"/>
      <c r="S259" s="227"/>
      <c r="T259" s="227"/>
      <c r="U259" s="227"/>
      <c r="V259" s="227"/>
      <c r="W259" s="227"/>
      <c r="X259" s="227"/>
      <c r="Y259" s="227"/>
      <c r="Z259" s="227"/>
      <c r="AA259" s="227"/>
      <c r="AB259" s="227"/>
      <c r="AC259" s="227"/>
      <c r="AD259" s="227"/>
      <c r="AE259" s="227"/>
      <c r="AF259" s="227"/>
      <c r="AG259" s="227"/>
      <c r="AH259" s="227"/>
      <c r="AI259" s="227"/>
      <c r="AJ259" s="227"/>
      <c r="AK259" s="227"/>
      <c r="AL259" s="225"/>
      <c r="AM259" s="227"/>
    </row>
    <row r="260" spans="1:39" ht="20.100000000000001" customHeight="1">
      <c r="A260" s="223"/>
      <c r="B260" s="225"/>
      <c r="C260" s="227"/>
      <c r="D260" s="224"/>
      <c r="E260" s="227"/>
      <c r="F260" s="227"/>
      <c r="G260" s="227"/>
      <c r="H260" s="227"/>
      <c r="I260" s="227"/>
      <c r="J260" s="227"/>
      <c r="K260" s="227"/>
      <c r="L260" s="227"/>
      <c r="M260" s="227"/>
      <c r="N260" s="227"/>
      <c r="O260" s="227"/>
      <c r="P260" s="227"/>
      <c r="Q260" s="227"/>
      <c r="R260" s="227"/>
      <c r="S260" s="227"/>
      <c r="T260" s="227"/>
      <c r="U260" s="227"/>
      <c r="V260" s="227"/>
      <c r="W260" s="227"/>
      <c r="X260" s="227"/>
      <c r="Y260" s="227"/>
      <c r="Z260" s="227"/>
      <c r="AA260" s="227"/>
      <c r="AB260" s="227"/>
      <c r="AC260" s="227"/>
      <c r="AD260" s="227"/>
      <c r="AE260" s="227"/>
      <c r="AF260" s="227"/>
      <c r="AG260" s="227"/>
      <c r="AH260" s="227"/>
      <c r="AI260" s="227"/>
      <c r="AJ260" s="227"/>
      <c r="AK260" s="227"/>
      <c r="AL260" s="225"/>
      <c r="AM260" s="227"/>
    </row>
    <row r="261" spans="1:39" ht="20.100000000000001" customHeight="1">
      <c r="A261" s="227">
        <v>127</v>
      </c>
      <c r="B261" s="225"/>
      <c r="C261" s="227"/>
      <c r="D261" s="228">
        <f>(SUMPRODUCT(E261:AL261*$E$6:$AL$6)/100)+(SUMPRODUCT(E261:AL261*$E$6:$AL$6*$E$3:$AL$3)/100)</f>
        <v>0</v>
      </c>
      <c r="E261" s="227"/>
      <c r="F261" s="227"/>
      <c r="G261" s="227"/>
      <c r="H261" s="227"/>
      <c r="I261" s="227"/>
      <c r="J261" s="227"/>
      <c r="K261" s="227"/>
      <c r="L261" s="227"/>
      <c r="M261" s="227"/>
      <c r="N261" s="227"/>
      <c r="O261" s="227"/>
      <c r="P261" s="227"/>
      <c r="Q261" s="227"/>
      <c r="R261" s="227"/>
      <c r="S261" s="227"/>
      <c r="T261" s="227"/>
      <c r="U261" s="227"/>
      <c r="V261" s="227"/>
      <c r="W261" s="227"/>
      <c r="X261" s="227"/>
      <c r="Y261" s="227"/>
      <c r="Z261" s="227"/>
      <c r="AA261" s="227"/>
      <c r="AB261" s="227"/>
      <c r="AC261" s="227"/>
      <c r="AD261" s="227"/>
      <c r="AE261" s="227"/>
      <c r="AF261" s="227"/>
      <c r="AG261" s="227"/>
      <c r="AH261" s="227"/>
      <c r="AI261" s="227"/>
      <c r="AJ261" s="227"/>
      <c r="AK261" s="227"/>
      <c r="AL261" s="225"/>
      <c r="AM261" s="227"/>
    </row>
    <row r="262" spans="1:39" ht="20.100000000000001" customHeight="1">
      <c r="A262" s="227"/>
      <c r="B262" s="225"/>
      <c r="C262" s="227"/>
      <c r="D262" s="224"/>
      <c r="E262" s="227"/>
      <c r="F262" s="227"/>
      <c r="G262" s="227"/>
      <c r="H262" s="227"/>
      <c r="I262" s="227"/>
      <c r="J262" s="227"/>
      <c r="K262" s="227"/>
      <c r="L262" s="227"/>
      <c r="M262" s="227"/>
      <c r="N262" s="227"/>
      <c r="O262" s="227"/>
      <c r="P262" s="227"/>
      <c r="Q262" s="227"/>
      <c r="R262" s="227"/>
      <c r="S262" s="227"/>
      <c r="T262" s="227"/>
      <c r="U262" s="227"/>
      <c r="V262" s="227"/>
      <c r="W262" s="227"/>
      <c r="X262" s="227"/>
      <c r="Y262" s="227"/>
      <c r="Z262" s="227"/>
      <c r="AA262" s="227"/>
      <c r="AB262" s="227"/>
      <c r="AC262" s="227"/>
      <c r="AD262" s="227"/>
      <c r="AE262" s="227"/>
      <c r="AF262" s="227"/>
      <c r="AG262" s="227"/>
      <c r="AH262" s="227"/>
      <c r="AI262" s="227"/>
      <c r="AJ262" s="227"/>
      <c r="AK262" s="227"/>
      <c r="AL262" s="225"/>
      <c r="AM262" s="227"/>
    </row>
    <row r="263" spans="1:39" ht="20.100000000000001" customHeight="1">
      <c r="A263" s="227">
        <v>128</v>
      </c>
      <c r="B263" s="225"/>
      <c r="C263" s="227"/>
      <c r="D263" s="228">
        <f>(SUMPRODUCT(E263:AL263*$E$6:$AL$6)/100)+(SUMPRODUCT(E263:AL263*$E$6:$AL$6*$E$3:$AL$3)/100)</f>
        <v>0</v>
      </c>
      <c r="E263" s="227"/>
      <c r="F263" s="227"/>
      <c r="G263" s="227"/>
      <c r="H263" s="227"/>
      <c r="I263" s="227"/>
      <c r="J263" s="227"/>
      <c r="K263" s="227"/>
      <c r="L263" s="227"/>
      <c r="M263" s="227"/>
      <c r="N263" s="227"/>
      <c r="O263" s="227"/>
      <c r="P263" s="227"/>
      <c r="Q263" s="227"/>
      <c r="R263" s="227"/>
      <c r="S263" s="227"/>
      <c r="T263" s="227"/>
      <c r="U263" s="227"/>
      <c r="V263" s="227"/>
      <c r="W263" s="227"/>
      <c r="X263" s="227"/>
      <c r="Y263" s="227"/>
      <c r="Z263" s="227"/>
      <c r="AA263" s="227"/>
      <c r="AB263" s="227"/>
      <c r="AC263" s="227"/>
      <c r="AD263" s="227"/>
      <c r="AE263" s="227"/>
      <c r="AF263" s="227"/>
      <c r="AG263" s="227"/>
      <c r="AH263" s="227"/>
      <c r="AI263" s="227"/>
      <c r="AJ263" s="227"/>
      <c r="AK263" s="227"/>
      <c r="AL263" s="225"/>
      <c r="AM263" s="227"/>
    </row>
    <row r="264" spans="1:39" ht="20.100000000000001" customHeight="1">
      <c r="A264" s="223"/>
      <c r="B264" s="225"/>
      <c r="C264" s="227"/>
      <c r="D264" s="224"/>
      <c r="E264" s="227"/>
      <c r="F264" s="227"/>
      <c r="G264" s="227"/>
      <c r="H264" s="227"/>
      <c r="I264" s="227"/>
      <c r="J264" s="227"/>
      <c r="K264" s="227"/>
      <c r="L264" s="227"/>
      <c r="M264" s="227"/>
      <c r="N264" s="227"/>
      <c r="O264" s="227"/>
      <c r="P264" s="227"/>
      <c r="Q264" s="227"/>
      <c r="R264" s="227"/>
      <c r="S264" s="227"/>
      <c r="T264" s="227"/>
      <c r="U264" s="227"/>
      <c r="V264" s="227"/>
      <c r="W264" s="227"/>
      <c r="X264" s="227"/>
      <c r="Y264" s="227"/>
      <c r="Z264" s="227"/>
      <c r="AA264" s="227"/>
      <c r="AB264" s="227"/>
      <c r="AC264" s="227"/>
      <c r="AD264" s="227"/>
      <c r="AE264" s="227"/>
      <c r="AF264" s="227"/>
      <c r="AG264" s="227"/>
      <c r="AH264" s="227"/>
      <c r="AI264" s="227"/>
      <c r="AJ264" s="227"/>
      <c r="AK264" s="227"/>
      <c r="AL264" s="225"/>
      <c r="AM264" s="227"/>
    </row>
    <row r="265" spans="1:39" ht="20.100000000000001" customHeight="1">
      <c r="A265" s="227">
        <v>129</v>
      </c>
      <c r="B265" s="225"/>
      <c r="C265" s="227"/>
      <c r="D265" s="228">
        <f>(SUMPRODUCT(E265:AL265*$E$6:$AL$6)/100)+(SUMPRODUCT(E265:AL265*$E$6:$AL$6*$E$3:$AL$3)/100)</f>
        <v>0</v>
      </c>
      <c r="E265" s="227"/>
      <c r="F265" s="227"/>
      <c r="G265" s="227"/>
      <c r="H265" s="227"/>
      <c r="I265" s="227"/>
      <c r="J265" s="227"/>
      <c r="K265" s="227"/>
      <c r="L265" s="227"/>
      <c r="M265" s="227"/>
      <c r="N265" s="227"/>
      <c r="O265" s="227"/>
      <c r="P265" s="227"/>
      <c r="Q265" s="227"/>
      <c r="R265" s="227"/>
      <c r="S265" s="227"/>
      <c r="T265" s="227"/>
      <c r="U265" s="227"/>
      <c r="V265" s="227"/>
      <c r="W265" s="227"/>
      <c r="X265" s="227"/>
      <c r="Y265" s="227"/>
      <c r="Z265" s="227"/>
      <c r="AA265" s="227"/>
      <c r="AB265" s="227"/>
      <c r="AC265" s="227"/>
      <c r="AD265" s="227"/>
      <c r="AE265" s="227"/>
      <c r="AF265" s="227"/>
      <c r="AG265" s="227"/>
      <c r="AH265" s="227"/>
      <c r="AI265" s="227"/>
      <c r="AJ265" s="227"/>
      <c r="AK265" s="227"/>
      <c r="AL265" s="225"/>
      <c r="AM265" s="227"/>
    </row>
    <row r="266" spans="1:39" ht="20.100000000000001" customHeight="1">
      <c r="A266" s="227"/>
      <c r="B266" s="225"/>
      <c r="C266" s="227"/>
      <c r="D266" s="224"/>
      <c r="E266" s="227"/>
      <c r="F266" s="227"/>
      <c r="G266" s="227"/>
      <c r="H266" s="227"/>
      <c r="I266" s="227"/>
      <c r="J266" s="227"/>
      <c r="K266" s="227"/>
      <c r="L266" s="227"/>
      <c r="M266" s="227"/>
      <c r="N266" s="227"/>
      <c r="O266" s="227"/>
      <c r="P266" s="227"/>
      <c r="Q266" s="227"/>
      <c r="R266" s="227"/>
      <c r="S266" s="227"/>
      <c r="T266" s="227"/>
      <c r="U266" s="227"/>
      <c r="V266" s="227"/>
      <c r="W266" s="227"/>
      <c r="X266" s="227"/>
      <c r="Y266" s="227"/>
      <c r="Z266" s="227"/>
      <c r="AA266" s="227"/>
      <c r="AB266" s="227"/>
      <c r="AC266" s="227"/>
      <c r="AD266" s="227"/>
      <c r="AE266" s="227"/>
      <c r="AF266" s="227"/>
      <c r="AG266" s="227"/>
      <c r="AH266" s="227"/>
      <c r="AI266" s="227"/>
      <c r="AJ266" s="227"/>
      <c r="AK266" s="227"/>
      <c r="AL266" s="225"/>
      <c r="AM266" s="227"/>
    </row>
    <row r="267" spans="1:39" ht="20.100000000000001" customHeight="1">
      <c r="A267" s="227">
        <v>130</v>
      </c>
      <c r="B267" s="225"/>
      <c r="C267" s="227"/>
      <c r="D267" s="228">
        <f>(SUMPRODUCT(E267:AL267*$E$6:$AL$6)/100)+(SUMPRODUCT(E267:AL267*$E$6:$AL$6*$E$3:$AL$3)/100)</f>
        <v>0</v>
      </c>
      <c r="E267" s="227"/>
      <c r="F267" s="227"/>
      <c r="G267" s="227"/>
      <c r="H267" s="227"/>
      <c r="I267" s="227"/>
      <c r="J267" s="227"/>
      <c r="K267" s="227"/>
      <c r="L267" s="227"/>
      <c r="M267" s="227"/>
      <c r="N267" s="227"/>
      <c r="O267" s="227"/>
      <c r="P267" s="227"/>
      <c r="Q267" s="227"/>
      <c r="R267" s="227"/>
      <c r="S267" s="227"/>
      <c r="T267" s="227"/>
      <c r="U267" s="227"/>
      <c r="V267" s="227"/>
      <c r="W267" s="227"/>
      <c r="X267" s="227"/>
      <c r="Y267" s="227"/>
      <c r="Z267" s="227"/>
      <c r="AA267" s="227"/>
      <c r="AB267" s="227"/>
      <c r="AC267" s="227"/>
      <c r="AD267" s="227"/>
      <c r="AE267" s="227"/>
      <c r="AF267" s="227"/>
      <c r="AG267" s="227"/>
      <c r="AH267" s="227"/>
      <c r="AI267" s="227"/>
      <c r="AJ267" s="227"/>
      <c r="AK267" s="227"/>
      <c r="AL267" s="225"/>
      <c r="AM267" s="227"/>
    </row>
    <row r="268" spans="1:39" ht="20.100000000000001" customHeight="1">
      <c r="A268" s="223"/>
      <c r="B268" s="225"/>
      <c r="C268" s="227"/>
      <c r="D268" s="224"/>
      <c r="E268" s="227"/>
      <c r="F268" s="227"/>
      <c r="G268" s="227"/>
      <c r="H268" s="227"/>
      <c r="I268" s="227"/>
      <c r="J268" s="227"/>
      <c r="K268" s="227"/>
      <c r="L268" s="227"/>
      <c r="M268" s="227"/>
      <c r="N268" s="227"/>
      <c r="O268" s="227"/>
      <c r="P268" s="227"/>
      <c r="Q268" s="227"/>
      <c r="R268" s="227"/>
      <c r="S268" s="227"/>
      <c r="T268" s="227"/>
      <c r="U268" s="227"/>
      <c r="V268" s="227"/>
      <c r="W268" s="227"/>
      <c r="X268" s="227"/>
      <c r="Y268" s="227"/>
      <c r="Z268" s="227"/>
      <c r="AA268" s="227"/>
      <c r="AB268" s="227"/>
      <c r="AC268" s="227"/>
      <c r="AD268" s="227"/>
      <c r="AE268" s="227"/>
      <c r="AF268" s="227"/>
      <c r="AG268" s="227"/>
      <c r="AH268" s="227"/>
      <c r="AI268" s="227"/>
      <c r="AJ268" s="227"/>
      <c r="AK268" s="227"/>
      <c r="AL268" s="225"/>
      <c r="AM268" s="227"/>
    </row>
    <row r="269" spans="1:39" ht="20.100000000000001" customHeight="1">
      <c r="A269" s="227">
        <v>131</v>
      </c>
      <c r="B269" s="225"/>
      <c r="C269" s="227"/>
      <c r="D269" s="228">
        <f>(SUMPRODUCT(E269:AL269*$E$6:$AL$6)/100)+(SUMPRODUCT(E269:AL269*$E$6:$AL$6*$E$3:$AL$3)/100)</f>
        <v>0</v>
      </c>
      <c r="E269" s="227"/>
      <c r="F269" s="227"/>
      <c r="G269" s="227"/>
      <c r="H269" s="227"/>
      <c r="I269" s="227"/>
      <c r="J269" s="227"/>
      <c r="K269" s="227"/>
      <c r="L269" s="227"/>
      <c r="M269" s="227"/>
      <c r="N269" s="227"/>
      <c r="O269" s="227"/>
      <c r="P269" s="227"/>
      <c r="Q269" s="227"/>
      <c r="R269" s="227"/>
      <c r="S269" s="227"/>
      <c r="T269" s="227"/>
      <c r="U269" s="227"/>
      <c r="V269" s="227"/>
      <c r="W269" s="227"/>
      <c r="X269" s="227"/>
      <c r="Y269" s="227"/>
      <c r="Z269" s="227"/>
      <c r="AA269" s="227"/>
      <c r="AB269" s="227"/>
      <c r="AC269" s="227"/>
      <c r="AD269" s="227"/>
      <c r="AE269" s="227"/>
      <c r="AF269" s="227"/>
      <c r="AG269" s="227"/>
      <c r="AH269" s="227"/>
      <c r="AI269" s="227"/>
      <c r="AJ269" s="227"/>
      <c r="AK269" s="227"/>
      <c r="AL269" s="225"/>
      <c r="AM269" s="227"/>
    </row>
    <row r="270" spans="1:39" ht="20.100000000000001" customHeight="1">
      <c r="A270" s="227"/>
      <c r="B270" s="225"/>
      <c r="C270" s="227"/>
      <c r="D270" s="224"/>
      <c r="E270" s="227"/>
      <c r="F270" s="227"/>
      <c r="G270" s="227"/>
      <c r="H270" s="227"/>
      <c r="I270" s="227"/>
      <c r="J270" s="227"/>
      <c r="K270" s="227"/>
      <c r="L270" s="227"/>
      <c r="M270" s="227"/>
      <c r="N270" s="227"/>
      <c r="O270" s="227"/>
      <c r="P270" s="227"/>
      <c r="Q270" s="227"/>
      <c r="R270" s="227"/>
      <c r="S270" s="227"/>
      <c r="T270" s="227"/>
      <c r="U270" s="227"/>
      <c r="V270" s="227"/>
      <c r="W270" s="227"/>
      <c r="X270" s="227"/>
      <c r="Y270" s="227"/>
      <c r="Z270" s="227"/>
      <c r="AA270" s="227"/>
      <c r="AB270" s="227"/>
      <c r="AC270" s="227"/>
      <c r="AD270" s="227"/>
      <c r="AE270" s="227"/>
      <c r="AF270" s="227"/>
      <c r="AG270" s="227"/>
      <c r="AH270" s="227"/>
      <c r="AI270" s="227"/>
      <c r="AJ270" s="227"/>
      <c r="AK270" s="227"/>
      <c r="AL270" s="225"/>
      <c r="AM270" s="227"/>
    </row>
    <row r="271" spans="1:39" ht="20.100000000000001" customHeight="1">
      <c r="A271" s="227">
        <v>132</v>
      </c>
      <c r="B271" s="225"/>
      <c r="C271" s="227"/>
      <c r="D271" s="228">
        <f>(SUMPRODUCT(E271:AL271*$E$6:$AL$6)/100)+(SUMPRODUCT(E271:AL271*$E$6:$AL$6*$E$3:$AL$3)/100)</f>
        <v>0</v>
      </c>
      <c r="E271" s="227"/>
      <c r="F271" s="227"/>
      <c r="G271" s="227"/>
      <c r="H271" s="227"/>
      <c r="I271" s="227"/>
      <c r="J271" s="227"/>
      <c r="K271" s="227"/>
      <c r="L271" s="227"/>
      <c r="M271" s="227"/>
      <c r="N271" s="227"/>
      <c r="O271" s="227"/>
      <c r="P271" s="227"/>
      <c r="Q271" s="227"/>
      <c r="R271" s="227"/>
      <c r="S271" s="227"/>
      <c r="T271" s="227"/>
      <c r="U271" s="227"/>
      <c r="V271" s="227"/>
      <c r="W271" s="227"/>
      <c r="X271" s="227"/>
      <c r="Y271" s="227"/>
      <c r="Z271" s="227"/>
      <c r="AA271" s="227"/>
      <c r="AB271" s="227"/>
      <c r="AC271" s="227"/>
      <c r="AD271" s="227"/>
      <c r="AE271" s="227"/>
      <c r="AF271" s="227"/>
      <c r="AG271" s="227"/>
      <c r="AH271" s="227"/>
      <c r="AI271" s="227"/>
      <c r="AJ271" s="227"/>
      <c r="AK271" s="227"/>
      <c r="AL271" s="225"/>
      <c r="AM271" s="227"/>
    </row>
    <row r="272" spans="1:39" ht="20.100000000000001" customHeight="1">
      <c r="A272" s="223"/>
      <c r="B272" s="225"/>
      <c r="C272" s="227"/>
      <c r="D272" s="224"/>
      <c r="E272" s="227"/>
      <c r="F272" s="227"/>
      <c r="G272" s="227"/>
      <c r="H272" s="227"/>
      <c r="I272" s="227"/>
      <c r="J272" s="227"/>
      <c r="K272" s="227"/>
      <c r="L272" s="227"/>
      <c r="M272" s="227"/>
      <c r="N272" s="227"/>
      <c r="O272" s="227"/>
      <c r="P272" s="227"/>
      <c r="Q272" s="227"/>
      <c r="R272" s="227"/>
      <c r="S272" s="227"/>
      <c r="T272" s="227"/>
      <c r="U272" s="227"/>
      <c r="V272" s="227"/>
      <c r="W272" s="227"/>
      <c r="X272" s="227"/>
      <c r="Y272" s="227"/>
      <c r="Z272" s="227"/>
      <c r="AA272" s="227"/>
      <c r="AB272" s="227"/>
      <c r="AC272" s="227"/>
      <c r="AD272" s="227"/>
      <c r="AE272" s="227"/>
      <c r="AF272" s="227"/>
      <c r="AG272" s="227"/>
      <c r="AH272" s="227"/>
      <c r="AI272" s="227"/>
      <c r="AJ272" s="227"/>
      <c r="AK272" s="227"/>
      <c r="AL272" s="225"/>
      <c r="AM272" s="227"/>
    </row>
    <row r="273" spans="1:39" ht="20.100000000000001" customHeight="1">
      <c r="A273" s="227">
        <v>133</v>
      </c>
      <c r="B273" s="225"/>
      <c r="C273" s="227"/>
      <c r="D273" s="228">
        <f>(SUMPRODUCT(E273:AL273*$E$6:$AL$6)/100)+(SUMPRODUCT(E273:AL273*$E$6:$AL$6*$E$3:$AL$3)/100)</f>
        <v>0</v>
      </c>
      <c r="E273" s="227"/>
      <c r="F273" s="227"/>
      <c r="G273" s="227"/>
      <c r="H273" s="227"/>
      <c r="I273" s="227"/>
      <c r="J273" s="227"/>
      <c r="K273" s="227"/>
      <c r="L273" s="227"/>
      <c r="M273" s="227"/>
      <c r="N273" s="227"/>
      <c r="O273" s="227"/>
      <c r="P273" s="227"/>
      <c r="Q273" s="227"/>
      <c r="R273" s="227"/>
      <c r="S273" s="227"/>
      <c r="T273" s="227"/>
      <c r="U273" s="227"/>
      <c r="V273" s="227"/>
      <c r="W273" s="227"/>
      <c r="X273" s="227"/>
      <c r="Y273" s="227"/>
      <c r="Z273" s="227"/>
      <c r="AA273" s="227"/>
      <c r="AB273" s="227"/>
      <c r="AC273" s="227"/>
      <c r="AD273" s="227"/>
      <c r="AE273" s="227"/>
      <c r="AF273" s="227"/>
      <c r="AG273" s="227"/>
      <c r="AH273" s="227"/>
      <c r="AI273" s="227"/>
      <c r="AJ273" s="227"/>
      <c r="AK273" s="227"/>
      <c r="AL273" s="225"/>
      <c r="AM273" s="227"/>
    </row>
    <row r="274" spans="1:39" ht="20.100000000000001" customHeight="1">
      <c r="A274" s="227"/>
      <c r="B274" s="225"/>
      <c r="C274" s="227"/>
      <c r="D274" s="224"/>
      <c r="E274" s="227"/>
      <c r="F274" s="227"/>
      <c r="G274" s="227"/>
      <c r="H274" s="227"/>
      <c r="I274" s="227"/>
      <c r="J274" s="227"/>
      <c r="K274" s="227"/>
      <c r="L274" s="227"/>
      <c r="M274" s="227"/>
      <c r="N274" s="227"/>
      <c r="O274" s="227"/>
      <c r="P274" s="227"/>
      <c r="Q274" s="227"/>
      <c r="R274" s="227"/>
      <c r="S274" s="227"/>
      <c r="T274" s="227"/>
      <c r="U274" s="227"/>
      <c r="V274" s="227"/>
      <c r="W274" s="227"/>
      <c r="X274" s="227"/>
      <c r="Y274" s="227"/>
      <c r="Z274" s="227"/>
      <c r="AA274" s="227"/>
      <c r="AB274" s="227"/>
      <c r="AC274" s="227"/>
      <c r="AD274" s="227"/>
      <c r="AE274" s="227"/>
      <c r="AF274" s="227"/>
      <c r="AG274" s="227"/>
      <c r="AH274" s="227"/>
      <c r="AI274" s="227"/>
      <c r="AJ274" s="227"/>
      <c r="AK274" s="227"/>
      <c r="AL274" s="225"/>
      <c r="AM274" s="227"/>
    </row>
    <row r="275" spans="1:39" ht="20.100000000000001" customHeight="1">
      <c r="A275" s="227">
        <v>134</v>
      </c>
      <c r="B275" s="225"/>
      <c r="C275" s="227"/>
      <c r="D275" s="228">
        <f>(SUMPRODUCT(E275:AL275*$E$6:$AL$6)/100)+(SUMPRODUCT(E275:AL275*$E$6:$AL$6*$E$3:$AL$3)/100)</f>
        <v>0</v>
      </c>
      <c r="E275" s="227"/>
      <c r="F275" s="227"/>
      <c r="G275" s="227"/>
      <c r="H275" s="227"/>
      <c r="I275" s="227"/>
      <c r="J275" s="227"/>
      <c r="K275" s="227"/>
      <c r="L275" s="227"/>
      <c r="M275" s="227"/>
      <c r="N275" s="227"/>
      <c r="O275" s="227"/>
      <c r="P275" s="227"/>
      <c r="Q275" s="227"/>
      <c r="R275" s="227"/>
      <c r="S275" s="227"/>
      <c r="T275" s="227"/>
      <c r="U275" s="227"/>
      <c r="V275" s="227"/>
      <c r="W275" s="227"/>
      <c r="X275" s="227"/>
      <c r="Y275" s="227"/>
      <c r="Z275" s="227"/>
      <c r="AA275" s="227"/>
      <c r="AB275" s="227"/>
      <c r="AC275" s="227"/>
      <c r="AD275" s="227"/>
      <c r="AE275" s="227"/>
      <c r="AF275" s="227"/>
      <c r="AG275" s="227"/>
      <c r="AH275" s="227"/>
      <c r="AI275" s="227"/>
      <c r="AJ275" s="227"/>
      <c r="AK275" s="227"/>
      <c r="AL275" s="225"/>
      <c r="AM275" s="227"/>
    </row>
    <row r="276" spans="1:39" ht="20.100000000000001" customHeight="1">
      <c r="A276" s="223"/>
      <c r="B276" s="225"/>
      <c r="C276" s="227"/>
      <c r="D276" s="224"/>
      <c r="E276" s="227"/>
      <c r="F276" s="227"/>
      <c r="G276" s="227"/>
      <c r="H276" s="227"/>
      <c r="I276" s="227"/>
      <c r="J276" s="227"/>
      <c r="K276" s="227"/>
      <c r="L276" s="227"/>
      <c r="M276" s="227"/>
      <c r="N276" s="227"/>
      <c r="O276" s="227"/>
      <c r="P276" s="227"/>
      <c r="Q276" s="227"/>
      <c r="R276" s="227"/>
      <c r="S276" s="227"/>
      <c r="T276" s="227"/>
      <c r="U276" s="227"/>
      <c r="V276" s="227"/>
      <c r="W276" s="227"/>
      <c r="X276" s="227"/>
      <c r="Y276" s="227"/>
      <c r="Z276" s="227"/>
      <c r="AA276" s="227"/>
      <c r="AB276" s="227"/>
      <c r="AC276" s="227"/>
      <c r="AD276" s="227"/>
      <c r="AE276" s="227"/>
      <c r="AF276" s="227"/>
      <c r="AG276" s="227"/>
      <c r="AH276" s="227"/>
      <c r="AI276" s="227"/>
      <c r="AJ276" s="227"/>
      <c r="AK276" s="227"/>
      <c r="AL276" s="225"/>
      <c r="AM276" s="227"/>
    </row>
    <row r="277" spans="1:39" ht="20.100000000000001" customHeight="1">
      <c r="A277" s="227">
        <v>135</v>
      </c>
      <c r="B277" s="225"/>
      <c r="C277" s="227"/>
      <c r="D277" s="228">
        <f>(SUMPRODUCT(E277:AL277*$E$6:$AL$6)/100)+(SUMPRODUCT(E277:AL277*$E$6:$AL$6*$E$3:$AL$3)/100)</f>
        <v>0</v>
      </c>
      <c r="E277" s="227"/>
      <c r="F277" s="227"/>
      <c r="G277" s="227"/>
      <c r="H277" s="227"/>
      <c r="I277" s="227"/>
      <c r="J277" s="227"/>
      <c r="K277" s="227"/>
      <c r="L277" s="227"/>
      <c r="M277" s="227"/>
      <c r="N277" s="227"/>
      <c r="O277" s="227"/>
      <c r="P277" s="227"/>
      <c r="Q277" s="227"/>
      <c r="R277" s="227"/>
      <c r="S277" s="227"/>
      <c r="T277" s="227"/>
      <c r="U277" s="227"/>
      <c r="V277" s="227"/>
      <c r="W277" s="227"/>
      <c r="X277" s="227"/>
      <c r="Y277" s="227"/>
      <c r="Z277" s="227"/>
      <c r="AA277" s="227"/>
      <c r="AB277" s="227"/>
      <c r="AC277" s="227"/>
      <c r="AD277" s="227"/>
      <c r="AE277" s="227"/>
      <c r="AF277" s="227"/>
      <c r="AG277" s="227"/>
      <c r="AH277" s="227"/>
      <c r="AI277" s="227"/>
      <c r="AJ277" s="227"/>
      <c r="AK277" s="227"/>
      <c r="AL277" s="225"/>
      <c r="AM277" s="227"/>
    </row>
    <row r="278" spans="1:39" ht="20.100000000000001" customHeight="1">
      <c r="A278" s="227"/>
      <c r="B278" s="225"/>
      <c r="C278" s="227"/>
      <c r="D278" s="224"/>
      <c r="E278" s="227"/>
      <c r="F278" s="227"/>
      <c r="G278" s="227"/>
      <c r="H278" s="227"/>
      <c r="I278" s="227"/>
      <c r="J278" s="227"/>
      <c r="K278" s="227"/>
      <c r="L278" s="227"/>
      <c r="M278" s="227"/>
      <c r="N278" s="227"/>
      <c r="O278" s="227"/>
      <c r="P278" s="227"/>
      <c r="Q278" s="227"/>
      <c r="R278" s="227"/>
      <c r="S278" s="227"/>
      <c r="T278" s="227"/>
      <c r="U278" s="227"/>
      <c r="V278" s="227"/>
      <c r="W278" s="227"/>
      <c r="X278" s="227"/>
      <c r="Y278" s="227"/>
      <c r="Z278" s="227"/>
      <c r="AA278" s="227"/>
      <c r="AB278" s="227"/>
      <c r="AC278" s="227"/>
      <c r="AD278" s="227"/>
      <c r="AE278" s="227"/>
      <c r="AF278" s="227"/>
      <c r="AG278" s="227"/>
      <c r="AH278" s="227"/>
      <c r="AI278" s="227"/>
      <c r="AJ278" s="227"/>
      <c r="AK278" s="227"/>
      <c r="AL278" s="225"/>
      <c r="AM278" s="227"/>
    </row>
    <row r="279" spans="1:39" ht="20.100000000000001" customHeight="1">
      <c r="A279" s="227">
        <v>136</v>
      </c>
      <c r="B279" s="225"/>
      <c r="C279" s="227"/>
      <c r="D279" s="228">
        <f>(SUMPRODUCT(E279:AL279*$E$6:$AL$6)/100)+(SUMPRODUCT(E279:AL279*$E$6:$AL$6*$E$3:$AL$3)/100)</f>
        <v>0</v>
      </c>
      <c r="E279" s="227"/>
      <c r="F279" s="227"/>
      <c r="G279" s="227"/>
      <c r="H279" s="227"/>
      <c r="I279" s="227"/>
      <c r="J279" s="227"/>
      <c r="K279" s="227"/>
      <c r="L279" s="227"/>
      <c r="M279" s="227"/>
      <c r="N279" s="227"/>
      <c r="O279" s="227"/>
      <c r="P279" s="227"/>
      <c r="Q279" s="227"/>
      <c r="R279" s="227"/>
      <c r="S279" s="227"/>
      <c r="T279" s="227"/>
      <c r="U279" s="227"/>
      <c r="V279" s="227"/>
      <c r="W279" s="227"/>
      <c r="X279" s="227"/>
      <c r="Y279" s="227"/>
      <c r="Z279" s="227"/>
      <c r="AA279" s="227"/>
      <c r="AB279" s="227"/>
      <c r="AC279" s="227"/>
      <c r="AD279" s="227"/>
      <c r="AE279" s="227"/>
      <c r="AF279" s="227"/>
      <c r="AG279" s="227"/>
      <c r="AH279" s="227"/>
      <c r="AI279" s="227"/>
      <c r="AJ279" s="227"/>
      <c r="AK279" s="227"/>
      <c r="AL279" s="225"/>
      <c r="AM279" s="227"/>
    </row>
    <row r="280" spans="1:39" ht="20.100000000000001" customHeight="1">
      <c r="A280" s="223"/>
      <c r="B280" s="225"/>
      <c r="C280" s="227"/>
      <c r="D280" s="224"/>
      <c r="E280" s="227"/>
      <c r="F280" s="227"/>
      <c r="G280" s="227"/>
      <c r="H280" s="227"/>
      <c r="I280" s="227"/>
      <c r="J280" s="227"/>
      <c r="K280" s="227"/>
      <c r="L280" s="227"/>
      <c r="M280" s="227"/>
      <c r="N280" s="227"/>
      <c r="O280" s="227"/>
      <c r="P280" s="227"/>
      <c r="Q280" s="227"/>
      <c r="R280" s="227"/>
      <c r="S280" s="227"/>
      <c r="T280" s="227"/>
      <c r="U280" s="227"/>
      <c r="V280" s="227"/>
      <c r="W280" s="227"/>
      <c r="X280" s="227"/>
      <c r="Y280" s="227"/>
      <c r="Z280" s="227"/>
      <c r="AA280" s="227"/>
      <c r="AB280" s="227"/>
      <c r="AC280" s="227"/>
      <c r="AD280" s="227"/>
      <c r="AE280" s="227"/>
      <c r="AF280" s="227"/>
      <c r="AG280" s="227"/>
      <c r="AH280" s="227"/>
      <c r="AI280" s="227"/>
      <c r="AJ280" s="227"/>
      <c r="AK280" s="227"/>
      <c r="AL280" s="225"/>
      <c r="AM280" s="227"/>
    </row>
    <row r="281" spans="1:39" ht="20.100000000000001" customHeight="1">
      <c r="A281" s="227">
        <v>137</v>
      </c>
      <c r="B281" s="225"/>
      <c r="C281" s="227"/>
      <c r="D281" s="228">
        <f>(SUMPRODUCT(E281:AL281*$E$6:$AL$6)/100)+(SUMPRODUCT(E281:AL281*$E$6:$AL$6*$E$3:$AL$3)/100)</f>
        <v>0</v>
      </c>
      <c r="E281" s="227"/>
      <c r="F281" s="227"/>
      <c r="G281" s="227"/>
      <c r="H281" s="227"/>
      <c r="I281" s="227"/>
      <c r="J281" s="227"/>
      <c r="K281" s="227"/>
      <c r="L281" s="227"/>
      <c r="M281" s="227"/>
      <c r="N281" s="227"/>
      <c r="O281" s="227"/>
      <c r="P281" s="227"/>
      <c r="Q281" s="227"/>
      <c r="R281" s="227"/>
      <c r="S281" s="227"/>
      <c r="T281" s="227"/>
      <c r="U281" s="227"/>
      <c r="V281" s="227"/>
      <c r="W281" s="227"/>
      <c r="X281" s="227"/>
      <c r="Y281" s="227"/>
      <c r="Z281" s="227"/>
      <c r="AA281" s="227"/>
      <c r="AB281" s="227"/>
      <c r="AC281" s="227"/>
      <c r="AD281" s="227"/>
      <c r="AE281" s="227"/>
      <c r="AF281" s="227"/>
      <c r="AG281" s="227"/>
      <c r="AH281" s="227"/>
      <c r="AI281" s="227"/>
      <c r="AJ281" s="227"/>
      <c r="AK281" s="227"/>
      <c r="AL281" s="225"/>
      <c r="AM281" s="227"/>
    </row>
    <row r="282" spans="1:39" ht="20.100000000000001" customHeight="1">
      <c r="A282" s="227"/>
      <c r="B282" s="225"/>
      <c r="C282" s="227"/>
      <c r="D282" s="224"/>
      <c r="E282" s="227"/>
      <c r="F282" s="227"/>
      <c r="G282" s="227"/>
      <c r="H282" s="227"/>
      <c r="I282" s="227"/>
      <c r="J282" s="227"/>
      <c r="K282" s="227"/>
      <c r="L282" s="227"/>
      <c r="M282" s="227"/>
      <c r="N282" s="227"/>
      <c r="O282" s="227"/>
      <c r="P282" s="227"/>
      <c r="Q282" s="227"/>
      <c r="R282" s="227"/>
      <c r="S282" s="227"/>
      <c r="T282" s="227"/>
      <c r="U282" s="227"/>
      <c r="V282" s="227"/>
      <c r="W282" s="227"/>
      <c r="X282" s="227"/>
      <c r="Y282" s="227"/>
      <c r="Z282" s="227"/>
      <c r="AA282" s="227"/>
      <c r="AB282" s="227"/>
      <c r="AC282" s="227"/>
      <c r="AD282" s="227"/>
      <c r="AE282" s="227"/>
      <c r="AF282" s="227"/>
      <c r="AG282" s="227"/>
      <c r="AH282" s="227"/>
      <c r="AI282" s="227"/>
      <c r="AJ282" s="227"/>
      <c r="AK282" s="227"/>
      <c r="AL282" s="225"/>
      <c r="AM282" s="227"/>
    </row>
    <row r="283" spans="1:39" ht="20.100000000000001" customHeight="1">
      <c r="A283" s="227">
        <v>138</v>
      </c>
      <c r="B283" s="225"/>
      <c r="C283" s="227"/>
      <c r="D283" s="228">
        <f>(SUMPRODUCT(E283:AL283*$E$6:$AL$6)/100)+(SUMPRODUCT(E283:AL283*$E$6:$AL$6*$E$3:$AL$3)/100)</f>
        <v>0</v>
      </c>
      <c r="E283" s="227"/>
      <c r="F283" s="227"/>
      <c r="G283" s="227"/>
      <c r="H283" s="227"/>
      <c r="I283" s="227"/>
      <c r="J283" s="227"/>
      <c r="K283" s="227"/>
      <c r="L283" s="227"/>
      <c r="M283" s="227"/>
      <c r="N283" s="227"/>
      <c r="O283" s="227"/>
      <c r="P283" s="227"/>
      <c r="Q283" s="227"/>
      <c r="R283" s="227"/>
      <c r="S283" s="227"/>
      <c r="T283" s="227"/>
      <c r="U283" s="227"/>
      <c r="V283" s="227"/>
      <c r="W283" s="227"/>
      <c r="X283" s="227"/>
      <c r="Y283" s="227"/>
      <c r="Z283" s="227"/>
      <c r="AA283" s="227"/>
      <c r="AB283" s="227"/>
      <c r="AC283" s="227"/>
      <c r="AD283" s="227"/>
      <c r="AE283" s="227"/>
      <c r="AF283" s="227"/>
      <c r="AG283" s="227"/>
      <c r="AH283" s="227"/>
      <c r="AI283" s="227"/>
      <c r="AJ283" s="227"/>
      <c r="AK283" s="227"/>
      <c r="AL283" s="225"/>
      <c r="AM283" s="227"/>
    </row>
    <row r="284" spans="1:39" ht="20.100000000000001" customHeight="1">
      <c r="A284" s="223"/>
      <c r="B284" s="225"/>
      <c r="C284" s="227"/>
      <c r="D284" s="224"/>
      <c r="E284" s="227"/>
      <c r="F284" s="227"/>
      <c r="G284" s="227"/>
      <c r="H284" s="227"/>
      <c r="I284" s="227"/>
      <c r="J284" s="227"/>
      <c r="K284" s="227"/>
      <c r="L284" s="227"/>
      <c r="M284" s="227"/>
      <c r="N284" s="227"/>
      <c r="O284" s="227"/>
      <c r="P284" s="227"/>
      <c r="Q284" s="227"/>
      <c r="R284" s="227"/>
      <c r="S284" s="227"/>
      <c r="T284" s="227"/>
      <c r="U284" s="227"/>
      <c r="V284" s="227"/>
      <c r="W284" s="227"/>
      <c r="X284" s="227"/>
      <c r="Y284" s="227"/>
      <c r="Z284" s="227"/>
      <c r="AA284" s="227"/>
      <c r="AB284" s="227"/>
      <c r="AC284" s="227"/>
      <c r="AD284" s="227"/>
      <c r="AE284" s="227"/>
      <c r="AF284" s="227"/>
      <c r="AG284" s="227"/>
      <c r="AH284" s="227"/>
      <c r="AI284" s="227"/>
      <c r="AJ284" s="227"/>
      <c r="AK284" s="227"/>
      <c r="AL284" s="225"/>
      <c r="AM284" s="227"/>
    </row>
    <row r="285" spans="1:39" ht="20.100000000000001" customHeight="1">
      <c r="A285" s="227">
        <v>139</v>
      </c>
      <c r="B285" s="225"/>
      <c r="C285" s="227"/>
      <c r="D285" s="228">
        <f>(SUMPRODUCT(E285:AL285*$E$6:$AL$6)/100)+(SUMPRODUCT(E285:AL285*$E$6:$AL$6*$E$3:$AL$3)/100)</f>
        <v>0</v>
      </c>
      <c r="E285" s="227"/>
      <c r="F285" s="227"/>
      <c r="G285" s="227"/>
      <c r="H285" s="227"/>
      <c r="I285" s="227"/>
      <c r="J285" s="227"/>
      <c r="K285" s="227"/>
      <c r="L285" s="227"/>
      <c r="M285" s="227"/>
      <c r="N285" s="227"/>
      <c r="O285" s="227"/>
      <c r="P285" s="227"/>
      <c r="Q285" s="227"/>
      <c r="R285" s="227"/>
      <c r="S285" s="227"/>
      <c r="T285" s="227"/>
      <c r="U285" s="227"/>
      <c r="V285" s="227"/>
      <c r="W285" s="227"/>
      <c r="X285" s="227"/>
      <c r="Y285" s="227"/>
      <c r="Z285" s="227"/>
      <c r="AA285" s="227"/>
      <c r="AB285" s="227"/>
      <c r="AC285" s="227"/>
      <c r="AD285" s="227"/>
      <c r="AE285" s="227"/>
      <c r="AF285" s="227"/>
      <c r="AG285" s="227"/>
      <c r="AH285" s="227"/>
      <c r="AI285" s="227"/>
      <c r="AJ285" s="227"/>
      <c r="AK285" s="227"/>
      <c r="AL285" s="225"/>
      <c r="AM285" s="227"/>
    </row>
    <row r="286" spans="1:39" ht="20.100000000000001" customHeight="1">
      <c r="A286" s="227"/>
      <c r="B286" s="225"/>
      <c r="C286" s="227"/>
      <c r="D286" s="224"/>
      <c r="E286" s="227"/>
      <c r="F286" s="227"/>
      <c r="G286" s="227"/>
      <c r="H286" s="227"/>
      <c r="I286" s="227"/>
      <c r="J286" s="227"/>
      <c r="K286" s="227"/>
      <c r="L286" s="227"/>
      <c r="M286" s="227"/>
      <c r="N286" s="227"/>
      <c r="O286" s="227"/>
      <c r="P286" s="227"/>
      <c r="Q286" s="227"/>
      <c r="R286" s="227"/>
      <c r="S286" s="227"/>
      <c r="T286" s="227"/>
      <c r="U286" s="227"/>
      <c r="V286" s="227"/>
      <c r="W286" s="227"/>
      <c r="X286" s="227"/>
      <c r="Y286" s="227"/>
      <c r="Z286" s="227"/>
      <c r="AA286" s="227"/>
      <c r="AB286" s="227"/>
      <c r="AC286" s="227"/>
      <c r="AD286" s="227"/>
      <c r="AE286" s="227"/>
      <c r="AF286" s="227"/>
      <c r="AG286" s="227"/>
      <c r="AH286" s="227"/>
      <c r="AI286" s="227"/>
      <c r="AJ286" s="227"/>
      <c r="AK286" s="227"/>
      <c r="AL286" s="225"/>
      <c r="AM286" s="227"/>
    </row>
    <row r="287" spans="1:39" ht="20.100000000000001" customHeight="1">
      <c r="A287" s="227">
        <v>140</v>
      </c>
      <c r="B287" s="225"/>
      <c r="C287" s="227"/>
      <c r="D287" s="228">
        <f>(SUMPRODUCT(E287:AL287*$E$6:$AL$6)/100)+(SUMPRODUCT(E287:AL287*$E$6:$AL$6*$E$3:$AL$3)/100)</f>
        <v>0</v>
      </c>
      <c r="E287" s="227"/>
      <c r="F287" s="227"/>
      <c r="G287" s="227"/>
      <c r="H287" s="227"/>
      <c r="I287" s="227"/>
      <c r="J287" s="227"/>
      <c r="K287" s="227"/>
      <c r="L287" s="227"/>
      <c r="M287" s="227"/>
      <c r="N287" s="227"/>
      <c r="O287" s="227"/>
      <c r="P287" s="227"/>
      <c r="Q287" s="227"/>
      <c r="R287" s="227"/>
      <c r="S287" s="227"/>
      <c r="T287" s="227"/>
      <c r="U287" s="227"/>
      <c r="V287" s="227"/>
      <c r="W287" s="227"/>
      <c r="X287" s="227"/>
      <c r="Y287" s="227"/>
      <c r="Z287" s="227"/>
      <c r="AA287" s="227"/>
      <c r="AB287" s="227"/>
      <c r="AC287" s="227"/>
      <c r="AD287" s="227"/>
      <c r="AE287" s="227"/>
      <c r="AF287" s="227"/>
      <c r="AG287" s="227"/>
      <c r="AH287" s="227"/>
      <c r="AI287" s="227"/>
      <c r="AJ287" s="227"/>
      <c r="AK287" s="227"/>
      <c r="AL287" s="225"/>
      <c r="AM287" s="227"/>
    </row>
    <row r="288" spans="1:39" ht="20.100000000000001" customHeight="1">
      <c r="A288" s="223"/>
      <c r="B288" s="225"/>
      <c r="C288" s="227"/>
      <c r="D288" s="224"/>
      <c r="E288" s="227"/>
      <c r="F288" s="227"/>
      <c r="G288" s="227"/>
      <c r="H288" s="227"/>
      <c r="I288" s="227"/>
      <c r="J288" s="227"/>
      <c r="K288" s="227"/>
      <c r="L288" s="227"/>
      <c r="M288" s="227"/>
      <c r="N288" s="227"/>
      <c r="O288" s="227"/>
      <c r="P288" s="227"/>
      <c r="Q288" s="227"/>
      <c r="R288" s="227"/>
      <c r="S288" s="227"/>
      <c r="T288" s="227"/>
      <c r="U288" s="227"/>
      <c r="V288" s="227"/>
      <c r="W288" s="227"/>
      <c r="X288" s="227"/>
      <c r="Y288" s="227"/>
      <c r="Z288" s="227"/>
      <c r="AA288" s="227"/>
      <c r="AB288" s="227"/>
      <c r="AC288" s="227"/>
      <c r="AD288" s="227"/>
      <c r="AE288" s="227"/>
      <c r="AF288" s="227"/>
      <c r="AG288" s="227"/>
      <c r="AH288" s="227"/>
      <c r="AI288" s="227"/>
      <c r="AJ288" s="227"/>
      <c r="AK288" s="227"/>
      <c r="AL288" s="225"/>
      <c r="AM288" s="227"/>
    </row>
    <row r="289" spans="1:39" ht="20.100000000000001" customHeight="1">
      <c r="A289" s="227">
        <v>141</v>
      </c>
      <c r="B289" s="225"/>
      <c r="C289" s="227"/>
      <c r="D289" s="228">
        <f>(SUMPRODUCT(E289:AL289*$E$6:$AL$6)/100)+(SUMPRODUCT(E289:AL289*$E$6:$AL$6*$E$3:$AL$3)/100)</f>
        <v>0</v>
      </c>
      <c r="E289" s="227"/>
      <c r="F289" s="227"/>
      <c r="G289" s="227"/>
      <c r="H289" s="227"/>
      <c r="I289" s="227"/>
      <c r="J289" s="227"/>
      <c r="K289" s="227"/>
      <c r="L289" s="227"/>
      <c r="M289" s="227"/>
      <c r="N289" s="227"/>
      <c r="O289" s="227"/>
      <c r="P289" s="227"/>
      <c r="Q289" s="227"/>
      <c r="R289" s="227"/>
      <c r="S289" s="227"/>
      <c r="T289" s="227"/>
      <c r="U289" s="227"/>
      <c r="V289" s="227"/>
      <c r="W289" s="227"/>
      <c r="X289" s="227"/>
      <c r="Y289" s="227"/>
      <c r="Z289" s="227"/>
      <c r="AA289" s="227"/>
      <c r="AB289" s="227"/>
      <c r="AC289" s="227"/>
      <c r="AD289" s="227"/>
      <c r="AE289" s="227"/>
      <c r="AF289" s="227"/>
      <c r="AG289" s="227"/>
      <c r="AH289" s="227"/>
      <c r="AI289" s="227"/>
      <c r="AJ289" s="227"/>
      <c r="AK289" s="227"/>
      <c r="AL289" s="225"/>
      <c r="AM289" s="227"/>
    </row>
    <row r="290" spans="1:39" ht="20.100000000000001" customHeight="1">
      <c r="A290" s="227"/>
      <c r="B290" s="225"/>
      <c r="C290" s="227"/>
      <c r="D290" s="224"/>
      <c r="E290" s="227"/>
      <c r="F290" s="227"/>
      <c r="G290" s="227"/>
      <c r="H290" s="227"/>
      <c r="I290" s="227"/>
      <c r="J290" s="227"/>
      <c r="K290" s="227"/>
      <c r="L290" s="227"/>
      <c r="M290" s="227"/>
      <c r="N290" s="227"/>
      <c r="O290" s="227"/>
      <c r="P290" s="227"/>
      <c r="Q290" s="227"/>
      <c r="R290" s="227"/>
      <c r="S290" s="227"/>
      <c r="T290" s="227"/>
      <c r="U290" s="227"/>
      <c r="V290" s="227"/>
      <c r="W290" s="227"/>
      <c r="X290" s="227"/>
      <c r="Y290" s="227"/>
      <c r="Z290" s="227"/>
      <c r="AA290" s="227"/>
      <c r="AB290" s="227"/>
      <c r="AC290" s="227"/>
      <c r="AD290" s="227"/>
      <c r="AE290" s="227"/>
      <c r="AF290" s="227"/>
      <c r="AG290" s="227"/>
      <c r="AH290" s="227"/>
      <c r="AI290" s="227"/>
      <c r="AJ290" s="227"/>
      <c r="AK290" s="227"/>
      <c r="AL290" s="225"/>
      <c r="AM290" s="227"/>
    </row>
    <row r="291" spans="1:39" ht="20.100000000000001" customHeight="1">
      <c r="A291" s="227">
        <v>142</v>
      </c>
      <c r="B291" s="225"/>
      <c r="C291" s="227"/>
      <c r="D291" s="228">
        <f>(SUMPRODUCT(E291:AL291*$E$6:$AL$6)/100)+(SUMPRODUCT(E291:AL291*$E$6:$AL$6*$E$3:$AL$3)/100)</f>
        <v>0</v>
      </c>
      <c r="E291" s="227"/>
      <c r="F291" s="227"/>
      <c r="G291" s="227"/>
      <c r="H291" s="227"/>
      <c r="I291" s="227"/>
      <c r="J291" s="227"/>
      <c r="K291" s="227"/>
      <c r="L291" s="227"/>
      <c r="M291" s="227"/>
      <c r="N291" s="227"/>
      <c r="O291" s="227"/>
      <c r="P291" s="227"/>
      <c r="Q291" s="227"/>
      <c r="R291" s="227"/>
      <c r="S291" s="227"/>
      <c r="T291" s="227"/>
      <c r="U291" s="227"/>
      <c r="V291" s="227"/>
      <c r="W291" s="227"/>
      <c r="X291" s="227"/>
      <c r="Y291" s="227"/>
      <c r="Z291" s="227"/>
      <c r="AA291" s="227"/>
      <c r="AB291" s="227"/>
      <c r="AC291" s="227"/>
      <c r="AD291" s="227"/>
      <c r="AE291" s="227"/>
      <c r="AF291" s="227"/>
      <c r="AG291" s="227"/>
      <c r="AH291" s="227"/>
      <c r="AI291" s="227"/>
      <c r="AJ291" s="227"/>
      <c r="AK291" s="227"/>
      <c r="AL291" s="225"/>
      <c r="AM291" s="227"/>
    </row>
    <row r="292" spans="1:39" ht="20.100000000000001" customHeight="1">
      <c r="A292" s="223"/>
      <c r="B292" s="225"/>
      <c r="C292" s="227"/>
      <c r="D292" s="224"/>
      <c r="E292" s="227"/>
      <c r="F292" s="227"/>
      <c r="G292" s="227"/>
      <c r="H292" s="227"/>
      <c r="I292" s="227"/>
      <c r="J292" s="227"/>
      <c r="K292" s="227"/>
      <c r="L292" s="227"/>
      <c r="M292" s="227"/>
      <c r="N292" s="227"/>
      <c r="O292" s="227"/>
      <c r="P292" s="227"/>
      <c r="Q292" s="227"/>
      <c r="R292" s="227"/>
      <c r="S292" s="227"/>
      <c r="T292" s="227"/>
      <c r="U292" s="227"/>
      <c r="V292" s="227"/>
      <c r="W292" s="227"/>
      <c r="X292" s="227"/>
      <c r="Y292" s="227"/>
      <c r="Z292" s="227"/>
      <c r="AA292" s="227"/>
      <c r="AB292" s="227"/>
      <c r="AC292" s="227"/>
      <c r="AD292" s="227"/>
      <c r="AE292" s="227"/>
      <c r="AF292" s="227"/>
      <c r="AG292" s="227"/>
      <c r="AH292" s="227"/>
      <c r="AI292" s="227"/>
      <c r="AJ292" s="227"/>
      <c r="AK292" s="227"/>
      <c r="AL292" s="225"/>
      <c r="AM292" s="227"/>
    </row>
    <row r="293" spans="1:39" ht="20.100000000000001" customHeight="1">
      <c r="A293" s="227">
        <v>143</v>
      </c>
      <c r="B293" s="225"/>
      <c r="C293" s="227"/>
      <c r="D293" s="228">
        <f>(SUMPRODUCT(E293:AL293*$E$6:$AL$6)/100)+(SUMPRODUCT(E293:AL293*$E$6:$AL$6*$E$3:$AL$3)/100)</f>
        <v>0</v>
      </c>
      <c r="E293" s="227"/>
      <c r="F293" s="227"/>
      <c r="G293" s="227"/>
      <c r="H293" s="227"/>
      <c r="I293" s="227"/>
      <c r="J293" s="227"/>
      <c r="K293" s="227"/>
      <c r="L293" s="227"/>
      <c r="M293" s="227"/>
      <c r="N293" s="227"/>
      <c r="O293" s="227"/>
      <c r="P293" s="227"/>
      <c r="Q293" s="227"/>
      <c r="R293" s="227"/>
      <c r="S293" s="227"/>
      <c r="T293" s="227"/>
      <c r="U293" s="227"/>
      <c r="V293" s="227"/>
      <c r="W293" s="227"/>
      <c r="X293" s="227"/>
      <c r="Y293" s="227"/>
      <c r="Z293" s="227"/>
      <c r="AA293" s="227"/>
      <c r="AB293" s="227"/>
      <c r="AC293" s="227"/>
      <c r="AD293" s="227"/>
      <c r="AE293" s="227"/>
      <c r="AF293" s="227"/>
      <c r="AG293" s="227"/>
      <c r="AH293" s="227"/>
      <c r="AI293" s="227"/>
      <c r="AJ293" s="227"/>
      <c r="AK293" s="227"/>
      <c r="AL293" s="225"/>
      <c r="AM293" s="227"/>
    </row>
    <row r="294" spans="1:39" ht="20.100000000000001" customHeight="1">
      <c r="A294" s="227"/>
      <c r="B294" s="225"/>
      <c r="C294" s="227"/>
      <c r="D294" s="224"/>
      <c r="E294" s="227"/>
      <c r="F294" s="227"/>
      <c r="G294" s="227"/>
      <c r="H294" s="227"/>
      <c r="I294" s="227"/>
      <c r="J294" s="227"/>
      <c r="K294" s="227"/>
      <c r="L294" s="227"/>
      <c r="M294" s="227"/>
      <c r="N294" s="227"/>
      <c r="O294" s="227"/>
      <c r="P294" s="227"/>
      <c r="Q294" s="227"/>
      <c r="R294" s="227"/>
      <c r="S294" s="227"/>
      <c r="T294" s="227"/>
      <c r="U294" s="227"/>
      <c r="V294" s="227"/>
      <c r="W294" s="227"/>
      <c r="X294" s="227"/>
      <c r="Y294" s="227"/>
      <c r="Z294" s="227"/>
      <c r="AA294" s="227"/>
      <c r="AB294" s="227"/>
      <c r="AC294" s="227"/>
      <c r="AD294" s="227"/>
      <c r="AE294" s="227"/>
      <c r="AF294" s="227"/>
      <c r="AG294" s="227"/>
      <c r="AH294" s="227"/>
      <c r="AI294" s="227"/>
      <c r="AJ294" s="227"/>
      <c r="AK294" s="227"/>
      <c r="AL294" s="225"/>
      <c r="AM294" s="227"/>
    </row>
    <row r="295" spans="1:39" ht="20.100000000000001" customHeight="1">
      <c r="A295" s="227">
        <v>144</v>
      </c>
      <c r="B295" s="225"/>
      <c r="C295" s="227"/>
      <c r="D295" s="228">
        <f>(SUMPRODUCT(E295:AL295*$E$6:$AL$6)/100)+(SUMPRODUCT(E295:AL295*$E$6:$AL$6*$E$3:$AL$3)/100)</f>
        <v>0</v>
      </c>
      <c r="E295" s="227"/>
      <c r="F295" s="227"/>
      <c r="G295" s="227"/>
      <c r="H295" s="227"/>
      <c r="I295" s="227"/>
      <c r="J295" s="227"/>
      <c r="K295" s="227"/>
      <c r="L295" s="227"/>
      <c r="M295" s="227"/>
      <c r="N295" s="227"/>
      <c r="O295" s="227"/>
      <c r="P295" s="227"/>
      <c r="Q295" s="227"/>
      <c r="R295" s="227"/>
      <c r="S295" s="227"/>
      <c r="T295" s="227"/>
      <c r="U295" s="227"/>
      <c r="V295" s="227"/>
      <c r="W295" s="227"/>
      <c r="X295" s="227"/>
      <c r="Y295" s="227"/>
      <c r="Z295" s="227"/>
      <c r="AA295" s="227"/>
      <c r="AB295" s="227"/>
      <c r="AC295" s="227"/>
      <c r="AD295" s="227"/>
      <c r="AE295" s="227"/>
      <c r="AF295" s="227"/>
      <c r="AG295" s="227"/>
      <c r="AH295" s="227"/>
      <c r="AI295" s="227"/>
      <c r="AJ295" s="227"/>
      <c r="AK295" s="227"/>
      <c r="AL295" s="225"/>
      <c r="AM295" s="227"/>
    </row>
    <row r="296" spans="1:39" ht="20.100000000000001" customHeight="1">
      <c r="A296" s="223"/>
      <c r="B296" s="225"/>
      <c r="C296" s="227"/>
      <c r="D296" s="224"/>
      <c r="E296" s="227"/>
      <c r="F296" s="227"/>
      <c r="G296" s="227"/>
      <c r="H296" s="227"/>
      <c r="I296" s="227"/>
      <c r="J296" s="227"/>
      <c r="K296" s="227"/>
      <c r="L296" s="227"/>
      <c r="M296" s="227"/>
      <c r="N296" s="227"/>
      <c r="O296" s="227"/>
      <c r="P296" s="227"/>
      <c r="Q296" s="227"/>
      <c r="R296" s="227"/>
      <c r="S296" s="227"/>
      <c r="T296" s="227"/>
      <c r="U296" s="227"/>
      <c r="V296" s="227"/>
      <c r="W296" s="227"/>
      <c r="X296" s="227"/>
      <c r="Y296" s="227"/>
      <c r="Z296" s="227"/>
      <c r="AA296" s="227"/>
      <c r="AB296" s="227"/>
      <c r="AC296" s="227"/>
      <c r="AD296" s="227"/>
      <c r="AE296" s="227"/>
      <c r="AF296" s="227"/>
      <c r="AG296" s="227"/>
      <c r="AH296" s="227"/>
      <c r="AI296" s="227"/>
      <c r="AJ296" s="227"/>
      <c r="AK296" s="227"/>
      <c r="AL296" s="225"/>
      <c r="AM296" s="227"/>
    </row>
    <row r="297" spans="1:39" ht="20.100000000000001" customHeight="1">
      <c r="A297" s="227">
        <v>145</v>
      </c>
      <c r="B297" s="225"/>
      <c r="C297" s="227"/>
      <c r="D297" s="228">
        <f>(SUMPRODUCT(E297:AL297*$E$6:$AL$6)/100)+(SUMPRODUCT(E297:AL297*$E$6:$AL$6*$E$3:$AL$3)/100)</f>
        <v>0</v>
      </c>
      <c r="E297" s="227"/>
      <c r="F297" s="227"/>
      <c r="G297" s="227"/>
      <c r="H297" s="227"/>
      <c r="I297" s="227"/>
      <c r="J297" s="227"/>
      <c r="K297" s="227"/>
      <c r="L297" s="227"/>
      <c r="M297" s="227"/>
      <c r="N297" s="227"/>
      <c r="O297" s="227"/>
      <c r="P297" s="227"/>
      <c r="Q297" s="227"/>
      <c r="R297" s="227"/>
      <c r="S297" s="227"/>
      <c r="T297" s="227"/>
      <c r="U297" s="227"/>
      <c r="V297" s="227"/>
      <c r="W297" s="227"/>
      <c r="X297" s="227"/>
      <c r="Y297" s="227"/>
      <c r="Z297" s="227"/>
      <c r="AA297" s="227"/>
      <c r="AB297" s="227"/>
      <c r="AC297" s="227"/>
      <c r="AD297" s="227"/>
      <c r="AE297" s="227"/>
      <c r="AF297" s="227"/>
      <c r="AG297" s="227"/>
      <c r="AH297" s="227"/>
      <c r="AI297" s="227"/>
      <c r="AJ297" s="227"/>
      <c r="AK297" s="227"/>
      <c r="AL297" s="225"/>
      <c r="AM297" s="227"/>
    </row>
    <row r="298" spans="1:39" ht="20.100000000000001" customHeight="1">
      <c r="A298" s="227"/>
      <c r="B298" s="225"/>
      <c r="C298" s="227"/>
      <c r="D298" s="224"/>
      <c r="E298" s="227"/>
      <c r="F298" s="227"/>
      <c r="G298" s="227"/>
      <c r="H298" s="227"/>
      <c r="I298" s="227"/>
      <c r="J298" s="227"/>
      <c r="K298" s="227"/>
      <c r="L298" s="227"/>
      <c r="M298" s="227"/>
      <c r="N298" s="227"/>
      <c r="O298" s="227"/>
      <c r="P298" s="227"/>
      <c r="Q298" s="227"/>
      <c r="R298" s="227"/>
      <c r="S298" s="227"/>
      <c r="T298" s="227"/>
      <c r="U298" s="227"/>
      <c r="V298" s="227"/>
      <c r="W298" s="227"/>
      <c r="X298" s="227"/>
      <c r="Y298" s="227"/>
      <c r="Z298" s="227"/>
      <c r="AA298" s="227"/>
      <c r="AB298" s="227"/>
      <c r="AC298" s="227"/>
      <c r="AD298" s="227"/>
      <c r="AE298" s="227"/>
      <c r="AF298" s="227"/>
      <c r="AG298" s="227"/>
      <c r="AH298" s="227"/>
      <c r="AI298" s="227"/>
      <c r="AJ298" s="227"/>
      <c r="AK298" s="227"/>
      <c r="AL298" s="225"/>
      <c r="AM298" s="227"/>
    </row>
    <row r="299" spans="1:39" ht="20.100000000000001" customHeight="1">
      <c r="A299" s="227">
        <v>146</v>
      </c>
      <c r="B299" s="225"/>
      <c r="C299" s="227"/>
      <c r="D299" s="228">
        <f>(SUMPRODUCT(E299:AL299*$E$6:$AL$6)/100)+(SUMPRODUCT(E299:AL299*$E$6:$AL$6*$E$3:$AL$3)/100)</f>
        <v>0</v>
      </c>
      <c r="E299" s="227"/>
      <c r="F299" s="227"/>
      <c r="G299" s="227"/>
      <c r="H299" s="227"/>
      <c r="I299" s="227"/>
      <c r="J299" s="227"/>
      <c r="K299" s="227"/>
      <c r="L299" s="227"/>
      <c r="M299" s="227"/>
      <c r="N299" s="227"/>
      <c r="O299" s="227"/>
      <c r="P299" s="227"/>
      <c r="Q299" s="227"/>
      <c r="R299" s="227"/>
      <c r="S299" s="227"/>
      <c r="T299" s="227"/>
      <c r="U299" s="227"/>
      <c r="V299" s="227"/>
      <c r="W299" s="227"/>
      <c r="X299" s="227"/>
      <c r="Y299" s="227"/>
      <c r="Z299" s="227"/>
      <c r="AA299" s="227"/>
      <c r="AB299" s="227"/>
      <c r="AC299" s="227"/>
      <c r="AD299" s="227"/>
      <c r="AE299" s="227"/>
      <c r="AF299" s="227"/>
      <c r="AG299" s="227"/>
      <c r="AH299" s="227"/>
      <c r="AI299" s="227"/>
      <c r="AJ299" s="227"/>
      <c r="AK299" s="227"/>
      <c r="AL299" s="225"/>
      <c r="AM299" s="227"/>
    </row>
    <row r="300" spans="1:39" ht="20.100000000000001" customHeight="1">
      <c r="A300" s="223"/>
      <c r="B300" s="225"/>
      <c r="C300" s="227"/>
      <c r="D300" s="224"/>
      <c r="E300" s="227"/>
      <c r="F300" s="227"/>
      <c r="G300" s="227"/>
      <c r="H300" s="227"/>
      <c r="I300" s="227"/>
      <c r="J300" s="227"/>
      <c r="K300" s="227"/>
      <c r="L300" s="227"/>
      <c r="M300" s="227"/>
      <c r="N300" s="227"/>
      <c r="O300" s="227"/>
      <c r="P300" s="227"/>
      <c r="Q300" s="227"/>
      <c r="R300" s="227"/>
      <c r="S300" s="227"/>
      <c r="T300" s="227"/>
      <c r="U300" s="227"/>
      <c r="V300" s="227"/>
      <c r="W300" s="227"/>
      <c r="X300" s="227"/>
      <c r="Y300" s="227"/>
      <c r="Z300" s="227"/>
      <c r="AA300" s="227"/>
      <c r="AB300" s="227"/>
      <c r="AC300" s="227"/>
      <c r="AD300" s="227"/>
      <c r="AE300" s="227"/>
      <c r="AF300" s="227"/>
      <c r="AG300" s="227"/>
      <c r="AH300" s="227"/>
      <c r="AI300" s="227"/>
      <c r="AJ300" s="227"/>
      <c r="AK300" s="227"/>
      <c r="AL300" s="225"/>
      <c r="AM300" s="227"/>
    </row>
    <row r="301" spans="1:39" ht="20.100000000000001" customHeight="1">
      <c r="A301" s="227">
        <v>147</v>
      </c>
      <c r="B301" s="225"/>
      <c r="C301" s="227"/>
      <c r="D301" s="228">
        <f>(SUMPRODUCT(E301:AL301*$E$6:$AL$6)/100)+(SUMPRODUCT(E301:AL301*$E$6:$AL$6*$E$3:$AL$3)/100)</f>
        <v>0</v>
      </c>
      <c r="E301" s="227"/>
      <c r="F301" s="227"/>
      <c r="G301" s="227"/>
      <c r="H301" s="227"/>
      <c r="I301" s="227"/>
      <c r="J301" s="227"/>
      <c r="K301" s="227"/>
      <c r="L301" s="227"/>
      <c r="M301" s="227"/>
      <c r="N301" s="227"/>
      <c r="O301" s="227"/>
      <c r="P301" s="227"/>
      <c r="Q301" s="227"/>
      <c r="R301" s="227"/>
      <c r="S301" s="227"/>
      <c r="T301" s="227"/>
      <c r="U301" s="227"/>
      <c r="V301" s="227"/>
      <c r="W301" s="227"/>
      <c r="X301" s="227"/>
      <c r="Y301" s="227"/>
      <c r="Z301" s="227"/>
      <c r="AA301" s="227"/>
      <c r="AB301" s="227"/>
      <c r="AC301" s="227"/>
      <c r="AD301" s="227"/>
      <c r="AE301" s="227"/>
      <c r="AF301" s="227"/>
      <c r="AG301" s="227"/>
      <c r="AH301" s="227"/>
      <c r="AI301" s="227"/>
      <c r="AJ301" s="227"/>
      <c r="AK301" s="227"/>
      <c r="AL301" s="225"/>
      <c r="AM301" s="227"/>
    </row>
    <row r="302" spans="1:39" ht="20.100000000000001" customHeight="1">
      <c r="A302" s="227"/>
      <c r="B302" s="225"/>
      <c r="C302" s="227"/>
      <c r="D302" s="224"/>
      <c r="E302" s="227"/>
      <c r="F302" s="227"/>
      <c r="G302" s="227"/>
      <c r="H302" s="227"/>
      <c r="I302" s="227"/>
      <c r="J302" s="227"/>
      <c r="K302" s="227"/>
      <c r="L302" s="227"/>
      <c r="M302" s="227"/>
      <c r="N302" s="227"/>
      <c r="O302" s="227"/>
      <c r="P302" s="227"/>
      <c r="Q302" s="227"/>
      <c r="R302" s="227"/>
      <c r="S302" s="227"/>
      <c r="T302" s="227"/>
      <c r="U302" s="227"/>
      <c r="V302" s="227"/>
      <c r="W302" s="227"/>
      <c r="X302" s="227"/>
      <c r="Y302" s="227"/>
      <c r="Z302" s="227"/>
      <c r="AA302" s="227"/>
      <c r="AB302" s="227"/>
      <c r="AC302" s="227"/>
      <c r="AD302" s="227"/>
      <c r="AE302" s="227"/>
      <c r="AF302" s="227"/>
      <c r="AG302" s="227"/>
      <c r="AH302" s="227"/>
      <c r="AI302" s="227"/>
      <c r="AJ302" s="227"/>
      <c r="AK302" s="227"/>
      <c r="AL302" s="225"/>
      <c r="AM302" s="227"/>
    </row>
    <row r="303" spans="1:39" ht="20.100000000000001" customHeight="1">
      <c r="A303" s="227">
        <v>148</v>
      </c>
      <c r="B303" s="225"/>
      <c r="C303" s="227"/>
      <c r="D303" s="228">
        <f>(SUMPRODUCT(E303:AL303*$E$6:$AL$6)/100)+(SUMPRODUCT(E303:AL303*$E$6:$AL$6*$E$3:$AL$3)/100)</f>
        <v>0</v>
      </c>
      <c r="E303" s="227"/>
      <c r="F303" s="227"/>
      <c r="G303" s="227"/>
      <c r="H303" s="227"/>
      <c r="I303" s="227"/>
      <c r="J303" s="227"/>
      <c r="K303" s="227"/>
      <c r="L303" s="227"/>
      <c r="M303" s="227"/>
      <c r="N303" s="227"/>
      <c r="O303" s="227"/>
      <c r="P303" s="227"/>
      <c r="Q303" s="227"/>
      <c r="R303" s="227"/>
      <c r="S303" s="227"/>
      <c r="T303" s="227"/>
      <c r="U303" s="227"/>
      <c r="V303" s="227"/>
      <c r="W303" s="227"/>
      <c r="X303" s="227"/>
      <c r="Y303" s="227"/>
      <c r="Z303" s="227"/>
      <c r="AA303" s="227"/>
      <c r="AB303" s="227"/>
      <c r="AC303" s="227"/>
      <c r="AD303" s="227"/>
      <c r="AE303" s="227"/>
      <c r="AF303" s="227"/>
      <c r="AG303" s="227"/>
      <c r="AH303" s="227"/>
      <c r="AI303" s="227"/>
      <c r="AJ303" s="227"/>
      <c r="AK303" s="227"/>
      <c r="AL303" s="225"/>
      <c r="AM303" s="227"/>
    </row>
    <row r="304" spans="1:39" ht="20.100000000000001" customHeight="1">
      <c r="A304" s="223"/>
      <c r="B304" s="225"/>
      <c r="C304" s="227"/>
      <c r="D304" s="224"/>
      <c r="E304" s="227"/>
      <c r="F304" s="227"/>
      <c r="G304" s="227"/>
      <c r="H304" s="227"/>
      <c r="I304" s="227"/>
      <c r="J304" s="227"/>
      <c r="K304" s="227"/>
      <c r="L304" s="227"/>
      <c r="M304" s="227"/>
      <c r="N304" s="227"/>
      <c r="O304" s="227"/>
      <c r="P304" s="227"/>
      <c r="Q304" s="227"/>
      <c r="R304" s="227"/>
      <c r="S304" s="227"/>
      <c r="T304" s="227"/>
      <c r="U304" s="227"/>
      <c r="V304" s="227"/>
      <c r="W304" s="227"/>
      <c r="X304" s="227"/>
      <c r="Y304" s="227"/>
      <c r="Z304" s="227"/>
      <c r="AA304" s="227"/>
      <c r="AB304" s="227"/>
      <c r="AC304" s="227"/>
      <c r="AD304" s="227"/>
      <c r="AE304" s="227"/>
      <c r="AF304" s="227"/>
      <c r="AG304" s="227"/>
      <c r="AH304" s="227"/>
      <c r="AI304" s="227"/>
      <c r="AJ304" s="227"/>
      <c r="AK304" s="227"/>
      <c r="AL304" s="225"/>
      <c r="AM304" s="227"/>
    </row>
    <row r="305" spans="1:39" ht="20.100000000000001" customHeight="1">
      <c r="A305" s="227">
        <v>149</v>
      </c>
      <c r="B305" s="225"/>
      <c r="C305" s="227"/>
      <c r="D305" s="228">
        <f>(SUMPRODUCT(E305:AL305*$E$6:$AL$6)/100)+(SUMPRODUCT(E305:AL305*$E$6:$AL$6*$E$3:$AL$3)/100)</f>
        <v>0</v>
      </c>
      <c r="E305" s="227"/>
      <c r="F305" s="227"/>
      <c r="G305" s="227"/>
      <c r="H305" s="227"/>
      <c r="I305" s="227"/>
      <c r="J305" s="227"/>
      <c r="K305" s="227"/>
      <c r="L305" s="227"/>
      <c r="M305" s="227"/>
      <c r="N305" s="227"/>
      <c r="O305" s="227"/>
      <c r="P305" s="227"/>
      <c r="Q305" s="227"/>
      <c r="R305" s="227"/>
      <c r="S305" s="227"/>
      <c r="T305" s="227"/>
      <c r="U305" s="227"/>
      <c r="V305" s="227"/>
      <c r="W305" s="227"/>
      <c r="X305" s="227"/>
      <c r="Y305" s="227"/>
      <c r="Z305" s="227"/>
      <c r="AA305" s="227"/>
      <c r="AB305" s="227"/>
      <c r="AC305" s="227"/>
      <c r="AD305" s="227"/>
      <c r="AE305" s="227"/>
      <c r="AF305" s="227"/>
      <c r="AG305" s="227"/>
      <c r="AH305" s="227"/>
      <c r="AI305" s="227"/>
      <c r="AJ305" s="227"/>
      <c r="AK305" s="227"/>
      <c r="AL305" s="225"/>
      <c r="AM305" s="227"/>
    </row>
    <row r="306" spans="1:39" ht="20.100000000000001" customHeight="1">
      <c r="A306" s="227"/>
      <c r="B306" s="225"/>
      <c r="C306" s="227"/>
      <c r="D306" s="224"/>
      <c r="E306" s="227"/>
      <c r="F306" s="227"/>
      <c r="G306" s="227"/>
      <c r="H306" s="227"/>
      <c r="I306" s="227"/>
      <c r="J306" s="227"/>
      <c r="K306" s="227"/>
      <c r="L306" s="227"/>
      <c r="M306" s="227"/>
      <c r="N306" s="227"/>
      <c r="O306" s="227"/>
      <c r="P306" s="227"/>
      <c r="Q306" s="227"/>
      <c r="R306" s="227"/>
      <c r="S306" s="227"/>
      <c r="T306" s="227"/>
      <c r="U306" s="227"/>
      <c r="V306" s="227"/>
      <c r="W306" s="227"/>
      <c r="X306" s="227"/>
      <c r="Y306" s="227"/>
      <c r="Z306" s="227"/>
      <c r="AA306" s="227"/>
      <c r="AB306" s="227"/>
      <c r="AC306" s="227"/>
      <c r="AD306" s="227"/>
      <c r="AE306" s="227"/>
      <c r="AF306" s="227"/>
      <c r="AG306" s="227"/>
      <c r="AH306" s="227"/>
      <c r="AI306" s="227"/>
      <c r="AJ306" s="227"/>
      <c r="AK306" s="227"/>
      <c r="AL306" s="225"/>
      <c r="AM306" s="227"/>
    </row>
    <row r="307" spans="1:39" ht="20.100000000000001" customHeight="1">
      <c r="A307" s="227">
        <v>150</v>
      </c>
      <c r="B307" s="225"/>
      <c r="C307" s="227"/>
      <c r="D307" s="228">
        <f>(SUMPRODUCT(E307:AL307*$E$6:$AL$6)/100)+(SUMPRODUCT(E307:AL307*$E$6:$AL$6*$E$3:$AL$3)/100)</f>
        <v>0</v>
      </c>
      <c r="E307" s="227"/>
      <c r="F307" s="227"/>
      <c r="G307" s="227"/>
      <c r="H307" s="227"/>
      <c r="I307" s="227"/>
      <c r="J307" s="227"/>
      <c r="K307" s="227"/>
      <c r="L307" s="227"/>
      <c r="M307" s="227"/>
      <c r="N307" s="227"/>
      <c r="O307" s="227"/>
      <c r="P307" s="227"/>
      <c r="Q307" s="227"/>
      <c r="R307" s="227"/>
      <c r="S307" s="227"/>
      <c r="T307" s="227"/>
      <c r="U307" s="227"/>
      <c r="V307" s="227"/>
      <c r="W307" s="227"/>
      <c r="X307" s="227"/>
      <c r="Y307" s="227"/>
      <c r="Z307" s="227"/>
      <c r="AA307" s="227"/>
      <c r="AB307" s="227"/>
      <c r="AC307" s="227"/>
      <c r="AD307" s="227"/>
      <c r="AE307" s="227"/>
      <c r="AF307" s="227"/>
      <c r="AG307" s="227"/>
      <c r="AH307" s="227"/>
      <c r="AI307" s="227"/>
      <c r="AJ307" s="227"/>
      <c r="AK307" s="227"/>
      <c r="AL307" s="225"/>
      <c r="AM307" s="227"/>
    </row>
    <row r="308" spans="1:39" ht="20.100000000000001" customHeight="1">
      <c r="A308" s="223"/>
      <c r="B308" s="225"/>
      <c r="C308" s="227"/>
      <c r="D308" s="224"/>
      <c r="E308" s="227"/>
      <c r="F308" s="227"/>
      <c r="G308" s="227"/>
      <c r="H308" s="227"/>
      <c r="I308" s="227"/>
      <c r="J308" s="227"/>
      <c r="K308" s="227"/>
      <c r="L308" s="227"/>
      <c r="M308" s="227"/>
      <c r="N308" s="227"/>
      <c r="O308" s="227"/>
      <c r="P308" s="227"/>
      <c r="Q308" s="227"/>
      <c r="R308" s="227"/>
      <c r="S308" s="227"/>
      <c r="T308" s="227"/>
      <c r="U308" s="227"/>
      <c r="V308" s="227"/>
      <c r="W308" s="227"/>
      <c r="X308" s="227"/>
      <c r="Y308" s="227"/>
      <c r="Z308" s="227"/>
      <c r="AA308" s="227"/>
      <c r="AB308" s="227"/>
      <c r="AC308" s="227"/>
      <c r="AD308" s="227"/>
      <c r="AE308" s="227"/>
      <c r="AF308" s="227"/>
      <c r="AG308" s="227"/>
      <c r="AH308" s="227"/>
      <c r="AI308" s="227"/>
      <c r="AJ308" s="227"/>
      <c r="AK308" s="227"/>
      <c r="AL308" s="225"/>
      <c r="AM308" s="227"/>
    </row>
    <row r="309" spans="1:39" ht="20.100000000000001" customHeight="1">
      <c r="A309" s="227">
        <v>151</v>
      </c>
      <c r="B309" s="225"/>
      <c r="C309" s="227"/>
      <c r="D309" s="228">
        <f>(SUMPRODUCT(E309:AL309*$E$6:$AL$6)/100)+(SUMPRODUCT(E309:AL309*$E$6:$AL$6*$E$3:$AL$3)/100)</f>
        <v>0</v>
      </c>
      <c r="E309" s="227"/>
      <c r="F309" s="227"/>
      <c r="G309" s="227"/>
      <c r="H309" s="227"/>
      <c r="I309" s="227"/>
      <c r="J309" s="227"/>
      <c r="K309" s="227"/>
      <c r="L309" s="227"/>
      <c r="M309" s="227"/>
      <c r="N309" s="227"/>
      <c r="O309" s="227"/>
      <c r="P309" s="227"/>
      <c r="Q309" s="227"/>
      <c r="R309" s="227"/>
      <c r="S309" s="227"/>
      <c r="T309" s="227"/>
      <c r="U309" s="227"/>
      <c r="V309" s="227"/>
      <c r="W309" s="227"/>
      <c r="X309" s="227"/>
      <c r="Y309" s="227"/>
      <c r="Z309" s="227"/>
      <c r="AA309" s="227"/>
      <c r="AB309" s="227"/>
      <c r="AC309" s="227"/>
      <c r="AD309" s="227"/>
      <c r="AE309" s="227"/>
      <c r="AF309" s="227"/>
      <c r="AG309" s="227"/>
      <c r="AH309" s="227"/>
      <c r="AI309" s="227"/>
      <c r="AJ309" s="227"/>
      <c r="AK309" s="227"/>
      <c r="AL309" s="225"/>
      <c r="AM309" s="227"/>
    </row>
    <row r="310" spans="1:39" ht="20.100000000000001" customHeight="1">
      <c r="A310" s="227"/>
      <c r="B310" s="225"/>
      <c r="C310" s="227"/>
      <c r="D310" s="224"/>
      <c r="E310" s="227"/>
      <c r="F310" s="227"/>
      <c r="G310" s="227"/>
      <c r="H310" s="227"/>
      <c r="I310" s="227"/>
      <c r="J310" s="227"/>
      <c r="K310" s="227"/>
      <c r="L310" s="227"/>
      <c r="M310" s="227"/>
      <c r="N310" s="227"/>
      <c r="O310" s="227"/>
      <c r="P310" s="227"/>
      <c r="Q310" s="227"/>
      <c r="R310" s="227"/>
      <c r="S310" s="227"/>
      <c r="T310" s="227"/>
      <c r="U310" s="227"/>
      <c r="V310" s="227"/>
      <c r="W310" s="227"/>
      <c r="X310" s="227"/>
      <c r="Y310" s="227"/>
      <c r="Z310" s="227"/>
      <c r="AA310" s="227"/>
      <c r="AB310" s="227"/>
      <c r="AC310" s="227"/>
      <c r="AD310" s="227"/>
      <c r="AE310" s="227"/>
      <c r="AF310" s="227"/>
      <c r="AG310" s="227"/>
      <c r="AH310" s="227"/>
      <c r="AI310" s="227"/>
      <c r="AJ310" s="227"/>
      <c r="AK310" s="227"/>
      <c r="AL310" s="225"/>
      <c r="AM310" s="227"/>
    </row>
    <row r="311" spans="1:39" ht="20.100000000000001" customHeight="1">
      <c r="A311" s="227">
        <v>152</v>
      </c>
      <c r="B311" s="225"/>
      <c r="C311" s="227"/>
      <c r="D311" s="228">
        <f>(SUMPRODUCT(E311:AL311*$E$6:$AL$6)/100)+(SUMPRODUCT(E311:AL311*$E$6:$AL$6*$E$3:$AL$3)/100)</f>
        <v>0</v>
      </c>
      <c r="E311" s="227"/>
      <c r="F311" s="227"/>
      <c r="G311" s="227"/>
      <c r="H311" s="227"/>
      <c r="I311" s="227"/>
      <c r="J311" s="227"/>
      <c r="K311" s="227"/>
      <c r="L311" s="227"/>
      <c r="M311" s="227"/>
      <c r="N311" s="227"/>
      <c r="O311" s="227"/>
      <c r="P311" s="227"/>
      <c r="Q311" s="227"/>
      <c r="R311" s="227"/>
      <c r="S311" s="227"/>
      <c r="T311" s="227"/>
      <c r="U311" s="227"/>
      <c r="V311" s="227"/>
      <c r="W311" s="227"/>
      <c r="X311" s="227"/>
      <c r="Y311" s="227"/>
      <c r="Z311" s="227"/>
      <c r="AA311" s="227"/>
      <c r="AB311" s="227"/>
      <c r="AC311" s="227"/>
      <c r="AD311" s="227"/>
      <c r="AE311" s="227"/>
      <c r="AF311" s="227"/>
      <c r="AG311" s="227"/>
      <c r="AH311" s="227"/>
      <c r="AI311" s="227"/>
      <c r="AJ311" s="227"/>
      <c r="AK311" s="227"/>
      <c r="AL311" s="225"/>
      <c r="AM311" s="227"/>
    </row>
    <row r="312" spans="1:39" ht="20.100000000000001" customHeight="1">
      <c r="A312" s="223"/>
      <c r="B312" s="225"/>
      <c r="C312" s="227"/>
      <c r="D312" s="224"/>
      <c r="E312" s="227"/>
      <c r="F312" s="227"/>
      <c r="G312" s="227"/>
      <c r="H312" s="227"/>
      <c r="I312" s="227"/>
      <c r="J312" s="227"/>
      <c r="K312" s="227"/>
      <c r="L312" s="227"/>
      <c r="M312" s="227"/>
      <c r="N312" s="227"/>
      <c r="O312" s="227"/>
      <c r="P312" s="227"/>
      <c r="Q312" s="227"/>
      <c r="R312" s="227"/>
      <c r="S312" s="227"/>
      <c r="T312" s="227"/>
      <c r="U312" s="227"/>
      <c r="V312" s="227"/>
      <c r="W312" s="227"/>
      <c r="X312" s="227"/>
      <c r="Y312" s="227"/>
      <c r="Z312" s="227"/>
      <c r="AA312" s="227"/>
      <c r="AB312" s="227"/>
      <c r="AC312" s="227"/>
      <c r="AD312" s="227"/>
      <c r="AE312" s="227"/>
      <c r="AF312" s="227"/>
      <c r="AG312" s="227"/>
      <c r="AH312" s="227"/>
      <c r="AI312" s="227"/>
      <c r="AJ312" s="227"/>
      <c r="AK312" s="227"/>
      <c r="AL312" s="225"/>
      <c r="AM312" s="227"/>
    </row>
    <row r="313" spans="1:39" ht="20.100000000000001" customHeight="1">
      <c r="A313" s="227">
        <v>153</v>
      </c>
      <c r="B313" s="225"/>
      <c r="C313" s="227"/>
      <c r="D313" s="228">
        <f>(SUMPRODUCT(E313:AL313*$E$6:$AL$6)/100)+(SUMPRODUCT(E313:AL313*$E$6:$AL$6*$E$3:$AL$3)/100)</f>
        <v>0</v>
      </c>
      <c r="E313" s="227"/>
      <c r="F313" s="227"/>
      <c r="G313" s="227"/>
      <c r="H313" s="227"/>
      <c r="I313" s="227"/>
      <c r="J313" s="227"/>
      <c r="K313" s="227"/>
      <c r="L313" s="227"/>
      <c r="M313" s="227"/>
      <c r="N313" s="227"/>
      <c r="O313" s="227"/>
      <c r="P313" s="227"/>
      <c r="Q313" s="227"/>
      <c r="R313" s="227"/>
      <c r="S313" s="227"/>
      <c r="T313" s="227"/>
      <c r="U313" s="227"/>
      <c r="V313" s="227"/>
      <c r="W313" s="227"/>
      <c r="X313" s="227"/>
      <c r="Y313" s="227"/>
      <c r="Z313" s="227"/>
      <c r="AA313" s="227"/>
      <c r="AB313" s="227"/>
      <c r="AC313" s="227"/>
      <c r="AD313" s="227"/>
      <c r="AE313" s="227"/>
      <c r="AF313" s="227"/>
      <c r="AG313" s="227"/>
      <c r="AH313" s="227"/>
      <c r="AI313" s="227"/>
      <c r="AJ313" s="227"/>
      <c r="AK313" s="227"/>
      <c r="AL313" s="225"/>
      <c r="AM313" s="227"/>
    </row>
    <row r="314" spans="1:39" ht="20.100000000000001" customHeight="1">
      <c r="A314" s="227"/>
      <c r="B314" s="225"/>
      <c r="C314" s="227"/>
      <c r="D314" s="224"/>
      <c r="E314" s="227"/>
      <c r="F314" s="227"/>
      <c r="G314" s="227"/>
      <c r="H314" s="227"/>
      <c r="I314" s="227"/>
      <c r="J314" s="227"/>
      <c r="K314" s="227"/>
      <c r="L314" s="227"/>
      <c r="M314" s="227"/>
      <c r="N314" s="227"/>
      <c r="O314" s="227"/>
      <c r="P314" s="227"/>
      <c r="Q314" s="227"/>
      <c r="R314" s="227"/>
      <c r="S314" s="227"/>
      <c r="T314" s="227"/>
      <c r="U314" s="227"/>
      <c r="V314" s="227"/>
      <c r="W314" s="227"/>
      <c r="X314" s="227"/>
      <c r="Y314" s="227"/>
      <c r="Z314" s="227"/>
      <c r="AA314" s="227"/>
      <c r="AB314" s="227"/>
      <c r="AC314" s="227"/>
      <c r="AD314" s="227"/>
      <c r="AE314" s="227"/>
      <c r="AF314" s="227"/>
      <c r="AG314" s="227"/>
      <c r="AH314" s="227"/>
      <c r="AI314" s="227"/>
      <c r="AJ314" s="227"/>
      <c r="AK314" s="227"/>
      <c r="AL314" s="225"/>
      <c r="AM314" s="227"/>
    </row>
    <row r="315" spans="1:39" ht="20.100000000000001" customHeight="1">
      <c r="A315" s="227">
        <v>154</v>
      </c>
      <c r="B315" s="225"/>
      <c r="C315" s="227"/>
      <c r="D315" s="228">
        <f>(SUMPRODUCT(E315:AL315*$E$6:$AL$6)/100)+(SUMPRODUCT(E315:AL315*$E$6:$AL$6*$E$3:$AL$3)/100)</f>
        <v>0</v>
      </c>
      <c r="E315" s="227"/>
      <c r="F315" s="227"/>
      <c r="G315" s="227"/>
      <c r="H315" s="227"/>
      <c r="I315" s="227"/>
      <c r="J315" s="227"/>
      <c r="K315" s="227"/>
      <c r="L315" s="227"/>
      <c r="M315" s="227"/>
      <c r="N315" s="227"/>
      <c r="O315" s="227"/>
      <c r="P315" s="227"/>
      <c r="Q315" s="227"/>
      <c r="R315" s="227"/>
      <c r="S315" s="227"/>
      <c r="T315" s="227"/>
      <c r="U315" s="227"/>
      <c r="V315" s="227"/>
      <c r="W315" s="227"/>
      <c r="X315" s="227"/>
      <c r="Y315" s="227"/>
      <c r="Z315" s="227"/>
      <c r="AA315" s="227"/>
      <c r="AB315" s="227"/>
      <c r="AC315" s="227"/>
      <c r="AD315" s="227"/>
      <c r="AE315" s="227"/>
      <c r="AF315" s="227"/>
      <c r="AG315" s="227"/>
      <c r="AH315" s="227"/>
      <c r="AI315" s="227"/>
      <c r="AJ315" s="227"/>
      <c r="AK315" s="227"/>
      <c r="AL315" s="225"/>
      <c r="AM315" s="227"/>
    </row>
    <row r="316" spans="1:39" ht="20.100000000000001" customHeight="1">
      <c r="A316" s="223"/>
      <c r="B316" s="225"/>
      <c r="C316" s="227"/>
      <c r="D316" s="224"/>
      <c r="E316" s="227"/>
      <c r="F316" s="227"/>
      <c r="G316" s="227"/>
      <c r="H316" s="227"/>
      <c r="I316" s="227"/>
      <c r="J316" s="227"/>
      <c r="K316" s="227"/>
      <c r="L316" s="227"/>
      <c r="M316" s="227"/>
      <c r="N316" s="227"/>
      <c r="O316" s="227"/>
      <c r="P316" s="227"/>
      <c r="Q316" s="227"/>
      <c r="R316" s="227"/>
      <c r="S316" s="227"/>
      <c r="T316" s="227"/>
      <c r="U316" s="227"/>
      <c r="V316" s="227"/>
      <c r="W316" s="227"/>
      <c r="X316" s="227"/>
      <c r="Y316" s="227"/>
      <c r="Z316" s="227"/>
      <c r="AA316" s="227"/>
      <c r="AB316" s="227"/>
      <c r="AC316" s="227"/>
      <c r="AD316" s="227"/>
      <c r="AE316" s="227"/>
      <c r="AF316" s="227"/>
      <c r="AG316" s="227"/>
      <c r="AH316" s="227"/>
      <c r="AI316" s="227"/>
      <c r="AJ316" s="227"/>
      <c r="AK316" s="227"/>
      <c r="AL316" s="225"/>
      <c r="AM316" s="227"/>
    </row>
    <row r="317" spans="1:39" ht="20.100000000000001" customHeight="1">
      <c r="A317" s="227">
        <v>155</v>
      </c>
      <c r="B317" s="225"/>
      <c r="C317" s="227"/>
      <c r="D317" s="228">
        <f>(SUMPRODUCT(E317:AL317*$E$6:$AL$6)/100)+(SUMPRODUCT(E317:AL317*$E$6:$AL$6*$E$3:$AL$3)/100)</f>
        <v>0</v>
      </c>
      <c r="E317" s="227"/>
      <c r="F317" s="227"/>
      <c r="G317" s="227"/>
      <c r="H317" s="227"/>
      <c r="I317" s="227"/>
      <c r="J317" s="227"/>
      <c r="K317" s="227"/>
      <c r="L317" s="227"/>
      <c r="M317" s="227"/>
      <c r="N317" s="227"/>
      <c r="O317" s="227"/>
      <c r="P317" s="227"/>
      <c r="Q317" s="227"/>
      <c r="R317" s="227"/>
      <c r="S317" s="227"/>
      <c r="T317" s="227"/>
      <c r="U317" s="227"/>
      <c r="V317" s="227"/>
      <c r="W317" s="227"/>
      <c r="X317" s="227"/>
      <c r="Y317" s="227"/>
      <c r="Z317" s="227"/>
      <c r="AA317" s="227"/>
      <c r="AB317" s="227"/>
      <c r="AC317" s="227"/>
      <c r="AD317" s="227"/>
      <c r="AE317" s="227"/>
      <c r="AF317" s="227"/>
      <c r="AG317" s="227"/>
      <c r="AH317" s="227"/>
      <c r="AI317" s="227"/>
      <c r="AJ317" s="227"/>
      <c r="AK317" s="227"/>
      <c r="AL317" s="225"/>
      <c r="AM317" s="227"/>
    </row>
    <row r="318" spans="1:39" ht="20.100000000000001" customHeight="1">
      <c r="A318" s="227"/>
      <c r="B318" s="225"/>
      <c r="C318" s="227"/>
      <c r="D318" s="224"/>
      <c r="E318" s="227"/>
      <c r="F318" s="227"/>
      <c r="G318" s="227"/>
      <c r="H318" s="227"/>
      <c r="I318" s="227"/>
      <c r="J318" s="227"/>
      <c r="K318" s="227"/>
      <c r="L318" s="227"/>
      <c r="M318" s="227"/>
      <c r="N318" s="227"/>
      <c r="O318" s="227"/>
      <c r="P318" s="227"/>
      <c r="Q318" s="227"/>
      <c r="R318" s="227"/>
      <c r="S318" s="227"/>
      <c r="T318" s="227"/>
      <c r="U318" s="227"/>
      <c r="V318" s="227"/>
      <c r="W318" s="227"/>
      <c r="X318" s="227"/>
      <c r="Y318" s="227"/>
      <c r="Z318" s="227"/>
      <c r="AA318" s="227"/>
      <c r="AB318" s="227"/>
      <c r="AC318" s="227"/>
      <c r="AD318" s="227"/>
      <c r="AE318" s="227"/>
      <c r="AF318" s="227"/>
      <c r="AG318" s="227"/>
      <c r="AH318" s="227"/>
      <c r="AI318" s="227"/>
      <c r="AJ318" s="227"/>
      <c r="AK318" s="227"/>
      <c r="AL318" s="225"/>
      <c r="AM318" s="227"/>
    </row>
    <row r="319" spans="1:39" ht="20.100000000000001" customHeight="1">
      <c r="A319" s="227">
        <v>156</v>
      </c>
      <c r="B319" s="225"/>
      <c r="C319" s="227"/>
      <c r="D319" s="228">
        <f>(SUMPRODUCT(E319:AL319*$E$6:$AL$6)/100)+(SUMPRODUCT(E319:AL319*$E$6:$AL$6*$E$3:$AL$3)/100)</f>
        <v>0</v>
      </c>
      <c r="E319" s="227"/>
      <c r="F319" s="227"/>
      <c r="G319" s="227"/>
      <c r="H319" s="227"/>
      <c r="I319" s="227"/>
      <c r="J319" s="227"/>
      <c r="K319" s="227"/>
      <c r="L319" s="227"/>
      <c r="M319" s="227"/>
      <c r="N319" s="227"/>
      <c r="O319" s="227"/>
      <c r="P319" s="227"/>
      <c r="Q319" s="227"/>
      <c r="R319" s="227"/>
      <c r="S319" s="227"/>
      <c r="T319" s="227"/>
      <c r="U319" s="227"/>
      <c r="V319" s="227"/>
      <c r="W319" s="227"/>
      <c r="X319" s="227"/>
      <c r="Y319" s="227"/>
      <c r="Z319" s="227"/>
      <c r="AA319" s="227"/>
      <c r="AB319" s="227"/>
      <c r="AC319" s="227"/>
      <c r="AD319" s="227"/>
      <c r="AE319" s="227"/>
      <c r="AF319" s="227"/>
      <c r="AG319" s="227"/>
      <c r="AH319" s="227"/>
      <c r="AI319" s="227"/>
      <c r="AJ319" s="227"/>
      <c r="AK319" s="227"/>
      <c r="AL319" s="225"/>
      <c r="AM319" s="227"/>
    </row>
    <row r="320" spans="1:39" ht="20.100000000000001" customHeight="1">
      <c r="A320" s="223"/>
      <c r="B320" s="225"/>
      <c r="C320" s="227"/>
      <c r="D320" s="224"/>
      <c r="E320" s="227"/>
      <c r="F320" s="227"/>
      <c r="G320" s="227"/>
      <c r="H320" s="227"/>
      <c r="I320" s="227"/>
      <c r="J320" s="227"/>
      <c r="K320" s="227"/>
      <c r="L320" s="227"/>
      <c r="M320" s="227"/>
      <c r="N320" s="227"/>
      <c r="O320" s="227"/>
      <c r="P320" s="227"/>
      <c r="Q320" s="227"/>
      <c r="R320" s="227"/>
      <c r="S320" s="227"/>
      <c r="T320" s="227"/>
      <c r="U320" s="227"/>
      <c r="V320" s="227"/>
      <c r="W320" s="227"/>
      <c r="X320" s="227"/>
      <c r="Y320" s="227"/>
      <c r="Z320" s="227"/>
      <c r="AA320" s="227"/>
      <c r="AB320" s="227"/>
      <c r="AC320" s="227"/>
      <c r="AD320" s="227"/>
      <c r="AE320" s="227"/>
      <c r="AF320" s="227"/>
      <c r="AG320" s="227"/>
      <c r="AH320" s="227"/>
      <c r="AI320" s="227"/>
      <c r="AJ320" s="227"/>
      <c r="AK320" s="227"/>
      <c r="AL320" s="225"/>
      <c r="AM320" s="227"/>
    </row>
    <row r="321" spans="1:39" ht="20.100000000000001" customHeight="1">
      <c r="A321" s="227">
        <v>157</v>
      </c>
      <c r="B321" s="225"/>
      <c r="C321" s="227"/>
      <c r="D321" s="228">
        <f>(SUMPRODUCT(E321:AL321*$E$6:$AL$6)/100)+(SUMPRODUCT(E321:AL321*$E$6:$AL$6*$E$3:$AL$3)/100)</f>
        <v>0</v>
      </c>
      <c r="E321" s="227"/>
      <c r="F321" s="227"/>
      <c r="G321" s="227"/>
      <c r="H321" s="227"/>
      <c r="I321" s="227"/>
      <c r="J321" s="227"/>
      <c r="K321" s="227"/>
      <c r="L321" s="227"/>
      <c r="M321" s="227"/>
      <c r="N321" s="227"/>
      <c r="O321" s="227"/>
      <c r="P321" s="227"/>
      <c r="Q321" s="227"/>
      <c r="R321" s="227"/>
      <c r="S321" s="227"/>
      <c r="T321" s="227"/>
      <c r="U321" s="227"/>
      <c r="V321" s="227"/>
      <c r="W321" s="227"/>
      <c r="X321" s="227"/>
      <c r="Y321" s="227"/>
      <c r="Z321" s="227"/>
      <c r="AA321" s="227"/>
      <c r="AB321" s="227"/>
      <c r="AC321" s="227"/>
      <c r="AD321" s="227"/>
      <c r="AE321" s="227"/>
      <c r="AF321" s="227"/>
      <c r="AG321" s="227"/>
      <c r="AH321" s="227"/>
      <c r="AI321" s="227"/>
      <c r="AJ321" s="227"/>
      <c r="AK321" s="227"/>
      <c r="AL321" s="225"/>
      <c r="AM321" s="227"/>
    </row>
    <row r="322" spans="1:39" ht="20.100000000000001" customHeight="1">
      <c r="A322" s="227"/>
      <c r="B322" s="225"/>
      <c r="C322" s="227"/>
      <c r="D322" s="224"/>
      <c r="E322" s="227"/>
      <c r="F322" s="227"/>
      <c r="G322" s="227"/>
      <c r="H322" s="227"/>
      <c r="I322" s="227"/>
      <c r="J322" s="227"/>
      <c r="K322" s="227"/>
      <c r="L322" s="227"/>
      <c r="M322" s="227"/>
      <c r="N322" s="227"/>
      <c r="O322" s="227"/>
      <c r="P322" s="227"/>
      <c r="Q322" s="227"/>
      <c r="R322" s="227"/>
      <c r="S322" s="227"/>
      <c r="T322" s="227"/>
      <c r="U322" s="227"/>
      <c r="V322" s="227"/>
      <c r="W322" s="227"/>
      <c r="X322" s="227"/>
      <c r="Y322" s="227"/>
      <c r="Z322" s="227"/>
      <c r="AA322" s="227"/>
      <c r="AB322" s="227"/>
      <c r="AC322" s="227"/>
      <c r="AD322" s="227"/>
      <c r="AE322" s="227"/>
      <c r="AF322" s="227"/>
      <c r="AG322" s="227"/>
      <c r="AH322" s="227"/>
      <c r="AI322" s="227"/>
      <c r="AJ322" s="227"/>
      <c r="AK322" s="227"/>
      <c r="AL322" s="225"/>
      <c r="AM322" s="227"/>
    </row>
    <row r="323" spans="1:39" ht="20.100000000000001" customHeight="1">
      <c r="A323" s="227">
        <v>158</v>
      </c>
      <c r="B323" s="225"/>
      <c r="C323" s="227"/>
      <c r="D323" s="228">
        <f>(SUMPRODUCT(E323:AL323*$E$6:$AL$6)/100)+(SUMPRODUCT(E323:AL323*$E$6:$AL$6*$E$3:$AL$3)/100)</f>
        <v>0</v>
      </c>
      <c r="E323" s="227"/>
      <c r="F323" s="227"/>
      <c r="G323" s="227"/>
      <c r="H323" s="227"/>
      <c r="I323" s="227"/>
      <c r="J323" s="227"/>
      <c r="K323" s="227"/>
      <c r="L323" s="227"/>
      <c r="M323" s="227"/>
      <c r="N323" s="227"/>
      <c r="O323" s="227"/>
      <c r="P323" s="227"/>
      <c r="Q323" s="227"/>
      <c r="R323" s="227"/>
      <c r="S323" s="227"/>
      <c r="T323" s="227"/>
      <c r="U323" s="227"/>
      <c r="V323" s="227"/>
      <c r="W323" s="227"/>
      <c r="X323" s="227"/>
      <c r="Y323" s="227"/>
      <c r="Z323" s="227"/>
      <c r="AA323" s="227"/>
      <c r="AB323" s="227"/>
      <c r="AC323" s="227"/>
      <c r="AD323" s="227"/>
      <c r="AE323" s="227"/>
      <c r="AF323" s="227"/>
      <c r="AG323" s="227"/>
      <c r="AH323" s="227"/>
      <c r="AI323" s="227"/>
      <c r="AJ323" s="227"/>
      <c r="AK323" s="227"/>
      <c r="AL323" s="225"/>
      <c r="AM323" s="227"/>
    </row>
    <row r="324" spans="1:39" ht="20.100000000000001" customHeight="1">
      <c r="A324" s="223"/>
      <c r="B324" s="225"/>
      <c r="C324" s="227"/>
      <c r="D324" s="224"/>
      <c r="E324" s="227"/>
      <c r="F324" s="227"/>
      <c r="G324" s="227"/>
      <c r="H324" s="227"/>
      <c r="I324" s="227"/>
      <c r="J324" s="227"/>
      <c r="K324" s="227"/>
      <c r="L324" s="227"/>
      <c r="M324" s="227"/>
      <c r="N324" s="227"/>
      <c r="O324" s="227"/>
      <c r="P324" s="227"/>
      <c r="Q324" s="227"/>
      <c r="R324" s="227"/>
      <c r="S324" s="227"/>
      <c r="T324" s="227"/>
      <c r="U324" s="227"/>
      <c r="V324" s="227"/>
      <c r="W324" s="227"/>
      <c r="X324" s="227"/>
      <c r="Y324" s="227"/>
      <c r="Z324" s="227"/>
      <c r="AA324" s="227"/>
      <c r="AB324" s="227"/>
      <c r="AC324" s="227"/>
      <c r="AD324" s="227"/>
      <c r="AE324" s="227"/>
      <c r="AF324" s="227"/>
      <c r="AG324" s="227"/>
      <c r="AH324" s="227"/>
      <c r="AI324" s="227"/>
      <c r="AJ324" s="227"/>
      <c r="AK324" s="227"/>
      <c r="AL324" s="225"/>
      <c r="AM324" s="227"/>
    </row>
    <row r="325" spans="1:39" ht="20.100000000000001" customHeight="1">
      <c r="A325" s="227">
        <v>159</v>
      </c>
      <c r="B325" s="225"/>
      <c r="C325" s="227"/>
      <c r="D325" s="228">
        <f>(SUMPRODUCT(E325:AL325*$E$6:$AL$6)/100)+(SUMPRODUCT(E325:AL325*$E$6:$AL$6*$E$3:$AL$3)/100)</f>
        <v>0</v>
      </c>
      <c r="E325" s="227"/>
      <c r="F325" s="227"/>
      <c r="G325" s="227"/>
      <c r="H325" s="227"/>
      <c r="I325" s="227"/>
      <c r="J325" s="227"/>
      <c r="K325" s="227"/>
      <c r="L325" s="227"/>
      <c r="M325" s="227"/>
      <c r="N325" s="227"/>
      <c r="O325" s="227"/>
      <c r="P325" s="227"/>
      <c r="Q325" s="227"/>
      <c r="R325" s="227"/>
      <c r="S325" s="227"/>
      <c r="T325" s="227"/>
      <c r="U325" s="227"/>
      <c r="V325" s="227"/>
      <c r="W325" s="227"/>
      <c r="X325" s="227"/>
      <c r="Y325" s="227"/>
      <c r="Z325" s="227"/>
      <c r="AA325" s="227"/>
      <c r="AB325" s="227"/>
      <c r="AC325" s="227"/>
      <c r="AD325" s="227"/>
      <c r="AE325" s="227"/>
      <c r="AF325" s="227"/>
      <c r="AG325" s="227"/>
      <c r="AH325" s="227"/>
      <c r="AI325" s="227"/>
      <c r="AJ325" s="227"/>
      <c r="AK325" s="227"/>
      <c r="AL325" s="225"/>
      <c r="AM325" s="227"/>
    </row>
    <row r="326" spans="1:39" ht="20.100000000000001" customHeight="1">
      <c r="A326" s="227"/>
      <c r="B326" s="225"/>
      <c r="C326" s="227"/>
      <c r="D326" s="224"/>
      <c r="E326" s="227"/>
      <c r="F326" s="227"/>
      <c r="G326" s="227"/>
      <c r="H326" s="227"/>
      <c r="I326" s="227"/>
      <c r="J326" s="227"/>
      <c r="K326" s="227"/>
      <c r="L326" s="227"/>
      <c r="M326" s="227"/>
      <c r="N326" s="227"/>
      <c r="O326" s="227"/>
      <c r="P326" s="227"/>
      <c r="Q326" s="227"/>
      <c r="R326" s="227"/>
      <c r="S326" s="227"/>
      <c r="T326" s="227"/>
      <c r="U326" s="227"/>
      <c r="V326" s="227"/>
      <c r="W326" s="227"/>
      <c r="X326" s="227"/>
      <c r="Y326" s="227"/>
      <c r="Z326" s="227"/>
      <c r="AA326" s="227"/>
      <c r="AB326" s="227"/>
      <c r="AC326" s="227"/>
      <c r="AD326" s="227"/>
      <c r="AE326" s="227"/>
      <c r="AF326" s="227"/>
      <c r="AG326" s="227"/>
      <c r="AH326" s="227"/>
      <c r="AI326" s="227"/>
      <c r="AJ326" s="227"/>
      <c r="AK326" s="227"/>
      <c r="AL326" s="225"/>
      <c r="AM326" s="227"/>
    </row>
    <row r="327" spans="1:39" ht="20.100000000000001" customHeight="1">
      <c r="A327" s="227">
        <v>160</v>
      </c>
      <c r="B327" s="225"/>
      <c r="C327" s="227"/>
      <c r="D327" s="228">
        <f>(SUMPRODUCT(E327:AL327*$E$6:$AL$6)/100)+(SUMPRODUCT(E327:AL327*$E$6:$AL$6*$E$3:$AL$3)/100)</f>
        <v>0</v>
      </c>
      <c r="E327" s="227"/>
      <c r="F327" s="227"/>
      <c r="G327" s="227"/>
      <c r="H327" s="227"/>
      <c r="I327" s="227"/>
      <c r="J327" s="227"/>
      <c r="K327" s="227"/>
      <c r="L327" s="227"/>
      <c r="M327" s="227"/>
      <c r="N327" s="227"/>
      <c r="O327" s="227"/>
      <c r="P327" s="227"/>
      <c r="Q327" s="227"/>
      <c r="R327" s="227"/>
      <c r="S327" s="227"/>
      <c r="T327" s="227"/>
      <c r="U327" s="227"/>
      <c r="V327" s="227"/>
      <c r="W327" s="227"/>
      <c r="X327" s="227"/>
      <c r="Y327" s="227"/>
      <c r="Z327" s="227"/>
      <c r="AA327" s="227"/>
      <c r="AB327" s="227"/>
      <c r="AC327" s="227"/>
      <c r="AD327" s="227"/>
      <c r="AE327" s="227"/>
      <c r="AF327" s="227"/>
      <c r="AG327" s="227"/>
      <c r="AH327" s="227"/>
      <c r="AI327" s="227"/>
      <c r="AJ327" s="227"/>
      <c r="AK327" s="227"/>
      <c r="AL327" s="225"/>
      <c r="AM327" s="227"/>
    </row>
    <row r="328" spans="1:39" ht="20.100000000000001" customHeight="1">
      <c r="A328" s="223"/>
      <c r="B328" s="225"/>
      <c r="C328" s="227"/>
      <c r="D328" s="224"/>
      <c r="E328" s="227"/>
      <c r="F328" s="227"/>
      <c r="G328" s="227"/>
      <c r="H328" s="227"/>
      <c r="I328" s="227"/>
      <c r="J328" s="227"/>
      <c r="K328" s="227"/>
      <c r="L328" s="227"/>
      <c r="M328" s="227"/>
      <c r="N328" s="227"/>
      <c r="O328" s="227"/>
      <c r="P328" s="227"/>
      <c r="Q328" s="227"/>
      <c r="R328" s="227"/>
      <c r="S328" s="227"/>
      <c r="T328" s="227"/>
      <c r="U328" s="227"/>
      <c r="V328" s="227"/>
      <c r="W328" s="227"/>
      <c r="X328" s="227"/>
      <c r="Y328" s="227"/>
      <c r="Z328" s="227"/>
      <c r="AA328" s="227"/>
      <c r="AB328" s="227"/>
      <c r="AC328" s="227"/>
      <c r="AD328" s="227"/>
      <c r="AE328" s="227"/>
      <c r="AF328" s="227"/>
      <c r="AG328" s="227"/>
      <c r="AH328" s="227"/>
      <c r="AI328" s="227"/>
      <c r="AJ328" s="227"/>
      <c r="AK328" s="227"/>
      <c r="AL328" s="225"/>
      <c r="AM328" s="227"/>
    </row>
    <row r="329" spans="1:39" ht="20.100000000000001" customHeight="1">
      <c r="A329" s="227">
        <v>161</v>
      </c>
      <c r="B329" s="225"/>
      <c r="C329" s="227"/>
      <c r="D329" s="228">
        <f>(SUMPRODUCT(E329:AL329*$E$6:$AL$6)/100)+(SUMPRODUCT(E329:AL329*$E$6:$AL$6*$E$3:$AL$3)/100)</f>
        <v>0</v>
      </c>
      <c r="E329" s="227"/>
      <c r="F329" s="227"/>
      <c r="G329" s="227"/>
      <c r="H329" s="227"/>
      <c r="I329" s="227"/>
      <c r="J329" s="227"/>
      <c r="K329" s="227"/>
      <c r="L329" s="227"/>
      <c r="M329" s="227"/>
      <c r="N329" s="227"/>
      <c r="O329" s="227"/>
      <c r="P329" s="227"/>
      <c r="Q329" s="227"/>
      <c r="R329" s="227"/>
      <c r="S329" s="227"/>
      <c r="T329" s="227"/>
      <c r="U329" s="227"/>
      <c r="V329" s="227"/>
      <c r="W329" s="227"/>
      <c r="X329" s="227"/>
      <c r="Y329" s="227"/>
      <c r="Z329" s="227"/>
      <c r="AA329" s="227"/>
      <c r="AB329" s="227"/>
      <c r="AC329" s="227"/>
      <c r="AD329" s="227"/>
      <c r="AE329" s="227"/>
      <c r="AF329" s="227"/>
      <c r="AG329" s="227"/>
      <c r="AH329" s="227"/>
      <c r="AI329" s="227"/>
      <c r="AJ329" s="227"/>
      <c r="AK329" s="227"/>
      <c r="AL329" s="225"/>
      <c r="AM329" s="227"/>
    </row>
    <row r="330" spans="1:39" ht="20.100000000000001" customHeight="1">
      <c r="A330" s="227"/>
      <c r="B330" s="225"/>
      <c r="C330" s="227"/>
      <c r="D330" s="224"/>
      <c r="E330" s="227"/>
      <c r="F330" s="227"/>
      <c r="G330" s="227"/>
      <c r="H330" s="227"/>
      <c r="I330" s="227"/>
      <c r="J330" s="227"/>
      <c r="K330" s="227"/>
      <c r="L330" s="227"/>
      <c r="M330" s="227"/>
      <c r="N330" s="227"/>
      <c r="O330" s="227"/>
      <c r="P330" s="227"/>
      <c r="Q330" s="227"/>
      <c r="R330" s="227"/>
      <c r="S330" s="227"/>
      <c r="T330" s="227"/>
      <c r="U330" s="227"/>
      <c r="V330" s="227"/>
      <c r="W330" s="227"/>
      <c r="X330" s="227"/>
      <c r="Y330" s="227"/>
      <c r="Z330" s="227"/>
      <c r="AA330" s="227"/>
      <c r="AB330" s="227"/>
      <c r="AC330" s="227"/>
      <c r="AD330" s="227"/>
      <c r="AE330" s="227"/>
      <c r="AF330" s="227"/>
      <c r="AG330" s="227"/>
      <c r="AH330" s="227"/>
      <c r="AI330" s="227"/>
      <c r="AJ330" s="227"/>
      <c r="AK330" s="227"/>
      <c r="AL330" s="225"/>
      <c r="AM330" s="227"/>
    </row>
    <row r="331" spans="1:39" ht="20.100000000000001" customHeight="1">
      <c r="A331" s="227">
        <v>162</v>
      </c>
      <c r="B331" s="225"/>
      <c r="C331" s="227"/>
      <c r="D331" s="228">
        <f>(SUMPRODUCT(E331:AL331*$E$6:$AL$6)/100)+(SUMPRODUCT(E331:AL331*$E$6:$AL$6*$E$3:$AL$3)/100)</f>
        <v>0</v>
      </c>
      <c r="E331" s="227"/>
      <c r="F331" s="227"/>
      <c r="G331" s="227"/>
      <c r="H331" s="227"/>
      <c r="I331" s="227"/>
      <c r="J331" s="227"/>
      <c r="K331" s="227"/>
      <c r="L331" s="227"/>
      <c r="M331" s="227"/>
      <c r="N331" s="227"/>
      <c r="O331" s="227"/>
      <c r="P331" s="227"/>
      <c r="Q331" s="227"/>
      <c r="R331" s="227"/>
      <c r="S331" s="227"/>
      <c r="T331" s="227"/>
      <c r="U331" s="227"/>
      <c r="V331" s="227"/>
      <c r="W331" s="227"/>
      <c r="X331" s="227"/>
      <c r="Y331" s="227"/>
      <c r="Z331" s="227"/>
      <c r="AA331" s="227"/>
      <c r="AB331" s="227"/>
      <c r="AC331" s="227"/>
      <c r="AD331" s="227"/>
      <c r="AE331" s="227"/>
      <c r="AF331" s="227"/>
      <c r="AG331" s="227"/>
      <c r="AH331" s="227"/>
      <c r="AI331" s="227"/>
      <c r="AJ331" s="227"/>
      <c r="AK331" s="227"/>
      <c r="AL331" s="225"/>
      <c r="AM331" s="227"/>
    </row>
    <row r="332" spans="1:39" ht="20.100000000000001" customHeight="1">
      <c r="A332" s="223"/>
      <c r="B332" s="225"/>
      <c r="C332" s="227"/>
      <c r="D332" s="224"/>
      <c r="E332" s="227"/>
      <c r="F332" s="227"/>
      <c r="G332" s="227"/>
      <c r="H332" s="227"/>
      <c r="I332" s="227"/>
      <c r="J332" s="227"/>
      <c r="K332" s="227"/>
      <c r="L332" s="227"/>
      <c r="M332" s="227"/>
      <c r="N332" s="227"/>
      <c r="O332" s="227"/>
      <c r="P332" s="227"/>
      <c r="Q332" s="227"/>
      <c r="R332" s="227"/>
      <c r="S332" s="227"/>
      <c r="T332" s="227"/>
      <c r="U332" s="227"/>
      <c r="V332" s="227"/>
      <c r="W332" s="227"/>
      <c r="X332" s="227"/>
      <c r="Y332" s="227"/>
      <c r="Z332" s="227"/>
      <c r="AA332" s="227"/>
      <c r="AB332" s="227"/>
      <c r="AC332" s="227"/>
      <c r="AD332" s="227"/>
      <c r="AE332" s="227"/>
      <c r="AF332" s="227"/>
      <c r="AG332" s="227"/>
      <c r="AH332" s="227"/>
      <c r="AI332" s="227"/>
      <c r="AJ332" s="227"/>
      <c r="AK332" s="227"/>
      <c r="AL332" s="225"/>
      <c r="AM332" s="227"/>
    </row>
    <row r="333" spans="1:39" ht="20.100000000000001" customHeight="1">
      <c r="A333" s="227">
        <v>163</v>
      </c>
      <c r="B333" s="225"/>
      <c r="C333" s="227"/>
      <c r="D333" s="228">
        <f>(SUMPRODUCT(E333:AL333*$E$6:$AL$6)/100)+(SUMPRODUCT(E333:AL333*$E$6:$AL$6*$E$3:$AL$3)/100)</f>
        <v>0</v>
      </c>
      <c r="E333" s="227"/>
      <c r="F333" s="227"/>
      <c r="G333" s="227"/>
      <c r="H333" s="227"/>
      <c r="I333" s="227"/>
      <c r="J333" s="227"/>
      <c r="K333" s="227"/>
      <c r="L333" s="227"/>
      <c r="M333" s="227"/>
      <c r="N333" s="227"/>
      <c r="O333" s="227"/>
      <c r="P333" s="227"/>
      <c r="Q333" s="227"/>
      <c r="R333" s="227"/>
      <c r="S333" s="227"/>
      <c r="T333" s="227"/>
      <c r="U333" s="227"/>
      <c r="V333" s="227"/>
      <c r="W333" s="227"/>
      <c r="X333" s="227"/>
      <c r="Y333" s="227"/>
      <c r="Z333" s="227"/>
      <c r="AA333" s="227"/>
      <c r="AB333" s="227"/>
      <c r="AC333" s="227"/>
      <c r="AD333" s="227"/>
      <c r="AE333" s="227"/>
      <c r="AF333" s="227"/>
      <c r="AG333" s="227"/>
      <c r="AH333" s="227"/>
      <c r="AI333" s="227"/>
      <c r="AJ333" s="227"/>
      <c r="AK333" s="227"/>
      <c r="AL333" s="225"/>
      <c r="AM333" s="227"/>
    </row>
    <row r="334" spans="1:39" ht="20.100000000000001" customHeight="1">
      <c r="A334" s="227"/>
      <c r="B334" s="225"/>
      <c r="C334" s="227"/>
      <c r="D334" s="224"/>
      <c r="E334" s="227"/>
      <c r="F334" s="227"/>
      <c r="G334" s="227"/>
      <c r="H334" s="227"/>
      <c r="I334" s="227"/>
      <c r="J334" s="227"/>
      <c r="K334" s="227"/>
      <c r="L334" s="227"/>
      <c r="M334" s="227"/>
      <c r="N334" s="227"/>
      <c r="O334" s="227"/>
      <c r="P334" s="227"/>
      <c r="Q334" s="227"/>
      <c r="R334" s="227"/>
      <c r="S334" s="227"/>
      <c r="T334" s="227"/>
      <c r="U334" s="227"/>
      <c r="V334" s="227"/>
      <c r="W334" s="227"/>
      <c r="X334" s="227"/>
      <c r="Y334" s="227"/>
      <c r="Z334" s="227"/>
      <c r="AA334" s="227"/>
      <c r="AB334" s="227"/>
      <c r="AC334" s="227"/>
      <c r="AD334" s="227"/>
      <c r="AE334" s="227"/>
      <c r="AF334" s="227"/>
      <c r="AG334" s="227"/>
      <c r="AH334" s="227"/>
      <c r="AI334" s="227"/>
      <c r="AJ334" s="227"/>
      <c r="AK334" s="227"/>
      <c r="AL334" s="225"/>
      <c r="AM334" s="227"/>
    </row>
    <row r="335" spans="1:39" ht="20.100000000000001" customHeight="1">
      <c r="A335" s="227">
        <v>164</v>
      </c>
      <c r="B335" s="225"/>
      <c r="C335" s="227"/>
      <c r="D335" s="228">
        <f>(SUMPRODUCT(E335:AL335*$E$6:$AL$6)/100)+(SUMPRODUCT(E335:AL335*$E$6:$AL$6*$E$3:$AL$3)/100)</f>
        <v>0</v>
      </c>
      <c r="E335" s="227"/>
      <c r="F335" s="227"/>
      <c r="G335" s="227"/>
      <c r="H335" s="227"/>
      <c r="I335" s="227"/>
      <c r="J335" s="227"/>
      <c r="K335" s="227"/>
      <c r="L335" s="227"/>
      <c r="M335" s="227"/>
      <c r="N335" s="227"/>
      <c r="O335" s="227"/>
      <c r="P335" s="227"/>
      <c r="Q335" s="227"/>
      <c r="R335" s="227"/>
      <c r="S335" s="227"/>
      <c r="T335" s="227"/>
      <c r="U335" s="227"/>
      <c r="V335" s="227"/>
      <c r="W335" s="227"/>
      <c r="X335" s="227"/>
      <c r="Y335" s="227"/>
      <c r="Z335" s="227"/>
      <c r="AA335" s="227"/>
      <c r="AB335" s="227"/>
      <c r="AC335" s="227"/>
      <c r="AD335" s="227"/>
      <c r="AE335" s="227"/>
      <c r="AF335" s="227"/>
      <c r="AG335" s="227"/>
      <c r="AH335" s="227"/>
      <c r="AI335" s="227"/>
      <c r="AJ335" s="227"/>
      <c r="AK335" s="227"/>
      <c r="AL335" s="225"/>
      <c r="AM335" s="227"/>
    </row>
    <row r="336" spans="1:39" ht="20.100000000000001" customHeight="1">
      <c r="A336" s="223"/>
      <c r="B336" s="225"/>
      <c r="C336" s="227"/>
      <c r="D336" s="224"/>
      <c r="E336" s="227"/>
      <c r="F336" s="227"/>
      <c r="G336" s="227"/>
      <c r="H336" s="227"/>
      <c r="I336" s="227"/>
      <c r="J336" s="227"/>
      <c r="K336" s="227"/>
      <c r="L336" s="227"/>
      <c r="M336" s="227"/>
      <c r="N336" s="227"/>
      <c r="O336" s="227"/>
      <c r="P336" s="227"/>
      <c r="Q336" s="227"/>
      <c r="R336" s="227"/>
      <c r="S336" s="227"/>
      <c r="T336" s="227"/>
      <c r="U336" s="227"/>
      <c r="V336" s="227"/>
      <c r="W336" s="227"/>
      <c r="X336" s="227"/>
      <c r="Y336" s="227"/>
      <c r="Z336" s="227"/>
      <c r="AA336" s="227"/>
      <c r="AB336" s="227"/>
      <c r="AC336" s="227"/>
      <c r="AD336" s="227"/>
      <c r="AE336" s="227"/>
      <c r="AF336" s="227"/>
      <c r="AG336" s="227"/>
      <c r="AH336" s="227"/>
      <c r="AI336" s="227"/>
      <c r="AJ336" s="227"/>
      <c r="AK336" s="227"/>
      <c r="AL336" s="225"/>
      <c r="AM336" s="227"/>
    </row>
    <row r="337" spans="1:39" ht="20.100000000000001" customHeight="1">
      <c r="A337" s="227">
        <v>165</v>
      </c>
      <c r="B337" s="225"/>
      <c r="C337" s="227"/>
      <c r="D337" s="228">
        <f>(SUMPRODUCT(E337:AL337*$E$6:$AL$6)/100)+(SUMPRODUCT(E337:AL337*$E$6:$AL$6*$E$3:$AL$3)/100)</f>
        <v>0</v>
      </c>
      <c r="E337" s="227"/>
      <c r="F337" s="227"/>
      <c r="G337" s="227"/>
      <c r="H337" s="227"/>
      <c r="I337" s="227"/>
      <c r="J337" s="227"/>
      <c r="K337" s="227"/>
      <c r="L337" s="227"/>
      <c r="M337" s="227"/>
      <c r="N337" s="227"/>
      <c r="O337" s="227"/>
      <c r="P337" s="227"/>
      <c r="Q337" s="227"/>
      <c r="R337" s="227"/>
      <c r="S337" s="227"/>
      <c r="T337" s="227"/>
      <c r="U337" s="227"/>
      <c r="V337" s="227"/>
      <c r="W337" s="227"/>
      <c r="X337" s="227"/>
      <c r="Y337" s="227"/>
      <c r="Z337" s="227"/>
      <c r="AA337" s="227"/>
      <c r="AB337" s="227"/>
      <c r="AC337" s="227"/>
      <c r="AD337" s="227"/>
      <c r="AE337" s="227"/>
      <c r="AF337" s="227"/>
      <c r="AG337" s="227"/>
      <c r="AH337" s="227"/>
      <c r="AI337" s="227"/>
      <c r="AJ337" s="227"/>
      <c r="AK337" s="227"/>
      <c r="AL337" s="225"/>
      <c r="AM337" s="227"/>
    </row>
    <row r="338" spans="1:39" ht="20.100000000000001" customHeight="1">
      <c r="A338" s="227"/>
      <c r="B338" s="225"/>
      <c r="C338" s="227"/>
      <c r="D338" s="224"/>
      <c r="E338" s="227"/>
      <c r="F338" s="227"/>
      <c r="G338" s="227"/>
      <c r="H338" s="227"/>
      <c r="I338" s="227"/>
      <c r="J338" s="227"/>
      <c r="K338" s="227"/>
      <c r="L338" s="227"/>
      <c r="M338" s="227"/>
      <c r="N338" s="227"/>
      <c r="O338" s="227"/>
      <c r="P338" s="227"/>
      <c r="Q338" s="227"/>
      <c r="R338" s="227"/>
      <c r="S338" s="227"/>
      <c r="T338" s="227"/>
      <c r="U338" s="227"/>
      <c r="V338" s="227"/>
      <c r="W338" s="227"/>
      <c r="X338" s="227"/>
      <c r="Y338" s="227"/>
      <c r="Z338" s="227"/>
      <c r="AA338" s="227"/>
      <c r="AB338" s="227"/>
      <c r="AC338" s="227"/>
      <c r="AD338" s="227"/>
      <c r="AE338" s="227"/>
      <c r="AF338" s="227"/>
      <c r="AG338" s="227"/>
      <c r="AH338" s="227"/>
      <c r="AI338" s="227"/>
      <c r="AJ338" s="227"/>
      <c r="AK338" s="227"/>
      <c r="AL338" s="225"/>
      <c r="AM338" s="227"/>
    </row>
    <row r="339" spans="1:39" ht="20.100000000000001" customHeight="1">
      <c r="A339" s="227">
        <v>166</v>
      </c>
      <c r="B339" s="225"/>
      <c r="C339" s="227"/>
      <c r="D339" s="228">
        <f>(SUMPRODUCT(E339:AL339*$E$6:$AL$6)/100)+(SUMPRODUCT(E339:AL339*$E$6:$AL$6*$E$3:$AL$3)/100)</f>
        <v>0</v>
      </c>
      <c r="E339" s="227"/>
      <c r="F339" s="227"/>
      <c r="G339" s="227"/>
      <c r="H339" s="227"/>
      <c r="I339" s="227"/>
      <c r="J339" s="227"/>
      <c r="K339" s="227"/>
      <c r="L339" s="227"/>
      <c r="M339" s="227"/>
      <c r="N339" s="227"/>
      <c r="O339" s="227"/>
      <c r="P339" s="227"/>
      <c r="Q339" s="227"/>
      <c r="R339" s="227"/>
      <c r="S339" s="227"/>
      <c r="T339" s="227"/>
      <c r="U339" s="227"/>
      <c r="V339" s="227"/>
      <c r="W339" s="227"/>
      <c r="X339" s="227"/>
      <c r="Y339" s="227"/>
      <c r="Z339" s="227"/>
      <c r="AA339" s="227"/>
      <c r="AB339" s="227"/>
      <c r="AC339" s="227"/>
      <c r="AD339" s="227"/>
      <c r="AE339" s="227"/>
      <c r="AF339" s="227"/>
      <c r="AG339" s="227"/>
      <c r="AH339" s="227"/>
      <c r="AI339" s="227"/>
      <c r="AJ339" s="227"/>
      <c r="AK339" s="227"/>
      <c r="AL339" s="225"/>
      <c r="AM339" s="227"/>
    </row>
    <row r="340" spans="1:39" ht="20.100000000000001" customHeight="1">
      <c r="A340" s="223"/>
      <c r="B340" s="225"/>
      <c r="C340" s="227"/>
      <c r="D340" s="224"/>
      <c r="E340" s="227"/>
      <c r="F340" s="227"/>
      <c r="G340" s="227"/>
      <c r="H340" s="227"/>
      <c r="I340" s="227"/>
      <c r="J340" s="227"/>
      <c r="K340" s="227"/>
      <c r="L340" s="227"/>
      <c r="M340" s="227"/>
      <c r="N340" s="227"/>
      <c r="O340" s="227"/>
      <c r="P340" s="227"/>
      <c r="Q340" s="227"/>
      <c r="R340" s="227"/>
      <c r="S340" s="227"/>
      <c r="T340" s="227"/>
      <c r="U340" s="227"/>
      <c r="V340" s="227"/>
      <c r="W340" s="227"/>
      <c r="X340" s="227"/>
      <c r="Y340" s="227"/>
      <c r="Z340" s="227"/>
      <c r="AA340" s="227"/>
      <c r="AB340" s="227"/>
      <c r="AC340" s="227"/>
      <c r="AD340" s="227"/>
      <c r="AE340" s="227"/>
      <c r="AF340" s="227"/>
      <c r="AG340" s="227"/>
      <c r="AH340" s="227"/>
      <c r="AI340" s="227"/>
      <c r="AJ340" s="227"/>
      <c r="AK340" s="227"/>
      <c r="AL340" s="225"/>
      <c r="AM340" s="227"/>
    </row>
    <row r="341" spans="1:39" ht="20.100000000000001" customHeight="1">
      <c r="A341" s="227">
        <v>167</v>
      </c>
      <c r="B341" s="225"/>
      <c r="C341" s="227"/>
      <c r="D341" s="228">
        <f>(SUMPRODUCT(E341:AL341*$E$6:$AL$6)/100)+(SUMPRODUCT(E341:AL341*$E$6:$AL$6*$E$3:$AL$3)/100)</f>
        <v>0</v>
      </c>
      <c r="E341" s="227"/>
      <c r="F341" s="227"/>
      <c r="G341" s="227"/>
      <c r="H341" s="227"/>
      <c r="I341" s="227"/>
      <c r="J341" s="227"/>
      <c r="K341" s="227"/>
      <c r="L341" s="227"/>
      <c r="M341" s="227"/>
      <c r="N341" s="227"/>
      <c r="O341" s="227"/>
      <c r="P341" s="227"/>
      <c r="Q341" s="227"/>
      <c r="R341" s="227"/>
      <c r="S341" s="227"/>
      <c r="T341" s="227"/>
      <c r="U341" s="227"/>
      <c r="V341" s="227"/>
      <c r="W341" s="227"/>
      <c r="X341" s="227"/>
      <c r="Y341" s="227"/>
      <c r="Z341" s="227"/>
      <c r="AA341" s="227"/>
      <c r="AB341" s="227"/>
      <c r="AC341" s="227"/>
      <c r="AD341" s="227"/>
      <c r="AE341" s="227"/>
      <c r="AF341" s="227"/>
      <c r="AG341" s="227"/>
      <c r="AH341" s="227"/>
      <c r="AI341" s="227"/>
      <c r="AJ341" s="227"/>
      <c r="AK341" s="227"/>
      <c r="AL341" s="225"/>
      <c r="AM341" s="227"/>
    </row>
    <row r="342" spans="1:39" ht="20.100000000000001" customHeight="1">
      <c r="A342" s="227"/>
      <c r="B342" s="225"/>
      <c r="C342" s="227"/>
      <c r="D342" s="224"/>
      <c r="E342" s="227"/>
      <c r="F342" s="227"/>
      <c r="G342" s="227"/>
      <c r="H342" s="227"/>
      <c r="I342" s="227"/>
      <c r="J342" s="227"/>
      <c r="K342" s="227"/>
      <c r="L342" s="227"/>
      <c r="M342" s="227"/>
      <c r="N342" s="227"/>
      <c r="O342" s="227"/>
      <c r="P342" s="227"/>
      <c r="Q342" s="227"/>
      <c r="R342" s="227"/>
      <c r="S342" s="227"/>
      <c r="T342" s="227"/>
      <c r="U342" s="227"/>
      <c r="V342" s="227"/>
      <c r="W342" s="227"/>
      <c r="X342" s="227"/>
      <c r="Y342" s="227"/>
      <c r="Z342" s="227"/>
      <c r="AA342" s="227"/>
      <c r="AB342" s="227"/>
      <c r="AC342" s="227"/>
      <c r="AD342" s="227"/>
      <c r="AE342" s="227"/>
      <c r="AF342" s="227"/>
      <c r="AG342" s="227"/>
      <c r="AH342" s="227"/>
      <c r="AI342" s="227"/>
      <c r="AJ342" s="227"/>
      <c r="AK342" s="227"/>
      <c r="AL342" s="225"/>
      <c r="AM342" s="227"/>
    </row>
    <row r="343" spans="1:39" ht="20.100000000000001" customHeight="1">
      <c r="A343" s="227">
        <v>168</v>
      </c>
      <c r="B343" s="225"/>
      <c r="C343" s="227"/>
      <c r="D343" s="228">
        <f>(SUMPRODUCT(E343:AL343*$E$6:$AL$6)/100)+(SUMPRODUCT(E343:AL343*$E$6:$AL$6*$E$3:$AL$3)/100)</f>
        <v>0</v>
      </c>
      <c r="E343" s="227"/>
      <c r="F343" s="227"/>
      <c r="G343" s="227"/>
      <c r="H343" s="227"/>
      <c r="I343" s="227"/>
      <c r="J343" s="227"/>
      <c r="K343" s="227"/>
      <c r="L343" s="227"/>
      <c r="M343" s="227"/>
      <c r="N343" s="227"/>
      <c r="O343" s="227"/>
      <c r="P343" s="227"/>
      <c r="Q343" s="227"/>
      <c r="R343" s="227"/>
      <c r="S343" s="227"/>
      <c r="T343" s="227"/>
      <c r="U343" s="227"/>
      <c r="V343" s="227"/>
      <c r="W343" s="227"/>
      <c r="X343" s="227"/>
      <c r="Y343" s="227"/>
      <c r="Z343" s="227"/>
      <c r="AA343" s="227"/>
      <c r="AB343" s="227"/>
      <c r="AC343" s="227"/>
      <c r="AD343" s="227"/>
      <c r="AE343" s="227"/>
      <c r="AF343" s="227"/>
      <c r="AG343" s="227"/>
      <c r="AH343" s="227"/>
      <c r="AI343" s="227"/>
      <c r="AJ343" s="227"/>
      <c r="AK343" s="227"/>
      <c r="AL343" s="225"/>
      <c r="AM343" s="227"/>
    </row>
    <row r="344" spans="1:39" ht="20.100000000000001" customHeight="1">
      <c r="A344" s="223"/>
      <c r="B344" s="225"/>
      <c r="C344" s="227"/>
      <c r="D344" s="224"/>
      <c r="E344" s="227"/>
      <c r="F344" s="227"/>
      <c r="G344" s="227"/>
      <c r="H344" s="227"/>
      <c r="I344" s="227"/>
      <c r="J344" s="227"/>
      <c r="K344" s="227"/>
      <c r="L344" s="227"/>
      <c r="M344" s="227"/>
      <c r="N344" s="227"/>
      <c r="O344" s="227"/>
      <c r="P344" s="227"/>
      <c r="Q344" s="227"/>
      <c r="R344" s="227"/>
      <c r="S344" s="227"/>
      <c r="T344" s="227"/>
      <c r="U344" s="227"/>
      <c r="V344" s="227"/>
      <c r="W344" s="227"/>
      <c r="X344" s="227"/>
      <c r="Y344" s="227"/>
      <c r="Z344" s="227"/>
      <c r="AA344" s="227"/>
      <c r="AB344" s="227"/>
      <c r="AC344" s="227"/>
      <c r="AD344" s="227"/>
      <c r="AE344" s="227"/>
      <c r="AF344" s="227"/>
      <c r="AG344" s="227"/>
      <c r="AH344" s="227"/>
      <c r="AI344" s="227"/>
      <c r="AJ344" s="227"/>
      <c r="AK344" s="227"/>
      <c r="AL344" s="225"/>
      <c r="AM344" s="227"/>
    </row>
    <row r="345" spans="1:39" ht="20.100000000000001" customHeight="1">
      <c r="A345" s="227">
        <v>169</v>
      </c>
      <c r="B345" s="225"/>
      <c r="C345" s="227"/>
      <c r="D345" s="228">
        <f>(SUMPRODUCT(E345:AL345*$E$6:$AL$6)/100)+(SUMPRODUCT(E345:AL345*$E$6:$AL$6*$E$3:$AL$3)/100)</f>
        <v>0</v>
      </c>
      <c r="E345" s="227"/>
      <c r="F345" s="227"/>
      <c r="G345" s="227"/>
      <c r="H345" s="227"/>
      <c r="I345" s="227"/>
      <c r="J345" s="227"/>
      <c r="K345" s="227"/>
      <c r="L345" s="227"/>
      <c r="M345" s="227"/>
      <c r="N345" s="227"/>
      <c r="O345" s="227"/>
      <c r="P345" s="227"/>
      <c r="Q345" s="227"/>
      <c r="R345" s="227"/>
      <c r="S345" s="227"/>
      <c r="T345" s="227"/>
      <c r="U345" s="227"/>
      <c r="V345" s="227"/>
      <c r="W345" s="227"/>
      <c r="X345" s="227"/>
      <c r="Y345" s="227"/>
      <c r="Z345" s="227"/>
      <c r="AA345" s="227"/>
      <c r="AB345" s="227"/>
      <c r="AC345" s="227"/>
      <c r="AD345" s="227"/>
      <c r="AE345" s="227"/>
      <c r="AF345" s="227"/>
      <c r="AG345" s="227"/>
      <c r="AH345" s="227"/>
      <c r="AI345" s="227"/>
      <c r="AJ345" s="227"/>
      <c r="AK345" s="227"/>
      <c r="AL345" s="225"/>
      <c r="AM345" s="227"/>
    </row>
    <row r="346" spans="1:39" ht="20.100000000000001" customHeight="1">
      <c r="A346" s="227"/>
      <c r="B346" s="225"/>
      <c r="C346" s="227"/>
      <c r="D346" s="224"/>
      <c r="E346" s="227"/>
      <c r="F346" s="227"/>
      <c r="G346" s="227"/>
      <c r="H346" s="227"/>
      <c r="I346" s="227"/>
      <c r="J346" s="227"/>
      <c r="K346" s="227"/>
      <c r="L346" s="227"/>
      <c r="M346" s="227"/>
      <c r="N346" s="227"/>
      <c r="O346" s="227"/>
      <c r="P346" s="227"/>
      <c r="Q346" s="227"/>
      <c r="R346" s="227"/>
      <c r="S346" s="227"/>
      <c r="T346" s="227"/>
      <c r="U346" s="227"/>
      <c r="V346" s="227"/>
      <c r="W346" s="227"/>
      <c r="X346" s="227"/>
      <c r="Y346" s="227"/>
      <c r="Z346" s="227"/>
      <c r="AA346" s="227"/>
      <c r="AB346" s="227"/>
      <c r="AC346" s="227"/>
      <c r="AD346" s="227"/>
      <c r="AE346" s="227"/>
      <c r="AF346" s="227"/>
      <c r="AG346" s="227"/>
      <c r="AH346" s="227"/>
      <c r="AI346" s="227"/>
      <c r="AJ346" s="227"/>
      <c r="AK346" s="227"/>
      <c r="AL346" s="225"/>
      <c r="AM346" s="227"/>
    </row>
    <row r="347" spans="1:39" ht="20.100000000000001" customHeight="1">
      <c r="A347" s="227">
        <v>170</v>
      </c>
      <c r="B347" s="225"/>
      <c r="C347" s="227"/>
      <c r="D347" s="228">
        <f>(SUMPRODUCT(E347:AL347*$E$6:$AL$6)/100)+(SUMPRODUCT(E347:AL347*$E$6:$AL$6*$E$3:$AL$3)/100)</f>
        <v>0</v>
      </c>
      <c r="E347" s="227"/>
      <c r="F347" s="227"/>
      <c r="G347" s="227"/>
      <c r="H347" s="227"/>
      <c r="I347" s="227"/>
      <c r="J347" s="227"/>
      <c r="K347" s="227"/>
      <c r="L347" s="227"/>
      <c r="M347" s="227"/>
      <c r="N347" s="227"/>
      <c r="O347" s="227"/>
      <c r="P347" s="227"/>
      <c r="Q347" s="227"/>
      <c r="R347" s="227"/>
      <c r="S347" s="227"/>
      <c r="T347" s="227"/>
      <c r="U347" s="227"/>
      <c r="V347" s="227"/>
      <c r="W347" s="227"/>
      <c r="X347" s="227"/>
      <c r="Y347" s="227"/>
      <c r="Z347" s="227"/>
      <c r="AA347" s="227"/>
      <c r="AB347" s="227"/>
      <c r="AC347" s="227"/>
      <c r="AD347" s="227"/>
      <c r="AE347" s="227"/>
      <c r="AF347" s="227"/>
      <c r="AG347" s="227"/>
      <c r="AH347" s="227"/>
      <c r="AI347" s="227"/>
      <c r="AJ347" s="227"/>
      <c r="AK347" s="227"/>
      <c r="AL347" s="225"/>
      <c r="AM347" s="227"/>
    </row>
    <row r="348" spans="1:39" ht="20.100000000000001" customHeight="1">
      <c r="A348" s="223"/>
      <c r="B348" s="225"/>
      <c r="C348" s="227"/>
      <c r="D348" s="224"/>
      <c r="E348" s="227"/>
      <c r="F348" s="227"/>
      <c r="G348" s="227"/>
      <c r="H348" s="227"/>
      <c r="I348" s="227"/>
      <c r="J348" s="227"/>
      <c r="K348" s="227"/>
      <c r="L348" s="227"/>
      <c r="M348" s="227"/>
      <c r="N348" s="227"/>
      <c r="O348" s="227"/>
      <c r="P348" s="227"/>
      <c r="Q348" s="227"/>
      <c r="R348" s="227"/>
      <c r="S348" s="227"/>
      <c r="T348" s="227"/>
      <c r="U348" s="227"/>
      <c r="V348" s="227"/>
      <c r="W348" s="227"/>
      <c r="X348" s="227"/>
      <c r="Y348" s="227"/>
      <c r="Z348" s="227"/>
      <c r="AA348" s="227"/>
      <c r="AB348" s="227"/>
      <c r="AC348" s="227"/>
      <c r="AD348" s="227"/>
      <c r="AE348" s="227"/>
      <c r="AF348" s="227"/>
      <c r="AG348" s="227"/>
      <c r="AH348" s="227"/>
      <c r="AI348" s="227"/>
      <c r="AJ348" s="227"/>
      <c r="AK348" s="227"/>
      <c r="AL348" s="225"/>
      <c r="AM348" s="227"/>
    </row>
    <row r="349" spans="1:39" ht="20.100000000000001" customHeight="1">
      <c r="A349" s="227">
        <v>171</v>
      </c>
      <c r="B349" s="225"/>
      <c r="C349" s="227"/>
      <c r="D349" s="228">
        <f>(SUMPRODUCT(E349:AL349*$E$6:$AL$6)/100)+(SUMPRODUCT(E349:AL349*$E$6:$AL$6*$E$3:$AL$3)/100)</f>
        <v>0</v>
      </c>
      <c r="E349" s="227"/>
      <c r="F349" s="227"/>
      <c r="G349" s="227"/>
      <c r="H349" s="227"/>
      <c r="I349" s="227"/>
      <c r="J349" s="227"/>
      <c r="K349" s="227"/>
      <c r="L349" s="227"/>
      <c r="M349" s="227"/>
      <c r="N349" s="227"/>
      <c r="O349" s="227"/>
      <c r="P349" s="227"/>
      <c r="Q349" s="227"/>
      <c r="R349" s="227"/>
      <c r="S349" s="227"/>
      <c r="T349" s="227"/>
      <c r="U349" s="227"/>
      <c r="V349" s="227"/>
      <c r="W349" s="227"/>
      <c r="X349" s="227"/>
      <c r="Y349" s="227"/>
      <c r="Z349" s="227"/>
      <c r="AA349" s="227"/>
      <c r="AB349" s="227"/>
      <c r="AC349" s="227"/>
      <c r="AD349" s="227"/>
      <c r="AE349" s="227"/>
      <c r="AF349" s="227"/>
      <c r="AG349" s="227"/>
      <c r="AH349" s="227"/>
      <c r="AI349" s="227"/>
      <c r="AJ349" s="227"/>
      <c r="AK349" s="227"/>
      <c r="AL349" s="225"/>
      <c r="AM349" s="227"/>
    </row>
    <row r="350" spans="1:39" ht="20.100000000000001" customHeight="1">
      <c r="A350" s="227"/>
      <c r="B350" s="225"/>
      <c r="C350" s="227"/>
      <c r="D350" s="224"/>
      <c r="E350" s="227"/>
      <c r="F350" s="227"/>
      <c r="G350" s="227"/>
      <c r="H350" s="227"/>
      <c r="I350" s="227"/>
      <c r="J350" s="227"/>
      <c r="K350" s="227"/>
      <c r="L350" s="227"/>
      <c r="M350" s="227"/>
      <c r="N350" s="227"/>
      <c r="O350" s="227"/>
      <c r="P350" s="227"/>
      <c r="Q350" s="227"/>
      <c r="R350" s="227"/>
      <c r="S350" s="227"/>
      <c r="T350" s="227"/>
      <c r="U350" s="227"/>
      <c r="V350" s="227"/>
      <c r="W350" s="227"/>
      <c r="X350" s="227"/>
      <c r="Y350" s="227"/>
      <c r="Z350" s="227"/>
      <c r="AA350" s="227"/>
      <c r="AB350" s="227"/>
      <c r="AC350" s="227"/>
      <c r="AD350" s="227"/>
      <c r="AE350" s="227"/>
      <c r="AF350" s="227"/>
      <c r="AG350" s="227"/>
      <c r="AH350" s="227"/>
      <c r="AI350" s="227"/>
      <c r="AJ350" s="227"/>
      <c r="AK350" s="227"/>
      <c r="AL350" s="225"/>
      <c r="AM350" s="227"/>
    </row>
    <row r="351" spans="1:39" ht="20.100000000000001" customHeight="1">
      <c r="A351" s="227">
        <v>172</v>
      </c>
      <c r="B351" s="225"/>
      <c r="C351" s="227"/>
      <c r="D351" s="228">
        <f>(SUMPRODUCT(E351:AL351*$E$6:$AL$6)/100)+(SUMPRODUCT(E351:AL351*$E$6:$AL$6*$E$3:$AL$3)/100)</f>
        <v>0</v>
      </c>
      <c r="E351" s="227"/>
      <c r="F351" s="227"/>
      <c r="G351" s="227"/>
      <c r="H351" s="227"/>
      <c r="I351" s="227"/>
      <c r="J351" s="227"/>
      <c r="K351" s="227"/>
      <c r="L351" s="227"/>
      <c r="M351" s="227"/>
      <c r="N351" s="227"/>
      <c r="O351" s="227"/>
      <c r="P351" s="227"/>
      <c r="Q351" s="227"/>
      <c r="R351" s="227"/>
      <c r="S351" s="227"/>
      <c r="T351" s="227"/>
      <c r="U351" s="227"/>
      <c r="V351" s="227"/>
      <c r="W351" s="227"/>
      <c r="X351" s="227"/>
      <c r="Y351" s="227"/>
      <c r="Z351" s="227"/>
      <c r="AA351" s="227"/>
      <c r="AB351" s="227"/>
      <c r="AC351" s="227"/>
      <c r="AD351" s="227"/>
      <c r="AE351" s="227"/>
      <c r="AF351" s="227"/>
      <c r="AG351" s="227"/>
      <c r="AH351" s="227"/>
      <c r="AI351" s="227"/>
      <c r="AJ351" s="227"/>
      <c r="AK351" s="227"/>
      <c r="AL351" s="225"/>
      <c r="AM351" s="227"/>
    </row>
    <row r="352" spans="1:39" ht="20.100000000000001" customHeight="1">
      <c r="A352" s="223"/>
      <c r="B352" s="225"/>
      <c r="C352" s="227"/>
      <c r="D352" s="224"/>
      <c r="E352" s="227"/>
      <c r="F352" s="227"/>
      <c r="G352" s="227"/>
      <c r="H352" s="227"/>
      <c r="I352" s="227"/>
      <c r="J352" s="227"/>
      <c r="K352" s="227"/>
      <c r="L352" s="227"/>
      <c r="M352" s="227"/>
      <c r="N352" s="227"/>
      <c r="O352" s="227"/>
      <c r="P352" s="227"/>
      <c r="Q352" s="227"/>
      <c r="R352" s="227"/>
      <c r="S352" s="227"/>
      <c r="T352" s="227"/>
      <c r="U352" s="227"/>
      <c r="V352" s="227"/>
      <c r="W352" s="227"/>
      <c r="X352" s="227"/>
      <c r="Y352" s="227"/>
      <c r="Z352" s="227"/>
      <c r="AA352" s="227"/>
      <c r="AB352" s="227"/>
      <c r="AC352" s="227"/>
      <c r="AD352" s="227"/>
      <c r="AE352" s="227"/>
      <c r="AF352" s="227"/>
      <c r="AG352" s="227"/>
      <c r="AH352" s="227"/>
      <c r="AI352" s="227"/>
      <c r="AJ352" s="227"/>
      <c r="AK352" s="227"/>
      <c r="AL352" s="225"/>
      <c r="AM352" s="227"/>
    </row>
    <row r="353" spans="1:39" ht="20.100000000000001" customHeight="1">
      <c r="A353" s="227">
        <v>173</v>
      </c>
      <c r="B353" s="225"/>
      <c r="C353" s="227"/>
      <c r="D353" s="228">
        <f>(SUMPRODUCT(E353:AL353*$E$6:$AL$6)/100)+(SUMPRODUCT(E353:AL353*$E$6:$AL$6*$E$3:$AL$3)/100)</f>
        <v>0</v>
      </c>
      <c r="E353" s="227"/>
      <c r="F353" s="227"/>
      <c r="G353" s="227"/>
      <c r="H353" s="227"/>
      <c r="I353" s="227"/>
      <c r="J353" s="227"/>
      <c r="K353" s="227"/>
      <c r="L353" s="227"/>
      <c r="M353" s="227"/>
      <c r="N353" s="227"/>
      <c r="O353" s="227"/>
      <c r="P353" s="227"/>
      <c r="Q353" s="227"/>
      <c r="R353" s="227"/>
      <c r="S353" s="227"/>
      <c r="T353" s="227"/>
      <c r="U353" s="227"/>
      <c r="V353" s="227"/>
      <c r="W353" s="227"/>
      <c r="X353" s="227"/>
      <c r="Y353" s="227"/>
      <c r="Z353" s="227"/>
      <c r="AA353" s="227"/>
      <c r="AB353" s="227"/>
      <c r="AC353" s="227"/>
      <c r="AD353" s="227"/>
      <c r="AE353" s="227"/>
      <c r="AF353" s="227"/>
      <c r="AG353" s="227"/>
      <c r="AH353" s="227"/>
      <c r="AI353" s="227"/>
      <c r="AJ353" s="227"/>
      <c r="AK353" s="227"/>
      <c r="AL353" s="225"/>
      <c r="AM353" s="227"/>
    </row>
    <row r="354" spans="1:39" ht="20.100000000000001" customHeight="1">
      <c r="A354" s="227"/>
      <c r="B354" s="225"/>
      <c r="C354" s="227"/>
      <c r="D354" s="224"/>
      <c r="E354" s="227"/>
      <c r="F354" s="227"/>
      <c r="G354" s="227"/>
      <c r="H354" s="227"/>
      <c r="I354" s="227"/>
      <c r="J354" s="227"/>
      <c r="K354" s="227"/>
      <c r="L354" s="227"/>
      <c r="M354" s="227"/>
      <c r="N354" s="227"/>
      <c r="O354" s="227"/>
      <c r="P354" s="227"/>
      <c r="Q354" s="227"/>
      <c r="R354" s="227"/>
      <c r="S354" s="227"/>
      <c r="T354" s="227"/>
      <c r="U354" s="227"/>
      <c r="V354" s="227"/>
      <c r="W354" s="227"/>
      <c r="X354" s="227"/>
      <c r="Y354" s="227"/>
      <c r="Z354" s="227"/>
      <c r="AA354" s="227"/>
      <c r="AB354" s="227"/>
      <c r="AC354" s="227"/>
      <c r="AD354" s="227"/>
      <c r="AE354" s="227"/>
      <c r="AF354" s="227"/>
      <c r="AG354" s="227"/>
      <c r="AH354" s="227"/>
      <c r="AI354" s="227"/>
      <c r="AJ354" s="227"/>
      <c r="AK354" s="227"/>
      <c r="AL354" s="225"/>
      <c r="AM354" s="227"/>
    </row>
    <row r="355" spans="1:39" ht="20.100000000000001" customHeight="1">
      <c r="A355" s="227">
        <v>174</v>
      </c>
      <c r="B355" s="225"/>
      <c r="C355" s="227"/>
      <c r="D355" s="228">
        <f>(SUMPRODUCT(E355:AL355*$E$6:$AL$6)/100)+(SUMPRODUCT(E355:AL355*$E$6:$AL$6*$E$3:$AL$3)/100)</f>
        <v>0</v>
      </c>
      <c r="E355" s="227"/>
      <c r="F355" s="227"/>
      <c r="G355" s="227"/>
      <c r="H355" s="227"/>
      <c r="I355" s="227"/>
      <c r="J355" s="227"/>
      <c r="K355" s="227"/>
      <c r="L355" s="227"/>
      <c r="M355" s="227"/>
      <c r="N355" s="227"/>
      <c r="O355" s="227"/>
      <c r="P355" s="227"/>
      <c r="Q355" s="227"/>
      <c r="R355" s="227"/>
      <c r="S355" s="227"/>
      <c r="T355" s="227"/>
      <c r="U355" s="227"/>
      <c r="V355" s="227"/>
      <c r="W355" s="227"/>
      <c r="X355" s="227"/>
      <c r="Y355" s="227"/>
      <c r="Z355" s="227"/>
      <c r="AA355" s="227"/>
      <c r="AB355" s="227"/>
      <c r="AC355" s="227"/>
      <c r="AD355" s="227"/>
      <c r="AE355" s="227"/>
      <c r="AF355" s="227"/>
      <c r="AG355" s="227"/>
      <c r="AH355" s="227"/>
      <c r="AI355" s="227"/>
      <c r="AJ355" s="227"/>
      <c r="AK355" s="227"/>
      <c r="AL355" s="225"/>
      <c r="AM355" s="227"/>
    </row>
    <row r="356" spans="1:39" ht="20.100000000000001" customHeight="1">
      <c r="A356" s="223"/>
      <c r="B356" s="225"/>
      <c r="C356" s="227"/>
      <c r="D356" s="224"/>
      <c r="E356" s="227"/>
      <c r="F356" s="227"/>
      <c r="G356" s="227"/>
      <c r="H356" s="227"/>
      <c r="I356" s="227"/>
      <c r="J356" s="227"/>
      <c r="K356" s="227"/>
      <c r="L356" s="227"/>
      <c r="M356" s="227"/>
      <c r="N356" s="227"/>
      <c r="O356" s="227"/>
      <c r="P356" s="227"/>
      <c r="Q356" s="227"/>
      <c r="R356" s="227"/>
      <c r="S356" s="227"/>
      <c r="T356" s="227"/>
      <c r="U356" s="227"/>
      <c r="V356" s="227"/>
      <c r="W356" s="227"/>
      <c r="X356" s="227"/>
      <c r="Y356" s="227"/>
      <c r="Z356" s="227"/>
      <c r="AA356" s="227"/>
      <c r="AB356" s="227"/>
      <c r="AC356" s="227"/>
      <c r="AD356" s="227"/>
      <c r="AE356" s="227"/>
      <c r="AF356" s="227"/>
      <c r="AG356" s="227"/>
      <c r="AH356" s="227"/>
      <c r="AI356" s="227"/>
      <c r="AJ356" s="227"/>
      <c r="AK356" s="227"/>
      <c r="AL356" s="225"/>
      <c r="AM356" s="227"/>
    </row>
    <row r="357" spans="1:39" ht="20.100000000000001" customHeight="1">
      <c r="A357" s="227">
        <v>175</v>
      </c>
      <c r="B357" s="225"/>
      <c r="C357" s="227"/>
      <c r="D357" s="228">
        <f>(SUMPRODUCT(E357:AL357*$E$6:$AL$6)/100)+(SUMPRODUCT(E357:AL357*$E$6:$AL$6*$E$3:$AL$3)/100)</f>
        <v>0</v>
      </c>
      <c r="E357" s="227"/>
      <c r="F357" s="227"/>
      <c r="G357" s="227"/>
      <c r="H357" s="227"/>
      <c r="I357" s="227"/>
      <c r="J357" s="227"/>
      <c r="K357" s="227"/>
      <c r="L357" s="227"/>
      <c r="M357" s="227"/>
      <c r="N357" s="227"/>
      <c r="O357" s="227"/>
      <c r="P357" s="227"/>
      <c r="Q357" s="227"/>
      <c r="R357" s="227"/>
      <c r="S357" s="227"/>
      <c r="T357" s="227"/>
      <c r="U357" s="227"/>
      <c r="V357" s="227"/>
      <c r="W357" s="227"/>
      <c r="X357" s="227"/>
      <c r="Y357" s="227"/>
      <c r="Z357" s="227"/>
      <c r="AA357" s="227"/>
      <c r="AB357" s="227"/>
      <c r="AC357" s="227"/>
      <c r="AD357" s="227"/>
      <c r="AE357" s="227"/>
      <c r="AF357" s="227"/>
      <c r="AG357" s="227"/>
      <c r="AH357" s="227"/>
      <c r="AI357" s="227"/>
      <c r="AJ357" s="227"/>
      <c r="AK357" s="227"/>
      <c r="AL357" s="225"/>
      <c r="AM357" s="227"/>
    </row>
    <row r="358" spans="1:39" ht="20.100000000000001" customHeight="1">
      <c r="A358" s="227"/>
      <c r="B358" s="225"/>
      <c r="C358" s="227"/>
      <c r="D358" s="224"/>
      <c r="E358" s="227"/>
      <c r="F358" s="227"/>
      <c r="G358" s="227"/>
      <c r="H358" s="227"/>
      <c r="I358" s="227"/>
      <c r="J358" s="227"/>
      <c r="K358" s="227"/>
      <c r="L358" s="227"/>
      <c r="M358" s="227"/>
      <c r="N358" s="227"/>
      <c r="O358" s="227"/>
      <c r="P358" s="227"/>
      <c r="Q358" s="227"/>
      <c r="R358" s="227"/>
      <c r="S358" s="227"/>
      <c r="T358" s="227"/>
      <c r="U358" s="227"/>
      <c r="V358" s="227"/>
      <c r="W358" s="227"/>
      <c r="X358" s="227"/>
      <c r="Y358" s="227"/>
      <c r="Z358" s="227"/>
      <c r="AA358" s="227"/>
      <c r="AB358" s="227"/>
      <c r="AC358" s="227"/>
      <c r="AD358" s="227"/>
      <c r="AE358" s="227"/>
      <c r="AF358" s="227"/>
      <c r="AG358" s="227"/>
      <c r="AH358" s="227"/>
      <c r="AI358" s="227"/>
      <c r="AJ358" s="227"/>
      <c r="AK358" s="227"/>
      <c r="AL358" s="225"/>
      <c r="AM358" s="227"/>
    </row>
    <row r="359" spans="1:39" ht="20.100000000000001" customHeight="1">
      <c r="A359" s="227">
        <v>176</v>
      </c>
      <c r="B359" s="225"/>
      <c r="C359" s="227"/>
      <c r="D359" s="228">
        <f>(SUMPRODUCT(E359:AL359*$E$6:$AL$6)/100)+(SUMPRODUCT(E359:AL359*$E$6:$AL$6*$E$3:$AL$3)/100)</f>
        <v>0</v>
      </c>
      <c r="E359" s="227"/>
      <c r="F359" s="227"/>
      <c r="G359" s="227"/>
      <c r="H359" s="227"/>
      <c r="I359" s="227"/>
      <c r="J359" s="227"/>
      <c r="K359" s="227"/>
      <c r="L359" s="227"/>
      <c r="M359" s="227"/>
      <c r="N359" s="227"/>
      <c r="O359" s="227"/>
      <c r="P359" s="227"/>
      <c r="Q359" s="227"/>
      <c r="R359" s="227"/>
      <c r="S359" s="227"/>
      <c r="T359" s="227"/>
      <c r="U359" s="227"/>
      <c r="V359" s="227"/>
      <c r="W359" s="227"/>
      <c r="X359" s="227"/>
      <c r="Y359" s="227"/>
      <c r="Z359" s="227"/>
      <c r="AA359" s="227"/>
      <c r="AB359" s="227"/>
      <c r="AC359" s="227"/>
      <c r="AD359" s="227"/>
      <c r="AE359" s="227"/>
      <c r="AF359" s="227"/>
      <c r="AG359" s="227"/>
      <c r="AH359" s="227"/>
      <c r="AI359" s="227"/>
      <c r="AJ359" s="227"/>
      <c r="AK359" s="227"/>
      <c r="AL359" s="225"/>
      <c r="AM359" s="227"/>
    </row>
    <row r="360" spans="1:39" ht="20.100000000000001" customHeight="1">
      <c r="A360" s="223"/>
      <c r="B360" s="225"/>
      <c r="C360" s="227"/>
      <c r="D360" s="224"/>
      <c r="E360" s="227"/>
      <c r="F360" s="227"/>
      <c r="G360" s="227"/>
      <c r="H360" s="227"/>
      <c r="I360" s="227"/>
      <c r="J360" s="227"/>
      <c r="K360" s="227"/>
      <c r="L360" s="227"/>
      <c r="M360" s="227"/>
      <c r="N360" s="227"/>
      <c r="O360" s="227"/>
      <c r="P360" s="227"/>
      <c r="Q360" s="227"/>
      <c r="R360" s="227"/>
      <c r="S360" s="227"/>
      <c r="T360" s="227"/>
      <c r="U360" s="227"/>
      <c r="V360" s="227"/>
      <c r="W360" s="227"/>
      <c r="X360" s="227"/>
      <c r="Y360" s="227"/>
      <c r="Z360" s="227"/>
      <c r="AA360" s="227"/>
      <c r="AB360" s="227"/>
      <c r="AC360" s="227"/>
      <c r="AD360" s="227"/>
      <c r="AE360" s="227"/>
      <c r="AF360" s="227"/>
      <c r="AG360" s="227"/>
      <c r="AH360" s="227"/>
      <c r="AI360" s="227"/>
      <c r="AJ360" s="227"/>
      <c r="AK360" s="227"/>
      <c r="AL360" s="225"/>
      <c r="AM360" s="227"/>
    </row>
    <row r="361" spans="1:39" ht="20.100000000000001" customHeight="1">
      <c r="A361" s="227">
        <v>177</v>
      </c>
      <c r="B361" s="225"/>
      <c r="C361" s="227"/>
      <c r="D361" s="228">
        <f>(SUMPRODUCT(E361:AL361*$E$6:$AL$6)/100)+(SUMPRODUCT(E361:AL361*$E$6:$AL$6*$E$3:$AL$3)/100)</f>
        <v>0</v>
      </c>
      <c r="E361" s="227"/>
      <c r="F361" s="227"/>
      <c r="G361" s="227"/>
      <c r="H361" s="227"/>
      <c r="I361" s="227"/>
      <c r="J361" s="227"/>
      <c r="K361" s="227"/>
      <c r="L361" s="227"/>
      <c r="M361" s="227"/>
      <c r="N361" s="227"/>
      <c r="O361" s="227"/>
      <c r="P361" s="227"/>
      <c r="Q361" s="227"/>
      <c r="R361" s="227"/>
      <c r="S361" s="227"/>
      <c r="T361" s="227"/>
      <c r="U361" s="227"/>
      <c r="V361" s="227"/>
      <c r="W361" s="227"/>
      <c r="X361" s="227"/>
      <c r="Y361" s="227"/>
      <c r="Z361" s="227"/>
      <c r="AA361" s="227"/>
      <c r="AB361" s="227"/>
      <c r="AC361" s="227"/>
      <c r="AD361" s="227"/>
      <c r="AE361" s="227"/>
      <c r="AF361" s="227"/>
      <c r="AG361" s="227"/>
      <c r="AH361" s="227"/>
      <c r="AI361" s="227"/>
      <c r="AJ361" s="227"/>
      <c r="AK361" s="227"/>
      <c r="AL361" s="225"/>
      <c r="AM361" s="227"/>
    </row>
    <row r="362" spans="1:39" ht="20.100000000000001" customHeight="1">
      <c r="A362" s="227"/>
      <c r="B362" s="225"/>
      <c r="C362" s="227"/>
      <c r="D362" s="224"/>
      <c r="E362" s="227"/>
      <c r="F362" s="227"/>
      <c r="G362" s="227"/>
      <c r="H362" s="227"/>
      <c r="I362" s="227"/>
      <c r="J362" s="227"/>
      <c r="K362" s="227"/>
      <c r="L362" s="227"/>
      <c r="M362" s="227"/>
      <c r="N362" s="227"/>
      <c r="O362" s="227"/>
      <c r="P362" s="227"/>
      <c r="Q362" s="227"/>
      <c r="R362" s="227"/>
      <c r="S362" s="227"/>
      <c r="T362" s="227"/>
      <c r="U362" s="227"/>
      <c r="V362" s="227"/>
      <c r="W362" s="227"/>
      <c r="X362" s="227"/>
      <c r="Y362" s="227"/>
      <c r="Z362" s="227"/>
      <c r="AA362" s="227"/>
      <c r="AB362" s="227"/>
      <c r="AC362" s="227"/>
      <c r="AD362" s="227"/>
      <c r="AE362" s="227"/>
      <c r="AF362" s="227"/>
      <c r="AG362" s="227"/>
      <c r="AH362" s="227"/>
      <c r="AI362" s="227"/>
      <c r="AJ362" s="227"/>
      <c r="AK362" s="227"/>
      <c r="AL362" s="225"/>
      <c r="AM362" s="227"/>
    </row>
    <row r="363" spans="1:39" ht="20.100000000000001" customHeight="1">
      <c r="A363" s="227">
        <v>178</v>
      </c>
      <c r="B363" s="225"/>
      <c r="C363" s="227"/>
      <c r="D363" s="228">
        <f>(SUMPRODUCT(E363:AL363*$E$6:$AL$6)/100)+(SUMPRODUCT(E363:AL363*$E$6:$AL$6*$E$3:$AL$3)/100)</f>
        <v>0</v>
      </c>
      <c r="E363" s="227"/>
      <c r="F363" s="227"/>
      <c r="G363" s="227"/>
      <c r="H363" s="227"/>
      <c r="I363" s="227"/>
      <c r="J363" s="227"/>
      <c r="K363" s="227"/>
      <c r="L363" s="227"/>
      <c r="M363" s="227"/>
      <c r="N363" s="227"/>
      <c r="O363" s="227"/>
      <c r="P363" s="227"/>
      <c r="Q363" s="227"/>
      <c r="R363" s="227"/>
      <c r="S363" s="227"/>
      <c r="T363" s="227"/>
      <c r="U363" s="227"/>
      <c r="V363" s="227"/>
      <c r="W363" s="227"/>
      <c r="X363" s="227"/>
      <c r="Y363" s="227"/>
      <c r="Z363" s="227"/>
      <c r="AA363" s="227"/>
      <c r="AB363" s="227"/>
      <c r="AC363" s="227"/>
      <c r="AD363" s="227"/>
      <c r="AE363" s="227"/>
      <c r="AF363" s="227"/>
      <c r="AG363" s="227"/>
      <c r="AH363" s="227"/>
      <c r="AI363" s="227"/>
      <c r="AJ363" s="227"/>
      <c r="AK363" s="227"/>
      <c r="AL363" s="225"/>
      <c r="AM363" s="227"/>
    </row>
    <row r="364" spans="1:39" ht="20.100000000000001" customHeight="1">
      <c r="A364" s="223"/>
      <c r="B364" s="225"/>
      <c r="C364" s="227"/>
      <c r="D364" s="224"/>
      <c r="E364" s="227"/>
      <c r="F364" s="227"/>
      <c r="G364" s="227"/>
      <c r="H364" s="227"/>
      <c r="I364" s="227"/>
      <c r="J364" s="227"/>
      <c r="K364" s="227"/>
      <c r="L364" s="227"/>
      <c r="M364" s="227"/>
      <c r="N364" s="227"/>
      <c r="O364" s="227"/>
      <c r="P364" s="227"/>
      <c r="Q364" s="227"/>
      <c r="R364" s="227"/>
      <c r="S364" s="227"/>
      <c r="T364" s="227"/>
      <c r="U364" s="227"/>
      <c r="V364" s="227"/>
      <c r="W364" s="227"/>
      <c r="X364" s="227"/>
      <c r="Y364" s="227"/>
      <c r="Z364" s="227"/>
      <c r="AA364" s="227"/>
      <c r="AB364" s="227"/>
      <c r="AC364" s="227"/>
      <c r="AD364" s="227"/>
      <c r="AE364" s="227"/>
      <c r="AF364" s="227"/>
      <c r="AG364" s="227"/>
      <c r="AH364" s="227"/>
      <c r="AI364" s="227"/>
      <c r="AJ364" s="227"/>
      <c r="AK364" s="227"/>
      <c r="AL364" s="225"/>
      <c r="AM364" s="227"/>
    </row>
    <row r="365" spans="1:39" ht="20.100000000000001" customHeight="1">
      <c r="A365" s="227">
        <v>179</v>
      </c>
      <c r="B365" s="225"/>
      <c r="C365" s="227"/>
      <c r="D365" s="228">
        <f>(SUMPRODUCT(E365:AL365*$E$6:$AL$6)/100)+(SUMPRODUCT(E365:AL365*$E$6:$AL$6*$E$3:$AL$3)/100)</f>
        <v>0</v>
      </c>
      <c r="E365" s="227"/>
      <c r="F365" s="227"/>
      <c r="G365" s="227"/>
      <c r="H365" s="227"/>
      <c r="I365" s="227"/>
      <c r="J365" s="227"/>
      <c r="K365" s="227"/>
      <c r="L365" s="227"/>
      <c r="M365" s="227"/>
      <c r="N365" s="227"/>
      <c r="O365" s="227"/>
      <c r="P365" s="227"/>
      <c r="Q365" s="227"/>
      <c r="R365" s="227"/>
      <c r="S365" s="227"/>
      <c r="T365" s="227"/>
      <c r="U365" s="227"/>
      <c r="V365" s="227"/>
      <c r="W365" s="227"/>
      <c r="X365" s="227"/>
      <c r="Y365" s="227"/>
      <c r="Z365" s="227"/>
      <c r="AA365" s="227"/>
      <c r="AB365" s="227"/>
      <c r="AC365" s="227"/>
      <c r="AD365" s="227"/>
      <c r="AE365" s="227"/>
      <c r="AF365" s="227"/>
      <c r="AG365" s="227"/>
      <c r="AH365" s="227"/>
      <c r="AI365" s="227"/>
      <c r="AJ365" s="227"/>
      <c r="AK365" s="227"/>
      <c r="AL365" s="225"/>
      <c r="AM365" s="227"/>
    </row>
    <row r="366" spans="1:39" ht="20.100000000000001" customHeight="1">
      <c r="A366" s="227"/>
      <c r="B366" s="225"/>
      <c r="C366" s="227"/>
      <c r="D366" s="224"/>
      <c r="E366" s="227"/>
      <c r="F366" s="227"/>
      <c r="G366" s="227"/>
      <c r="H366" s="227"/>
      <c r="I366" s="227"/>
      <c r="J366" s="227"/>
      <c r="K366" s="227"/>
      <c r="L366" s="227"/>
      <c r="M366" s="227"/>
      <c r="N366" s="227"/>
      <c r="O366" s="227"/>
      <c r="P366" s="227"/>
      <c r="Q366" s="227"/>
      <c r="R366" s="227"/>
      <c r="S366" s="227"/>
      <c r="T366" s="227"/>
      <c r="U366" s="227"/>
      <c r="V366" s="227"/>
      <c r="W366" s="227"/>
      <c r="X366" s="227"/>
      <c r="Y366" s="227"/>
      <c r="Z366" s="227"/>
      <c r="AA366" s="227"/>
      <c r="AB366" s="227"/>
      <c r="AC366" s="227"/>
      <c r="AD366" s="227"/>
      <c r="AE366" s="227"/>
      <c r="AF366" s="227"/>
      <c r="AG366" s="227"/>
      <c r="AH366" s="227"/>
      <c r="AI366" s="227"/>
      <c r="AJ366" s="227"/>
      <c r="AK366" s="227"/>
      <c r="AL366" s="225"/>
      <c r="AM366" s="227"/>
    </row>
    <row r="367" spans="1:39" ht="20.100000000000001" customHeight="1">
      <c r="A367" s="227">
        <v>180</v>
      </c>
      <c r="B367" s="225"/>
      <c r="C367" s="227"/>
      <c r="D367" s="228">
        <f>(SUMPRODUCT(E367:AL367*$E$6:$AL$6)/100)+(SUMPRODUCT(E367:AL367*$E$6:$AL$6*$E$3:$AL$3)/100)</f>
        <v>0</v>
      </c>
      <c r="E367" s="227"/>
      <c r="F367" s="227"/>
      <c r="G367" s="227"/>
      <c r="H367" s="227"/>
      <c r="I367" s="227"/>
      <c r="J367" s="227"/>
      <c r="K367" s="227"/>
      <c r="L367" s="227"/>
      <c r="M367" s="227"/>
      <c r="N367" s="227"/>
      <c r="O367" s="227"/>
      <c r="P367" s="227"/>
      <c r="Q367" s="227"/>
      <c r="R367" s="227"/>
      <c r="S367" s="227"/>
      <c r="T367" s="227"/>
      <c r="U367" s="227"/>
      <c r="V367" s="227"/>
      <c r="W367" s="227"/>
      <c r="X367" s="227"/>
      <c r="Y367" s="227"/>
      <c r="Z367" s="227"/>
      <c r="AA367" s="227"/>
      <c r="AB367" s="227"/>
      <c r="AC367" s="227"/>
      <c r="AD367" s="227"/>
      <c r="AE367" s="227"/>
      <c r="AF367" s="227"/>
      <c r="AG367" s="227"/>
      <c r="AH367" s="227"/>
      <c r="AI367" s="227"/>
      <c r="AJ367" s="227"/>
      <c r="AK367" s="227"/>
      <c r="AL367" s="225"/>
      <c r="AM367" s="227"/>
    </row>
    <row r="368" spans="1:39" ht="20.100000000000001" customHeight="1">
      <c r="A368" s="223"/>
      <c r="B368" s="225"/>
      <c r="C368" s="227"/>
      <c r="D368" s="224"/>
      <c r="E368" s="227"/>
      <c r="F368" s="227"/>
      <c r="G368" s="227"/>
      <c r="H368" s="227"/>
      <c r="I368" s="227"/>
      <c r="J368" s="227"/>
      <c r="K368" s="227"/>
      <c r="L368" s="227"/>
      <c r="M368" s="227"/>
      <c r="N368" s="227"/>
      <c r="O368" s="227"/>
      <c r="P368" s="227"/>
      <c r="Q368" s="227"/>
      <c r="R368" s="227"/>
      <c r="S368" s="227"/>
      <c r="T368" s="227"/>
      <c r="U368" s="227"/>
      <c r="V368" s="227"/>
      <c r="W368" s="227"/>
      <c r="X368" s="227"/>
      <c r="Y368" s="227"/>
      <c r="Z368" s="227"/>
      <c r="AA368" s="227"/>
      <c r="AB368" s="227"/>
      <c r="AC368" s="227"/>
      <c r="AD368" s="227"/>
      <c r="AE368" s="227"/>
      <c r="AF368" s="227"/>
      <c r="AG368" s="227"/>
      <c r="AH368" s="227"/>
      <c r="AI368" s="227"/>
      <c r="AJ368" s="227"/>
      <c r="AK368" s="227"/>
      <c r="AL368" s="225"/>
      <c r="AM368" s="227"/>
    </row>
    <row r="369" spans="1:39" ht="20.100000000000001" customHeight="1">
      <c r="A369" s="227">
        <v>181</v>
      </c>
      <c r="B369" s="225"/>
      <c r="C369" s="227"/>
      <c r="D369" s="228">
        <f>(SUMPRODUCT(E369:AL369*$E$6:$AL$6)/100)+(SUMPRODUCT(E369:AL369*$E$6:$AL$6*$E$3:$AL$3)/100)</f>
        <v>0</v>
      </c>
      <c r="E369" s="227"/>
      <c r="F369" s="227"/>
      <c r="G369" s="227"/>
      <c r="H369" s="227"/>
      <c r="I369" s="227"/>
      <c r="J369" s="227"/>
      <c r="K369" s="227"/>
      <c r="L369" s="227"/>
      <c r="M369" s="227"/>
      <c r="N369" s="227"/>
      <c r="O369" s="227"/>
      <c r="P369" s="227"/>
      <c r="Q369" s="227"/>
      <c r="R369" s="227"/>
      <c r="S369" s="227"/>
      <c r="T369" s="227"/>
      <c r="U369" s="227"/>
      <c r="V369" s="227"/>
      <c r="W369" s="227"/>
      <c r="X369" s="227"/>
      <c r="Y369" s="227"/>
      <c r="Z369" s="227"/>
      <c r="AA369" s="227"/>
      <c r="AB369" s="227"/>
      <c r="AC369" s="227"/>
      <c r="AD369" s="227"/>
      <c r="AE369" s="227"/>
      <c r="AF369" s="227"/>
      <c r="AG369" s="227"/>
      <c r="AH369" s="227"/>
      <c r="AI369" s="227"/>
      <c r="AJ369" s="227"/>
      <c r="AK369" s="227"/>
      <c r="AL369" s="225"/>
      <c r="AM369" s="227"/>
    </row>
    <row r="370" spans="1:39" ht="20.100000000000001" customHeight="1">
      <c r="A370" s="227"/>
      <c r="B370" s="225"/>
      <c r="C370" s="227"/>
      <c r="D370" s="224"/>
      <c r="E370" s="227"/>
      <c r="F370" s="227"/>
      <c r="G370" s="227"/>
      <c r="H370" s="227"/>
      <c r="I370" s="227"/>
      <c r="J370" s="227"/>
      <c r="K370" s="227"/>
      <c r="L370" s="227"/>
      <c r="M370" s="227"/>
      <c r="N370" s="227"/>
      <c r="O370" s="227"/>
      <c r="P370" s="227"/>
      <c r="Q370" s="227"/>
      <c r="R370" s="227"/>
      <c r="S370" s="227"/>
      <c r="T370" s="227"/>
      <c r="U370" s="227"/>
      <c r="V370" s="227"/>
      <c r="W370" s="227"/>
      <c r="X370" s="227"/>
      <c r="Y370" s="227"/>
      <c r="Z370" s="227"/>
      <c r="AA370" s="227"/>
      <c r="AB370" s="227"/>
      <c r="AC370" s="227"/>
      <c r="AD370" s="227"/>
      <c r="AE370" s="227"/>
      <c r="AF370" s="227"/>
      <c r="AG370" s="227"/>
      <c r="AH370" s="227"/>
      <c r="AI370" s="227"/>
      <c r="AJ370" s="227"/>
      <c r="AK370" s="227"/>
      <c r="AL370" s="225"/>
      <c r="AM370" s="227"/>
    </row>
    <row r="371" spans="1:39" ht="20.100000000000001" customHeight="1">
      <c r="A371" s="227">
        <v>182</v>
      </c>
      <c r="B371" s="225"/>
      <c r="C371" s="227"/>
      <c r="D371" s="228">
        <f>(SUMPRODUCT(E371:AL371*$E$6:$AL$6)/100)+(SUMPRODUCT(E371:AL371*$E$6:$AL$6*$E$3:$AL$3)/100)</f>
        <v>0</v>
      </c>
      <c r="E371" s="227"/>
      <c r="F371" s="227"/>
      <c r="G371" s="227"/>
      <c r="H371" s="227"/>
      <c r="I371" s="227"/>
      <c r="J371" s="227"/>
      <c r="K371" s="227"/>
      <c r="L371" s="227"/>
      <c r="M371" s="227"/>
      <c r="N371" s="227"/>
      <c r="O371" s="227"/>
      <c r="P371" s="227"/>
      <c r="Q371" s="227"/>
      <c r="R371" s="227"/>
      <c r="S371" s="227"/>
      <c r="T371" s="227"/>
      <c r="U371" s="227"/>
      <c r="V371" s="227"/>
      <c r="W371" s="227"/>
      <c r="X371" s="227"/>
      <c r="Y371" s="227"/>
      <c r="Z371" s="227"/>
      <c r="AA371" s="227"/>
      <c r="AB371" s="227"/>
      <c r="AC371" s="227"/>
      <c r="AD371" s="227"/>
      <c r="AE371" s="227"/>
      <c r="AF371" s="227"/>
      <c r="AG371" s="227"/>
      <c r="AH371" s="227"/>
      <c r="AI371" s="227"/>
      <c r="AJ371" s="227"/>
      <c r="AK371" s="227"/>
      <c r="AL371" s="225"/>
      <c r="AM371" s="227"/>
    </row>
    <row r="372" spans="1:39" ht="20.100000000000001" customHeight="1">
      <c r="A372" s="223"/>
      <c r="B372" s="225"/>
      <c r="C372" s="227"/>
      <c r="D372" s="224"/>
      <c r="E372" s="227"/>
      <c r="F372" s="227"/>
      <c r="G372" s="227"/>
      <c r="H372" s="227"/>
      <c r="I372" s="227"/>
      <c r="J372" s="227"/>
      <c r="K372" s="227"/>
      <c r="L372" s="227"/>
      <c r="M372" s="227"/>
      <c r="N372" s="227"/>
      <c r="O372" s="227"/>
      <c r="P372" s="227"/>
      <c r="Q372" s="227"/>
      <c r="R372" s="227"/>
      <c r="S372" s="227"/>
      <c r="T372" s="227"/>
      <c r="U372" s="227"/>
      <c r="V372" s="227"/>
      <c r="W372" s="227"/>
      <c r="X372" s="227"/>
      <c r="Y372" s="227"/>
      <c r="Z372" s="227"/>
      <c r="AA372" s="227"/>
      <c r="AB372" s="227"/>
      <c r="AC372" s="227"/>
      <c r="AD372" s="227"/>
      <c r="AE372" s="227"/>
      <c r="AF372" s="227"/>
      <c r="AG372" s="227"/>
      <c r="AH372" s="227"/>
      <c r="AI372" s="227"/>
      <c r="AJ372" s="227"/>
      <c r="AK372" s="227"/>
      <c r="AL372" s="225"/>
      <c r="AM372" s="227"/>
    </row>
    <row r="373" spans="1:39" ht="20.100000000000001" customHeight="1">
      <c r="A373" s="227">
        <v>183</v>
      </c>
      <c r="B373" s="225"/>
      <c r="C373" s="227"/>
      <c r="D373" s="228">
        <f>(SUMPRODUCT(E373:AL373*$E$6:$AL$6)/100)+(SUMPRODUCT(E373:AL373*$E$6:$AL$6*$E$3:$AL$3)/100)</f>
        <v>0</v>
      </c>
      <c r="E373" s="227"/>
      <c r="F373" s="227"/>
      <c r="G373" s="227"/>
      <c r="H373" s="227"/>
      <c r="I373" s="227"/>
      <c r="J373" s="227"/>
      <c r="K373" s="227"/>
      <c r="L373" s="227"/>
      <c r="M373" s="227"/>
      <c r="N373" s="227"/>
      <c r="O373" s="227"/>
      <c r="P373" s="227"/>
      <c r="Q373" s="227"/>
      <c r="R373" s="227"/>
      <c r="S373" s="227"/>
      <c r="T373" s="227"/>
      <c r="U373" s="227"/>
      <c r="V373" s="227"/>
      <c r="W373" s="227"/>
      <c r="X373" s="227"/>
      <c r="Y373" s="227"/>
      <c r="Z373" s="227"/>
      <c r="AA373" s="227"/>
      <c r="AB373" s="227"/>
      <c r="AC373" s="227"/>
      <c r="AD373" s="227"/>
      <c r="AE373" s="227"/>
      <c r="AF373" s="227"/>
      <c r="AG373" s="227"/>
      <c r="AH373" s="227"/>
      <c r="AI373" s="227"/>
      <c r="AJ373" s="227"/>
      <c r="AK373" s="227"/>
      <c r="AL373" s="225"/>
      <c r="AM373" s="227"/>
    </row>
    <row r="374" spans="1:39" ht="20.100000000000001" customHeight="1">
      <c r="A374" s="227"/>
      <c r="B374" s="225"/>
      <c r="C374" s="227"/>
      <c r="D374" s="224"/>
      <c r="E374" s="227"/>
      <c r="F374" s="227"/>
      <c r="G374" s="227"/>
      <c r="H374" s="227"/>
      <c r="I374" s="227"/>
      <c r="J374" s="227"/>
      <c r="K374" s="227"/>
      <c r="L374" s="227"/>
      <c r="M374" s="227"/>
      <c r="N374" s="227"/>
      <c r="O374" s="227"/>
      <c r="P374" s="227"/>
      <c r="Q374" s="227"/>
      <c r="R374" s="227"/>
      <c r="S374" s="227"/>
      <c r="T374" s="227"/>
      <c r="U374" s="227"/>
      <c r="V374" s="227"/>
      <c r="W374" s="227"/>
      <c r="X374" s="227"/>
      <c r="Y374" s="227"/>
      <c r="Z374" s="227"/>
      <c r="AA374" s="227"/>
      <c r="AB374" s="227"/>
      <c r="AC374" s="227"/>
      <c r="AD374" s="227"/>
      <c r="AE374" s="227"/>
      <c r="AF374" s="227"/>
      <c r="AG374" s="227"/>
      <c r="AH374" s="227"/>
      <c r="AI374" s="227"/>
      <c r="AJ374" s="227"/>
      <c r="AK374" s="227"/>
      <c r="AL374" s="225"/>
      <c r="AM374" s="227"/>
    </row>
    <row r="375" spans="1:39" ht="20.100000000000001" customHeight="1">
      <c r="A375" s="227">
        <v>184</v>
      </c>
      <c r="B375" s="225"/>
      <c r="C375" s="227"/>
      <c r="D375" s="228">
        <f>(SUMPRODUCT(E375:AL375*$E$6:$AL$6)/100)+(SUMPRODUCT(E375:AL375*$E$6:$AL$6*$E$3:$AL$3)/100)</f>
        <v>0</v>
      </c>
      <c r="E375" s="227"/>
      <c r="F375" s="227"/>
      <c r="G375" s="227"/>
      <c r="H375" s="227"/>
      <c r="I375" s="227"/>
      <c r="J375" s="227"/>
      <c r="K375" s="227"/>
      <c r="L375" s="227"/>
      <c r="M375" s="227"/>
      <c r="N375" s="227"/>
      <c r="O375" s="227"/>
      <c r="P375" s="227"/>
      <c r="Q375" s="227"/>
      <c r="R375" s="227"/>
      <c r="S375" s="227"/>
      <c r="T375" s="227"/>
      <c r="U375" s="227"/>
      <c r="V375" s="227"/>
      <c r="W375" s="227"/>
      <c r="X375" s="227"/>
      <c r="Y375" s="227"/>
      <c r="Z375" s="227"/>
      <c r="AA375" s="227"/>
      <c r="AB375" s="227"/>
      <c r="AC375" s="227"/>
      <c r="AD375" s="227"/>
      <c r="AE375" s="227"/>
      <c r="AF375" s="227"/>
      <c r="AG375" s="227"/>
      <c r="AH375" s="227"/>
      <c r="AI375" s="227"/>
      <c r="AJ375" s="227"/>
      <c r="AK375" s="227"/>
      <c r="AL375" s="225"/>
      <c r="AM375" s="227"/>
    </row>
    <row r="376" spans="1:39" ht="20.100000000000001" customHeight="1">
      <c r="A376" s="223"/>
      <c r="B376" s="225"/>
      <c r="C376" s="227"/>
      <c r="D376" s="224"/>
      <c r="E376" s="227"/>
      <c r="F376" s="227"/>
      <c r="G376" s="227"/>
      <c r="H376" s="227"/>
      <c r="I376" s="227"/>
      <c r="J376" s="227"/>
      <c r="K376" s="227"/>
      <c r="L376" s="227"/>
      <c r="M376" s="227"/>
      <c r="N376" s="227"/>
      <c r="O376" s="227"/>
      <c r="P376" s="227"/>
      <c r="Q376" s="227"/>
      <c r="R376" s="227"/>
      <c r="S376" s="227"/>
      <c r="T376" s="227"/>
      <c r="U376" s="227"/>
      <c r="V376" s="227"/>
      <c r="W376" s="227"/>
      <c r="X376" s="227"/>
      <c r="Y376" s="227"/>
      <c r="Z376" s="227"/>
      <c r="AA376" s="227"/>
      <c r="AB376" s="227"/>
      <c r="AC376" s="227"/>
      <c r="AD376" s="227"/>
      <c r="AE376" s="227"/>
      <c r="AF376" s="227"/>
      <c r="AG376" s="227"/>
      <c r="AH376" s="227"/>
      <c r="AI376" s="227"/>
      <c r="AJ376" s="227"/>
      <c r="AK376" s="227"/>
      <c r="AL376" s="225"/>
      <c r="AM376" s="227"/>
    </row>
    <row r="377" spans="1:39" ht="20.100000000000001" customHeight="1">
      <c r="A377" s="227">
        <v>185</v>
      </c>
      <c r="B377" s="225"/>
      <c r="C377" s="227"/>
      <c r="D377" s="228">
        <f>(SUMPRODUCT(E377:AL377*$E$6:$AL$6)/100)+(SUMPRODUCT(E377:AL377*$E$6:$AL$6*$E$3:$AL$3)/100)</f>
        <v>0</v>
      </c>
      <c r="E377" s="227"/>
      <c r="F377" s="227"/>
      <c r="G377" s="227"/>
      <c r="H377" s="227"/>
      <c r="I377" s="227"/>
      <c r="J377" s="227"/>
      <c r="K377" s="227"/>
      <c r="L377" s="227"/>
      <c r="M377" s="227"/>
      <c r="N377" s="227"/>
      <c r="O377" s="227"/>
      <c r="P377" s="227"/>
      <c r="Q377" s="227"/>
      <c r="R377" s="227"/>
      <c r="S377" s="227"/>
      <c r="T377" s="227"/>
      <c r="U377" s="227"/>
      <c r="V377" s="227"/>
      <c r="W377" s="227"/>
      <c r="X377" s="227"/>
      <c r="Y377" s="227"/>
      <c r="Z377" s="227"/>
      <c r="AA377" s="227"/>
      <c r="AB377" s="227"/>
      <c r="AC377" s="227"/>
      <c r="AD377" s="227"/>
      <c r="AE377" s="227"/>
      <c r="AF377" s="227"/>
      <c r="AG377" s="227"/>
      <c r="AH377" s="227"/>
      <c r="AI377" s="227"/>
      <c r="AJ377" s="227"/>
      <c r="AK377" s="227"/>
      <c r="AL377" s="225"/>
      <c r="AM377" s="227"/>
    </row>
    <row r="378" spans="1:39" ht="20.100000000000001" customHeight="1">
      <c r="A378" s="227"/>
      <c r="B378" s="225"/>
      <c r="C378" s="227"/>
      <c r="D378" s="224"/>
      <c r="E378" s="227"/>
      <c r="F378" s="227"/>
      <c r="G378" s="227"/>
      <c r="H378" s="227"/>
      <c r="I378" s="227"/>
      <c r="J378" s="227"/>
      <c r="K378" s="227"/>
      <c r="L378" s="227"/>
      <c r="M378" s="227"/>
      <c r="N378" s="227"/>
      <c r="O378" s="227"/>
      <c r="P378" s="227"/>
      <c r="Q378" s="227"/>
      <c r="R378" s="227"/>
      <c r="S378" s="227"/>
      <c r="T378" s="227"/>
      <c r="U378" s="227"/>
      <c r="V378" s="227"/>
      <c r="W378" s="227"/>
      <c r="X378" s="227"/>
      <c r="Y378" s="227"/>
      <c r="Z378" s="227"/>
      <c r="AA378" s="227"/>
      <c r="AB378" s="227"/>
      <c r="AC378" s="227"/>
      <c r="AD378" s="227"/>
      <c r="AE378" s="227"/>
      <c r="AF378" s="227"/>
      <c r="AG378" s="227"/>
      <c r="AH378" s="227"/>
      <c r="AI378" s="227"/>
      <c r="AJ378" s="227"/>
      <c r="AK378" s="227"/>
      <c r="AL378" s="225"/>
      <c r="AM378" s="227"/>
    </row>
    <row r="379" spans="1:39" ht="20.100000000000001" customHeight="1">
      <c r="A379" s="227">
        <v>186</v>
      </c>
      <c r="B379" s="225"/>
      <c r="C379" s="227"/>
      <c r="D379" s="228">
        <f>(SUMPRODUCT(E379:AL379*$E$6:$AL$6)/100)+(SUMPRODUCT(E379:AL379*$E$6:$AL$6*$E$3:$AL$3)/100)</f>
        <v>0</v>
      </c>
      <c r="E379" s="227"/>
      <c r="F379" s="227"/>
      <c r="G379" s="227"/>
      <c r="H379" s="227"/>
      <c r="I379" s="227"/>
      <c r="J379" s="227"/>
      <c r="K379" s="227"/>
      <c r="L379" s="227"/>
      <c r="M379" s="227"/>
      <c r="N379" s="227"/>
      <c r="O379" s="227"/>
      <c r="P379" s="227"/>
      <c r="Q379" s="227"/>
      <c r="R379" s="227"/>
      <c r="S379" s="227"/>
      <c r="T379" s="227"/>
      <c r="U379" s="227"/>
      <c r="V379" s="227"/>
      <c r="W379" s="227"/>
      <c r="X379" s="227"/>
      <c r="Y379" s="227"/>
      <c r="Z379" s="227"/>
      <c r="AA379" s="227"/>
      <c r="AB379" s="227"/>
      <c r="AC379" s="227"/>
      <c r="AD379" s="227"/>
      <c r="AE379" s="227"/>
      <c r="AF379" s="227"/>
      <c r="AG379" s="227"/>
      <c r="AH379" s="227"/>
      <c r="AI379" s="227"/>
      <c r="AJ379" s="227"/>
      <c r="AK379" s="227"/>
      <c r="AL379" s="225"/>
      <c r="AM379" s="227"/>
    </row>
    <row r="380" spans="1:39" ht="20.100000000000001" customHeight="1">
      <c r="A380" s="223"/>
      <c r="B380" s="225"/>
      <c r="C380" s="227"/>
      <c r="D380" s="224"/>
      <c r="E380" s="227"/>
      <c r="F380" s="227"/>
      <c r="G380" s="227"/>
      <c r="H380" s="227"/>
      <c r="I380" s="227"/>
      <c r="J380" s="227"/>
      <c r="K380" s="227"/>
      <c r="L380" s="227"/>
      <c r="M380" s="227"/>
      <c r="N380" s="227"/>
      <c r="O380" s="227"/>
      <c r="P380" s="227"/>
      <c r="Q380" s="227"/>
      <c r="R380" s="227"/>
      <c r="S380" s="227"/>
      <c r="T380" s="227"/>
      <c r="U380" s="227"/>
      <c r="V380" s="227"/>
      <c r="W380" s="227"/>
      <c r="X380" s="227"/>
      <c r="Y380" s="227"/>
      <c r="Z380" s="227"/>
      <c r="AA380" s="227"/>
      <c r="AB380" s="227"/>
      <c r="AC380" s="227"/>
      <c r="AD380" s="227"/>
      <c r="AE380" s="227"/>
      <c r="AF380" s="227"/>
      <c r="AG380" s="227"/>
      <c r="AH380" s="227"/>
      <c r="AI380" s="227"/>
      <c r="AJ380" s="227"/>
      <c r="AK380" s="227"/>
      <c r="AL380" s="225"/>
      <c r="AM380" s="227"/>
    </row>
    <row r="381" spans="1:39" ht="20.100000000000001" customHeight="1">
      <c r="A381" s="227">
        <v>187</v>
      </c>
      <c r="B381" s="225"/>
      <c r="C381" s="227"/>
      <c r="D381" s="228">
        <f>(SUMPRODUCT(E381:AL381*$E$6:$AL$6)/100)+(SUMPRODUCT(E381:AL381*$E$6:$AL$6*$E$3:$AL$3)/100)</f>
        <v>0</v>
      </c>
      <c r="E381" s="227"/>
      <c r="F381" s="227"/>
      <c r="G381" s="227"/>
      <c r="H381" s="227"/>
      <c r="I381" s="227"/>
      <c r="J381" s="227"/>
      <c r="K381" s="227"/>
      <c r="L381" s="227"/>
      <c r="M381" s="227"/>
      <c r="N381" s="227"/>
      <c r="O381" s="227"/>
      <c r="P381" s="227"/>
      <c r="Q381" s="227"/>
      <c r="R381" s="227"/>
      <c r="S381" s="227"/>
      <c r="T381" s="227"/>
      <c r="U381" s="227"/>
      <c r="V381" s="227"/>
      <c r="W381" s="227"/>
      <c r="X381" s="227"/>
      <c r="Y381" s="227"/>
      <c r="Z381" s="227"/>
      <c r="AA381" s="227"/>
      <c r="AB381" s="227"/>
      <c r="AC381" s="227"/>
      <c r="AD381" s="227"/>
      <c r="AE381" s="227"/>
      <c r="AF381" s="227"/>
      <c r="AG381" s="227"/>
      <c r="AH381" s="227"/>
      <c r="AI381" s="227"/>
      <c r="AJ381" s="227"/>
      <c r="AK381" s="227"/>
      <c r="AL381" s="225"/>
      <c r="AM381" s="227"/>
    </row>
    <row r="382" spans="1:39" ht="20.100000000000001" customHeight="1">
      <c r="A382" s="227"/>
      <c r="B382" s="225"/>
      <c r="C382" s="227"/>
      <c r="D382" s="224"/>
      <c r="E382" s="227"/>
      <c r="F382" s="227"/>
      <c r="G382" s="227"/>
      <c r="H382" s="227"/>
      <c r="I382" s="227"/>
      <c r="J382" s="227"/>
      <c r="K382" s="227"/>
      <c r="L382" s="227"/>
      <c r="M382" s="227"/>
      <c r="N382" s="227"/>
      <c r="O382" s="227"/>
      <c r="P382" s="227"/>
      <c r="Q382" s="227"/>
      <c r="R382" s="227"/>
      <c r="S382" s="227"/>
      <c r="T382" s="227"/>
      <c r="U382" s="227"/>
      <c r="V382" s="227"/>
      <c r="W382" s="227"/>
      <c r="X382" s="227"/>
      <c r="Y382" s="227"/>
      <c r="Z382" s="227"/>
      <c r="AA382" s="227"/>
      <c r="AB382" s="227"/>
      <c r="AC382" s="227"/>
      <c r="AD382" s="227"/>
      <c r="AE382" s="227"/>
      <c r="AF382" s="227"/>
      <c r="AG382" s="227"/>
      <c r="AH382" s="227"/>
      <c r="AI382" s="227"/>
      <c r="AJ382" s="227"/>
      <c r="AK382" s="227"/>
      <c r="AL382" s="225"/>
      <c r="AM382" s="227"/>
    </row>
    <row r="383" spans="1:39" ht="20.100000000000001" customHeight="1">
      <c r="A383" s="227">
        <v>188</v>
      </c>
      <c r="B383" s="225"/>
      <c r="C383" s="227"/>
      <c r="D383" s="228">
        <f>(SUMPRODUCT(E383:AL383*$E$6:$AL$6)/100)+(SUMPRODUCT(E383:AL383*$E$6:$AL$6*$E$3:$AL$3)/100)</f>
        <v>0</v>
      </c>
      <c r="E383" s="227"/>
      <c r="F383" s="227"/>
      <c r="G383" s="227"/>
      <c r="H383" s="227"/>
      <c r="I383" s="227"/>
      <c r="J383" s="227"/>
      <c r="K383" s="227"/>
      <c r="L383" s="227"/>
      <c r="M383" s="227"/>
      <c r="N383" s="227"/>
      <c r="O383" s="227"/>
      <c r="P383" s="227"/>
      <c r="Q383" s="227"/>
      <c r="R383" s="227"/>
      <c r="S383" s="227"/>
      <c r="T383" s="227"/>
      <c r="U383" s="227"/>
      <c r="V383" s="227"/>
      <c r="W383" s="227"/>
      <c r="X383" s="227"/>
      <c r="Y383" s="227"/>
      <c r="Z383" s="227"/>
      <c r="AA383" s="227"/>
      <c r="AB383" s="227"/>
      <c r="AC383" s="227"/>
      <c r="AD383" s="227"/>
      <c r="AE383" s="227"/>
      <c r="AF383" s="227"/>
      <c r="AG383" s="227"/>
      <c r="AH383" s="227"/>
      <c r="AI383" s="227"/>
      <c r="AJ383" s="227"/>
      <c r="AK383" s="227"/>
      <c r="AL383" s="225"/>
      <c r="AM383" s="227"/>
    </row>
    <row r="384" spans="1:39" ht="20.100000000000001" customHeight="1">
      <c r="A384" s="223"/>
      <c r="B384" s="225"/>
      <c r="C384" s="227"/>
      <c r="D384" s="224"/>
      <c r="E384" s="227"/>
      <c r="F384" s="227"/>
      <c r="G384" s="227"/>
      <c r="H384" s="227"/>
      <c r="I384" s="227"/>
      <c r="J384" s="227"/>
      <c r="K384" s="227"/>
      <c r="L384" s="227"/>
      <c r="M384" s="227"/>
      <c r="N384" s="227"/>
      <c r="O384" s="227"/>
      <c r="P384" s="227"/>
      <c r="Q384" s="227"/>
      <c r="R384" s="227"/>
      <c r="S384" s="227"/>
      <c r="T384" s="227"/>
      <c r="U384" s="227"/>
      <c r="V384" s="227"/>
      <c r="W384" s="227"/>
      <c r="X384" s="227"/>
      <c r="Y384" s="227"/>
      <c r="Z384" s="227"/>
      <c r="AA384" s="227"/>
      <c r="AB384" s="227"/>
      <c r="AC384" s="227"/>
      <c r="AD384" s="227"/>
      <c r="AE384" s="227"/>
      <c r="AF384" s="227"/>
      <c r="AG384" s="227"/>
      <c r="AH384" s="227"/>
      <c r="AI384" s="227"/>
      <c r="AJ384" s="227"/>
      <c r="AK384" s="227"/>
      <c r="AL384" s="225"/>
      <c r="AM384" s="227"/>
    </row>
    <row r="385" spans="1:39" ht="20.100000000000001" customHeight="1">
      <c r="A385" s="227">
        <v>189</v>
      </c>
      <c r="B385" s="225"/>
      <c r="C385" s="227"/>
      <c r="D385" s="228">
        <f>(SUMPRODUCT(E385:AL385*$E$6:$AL$6)/100)+(SUMPRODUCT(E385:AL385*$E$6:$AL$6*$E$3:$AL$3)/100)</f>
        <v>0</v>
      </c>
      <c r="E385" s="227"/>
      <c r="F385" s="227"/>
      <c r="G385" s="227"/>
      <c r="H385" s="227"/>
      <c r="I385" s="227"/>
      <c r="J385" s="227"/>
      <c r="K385" s="227"/>
      <c r="L385" s="227"/>
      <c r="M385" s="227"/>
      <c r="N385" s="227"/>
      <c r="O385" s="227"/>
      <c r="P385" s="227"/>
      <c r="Q385" s="227"/>
      <c r="R385" s="227"/>
      <c r="S385" s="227"/>
      <c r="T385" s="227"/>
      <c r="U385" s="227"/>
      <c r="V385" s="227"/>
      <c r="W385" s="227"/>
      <c r="X385" s="227"/>
      <c r="Y385" s="227"/>
      <c r="Z385" s="227"/>
      <c r="AA385" s="227"/>
      <c r="AB385" s="227"/>
      <c r="AC385" s="227"/>
      <c r="AD385" s="227"/>
      <c r="AE385" s="227"/>
      <c r="AF385" s="227"/>
      <c r="AG385" s="227"/>
      <c r="AH385" s="227"/>
      <c r="AI385" s="227"/>
      <c r="AJ385" s="227"/>
      <c r="AK385" s="227"/>
      <c r="AL385" s="225"/>
      <c r="AM385" s="227"/>
    </row>
    <row r="386" spans="1:39" ht="20.100000000000001" customHeight="1">
      <c r="A386" s="227"/>
      <c r="B386" s="225"/>
      <c r="C386" s="227"/>
      <c r="D386" s="224"/>
      <c r="E386" s="227"/>
      <c r="F386" s="227"/>
      <c r="G386" s="227"/>
      <c r="H386" s="227"/>
      <c r="I386" s="227"/>
      <c r="J386" s="227"/>
      <c r="K386" s="227"/>
      <c r="L386" s="227"/>
      <c r="M386" s="227"/>
      <c r="N386" s="227"/>
      <c r="O386" s="227"/>
      <c r="P386" s="227"/>
      <c r="Q386" s="227"/>
      <c r="R386" s="227"/>
      <c r="S386" s="227"/>
      <c r="T386" s="227"/>
      <c r="U386" s="227"/>
      <c r="V386" s="227"/>
      <c r="W386" s="227"/>
      <c r="X386" s="227"/>
      <c r="Y386" s="227"/>
      <c r="Z386" s="227"/>
      <c r="AA386" s="227"/>
      <c r="AB386" s="227"/>
      <c r="AC386" s="227"/>
      <c r="AD386" s="227"/>
      <c r="AE386" s="227"/>
      <c r="AF386" s="227"/>
      <c r="AG386" s="227"/>
      <c r="AH386" s="227"/>
      <c r="AI386" s="227"/>
      <c r="AJ386" s="227"/>
      <c r="AK386" s="227"/>
      <c r="AL386" s="225"/>
      <c r="AM386" s="227"/>
    </row>
    <row r="387" spans="1:39" ht="20.100000000000001" customHeight="1">
      <c r="A387" s="227">
        <v>190</v>
      </c>
      <c r="B387" s="225"/>
      <c r="C387" s="227"/>
      <c r="D387" s="228">
        <f>(SUMPRODUCT(E387:AL387*$E$6:$AL$6)/100)+(SUMPRODUCT(E387:AL387*$E$6:$AL$6*$E$3:$AL$3)/100)</f>
        <v>0</v>
      </c>
      <c r="E387" s="227"/>
      <c r="F387" s="227"/>
      <c r="G387" s="227"/>
      <c r="H387" s="227"/>
      <c r="I387" s="227"/>
      <c r="J387" s="227"/>
      <c r="K387" s="227"/>
      <c r="L387" s="227"/>
      <c r="M387" s="227"/>
      <c r="N387" s="227"/>
      <c r="O387" s="227"/>
      <c r="P387" s="227"/>
      <c r="Q387" s="227"/>
      <c r="R387" s="227"/>
      <c r="S387" s="227"/>
      <c r="T387" s="227"/>
      <c r="U387" s="227"/>
      <c r="V387" s="227"/>
      <c r="W387" s="227"/>
      <c r="X387" s="227"/>
      <c r="Y387" s="227"/>
      <c r="Z387" s="227"/>
      <c r="AA387" s="227"/>
      <c r="AB387" s="227"/>
      <c r="AC387" s="227"/>
      <c r="AD387" s="227"/>
      <c r="AE387" s="227"/>
      <c r="AF387" s="227"/>
      <c r="AG387" s="227"/>
      <c r="AH387" s="227"/>
      <c r="AI387" s="227"/>
      <c r="AJ387" s="227"/>
      <c r="AK387" s="227"/>
      <c r="AL387" s="225"/>
      <c r="AM387" s="227"/>
    </row>
    <row r="388" spans="1:39" ht="20.100000000000001" customHeight="1">
      <c r="A388" s="223"/>
      <c r="B388" s="225"/>
      <c r="C388" s="227"/>
      <c r="D388" s="224"/>
      <c r="E388" s="227"/>
      <c r="F388" s="227"/>
      <c r="G388" s="227"/>
      <c r="H388" s="227"/>
      <c r="I388" s="227"/>
      <c r="J388" s="227"/>
      <c r="K388" s="227"/>
      <c r="L388" s="227"/>
      <c r="M388" s="227"/>
      <c r="N388" s="227"/>
      <c r="O388" s="227"/>
      <c r="P388" s="227"/>
      <c r="Q388" s="227"/>
      <c r="R388" s="227"/>
      <c r="S388" s="227"/>
      <c r="T388" s="227"/>
      <c r="U388" s="227"/>
      <c r="V388" s="227"/>
      <c r="W388" s="227"/>
      <c r="X388" s="227"/>
      <c r="Y388" s="227"/>
      <c r="Z388" s="227"/>
      <c r="AA388" s="227"/>
      <c r="AB388" s="227"/>
      <c r="AC388" s="227"/>
      <c r="AD388" s="227"/>
      <c r="AE388" s="227"/>
      <c r="AF388" s="227"/>
      <c r="AG388" s="227"/>
      <c r="AH388" s="227"/>
      <c r="AI388" s="227"/>
      <c r="AJ388" s="227"/>
      <c r="AK388" s="227"/>
      <c r="AL388" s="225"/>
      <c r="AM388" s="227"/>
    </row>
    <row r="389" spans="1:39" ht="20.100000000000001" customHeight="1">
      <c r="A389" s="227">
        <v>191</v>
      </c>
      <c r="B389" s="225"/>
      <c r="C389" s="227"/>
      <c r="D389" s="228">
        <f>(SUMPRODUCT(E389:AL389*$E$6:$AL$6)/100)+(SUMPRODUCT(E389:AL389*$E$6:$AL$6*$E$3:$AL$3)/100)</f>
        <v>0</v>
      </c>
      <c r="E389" s="227"/>
      <c r="F389" s="227"/>
      <c r="G389" s="227"/>
      <c r="H389" s="227"/>
      <c r="I389" s="227"/>
      <c r="J389" s="227"/>
      <c r="K389" s="227"/>
      <c r="L389" s="227"/>
      <c r="M389" s="227"/>
      <c r="N389" s="227"/>
      <c r="O389" s="227"/>
      <c r="P389" s="227"/>
      <c r="Q389" s="227"/>
      <c r="R389" s="227"/>
      <c r="S389" s="227"/>
      <c r="T389" s="227"/>
      <c r="U389" s="227"/>
      <c r="V389" s="227"/>
      <c r="W389" s="227"/>
      <c r="X389" s="227"/>
      <c r="Y389" s="227"/>
      <c r="Z389" s="227"/>
      <c r="AA389" s="227"/>
      <c r="AB389" s="227"/>
      <c r="AC389" s="227"/>
      <c r="AD389" s="227"/>
      <c r="AE389" s="227"/>
      <c r="AF389" s="227"/>
      <c r="AG389" s="227"/>
      <c r="AH389" s="227"/>
      <c r="AI389" s="227"/>
      <c r="AJ389" s="227"/>
      <c r="AK389" s="227"/>
      <c r="AL389" s="225"/>
      <c r="AM389" s="227"/>
    </row>
    <row r="390" spans="1:39" ht="20.100000000000001" customHeight="1">
      <c r="A390" s="227"/>
      <c r="B390" s="225"/>
      <c r="C390" s="227"/>
      <c r="D390" s="224"/>
      <c r="E390" s="227"/>
      <c r="F390" s="227"/>
      <c r="G390" s="227"/>
      <c r="H390" s="227"/>
      <c r="I390" s="227"/>
      <c r="J390" s="227"/>
      <c r="K390" s="227"/>
      <c r="L390" s="227"/>
      <c r="M390" s="227"/>
      <c r="N390" s="227"/>
      <c r="O390" s="227"/>
      <c r="P390" s="227"/>
      <c r="Q390" s="227"/>
      <c r="R390" s="227"/>
      <c r="S390" s="227"/>
      <c r="T390" s="227"/>
      <c r="U390" s="227"/>
      <c r="V390" s="227"/>
      <c r="W390" s="227"/>
      <c r="X390" s="227"/>
      <c r="Y390" s="227"/>
      <c r="Z390" s="227"/>
      <c r="AA390" s="227"/>
      <c r="AB390" s="227"/>
      <c r="AC390" s="227"/>
      <c r="AD390" s="227"/>
      <c r="AE390" s="227"/>
      <c r="AF390" s="227"/>
      <c r="AG390" s="227"/>
      <c r="AH390" s="227"/>
      <c r="AI390" s="227"/>
      <c r="AJ390" s="227"/>
      <c r="AK390" s="227"/>
      <c r="AL390" s="225"/>
      <c r="AM390" s="227"/>
    </row>
    <row r="391" spans="1:39" ht="20.100000000000001" customHeight="1">
      <c r="A391" s="227">
        <v>192</v>
      </c>
      <c r="B391" s="225"/>
      <c r="C391" s="227"/>
      <c r="D391" s="228">
        <f>(SUMPRODUCT(E391:AL391*$E$6:$AL$6)/100)+(SUMPRODUCT(E391:AL391*$E$6:$AL$6*$E$3:$AL$3)/100)</f>
        <v>0</v>
      </c>
      <c r="E391" s="227"/>
      <c r="F391" s="227"/>
      <c r="G391" s="227"/>
      <c r="H391" s="227"/>
      <c r="I391" s="227"/>
      <c r="J391" s="227"/>
      <c r="K391" s="227"/>
      <c r="L391" s="227"/>
      <c r="M391" s="227"/>
      <c r="N391" s="227"/>
      <c r="O391" s="227"/>
      <c r="P391" s="227"/>
      <c r="Q391" s="227"/>
      <c r="R391" s="227"/>
      <c r="S391" s="227"/>
      <c r="T391" s="227"/>
      <c r="U391" s="227"/>
      <c r="V391" s="227"/>
      <c r="W391" s="227"/>
      <c r="X391" s="227"/>
      <c r="Y391" s="227"/>
      <c r="Z391" s="227"/>
      <c r="AA391" s="227"/>
      <c r="AB391" s="227"/>
      <c r="AC391" s="227"/>
      <c r="AD391" s="227"/>
      <c r="AE391" s="227"/>
      <c r="AF391" s="227"/>
      <c r="AG391" s="227"/>
      <c r="AH391" s="227"/>
      <c r="AI391" s="227"/>
      <c r="AJ391" s="227"/>
      <c r="AK391" s="227"/>
      <c r="AL391" s="225"/>
      <c r="AM391" s="227"/>
    </row>
    <row r="392" spans="1:39" ht="20.100000000000001" customHeight="1">
      <c r="A392" s="223"/>
      <c r="B392" s="225"/>
      <c r="C392" s="227"/>
      <c r="D392" s="224"/>
      <c r="E392" s="227"/>
      <c r="F392" s="227"/>
      <c r="G392" s="227"/>
      <c r="H392" s="227"/>
      <c r="I392" s="227"/>
      <c r="J392" s="227"/>
      <c r="K392" s="227"/>
      <c r="L392" s="227"/>
      <c r="M392" s="227"/>
      <c r="N392" s="227"/>
      <c r="O392" s="227"/>
      <c r="P392" s="227"/>
      <c r="Q392" s="227"/>
      <c r="R392" s="227"/>
      <c r="S392" s="227"/>
      <c r="T392" s="227"/>
      <c r="U392" s="227"/>
      <c r="V392" s="227"/>
      <c r="W392" s="227"/>
      <c r="X392" s="227"/>
      <c r="Y392" s="227"/>
      <c r="Z392" s="227"/>
      <c r="AA392" s="227"/>
      <c r="AB392" s="227"/>
      <c r="AC392" s="227"/>
      <c r="AD392" s="227"/>
      <c r="AE392" s="227"/>
      <c r="AF392" s="227"/>
      <c r="AG392" s="227"/>
      <c r="AH392" s="227"/>
      <c r="AI392" s="227"/>
      <c r="AJ392" s="227"/>
      <c r="AK392" s="227"/>
      <c r="AL392" s="225"/>
      <c r="AM392" s="227"/>
    </row>
    <row r="393" spans="1:39" ht="20.100000000000001" customHeight="1">
      <c r="A393" s="227">
        <v>193</v>
      </c>
      <c r="B393" s="225"/>
      <c r="C393" s="227"/>
      <c r="D393" s="228">
        <f>(SUMPRODUCT(E393:AL393*$E$6:$AL$6)/100)+(SUMPRODUCT(E393:AL393*$E$6:$AL$6*$E$3:$AL$3)/100)</f>
        <v>0</v>
      </c>
      <c r="E393" s="227"/>
      <c r="F393" s="227"/>
      <c r="G393" s="227"/>
      <c r="H393" s="227"/>
      <c r="I393" s="227"/>
      <c r="J393" s="227"/>
      <c r="K393" s="227"/>
      <c r="L393" s="227"/>
      <c r="M393" s="227"/>
      <c r="N393" s="227"/>
      <c r="O393" s="227"/>
      <c r="P393" s="227"/>
      <c r="Q393" s="227"/>
      <c r="R393" s="227"/>
      <c r="S393" s="227"/>
      <c r="T393" s="227"/>
      <c r="U393" s="227"/>
      <c r="V393" s="227"/>
      <c r="W393" s="227"/>
      <c r="X393" s="227"/>
      <c r="Y393" s="227"/>
      <c r="Z393" s="227"/>
      <c r="AA393" s="227"/>
      <c r="AB393" s="227"/>
      <c r="AC393" s="227"/>
      <c r="AD393" s="227"/>
      <c r="AE393" s="227"/>
      <c r="AF393" s="227"/>
      <c r="AG393" s="227"/>
      <c r="AH393" s="227"/>
      <c r="AI393" s="227"/>
      <c r="AJ393" s="227"/>
      <c r="AK393" s="227"/>
      <c r="AL393" s="225"/>
      <c r="AM393" s="227"/>
    </row>
    <row r="394" spans="1:39" ht="20.100000000000001" customHeight="1">
      <c r="A394" s="227"/>
      <c r="B394" s="225"/>
      <c r="C394" s="227"/>
      <c r="D394" s="224"/>
      <c r="E394" s="227"/>
      <c r="F394" s="227"/>
      <c r="G394" s="227"/>
      <c r="H394" s="227"/>
      <c r="I394" s="227"/>
      <c r="J394" s="227"/>
      <c r="K394" s="227"/>
      <c r="L394" s="227"/>
      <c r="M394" s="227"/>
      <c r="N394" s="227"/>
      <c r="O394" s="227"/>
      <c r="P394" s="227"/>
      <c r="Q394" s="227"/>
      <c r="R394" s="227"/>
      <c r="S394" s="227"/>
      <c r="T394" s="227"/>
      <c r="U394" s="227"/>
      <c r="V394" s="227"/>
      <c r="W394" s="227"/>
      <c r="X394" s="227"/>
      <c r="Y394" s="227"/>
      <c r="Z394" s="227"/>
      <c r="AA394" s="227"/>
      <c r="AB394" s="227"/>
      <c r="AC394" s="227"/>
      <c r="AD394" s="227"/>
      <c r="AE394" s="227"/>
      <c r="AF394" s="227"/>
      <c r="AG394" s="227"/>
      <c r="AH394" s="227"/>
      <c r="AI394" s="227"/>
      <c r="AJ394" s="227"/>
      <c r="AK394" s="227"/>
      <c r="AL394" s="225"/>
      <c r="AM394" s="227"/>
    </row>
    <row r="395" spans="1:39" ht="20.100000000000001" customHeight="1">
      <c r="A395" s="227">
        <v>194</v>
      </c>
      <c r="B395" s="225"/>
      <c r="C395" s="227"/>
      <c r="D395" s="228">
        <f>(SUMPRODUCT(E395:AL395*$E$6:$AL$6)/100)+(SUMPRODUCT(E395:AL395*$E$6:$AL$6*$E$3:$AL$3)/100)</f>
        <v>0</v>
      </c>
      <c r="E395" s="227"/>
      <c r="F395" s="227"/>
      <c r="G395" s="227"/>
      <c r="H395" s="227"/>
      <c r="I395" s="227"/>
      <c r="J395" s="227"/>
      <c r="K395" s="227"/>
      <c r="L395" s="227"/>
      <c r="M395" s="227"/>
      <c r="N395" s="227"/>
      <c r="O395" s="227"/>
      <c r="P395" s="227"/>
      <c r="Q395" s="227"/>
      <c r="R395" s="227"/>
      <c r="S395" s="227"/>
      <c r="T395" s="227"/>
      <c r="U395" s="227"/>
      <c r="V395" s="227"/>
      <c r="W395" s="227"/>
      <c r="X395" s="227"/>
      <c r="Y395" s="227"/>
      <c r="Z395" s="227"/>
      <c r="AA395" s="227"/>
      <c r="AB395" s="227"/>
      <c r="AC395" s="227"/>
      <c r="AD395" s="227"/>
      <c r="AE395" s="227"/>
      <c r="AF395" s="227"/>
      <c r="AG395" s="227"/>
      <c r="AH395" s="227"/>
      <c r="AI395" s="227"/>
      <c r="AJ395" s="227"/>
      <c r="AK395" s="227"/>
      <c r="AL395" s="225"/>
      <c r="AM395" s="227"/>
    </row>
    <row r="396" spans="1:39" ht="20.100000000000001" customHeight="1">
      <c r="A396" s="223"/>
      <c r="B396" s="225"/>
      <c r="C396" s="227"/>
      <c r="D396" s="224"/>
      <c r="E396" s="227"/>
      <c r="F396" s="227"/>
      <c r="G396" s="227"/>
      <c r="H396" s="227"/>
      <c r="I396" s="227"/>
      <c r="J396" s="227"/>
      <c r="K396" s="227"/>
      <c r="L396" s="227"/>
      <c r="M396" s="227"/>
      <c r="N396" s="227"/>
      <c r="O396" s="227"/>
      <c r="P396" s="227"/>
      <c r="Q396" s="227"/>
      <c r="R396" s="227"/>
      <c r="S396" s="227"/>
      <c r="T396" s="227"/>
      <c r="U396" s="227"/>
      <c r="V396" s="227"/>
      <c r="W396" s="227"/>
      <c r="X396" s="227"/>
      <c r="Y396" s="227"/>
      <c r="Z396" s="227"/>
      <c r="AA396" s="227"/>
      <c r="AB396" s="227"/>
      <c r="AC396" s="227"/>
      <c r="AD396" s="227"/>
      <c r="AE396" s="227"/>
      <c r="AF396" s="227"/>
      <c r="AG396" s="227"/>
      <c r="AH396" s="227"/>
      <c r="AI396" s="227"/>
      <c r="AJ396" s="227"/>
      <c r="AK396" s="227"/>
      <c r="AL396" s="225"/>
      <c r="AM396" s="227"/>
    </row>
    <row r="397" spans="1:39" ht="20.100000000000001" customHeight="1">
      <c r="A397" s="227">
        <v>195</v>
      </c>
      <c r="B397" s="225"/>
      <c r="C397" s="227"/>
      <c r="D397" s="228">
        <f>(SUMPRODUCT(E397:AL397*$E$6:$AL$6)/100)+(SUMPRODUCT(E397:AL397*$E$6:$AL$6*$E$3:$AL$3)/100)</f>
        <v>0</v>
      </c>
      <c r="E397" s="227"/>
      <c r="F397" s="227"/>
      <c r="G397" s="227"/>
      <c r="H397" s="227"/>
      <c r="I397" s="227"/>
      <c r="J397" s="227"/>
      <c r="K397" s="227"/>
      <c r="L397" s="227"/>
      <c r="M397" s="227"/>
      <c r="N397" s="227"/>
      <c r="O397" s="227"/>
      <c r="P397" s="227"/>
      <c r="Q397" s="227"/>
      <c r="R397" s="227"/>
      <c r="S397" s="227"/>
      <c r="T397" s="227"/>
      <c r="U397" s="227"/>
      <c r="V397" s="227"/>
      <c r="W397" s="227"/>
      <c r="X397" s="227"/>
      <c r="Y397" s="227"/>
      <c r="Z397" s="227"/>
      <c r="AA397" s="227"/>
      <c r="AB397" s="227"/>
      <c r="AC397" s="227"/>
      <c r="AD397" s="227"/>
      <c r="AE397" s="227"/>
      <c r="AF397" s="227"/>
      <c r="AG397" s="227"/>
      <c r="AH397" s="227"/>
      <c r="AI397" s="227"/>
      <c r="AJ397" s="227"/>
      <c r="AK397" s="227"/>
      <c r="AL397" s="225"/>
      <c r="AM397" s="227"/>
    </row>
    <row r="398" spans="1:39" ht="20.100000000000001" customHeight="1">
      <c r="A398" s="227"/>
      <c r="B398" s="225"/>
      <c r="C398" s="227"/>
      <c r="D398" s="224"/>
      <c r="E398" s="227"/>
      <c r="F398" s="227"/>
      <c r="G398" s="227"/>
      <c r="H398" s="227"/>
      <c r="I398" s="227"/>
      <c r="J398" s="227"/>
      <c r="K398" s="227"/>
      <c r="L398" s="227"/>
      <c r="M398" s="227"/>
      <c r="N398" s="227"/>
      <c r="O398" s="227"/>
      <c r="P398" s="227"/>
      <c r="Q398" s="227"/>
      <c r="R398" s="227"/>
      <c r="S398" s="227"/>
      <c r="T398" s="227"/>
      <c r="U398" s="227"/>
      <c r="V398" s="227"/>
      <c r="W398" s="227"/>
      <c r="X398" s="227"/>
      <c r="Y398" s="227"/>
      <c r="Z398" s="227"/>
      <c r="AA398" s="227"/>
      <c r="AB398" s="227"/>
      <c r="AC398" s="227"/>
      <c r="AD398" s="227"/>
      <c r="AE398" s="227"/>
      <c r="AF398" s="227"/>
      <c r="AG398" s="227"/>
      <c r="AH398" s="227"/>
      <c r="AI398" s="227"/>
      <c r="AJ398" s="227"/>
      <c r="AK398" s="227"/>
      <c r="AL398" s="225"/>
      <c r="AM398" s="227"/>
    </row>
    <row r="399" spans="1:39" ht="20.100000000000001" customHeight="1">
      <c r="A399" s="227">
        <v>196</v>
      </c>
      <c r="B399" s="225"/>
      <c r="C399" s="227"/>
      <c r="D399" s="228">
        <f>(SUMPRODUCT(E399:AL399*$E$6:$AL$6)/100)+(SUMPRODUCT(E399:AL399*$E$6:$AL$6*$E$3:$AL$3)/100)</f>
        <v>0</v>
      </c>
      <c r="E399" s="227"/>
      <c r="F399" s="227"/>
      <c r="G399" s="227"/>
      <c r="H399" s="227"/>
      <c r="I399" s="227"/>
      <c r="J399" s="227"/>
      <c r="K399" s="227"/>
      <c r="L399" s="227"/>
      <c r="M399" s="227"/>
      <c r="N399" s="227"/>
      <c r="O399" s="227"/>
      <c r="P399" s="227"/>
      <c r="Q399" s="227"/>
      <c r="R399" s="227"/>
      <c r="S399" s="227"/>
      <c r="T399" s="227"/>
      <c r="U399" s="227"/>
      <c r="V399" s="227"/>
      <c r="W399" s="227"/>
      <c r="X399" s="227"/>
      <c r="Y399" s="227"/>
      <c r="Z399" s="227"/>
      <c r="AA399" s="227"/>
      <c r="AB399" s="227"/>
      <c r="AC399" s="227"/>
      <c r="AD399" s="227"/>
      <c r="AE399" s="227"/>
      <c r="AF399" s="227"/>
      <c r="AG399" s="227"/>
      <c r="AH399" s="227"/>
      <c r="AI399" s="227"/>
      <c r="AJ399" s="227"/>
      <c r="AK399" s="227"/>
      <c r="AL399" s="225"/>
      <c r="AM399" s="227"/>
    </row>
    <row r="400" spans="1:39" ht="20.100000000000001" customHeight="1">
      <c r="A400" s="223"/>
      <c r="B400" s="225"/>
      <c r="C400" s="227"/>
      <c r="D400" s="224"/>
      <c r="E400" s="227"/>
      <c r="F400" s="227"/>
      <c r="G400" s="227"/>
      <c r="H400" s="227"/>
      <c r="I400" s="227"/>
      <c r="J400" s="227"/>
      <c r="K400" s="227"/>
      <c r="L400" s="227"/>
      <c r="M400" s="227"/>
      <c r="N400" s="227"/>
      <c r="O400" s="227"/>
      <c r="P400" s="227"/>
      <c r="Q400" s="227"/>
      <c r="R400" s="227"/>
      <c r="S400" s="227"/>
      <c r="T400" s="227"/>
      <c r="U400" s="227"/>
      <c r="V400" s="227"/>
      <c r="W400" s="227"/>
      <c r="X400" s="227"/>
      <c r="Y400" s="227"/>
      <c r="Z400" s="227"/>
      <c r="AA400" s="227"/>
      <c r="AB400" s="227"/>
      <c r="AC400" s="227"/>
      <c r="AD400" s="227"/>
      <c r="AE400" s="227"/>
      <c r="AF400" s="227"/>
      <c r="AG400" s="227"/>
      <c r="AH400" s="227"/>
      <c r="AI400" s="227"/>
      <c r="AJ400" s="227"/>
      <c r="AK400" s="227"/>
      <c r="AL400" s="225"/>
      <c r="AM400" s="227"/>
    </row>
    <row r="401" spans="1:39" ht="20.100000000000001" customHeight="1">
      <c r="A401" s="227">
        <v>197</v>
      </c>
      <c r="B401" s="225"/>
      <c r="C401" s="227"/>
      <c r="D401" s="228">
        <f>(SUMPRODUCT(E401:AL401*$E$6:$AL$6)/100)+(SUMPRODUCT(E401:AL401*$E$6:$AL$6*$E$3:$AL$3)/100)</f>
        <v>0</v>
      </c>
      <c r="E401" s="227"/>
      <c r="F401" s="227"/>
      <c r="G401" s="227"/>
      <c r="H401" s="227"/>
      <c r="I401" s="227"/>
      <c r="J401" s="227"/>
      <c r="K401" s="227"/>
      <c r="L401" s="227"/>
      <c r="M401" s="227"/>
      <c r="N401" s="227"/>
      <c r="O401" s="227"/>
      <c r="P401" s="227"/>
      <c r="Q401" s="227"/>
      <c r="R401" s="227"/>
      <c r="S401" s="227"/>
      <c r="T401" s="227"/>
      <c r="U401" s="227"/>
      <c r="V401" s="227"/>
      <c r="W401" s="227"/>
      <c r="X401" s="227"/>
      <c r="Y401" s="227"/>
      <c r="Z401" s="227"/>
      <c r="AA401" s="227"/>
      <c r="AB401" s="227"/>
      <c r="AC401" s="227"/>
      <c r="AD401" s="227"/>
      <c r="AE401" s="227"/>
      <c r="AF401" s="227"/>
      <c r="AG401" s="227"/>
      <c r="AH401" s="227"/>
      <c r="AI401" s="227"/>
      <c r="AJ401" s="227"/>
      <c r="AK401" s="227"/>
      <c r="AL401" s="225"/>
      <c r="AM401" s="227"/>
    </row>
    <row r="402" spans="1:39" ht="20.100000000000001" customHeight="1">
      <c r="A402" s="227"/>
      <c r="B402" s="225"/>
      <c r="C402" s="227"/>
      <c r="D402" s="224"/>
      <c r="E402" s="227"/>
      <c r="F402" s="227"/>
      <c r="G402" s="227"/>
      <c r="H402" s="227"/>
      <c r="I402" s="227"/>
      <c r="J402" s="227"/>
      <c r="K402" s="227"/>
      <c r="L402" s="227"/>
      <c r="M402" s="227"/>
      <c r="N402" s="227"/>
      <c r="O402" s="227"/>
      <c r="P402" s="227"/>
      <c r="Q402" s="227"/>
      <c r="R402" s="227"/>
      <c r="S402" s="227"/>
      <c r="T402" s="227"/>
      <c r="U402" s="227"/>
      <c r="V402" s="227"/>
      <c r="W402" s="227"/>
      <c r="X402" s="227"/>
      <c r="Y402" s="227"/>
      <c r="Z402" s="227"/>
      <c r="AA402" s="227"/>
      <c r="AB402" s="227"/>
      <c r="AC402" s="227"/>
      <c r="AD402" s="227"/>
      <c r="AE402" s="227"/>
      <c r="AF402" s="227"/>
      <c r="AG402" s="227"/>
      <c r="AH402" s="227"/>
      <c r="AI402" s="227"/>
      <c r="AJ402" s="227"/>
      <c r="AK402" s="227"/>
      <c r="AL402" s="225"/>
      <c r="AM402" s="227"/>
    </row>
    <row r="403" spans="1:39" ht="20.100000000000001" customHeight="1">
      <c r="A403" s="227">
        <v>198</v>
      </c>
      <c r="B403" s="225"/>
      <c r="C403" s="227"/>
      <c r="D403" s="228">
        <f>(SUMPRODUCT(E403:AL403*$E$6:$AL$6)/100)+(SUMPRODUCT(E403:AL403*$E$6:$AL$6*$E$3:$AL$3)/100)</f>
        <v>0</v>
      </c>
      <c r="E403" s="227"/>
      <c r="F403" s="227"/>
      <c r="G403" s="227"/>
      <c r="H403" s="227"/>
      <c r="I403" s="227"/>
      <c r="J403" s="227"/>
      <c r="K403" s="227"/>
      <c r="L403" s="227"/>
      <c r="M403" s="227"/>
      <c r="N403" s="227"/>
      <c r="O403" s="227"/>
      <c r="P403" s="227"/>
      <c r="Q403" s="227"/>
      <c r="R403" s="227"/>
      <c r="S403" s="227"/>
      <c r="T403" s="227"/>
      <c r="U403" s="227"/>
      <c r="V403" s="227"/>
      <c r="W403" s="227"/>
      <c r="X403" s="227"/>
      <c r="Y403" s="227"/>
      <c r="Z403" s="227"/>
      <c r="AA403" s="227"/>
      <c r="AB403" s="227"/>
      <c r="AC403" s="227"/>
      <c r="AD403" s="227"/>
      <c r="AE403" s="227"/>
      <c r="AF403" s="227"/>
      <c r="AG403" s="227"/>
      <c r="AH403" s="227"/>
      <c r="AI403" s="227"/>
      <c r="AJ403" s="227"/>
      <c r="AK403" s="227"/>
      <c r="AL403" s="225"/>
      <c r="AM403" s="227"/>
    </row>
    <row r="404" spans="1:39" ht="20.100000000000001" customHeight="1">
      <c r="A404" s="223"/>
      <c r="B404" s="225"/>
      <c r="C404" s="227"/>
      <c r="D404" s="224"/>
      <c r="E404" s="227"/>
      <c r="F404" s="227"/>
      <c r="G404" s="227"/>
      <c r="H404" s="227"/>
      <c r="I404" s="227"/>
      <c r="J404" s="227"/>
      <c r="K404" s="227"/>
      <c r="L404" s="227"/>
      <c r="M404" s="227"/>
      <c r="N404" s="227"/>
      <c r="O404" s="227"/>
      <c r="P404" s="227"/>
      <c r="Q404" s="227"/>
      <c r="R404" s="227"/>
      <c r="S404" s="227"/>
      <c r="T404" s="227"/>
      <c r="U404" s="227"/>
      <c r="V404" s="227"/>
      <c r="W404" s="227"/>
      <c r="X404" s="227"/>
      <c r="Y404" s="227"/>
      <c r="Z404" s="227"/>
      <c r="AA404" s="227"/>
      <c r="AB404" s="227"/>
      <c r="AC404" s="227"/>
      <c r="AD404" s="227"/>
      <c r="AE404" s="227"/>
      <c r="AF404" s="227"/>
      <c r="AG404" s="227"/>
      <c r="AH404" s="227"/>
      <c r="AI404" s="227"/>
      <c r="AJ404" s="227"/>
      <c r="AK404" s="227"/>
      <c r="AL404" s="225"/>
      <c r="AM404" s="227"/>
    </row>
    <row r="405" spans="1:39" ht="20.100000000000001" customHeight="1">
      <c r="A405" s="227">
        <v>199</v>
      </c>
      <c r="B405" s="225"/>
      <c r="C405" s="227"/>
      <c r="D405" s="228">
        <f>(SUMPRODUCT(E405:AL405*$E$6:$AL$6)/100)+(SUMPRODUCT(E405:AL405*$E$6:$AL$6*$E$3:$AL$3)/100)</f>
        <v>0</v>
      </c>
      <c r="E405" s="227"/>
      <c r="F405" s="227"/>
      <c r="G405" s="227"/>
      <c r="H405" s="227"/>
      <c r="I405" s="227"/>
      <c r="J405" s="227"/>
      <c r="K405" s="227"/>
      <c r="L405" s="227"/>
      <c r="M405" s="227"/>
      <c r="N405" s="227"/>
      <c r="O405" s="227"/>
      <c r="P405" s="227"/>
      <c r="Q405" s="227"/>
      <c r="R405" s="227"/>
      <c r="S405" s="227"/>
      <c r="T405" s="227"/>
      <c r="U405" s="227"/>
      <c r="V405" s="227"/>
      <c r="W405" s="227"/>
      <c r="X405" s="227"/>
      <c r="Y405" s="227"/>
      <c r="Z405" s="227"/>
      <c r="AA405" s="227"/>
      <c r="AB405" s="227"/>
      <c r="AC405" s="227"/>
      <c r="AD405" s="227"/>
      <c r="AE405" s="227"/>
      <c r="AF405" s="227"/>
      <c r="AG405" s="227"/>
      <c r="AH405" s="227"/>
      <c r="AI405" s="227"/>
      <c r="AJ405" s="227"/>
      <c r="AK405" s="227"/>
      <c r="AL405" s="225"/>
      <c r="AM405" s="227"/>
    </row>
    <row r="406" spans="1:39" ht="20.100000000000001" customHeight="1">
      <c r="A406" s="227"/>
      <c r="B406" s="225"/>
      <c r="C406" s="227"/>
      <c r="D406" s="224"/>
      <c r="E406" s="227"/>
      <c r="F406" s="227"/>
      <c r="G406" s="227"/>
      <c r="H406" s="227"/>
      <c r="I406" s="227"/>
      <c r="J406" s="227"/>
      <c r="K406" s="227"/>
      <c r="L406" s="227"/>
      <c r="M406" s="227"/>
      <c r="N406" s="227"/>
      <c r="O406" s="227"/>
      <c r="P406" s="227"/>
      <c r="Q406" s="227"/>
      <c r="R406" s="227"/>
      <c r="S406" s="227"/>
      <c r="T406" s="227"/>
      <c r="U406" s="227"/>
      <c r="V406" s="227"/>
      <c r="W406" s="227"/>
      <c r="X406" s="227"/>
      <c r="Y406" s="227"/>
      <c r="Z406" s="227"/>
      <c r="AA406" s="227"/>
      <c r="AB406" s="227"/>
      <c r="AC406" s="227"/>
      <c r="AD406" s="227"/>
      <c r="AE406" s="227"/>
      <c r="AF406" s="227"/>
      <c r="AG406" s="227"/>
      <c r="AH406" s="227"/>
      <c r="AI406" s="227"/>
      <c r="AJ406" s="227"/>
      <c r="AK406" s="227"/>
      <c r="AL406" s="225"/>
      <c r="AM406" s="227"/>
    </row>
    <row r="407" spans="1:39" ht="20.100000000000001" customHeight="1">
      <c r="A407" s="227">
        <v>200</v>
      </c>
      <c r="B407" s="225"/>
      <c r="C407" s="227"/>
      <c r="D407" s="228">
        <f>(SUMPRODUCT(E407:AL407*$E$6:$AL$6)/100)+(SUMPRODUCT(E407:AL407*$E$6:$AL$6*$E$3:$AL$3)/100)</f>
        <v>0</v>
      </c>
      <c r="E407" s="227"/>
      <c r="F407" s="227"/>
      <c r="G407" s="227"/>
      <c r="H407" s="227"/>
      <c r="I407" s="227"/>
      <c r="J407" s="227"/>
      <c r="K407" s="227"/>
      <c r="L407" s="227"/>
      <c r="M407" s="227"/>
      <c r="N407" s="227"/>
      <c r="O407" s="227"/>
      <c r="P407" s="227"/>
      <c r="Q407" s="227"/>
      <c r="R407" s="227"/>
      <c r="S407" s="227"/>
      <c r="T407" s="227"/>
      <c r="U407" s="227"/>
      <c r="V407" s="227"/>
      <c r="W407" s="227"/>
      <c r="X407" s="227"/>
      <c r="Y407" s="227"/>
      <c r="Z407" s="227"/>
      <c r="AA407" s="227"/>
      <c r="AB407" s="227"/>
      <c r="AC407" s="227"/>
      <c r="AD407" s="227"/>
      <c r="AE407" s="227"/>
      <c r="AF407" s="227"/>
      <c r="AG407" s="227"/>
      <c r="AH407" s="227"/>
      <c r="AI407" s="227"/>
      <c r="AJ407" s="227"/>
      <c r="AK407" s="227"/>
      <c r="AL407" s="225"/>
      <c r="AM407" s="227"/>
    </row>
    <row r="408" spans="1:39" ht="20.100000000000001" customHeight="1">
      <c r="A408" s="223"/>
      <c r="B408" s="225"/>
      <c r="C408" s="227"/>
      <c r="D408" s="224"/>
      <c r="E408" s="227"/>
      <c r="F408" s="227"/>
      <c r="G408" s="227"/>
      <c r="H408" s="227"/>
      <c r="I408" s="227"/>
      <c r="J408" s="227"/>
      <c r="K408" s="227"/>
      <c r="L408" s="227"/>
      <c r="M408" s="227"/>
      <c r="N408" s="227"/>
      <c r="O408" s="227"/>
      <c r="P408" s="227"/>
      <c r="Q408" s="227"/>
      <c r="R408" s="227"/>
      <c r="S408" s="227"/>
      <c r="T408" s="227"/>
      <c r="U408" s="227"/>
      <c r="V408" s="227"/>
      <c r="W408" s="227"/>
      <c r="X408" s="227"/>
      <c r="Y408" s="227"/>
      <c r="Z408" s="227"/>
      <c r="AA408" s="227"/>
      <c r="AB408" s="227"/>
      <c r="AC408" s="227"/>
      <c r="AD408" s="227"/>
      <c r="AE408" s="227"/>
      <c r="AF408" s="227"/>
      <c r="AG408" s="227"/>
      <c r="AH408" s="227"/>
      <c r="AI408" s="227"/>
      <c r="AJ408" s="227"/>
      <c r="AK408" s="227"/>
      <c r="AL408" s="225"/>
      <c r="AM408" s="227"/>
    </row>
    <row r="409" spans="1:39" ht="20.100000000000001" customHeight="1">
      <c r="A409" s="227">
        <v>201</v>
      </c>
      <c r="B409" s="225"/>
      <c r="C409" s="227"/>
      <c r="D409" s="228">
        <f>(SUMPRODUCT(E409:AL409*$E$6:$AL$6)/100)+(SUMPRODUCT(E409:AL409*$E$6:$AL$6*$E$3:$AL$3)/100)</f>
        <v>0</v>
      </c>
      <c r="E409" s="227"/>
      <c r="F409" s="227"/>
      <c r="G409" s="227"/>
      <c r="H409" s="227"/>
      <c r="I409" s="227"/>
      <c r="J409" s="227"/>
      <c r="K409" s="227"/>
      <c r="L409" s="227"/>
      <c r="M409" s="227"/>
      <c r="N409" s="227"/>
      <c r="O409" s="227"/>
      <c r="P409" s="227"/>
      <c r="Q409" s="227"/>
      <c r="R409" s="227"/>
      <c r="S409" s="227"/>
      <c r="T409" s="227"/>
      <c r="U409" s="227"/>
      <c r="V409" s="227"/>
      <c r="W409" s="227"/>
      <c r="X409" s="227"/>
      <c r="Y409" s="227"/>
      <c r="Z409" s="227"/>
      <c r="AA409" s="227"/>
      <c r="AB409" s="227"/>
      <c r="AC409" s="227"/>
      <c r="AD409" s="227"/>
      <c r="AE409" s="227"/>
      <c r="AF409" s="227"/>
      <c r="AG409" s="227"/>
      <c r="AH409" s="227"/>
      <c r="AI409" s="227"/>
      <c r="AJ409" s="227"/>
      <c r="AK409" s="227"/>
      <c r="AL409" s="225"/>
      <c r="AM409" s="227"/>
    </row>
    <row r="410" spans="1:39" ht="20.100000000000001" customHeight="1">
      <c r="A410" s="227"/>
      <c r="B410" s="225"/>
      <c r="C410" s="227"/>
      <c r="D410" s="224"/>
      <c r="E410" s="227"/>
      <c r="F410" s="227"/>
      <c r="G410" s="227"/>
      <c r="H410" s="227"/>
      <c r="I410" s="227"/>
      <c r="J410" s="227"/>
      <c r="K410" s="227"/>
      <c r="L410" s="227"/>
      <c r="M410" s="227"/>
      <c r="N410" s="227"/>
      <c r="O410" s="227"/>
      <c r="P410" s="227"/>
      <c r="Q410" s="227"/>
      <c r="R410" s="227"/>
      <c r="S410" s="227"/>
      <c r="T410" s="227"/>
      <c r="U410" s="227"/>
      <c r="V410" s="227"/>
      <c r="W410" s="227"/>
      <c r="X410" s="227"/>
      <c r="Y410" s="227"/>
      <c r="Z410" s="227"/>
      <c r="AA410" s="227"/>
      <c r="AB410" s="227"/>
      <c r="AC410" s="227"/>
      <c r="AD410" s="227"/>
      <c r="AE410" s="227"/>
      <c r="AF410" s="227"/>
      <c r="AG410" s="227"/>
      <c r="AH410" s="227"/>
      <c r="AI410" s="227"/>
      <c r="AJ410" s="227"/>
      <c r="AK410" s="227"/>
      <c r="AL410" s="225"/>
      <c r="AM410" s="227"/>
    </row>
    <row r="411" spans="1:39" ht="20.100000000000001" customHeight="1">
      <c r="A411" s="227">
        <v>202</v>
      </c>
      <c r="B411" s="225"/>
      <c r="C411" s="227"/>
      <c r="D411" s="228">
        <f>(SUMPRODUCT(E411:AL411*$E$6:$AL$6)/100)+(SUMPRODUCT(E411:AL411*$E$6:$AL$6*$E$3:$AL$3)/100)</f>
        <v>0</v>
      </c>
      <c r="E411" s="227"/>
      <c r="F411" s="227"/>
      <c r="G411" s="227"/>
      <c r="H411" s="227"/>
      <c r="I411" s="227"/>
      <c r="J411" s="227"/>
      <c r="K411" s="227"/>
      <c r="L411" s="227"/>
      <c r="M411" s="227"/>
      <c r="N411" s="227"/>
      <c r="O411" s="227"/>
      <c r="P411" s="227"/>
      <c r="Q411" s="227"/>
      <c r="R411" s="227"/>
      <c r="S411" s="227"/>
      <c r="T411" s="227"/>
      <c r="U411" s="227"/>
      <c r="V411" s="227"/>
      <c r="W411" s="227"/>
      <c r="X411" s="227"/>
      <c r="Y411" s="227"/>
      <c r="Z411" s="227"/>
      <c r="AA411" s="227"/>
      <c r="AB411" s="227"/>
      <c r="AC411" s="227"/>
      <c r="AD411" s="227"/>
      <c r="AE411" s="227"/>
      <c r="AF411" s="227"/>
      <c r="AG411" s="227"/>
      <c r="AH411" s="227"/>
      <c r="AI411" s="227"/>
      <c r="AJ411" s="227"/>
      <c r="AK411" s="227"/>
      <c r="AL411" s="225"/>
      <c r="AM411" s="227"/>
    </row>
    <row r="412" spans="1:39" ht="20.100000000000001" customHeight="1">
      <c r="A412" s="223"/>
      <c r="B412" s="225"/>
      <c r="C412" s="227"/>
      <c r="D412" s="224"/>
      <c r="E412" s="227"/>
      <c r="F412" s="227"/>
      <c r="G412" s="227"/>
      <c r="H412" s="227"/>
      <c r="I412" s="227"/>
      <c r="J412" s="227"/>
      <c r="K412" s="227"/>
      <c r="L412" s="227"/>
      <c r="M412" s="227"/>
      <c r="N412" s="227"/>
      <c r="O412" s="227"/>
      <c r="P412" s="227"/>
      <c r="Q412" s="227"/>
      <c r="R412" s="227"/>
      <c r="S412" s="227"/>
      <c r="T412" s="227"/>
      <c r="U412" s="227"/>
      <c r="V412" s="227"/>
      <c r="W412" s="227"/>
      <c r="X412" s="227"/>
      <c r="Y412" s="227"/>
      <c r="Z412" s="227"/>
      <c r="AA412" s="227"/>
      <c r="AB412" s="227"/>
      <c r="AC412" s="227"/>
      <c r="AD412" s="227"/>
      <c r="AE412" s="227"/>
      <c r="AF412" s="227"/>
      <c r="AG412" s="227"/>
      <c r="AH412" s="227"/>
      <c r="AI412" s="227"/>
      <c r="AJ412" s="227"/>
      <c r="AK412" s="227"/>
      <c r="AL412" s="225"/>
      <c r="AM412" s="227"/>
    </row>
    <row r="413" spans="1:39" ht="20.100000000000001" customHeight="1">
      <c r="A413" s="227">
        <v>203</v>
      </c>
      <c r="B413" s="225"/>
      <c r="C413" s="227"/>
      <c r="D413" s="228">
        <f>(SUMPRODUCT(E413:AL413*$E$6:$AL$6)/100)+(SUMPRODUCT(E413:AL413*$E$6:$AL$6*$E$3:$AL$3)/100)</f>
        <v>0</v>
      </c>
      <c r="E413" s="227"/>
      <c r="F413" s="227"/>
      <c r="G413" s="227"/>
      <c r="H413" s="227"/>
      <c r="I413" s="227"/>
      <c r="J413" s="227"/>
      <c r="K413" s="227"/>
      <c r="L413" s="227"/>
      <c r="M413" s="227"/>
      <c r="N413" s="227"/>
      <c r="O413" s="227"/>
      <c r="P413" s="227"/>
      <c r="Q413" s="227"/>
      <c r="R413" s="227"/>
      <c r="S413" s="227"/>
      <c r="T413" s="227"/>
      <c r="U413" s="227"/>
      <c r="V413" s="227"/>
      <c r="W413" s="227"/>
      <c r="X413" s="227"/>
      <c r="Y413" s="227"/>
      <c r="Z413" s="227"/>
      <c r="AA413" s="227"/>
      <c r="AB413" s="227"/>
      <c r="AC413" s="227"/>
      <c r="AD413" s="227"/>
      <c r="AE413" s="227"/>
      <c r="AF413" s="227"/>
      <c r="AG413" s="227"/>
      <c r="AH413" s="227"/>
      <c r="AI413" s="227"/>
      <c r="AJ413" s="227"/>
      <c r="AK413" s="227"/>
      <c r="AL413" s="225"/>
      <c r="AM413" s="227"/>
    </row>
    <row r="414" spans="1:39" ht="20.100000000000001" customHeight="1">
      <c r="A414" s="227"/>
      <c r="B414" s="225"/>
      <c r="C414" s="227"/>
      <c r="D414" s="224"/>
      <c r="E414" s="227"/>
      <c r="F414" s="227"/>
      <c r="G414" s="227"/>
      <c r="H414" s="227"/>
      <c r="I414" s="227"/>
      <c r="J414" s="227"/>
      <c r="K414" s="227"/>
      <c r="L414" s="227"/>
      <c r="M414" s="227"/>
      <c r="N414" s="227"/>
      <c r="O414" s="227"/>
      <c r="P414" s="227"/>
      <c r="Q414" s="227"/>
      <c r="R414" s="227"/>
      <c r="S414" s="227"/>
      <c r="T414" s="227"/>
      <c r="U414" s="227"/>
      <c r="V414" s="227"/>
      <c r="W414" s="227"/>
      <c r="X414" s="227"/>
      <c r="Y414" s="227"/>
      <c r="Z414" s="227"/>
      <c r="AA414" s="227"/>
      <c r="AB414" s="227"/>
      <c r="AC414" s="227"/>
      <c r="AD414" s="227"/>
      <c r="AE414" s="227"/>
      <c r="AF414" s="227"/>
      <c r="AG414" s="227"/>
      <c r="AH414" s="227"/>
      <c r="AI414" s="227"/>
      <c r="AJ414" s="227"/>
      <c r="AK414" s="227"/>
      <c r="AL414" s="225"/>
      <c r="AM414" s="227"/>
    </row>
    <row r="415" spans="1:39" ht="20.100000000000001" customHeight="1">
      <c r="A415" s="227">
        <v>204</v>
      </c>
      <c r="B415" s="225"/>
      <c r="C415" s="227"/>
      <c r="D415" s="228">
        <f>(SUMPRODUCT(E415:AL415*$E$6:$AL$6)/100)+(SUMPRODUCT(E415:AL415*$E$6:$AL$6*$E$3:$AL$3)/100)</f>
        <v>0</v>
      </c>
      <c r="E415" s="227"/>
      <c r="F415" s="227"/>
      <c r="G415" s="227"/>
      <c r="H415" s="227"/>
      <c r="I415" s="227"/>
      <c r="J415" s="227"/>
      <c r="K415" s="227"/>
      <c r="L415" s="227"/>
      <c r="M415" s="227"/>
      <c r="N415" s="227"/>
      <c r="O415" s="227"/>
      <c r="P415" s="227"/>
      <c r="Q415" s="227"/>
      <c r="R415" s="227"/>
      <c r="S415" s="227"/>
      <c r="T415" s="227"/>
      <c r="U415" s="227"/>
      <c r="V415" s="227"/>
      <c r="W415" s="227"/>
      <c r="X415" s="227"/>
      <c r="Y415" s="227"/>
      <c r="Z415" s="227"/>
      <c r="AA415" s="227"/>
      <c r="AB415" s="227"/>
      <c r="AC415" s="227"/>
      <c r="AD415" s="227"/>
      <c r="AE415" s="227"/>
      <c r="AF415" s="227"/>
      <c r="AG415" s="227"/>
      <c r="AH415" s="227"/>
      <c r="AI415" s="227"/>
      <c r="AJ415" s="227"/>
      <c r="AK415" s="227"/>
      <c r="AL415" s="225"/>
      <c r="AM415" s="227"/>
    </row>
    <row r="416" spans="1:39" ht="20.100000000000001" customHeight="1">
      <c r="A416" s="223"/>
      <c r="B416" s="225"/>
      <c r="C416" s="227"/>
      <c r="D416" s="224"/>
      <c r="E416" s="227"/>
      <c r="F416" s="227"/>
      <c r="G416" s="227"/>
      <c r="H416" s="227"/>
      <c r="I416" s="227"/>
      <c r="J416" s="227"/>
      <c r="K416" s="227"/>
      <c r="L416" s="227"/>
      <c r="M416" s="227"/>
      <c r="N416" s="227"/>
      <c r="O416" s="227"/>
      <c r="P416" s="227"/>
      <c r="Q416" s="227"/>
      <c r="R416" s="227"/>
      <c r="S416" s="227"/>
      <c r="T416" s="227"/>
      <c r="U416" s="227"/>
      <c r="V416" s="227"/>
      <c r="W416" s="227"/>
      <c r="X416" s="227"/>
      <c r="Y416" s="227"/>
      <c r="Z416" s="227"/>
      <c r="AA416" s="227"/>
      <c r="AB416" s="227"/>
      <c r="AC416" s="227"/>
      <c r="AD416" s="227"/>
      <c r="AE416" s="227"/>
      <c r="AF416" s="227"/>
      <c r="AG416" s="227"/>
      <c r="AH416" s="227"/>
      <c r="AI416" s="227"/>
      <c r="AJ416" s="227"/>
      <c r="AK416" s="227"/>
      <c r="AL416" s="225"/>
      <c r="AM416" s="227"/>
    </row>
    <row r="417" spans="1:39" ht="20.100000000000001" customHeight="1">
      <c r="A417" s="227">
        <v>205</v>
      </c>
      <c r="B417" s="225"/>
      <c r="C417" s="227"/>
      <c r="D417" s="228">
        <f>(SUMPRODUCT(E417:AL417*$E$6:$AL$6)/100)+(SUMPRODUCT(E417:AL417*$E$6:$AL$6*$E$3:$AL$3)/100)</f>
        <v>0</v>
      </c>
      <c r="E417" s="227"/>
      <c r="F417" s="227"/>
      <c r="G417" s="227"/>
      <c r="H417" s="227"/>
      <c r="I417" s="227"/>
      <c r="J417" s="227"/>
      <c r="K417" s="227"/>
      <c r="L417" s="227"/>
      <c r="M417" s="227"/>
      <c r="N417" s="227"/>
      <c r="O417" s="227"/>
      <c r="P417" s="227"/>
      <c r="Q417" s="227"/>
      <c r="R417" s="227"/>
      <c r="S417" s="227"/>
      <c r="T417" s="227"/>
      <c r="U417" s="227"/>
      <c r="V417" s="227"/>
      <c r="W417" s="227"/>
      <c r="X417" s="227"/>
      <c r="Y417" s="227"/>
      <c r="Z417" s="227"/>
      <c r="AA417" s="227"/>
      <c r="AB417" s="227"/>
      <c r="AC417" s="227"/>
      <c r="AD417" s="227"/>
      <c r="AE417" s="227"/>
      <c r="AF417" s="227"/>
      <c r="AG417" s="227"/>
      <c r="AH417" s="227"/>
      <c r="AI417" s="227"/>
      <c r="AJ417" s="227"/>
      <c r="AK417" s="227"/>
      <c r="AL417" s="225"/>
      <c r="AM417" s="227"/>
    </row>
    <row r="418" spans="1:39" ht="20.100000000000001" customHeight="1">
      <c r="A418" s="227"/>
      <c r="B418" s="225"/>
      <c r="C418" s="227"/>
      <c r="D418" s="224"/>
      <c r="E418" s="227"/>
      <c r="F418" s="227"/>
      <c r="G418" s="227"/>
      <c r="H418" s="227"/>
      <c r="I418" s="227"/>
      <c r="J418" s="227"/>
      <c r="K418" s="227"/>
      <c r="L418" s="227"/>
      <c r="M418" s="227"/>
      <c r="N418" s="227"/>
      <c r="O418" s="227"/>
      <c r="P418" s="227"/>
      <c r="Q418" s="227"/>
      <c r="R418" s="227"/>
      <c r="S418" s="227"/>
      <c r="T418" s="227"/>
      <c r="U418" s="227"/>
      <c r="V418" s="227"/>
      <c r="W418" s="227"/>
      <c r="X418" s="227"/>
      <c r="Y418" s="227"/>
      <c r="Z418" s="227"/>
      <c r="AA418" s="227"/>
      <c r="AB418" s="227"/>
      <c r="AC418" s="227"/>
      <c r="AD418" s="227"/>
      <c r="AE418" s="227"/>
      <c r="AF418" s="227"/>
      <c r="AG418" s="227"/>
      <c r="AH418" s="227"/>
      <c r="AI418" s="227"/>
      <c r="AJ418" s="227"/>
      <c r="AK418" s="227"/>
      <c r="AL418" s="225"/>
      <c r="AM418" s="227"/>
    </row>
    <row r="419" spans="1:39" ht="20.100000000000001" customHeight="1">
      <c r="A419" s="227">
        <v>206</v>
      </c>
      <c r="B419" s="225"/>
      <c r="C419" s="227"/>
      <c r="D419" s="228">
        <f>(SUMPRODUCT(E419:AL419*$E$6:$AL$6)/100)+(SUMPRODUCT(E419:AL419*$E$6:$AL$6*$E$3:$AL$3)/100)</f>
        <v>0</v>
      </c>
      <c r="E419" s="227"/>
      <c r="F419" s="227"/>
      <c r="G419" s="227"/>
      <c r="H419" s="227"/>
      <c r="I419" s="227"/>
      <c r="J419" s="227"/>
      <c r="K419" s="227"/>
      <c r="L419" s="227"/>
      <c r="M419" s="227"/>
      <c r="N419" s="227"/>
      <c r="O419" s="227"/>
      <c r="P419" s="227"/>
      <c r="Q419" s="227"/>
      <c r="R419" s="227"/>
      <c r="S419" s="227"/>
      <c r="T419" s="227"/>
      <c r="U419" s="227"/>
      <c r="V419" s="227"/>
      <c r="W419" s="227"/>
      <c r="X419" s="227"/>
      <c r="Y419" s="227"/>
      <c r="Z419" s="227"/>
      <c r="AA419" s="227"/>
      <c r="AB419" s="227"/>
      <c r="AC419" s="227"/>
      <c r="AD419" s="227"/>
      <c r="AE419" s="227"/>
      <c r="AF419" s="227"/>
      <c r="AG419" s="227"/>
      <c r="AH419" s="227"/>
      <c r="AI419" s="227"/>
      <c r="AJ419" s="227"/>
      <c r="AK419" s="227"/>
      <c r="AL419" s="225"/>
      <c r="AM419" s="227"/>
    </row>
    <row r="420" spans="1:39" ht="20.100000000000001" customHeight="1">
      <c r="A420" s="223"/>
      <c r="B420" s="225"/>
      <c r="C420" s="227"/>
      <c r="D420" s="224"/>
      <c r="E420" s="227"/>
      <c r="F420" s="227"/>
      <c r="G420" s="227"/>
      <c r="H420" s="227"/>
      <c r="I420" s="227"/>
      <c r="J420" s="227"/>
      <c r="K420" s="227"/>
      <c r="L420" s="227"/>
      <c r="M420" s="227"/>
      <c r="N420" s="227"/>
      <c r="O420" s="227"/>
      <c r="P420" s="227"/>
      <c r="Q420" s="227"/>
      <c r="R420" s="227"/>
      <c r="S420" s="227"/>
      <c r="T420" s="227"/>
      <c r="U420" s="227"/>
      <c r="V420" s="227"/>
      <c r="W420" s="227"/>
      <c r="X420" s="227"/>
      <c r="Y420" s="227"/>
      <c r="Z420" s="227"/>
      <c r="AA420" s="227"/>
      <c r="AB420" s="227"/>
      <c r="AC420" s="227"/>
      <c r="AD420" s="227"/>
      <c r="AE420" s="227"/>
      <c r="AF420" s="227"/>
      <c r="AG420" s="227"/>
      <c r="AH420" s="227"/>
      <c r="AI420" s="227"/>
      <c r="AJ420" s="227"/>
      <c r="AK420" s="227"/>
      <c r="AL420" s="225"/>
      <c r="AM420" s="227"/>
    </row>
    <row r="421" spans="1:39" ht="20.100000000000001" customHeight="1">
      <c r="A421" s="227">
        <v>207</v>
      </c>
      <c r="B421" s="225"/>
      <c r="C421" s="227"/>
      <c r="D421" s="228">
        <f>(SUMPRODUCT(E421:AL421*$E$6:$AL$6)/100)+(SUMPRODUCT(E421:AL421*$E$6:$AL$6*$E$3:$AL$3)/100)</f>
        <v>0</v>
      </c>
      <c r="E421" s="227"/>
      <c r="F421" s="227"/>
      <c r="G421" s="227"/>
      <c r="H421" s="227"/>
      <c r="I421" s="227"/>
      <c r="J421" s="227"/>
      <c r="K421" s="227"/>
      <c r="L421" s="227"/>
      <c r="M421" s="227"/>
      <c r="N421" s="227"/>
      <c r="O421" s="227"/>
      <c r="P421" s="227"/>
      <c r="Q421" s="227"/>
      <c r="R421" s="227"/>
      <c r="S421" s="227"/>
      <c r="T421" s="227"/>
      <c r="U421" s="227"/>
      <c r="V421" s="227"/>
      <c r="W421" s="227"/>
      <c r="X421" s="227"/>
      <c r="Y421" s="227"/>
      <c r="Z421" s="227"/>
      <c r="AA421" s="227"/>
      <c r="AB421" s="227"/>
      <c r="AC421" s="227"/>
      <c r="AD421" s="227"/>
      <c r="AE421" s="227"/>
      <c r="AF421" s="227"/>
      <c r="AG421" s="227"/>
      <c r="AH421" s="227"/>
      <c r="AI421" s="227"/>
      <c r="AJ421" s="227"/>
      <c r="AK421" s="227"/>
      <c r="AL421" s="225"/>
      <c r="AM421" s="227"/>
    </row>
    <row r="422" spans="1:39" ht="20.100000000000001" customHeight="1">
      <c r="A422" s="227"/>
      <c r="B422" s="225"/>
      <c r="C422" s="227"/>
      <c r="D422" s="224"/>
      <c r="E422" s="227"/>
      <c r="F422" s="227"/>
      <c r="G422" s="227"/>
      <c r="H422" s="227"/>
      <c r="I422" s="227"/>
      <c r="J422" s="227"/>
      <c r="K422" s="227"/>
      <c r="L422" s="227"/>
      <c r="M422" s="227"/>
      <c r="N422" s="227"/>
      <c r="O422" s="227"/>
      <c r="P422" s="227"/>
      <c r="Q422" s="227"/>
      <c r="R422" s="227"/>
      <c r="S422" s="227"/>
      <c r="T422" s="227"/>
      <c r="U422" s="227"/>
      <c r="V422" s="227"/>
      <c r="W422" s="227"/>
      <c r="X422" s="227"/>
      <c r="Y422" s="227"/>
      <c r="Z422" s="227"/>
      <c r="AA422" s="227"/>
      <c r="AB422" s="227"/>
      <c r="AC422" s="227"/>
      <c r="AD422" s="227"/>
      <c r="AE422" s="227"/>
      <c r="AF422" s="227"/>
      <c r="AG422" s="227"/>
      <c r="AH422" s="227"/>
      <c r="AI422" s="227"/>
      <c r="AJ422" s="227"/>
      <c r="AK422" s="227"/>
      <c r="AL422" s="225"/>
      <c r="AM422" s="227"/>
    </row>
    <row r="423" spans="1:39" ht="20.100000000000001" customHeight="1">
      <c r="A423" s="227">
        <v>208</v>
      </c>
      <c r="B423" s="225"/>
      <c r="C423" s="227"/>
      <c r="D423" s="228">
        <f>(SUMPRODUCT(E423:AL423*$E$6:$AL$6)/100)+(SUMPRODUCT(E423:AL423*$E$6:$AL$6*$E$3:$AL$3)/100)</f>
        <v>0</v>
      </c>
      <c r="E423" s="227"/>
      <c r="F423" s="227"/>
      <c r="G423" s="227"/>
      <c r="H423" s="227"/>
      <c r="I423" s="227"/>
      <c r="J423" s="227"/>
      <c r="K423" s="227"/>
      <c r="L423" s="227"/>
      <c r="M423" s="227"/>
      <c r="N423" s="227"/>
      <c r="O423" s="227"/>
      <c r="P423" s="227"/>
      <c r="Q423" s="227"/>
      <c r="R423" s="227"/>
      <c r="S423" s="227"/>
      <c r="T423" s="227"/>
      <c r="U423" s="227"/>
      <c r="V423" s="227"/>
      <c r="W423" s="227"/>
      <c r="X423" s="227"/>
      <c r="Y423" s="227"/>
      <c r="Z423" s="227"/>
      <c r="AA423" s="227"/>
      <c r="AB423" s="227"/>
      <c r="AC423" s="227"/>
      <c r="AD423" s="227"/>
      <c r="AE423" s="227"/>
      <c r="AF423" s="227"/>
      <c r="AG423" s="227"/>
      <c r="AH423" s="227"/>
      <c r="AI423" s="227"/>
      <c r="AJ423" s="227"/>
      <c r="AK423" s="227"/>
      <c r="AL423" s="225"/>
      <c r="AM423" s="227"/>
    </row>
    <row r="424" spans="1:39" ht="20.100000000000001" customHeight="1">
      <c r="A424" s="223"/>
      <c r="B424" s="225"/>
      <c r="C424" s="227"/>
      <c r="D424" s="224"/>
      <c r="E424" s="227"/>
      <c r="F424" s="227"/>
      <c r="G424" s="227"/>
      <c r="H424" s="227"/>
      <c r="I424" s="227"/>
      <c r="J424" s="227"/>
      <c r="K424" s="227"/>
      <c r="L424" s="227"/>
      <c r="M424" s="227"/>
      <c r="N424" s="227"/>
      <c r="O424" s="227"/>
      <c r="P424" s="227"/>
      <c r="Q424" s="227"/>
      <c r="R424" s="227"/>
      <c r="S424" s="227"/>
      <c r="T424" s="227"/>
      <c r="U424" s="227"/>
      <c r="V424" s="227"/>
      <c r="W424" s="227"/>
      <c r="X424" s="227"/>
      <c r="Y424" s="227"/>
      <c r="Z424" s="227"/>
      <c r="AA424" s="227"/>
      <c r="AB424" s="227"/>
      <c r="AC424" s="227"/>
      <c r="AD424" s="227"/>
      <c r="AE424" s="227"/>
      <c r="AF424" s="227"/>
      <c r="AG424" s="227"/>
      <c r="AH424" s="227"/>
      <c r="AI424" s="227"/>
      <c r="AJ424" s="227"/>
      <c r="AK424" s="227"/>
      <c r="AL424" s="225"/>
      <c r="AM424" s="227"/>
    </row>
    <row r="425" spans="1:39" ht="20.100000000000001" customHeight="1">
      <c r="A425" s="227">
        <v>209</v>
      </c>
      <c r="B425" s="225"/>
      <c r="C425" s="227"/>
      <c r="D425" s="228">
        <f>(SUMPRODUCT(E425:AL425*$E$6:$AL$6)/100)+(SUMPRODUCT(E425:AL425*$E$6:$AL$6*$E$3:$AL$3)/100)</f>
        <v>0</v>
      </c>
      <c r="E425" s="227"/>
      <c r="F425" s="227"/>
      <c r="G425" s="227"/>
      <c r="H425" s="227"/>
      <c r="I425" s="227"/>
      <c r="J425" s="227"/>
      <c r="K425" s="227"/>
      <c r="L425" s="227"/>
      <c r="M425" s="227"/>
      <c r="N425" s="227"/>
      <c r="O425" s="227"/>
      <c r="P425" s="227"/>
      <c r="Q425" s="227"/>
      <c r="R425" s="227"/>
      <c r="S425" s="227"/>
      <c r="T425" s="227"/>
      <c r="U425" s="227"/>
      <c r="V425" s="227"/>
      <c r="W425" s="227"/>
      <c r="X425" s="227"/>
      <c r="Y425" s="227"/>
      <c r="Z425" s="227"/>
      <c r="AA425" s="227"/>
      <c r="AB425" s="227"/>
      <c r="AC425" s="227"/>
      <c r="AD425" s="227"/>
      <c r="AE425" s="227"/>
      <c r="AF425" s="227"/>
      <c r="AG425" s="227"/>
      <c r="AH425" s="227"/>
      <c r="AI425" s="227"/>
      <c r="AJ425" s="227"/>
      <c r="AK425" s="227"/>
      <c r="AL425" s="225"/>
      <c r="AM425" s="227"/>
    </row>
    <row r="426" spans="1:39" ht="20.100000000000001" customHeight="1">
      <c r="A426" s="227"/>
      <c r="B426" s="225"/>
      <c r="C426" s="227"/>
      <c r="D426" s="224"/>
      <c r="E426" s="227"/>
      <c r="F426" s="227"/>
      <c r="G426" s="227"/>
      <c r="H426" s="227"/>
      <c r="I426" s="227"/>
      <c r="J426" s="227"/>
      <c r="K426" s="227"/>
      <c r="L426" s="227"/>
      <c r="M426" s="227"/>
      <c r="N426" s="227"/>
      <c r="O426" s="227"/>
      <c r="P426" s="227"/>
      <c r="Q426" s="227"/>
      <c r="R426" s="227"/>
      <c r="S426" s="227"/>
      <c r="T426" s="227"/>
      <c r="U426" s="227"/>
      <c r="V426" s="227"/>
      <c r="W426" s="227"/>
      <c r="X426" s="227"/>
      <c r="Y426" s="227"/>
      <c r="Z426" s="227"/>
      <c r="AA426" s="227"/>
      <c r="AB426" s="227"/>
      <c r="AC426" s="227"/>
      <c r="AD426" s="227"/>
      <c r="AE426" s="227"/>
      <c r="AF426" s="227"/>
      <c r="AG426" s="227"/>
      <c r="AH426" s="227"/>
      <c r="AI426" s="227"/>
      <c r="AJ426" s="227"/>
      <c r="AK426" s="227"/>
      <c r="AL426" s="225"/>
      <c r="AM426" s="227"/>
    </row>
    <row r="427" spans="1:39" ht="20.100000000000001" customHeight="1">
      <c r="A427" s="227">
        <v>210</v>
      </c>
      <c r="B427" s="225"/>
      <c r="C427" s="227"/>
      <c r="D427" s="228">
        <f>(SUMPRODUCT(E427:AL427*$E$6:$AL$6)/100)+(SUMPRODUCT(E427:AL427*$E$6:$AL$6*$E$3:$AL$3)/100)</f>
        <v>0</v>
      </c>
      <c r="E427" s="227"/>
      <c r="F427" s="227"/>
      <c r="G427" s="227"/>
      <c r="H427" s="227"/>
      <c r="I427" s="227"/>
      <c r="J427" s="227"/>
      <c r="K427" s="227"/>
      <c r="L427" s="227"/>
      <c r="M427" s="227"/>
      <c r="N427" s="227"/>
      <c r="O427" s="227"/>
      <c r="P427" s="227"/>
      <c r="Q427" s="227"/>
      <c r="R427" s="227"/>
      <c r="S427" s="227"/>
      <c r="T427" s="227"/>
      <c r="U427" s="227"/>
      <c r="V427" s="227"/>
      <c r="W427" s="227"/>
      <c r="X427" s="227"/>
      <c r="Y427" s="227"/>
      <c r="Z427" s="227"/>
      <c r="AA427" s="227"/>
      <c r="AB427" s="227"/>
      <c r="AC427" s="227"/>
      <c r="AD427" s="227"/>
      <c r="AE427" s="227"/>
      <c r="AF427" s="227"/>
      <c r="AG427" s="227"/>
      <c r="AH427" s="227"/>
      <c r="AI427" s="227"/>
      <c r="AJ427" s="227"/>
      <c r="AK427" s="227"/>
      <c r="AL427" s="225"/>
      <c r="AM427" s="227"/>
    </row>
    <row r="428" spans="1:39" ht="20.100000000000001" customHeight="1">
      <c r="A428" s="223"/>
      <c r="B428" s="225"/>
      <c r="C428" s="227"/>
      <c r="D428" s="224"/>
      <c r="E428" s="227"/>
      <c r="F428" s="227"/>
      <c r="G428" s="227"/>
      <c r="H428" s="227"/>
      <c r="I428" s="227"/>
      <c r="J428" s="227"/>
      <c r="K428" s="227"/>
      <c r="L428" s="227"/>
      <c r="M428" s="227"/>
      <c r="N428" s="227"/>
      <c r="O428" s="227"/>
      <c r="P428" s="227"/>
      <c r="Q428" s="227"/>
      <c r="R428" s="227"/>
      <c r="S428" s="227"/>
      <c r="T428" s="227"/>
      <c r="U428" s="227"/>
      <c r="V428" s="227"/>
      <c r="W428" s="227"/>
      <c r="X428" s="227"/>
      <c r="Y428" s="227"/>
      <c r="Z428" s="227"/>
      <c r="AA428" s="227"/>
      <c r="AB428" s="227"/>
      <c r="AC428" s="227"/>
      <c r="AD428" s="227"/>
      <c r="AE428" s="227"/>
      <c r="AF428" s="227"/>
      <c r="AG428" s="227"/>
      <c r="AH428" s="227"/>
      <c r="AI428" s="227"/>
      <c r="AJ428" s="227"/>
      <c r="AK428" s="227"/>
      <c r="AL428" s="225"/>
      <c r="AM428" s="227"/>
    </row>
    <row r="429" spans="1:39" ht="20.100000000000001" customHeight="1">
      <c r="A429" s="227">
        <v>211</v>
      </c>
      <c r="B429" s="225"/>
      <c r="C429" s="227"/>
      <c r="D429" s="228">
        <f>(SUMPRODUCT(E429:AL429*$E$6:$AL$6)/100)+(SUMPRODUCT(E429:AL429*$E$6:$AL$6*$E$3:$AL$3)/100)</f>
        <v>0</v>
      </c>
      <c r="E429" s="227"/>
      <c r="F429" s="227"/>
      <c r="G429" s="227"/>
      <c r="H429" s="227"/>
      <c r="I429" s="227"/>
      <c r="J429" s="227"/>
      <c r="K429" s="227"/>
      <c r="L429" s="227"/>
      <c r="M429" s="227"/>
      <c r="N429" s="227"/>
      <c r="O429" s="227"/>
      <c r="P429" s="227"/>
      <c r="Q429" s="227"/>
      <c r="R429" s="227"/>
      <c r="S429" s="227"/>
      <c r="T429" s="227"/>
      <c r="U429" s="227"/>
      <c r="V429" s="227"/>
      <c r="W429" s="227"/>
      <c r="X429" s="227"/>
      <c r="Y429" s="227"/>
      <c r="Z429" s="227"/>
      <c r="AA429" s="227"/>
      <c r="AB429" s="227"/>
      <c r="AC429" s="227"/>
      <c r="AD429" s="227"/>
      <c r="AE429" s="227"/>
      <c r="AF429" s="227"/>
      <c r="AG429" s="227"/>
      <c r="AH429" s="227"/>
      <c r="AI429" s="227"/>
      <c r="AJ429" s="227"/>
      <c r="AK429" s="227"/>
      <c r="AL429" s="225"/>
      <c r="AM429" s="227"/>
    </row>
    <row r="430" spans="1:39" ht="20.100000000000001" customHeight="1">
      <c r="A430" s="227"/>
      <c r="B430" s="225"/>
      <c r="C430" s="227"/>
      <c r="D430" s="224"/>
      <c r="E430" s="227"/>
      <c r="F430" s="227"/>
      <c r="G430" s="227"/>
      <c r="H430" s="227"/>
      <c r="I430" s="227"/>
      <c r="J430" s="227"/>
      <c r="K430" s="227"/>
      <c r="L430" s="227"/>
      <c r="M430" s="227"/>
      <c r="N430" s="227"/>
      <c r="O430" s="227"/>
      <c r="P430" s="227"/>
      <c r="Q430" s="227"/>
      <c r="R430" s="227"/>
      <c r="S430" s="227"/>
      <c r="T430" s="227"/>
      <c r="U430" s="227"/>
      <c r="V430" s="227"/>
      <c r="W430" s="227"/>
      <c r="X430" s="227"/>
      <c r="Y430" s="227"/>
      <c r="Z430" s="227"/>
      <c r="AA430" s="227"/>
      <c r="AB430" s="227"/>
      <c r="AC430" s="227"/>
      <c r="AD430" s="227"/>
      <c r="AE430" s="227"/>
      <c r="AF430" s="227"/>
      <c r="AG430" s="227"/>
      <c r="AH430" s="227"/>
      <c r="AI430" s="227"/>
      <c r="AJ430" s="227"/>
      <c r="AK430" s="227"/>
      <c r="AL430" s="225"/>
      <c r="AM430" s="227"/>
    </row>
    <row r="431" spans="1:39" ht="20.100000000000001" customHeight="1">
      <c r="A431" s="227">
        <v>212</v>
      </c>
      <c r="B431" s="225"/>
      <c r="C431" s="227"/>
      <c r="D431" s="228">
        <f>(SUMPRODUCT(E431:AL431*$E$6:$AL$6)/100)+(SUMPRODUCT(E431:AL431*$E$6:$AL$6*$E$3:$AL$3)/100)</f>
        <v>0</v>
      </c>
      <c r="E431" s="227"/>
      <c r="F431" s="227"/>
      <c r="G431" s="227"/>
      <c r="H431" s="227"/>
      <c r="I431" s="227"/>
      <c r="J431" s="227"/>
      <c r="K431" s="227"/>
      <c r="L431" s="227"/>
      <c r="M431" s="227"/>
      <c r="N431" s="227"/>
      <c r="O431" s="227"/>
      <c r="P431" s="227"/>
      <c r="Q431" s="227"/>
      <c r="R431" s="227"/>
      <c r="S431" s="227"/>
      <c r="T431" s="227"/>
      <c r="U431" s="227"/>
      <c r="V431" s="227"/>
      <c r="W431" s="227"/>
      <c r="X431" s="227"/>
      <c r="Y431" s="227"/>
      <c r="Z431" s="227"/>
      <c r="AA431" s="227"/>
      <c r="AB431" s="227"/>
      <c r="AC431" s="227"/>
      <c r="AD431" s="227"/>
      <c r="AE431" s="227"/>
      <c r="AF431" s="227"/>
      <c r="AG431" s="227"/>
      <c r="AH431" s="227"/>
      <c r="AI431" s="227"/>
      <c r="AJ431" s="227"/>
      <c r="AK431" s="227"/>
      <c r="AL431" s="225"/>
      <c r="AM431" s="227"/>
    </row>
    <row r="432" spans="1:39" ht="20.100000000000001" customHeight="1">
      <c r="A432" s="223"/>
      <c r="B432" s="225"/>
      <c r="C432" s="227"/>
      <c r="D432" s="224"/>
      <c r="E432" s="227"/>
      <c r="F432" s="227"/>
      <c r="G432" s="227"/>
      <c r="H432" s="227"/>
      <c r="I432" s="227"/>
      <c r="J432" s="227"/>
      <c r="K432" s="227"/>
      <c r="L432" s="227"/>
      <c r="M432" s="227"/>
      <c r="N432" s="227"/>
      <c r="O432" s="227"/>
      <c r="P432" s="227"/>
      <c r="Q432" s="227"/>
      <c r="R432" s="227"/>
      <c r="S432" s="227"/>
      <c r="T432" s="227"/>
      <c r="U432" s="227"/>
      <c r="V432" s="227"/>
      <c r="W432" s="227"/>
      <c r="X432" s="227"/>
      <c r="Y432" s="227"/>
      <c r="Z432" s="227"/>
      <c r="AA432" s="227"/>
      <c r="AB432" s="227"/>
      <c r="AC432" s="227"/>
      <c r="AD432" s="227"/>
      <c r="AE432" s="227"/>
      <c r="AF432" s="227"/>
      <c r="AG432" s="227"/>
      <c r="AH432" s="227"/>
      <c r="AI432" s="227"/>
      <c r="AJ432" s="227"/>
      <c r="AK432" s="227"/>
      <c r="AL432" s="225"/>
      <c r="AM432" s="227"/>
    </row>
    <row r="433" spans="1:39" ht="20.100000000000001" customHeight="1">
      <c r="A433" s="227">
        <v>213</v>
      </c>
      <c r="B433" s="225"/>
      <c r="C433" s="227"/>
      <c r="D433" s="228">
        <f>(SUMPRODUCT(E433:AL433*$E$6:$AL$6)/100)+(SUMPRODUCT(E433:AL433*$E$6:$AL$6*$E$3:$AL$3)/100)</f>
        <v>0</v>
      </c>
      <c r="E433" s="227"/>
      <c r="F433" s="227"/>
      <c r="G433" s="227"/>
      <c r="H433" s="227"/>
      <c r="I433" s="227"/>
      <c r="J433" s="227"/>
      <c r="K433" s="227"/>
      <c r="L433" s="227"/>
      <c r="M433" s="227"/>
      <c r="N433" s="227"/>
      <c r="O433" s="227"/>
      <c r="P433" s="227"/>
      <c r="Q433" s="227"/>
      <c r="R433" s="227"/>
      <c r="S433" s="227"/>
      <c r="T433" s="227"/>
      <c r="U433" s="227"/>
      <c r="V433" s="227"/>
      <c r="W433" s="227"/>
      <c r="X433" s="227"/>
      <c r="Y433" s="227"/>
      <c r="Z433" s="227"/>
      <c r="AA433" s="227"/>
      <c r="AB433" s="227"/>
      <c r="AC433" s="227"/>
      <c r="AD433" s="227"/>
      <c r="AE433" s="227"/>
      <c r="AF433" s="227"/>
      <c r="AG433" s="227"/>
      <c r="AH433" s="227"/>
      <c r="AI433" s="227"/>
      <c r="AJ433" s="227"/>
      <c r="AK433" s="227"/>
      <c r="AL433" s="225"/>
      <c r="AM433" s="227"/>
    </row>
    <row r="434" spans="1:39" ht="20.100000000000001" customHeight="1">
      <c r="A434" s="227"/>
      <c r="B434" s="225"/>
      <c r="C434" s="227"/>
      <c r="D434" s="224"/>
      <c r="E434" s="227"/>
      <c r="F434" s="227"/>
      <c r="G434" s="227"/>
      <c r="H434" s="227"/>
      <c r="I434" s="227"/>
      <c r="J434" s="227"/>
      <c r="K434" s="227"/>
      <c r="L434" s="227"/>
      <c r="M434" s="227"/>
      <c r="N434" s="227"/>
      <c r="O434" s="227"/>
      <c r="P434" s="227"/>
      <c r="Q434" s="227"/>
      <c r="R434" s="227"/>
      <c r="S434" s="227"/>
      <c r="T434" s="227"/>
      <c r="U434" s="227"/>
      <c r="V434" s="227"/>
      <c r="W434" s="227"/>
      <c r="X434" s="227"/>
      <c r="Y434" s="227"/>
      <c r="Z434" s="227"/>
      <c r="AA434" s="227"/>
      <c r="AB434" s="227"/>
      <c r="AC434" s="227"/>
      <c r="AD434" s="227"/>
      <c r="AE434" s="227"/>
      <c r="AF434" s="227"/>
      <c r="AG434" s="227"/>
      <c r="AH434" s="227"/>
      <c r="AI434" s="227"/>
      <c r="AJ434" s="227"/>
      <c r="AK434" s="227"/>
      <c r="AL434" s="225"/>
      <c r="AM434" s="227"/>
    </row>
    <row r="435" spans="1:39" ht="20.100000000000001" customHeight="1">
      <c r="A435" s="227">
        <v>214</v>
      </c>
      <c r="B435" s="225"/>
      <c r="C435" s="227"/>
      <c r="D435" s="228">
        <f>(SUMPRODUCT(E435:AL435*$E$6:$AL$6)/100)+(SUMPRODUCT(E435:AL435*$E$6:$AL$6*$E$3:$AL$3)/100)</f>
        <v>0</v>
      </c>
      <c r="E435" s="227"/>
      <c r="F435" s="227"/>
      <c r="G435" s="227"/>
      <c r="H435" s="227"/>
      <c r="I435" s="227"/>
      <c r="J435" s="227"/>
      <c r="K435" s="227"/>
      <c r="L435" s="227"/>
      <c r="M435" s="227"/>
      <c r="N435" s="227"/>
      <c r="O435" s="227"/>
      <c r="P435" s="227"/>
      <c r="Q435" s="227"/>
      <c r="R435" s="227"/>
      <c r="S435" s="227"/>
      <c r="T435" s="227"/>
      <c r="U435" s="227"/>
      <c r="V435" s="227"/>
      <c r="W435" s="227"/>
      <c r="X435" s="227"/>
      <c r="Y435" s="227"/>
      <c r="Z435" s="227"/>
      <c r="AA435" s="227"/>
      <c r="AB435" s="227"/>
      <c r="AC435" s="227"/>
      <c r="AD435" s="227"/>
      <c r="AE435" s="227"/>
      <c r="AF435" s="227"/>
      <c r="AG435" s="227"/>
      <c r="AH435" s="227"/>
      <c r="AI435" s="227"/>
      <c r="AJ435" s="227"/>
      <c r="AK435" s="227"/>
      <c r="AL435" s="225"/>
      <c r="AM435" s="227"/>
    </row>
    <row r="436" spans="1:39" ht="20.100000000000001" customHeight="1">
      <c r="A436" s="223"/>
      <c r="B436" s="225"/>
      <c r="C436" s="227"/>
      <c r="D436" s="224"/>
      <c r="E436" s="227"/>
      <c r="F436" s="227"/>
      <c r="G436" s="227"/>
      <c r="H436" s="227"/>
      <c r="I436" s="227"/>
      <c r="J436" s="227"/>
      <c r="K436" s="227"/>
      <c r="L436" s="227"/>
      <c r="M436" s="227"/>
      <c r="N436" s="227"/>
      <c r="O436" s="227"/>
      <c r="P436" s="227"/>
      <c r="Q436" s="227"/>
      <c r="R436" s="227"/>
      <c r="S436" s="227"/>
      <c r="T436" s="227"/>
      <c r="U436" s="227"/>
      <c r="V436" s="227"/>
      <c r="W436" s="227"/>
      <c r="X436" s="227"/>
      <c r="Y436" s="227"/>
      <c r="Z436" s="227"/>
      <c r="AA436" s="227"/>
      <c r="AB436" s="227"/>
      <c r="AC436" s="227"/>
      <c r="AD436" s="227"/>
      <c r="AE436" s="227"/>
      <c r="AF436" s="227"/>
      <c r="AG436" s="227"/>
      <c r="AH436" s="227"/>
      <c r="AI436" s="227"/>
      <c r="AJ436" s="227"/>
      <c r="AK436" s="227"/>
      <c r="AL436" s="225"/>
      <c r="AM436" s="227"/>
    </row>
    <row r="437" spans="1:39" ht="20.100000000000001" customHeight="1">
      <c r="A437" s="227">
        <v>215</v>
      </c>
      <c r="B437" s="225"/>
      <c r="C437" s="227"/>
      <c r="D437" s="228">
        <f>(SUMPRODUCT(E437:AL437*$E$6:$AL$6)/100)+(SUMPRODUCT(E437:AL437*$E$6:$AL$6*$E$3:$AL$3)/100)</f>
        <v>0</v>
      </c>
      <c r="E437" s="227"/>
      <c r="F437" s="227"/>
      <c r="G437" s="227"/>
      <c r="H437" s="227"/>
      <c r="I437" s="227"/>
      <c r="J437" s="227"/>
      <c r="K437" s="227"/>
      <c r="L437" s="227"/>
      <c r="M437" s="227"/>
      <c r="N437" s="227"/>
      <c r="O437" s="227"/>
      <c r="P437" s="227"/>
      <c r="Q437" s="227"/>
      <c r="R437" s="227"/>
      <c r="S437" s="227"/>
      <c r="T437" s="227"/>
      <c r="U437" s="227"/>
      <c r="V437" s="227"/>
      <c r="W437" s="227"/>
      <c r="X437" s="227"/>
      <c r="Y437" s="227"/>
      <c r="Z437" s="227"/>
      <c r="AA437" s="227"/>
      <c r="AB437" s="227"/>
      <c r="AC437" s="227"/>
      <c r="AD437" s="227"/>
      <c r="AE437" s="227"/>
      <c r="AF437" s="227"/>
      <c r="AG437" s="227"/>
      <c r="AH437" s="227"/>
      <c r="AI437" s="227"/>
      <c r="AJ437" s="227"/>
      <c r="AK437" s="227"/>
      <c r="AL437" s="225"/>
      <c r="AM437" s="227"/>
    </row>
    <row r="438" spans="1:39" ht="20.100000000000001" customHeight="1">
      <c r="A438" s="227"/>
      <c r="B438" s="225"/>
      <c r="C438" s="227"/>
      <c r="D438" s="224"/>
      <c r="E438" s="227"/>
      <c r="F438" s="227"/>
      <c r="G438" s="227"/>
      <c r="H438" s="227"/>
      <c r="I438" s="227"/>
      <c r="J438" s="227"/>
      <c r="K438" s="227"/>
      <c r="L438" s="227"/>
      <c r="M438" s="227"/>
      <c r="N438" s="227"/>
      <c r="O438" s="227"/>
      <c r="P438" s="227"/>
      <c r="Q438" s="227"/>
      <c r="R438" s="227"/>
      <c r="S438" s="227"/>
      <c r="T438" s="227"/>
      <c r="U438" s="227"/>
      <c r="V438" s="227"/>
      <c r="W438" s="227"/>
      <c r="X438" s="227"/>
      <c r="Y438" s="227"/>
      <c r="Z438" s="227"/>
      <c r="AA438" s="227"/>
      <c r="AB438" s="227"/>
      <c r="AC438" s="227"/>
      <c r="AD438" s="227"/>
      <c r="AE438" s="227"/>
      <c r="AF438" s="227"/>
      <c r="AG438" s="227"/>
      <c r="AH438" s="227"/>
      <c r="AI438" s="227"/>
      <c r="AJ438" s="227"/>
      <c r="AK438" s="227"/>
      <c r="AL438" s="225"/>
      <c r="AM438" s="227"/>
    </row>
    <row r="439" spans="1:39" ht="20.100000000000001" customHeight="1">
      <c r="A439" s="227">
        <v>216</v>
      </c>
      <c r="B439" s="225"/>
      <c r="C439" s="227"/>
      <c r="D439" s="228">
        <f>(SUMPRODUCT(E439:AL439*$E$6:$AL$6)/100)+(SUMPRODUCT(E439:AL439*$E$6:$AL$6*$E$3:$AL$3)/100)</f>
        <v>0</v>
      </c>
      <c r="E439" s="227"/>
      <c r="F439" s="227"/>
      <c r="G439" s="227"/>
      <c r="H439" s="227"/>
      <c r="I439" s="227"/>
      <c r="J439" s="227"/>
      <c r="K439" s="227"/>
      <c r="L439" s="227"/>
      <c r="M439" s="227"/>
      <c r="N439" s="227"/>
      <c r="O439" s="227"/>
      <c r="P439" s="227"/>
      <c r="Q439" s="227"/>
      <c r="R439" s="227"/>
      <c r="S439" s="227"/>
      <c r="T439" s="227"/>
      <c r="U439" s="227"/>
      <c r="V439" s="227"/>
      <c r="W439" s="227"/>
      <c r="X439" s="227"/>
      <c r="Y439" s="227"/>
      <c r="Z439" s="227"/>
      <c r="AA439" s="227"/>
      <c r="AB439" s="227"/>
      <c r="AC439" s="227"/>
      <c r="AD439" s="227"/>
      <c r="AE439" s="227"/>
      <c r="AF439" s="227"/>
      <c r="AG439" s="227"/>
      <c r="AH439" s="227"/>
      <c r="AI439" s="227"/>
      <c r="AJ439" s="227"/>
      <c r="AK439" s="227"/>
      <c r="AL439" s="225"/>
      <c r="AM439" s="227"/>
    </row>
    <row r="440" spans="1:39" ht="20.100000000000001" customHeight="1">
      <c r="A440" s="223"/>
      <c r="B440" s="225"/>
      <c r="C440" s="227"/>
      <c r="D440" s="224"/>
      <c r="E440" s="227"/>
      <c r="F440" s="227"/>
      <c r="G440" s="227"/>
      <c r="H440" s="227"/>
      <c r="I440" s="227"/>
      <c r="J440" s="227"/>
      <c r="K440" s="227"/>
      <c r="L440" s="227"/>
      <c r="M440" s="227"/>
      <c r="N440" s="227"/>
      <c r="O440" s="227"/>
      <c r="P440" s="227"/>
      <c r="Q440" s="227"/>
      <c r="R440" s="227"/>
      <c r="S440" s="227"/>
      <c r="T440" s="227"/>
      <c r="U440" s="227"/>
      <c r="V440" s="227"/>
      <c r="W440" s="227"/>
      <c r="X440" s="227"/>
      <c r="Y440" s="227"/>
      <c r="Z440" s="227"/>
      <c r="AA440" s="227"/>
      <c r="AB440" s="227"/>
      <c r="AC440" s="227"/>
      <c r="AD440" s="227"/>
      <c r="AE440" s="227"/>
      <c r="AF440" s="227"/>
      <c r="AG440" s="227"/>
      <c r="AH440" s="227"/>
      <c r="AI440" s="227"/>
      <c r="AJ440" s="227"/>
      <c r="AK440" s="227"/>
      <c r="AL440" s="225"/>
      <c r="AM440" s="227"/>
    </row>
    <row r="441" spans="1:39" ht="20.100000000000001" customHeight="1">
      <c r="A441" s="227">
        <v>217</v>
      </c>
      <c r="B441" s="225"/>
      <c r="C441" s="227"/>
      <c r="D441" s="228">
        <f>(SUMPRODUCT(E441:AL441*$E$6:$AL$6)/100)+(SUMPRODUCT(E441:AL441*$E$6:$AL$6*$E$3:$AL$3)/100)</f>
        <v>0</v>
      </c>
      <c r="E441" s="227"/>
      <c r="F441" s="227"/>
      <c r="G441" s="227"/>
      <c r="H441" s="227"/>
      <c r="I441" s="227"/>
      <c r="J441" s="227"/>
      <c r="K441" s="227"/>
      <c r="L441" s="227"/>
      <c r="M441" s="227"/>
      <c r="N441" s="227"/>
      <c r="O441" s="227"/>
      <c r="P441" s="227"/>
      <c r="Q441" s="227"/>
      <c r="R441" s="227"/>
      <c r="S441" s="227"/>
      <c r="T441" s="227"/>
      <c r="U441" s="227"/>
      <c r="V441" s="227"/>
      <c r="W441" s="227"/>
      <c r="X441" s="227"/>
      <c r="Y441" s="227"/>
      <c r="Z441" s="227"/>
      <c r="AA441" s="227"/>
      <c r="AB441" s="227"/>
      <c r="AC441" s="227"/>
      <c r="AD441" s="227"/>
      <c r="AE441" s="227"/>
      <c r="AF441" s="227"/>
      <c r="AG441" s="227"/>
      <c r="AH441" s="227"/>
      <c r="AI441" s="227"/>
      <c r="AJ441" s="227"/>
      <c r="AK441" s="227"/>
      <c r="AL441" s="225"/>
      <c r="AM441" s="227"/>
    </row>
    <row r="442" spans="1:39" ht="20.100000000000001" customHeight="1">
      <c r="A442" s="227"/>
      <c r="B442" s="225"/>
      <c r="C442" s="227"/>
      <c r="D442" s="224"/>
      <c r="E442" s="227"/>
      <c r="F442" s="227"/>
      <c r="G442" s="227"/>
      <c r="H442" s="227"/>
      <c r="I442" s="227"/>
      <c r="J442" s="227"/>
      <c r="K442" s="227"/>
      <c r="L442" s="227"/>
      <c r="M442" s="227"/>
      <c r="N442" s="227"/>
      <c r="O442" s="227"/>
      <c r="P442" s="227"/>
      <c r="Q442" s="227"/>
      <c r="R442" s="227"/>
      <c r="S442" s="227"/>
      <c r="T442" s="227"/>
      <c r="U442" s="227"/>
      <c r="V442" s="227"/>
      <c r="W442" s="227"/>
      <c r="X442" s="227"/>
      <c r="Y442" s="227"/>
      <c r="Z442" s="227"/>
      <c r="AA442" s="227"/>
      <c r="AB442" s="227"/>
      <c r="AC442" s="227"/>
      <c r="AD442" s="227"/>
      <c r="AE442" s="227"/>
      <c r="AF442" s="227"/>
      <c r="AG442" s="227"/>
      <c r="AH442" s="227"/>
      <c r="AI442" s="227"/>
      <c r="AJ442" s="227"/>
      <c r="AK442" s="227"/>
      <c r="AL442" s="225"/>
      <c r="AM442" s="227"/>
    </row>
    <row r="443" spans="1:39" ht="20.100000000000001" customHeight="1">
      <c r="A443" s="227">
        <v>218</v>
      </c>
      <c r="B443" s="225"/>
      <c r="C443" s="227"/>
      <c r="D443" s="228">
        <f>(SUMPRODUCT(E443:AL443*$E$6:$AL$6)/100)+(SUMPRODUCT(E443:AL443*$E$6:$AL$6*$E$3:$AL$3)/100)</f>
        <v>0</v>
      </c>
      <c r="E443" s="227"/>
      <c r="F443" s="227"/>
      <c r="G443" s="227"/>
      <c r="H443" s="227"/>
      <c r="I443" s="227"/>
      <c r="J443" s="227"/>
      <c r="K443" s="227"/>
      <c r="L443" s="227"/>
      <c r="M443" s="227"/>
      <c r="N443" s="227"/>
      <c r="O443" s="227"/>
      <c r="P443" s="227"/>
      <c r="Q443" s="227"/>
      <c r="R443" s="227"/>
      <c r="S443" s="227"/>
      <c r="T443" s="227"/>
      <c r="U443" s="227"/>
      <c r="V443" s="227"/>
      <c r="W443" s="227"/>
      <c r="X443" s="227"/>
      <c r="Y443" s="227"/>
      <c r="Z443" s="227"/>
      <c r="AA443" s="227"/>
      <c r="AB443" s="227"/>
      <c r="AC443" s="227"/>
      <c r="AD443" s="227"/>
      <c r="AE443" s="227"/>
      <c r="AF443" s="227"/>
      <c r="AG443" s="227"/>
      <c r="AH443" s="227"/>
      <c r="AI443" s="227"/>
      <c r="AJ443" s="227"/>
      <c r="AK443" s="227"/>
      <c r="AL443" s="225"/>
      <c r="AM443" s="227"/>
    </row>
    <row r="444" spans="1:39" ht="20.100000000000001" customHeight="1">
      <c r="A444" s="223"/>
      <c r="B444" s="225"/>
      <c r="C444" s="227"/>
      <c r="D444" s="224"/>
      <c r="E444" s="227"/>
      <c r="F444" s="227"/>
      <c r="G444" s="227"/>
      <c r="H444" s="227"/>
      <c r="I444" s="227"/>
      <c r="J444" s="227"/>
      <c r="K444" s="227"/>
      <c r="L444" s="227"/>
      <c r="M444" s="227"/>
      <c r="N444" s="227"/>
      <c r="O444" s="227"/>
      <c r="P444" s="227"/>
      <c r="Q444" s="227"/>
      <c r="R444" s="227"/>
      <c r="S444" s="227"/>
      <c r="T444" s="227"/>
      <c r="U444" s="227"/>
      <c r="V444" s="227"/>
      <c r="W444" s="227"/>
      <c r="X444" s="227"/>
      <c r="Y444" s="227"/>
      <c r="Z444" s="227"/>
      <c r="AA444" s="227"/>
      <c r="AB444" s="227"/>
      <c r="AC444" s="227"/>
      <c r="AD444" s="227"/>
      <c r="AE444" s="227"/>
      <c r="AF444" s="227"/>
      <c r="AG444" s="227"/>
      <c r="AH444" s="227"/>
      <c r="AI444" s="227"/>
      <c r="AJ444" s="227"/>
      <c r="AK444" s="227"/>
      <c r="AL444" s="225"/>
      <c r="AM444" s="227"/>
    </row>
    <row r="445" spans="1:39" ht="20.100000000000001" customHeight="1">
      <c r="A445" s="227">
        <v>219</v>
      </c>
      <c r="B445" s="225"/>
      <c r="C445" s="227"/>
      <c r="D445" s="228">
        <f>(SUMPRODUCT(E445:AL445*$E$6:$AL$6)/100)+(SUMPRODUCT(E445:AL445*$E$6:$AL$6*$E$3:$AL$3)/100)</f>
        <v>0</v>
      </c>
      <c r="E445" s="227"/>
      <c r="F445" s="227"/>
      <c r="G445" s="227"/>
      <c r="H445" s="227"/>
      <c r="I445" s="227"/>
      <c r="J445" s="227"/>
      <c r="K445" s="227"/>
      <c r="L445" s="227"/>
      <c r="M445" s="227"/>
      <c r="N445" s="227"/>
      <c r="O445" s="227"/>
      <c r="P445" s="227"/>
      <c r="Q445" s="227"/>
      <c r="R445" s="227"/>
      <c r="S445" s="227"/>
      <c r="T445" s="227"/>
      <c r="U445" s="227"/>
      <c r="V445" s="227"/>
      <c r="W445" s="227"/>
      <c r="X445" s="227"/>
      <c r="Y445" s="227"/>
      <c r="Z445" s="227"/>
      <c r="AA445" s="227"/>
      <c r="AB445" s="227"/>
      <c r="AC445" s="227"/>
      <c r="AD445" s="227"/>
      <c r="AE445" s="227"/>
      <c r="AF445" s="227"/>
      <c r="AG445" s="227"/>
      <c r="AH445" s="227"/>
      <c r="AI445" s="227"/>
      <c r="AJ445" s="227"/>
      <c r="AK445" s="227"/>
      <c r="AL445" s="225"/>
      <c r="AM445" s="227"/>
    </row>
    <row r="446" spans="1:39" ht="20.100000000000001" customHeight="1">
      <c r="A446" s="227"/>
      <c r="B446" s="225"/>
      <c r="C446" s="227"/>
      <c r="D446" s="224"/>
      <c r="E446" s="227"/>
      <c r="F446" s="227"/>
      <c r="G446" s="227"/>
      <c r="H446" s="227"/>
      <c r="I446" s="227"/>
      <c r="J446" s="227"/>
      <c r="K446" s="227"/>
      <c r="L446" s="227"/>
      <c r="M446" s="227"/>
      <c r="N446" s="227"/>
      <c r="O446" s="227"/>
      <c r="P446" s="227"/>
      <c r="Q446" s="227"/>
      <c r="R446" s="227"/>
      <c r="S446" s="227"/>
      <c r="T446" s="227"/>
      <c r="U446" s="227"/>
      <c r="V446" s="227"/>
      <c r="W446" s="227"/>
      <c r="X446" s="227"/>
      <c r="Y446" s="227"/>
      <c r="Z446" s="227"/>
      <c r="AA446" s="227"/>
      <c r="AB446" s="227"/>
      <c r="AC446" s="227"/>
      <c r="AD446" s="227"/>
      <c r="AE446" s="227"/>
      <c r="AF446" s="227"/>
      <c r="AG446" s="227"/>
      <c r="AH446" s="227"/>
      <c r="AI446" s="227"/>
      <c r="AJ446" s="227"/>
      <c r="AK446" s="227"/>
      <c r="AL446" s="225"/>
      <c r="AM446" s="227"/>
    </row>
    <row r="447" spans="1:39" ht="20.100000000000001" customHeight="1">
      <c r="A447" s="227">
        <v>220</v>
      </c>
      <c r="B447" s="225"/>
      <c r="C447" s="227"/>
      <c r="D447" s="228">
        <f>(SUMPRODUCT(E447:AL447*$E$6:$AL$6)/100)+(SUMPRODUCT(E447:AL447*$E$6:$AL$6*$E$3:$AL$3)/100)</f>
        <v>0</v>
      </c>
      <c r="E447" s="227"/>
      <c r="F447" s="227"/>
      <c r="G447" s="227"/>
      <c r="H447" s="227"/>
      <c r="I447" s="227"/>
      <c r="J447" s="227"/>
      <c r="K447" s="227"/>
      <c r="L447" s="227"/>
      <c r="M447" s="227"/>
      <c r="N447" s="227"/>
      <c r="O447" s="227"/>
      <c r="P447" s="227"/>
      <c r="Q447" s="227"/>
      <c r="R447" s="227"/>
      <c r="S447" s="227"/>
      <c r="T447" s="227"/>
      <c r="U447" s="227"/>
      <c r="V447" s="227"/>
      <c r="W447" s="227"/>
      <c r="X447" s="227"/>
      <c r="Y447" s="227"/>
      <c r="Z447" s="227"/>
      <c r="AA447" s="227"/>
      <c r="AB447" s="227"/>
      <c r="AC447" s="227"/>
      <c r="AD447" s="227"/>
      <c r="AE447" s="227"/>
      <c r="AF447" s="227"/>
      <c r="AG447" s="227"/>
      <c r="AH447" s="227"/>
      <c r="AI447" s="227"/>
      <c r="AJ447" s="227"/>
      <c r="AK447" s="227"/>
      <c r="AL447" s="225"/>
      <c r="AM447" s="227"/>
    </row>
    <row r="448" spans="1:39" ht="20.100000000000001" customHeight="1">
      <c r="A448" s="223"/>
      <c r="B448" s="225"/>
      <c r="C448" s="227"/>
      <c r="D448" s="224"/>
      <c r="E448" s="227"/>
      <c r="F448" s="227"/>
      <c r="G448" s="227"/>
      <c r="H448" s="227"/>
      <c r="I448" s="227"/>
      <c r="J448" s="227"/>
      <c r="K448" s="227"/>
      <c r="L448" s="227"/>
      <c r="M448" s="227"/>
      <c r="N448" s="227"/>
      <c r="O448" s="227"/>
      <c r="P448" s="227"/>
      <c r="Q448" s="227"/>
      <c r="R448" s="227"/>
      <c r="S448" s="227"/>
      <c r="T448" s="227"/>
      <c r="U448" s="227"/>
      <c r="V448" s="227"/>
      <c r="W448" s="227"/>
      <c r="X448" s="227"/>
      <c r="Y448" s="227"/>
      <c r="Z448" s="227"/>
      <c r="AA448" s="227"/>
      <c r="AB448" s="227"/>
      <c r="AC448" s="227"/>
      <c r="AD448" s="227"/>
      <c r="AE448" s="227"/>
      <c r="AF448" s="227"/>
      <c r="AG448" s="227"/>
      <c r="AH448" s="227"/>
      <c r="AI448" s="227"/>
      <c r="AJ448" s="227"/>
      <c r="AK448" s="227"/>
      <c r="AL448" s="225"/>
      <c r="AM448" s="227"/>
    </row>
    <row r="449" spans="1:39" ht="20.100000000000001" customHeight="1">
      <c r="A449" s="227">
        <v>221</v>
      </c>
      <c r="B449" s="225"/>
      <c r="C449" s="227"/>
      <c r="D449" s="228">
        <f>(SUMPRODUCT(E449:AL449*$E$6:$AL$6)/100)+(SUMPRODUCT(E449:AL449*$E$6:$AL$6*$E$3:$AL$3)/100)</f>
        <v>0</v>
      </c>
      <c r="E449" s="227"/>
      <c r="F449" s="227"/>
      <c r="G449" s="227"/>
      <c r="H449" s="227"/>
      <c r="I449" s="227"/>
      <c r="J449" s="227"/>
      <c r="K449" s="227"/>
      <c r="L449" s="227"/>
      <c r="M449" s="227"/>
      <c r="N449" s="227"/>
      <c r="O449" s="227"/>
      <c r="P449" s="227"/>
      <c r="Q449" s="227"/>
      <c r="R449" s="227"/>
      <c r="S449" s="227"/>
      <c r="T449" s="227"/>
      <c r="U449" s="227"/>
      <c r="V449" s="227"/>
      <c r="W449" s="227"/>
      <c r="X449" s="227"/>
      <c r="Y449" s="227"/>
      <c r="Z449" s="227"/>
      <c r="AA449" s="227"/>
      <c r="AB449" s="227"/>
      <c r="AC449" s="227"/>
      <c r="AD449" s="227"/>
      <c r="AE449" s="227"/>
      <c r="AF449" s="227"/>
      <c r="AG449" s="227"/>
      <c r="AH449" s="227"/>
      <c r="AI449" s="227"/>
      <c r="AJ449" s="227"/>
      <c r="AK449" s="227"/>
      <c r="AL449" s="225"/>
      <c r="AM449" s="227"/>
    </row>
    <row r="450" spans="1:39" ht="20.100000000000001" customHeight="1">
      <c r="A450" s="227"/>
      <c r="B450" s="225"/>
      <c r="C450" s="227"/>
      <c r="D450" s="224"/>
      <c r="E450" s="227"/>
      <c r="F450" s="227"/>
      <c r="G450" s="227"/>
      <c r="H450" s="227"/>
      <c r="I450" s="227"/>
      <c r="J450" s="227"/>
      <c r="K450" s="227"/>
      <c r="L450" s="227"/>
      <c r="M450" s="227"/>
      <c r="N450" s="227"/>
      <c r="O450" s="227"/>
      <c r="P450" s="227"/>
      <c r="Q450" s="227"/>
      <c r="R450" s="227"/>
      <c r="S450" s="227"/>
      <c r="T450" s="227"/>
      <c r="U450" s="227"/>
      <c r="V450" s="227"/>
      <c r="W450" s="227"/>
      <c r="X450" s="227"/>
      <c r="Y450" s="227"/>
      <c r="Z450" s="227"/>
      <c r="AA450" s="227"/>
      <c r="AB450" s="227"/>
      <c r="AC450" s="227"/>
      <c r="AD450" s="227"/>
      <c r="AE450" s="227"/>
      <c r="AF450" s="227"/>
      <c r="AG450" s="227"/>
      <c r="AH450" s="227"/>
      <c r="AI450" s="227"/>
      <c r="AJ450" s="227"/>
      <c r="AK450" s="227"/>
      <c r="AL450" s="225"/>
      <c r="AM450" s="227"/>
    </row>
    <row r="451" spans="1:39" ht="20.100000000000001" customHeight="1">
      <c r="A451" s="227">
        <v>222</v>
      </c>
      <c r="B451" s="225"/>
      <c r="C451" s="227"/>
      <c r="D451" s="228">
        <f>(SUMPRODUCT(E451:AL451*$E$6:$AL$6)/100)+(SUMPRODUCT(E451:AL451*$E$6:$AL$6*$E$3:$AL$3)/100)</f>
        <v>0</v>
      </c>
      <c r="E451" s="227"/>
      <c r="F451" s="227"/>
      <c r="G451" s="227"/>
      <c r="H451" s="227"/>
      <c r="I451" s="227"/>
      <c r="J451" s="227"/>
      <c r="K451" s="227"/>
      <c r="L451" s="227"/>
      <c r="M451" s="227"/>
      <c r="N451" s="227"/>
      <c r="O451" s="227"/>
      <c r="P451" s="227"/>
      <c r="Q451" s="227"/>
      <c r="R451" s="227"/>
      <c r="S451" s="227"/>
      <c r="T451" s="227"/>
      <c r="U451" s="227"/>
      <c r="V451" s="227"/>
      <c r="W451" s="227"/>
      <c r="X451" s="227"/>
      <c r="Y451" s="227"/>
      <c r="Z451" s="227"/>
      <c r="AA451" s="227"/>
      <c r="AB451" s="227"/>
      <c r="AC451" s="227"/>
      <c r="AD451" s="227"/>
      <c r="AE451" s="227"/>
      <c r="AF451" s="227"/>
      <c r="AG451" s="227"/>
      <c r="AH451" s="227"/>
      <c r="AI451" s="227"/>
      <c r="AJ451" s="227"/>
      <c r="AK451" s="227"/>
      <c r="AL451" s="225"/>
      <c r="AM451" s="227"/>
    </row>
    <row r="452" spans="1:39" ht="20.100000000000001" customHeight="1">
      <c r="A452" s="223"/>
      <c r="B452" s="225"/>
      <c r="C452" s="227"/>
      <c r="D452" s="224"/>
      <c r="E452" s="227"/>
      <c r="F452" s="227"/>
      <c r="G452" s="227"/>
      <c r="H452" s="227"/>
      <c r="I452" s="227"/>
      <c r="J452" s="227"/>
      <c r="K452" s="227"/>
      <c r="L452" s="227"/>
      <c r="M452" s="227"/>
      <c r="N452" s="227"/>
      <c r="O452" s="227"/>
      <c r="P452" s="227"/>
      <c r="Q452" s="227"/>
      <c r="R452" s="227"/>
      <c r="S452" s="227"/>
      <c r="T452" s="227"/>
      <c r="U452" s="227"/>
      <c r="V452" s="227"/>
      <c r="W452" s="227"/>
      <c r="X452" s="227"/>
      <c r="Y452" s="227"/>
      <c r="Z452" s="227"/>
      <c r="AA452" s="227"/>
      <c r="AB452" s="227"/>
      <c r="AC452" s="227"/>
      <c r="AD452" s="227"/>
      <c r="AE452" s="227"/>
      <c r="AF452" s="227"/>
      <c r="AG452" s="227"/>
      <c r="AH452" s="227"/>
      <c r="AI452" s="227"/>
      <c r="AJ452" s="227"/>
      <c r="AK452" s="227"/>
      <c r="AL452" s="225"/>
      <c r="AM452" s="227"/>
    </row>
    <row r="453" spans="1:39" ht="20.100000000000001" customHeight="1">
      <c r="A453" s="227">
        <v>223</v>
      </c>
      <c r="B453" s="225"/>
      <c r="C453" s="227"/>
      <c r="D453" s="228">
        <f>(SUMPRODUCT(E453:AL453*$E$6:$AL$6)/100)+(SUMPRODUCT(E453:AL453*$E$6:$AL$6*$E$3:$AL$3)/100)</f>
        <v>0</v>
      </c>
      <c r="E453" s="227"/>
      <c r="F453" s="227"/>
      <c r="G453" s="227"/>
      <c r="H453" s="227"/>
      <c r="I453" s="227"/>
      <c r="J453" s="227"/>
      <c r="K453" s="227"/>
      <c r="L453" s="227"/>
      <c r="M453" s="227"/>
      <c r="N453" s="227"/>
      <c r="O453" s="227"/>
      <c r="P453" s="227"/>
      <c r="Q453" s="227"/>
      <c r="R453" s="227"/>
      <c r="S453" s="227"/>
      <c r="T453" s="227"/>
      <c r="U453" s="227"/>
      <c r="V453" s="227"/>
      <c r="W453" s="227"/>
      <c r="X453" s="227"/>
      <c r="Y453" s="227"/>
      <c r="Z453" s="227"/>
      <c r="AA453" s="227"/>
      <c r="AB453" s="227"/>
      <c r="AC453" s="227"/>
      <c r="AD453" s="227"/>
      <c r="AE453" s="227"/>
      <c r="AF453" s="227"/>
      <c r="AG453" s="227"/>
      <c r="AH453" s="227"/>
      <c r="AI453" s="227"/>
      <c r="AJ453" s="227"/>
      <c r="AK453" s="227"/>
      <c r="AL453" s="225"/>
      <c r="AM453" s="227"/>
    </row>
    <row r="454" spans="1:39" ht="20.100000000000001" customHeight="1">
      <c r="A454" s="227"/>
      <c r="B454" s="225"/>
      <c r="C454" s="227"/>
      <c r="D454" s="224"/>
      <c r="E454" s="227"/>
      <c r="F454" s="227"/>
      <c r="G454" s="227"/>
      <c r="H454" s="227"/>
      <c r="I454" s="227"/>
      <c r="J454" s="227"/>
      <c r="K454" s="227"/>
      <c r="L454" s="227"/>
      <c r="M454" s="227"/>
      <c r="N454" s="227"/>
      <c r="O454" s="227"/>
      <c r="P454" s="227"/>
      <c r="Q454" s="227"/>
      <c r="R454" s="227"/>
      <c r="S454" s="227"/>
      <c r="T454" s="227"/>
      <c r="U454" s="227"/>
      <c r="V454" s="227"/>
      <c r="W454" s="227"/>
      <c r="X454" s="227"/>
      <c r="Y454" s="227"/>
      <c r="Z454" s="227"/>
      <c r="AA454" s="227"/>
      <c r="AB454" s="227"/>
      <c r="AC454" s="227"/>
      <c r="AD454" s="227"/>
      <c r="AE454" s="227"/>
      <c r="AF454" s="227"/>
      <c r="AG454" s="227"/>
      <c r="AH454" s="227"/>
      <c r="AI454" s="227"/>
      <c r="AJ454" s="227"/>
      <c r="AK454" s="227"/>
      <c r="AL454" s="225"/>
      <c r="AM454" s="227"/>
    </row>
    <row r="455" spans="1:39" ht="20.100000000000001" customHeight="1">
      <c r="A455" s="227">
        <v>224</v>
      </c>
      <c r="B455" s="225"/>
      <c r="C455" s="227"/>
      <c r="D455" s="228">
        <f>(SUMPRODUCT(E455:AL455*$E$6:$AL$6)/100)+(SUMPRODUCT(E455:AL455*$E$6:$AL$6*$E$3:$AL$3)/100)</f>
        <v>0</v>
      </c>
      <c r="E455" s="227"/>
      <c r="F455" s="227"/>
      <c r="G455" s="227"/>
      <c r="H455" s="227"/>
      <c r="I455" s="227"/>
      <c r="J455" s="227"/>
      <c r="K455" s="227"/>
      <c r="L455" s="227"/>
      <c r="M455" s="227"/>
      <c r="N455" s="227"/>
      <c r="O455" s="227"/>
      <c r="P455" s="227"/>
      <c r="Q455" s="227"/>
      <c r="R455" s="227"/>
      <c r="S455" s="227"/>
      <c r="T455" s="227"/>
      <c r="U455" s="227"/>
      <c r="V455" s="227"/>
      <c r="W455" s="227"/>
      <c r="X455" s="227"/>
      <c r="Y455" s="227"/>
      <c r="Z455" s="227"/>
      <c r="AA455" s="227"/>
      <c r="AB455" s="227"/>
      <c r="AC455" s="227"/>
      <c r="AD455" s="227"/>
      <c r="AE455" s="227"/>
      <c r="AF455" s="227"/>
      <c r="AG455" s="227"/>
      <c r="AH455" s="227"/>
      <c r="AI455" s="227"/>
      <c r="AJ455" s="227"/>
      <c r="AK455" s="227"/>
      <c r="AL455" s="225"/>
      <c r="AM455" s="227"/>
    </row>
    <row r="456" spans="1:39" ht="20.100000000000001" customHeight="1">
      <c r="A456" s="223"/>
      <c r="B456" s="225"/>
      <c r="C456" s="227"/>
      <c r="D456" s="224"/>
      <c r="E456" s="227"/>
      <c r="F456" s="227"/>
      <c r="G456" s="227"/>
      <c r="H456" s="227"/>
      <c r="I456" s="227"/>
      <c r="J456" s="227"/>
      <c r="K456" s="227"/>
      <c r="L456" s="227"/>
      <c r="M456" s="227"/>
      <c r="N456" s="227"/>
      <c r="O456" s="227"/>
      <c r="P456" s="227"/>
      <c r="Q456" s="227"/>
      <c r="R456" s="227"/>
      <c r="S456" s="227"/>
      <c r="T456" s="227"/>
      <c r="U456" s="227"/>
      <c r="V456" s="227"/>
      <c r="W456" s="227"/>
      <c r="X456" s="227"/>
      <c r="Y456" s="227"/>
      <c r="Z456" s="227"/>
      <c r="AA456" s="227"/>
      <c r="AB456" s="227"/>
      <c r="AC456" s="227"/>
      <c r="AD456" s="227"/>
      <c r="AE456" s="227"/>
      <c r="AF456" s="227"/>
      <c r="AG456" s="227"/>
      <c r="AH456" s="227"/>
      <c r="AI456" s="227"/>
      <c r="AJ456" s="227"/>
      <c r="AK456" s="227"/>
      <c r="AL456" s="225"/>
      <c r="AM456" s="227"/>
    </row>
    <row r="457" spans="1:39" ht="20.100000000000001" customHeight="1">
      <c r="A457" s="227">
        <v>225</v>
      </c>
      <c r="B457" s="225"/>
      <c r="C457" s="227"/>
      <c r="D457" s="228">
        <f>(SUMPRODUCT(E457:AL457*$E$6:$AL$6)/100)+(SUMPRODUCT(E457:AL457*$E$6:$AL$6*$E$3:$AL$3)/100)</f>
        <v>0</v>
      </c>
      <c r="E457" s="227"/>
      <c r="F457" s="227"/>
      <c r="G457" s="227"/>
      <c r="H457" s="227"/>
      <c r="I457" s="227"/>
      <c r="J457" s="227"/>
      <c r="K457" s="227"/>
      <c r="L457" s="227"/>
      <c r="M457" s="227"/>
      <c r="N457" s="227"/>
      <c r="O457" s="227"/>
      <c r="P457" s="227"/>
      <c r="Q457" s="227"/>
      <c r="R457" s="227"/>
      <c r="S457" s="227"/>
      <c r="T457" s="227"/>
      <c r="U457" s="227"/>
      <c r="V457" s="227"/>
      <c r="W457" s="227"/>
      <c r="X457" s="227"/>
      <c r="Y457" s="227"/>
      <c r="Z457" s="227"/>
      <c r="AA457" s="227"/>
      <c r="AB457" s="227"/>
      <c r="AC457" s="227"/>
      <c r="AD457" s="227"/>
      <c r="AE457" s="227"/>
      <c r="AF457" s="227"/>
      <c r="AG457" s="227"/>
      <c r="AH457" s="227"/>
      <c r="AI457" s="227"/>
      <c r="AJ457" s="227"/>
      <c r="AK457" s="227"/>
      <c r="AL457" s="225"/>
      <c r="AM457" s="227"/>
    </row>
    <row r="458" spans="1:39" ht="20.100000000000001" customHeight="1">
      <c r="A458" s="227"/>
      <c r="B458" s="225"/>
      <c r="C458" s="227"/>
      <c r="D458" s="224"/>
      <c r="E458" s="227"/>
      <c r="F458" s="227"/>
      <c r="G458" s="227"/>
      <c r="H458" s="227"/>
      <c r="I458" s="227"/>
      <c r="J458" s="227"/>
      <c r="K458" s="227"/>
      <c r="L458" s="227"/>
      <c r="M458" s="227"/>
      <c r="N458" s="227"/>
      <c r="O458" s="227"/>
      <c r="P458" s="227"/>
      <c r="Q458" s="227"/>
      <c r="R458" s="227"/>
      <c r="S458" s="227"/>
      <c r="T458" s="227"/>
      <c r="U458" s="227"/>
      <c r="V458" s="227"/>
      <c r="W458" s="227"/>
      <c r="X458" s="227"/>
      <c r="Y458" s="227"/>
      <c r="Z458" s="227"/>
      <c r="AA458" s="227"/>
      <c r="AB458" s="227"/>
      <c r="AC458" s="227"/>
      <c r="AD458" s="227"/>
      <c r="AE458" s="227"/>
      <c r="AF458" s="227"/>
      <c r="AG458" s="227"/>
      <c r="AH458" s="227"/>
      <c r="AI458" s="227"/>
      <c r="AJ458" s="227"/>
      <c r="AK458" s="227"/>
      <c r="AL458" s="225"/>
      <c r="AM458" s="227"/>
    </row>
    <row r="459" spans="1:39" ht="20.100000000000001" customHeight="1">
      <c r="A459" s="227">
        <v>226</v>
      </c>
      <c r="B459" s="225"/>
      <c r="C459" s="227"/>
      <c r="D459" s="228">
        <f>(SUMPRODUCT(E459:AL459*$E$6:$AL$6)/100)+(SUMPRODUCT(E459:AL459*$E$6:$AL$6*$E$3:$AL$3)/100)</f>
        <v>0</v>
      </c>
      <c r="E459" s="227"/>
      <c r="F459" s="227"/>
      <c r="G459" s="227"/>
      <c r="H459" s="227"/>
      <c r="I459" s="227"/>
      <c r="J459" s="227"/>
      <c r="K459" s="227"/>
      <c r="L459" s="227"/>
      <c r="M459" s="227"/>
      <c r="N459" s="227"/>
      <c r="O459" s="227"/>
      <c r="P459" s="227"/>
      <c r="Q459" s="227"/>
      <c r="R459" s="227"/>
      <c r="S459" s="227"/>
      <c r="T459" s="227"/>
      <c r="U459" s="227"/>
      <c r="V459" s="227"/>
      <c r="W459" s="227"/>
      <c r="X459" s="227"/>
      <c r="Y459" s="227"/>
      <c r="Z459" s="227"/>
      <c r="AA459" s="227"/>
      <c r="AB459" s="227"/>
      <c r="AC459" s="227"/>
      <c r="AD459" s="227"/>
      <c r="AE459" s="227"/>
      <c r="AF459" s="227"/>
      <c r="AG459" s="227"/>
      <c r="AH459" s="227"/>
      <c r="AI459" s="227"/>
      <c r="AJ459" s="227"/>
      <c r="AK459" s="227"/>
      <c r="AL459" s="225"/>
      <c r="AM459" s="227"/>
    </row>
    <row r="460" spans="1:39" ht="20.100000000000001" customHeight="1">
      <c r="A460" s="223"/>
      <c r="B460" s="225"/>
      <c r="C460" s="227"/>
      <c r="D460" s="224"/>
      <c r="E460" s="227"/>
      <c r="F460" s="227"/>
      <c r="G460" s="227"/>
      <c r="H460" s="227"/>
      <c r="I460" s="227"/>
      <c r="J460" s="227"/>
      <c r="K460" s="227"/>
      <c r="L460" s="227"/>
      <c r="M460" s="227"/>
      <c r="N460" s="227"/>
      <c r="O460" s="227"/>
      <c r="P460" s="227"/>
      <c r="Q460" s="227"/>
      <c r="R460" s="227"/>
      <c r="S460" s="227"/>
      <c r="T460" s="227"/>
      <c r="U460" s="227"/>
      <c r="V460" s="227"/>
      <c r="W460" s="227"/>
      <c r="X460" s="227"/>
      <c r="Y460" s="227"/>
      <c r="Z460" s="227"/>
      <c r="AA460" s="227"/>
      <c r="AB460" s="227"/>
      <c r="AC460" s="227"/>
      <c r="AD460" s="227"/>
      <c r="AE460" s="227"/>
      <c r="AF460" s="227"/>
      <c r="AG460" s="227"/>
      <c r="AH460" s="227"/>
      <c r="AI460" s="227"/>
      <c r="AJ460" s="227"/>
      <c r="AK460" s="227"/>
      <c r="AL460" s="225"/>
      <c r="AM460" s="227"/>
    </row>
    <row r="461" spans="1:39" ht="20.100000000000001" customHeight="1">
      <c r="A461" s="227">
        <v>227</v>
      </c>
      <c r="B461" s="225"/>
      <c r="C461" s="227"/>
      <c r="D461" s="228">
        <f>(SUMPRODUCT(E461:AL461*$E$6:$AL$6)/100)+(SUMPRODUCT(E461:AL461*$E$6:$AL$6*$E$3:$AL$3)/100)</f>
        <v>0</v>
      </c>
      <c r="E461" s="227"/>
      <c r="F461" s="227"/>
      <c r="G461" s="227"/>
      <c r="H461" s="227"/>
      <c r="I461" s="227"/>
      <c r="J461" s="227"/>
      <c r="K461" s="227"/>
      <c r="L461" s="227"/>
      <c r="M461" s="227"/>
      <c r="N461" s="227"/>
      <c r="O461" s="227"/>
      <c r="P461" s="227"/>
      <c r="Q461" s="227"/>
      <c r="R461" s="227"/>
      <c r="S461" s="227"/>
      <c r="T461" s="227"/>
      <c r="U461" s="227"/>
      <c r="V461" s="227"/>
      <c r="W461" s="227"/>
      <c r="X461" s="227"/>
      <c r="Y461" s="227"/>
      <c r="Z461" s="227"/>
      <c r="AA461" s="227"/>
      <c r="AB461" s="227"/>
      <c r="AC461" s="227"/>
      <c r="AD461" s="227"/>
      <c r="AE461" s="227"/>
      <c r="AF461" s="227"/>
      <c r="AG461" s="227"/>
      <c r="AH461" s="227"/>
      <c r="AI461" s="227"/>
      <c r="AJ461" s="227"/>
      <c r="AK461" s="227"/>
      <c r="AL461" s="225"/>
      <c r="AM461" s="227"/>
    </row>
    <row r="462" spans="1:39" ht="20.100000000000001" customHeight="1">
      <c r="A462" s="227"/>
      <c r="B462" s="225"/>
      <c r="C462" s="227"/>
      <c r="D462" s="224"/>
      <c r="E462" s="227"/>
      <c r="F462" s="227"/>
      <c r="G462" s="227"/>
      <c r="H462" s="227"/>
      <c r="I462" s="227"/>
      <c r="J462" s="227"/>
      <c r="K462" s="227"/>
      <c r="L462" s="227"/>
      <c r="M462" s="227"/>
      <c r="N462" s="227"/>
      <c r="O462" s="227"/>
      <c r="P462" s="227"/>
      <c r="Q462" s="227"/>
      <c r="R462" s="227"/>
      <c r="S462" s="227"/>
      <c r="T462" s="227"/>
      <c r="U462" s="227"/>
      <c r="V462" s="227"/>
      <c r="W462" s="227"/>
      <c r="X462" s="227"/>
      <c r="Y462" s="227"/>
      <c r="Z462" s="227"/>
      <c r="AA462" s="227"/>
      <c r="AB462" s="227"/>
      <c r="AC462" s="227"/>
      <c r="AD462" s="227"/>
      <c r="AE462" s="227"/>
      <c r="AF462" s="227"/>
      <c r="AG462" s="227"/>
      <c r="AH462" s="227"/>
      <c r="AI462" s="227"/>
      <c r="AJ462" s="227"/>
      <c r="AK462" s="227"/>
      <c r="AL462" s="225"/>
      <c r="AM462" s="227"/>
    </row>
    <row r="463" spans="1:39" ht="20.100000000000001" customHeight="1">
      <c r="A463" s="227">
        <v>228</v>
      </c>
      <c r="B463" s="225"/>
      <c r="C463" s="227"/>
      <c r="D463" s="228">
        <f>(SUMPRODUCT(E463:AL463*$E$6:$AL$6)/100)+(SUMPRODUCT(E463:AL463*$E$6:$AL$6*$E$3:$AL$3)/100)</f>
        <v>0</v>
      </c>
      <c r="E463" s="227"/>
      <c r="F463" s="227"/>
      <c r="G463" s="227"/>
      <c r="H463" s="227"/>
      <c r="I463" s="227"/>
      <c r="J463" s="227"/>
      <c r="K463" s="227"/>
      <c r="L463" s="227"/>
      <c r="M463" s="227"/>
      <c r="N463" s="227"/>
      <c r="O463" s="227"/>
      <c r="P463" s="227"/>
      <c r="Q463" s="227"/>
      <c r="R463" s="227"/>
      <c r="S463" s="227"/>
      <c r="T463" s="227"/>
      <c r="U463" s="227"/>
      <c r="V463" s="227"/>
      <c r="W463" s="227"/>
      <c r="X463" s="227"/>
      <c r="Y463" s="227"/>
      <c r="Z463" s="227"/>
      <c r="AA463" s="227"/>
      <c r="AB463" s="227"/>
      <c r="AC463" s="227"/>
      <c r="AD463" s="227"/>
      <c r="AE463" s="227"/>
      <c r="AF463" s="227"/>
      <c r="AG463" s="227"/>
      <c r="AH463" s="227"/>
      <c r="AI463" s="227"/>
      <c r="AJ463" s="227"/>
      <c r="AK463" s="227"/>
      <c r="AL463" s="225"/>
      <c r="AM463" s="227"/>
    </row>
    <row r="464" spans="1:39" ht="20.100000000000001" customHeight="1">
      <c r="A464" s="223"/>
      <c r="B464" s="225"/>
      <c r="C464" s="227"/>
      <c r="D464" s="224"/>
      <c r="E464" s="227"/>
      <c r="F464" s="227"/>
      <c r="G464" s="227"/>
      <c r="H464" s="227"/>
      <c r="I464" s="227"/>
      <c r="J464" s="227"/>
      <c r="K464" s="227"/>
      <c r="L464" s="227"/>
      <c r="M464" s="227"/>
      <c r="N464" s="227"/>
      <c r="O464" s="227"/>
      <c r="P464" s="227"/>
      <c r="Q464" s="227"/>
      <c r="R464" s="227"/>
      <c r="S464" s="227"/>
      <c r="T464" s="227"/>
      <c r="U464" s="227"/>
      <c r="V464" s="227"/>
      <c r="W464" s="227"/>
      <c r="X464" s="227"/>
      <c r="Y464" s="227"/>
      <c r="Z464" s="227"/>
      <c r="AA464" s="227"/>
      <c r="AB464" s="227"/>
      <c r="AC464" s="227"/>
      <c r="AD464" s="227"/>
      <c r="AE464" s="227"/>
      <c r="AF464" s="227"/>
      <c r="AG464" s="227"/>
      <c r="AH464" s="227"/>
      <c r="AI464" s="227"/>
      <c r="AJ464" s="227"/>
      <c r="AK464" s="227"/>
      <c r="AL464" s="225"/>
      <c r="AM464" s="227"/>
    </row>
    <row r="465" spans="1:39" ht="20.100000000000001" customHeight="1">
      <c r="A465" s="227">
        <v>229</v>
      </c>
      <c r="B465" s="225"/>
      <c r="C465" s="227"/>
      <c r="D465" s="228">
        <f>(SUMPRODUCT(E465:AL465*$E$6:$AL$6)/100)+(SUMPRODUCT(E465:AL465*$E$6:$AL$6*$E$3:$AL$3)/100)</f>
        <v>0</v>
      </c>
      <c r="E465" s="227"/>
      <c r="F465" s="227"/>
      <c r="G465" s="227"/>
      <c r="H465" s="227"/>
      <c r="I465" s="227"/>
      <c r="J465" s="227"/>
      <c r="K465" s="227"/>
      <c r="L465" s="227"/>
      <c r="M465" s="227"/>
      <c r="N465" s="227"/>
      <c r="O465" s="227"/>
      <c r="P465" s="227"/>
      <c r="Q465" s="227"/>
      <c r="R465" s="227"/>
      <c r="S465" s="227"/>
      <c r="T465" s="227"/>
      <c r="U465" s="227"/>
      <c r="V465" s="227"/>
      <c r="W465" s="227"/>
      <c r="X465" s="227"/>
      <c r="Y465" s="227"/>
      <c r="Z465" s="227"/>
      <c r="AA465" s="227"/>
      <c r="AB465" s="227"/>
      <c r="AC465" s="227"/>
      <c r="AD465" s="227"/>
      <c r="AE465" s="227"/>
      <c r="AF465" s="227"/>
      <c r="AG465" s="227"/>
      <c r="AH465" s="227"/>
      <c r="AI465" s="227"/>
      <c r="AJ465" s="227"/>
      <c r="AK465" s="227"/>
      <c r="AL465" s="225"/>
      <c r="AM465" s="227"/>
    </row>
    <row r="466" spans="1:39" ht="20.100000000000001" customHeight="1">
      <c r="A466" s="227"/>
      <c r="B466" s="225"/>
      <c r="C466" s="227"/>
      <c r="D466" s="224"/>
      <c r="E466" s="227"/>
      <c r="F466" s="227"/>
      <c r="G466" s="227"/>
      <c r="H466" s="227"/>
      <c r="I466" s="227"/>
      <c r="J466" s="227"/>
      <c r="K466" s="227"/>
      <c r="L466" s="227"/>
      <c r="M466" s="227"/>
      <c r="N466" s="227"/>
      <c r="O466" s="227"/>
      <c r="P466" s="227"/>
      <c r="Q466" s="227"/>
      <c r="R466" s="227"/>
      <c r="S466" s="227"/>
      <c r="T466" s="227"/>
      <c r="U466" s="227"/>
      <c r="V466" s="227"/>
      <c r="W466" s="227"/>
      <c r="X466" s="227"/>
      <c r="Y466" s="227"/>
      <c r="Z466" s="227"/>
      <c r="AA466" s="227"/>
      <c r="AB466" s="227"/>
      <c r="AC466" s="227"/>
      <c r="AD466" s="227"/>
      <c r="AE466" s="227"/>
      <c r="AF466" s="227"/>
      <c r="AG466" s="227"/>
      <c r="AH466" s="227"/>
      <c r="AI466" s="227"/>
      <c r="AJ466" s="227"/>
      <c r="AK466" s="227"/>
      <c r="AL466" s="225"/>
      <c r="AM466" s="227"/>
    </row>
    <row r="467" spans="1:39" ht="20.100000000000001" customHeight="1">
      <c r="A467" s="227">
        <v>230</v>
      </c>
      <c r="B467" s="225"/>
      <c r="C467" s="227"/>
      <c r="D467" s="228">
        <f>(SUMPRODUCT(E467:AL467*$E$6:$AL$6)/100)+(SUMPRODUCT(E467:AL467*$E$6:$AL$6*$E$3:$AL$3)/100)</f>
        <v>0</v>
      </c>
      <c r="E467" s="227"/>
      <c r="F467" s="227"/>
      <c r="G467" s="227"/>
      <c r="H467" s="227"/>
      <c r="I467" s="227"/>
      <c r="J467" s="227"/>
      <c r="K467" s="227"/>
      <c r="L467" s="227"/>
      <c r="M467" s="227"/>
      <c r="N467" s="227"/>
      <c r="O467" s="227"/>
      <c r="P467" s="227"/>
      <c r="Q467" s="227"/>
      <c r="R467" s="227"/>
      <c r="S467" s="227"/>
      <c r="T467" s="227"/>
      <c r="U467" s="227"/>
      <c r="V467" s="227"/>
      <c r="W467" s="227"/>
      <c r="X467" s="227"/>
      <c r="Y467" s="227"/>
      <c r="Z467" s="227"/>
      <c r="AA467" s="227"/>
      <c r="AB467" s="227"/>
      <c r="AC467" s="227"/>
      <c r="AD467" s="227"/>
      <c r="AE467" s="227"/>
      <c r="AF467" s="227"/>
      <c r="AG467" s="227"/>
      <c r="AH467" s="227"/>
      <c r="AI467" s="227"/>
      <c r="AJ467" s="227"/>
      <c r="AK467" s="227"/>
      <c r="AL467" s="225"/>
      <c r="AM467" s="227"/>
    </row>
    <row r="468" spans="1:39" ht="20.100000000000001" customHeight="1">
      <c r="A468" s="223"/>
      <c r="B468" s="225"/>
      <c r="C468" s="227"/>
      <c r="D468" s="224"/>
      <c r="E468" s="227"/>
      <c r="F468" s="227"/>
      <c r="G468" s="227"/>
      <c r="H468" s="227"/>
      <c r="I468" s="227"/>
      <c r="J468" s="227"/>
      <c r="K468" s="227"/>
      <c r="L468" s="227"/>
      <c r="M468" s="227"/>
      <c r="N468" s="227"/>
      <c r="O468" s="227"/>
      <c r="P468" s="227"/>
      <c r="Q468" s="227"/>
      <c r="R468" s="227"/>
      <c r="S468" s="227"/>
      <c r="T468" s="227"/>
      <c r="U468" s="227"/>
      <c r="V468" s="227"/>
      <c r="W468" s="227"/>
      <c r="X468" s="227"/>
      <c r="Y468" s="227"/>
      <c r="Z468" s="227"/>
      <c r="AA468" s="227"/>
      <c r="AB468" s="227"/>
      <c r="AC468" s="227"/>
      <c r="AD468" s="227"/>
      <c r="AE468" s="227"/>
      <c r="AF468" s="227"/>
      <c r="AG468" s="227"/>
      <c r="AH468" s="227"/>
      <c r="AI468" s="227"/>
      <c r="AJ468" s="227"/>
      <c r="AK468" s="227"/>
      <c r="AL468" s="225"/>
      <c r="AM468" s="227"/>
    </row>
    <row r="469" spans="1:39" ht="20.100000000000001" customHeight="1">
      <c r="A469" s="227">
        <v>231</v>
      </c>
      <c r="B469" s="225"/>
      <c r="C469" s="227"/>
      <c r="D469" s="228">
        <f>(SUMPRODUCT(E469:AL469*$E$6:$AL$6)/100)+(SUMPRODUCT(E469:AL469*$E$6:$AL$6*$E$3:$AL$3)/100)</f>
        <v>0</v>
      </c>
      <c r="E469" s="227"/>
      <c r="F469" s="227"/>
      <c r="G469" s="227"/>
      <c r="H469" s="227"/>
      <c r="I469" s="227"/>
      <c r="J469" s="227"/>
      <c r="K469" s="227"/>
      <c r="L469" s="227"/>
      <c r="M469" s="227"/>
      <c r="N469" s="227"/>
      <c r="O469" s="227"/>
      <c r="P469" s="227"/>
      <c r="Q469" s="227"/>
      <c r="R469" s="227"/>
      <c r="S469" s="227"/>
      <c r="T469" s="227"/>
      <c r="U469" s="227"/>
      <c r="V469" s="227"/>
      <c r="W469" s="227"/>
      <c r="X469" s="227"/>
      <c r="Y469" s="227"/>
      <c r="Z469" s="227"/>
      <c r="AA469" s="227"/>
      <c r="AB469" s="227"/>
      <c r="AC469" s="227"/>
      <c r="AD469" s="227"/>
      <c r="AE469" s="227"/>
      <c r="AF469" s="227"/>
      <c r="AG469" s="227"/>
      <c r="AH469" s="227"/>
      <c r="AI469" s="227"/>
      <c r="AJ469" s="227"/>
      <c r="AK469" s="227"/>
      <c r="AL469" s="225"/>
      <c r="AM469" s="227"/>
    </row>
    <row r="470" spans="1:39" ht="20.100000000000001" customHeight="1">
      <c r="A470" s="227"/>
      <c r="B470" s="225"/>
      <c r="C470" s="227"/>
      <c r="D470" s="224"/>
      <c r="E470" s="227"/>
      <c r="F470" s="227"/>
      <c r="G470" s="227"/>
      <c r="H470" s="227"/>
      <c r="I470" s="227"/>
      <c r="J470" s="227"/>
      <c r="K470" s="227"/>
      <c r="L470" s="227"/>
      <c r="M470" s="227"/>
      <c r="N470" s="227"/>
      <c r="O470" s="227"/>
      <c r="P470" s="227"/>
      <c r="Q470" s="227"/>
      <c r="R470" s="227"/>
      <c r="S470" s="227"/>
      <c r="T470" s="227"/>
      <c r="U470" s="227"/>
      <c r="V470" s="227"/>
      <c r="W470" s="227"/>
      <c r="X470" s="227"/>
      <c r="Y470" s="227"/>
      <c r="Z470" s="227"/>
      <c r="AA470" s="227"/>
      <c r="AB470" s="227"/>
      <c r="AC470" s="227"/>
      <c r="AD470" s="227"/>
      <c r="AE470" s="227"/>
      <c r="AF470" s="227"/>
      <c r="AG470" s="227"/>
      <c r="AH470" s="227"/>
      <c r="AI470" s="227"/>
      <c r="AJ470" s="227"/>
      <c r="AK470" s="227"/>
      <c r="AL470" s="225"/>
      <c r="AM470" s="227"/>
    </row>
    <row r="471" spans="1:39" ht="20.100000000000001" customHeight="1">
      <c r="A471" s="227">
        <v>232</v>
      </c>
      <c r="B471" s="225"/>
      <c r="C471" s="227"/>
      <c r="D471" s="228">
        <f>(SUMPRODUCT(E471:AL471*$E$6:$AL$6)/100)+(SUMPRODUCT(E471:AL471*$E$6:$AL$6*$E$3:$AL$3)/100)</f>
        <v>0</v>
      </c>
      <c r="E471" s="227"/>
      <c r="F471" s="227"/>
      <c r="G471" s="227"/>
      <c r="H471" s="227"/>
      <c r="I471" s="227"/>
      <c r="J471" s="227"/>
      <c r="K471" s="227"/>
      <c r="L471" s="227"/>
      <c r="M471" s="227"/>
      <c r="N471" s="227"/>
      <c r="O471" s="227"/>
      <c r="P471" s="227"/>
      <c r="Q471" s="227"/>
      <c r="R471" s="227"/>
      <c r="S471" s="227"/>
      <c r="T471" s="227"/>
      <c r="U471" s="227"/>
      <c r="V471" s="227"/>
      <c r="W471" s="227"/>
      <c r="X471" s="227"/>
      <c r="Y471" s="227"/>
      <c r="Z471" s="227"/>
      <c r="AA471" s="227"/>
      <c r="AB471" s="227"/>
      <c r="AC471" s="227"/>
      <c r="AD471" s="227"/>
      <c r="AE471" s="227"/>
      <c r="AF471" s="227"/>
      <c r="AG471" s="227"/>
      <c r="AH471" s="227"/>
      <c r="AI471" s="227"/>
      <c r="AJ471" s="227"/>
      <c r="AK471" s="227"/>
      <c r="AL471" s="225"/>
      <c r="AM471" s="227"/>
    </row>
    <row r="472" spans="1:39" ht="20.100000000000001" customHeight="1">
      <c r="A472" s="223"/>
      <c r="B472" s="225"/>
      <c r="C472" s="227"/>
      <c r="D472" s="224"/>
      <c r="E472" s="227"/>
      <c r="F472" s="227"/>
      <c r="G472" s="227"/>
      <c r="H472" s="227"/>
      <c r="I472" s="227"/>
      <c r="J472" s="227"/>
      <c r="K472" s="227"/>
      <c r="L472" s="227"/>
      <c r="M472" s="227"/>
      <c r="N472" s="227"/>
      <c r="O472" s="227"/>
      <c r="P472" s="227"/>
      <c r="Q472" s="227"/>
      <c r="R472" s="227"/>
      <c r="S472" s="227"/>
      <c r="T472" s="227"/>
      <c r="U472" s="227"/>
      <c r="V472" s="227"/>
      <c r="W472" s="227"/>
      <c r="X472" s="227"/>
      <c r="Y472" s="227"/>
      <c r="Z472" s="227"/>
      <c r="AA472" s="227"/>
      <c r="AB472" s="227"/>
      <c r="AC472" s="227"/>
      <c r="AD472" s="227"/>
      <c r="AE472" s="227"/>
      <c r="AF472" s="227"/>
      <c r="AG472" s="227"/>
      <c r="AH472" s="227"/>
      <c r="AI472" s="227"/>
      <c r="AJ472" s="227"/>
      <c r="AK472" s="227"/>
      <c r="AL472" s="225"/>
      <c r="AM472" s="227"/>
    </row>
    <row r="473" spans="1:39" ht="20.100000000000001" customHeight="1">
      <c r="A473" s="227">
        <v>233</v>
      </c>
      <c r="B473" s="225"/>
      <c r="C473" s="227"/>
      <c r="D473" s="228">
        <f>(SUMPRODUCT(E473:AL473*$E$6:$AL$6)/100)+(SUMPRODUCT(E473:AL473*$E$6:$AL$6*$E$3:$AL$3)/100)</f>
        <v>0</v>
      </c>
      <c r="E473" s="227"/>
      <c r="F473" s="227"/>
      <c r="G473" s="227"/>
      <c r="H473" s="227"/>
      <c r="I473" s="227"/>
      <c r="J473" s="227"/>
      <c r="K473" s="227"/>
      <c r="L473" s="227"/>
      <c r="M473" s="227"/>
      <c r="N473" s="227"/>
      <c r="O473" s="227"/>
      <c r="P473" s="227"/>
      <c r="Q473" s="227"/>
      <c r="R473" s="227"/>
      <c r="S473" s="227"/>
      <c r="T473" s="227"/>
      <c r="U473" s="227"/>
      <c r="V473" s="227"/>
      <c r="W473" s="227"/>
      <c r="X473" s="227"/>
      <c r="Y473" s="227"/>
      <c r="Z473" s="227"/>
      <c r="AA473" s="227"/>
      <c r="AB473" s="227"/>
      <c r="AC473" s="227"/>
      <c r="AD473" s="227"/>
      <c r="AE473" s="227"/>
      <c r="AF473" s="227"/>
      <c r="AG473" s="227"/>
      <c r="AH473" s="227"/>
      <c r="AI473" s="227"/>
      <c r="AJ473" s="227"/>
      <c r="AK473" s="227"/>
      <c r="AL473" s="225"/>
      <c r="AM473" s="227"/>
    </row>
    <row r="474" spans="1:39" ht="20.100000000000001" customHeight="1">
      <c r="A474" s="227"/>
      <c r="B474" s="225"/>
      <c r="C474" s="227"/>
      <c r="D474" s="224"/>
      <c r="E474" s="227"/>
      <c r="F474" s="227"/>
      <c r="G474" s="227"/>
      <c r="H474" s="227"/>
      <c r="I474" s="227"/>
      <c r="J474" s="227"/>
      <c r="K474" s="227"/>
      <c r="L474" s="227"/>
      <c r="M474" s="227"/>
      <c r="N474" s="227"/>
      <c r="O474" s="227"/>
      <c r="P474" s="227"/>
      <c r="Q474" s="227"/>
      <c r="R474" s="227"/>
      <c r="S474" s="227"/>
      <c r="T474" s="227"/>
      <c r="U474" s="227"/>
      <c r="V474" s="227"/>
      <c r="W474" s="227"/>
      <c r="X474" s="227"/>
      <c r="Y474" s="227"/>
      <c r="Z474" s="227"/>
      <c r="AA474" s="227"/>
      <c r="AB474" s="227"/>
      <c r="AC474" s="227"/>
      <c r="AD474" s="227"/>
      <c r="AE474" s="227"/>
      <c r="AF474" s="227"/>
      <c r="AG474" s="227"/>
      <c r="AH474" s="227"/>
      <c r="AI474" s="227"/>
      <c r="AJ474" s="227"/>
      <c r="AK474" s="227"/>
      <c r="AL474" s="225"/>
      <c r="AM474" s="227"/>
    </row>
    <row r="475" spans="1:39" ht="20.100000000000001" customHeight="1">
      <c r="A475" s="227">
        <v>234</v>
      </c>
      <c r="B475" s="225"/>
      <c r="C475" s="227"/>
      <c r="D475" s="228">
        <f>(SUMPRODUCT(E475:AL475*$E$6:$AL$6)/100)+(SUMPRODUCT(E475:AL475*$E$6:$AL$6*$E$3:$AL$3)/100)</f>
        <v>0</v>
      </c>
      <c r="E475" s="227"/>
      <c r="F475" s="227"/>
      <c r="G475" s="227"/>
      <c r="H475" s="227"/>
      <c r="I475" s="227"/>
      <c r="J475" s="227"/>
      <c r="K475" s="227"/>
      <c r="L475" s="227"/>
      <c r="M475" s="227"/>
      <c r="N475" s="227"/>
      <c r="O475" s="227"/>
      <c r="P475" s="227"/>
      <c r="Q475" s="227"/>
      <c r="R475" s="227"/>
      <c r="S475" s="227"/>
      <c r="T475" s="227"/>
      <c r="U475" s="227"/>
      <c r="V475" s="227"/>
      <c r="W475" s="227"/>
      <c r="X475" s="227"/>
      <c r="Y475" s="227"/>
      <c r="Z475" s="227"/>
      <c r="AA475" s="227"/>
      <c r="AB475" s="227"/>
      <c r="AC475" s="227"/>
      <c r="AD475" s="227"/>
      <c r="AE475" s="227"/>
      <c r="AF475" s="227"/>
      <c r="AG475" s="227"/>
      <c r="AH475" s="227"/>
      <c r="AI475" s="227"/>
      <c r="AJ475" s="227"/>
      <c r="AK475" s="227"/>
      <c r="AL475" s="225"/>
      <c r="AM475" s="227"/>
    </row>
    <row r="476" spans="1:39" ht="20.100000000000001" customHeight="1">
      <c r="A476" s="223"/>
      <c r="B476" s="225"/>
      <c r="C476" s="227"/>
      <c r="D476" s="224"/>
      <c r="E476" s="227"/>
      <c r="F476" s="227"/>
      <c r="G476" s="227"/>
      <c r="H476" s="227"/>
      <c r="I476" s="227"/>
      <c r="J476" s="227"/>
      <c r="K476" s="227"/>
      <c r="L476" s="227"/>
      <c r="M476" s="227"/>
      <c r="N476" s="227"/>
      <c r="O476" s="227"/>
      <c r="P476" s="227"/>
      <c r="Q476" s="227"/>
      <c r="R476" s="227"/>
      <c r="S476" s="227"/>
      <c r="T476" s="227"/>
      <c r="U476" s="227"/>
      <c r="V476" s="227"/>
      <c r="W476" s="227"/>
      <c r="X476" s="227"/>
      <c r="Y476" s="227"/>
      <c r="Z476" s="227"/>
      <c r="AA476" s="227"/>
      <c r="AB476" s="227"/>
      <c r="AC476" s="227"/>
      <c r="AD476" s="227"/>
      <c r="AE476" s="227"/>
      <c r="AF476" s="227"/>
      <c r="AG476" s="227"/>
      <c r="AH476" s="227"/>
      <c r="AI476" s="227"/>
      <c r="AJ476" s="227"/>
      <c r="AK476" s="227"/>
      <c r="AL476" s="225"/>
      <c r="AM476" s="227"/>
    </row>
    <row r="477" spans="1:39" ht="20.100000000000001" customHeight="1">
      <c r="A477" s="227">
        <v>235</v>
      </c>
      <c r="B477" s="225"/>
      <c r="C477" s="227"/>
      <c r="D477" s="228">
        <f>(SUMPRODUCT(E477:AL477*$E$6:$AL$6)/100)+(SUMPRODUCT(E477:AL477*$E$6:$AL$6*$E$3:$AL$3)/100)</f>
        <v>0</v>
      </c>
      <c r="E477" s="227"/>
      <c r="F477" s="227"/>
      <c r="G477" s="227"/>
      <c r="H477" s="227"/>
      <c r="I477" s="227"/>
      <c r="J477" s="227"/>
      <c r="K477" s="227"/>
      <c r="L477" s="227"/>
      <c r="M477" s="227"/>
      <c r="N477" s="227"/>
      <c r="O477" s="227"/>
      <c r="P477" s="227"/>
      <c r="Q477" s="227"/>
      <c r="R477" s="227"/>
      <c r="S477" s="227"/>
      <c r="T477" s="227"/>
      <c r="U477" s="227"/>
      <c r="V477" s="227"/>
      <c r="W477" s="227"/>
      <c r="X477" s="227"/>
      <c r="Y477" s="227"/>
      <c r="Z477" s="227"/>
      <c r="AA477" s="227"/>
      <c r="AB477" s="227"/>
      <c r="AC477" s="227"/>
      <c r="AD477" s="227"/>
      <c r="AE477" s="227"/>
      <c r="AF477" s="227"/>
      <c r="AG477" s="227"/>
      <c r="AH477" s="227"/>
      <c r="AI477" s="227"/>
      <c r="AJ477" s="227"/>
      <c r="AK477" s="227"/>
      <c r="AL477" s="225"/>
      <c r="AM477" s="227"/>
    </row>
    <row r="478" spans="1:39" ht="20.100000000000001" customHeight="1">
      <c r="A478" s="227"/>
      <c r="B478" s="225"/>
      <c r="C478" s="227"/>
      <c r="D478" s="224"/>
      <c r="E478" s="227"/>
      <c r="F478" s="227"/>
      <c r="G478" s="227"/>
      <c r="H478" s="227"/>
      <c r="I478" s="227"/>
      <c r="J478" s="227"/>
      <c r="K478" s="227"/>
      <c r="L478" s="227"/>
      <c r="M478" s="227"/>
      <c r="N478" s="227"/>
      <c r="O478" s="227"/>
      <c r="P478" s="227"/>
      <c r="Q478" s="227"/>
      <c r="R478" s="227"/>
      <c r="S478" s="227"/>
      <c r="T478" s="227"/>
      <c r="U478" s="227"/>
      <c r="V478" s="227"/>
      <c r="W478" s="227"/>
      <c r="X478" s="227"/>
      <c r="Y478" s="227"/>
      <c r="Z478" s="227"/>
      <c r="AA478" s="227"/>
      <c r="AB478" s="227"/>
      <c r="AC478" s="227"/>
      <c r="AD478" s="227"/>
      <c r="AE478" s="227"/>
      <c r="AF478" s="227"/>
      <c r="AG478" s="227"/>
      <c r="AH478" s="227"/>
      <c r="AI478" s="227"/>
      <c r="AJ478" s="227"/>
      <c r="AK478" s="227"/>
      <c r="AL478" s="225"/>
      <c r="AM478" s="227"/>
    </row>
    <row r="479" spans="1:39" ht="20.100000000000001" customHeight="1">
      <c r="A479" s="227">
        <v>236</v>
      </c>
      <c r="B479" s="225"/>
      <c r="C479" s="227"/>
      <c r="D479" s="228">
        <f>(SUMPRODUCT(E479:AL479*$E$6:$AL$6)/100)+(SUMPRODUCT(E479:AL479*$E$6:$AL$6*$E$3:$AL$3)/100)</f>
        <v>0</v>
      </c>
      <c r="E479" s="227"/>
      <c r="F479" s="227"/>
      <c r="G479" s="227"/>
      <c r="H479" s="227"/>
      <c r="I479" s="227"/>
      <c r="J479" s="227"/>
      <c r="K479" s="227"/>
      <c r="L479" s="227"/>
      <c r="M479" s="227"/>
      <c r="N479" s="227"/>
      <c r="O479" s="227"/>
      <c r="P479" s="227"/>
      <c r="Q479" s="227"/>
      <c r="R479" s="227"/>
      <c r="S479" s="227"/>
      <c r="T479" s="227"/>
      <c r="U479" s="227"/>
      <c r="V479" s="227"/>
      <c r="W479" s="227"/>
      <c r="X479" s="227"/>
      <c r="Y479" s="227"/>
      <c r="Z479" s="227"/>
      <c r="AA479" s="227"/>
      <c r="AB479" s="227"/>
      <c r="AC479" s="227"/>
      <c r="AD479" s="227"/>
      <c r="AE479" s="227"/>
      <c r="AF479" s="227"/>
      <c r="AG479" s="227"/>
      <c r="AH479" s="227"/>
      <c r="AI479" s="227"/>
      <c r="AJ479" s="227"/>
      <c r="AK479" s="227"/>
      <c r="AL479" s="225"/>
      <c r="AM479" s="227"/>
    </row>
    <row r="480" spans="1:39" ht="20.100000000000001" customHeight="1">
      <c r="A480" s="223"/>
      <c r="B480" s="225"/>
      <c r="C480" s="227"/>
      <c r="D480" s="224"/>
      <c r="E480" s="227"/>
      <c r="F480" s="227"/>
      <c r="G480" s="227"/>
      <c r="H480" s="227"/>
      <c r="I480" s="227"/>
      <c r="J480" s="227"/>
      <c r="K480" s="227"/>
      <c r="L480" s="227"/>
      <c r="M480" s="227"/>
      <c r="N480" s="227"/>
      <c r="O480" s="227"/>
      <c r="P480" s="227"/>
      <c r="Q480" s="227"/>
      <c r="R480" s="227"/>
      <c r="S480" s="227"/>
      <c r="T480" s="227"/>
      <c r="U480" s="227"/>
      <c r="V480" s="227"/>
      <c r="W480" s="227"/>
      <c r="X480" s="227"/>
      <c r="Y480" s="227"/>
      <c r="Z480" s="227"/>
      <c r="AA480" s="227"/>
      <c r="AB480" s="227"/>
      <c r="AC480" s="227"/>
      <c r="AD480" s="227"/>
      <c r="AE480" s="227"/>
      <c r="AF480" s="227"/>
      <c r="AG480" s="227"/>
      <c r="AH480" s="227"/>
      <c r="AI480" s="227"/>
      <c r="AJ480" s="227"/>
      <c r="AK480" s="227"/>
      <c r="AL480" s="225"/>
      <c r="AM480" s="227"/>
    </row>
    <row r="481" spans="1:39" ht="20.100000000000001" customHeight="1">
      <c r="A481" s="227">
        <v>237</v>
      </c>
      <c r="B481" s="225"/>
      <c r="C481" s="227"/>
      <c r="D481" s="228">
        <f>(SUMPRODUCT(E481:AL481*$E$6:$AL$6)/100)+(SUMPRODUCT(E481:AL481*$E$6:$AL$6*$E$3:$AL$3)/100)</f>
        <v>0</v>
      </c>
      <c r="E481" s="227"/>
      <c r="F481" s="227"/>
      <c r="G481" s="227"/>
      <c r="H481" s="227"/>
      <c r="I481" s="227"/>
      <c r="J481" s="227"/>
      <c r="K481" s="227"/>
      <c r="L481" s="227"/>
      <c r="M481" s="227"/>
      <c r="N481" s="227"/>
      <c r="O481" s="227"/>
      <c r="P481" s="227"/>
      <c r="Q481" s="227"/>
      <c r="R481" s="227"/>
      <c r="S481" s="227"/>
      <c r="T481" s="227"/>
      <c r="U481" s="227"/>
      <c r="V481" s="227"/>
      <c r="W481" s="227"/>
      <c r="X481" s="227"/>
      <c r="Y481" s="227"/>
      <c r="Z481" s="227"/>
      <c r="AA481" s="227"/>
      <c r="AB481" s="227"/>
      <c r="AC481" s="227"/>
      <c r="AD481" s="227"/>
      <c r="AE481" s="227"/>
      <c r="AF481" s="227"/>
      <c r="AG481" s="227"/>
      <c r="AH481" s="227"/>
      <c r="AI481" s="227"/>
      <c r="AJ481" s="227"/>
      <c r="AK481" s="227"/>
      <c r="AL481" s="225"/>
      <c r="AM481" s="227"/>
    </row>
    <row r="482" spans="1:39" ht="20.100000000000001" customHeight="1">
      <c r="A482" s="227"/>
      <c r="B482" s="225"/>
      <c r="C482" s="227"/>
      <c r="D482" s="224"/>
      <c r="E482" s="227"/>
      <c r="F482" s="227"/>
      <c r="G482" s="227"/>
      <c r="H482" s="227"/>
      <c r="I482" s="227"/>
      <c r="J482" s="227"/>
      <c r="K482" s="227"/>
      <c r="L482" s="227"/>
      <c r="M482" s="227"/>
      <c r="N482" s="227"/>
      <c r="O482" s="227"/>
      <c r="P482" s="227"/>
      <c r="Q482" s="227"/>
      <c r="R482" s="227"/>
      <c r="S482" s="227"/>
      <c r="T482" s="227"/>
      <c r="U482" s="227"/>
      <c r="V482" s="227"/>
      <c r="W482" s="227"/>
      <c r="X482" s="227"/>
      <c r="Y482" s="227"/>
      <c r="Z482" s="227"/>
      <c r="AA482" s="227"/>
      <c r="AB482" s="227"/>
      <c r="AC482" s="227"/>
      <c r="AD482" s="227"/>
      <c r="AE482" s="227"/>
      <c r="AF482" s="227"/>
      <c r="AG482" s="227"/>
      <c r="AH482" s="227"/>
      <c r="AI482" s="227"/>
      <c r="AJ482" s="227"/>
      <c r="AK482" s="227"/>
      <c r="AL482" s="225"/>
      <c r="AM482" s="227"/>
    </row>
    <row r="483" spans="1:39" ht="20.100000000000001" customHeight="1">
      <c r="A483" s="227">
        <v>238</v>
      </c>
      <c r="B483" s="225"/>
      <c r="C483" s="227"/>
      <c r="D483" s="228">
        <f>(SUMPRODUCT(E483:AL483*$E$6:$AL$6)/100)+(SUMPRODUCT(E483:AL483*$E$6:$AL$6*$E$3:$AL$3)/100)</f>
        <v>0</v>
      </c>
      <c r="E483" s="227"/>
      <c r="F483" s="227"/>
      <c r="G483" s="227"/>
      <c r="H483" s="227"/>
      <c r="I483" s="227"/>
      <c r="J483" s="227"/>
      <c r="K483" s="227"/>
      <c r="L483" s="227"/>
      <c r="M483" s="227"/>
      <c r="N483" s="227"/>
      <c r="O483" s="227"/>
      <c r="P483" s="227"/>
      <c r="Q483" s="227"/>
      <c r="R483" s="227"/>
      <c r="S483" s="227"/>
      <c r="T483" s="227"/>
      <c r="U483" s="227"/>
      <c r="V483" s="227"/>
      <c r="W483" s="227"/>
      <c r="X483" s="227"/>
      <c r="Y483" s="227"/>
      <c r="Z483" s="227"/>
      <c r="AA483" s="227"/>
      <c r="AB483" s="227"/>
      <c r="AC483" s="227"/>
      <c r="AD483" s="227"/>
      <c r="AE483" s="227"/>
      <c r="AF483" s="227"/>
      <c r="AG483" s="227"/>
      <c r="AH483" s="227"/>
      <c r="AI483" s="227"/>
      <c r="AJ483" s="227"/>
      <c r="AK483" s="227"/>
      <c r="AL483" s="225"/>
      <c r="AM483" s="227"/>
    </row>
    <row r="484" spans="1:39" ht="20.100000000000001" customHeight="1">
      <c r="A484" s="223"/>
      <c r="B484" s="225"/>
      <c r="C484" s="227"/>
      <c r="D484" s="224"/>
      <c r="E484" s="227"/>
      <c r="F484" s="227"/>
      <c r="G484" s="227"/>
      <c r="H484" s="227"/>
      <c r="I484" s="227"/>
      <c r="J484" s="227"/>
      <c r="K484" s="227"/>
      <c r="L484" s="227"/>
      <c r="M484" s="227"/>
      <c r="N484" s="227"/>
      <c r="O484" s="227"/>
      <c r="P484" s="227"/>
      <c r="Q484" s="227"/>
      <c r="R484" s="227"/>
      <c r="S484" s="227"/>
      <c r="T484" s="227"/>
      <c r="U484" s="227"/>
      <c r="V484" s="227"/>
      <c r="W484" s="227"/>
      <c r="X484" s="227"/>
      <c r="Y484" s="227"/>
      <c r="Z484" s="227"/>
      <c r="AA484" s="227"/>
      <c r="AB484" s="227"/>
      <c r="AC484" s="227"/>
      <c r="AD484" s="227"/>
      <c r="AE484" s="227"/>
      <c r="AF484" s="227"/>
      <c r="AG484" s="227"/>
      <c r="AH484" s="227"/>
      <c r="AI484" s="227"/>
      <c r="AJ484" s="227"/>
      <c r="AK484" s="227"/>
      <c r="AL484" s="225"/>
      <c r="AM484" s="227"/>
    </row>
    <row r="485" spans="1:39" ht="20.100000000000001" customHeight="1">
      <c r="A485" s="227">
        <v>239</v>
      </c>
      <c r="B485" s="225"/>
      <c r="C485" s="227"/>
      <c r="D485" s="228">
        <f>(SUMPRODUCT(E485:AL485*$E$6:$AL$6)/100)+(SUMPRODUCT(E485:AL485*$E$6:$AL$6*$E$3:$AL$3)/100)</f>
        <v>0</v>
      </c>
      <c r="E485" s="227"/>
      <c r="F485" s="227"/>
      <c r="G485" s="227"/>
      <c r="H485" s="227"/>
      <c r="I485" s="227"/>
      <c r="J485" s="227"/>
      <c r="K485" s="227"/>
      <c r="L485" s="227"/>
      <c r="M485" s="227"/>
      <c r="N485" s="227"/>
      <c r="O485" s="227"/>
      <c r="P485" s="227"/>
      <c r="Q485" s="227"/>
      <c r="R485" s="227"/>
      <c r="S485" s="227"/>
      <c r="T485" s="227"/>
      <c r="U485" s="227"/>
      <c r="V485" s="227"/>
      <c r="W485" s="227"/>
      <c r="X485" s="227"/>
      <c r="Y485" s="227"/>
      <c r="Z485" s="227"/>
      <c r="AA485" s="227"/>
      <c r="AB485" s="227"/>
      <c r="AC485" s="227"/>
      <c r="AD485" s="227"/>
      <c r="AE485" s="227"/>
      <c r="AF485" s="227"/>
      <c r="AG485" s="227"/>
      <c r="AH485" s="227"/>
      <c r="AI485" s="227"/>
      <c r="AJ485" s="227"/>
      <c r="AK485" s="227"/>
      <c r="AL485" s="225"/>
      <c r="AM485" s="227"/>
    </row>
    <row r="486" spans="1:39" ht="20.100000000000001" customHeight="1">
      <c r="A486" s="227"/>
      <c r="B486" s="225"/>
      <c r="C486" s="227"/>
      <c r="D486" s="224"/>
      <c r="E486" s="227"/>
      <c r="F486" s="227"/>
      <c r="G486" s="227"/>
      <c r="H486" s="227"/>
      <c r="I486" s="227"/>
      <c r="J486" s="227"/>
      <c r="K486" s="227"/>
      <c r="L486" s="227"/>
      <c r="M486" s="227"/>
      <c r="N486" s="227"/>
      <c r="O486" s="227"/>
      <c r="P486" s="227"/>
      <c r="Q486" s="227"/>
      <c r="R486" s="227"/>
      <c r="S486" s="227"/>
      <c r="T486" s="227"/>
      <c r="U486" s="227"/>
      <c r="V486" s="227"/>
      <c r="W486" s="227"/>
      <c r="X486" s="227"/>
      <c r="Y486" s="227"/>
      <c r="Z486" s="227"/>
      <c r="AA486" s="227"/>
      <c r="AB486" s="227"/>
      <c r="AC486" s="227"/>
      <c r="AD486" s="227"/>
      <c r="AE486" s="227"/>
      <c r="AF486" s="227"/>
      <c r="AG486" s="227"/>
      <c r="AH486" s="227"/>
      <c r="AI486" s="227"/>
      <c r="AJ486" s="227"/>
      <c r="AK486" s="227"/>
      <c r="AL486" s="225"/>
      <c r="AM486" s="227"/>
    </row>
    <row r="487" spans="1:39" ht="20.100000000000001" customHeight="1">
      <c r="A487" s="227">
        <v>240</v>
      </c>
      <c r="B487" s="225"/>
      <c r="C487" s="227"/>
      <c r="D487" s="228">
        <f>(SUMPRODUCT(E487:AL487*$E$6:$AL$6)/100)+(SUMPRODUCT(E487:AL487*$E$6:$AL$6*$E$3:$AL$3)/100)</f>
        <v>0</v>
      </c>
      <c r="E487" s="227"/>
      <c r="F487" s="227"/>
      <c r="G487" s="227"/>
      <c r="H487" s="227"/>
      <c r="I487" s="227"/>
      <c r="J487" s="227"/>
      <c r="K487" s="227"/>
      <c r="L487" s="227"/>
      <c r="M487" s="227"/>
      <c r="N487" s="227"/>
      <c r="O487" s="227"/>
      <c r="P487" s="227"/>
      <c r="Q487" s="227"/>
      <c r="R487" s="227"/>
      <c r="S487" s="227"/>
      <c r="T487" s="227"/>
      <c r="U487" s="227"/>
      <c r="V487" s="227"/>
      <c r="W487" s="227"/>
      <c r="X487" s="227"/>
      <c r="Y487" s="227"/>
      <c r="Z487" s="227"/>
      <c r="AA487" s="227"/>
      <c r="AB487" s="227"/>
      <c r="AC487" s="227"/>
      <c r="AD487" s="227"/>
      <c r="AE487" s="227"/>
      <c r="AF487" s="227"/>
      <c r="AG487" s="227"/>
      <c r="AH487" s="227"/>
      <c r="AI487" s="227"/>
      <c r="AJ487" s="227"/>
      <c r="AK487" s="227"/>
      <c r="AL487" s="225"/>
      <c r="AM487" s="227"/>
    </row>
    <row r="488" spans="1:39" ht="20.100000000000001" customHeight="1">
      <c r="A488" s="223"/>
      <c r="B488" s="225"/>
      <c r="C488" s="227"/>
      <c r="D488" s="224"/>
      <c r="E488" s="227"/>
      <c r="F488" s="227"/>
      <c r="G488" s="227"/>
      <c r="H488" s="227"/>
      <c r="I488" s="227"/>
      <c r="J488" s="227"/>
      <c r="K488" s="227"/>
      <c r="L488" s="227"/>
      <c r="M488" s="227"/>
      <c r="N488" s="227"/>
      <c r="O488" s="227"/>
      <c r="P488" s="227"/>
      <c r="Q488" s="227"/>
      <c r="R488" s="227"/>
      <c r="S488" s="227"/>
      <c r="T488" s="227"/>
      <c r="U488" s="227"/>
      <c r="V488" s="227"/>
      <c r="W488" s="227"/>
      <c r="X488" s="227"/>
      <c r="Y488" s="227"/>
      <c r="Z488" s="227"/>
      <c r="AA488" s="227"/>
      <c r="AB488" s="227"/>
      <c r="AC488" s="227"/>
      <c r="AD488" s="227"/>
      <c r="AE488" s="227"/>
      <c r="AF488" s="227"/>
      <c r="AG488" s="227"/>
      <c r="AH488" s="227"/>
      <c r="AI488" s="227"/>
      <c r="AJ488" s="227"/>
      <c r="AK488" s="227"/>
      <c r="AL488" s="225"/>
      <c r="AM488" s="227"/>
    </row>
    <row r="489" spans="1:39" ht="20.100000000000001" customHeight="1">
      <c r="A489" s="227">
        <v>241</v>
      </c>
      <c r="B489" s="225"/>
      <c r="C489" s="227"/>
      <c r="D489" s="228">
        <f>(SUMPRODUCT(E489:AL489*$E$6:$AL$6)/100)+(SUMPRODUCT(E489:AL489*$E$6:$AL$6*$E$3:$AL$3)/100)</f>
        <v>0</v>
      </c>
      <c r="E489" s="227"/>
      <c r="F489" s="227"/>
      <c r="G489" s="227"/>
      <c r="H489" s="227"/>
      <c r="I489" s="227"/>
      <c r="J489" s="227"/>
      <c r="K489" s="227"/>
      <c r="L489" s="227"/>
      <c r="M489" s="227"/>
      <c r="N489" s="227"/>
      <c r="O489" s="227"/>
      <c r="P489" s="227"/>
      <c r="Q489" s="227"/>
      <c r="R489" s="227"/>
      <c r="S489" s="227"/>
      <c r="T489" s="227"/>
      <c r="U489" s="227"/>
      <c r="V489" s="227"/>
      <c r="W489" s="227"/>
      <c r="X489" s="227"/>
      <c r="Y489" s="227"/>
      <c r="Z489" s="227"/>
      <c r="AA489" s="227"/>
      <c r="AB489" s="227"/>
      <c r="AC489" s="227"/>
      <c r="AD489" s="227"/>
      <c r="AE489" s="227"/>
      <c r="AF489" s="227"/>
      <c r="AG489" s="227"/>
      <c r="AH489" s="227"/>
      <c r="AI489" s="227"/>
      <c r="AJ489" s="227"/>
      <c r="AK489" s="227"/>
      <c r="AL489" s="225"/>
      <c r="AM489" s="227"/>
    </row>
    <row r="490" spans="1:39" ht="20.100000000000001" customHeight="1">
      <c r="A490" s="227"/>
      <c r="B490" s="225"/>
      <c r="C490" s="227"/>
      <c r="D490" s="224"/>
      <c r="E490" s="227"/>
      <c r="F490" s="227"/>
      <c r="G490" s="227"/>
      <c r="H490" s="227"/>
      <c r="I490" s="227"/>
      <c r="J490" s="227"/>
      <c r="K490" s="227"/>
      <c r="L490" s="227"/>
      <c r="M490" s="227"/>
      <c r="N490" s="227"/>
      <c r="O490" s="227"/>
      <c r="P490" s="227"/>
      <c r="Q490" s="227"/>
      <c r="R490" s="227"/>
      <c r="S490" s="227"/>
      <c r="T490" s="227"/>
      <c r="U490" s="227"/>
      <c r="V490" s="227"/>
      <c r="W490" s="227"/>
      <c r="X490" s="227"/>
      <c r="Y490" s="227"/>
      <c r="Z490" s="227"/>
      <c r="AA490" s="227"/>
      <c r="AB490" s="227"/>
      <c r="AC490" s="227"/>
      <c r="AD490" s="227"/>
      <c r="AE490" s="227"/>
      <c r="AF490" s="227"/>
      <c r="AG490" s="227"/>
      <c r="AH490" s="227"/>
      <c r="AI490" s="227"/>
      <c r="AJ490" s="227"/>
      <c r="AK490" s="227"/>
      <c r="AL490" s="225"/>
      <c r="AM490" s="227"/>
    </row>
    <row r="491" spans="1:39" ht="20.100000000000001" customHeight="1">
      <c r="A491" s="227">
        <v>242</v>
      </c>
      <c r="B491" s="225"/>
      <c r="C491" s="227"/>
      <c r="D491" s="228">
        <f>(SUMPRODUCT(E491:AL491*$E$6:$AL$6)/100)+(SUMPRODUCT(E491:AL491*$E$6:$AL$6*$E$3:$AL$3)/100)</f>
        <v>0</v>
      </c>
      <c r="E491" s="227"/>
      <c r="F491" s="227"/>
      <c r="G491" s="227"/>
      <c r="H491" s="227"/>
      <c r="I491" s="227"/>
      <c r="J491" s="227"/>
      <c r="K491" s="227"/>
      <c r="L491" s="227"/>
      <c r="M491" s="227"/>
      <c r="N491" s="227"/>
      <c r="O491" s="227"/>
      <c r="P491" s="227"/>
      <c r="Q491" s="227"/>
      <c r="R491" s="227"/>
      <c r="S491" s="227"/>
      <c r="T491" s="227"/>
      <c r="U491" s="227"/>
      <c r="V491" s="227"/>
      <c r="W491" s="227"/>
      <c r="X491" s="227"/>
      <c r="Y491" s="227"/>
      <c r="Z491" s="227"/>
      <c r="AA491" s="227"/>
      <c r="AB491" s="227"/>
      <c r="AC491" s="227"/>
      <c r="AD491" s="227"/>
      <c r="AE491" s="227"/>
      <c r="AF491" s="227"/>
      <c r="AG491" s="227"/>
      <c r="AH491" s="227"/>
      <c r="AI491" s="227"/>
      <c r="AJ491" s="227"/>
      <c r="AK491" s="227"/>
      <c r="AL491" s="225"/>
      <c r="AM491" s="227"/>
    </row>
    <row r="492" spans="1:39" ht="20.100000000000001" customHeight="1">
      <c r="A492" s="223"/>
      <c r="B492" s="225"/>
      <c r="C492" s="227"/>
      <c r="D492" s="224"/>
      <c r="E492" s="227"/>
      <c r="F492" s="227"/>
      <c r="G492" s="227"/>
      <c r="H492" s="227"/>
      <c r="I492" s="227"/>
      <c r="J492" s="227"/>
      <c r="K492" s="227"/>
      <c r="L492" s="227"/>
      <c r="M492" s="227"/>
      <c r="N492" s="227"/>
      <c r="O492" s="227"/>
      <c r="P492" s="227"/>
      <c r="Q492" s="227"/>
      <c r="R492" s="227"/>
      <c r="S492" s="227"/>
      <c r="T492" s="227"/>
      <c r="U492" s="227"/>
      <c r="V492" s="227"/>
      <c r="W492" s="227"/>
      <c r="X492" s="227"/>
      <c r="Y492" s="227"/>
      <c r="Z492" s="227"/>
      <c r="AA492" s="227"/>
      <c r="AB492" s="227"/>
      <c r="AC492" s="227"/>
      <c r="AD492" s="227"/>
      <c r="AE492" s="227"/>
      <c r="AF492" s="227"/>
      <c r="AG492" s="227"/>
      <c r="AH492" s="227"/>
      <c r="AI492" s="227"/>
      <c r="AJ492" s="227"/>
      <c r="AK492" s="227"/>
      <c r="AL492" s="225"/>
      <c r="AM492" s="227"/>
    </row>
    <row r="493" spans="1:39" ht="20.100000000000001" customHeight="1">
      <c r="A493" s="227">
        <v>243</v>
      </c>
      <c r="B493" s="225"/>
      <c r="C493" s="227"/>
      <c r="D493" s="228">
        <f>(SUMPRODUCT(E493:AL493*$E$6:$AL$6)/100)+(SUMPRODUCT(E493:AL493*$E$6:$AL$6*$E$3:$AL$3)/100)</f>
        <v>0</v>
      </c>
      <c r="E493" s="227"/>
      <c r="F493" s="227"/>
      <c r="G493" s="227"/>
      <c r="H493" s="227"/>
      <c r="I493" s="227"/>
      <c r="J493" s="227"/>
      <c r="K493" s="227"/>
      <c r="L493" s="227"/>
      <c r="M493" s="227"/>
      <c r="N493" s="227"/>
      <c r="O493" s="227"/>
      <c r="P493" s="227"/>
      <c r="Q493" s="227"/>
      <c r="R493" s="227"/>
      <c r="S493" s="227"/>
      <c r="T493" s="227"/>
      <c r="U493" s="227"/>
      <c r="V493" s="227"/>
      <c r="W493" s="227"/>
      <c r="X493" s="227"/>
      <c r="Y493" s="227"/>
      <c r="Z493" s="227"/>
      <c r="AA493" s="227"/>
      <c r="AB493" s="227"/>
      <c r="AC493" s="227"/>
      <c r="AD493" s="227"/>
      <c r="AE493" s="227"/>
      <c r="AF493" s="227"/>
      <c r="AG493" s="227"/>
      <c r="AH493" s="227"/>
      <c r="AI493" s="227"/>
      <c r="AJ493" s="227"/>
      <c r="AK493" s="227"/>
      <c r="AL493" s="225"/>
      <c r="AM493" s="227"/>
    </row>
    <row r="494" spans="1:39" ht="20.100000000000001" customHeight="1">
      <c r="A494" s="227"/>
      <c r="B494" s="225"/>
      <c r="C494" s="227"/>
      <c r="D494" s="224"/>
      <c r="E494" s="227"/>
      <c r="F494" s="227"/>
      <c r="G494" s="227"/>
      <c r="H494" s="227"/>
      <c r="I494" s="227"/>
      <c r="J494" s="227"/>
      <c r="K494" s="227"/>
      <c r="L494" s="227"/>
      <c r="M494" s="227"/>
      <c r="N494" s="227"/>
      <c r="O494" s="227"/>
      <c r="P494" s="227"/>
      <c r="Q494" s="227"/>
      <c r="R494" s="227"/>
      <c r="S494" s="227"/>
      <c r="T494" s="227"/>
      <c r="U494" s="227"/>
      <c r="V494" s="227"/>
      <c r="W494" s="227"/>
      <c r="X494" s="227"/>
      <c r="Y494" s="227"/>
      <c r="Z494" s="227"/>
      <c r="AA494" s="227"/>
      <c r="AB494" s="227"/>
      <c r="AC494" s="227"/>
      <c r="AD494" s="227"/>
      <c r="AE494" s="227"/>
      <c r="AF494" s="227"/>
      <c r="AG494" s="227"/>
      <c r="AH494" s="227"/>
      <c r="AI494" s="227"/>
      <c r="AJ494" s="227"/>
      <c r="AK494" s="227"/>
      <c r="AL494" s="225"/>
      <c r="AM494" s="227"/>
    </row>
    <row r="495" spans="1:39" ht="20.100000000000001" customHeight="1">
      <c r="A495" s="227">
        <v>244</v>
      </c>
      <c r="B495" s="225"/>
      <c r="C495" s="227"/>
      <c r="D495" s="228">
        <f>(SUMPRODUCT(E495:AL495*$E$6:$AL$6)/100)+(SUMPRODUCT(E495:AL495*$E$6:$AL$6*$E$3:$AL$3)/100)</f>
        <v>0</v>
      </c>
      <c r="E495" s="227"/>
      <c r="F495" s="227"/>
      <c r="G495" s="227"/>
      <c r="H495" s="227"/>
      <c r="I495" s="227"/>
      <c r="J495" s="227"/>
      <c r="K495" s="227"/>
      <c r="L495" s="227"/>
      <c r="M495" s="227"/>
      <c r="N495" s="227"/>
      <c r="O495" s="227"/>
      <c r="P495" s="227"/>
      <c r="Q495" s="227"/>
      <c r="R495" s="227"/>
      <c r="S495" s="227"/>
      <c r="T495" s="227"/>
      <c r="U495" s="227"/>
      <c r="V495" s="227"/>
      <c r="W495" s="227"/>
      <c r="X495" s="227"/>
      <c r="Y495" s="227"/>
      <c r="Z495" s="227"/>
      <c r="AA495" s="227"/>
      <c r="AB495" s="227"/>
      <c r="AC495" s="227"/>
      <c r="AD495" s="227"/>
      <c r="AE495" s="227"/>
      <c r="AF495" s="227"/>
      <c r="AG495" s="227"/>
      <c r="AH495" s="227"/>
      <c r="AI495" s="227"/>
      <c r="AJ495" s="227"/>
      <c r="AK495" s="227"/>
      <c r="AL495" s="225"/>
      <c r="AM495" s="227"/>
    </row>
    <row r="496" spans="1:39" ht="20.100000000000001" customHeight="1">
      <c r="A496" s="223"/>
      <c r="B496" s="225"/>
      <c r="C496" s="227"/>
      <c r="D496" s="224"/>
      <c r="E496" s="227"/>
      <c r="F496" s="227"/>
      <c r="G496" s="227"/>
      <c r="H496" s="227"/>
      <c r="I496" s="227"/>
      <c r="J496" s="227"/>
      <c r="K496" s="227"/>
      <c r="L496" s="227"/>
      <c r="M496" s="227"/>
      <c r="N496" s="227"/>
      <c r="O496" s="227"/>
      <c r="P496" s="227"/>
      <c r="Q496" s="227"/>
      <c r="R496" s="227"/>
      <c r="S496" s="227"/>
      <c r="T496" s="227"/>
      <c r="U496" s="227"/>
      <c r="V496" s="227"/>
      <c r="W496" s="227"/>
      <c r="X496" s="227"/>
      <c r="Y496" s="227"/>
      <c r="Z496" s="227"/>
      <c r="AA496" s="227"/>
      <c r="AB496" s="227"/>
      <c r="AC496" s="227"/>
      <c r="AD496" s="227"/>
      <c r="AE496" s="227"/>
      <c r="AF496" s="227"/>
      <c r="AG496" s="227"/>
      <c r="AH496" s="227"/>
      <c r="AI496" s="227"/>
      <c r="AJ496" s="227"/>
      <c r="AK496" s="227"/>
      <c r="AL496" s="225"/>
      <c r="AM496" s="227"/>
    </row>
    <row r="497" spans="1:39" ht="20.100000000000001" customHeight="1">
      <c r="A497" s="227">
        <v>245</v>
      </c>
      <c r="B497" s="225"/>
      <c r="C497" s="227"/>
      <c r="D497" s="228">
        <f>(SUMPRODUCT(E497:AL497*$E$6:$AL$6)/100)+(SUMPRODUCT(E497:AL497*$E$6:$AL$6*$E$3:$AL$3)/100)</f>
        <v>0</v>
      </c>
      <c r="E497" s="227"/>
      <c r="F497" s="227"/>
      <c r="G497" s="227"/>
      <c r="H497" s="227"/>
      <c r="I497" s="227"/>
      <c r="J497" s="227"/>
      <c r="K497" s="227"/>
      <c r="L497" s="227"/>
      <c r="M497" s="227"/>
      <c r="N497" s="227"/>
      <c r="O497" s="227"/>
      <c r="P497" s="227"/>
      <c r="Q497" s="227"/>
      <c r="R497" s="227"/>
      <c r="S497" s="227"/>
      <c r="T497" s="227"/>
      <c r="U497" s="227"/>
      <c r="V497" s="227"/>
      <c r="W497" s="227"/>
      <c r="X497" s="227"/>
      <c r="Y497" s="227"/>
      <c r="Z497" s="227"/>
      <c r="AA497" s="227"/>
      <c r="AB497" s="227"/>
      <c r="AC497" s="227"/>
      <c r="AD497" s="227"/>
      <c r="AE497" s="227"/>
      <c r="AF497" s="227"/>
      <c r="AG497" s="227"/>
      <c r="AH497" s="227"/>
      <c r="AI497" s="227"/>
      <c r="AJ497" s="227"/>
      <c r="AK497" s="227"/>
      <c r="AL497" s="225"/>
      <c r="AM497" s="227"/>
    </row>
    <row r="498" spans="1:39" ht="20.100000000000001" customHeight="1">
      <c r="A498" s="227"/>
      <c r="B498" s="225"/>
      <c r="C498" s="227"/>
      <c r="D498" s="224"/>
      <c r="E498" s="227"/>
      <c r="F498" s="227"/>
      <c r="G498" s="227"/>
      <c r="H498" s="227"/>
      <c r="I498" s="227"/>
      <c r="J498" s="227"/>
      <c r="K498" s="227"/>
      <c r="L498" s="227"/>
      <c r="M498" s="227"/>
      <c r="N498" s="227"/>
      <c r="O498" s="227"/>
      <c r="P498" s="227"/>
      <c r="Q498" s="227"/>
      <c r="R498" s="227"/>
      <c r="S498" s="227"/>
      <c r="T498" s="227"/>
      <c r="U498" s="227"/>
      <c r="V498" s="227"/>
      <c r="W498" s="227"/>
      <c r="X498" s="227"/>
      <c r="Y498" s="227"/>
      <c r="Z498" s="227"/>
      <c r="AA498" s="227"/>
      <c r="AB498" s="227"/>
      <c r="AC498" s="227"/>
      <c r="AD498" s="227"/>
      <c r="AE498" s="227"/>
      <c r="AF498" s="227"/>
      <c r="AG498" s="227"/>
      <c r="AH498" s="227"/>
      <c r="AI498" s="227"/>
      <c r="AJ498" s="227"/>
      <c r="AK498" s="227"/>
      <c r="AL498" s="225"/>
      <c r="AM498" s="227"/>
    </row>
    <row r="499" spans="1:39" ht="20.100000000000001" customHeight="1">
      <c r="A499" s="227">
        <v>246</v>
      </c>
      <c r="B499" s="225"/>
      <c r="C499" s="227"/>
      <c r="D499" s="228">
        <f>(SUMPRODUCT(E499:AL499*$E$6:$AL$6)/100)+(SUMPRODUCT(E499:AL499*$E$6:$AL$6*$E$3:$AL$3)/100)</f>
        <v>0</v>
      </c>
      <c r="E499" s="227"/>
      <c r="F499" s="227"/>
      <c r="G499" s="227"/>
      <c r="H499" s="227"/>
      <c r="I499" s="227"/>
      <c r="J499" s="227"/>
      <c r="K499" s="227"/>
      <c r="L499" s="227"/>
      <c r="M499" s="227"/>
      <c r="N499" s="227"/>
      <c r="O499" s="227"/>
      <c r="P499" s="227"/>
      <c r="Q499" s="227"/>
      <c r="R499" s="227"/>
      <c r="S499" s="227"/>
      <c r="T499" s="227"/>
      <c r="U499" s="227"/>
      <c r="V499" s="227"/>
      <c r="W499" s="227"/>
      <c r="X499" s="227"/>
      <c r="Y499" s="227"/>
      <c r="Z499" s="227"/>
      <c r="AA499" s="227"/>
      <c r="AB499" s="227"/>
      <c r="AC499" s="227"/>
      <c r="AD499" s="227"/>
      <c r="AE499" s="227"/>
      <c r="AF499" s="227"/>
      <c r="AG499" s="227"/>
      <c r="AH499" s="227"/>
      <c r="AI499" s="227"/>
      <c r="AJ499" s="227"/>
      <c r="AK499" s="227"/>
      <c r="AL499" s="225"/>
      <c r="AM499" s="227"/>
    </row>
    <row r="500" spans="1:39" ht="20.100000000000001" customHeight="1">
      <c r="A500" s="223"/>
      <c r="B500" s="225"/>
      <c r="C500" s="227"/>
      <c r="D500" s="224"/>
      <c r="E500" s="227"/>
      <c r="F500" s="227"/>
      <c r="G500" s="227"/>
      <c r="H500" s="227"/>
      <c r="I500" s="227"/>
      <c r="J500" s="227"/>
      <c r="K500" s="227"/>
      <c r="L500" s="227"/>
      <c r="M500" s="227"/>
      <c r="N500" s="227"/>
      <c r="O500" s="227"/>
      <c r="P500" s="227"/>
      <c r="Q500" s="227"/>
      <c r="R500" s="227"/>
      <c r="S500" s="227"/>
      <c r="T500" s="227"/>
      <c r="U500" s="227"/>
      <c r="V500" s="227"/>
      <c r="W500" s="227"/>
      <c r="X500" s="227"/>
      <c r="Y500" s="227"/>
      <c r="Z500" s="227"/>
      <c r="AA500" s="227"/>
      <c r="AB500" s="227"/>
      <c r="AC500" s="227"/>
      <c r="AD500" s="227"/>
      <c r="AE500" s="227"/>
      <c r="AF500" s="227"/>
      <c r="AG500" s="227"/>
      <c r="AH500" s="227"/>
      <c r="AI500" s="227"/>
      <c r="AJ500" s="227"/>
      <c r="AK500" s="227"/>
      <c r="AL500" s="225"/>
      <c r="AM500" s="227"/>
    </row>
    <row r="501" spans="1:39" ht="20.100000000000001" customHeight="1">
      <c r="A501" s="227">
        <v>247</v>
      </c>
      <c r="B501" s="225"/>
      <c r="C501" s="227"/>
      <c r="D501" s="228">
        <f>(SUMPRODUCT(E501:AL501*$E$6:$AL$6)/100)+(SUMPRODUCT(E501:AL501*$E$6:$AL$6*$E$3:$AL$3)/100)</f>
        <v>0</v>
      </c>
      <c r="E501" s="227"/>
      <c r="F501" s="227"/>
      <c r="G501" s="227"/>
      <c r="H501" s="227"/>
      <c r="I501" s="227"/>
      <c r="J501" s="227"/>
      <c r="K501" s="227"/>
      <c r="L501" s="227"/>
      <c r="M501" s="227"/>
      <c r="N501" s="227"/>
      <c r="O501" s="227"/>
      <c r="P501" s="227"/>
      <c r="Q501" s="227"/>
      <c r="R501" s="227"/>
      <c r="S501" s="227"/>
      <c r="T501" s="227"/>
      <c r="U501" s="227"/>
      <c r="V501" s="227"/>
      <c r="W501" s="227"/>
      <c r="X501" s="227"/>
      <c r="Y501" s="227"/>
      <c r="Z501" s="227"/>
      <c r="AA501" s="227"/>
      <c r="AB501" s="227"/>
      <c r="AC501" s="227"/>
      <c r="AD501" s="227"/>
      <c r="AE501" s="227"/>
      <c r="AF501" s="227"/>
      <c r="AG501" s="227"/>
      <c r="AH501" s="227"/>
      <c r="AI501" s="227"/>
      <c r="AJ501" s="227"/>
      <c r="AK501" s="227"/>
      <c r="AL501" s="225"/>
      <c r="AM501" s="227"/>
    </row>
    <row r="502" spans="1:39" ht="20.100000000000001" customHeight="1">
      <c r="A502" s="227"/>
      <c r="B502" s="225"/>
      <c r="C502" s="227"/>
      <c r="D502" s="224"/>
      <c r="E502" s="227"/>
      <c r="F502" s="227"/>
      <c r="G502" s="227"/>
      <c r="H502" s="227"/>
      <c r="I502" s="227"/>
      <c r="J502" s="227"/>
      <c r="K502" s="227"/>
      <c r="L502" s="227"/>
      <c r="M502" s="227"/>
      <c r="N502" s="227"/>
      <c r="O502" s="227"/>
      <c r="P502" s="227"/>
      <c r="Q502" s="227"/>
      <c r="R502" s="227"/>
      <c r="S502" s="227"/>
      <c r="T502" s="227"/>
      <c r="U502" s="227"/>
      <c r="V502" s="227"/>
      <c r="W502" s="227"/>
      <c r="X502" s="227"/>
      <c r="Y502" s="227"/>
      <c r="Z502" s="227"/>
      <c r="AA502" s="227"/>
      <c r="AB502" s="227"/>
      <c r="AC502" s="227"/>
      <c r="AD502" s="227"/>
      <c r="AE502" s="227"/>
      <c r="AF502" s="227"/>
      <c r="AG502" s="227"/>
      <c r="AH502" s="227"/>
      <c r="AI502" s="227"/>
      <c r="AJ502" s="227"/>
      <c r="AK502" s="227"/>
      <c r="AL502" s="225"/>
      <c r="AM502" s="227"/>
    </row>
    <row r="503" spans="1:39" ht="20.100000000000001" customHeight="1">
      <c r="A503" s="227">
        <v>248</v>
      </c>
      <c r="B503" s="225"/>
      <c r="C503" s="227"/>
      <c r="D503" s="228">
        <f>(SUMPRODUCT(E503:AL503*$E$6:$AL$6)/100)+(SUMPRODUCT(E503:AL503*$E$6:$AL$6*$E$3:$AL$3)/100)</f>
        <v>0</v>
      </c>
      <c r="E503" s="227"/>
      <c r="F503" s="227"/>
      <c r="G503" s="227"/>
      <c r="H503" s="227"/>
      <c r="I503" s="227"/>
      <c r="J503" s="227"/>
      <c r="K503" s="227"/>
      <c r="L503" s="227"/>
      <c r="M503" s="227"/>
      <c r="N503" s="227"/>
      <c r="O503" s="227"/>
      <c r="P503" s="227"/>
      <c r="Q503" s="227"/>
      <c r="R503" s="227"/>
      <c r="S503" s="227"/>
      <c r="T503" s="227"/>
      <c r="U503" s="227"/>
      <c r="V503" s="227"/>
      <c r="W503" s="227"/>
      <c r="X503" s="227"/>
      <c r="Y503" s="227"/>
      <c r="Z503" s="227"/>
      <c r="AA503" s="227"/>
      <c r="AB503" s="227"/>
      <c r="AC503" s="227"/>
      <c r="AD503" s="227"/>
      <c r="AE503" s="227"/>
      <c r="AF503" s="227"/>
      <c r="AG503" s="227"/>
      <c r="AH503" s="227"/>
      <c r="AI503" s="227"/>
      <c r="AJ503" s="227"/>
      <c r="AK503" s="227"/>
      <c r="AL503" s="225"/>
      <c r="AM503" s="227"/>
    </row>
    <row r="504" spans="1:39" ht="20.100000000000001" customHeight="1">
      <c r="A504" s="223"/>
      <c r="B504" s="225"/>
      <c r="C504" s="227"/>
      <c r="D504" s="224"/>
      <c r="E504" s="227"/>
      <c r="F504" s="227"/>
      <c r="G504" s="227"/>
      <c r="H504" s="227"/>
      <c r="I504" s="227"/>
      <c r="J504" s="227"/>
      <c r="K504" s="227"/>
      <c r="L504" s="227"/>
      <c r="M504" s="227"/>
      <c r="N504" s="227"/>
      <c r="O504" s="227"/>
      <c r="P504" s="227"/>
      <c r="Q504" s="227"/>
      <c r="R504" s="227"/>
      <c r="S504" s="227"/>
      <c r="T504" s="227"/>
      <c r="U504" s="227"/>
      <c r="V504" s="227"/>
      <c r="W504" s="227"/>
      <c r="X504" s="227"/>
      <c r="Y504" s="227"/>
      <c r="Z504" s="227"/>
      <c r="AA504" s="227"/>
      <c r="AB504" s="227"/>
      <c r="AC504" s="227"/>
      <c r="AD504" s="227"/>
      <c r="AE504" s="227"/>
      <c r="AF504" s="227"/>
      <c r="AG504" s="227"/>
      <c r="AH504" s="227"/>
      <c r="AI504" s="227"/>
      <c r="AJ504" s="227"/>
      <c r="AK504" s="227"/>
      <c r="AL504" s="225"/>
      <c r="AM504" s="227"/>
    </row>
    <row r="505" spans="1:39" ht="20.100000000000001" customHeight="1">
      <c r="A505" s="227">
        <v>249</v>
      </c>
      <c r="B505" s="225"/>
      <c r="C505" s="227"/>
      <c r="D505" s="228">
        <f>(SUMPRODUCT(E505:AL505*$E$6:$AL$6)/100)+(SUMPRODUCT(E505:AL505*$E$6:$AL$6*$E$3:$AL$3)/100)</f>
        <v>0</v>
      </c>
      <c r="E505" s="227"/>
      <c r="F505" s="227"/>
      <c r="G505" s="227"/>
      <c r="H505" s="227"/>
      <c r="I505" s="227"/>
      <c r="J505" s="227"/>
      <c r="K505" s="227"/>
      <c r="L505" s="227"/>
      <c r="M505" s="227"/>
      <c r="N505" s="227"/>
      <c r="O505" s="227"/>
      <c r="P505" s="227"/>
      <c r="Q505" s="227"/>
      <c r="R505" s="227"/>
      <c r="S505" s="227"/>
      <c r="T505" s="227"/>
      <c r="U505" s="227"/>
      <c r="V505" s="227"/>
      <c r="W505" s="227"/>
      <c r="X505" s="227"/>
      <c r="Y505" s="227"/>
      <c r="Z505" s="227"/>
      <c r="AA505" s="227"/>
      <c r="AB505" s="227"/>
      <c r="AC505" s="227"/>
      <c r="AD505" s="227"/>
      <c r="AE505" s="227"/>
      <c r="AF505" s="227"/>
      <c r="AG505" s="227"/>
      <c r="AH505" s="227"/>
      <c r="AI505" s="227"/>
      <c r="AJ505" s="227"/>
      <c r="AK505" s="227"/>
      <c r="AL505" s="225"/>
      <c r="AM505" s="227"/>
    </row>
    <row r="506" spans="1:39" ht="20.100000000000001" customHeight="1">
      <c r="A506" s="227"/>
      <c r="B506" s="225"/>
      <c r="C506" s="227"/>
      <c r="D506" s="224"/>
      <c r="E506" s="227"/>
      <c r="F506" s="227"/>
      <c r="G506" s="227"/>
      <c r="H506" s="227"/>
      <c r="I506" s="227"/>
      <c r="J506" s="227"/>
      <c r="K506" s="227"/>
      <c r="L506" s="227"/>
      <c r="M506" s="227"/>
      <c r="N506" s="227"/>
      <c r="O506" s="227"/>
      <c r="P506" s="227"/>
      <c r="Q506" s="227"/>
      <c r="R506" s="227"/>
      <c r="S506" s="227"/>
      <c r="T506" s="227"/>
      <c r="U506" s="227"/>
      <c r="V506" s="227"/>
      <c r="W506" s="227"/>
      <c r="X506" s="227"/>
      <c r="Y506" s="227"/>
      <c r="Z506" s="227"/>
      <c r="AA506" s="227"/>
      <c r="AB506" s="227"/>
      <c r="AC506" s="227"/>
      <c r="AD506" s="227"/>
      <c r="AE506" s="227"/>
      <c r="AF506" s="227"/>
      <c r="AG506" s="227"/>
      <c r="AH506" s="227"/>
      <c r="AI506" s="227"/>
      <c r="AJ506" s="227"/>
      <c r="AK506" s="227"/>
      <c r="AL506" s="225"/>
      <c r="AM506" s="227"/>
    </row>
    <row r="507" spans="1:39" ht="20.100000000000001" customHeight="1">
      <c r="A507" s="227">
        <v>250</v>
      </c>
      <c r="B507" s="225"/>
      <c r="C507" s="227"/>
      <c r="D507" s="228">
        <f>(SUMPRODUCT(E507:AL507*$E$6:$AL$6)/100)+(SUMPRODUCT(E507:AL507*$E$6:$AL$6*$E$3:$AL$3)/100)</f>
        <v>0</v>
      </c>
      <c r="E507" s="227"/>
      <c r="F507" s="227"/>
      <c r="G507" s="227"/>
      <c r="H507" s="227"/>
      <c r="I507" s="227"/>
      <c r="J507" s="227"/>
      <c r="K507" s="227"/>
      <c r="L507" s="227"/>
      <c r="M507" s="227"/>
      <c r="N507" s="227"/>
      <c r="O507" s="227"/>
      <c r="P507" s="227"/>
      <c r="Q507" s="227"/>
      <c r="R507" s="227"/>
      <c r="S507" s="227"/>
      <c r="T507" s="227"/>
      <c r="U507" s="227"/>
      <c r="V507" s="227"/>
      <c r="W507" s="227"/>
      <c r="X507" s="227"/>
      <c r="Y507" s="227"/>
      <c r="Z507" s="227"/>
      <c r="AA507" s="227"/>
      <c r="AB507" s="227"/>
      <c r="AC507" s="227"/>
      <c r="AD507" s="227"/>
      <c r="AE507" s="227"/>
      <c r="AF507" s="227"/>
      <c r="AG507" s="227"/>
      <c r="AH507" s="227"/>
      <c r="AI507" s="227"/>
      <c r="AJ507" s="227"/>
      <c r="AK507" s="227"/>
      <c r="AL507" s="225"/>
      <c r="AM507" s="227"/>
    </row>
    <row r="508" spans="1:39" ht="20.100000000000001" customHeight="1">
      <c r="A508" s="223"/>
      <c r="B508" s="225"/>
      <c r="C508" s="227"/>
      <c r="D508" s="224"/>
      <c r="E508" s="227"/>
      <c r="F508" s="227"/>
      <c r="G508" s="227"/>
      <c r="H508" s="227"/>
      <c r="I508" s="227"/>
      <c r="J508" s="227"/>
      <c r="K508" s="227"/>
      <c r="L508" s="227"/>
      <c r="M508" s="227"/>
      <c r="N508" s="227"/>
      <c r="O508" s="227"/>
      <c r="P508" s="227"/>
      <c r="Q508" s="227"/>
      <c r="R508" s="227"/>
      <c r="S508" s="227"/>
      <c r="T508" s="227"/>
      <c r="U508" s="227"/>
      <c r="V508" s="227"/>
      <c r="W508" s="227"/>
      <c r="X508" s="227"/>
      <c r="Y508" s="227"/>
      <c r="Z508" s="227"/>
      <c r="AA508" s="227"/>
      <c r="AB508" s="227"/>
      <c r="AC508" s="227"/>
      <c r="AD508" s="227"/>
      <c r="AE508" s="227"/>
      <c r="AF508" s="227"/>
      <c r="AG508" s="227"/>
      <c r="AH508" s="227"/>
      <c r="AI508" s="227"/>
      <c r="AJ508" s="227"/>
      <c r="AK508" s="227"/>
      <c r="AL508" s="225"/>
      <c r="AM508" s="227"/>
    </row>
    <row r="509" spans="1:39" ht="20.100000000000001" customHeight="1">
      <c r="A509" s="227">
        <v>251</v>
      </c>
      <c r="B509" s="225"/>
      <c r="C509" s="227"/>
      <c r="D509" s="228">
        <f>(SUMPRODUCT(E509:AL509*$E$6:$AL$6)/100)+(SUMPRODUCT(E509:AL509*$E$6:$AL$6*$E$3:$AL$3)/100)</f>
        <v>0</v>
      </c>
      <c r="E509" s="227"/>
      <c r="F509" s="227"/>
      <c r="G509" s="227"/>
      <c r="H509" s="227"/>
      <c r="I509" s="227"/>
      <c r="J509" s="227"/>
      <c r="K509" s="227"/>
      <c r="L509" s="227"/>
      <c r="M509" s="227"/>
      <c r="N509" s="227"/>
      <c r="O509" s="227"/>
      <c r="P509" s="227"/>
      <c r="Q509" s="227"/>
      <c r="R509" s="227"/>
      <c r="S509" s="227"/>
      <c r="T509" s="227"/>
      <c r="U509" s="227"/>
      <c r="V509" s="227"/>
      <c r="W509" s="227"/>
      <c r="X509" s="227"/>
      <c r="Y509" s="227"/>
      <c r="Z509" s="227"/>
      <c r="AA509" s="227"/>
      <c r="AB509" s="227"/>
      <c r="AC509" s="227"/>
      <c r="AD509" s="227"/>
      <c r="AE509" s="227"/>
      <c r="AF509" s="227"/>
      <c r="AG509" s="227"/>
      <c r="AH509" s="227"/>
      <c r="AI509" s="227"/>
      <c r="AJ509" s="227"/>
      <c r="AK509" s="227"/>
      <c r="AL509" s="225"/>
      <c r="AM509" s="227"/>
    </row>
    <row r="510" spans="1:39" ht="20.100000000000001" customHeight="1">
      <c r="A510" s="227"/>
      <c r="B510" s="225"/>
      <c r="C510" s="227"/>
      <c r="D510" s="224"/>
      <c r="E510" s="227"/>
      <c r="F510" s="227"/>
      <c r="G510" s="227"/>
      <c r="H510" s="227"/>
      <c r="I510" s="227"/>
      <c r="J510" s="227"/>
      <c r="K510" s="227"/>
      <c r="L510" s="227"/>
      <c r="M510" s="227"/>
      <c r="N510" s="227"/>
      <c r="O510" s="227"/>
      <c r="P510" s="227"/>
      <c r="Q510" s="227"/>
      <c r="R510" s="227"/>
      <c r="S510" s="227"/>
      <c r="T510" s="227"/>
      <c r="U510" s="227"/>
      <c r="V510" s="227"/>
      <c r="W510" s="227"/>
      <c r="X510" s="227"/>
      <c r="Y510" s="227"/>
      <c r="Z510" s="227"/>
      <c r="AA510" s="227"/>
      <c r="AB510" s="227"/>
      <c r="AC510" s="227"/>
      <c r="AD510" s="227"/>
      <c r="AE510" s="227"/>
      <c r="AF510" s="227"/>
      <c r="AG510" s="227"/>
      <c r="AH510" s="227"/>
      <c r="AI510" s="227"/>
      <c r="AJ510" s="227"/>
      <c r="AK510" s="227"/>
      <c r="AL510" s="225"/>
      <c r="AM510" s="227"/>
    </row>
    <row r="511" spans="1:39" ht="20.100000000000001" customHeight="1">
      <c r="A511" s="227">
        <v>252</v>
      </c>
      <c r="B511" s="225"/>
      <c r="C511" s="227"/>
      <c r="D511" s="228">
        <f>(SUMPRODUCT(E511:AL511*$E$6:$AL$6)/100)+(SUMPRODUCT(E511:AL511*$E$6:$AL$6*$E$3:$AL$3)/100)</f>
        <v>0</v>
      </c>
      <c r="E511" s="227"/>
      <c r="F511" s="227"/>
      <c r="G511" s="227"/>
      <c r="H511" s="227"/>
      <c r="I511" s="227"/>
      <c r="J511" s="227"/>
      <c r="K511" s="227"/>
      <c r="L511" s="227"/>
      <c r="M511" s="227"/>
      <c r="N511" s="227"/>
      <c r="O511" s="227"/>
      <c r="P511" s="227"/>
      <c r="Q511" s="227"/>
      <c r="R511" s="227"/>
      <c r="S511" s="227"/>
      <c r="T511" s="227"/>
      <c r="U511" s="227"/>
      <c r="V511" s="227"/>
      <c r="W511" s="227"/>
      <c r="X511" s="227"/>
      <c r="Y511" s="227"/>
      <c r="Z511" s="227"/>
      <c r="AA511" s="227"/>
      <c r="AB511" s="227"/>
      <c r="AC511" s="227"/>
      <c r="AD511" s="227"/>
      <c r="AE511" s="227"/>
      <c r="AF511" s="227"/>
      <c r="AG511" s="227"/>
      <c r="AH511" s="227"/>
      <c r="AI511" s="227"/>
      <c r="AJ511" s="227"/>
      <c r="AK511" s="227"/>
      <c r="AL511" s="225"/>
      <c r="AM511" s="227"/>
    </row>
    <row r="512" spans="1:39" ht="20.100000000000001" customHeight="1">
      <c r="A512" s="223"/>
      <c r="B512" s="225"/>
      <c r="C512" s="227"/>
      <c r="D512" s="224"/>
      <c r="E512" s="227"/>
      <c r="F512" s="227"/>
      <c r="G512" s="227"/>
      <c r="H512" s="227"/>
      <c r="I512" s="227"/>
      <c r="J512" s="227"/>
      <c r="K512" s="227"/>
      <c r="L512" s="227"/>
      <c r="M512" s="227"/>
      <c r="N512" s="227"/>
      <c r="O512" s="227"/>
      <c r="P512" s="227"/>
      <c r="Q512" s="227"/>
      <c r="R512" s="227"/>
      <c r="S512" s="227"/>
      <c r="T512" s="227"/>
      <c r="U512" s="227"/>
      <c r="V512" s="227"/>
      <c r="W512" s="227"/>
      <c r="X512" s="227"/>
      <c r="Y512" s="227"/>
      <c r="Z512" s="227"/>
      <c r="AA512" s="227"/>
      <c r="AB512" s="227"/>
      <c r="AC512" s="227"/>
      <c r="AD512" s="227"/>
      <c r="AE512" s="227"/>
      <c r="AF512" s="227"/>
      <c r="AG512" s="227"/>
      <c r="AH512" s="227"/>
      <c r="AI512" s="227"/>
      <c r="AJ512" s="227"/>
      <c r="AK512" s="227"/>
      <c r="AL512" s="225"/>
      <c r="AM512" s="227"/>
    </row>
    <row r="513" spans="1:39" ht="20.100000000000001" customHeight="1">
      <c r="A513" s="227">
        <v>253</v>
      </c>
      <c r="B513" s="225"/>
      <c r="C513" s="227"/>
      <c r="D513" s="228">
        <f>(SUMPRODUCT(E513:AL513*$E$6:$AL$6)/100)+(SUMPRODUCT(E513:AL513*$E$6:$AL$6*$E$3:$AL$3)/100)</f>
        <v>0</v>
      </c>
      <c r="E513" s="227"/>
      <c r="F513" s="227"/>
      <c r="G513" s="227"/>
      <c r="H513" s="227"/>
      <c r="I513" s="227"/>
      <c r="J513" s="227"/>
      <c r="K513" s="227"/>
      <c r="L513" s="227"/>
      <c r="M513" s="227"/>
      <c r="N513" s="227"/>
      <c r="O513" s="227"/>
      <c r="P513" s="227"/>
      <c r="Q513" s="227"/>
      <c r="R513" s="227"/>
      <c r="S513" s="227"/>
      <c r="T513" s="227"/>
      <c r="U513" s="227"/>
      <c r="V513" s="227"/>
      <c r="W513" s="227"/>
      <c r="X513" s="227"/>
      <c r="Y513" s="227"/>
      <c r="Z513" s="227"/>
      <c r="AA513" s="227"/>
      <c r="AB513" s="227"/>
      <c r="AC513" s="227"/>
      <c r="AD513" s="227"/>
      <c r="AE513" s="227"/>
      <c r="AF513" s="227"/>
      <c r="AG513" s="227"/>
      <c r="AH513" s="227"/>
      <c r="AI513" s="227"/>
      <c r="AJ513" s="227"/>
      <c r="AK513" s="227"/>
      <c r="AL513" s="225"/>
      <c r="AM513" s="227"/>
    </row>
    <row r="514" spans="1:39" ht="20.100000000000001" customHeight="1">
      <c r="A514" s="227"/>
      <c r="B514" s="225"/>
      <c r="C514" s="227"/>
      <c r="D514" s="224"/>
      <c r="E514" s="227"/>
      <c r="F514" s="227"/>
      <c r="G514" s="227"/>
      <c r="H514" s="227"/>
      <c r="I514" s="227"/>
      <c r="J514" s="227"/>
      <c r="K514" s="227"/>
      <c r="L514" s="227"/>
      <c r="M514" s="227"/>
      <c r="N514" s="227"/>
      <c r="O514" s="227"/>
      <c r="P514" s="227"/>
      <c r="Q514" s="227"/>
      <c r="R514" s="227"/>
      <c r="S514" s="227"/>
      <c r="T514" s="227"/>
      <c r="U514" s="227"/>
      <c r="V514" s="227"/>
      <c r="W514" s="227"/>
      <c r="X514" s="227"/>
      <c r="Y514" s="227"/>
      <c r="Z514" s="227"/>
      <c r="AA514" s="227"/>
      <c r="AB514" s="227"/>
      <c r="AC514" s="227"/>
      <c r="AD514" s="227"/>
      <c r="AE514" s="227"/>
      <c r="AF514" s="227"/>
      <c r="AG514" s="227"/>
      <c r="AH514" s="227"/>
      <c r="AI514" s="227"/>
      <c r="AJ514" s="227"/>
      <c r="AK514" s="227"/>
      <c r="AL514" s="225"/>
      <c r="AM514" s="227"/>
    </row>
    <row r="515" spans="1:39" ht="20.100000000000001" customHeight="1">
      <c r="A515" s="227">
        <v>254</v>
      </c>
      <c r="B515" s="225"/>
      <c r="C515" s="227"/>
      <c r="D515" s="228">
        <f>(SUMPRODUCT(E515:AL515*$E$6:$AL$6)/100)+(SUMPRODUCT(E515:AL515*$E$6:$AL$6*$E$3:$AL$3)/100)</f>
        <v>0</v>
      </c>
      <c r="E515" s="227"/>
      <c r="F515" s="227"/>
      <c r="G515" s="227"/>
      <c r="H515" s="227"/>
      <c r="I515" s="227"/>
      <c r="J515" s="227"/>
      <c r="K515" s="227"/>
      <c r="L515" s="227"/>
      <c r="M515" s="227"/>
      <c r="N515" s="227"/>
      <c r="O515" s="227"/>
      <c r="P515" s="227"/>
      <c r="Q515" s="227"/>
      <c r="R515" s="227"/>
      <c r="S515" s="227"/>
      <c r="T515" s="227"/>
      <c r="U515" s="227"/>
      <c r="V515" s="227"/>
      <c r="W515" s="227"/>
      <c r="X515" s="227"/>
      <c r="Y515" s="227"/>
      <c r="Z515" s="227"/>
      <c r="AA515" s="227"/>
      <c r="AB515" s="227"/>
      <c r="AC515" s="227"/>
      <c r="AD515" s="227"/>
      <c r="AE515" s="227"/>
      <c r="AF515" s="227"/>
      <c r="AG515" s="227"/>
      <c r="AH515" s="227"/>
      <c r="AI515" s="227"/>
      <c r="AJ515" s="227"/>
      <c r="AK515" s="227"/>
      <c r="AL515" s="225"/>
      <c r="AM515" s="227"/>
    </row>
    <row r="516" spans="1:39" ht="20.100000000000001" customHeight="1">
      <c r="A516" s="223"/>
      <c r="B516" s="225"/>
      <c r="C516" s="227"/>
      <c r="D516" s="224"/>
      <c r="E516" s="227"/>
      <c r="F516" s="227"/>
      <c r="G516" s="227"/>
      <c r="H516" s="227"/>
      <c r="I516" s="227"/>
      <c r="J516" s="227"/>
      <c r="K516" s="227"/>
      <c r="L516" s="227"/>
      <c r="M516" s="227"/>
      <c r="N516" s="227"/>
      <c r="O516" s="227"/>
      <c r="P516" s="227"/>
      <c r="Q516" s="227"/>
      <c r="R516" s="227"/>
      <c r="S516" s="227"/>
      <c r="T516" s="227"/>
      <c r="U516" s="227"/>
      <c r="V516" s="227"/>
      <c r="W516" s="227"/>
      <c r="X516" s="227"/>
      <c r="Y516" s="227"/>
      <c r="Z516" s="227"/>
      <c r="AA516" s="227"/>
      <c r="AB516" s="227"/>
      <c r="AC516" s="227"/>
      <c r="AD516" s="227"/>
      <c r="AE516" s="227"/>
      <c r="AF516" s="227"/>
      <c r="AG516" s="227"/>
      <c r="AH516" s="227"/>
      <c r="AI516" s="227"/>
      <c r="AJ516" s="227"/>
      <c r="AK516" s="227"/>
      <c r="AL516" s="225"/>
      <c r="AM516" s="227"/>
    </row>
    <row r="517" spans="1:39" ht="20.100000000000001" customHeight="1">
      <c r="A517" s="227">
        <v>255</v>
      </c>
      <c r="B517" s="225"/>
      <c r="C517" s="227"/>
      <c r="D517" s="228">
        <f>(SUMPRODUCT(E517:AL517*$E$6:$AL$6)/100)+(SUMPRODUCT(E517:AL517*$E$6:$AL$6*$E$3:$AL$3)/100)</f>
        <v>0</v>
      </c>
      <c r="E517" s="227"/>
      <c r="F517" s="227"/>
      <c r="G517" s="227"/>
      <c r="H517" s="227"/>
      <c r="I517" s="227"/>
      <c r="J517" s="227"/>
      <c r="K517" s="227"/>
      <c r="L517" s="227"/>
      <c r="M517" s="227"/>
      <c r="N517" s="227"/>
      <c r="O517" s="227"/>
      <c r="P517" s="227"/>
      <c r="Q517" s="227"/>
      <c r="R517" s="227"/>
      <c r="S517" s="227"/>
      <c r="T517" s="227"/>
      <c r="U517" s="227"/>
      <c r="V517" s="227"/>
      <c r="W517" s="227"/>
      <c r="X517" s="227"/>
      <c r="Y517" s="227"/>
      <c r="Z517" s="227"/>
      <c r="AA517" s="227"/>
      <c r="AB517" s="227"/>
      <c r="AC517" s="227"/>
      <c r="AD517" s="227"/>
      <c r="AE517" s="227"/>
      <c r="AF517" s="227"/>
      <c r="AG517" s="227"/>
      <c r="AH517" s="227"/>
      <c r="AI517" s="227"/>
      <c r="AJ517" s="227"/>
      <c r="AK517" s="227"/>
      <c r="AL517" s="225"/>
      <c r="AM517" s="227"/>
    </row>
    <row r="518" spans="1:39" ht="20.100000000000001" customHeight="1">
      <c r="A518" s="227"/>
      <c r="B518" s="225"/>
      <c r="C518" s="227"/>
      <c r="D518" s="224"/>
      <c r="E518" s="227"/>
      <c r="F518" s="227"/>
      <c r="G518" s="227"/>
      <c r="H518" s="227"/>
      <c r="I518" s="227"/>
      <c r="J518" s="227"/>
      <c r="K518" s="227"/>
      <c r="L518" s="227"/>
      <c r="M518" s="227"/>
      <c r="N518" s="227"/>
      <c r="O518" s="227"/>
      <c r="P518" s="227"/>
      <c r="Q518" s="227"/>
      <c r="R518" s="227"/>
      <c r="S518" s="227"/>
      <c r="T518" s="227"/>
      <c r="U518" s="227"/>
      <c r="V518" s="227"/>
      <c r="W518" s="227"/>
      <c r="X518" s="227"/>
      <c r="Y518" s="227"/>
      <c r="Z518" s="227"/>
      <c r="AA518" s="227"/>
      <c r="AB518" s="227"/>
      <c r="AC518" s="227"/>
      <c r="AD518" s="227"/>
      <c r="AE518" s="227"/>
      <c r="AF518" s="227"/>
      <c r="AG518" s="227"/>
      <c r="AH518" s="227"/>
      <c r="AI518" s="227"/>
      <c r="AJ518" s="227"/>
      <c r="AK518" s="227"/>
      <c r="AL518" s="225"/>
      <c r="AM518" s="227"/>
    </row>
    <row r="519" spans="1:39" ht="20.100000000000001" customHeight="1">
      <c r="A519" s="227">
        <v>256</v>
      </c>
      <c r="B519" s="225"/>
      <c r="C519" s="227"/>
      <c r="D519" s="228">
        <f>(SUMPRODUCT(E519:AL519*$E$6:$AL$6)/100)+(SUMPRODUCT(E519:AL519*$E$6:$AL$6*$E$3:$AL$3)/100)</f>
        <v>0</v>
      </c>
      <c r="E519" s="227"/>
      <c r="F519" s="227"/>
      <c r="G519" s="227"/>
      <c r="H519" s="227"/>
      <c r="I519" s="227"/>
      <c r="J519" s="227"/>
      <c r="K519" s="227"/>
      <c r="L519" s="227"/>
      <c r="M519" s="227"/>
      <c r="N519" s="227"/>
      <c r="O519" s="227"/>
      <c r="P519" s="227"/>
      <c r="Q519" s="227"/>
      <c r="R519" s="227"/>
      <c r="S519" s="227"/>
      <c r="T519" s="227"/>
      <c r="U519" s="227"/>
      <c r="V519" s="227"/>
      <c r="W519" s="227"/>
      <c r="X519" s="227"/>
      <c r="Y519" s="227"/>
      <c r="Z519" s="227"/>
      <c r="AA519" s="227"/>
      <c r="AB519" s="227"/>
      <c r="AC519" s="227"/>
      <c r="AD519" s="227"/>
      <c r="AE519" s="227"/>
      <c r="AF519" s="227"/>
      <c r="AG519" s="227"/>
      <c r="AH519" s="227"/>
      <c r="AI519" s="227"/>
      <c r="AJ519" s="227"/>
      <c r="AK519" s="227"/>
      <c r="AL519" s="225"/>
      <c r="AM519" s="227"/>
    </row>
    <row r="520" spans="1:39" ht="20.100000000000001" customHeight="1">
      <c r="A520" s="223"/>
      <c r="B520" s="225"/>
      <c r="C520" s="227"/>
      <c r="D520" s="224"/>
      <c r="E520" s="227"/>
      <c r="F520" s="227"/>
      <c r="G520" s="227"/>
      <c r="H520" s="227"/>
      <c r="I520" s="227"/>
      <c r="J520" s="227"/>
      <c r="K520" s="227"/>
      <c r="L520" s="227"/>
      <c r="M520" s="227"/>
      <c r="N520" s="227"/>
      <c r="O520" s="227"/>
      <c r="P520" s="227"/>
      <c r="Q520" s="227"/>
      <c r="R520" s="227"/>
      <c r="S520" s="227"/>
      <c r="T520" s="227"/>
      <c r="U520" s="227"/>
      <c r="V520" s="227"/>
      <c r="W520" s="227"/>
      <c r="X520" s="227"/>
      <c r="Y520" s="227"/>
      <c r="Z520" s="227"/>
      <c r="AA520" s="227"/>
      <c r="AB520" s="227"/>
      <c r="AC520" s="227"/>
      <c r="AD520" s="227"/>
      <c r="AE520" s="227"/>
      <c r="AF520" s="227"/>
      <c r="AG520" s="227"/>
      <c r="AH520" s="227"/>
      <c r="AI520" s="227"/>
      <c r="AJ520" s="227"/>
      <c r="AK520" s="227"/>
      <c r="AL520" s="225"/>
      <c r="AM520" s="227"/>
    </row>
    <row r="521" spans="1:39" ht="20.100000000000001" customHeight="1">
      <c r="A521" s="227">
        <v>257</v>
      </c>
      <c r="B521" s="225"/>
      <c r="C521" s="227"/>
      <c r="D521" s="228">
        <f>(SUMPRODUCT(E521:AL521*$E$6:$AL$6)/100)+(SUMPRODUCT(E521:AL521*$E$6:$AL$6*$E$3:$AL$3)/100)</f>
        <v>0</v>
      </c>
      <c r="E521" s="227"/>
      <c r="F521" s="227"/>
      <c r="G521" s="227"/>
      <c r="H521" s="227"/>
      <c r="I521" s="227"/>
      <c r="J521" s="227"/>
      <c r="K521" s="227"/>
      <c r="L521" s="227"/>
      <c r="M521" s="227"/>
      <c r="N521" s="227"/>
      <c r="O521" s="227"/>
      <c r="P521" s="227"/>
      <c r="Q521" s="227"/>
      <c r="R521" s="227"/>
      <c r="S521" s="227"/>
      <c r="T521" s="227"/>
      <c r="U521" s="227"/>
      <c r="V521" s="227"/>
      <c r="W521" s="227"/>
      <c r="X521" s="227"/>
      <c r="Y521" s="227"/>
      <c r="Z521" s="227"/>
      <c r="AA521" s="227"/>
      <c r="AB521" s="227"/>
      <c r="AC521" s="227"/>
      <c r="AD521" s="227"/>
      <c r="AE521" s="227"/>
      <c r="AF521" s="227"/>
      <c r="AG521" s="227"/>
      <c r="AH521" s="227"/>
      <c r="AI521" s="227"/>
      <c r="AJ521" s="227"/>
      <c r="AK521" s="227"/>
      <c r="AL521" s="225"/>
      <c r="AM521" s="227"/>
    </row>
    <row r="522" spans="1:39" ht="20.100000000000001" customHeight="1">
      <c r="A522" s="227"/>
      <c r="B522" s="225"/>
      <c r="C522" s="227"/>
      <c r="D522" s="224"/>
      <c r="E522" s="227"/>
      <c r="F522" s="227"/>
      <c r="G522" s="227"/>
      <c r="H522" s="227"/>
      <c r="I522" s="227"/>
      <c r="J522" s="227"/>
      <c r="K522" s="227"/>
      <c r="L522" s="227"/>
      <c r="M522" s="227"/>
      <c r="N522" s="227"/>
      <c r="O522" s="227"/>
      <c r="P522" s="227"/>
      <c r="Q522" s="227"/>
      <c r="R522" s="227"/>
      <c r="S522" s="227"/>
      <c r="T522" s="227"/>
      <c r="U522" s="227"/>
      <c r="V522" s="227"/>
      <c r="W522" s="227"/>
      <c r="X522" s="227"/>
      <c r="Y522" s="227"/>
      <c r="Z522" s="227"/>
      <c r="AA522" s="227"/>
      <c r="AB522" s="227"/>
      <c r="AC522" s="227"/>
      <c r="AD522" s="227"/>
      <c r="AE522" s="227"/>
      <c r="AF522" s="227"/>
      <c r="AG522" s="227"/>
      <c r="AH522" s="227"/>
      <c r="AI522" s="227"/>
      <c r="AJ522" s="227"/>
      <c r="AK522" s="227"/>
      <c r="AL522" s="225"/>
      <c r="AM522" s="227"/>
    </row>
    <row r="523" spans="1:39" ht="20.100000000000001" customHeight="1">
      <c r="A523" s="227">
        <v>258</v>
      </c>
      <c r="B523" s="225"/>
      <c r="C523" s="227"/>
      <c r="D523" s="228">
        <f>(SUMPRODUCT(E523:AL523*$E$6:$AL$6)/100)+(SUMPRODUCT(E523:AL523*$E$6:$AL$6*$E$3:$AL$3)/100)</f>
        <v>0</v>
      </c>
      <c r="E523" s="227"/>
      <c r="F523" s="227"/>
      <c r="G523" s="227"/>
      <c r="H523" s="227"/>
      <c r="I523" s="227"/>
      <c r="J523" s="227"/>
      <c r="K523" s="227"/>
      <c r="L523" s="227"/>
      <c r="M523" s="227"/>
      <c r="N523" s="227"/>
      <c r="O523" s="227"/>
      <c r="P523" s="227"/>
      <c r="Q523" s="227"/>
      <c r="R523" s="227"/>
      <c r="S523" s="227"/>
      <c r="T523" s="227"/>
      <c r="U523" s="227"/>
      <c r="V523" s="227"/>
      <c r="W523" s="227"/>
      <c r="X523" s="227"/>
      <c r="Y523" s="227"/>
      <c r="Z523" s="227"/>
      <c r="AA523" s="227"/>
      <c r="AB523" s="227"/>
      <c r="AC523" s="227"/>
      <c r="AD523" s="227"/>
      <c r="AE523" s="227"/>
      <c r="AF523" s="227"/>
      <c r="AG523" s="227"/>
      <c r="AH523" s="227"/>
      <c r="AI523" s="227"/>
      <c r="AJ523" s="227"/>
      <c r="AK523" s="227"/>
      <c r="AL523" s="225"/>
      <c r="AM523" s="227"/>
    </row>
    <row r="524" spans="1:39" ht="20.100000000000001" customHeight="1">
      <c r="A524" s="223"/>
      <c r="B524" s="225"/>
      <c r="C524" s="227"/>
      <c r="D524" s="224"/>
      <c r="E524" s="227"/>
      <c r="F524" s="227"/>
      <c r="G524" s="227"/>
      <c r="H524" s="227"/>
      <c r="I524" s="227"/>
      <c r="J524" s="227"/>
      <c r="K524" s="227"/>
      <c r="L524" s="227"/>
      <c r="M524" s="227"/>
      <c r="N524" s="227"/>
      <c r="O524" s="227"/>
      <c r="P524" s="227"/>
      <c r="Q524" s="227"/>
      <c r="R524" s="227"/>
      <c r="S524" s="227"/>
      <c r="T524" s="227"/>
      <c r="U524" s="227"/>
      <c r="V524" s="227"/>
      <c r="W524" s="227"/>
      <c r="X524" s="227"/>
      <c r="Y524" s="227"/>
      <c r="Z524" s="227"/>
      <c r="AA524" s="227"/>
      <c r="AB524" s="227"/>
      <c r="AC524" s="227"/>
      <c r="AD524" s="227"/>
      <c r="AE524" s="227"/>
      <c r="AF524" s="227"/>
      <c r="AG524" s="227"/>
      <c r="AH524" s="227"/>
      <c r="AI524" s="227"/>
      <c r="AJ524" s="227"/>
      <c r="AK524" s="227"/>
      <c r="AL524" s="225"/>
      <c r="AM524" s="227"/>
    </row>
    <row r="525" spans="1:39" ht="20.100000000000001" customHeight="1">
      <c r="A525" s="227">
        <v>259</v>
      </c>
      <c r="B525" s="225"/>
      <c r="C525" s="227"/>
      <c r="D525" s="228">
        <f>(SUMPRODUCT(E525:AL525*$E$6:$AL$6)/100)+(SUMPRODUCT(E525:AL525*$E$6:$AL$6*$E$3:$AL$3)/100)</f>
        <v>0</v>
      </c>
      <c r="E525" s="227"/>
      <c r="F525" s="227"/>
      <c r="G525" s="227"/>
      <c r="H525" s="227"/>
      <c r="I525" s="227"/>
      <c r="J525" s="227"/>
      <c r="K525" s="227"/>
      <c r="L525" s="227"/>
      <c r="M525" s="227"/>
      <c r="N525" s="227"/>
      <c r="O525" s="227"/>
      <c r="P525" s="227"/>
      <c r="Q525" s="227"/>
      <c r="R525" s="227"/>
      <c r="S525" s="227"/>
      <c r="T525" s="227"/>
      <c r="U525" s="227"/>
      <c r="V525" s="227"/>
      <c r="W525" s="227"/>
      <c r="X525" s="227"/>
      <c r="Y525" s="227"/>
      <c r="Z525" s="227"/>
      <c r="AA525" s="227"/>
      <c r="AB525" s="227"/>
      <c r="AC525" s="227"/>
      <c r="AD525" s="227"/>
      <c r="AE525" s="227"/>
      <c r="AF525" s="227"/>
      <c r="AG525" s="227"/>
      <c r="AH525" s="227"/>
      <c r="AI525" s="227"/>
      <c r="AJ525" s="227"/>
      <c r="AK525" s="227"/>
      <c r="AL525" s="225"/>
      <c r="AM525" s="227"/>
    </row>
    <row r="526" spans="1:39" ht="20.100000000000001" customHeight="1">
      <c r="A526" s="227"/>
      <c r="B526" s="225"/>
      <c r="C526" s="227"/>
      <c r="D526" s="224"/>
      <c r="E526" s="227"/>
      <c r="F526" s="227"/>
      <c r="G526" s="227"/>
      <c r="H526" s="227"/>
      <c r="I526" s="227"/>
      <c r="J526" s="227"/>
      <c r="K526" s="227"/>
      <c r="L526" s="227"/>
      <c r="M526" s="227"/>
      <c r="N526" s="227"/>
      <c r="O526" s="227"/>
      <c r="P526" s="227"/>
      <c r="Q526" s="227"/>
      <c r="R526" s="227"/>
      <c r="S526" s="227"/>
      <c r="T526" s="227"/>
      <c r="U526" s="227"/>
      <c r="V526" s="227"/>
      <c r="W526" s="227"/>
      <c r="X526" s="227"/>
      <c r="Y526" s="227"/>
      <c r="Z526" s="227"/>
      <c r="AA526" s="227"/>
      <c r="AB526" s="227"/>
      <c r="AC526" s="227"/>
      <c r="AD526" s="227"/>
      <c r="AE526" s="227"/>
      <c r="AF526" s="227"/>
      <c r="AG526" s="227"/>
      <c r="AH526" s="227"/>
      <c r="AI526" s="227"/>
      <c r="AJ526" s="227"/>
      <c r="AK526" s="227"/>
      <c r="AL526" s="225"/>
      <c r="AM526" s="227"/>
    </row>
    <row r="527" spans="1:39" ht="20.100000000000001" customHeight="1">
      <c r="A527" s="227">
        <v>260</v>
      </c>
      <c r="B527" s="225"/>
      <c r="C527" s="227"/>
      <c r="D527" s="228">
        <f>(SUMPRODUCT(E527:AL527*$E$6:$AL$6)/100)+(SUMPRODUCT(E527:AL527*$E$6:$AL$6*$E$3:$AL$3)/100)</f>
        <v>0</v>
      </c>
      <c r="E527" s="227"/>
      <c r="F527" s="227"/>
      <c r="G527" s="227"/>
      <c r="H527" s="227"/>
      <c r="I527" s="227"/>
      <c r="J527" s="227"/>
      <c r="K527" s="227"/>
      <c r="L527" s="227"/>
      <c r="M527" s="227"/>
      <c r="N527" s="227"/>
      <c r="O527" s="227"/>
      <c r="P527" s="227"/>
      <c r="Q527" s="227"/>
      <c r="R527" s="227"/>
      <c r="S527" s="227"/>
      <c r="T527" s="227"/>
      <c r="U527" s="227"/>
      <c r="V527" s="227"/>
      <c r="W527" s="227"/>
      <c r="X527" s="227"/>
      <c r="Y527" s="227"/>
      <c r="Z527" s="227"/>
      <c r="AA527" s="227"/>
      <c r="AB527" s="227"/>
      <c r="AC527" s="227"/>
      <c r="AD527" s="227"/>
      <c r="AE527" s="227"/>
      <c r="AF527" s="227"/>
      <c r="AG527" s="227"/>
      <c r="AH527" s="227"/>
      <c r="AI527" s="227"/>
      <c r="AJ527" s="227"/>
      <c r="AK527" s="227"/>
      <c r="AL527" s="225"/>
      <c r="AM527" s="227"/>
    </row>
    <row r="528" spans="1:39" ht="20.100000000000001" customHeight="1">
      <c r="A528" s="223"/>
      <c r="B528" s="225"/>
      <c r="C528" s="227"/>
      <c r="D528" s="224"/>
      <c r="E528" s="227"/>
      <c r="F528" s="227"/>
      <c r="G528" s="227"/>
      <c r="H528" s="227"/>
      <c r="I528" s="227"/>
      <c r="J528" s="227"/>
      <c r="K528" s="227"/>
      <c r="L528" s="227"/>
      <c r="M528" s="227"/>
      <c r="N528" s="227"/>
      <c r="O528" s="227"/>
      <c r="P528" s="227"/>
      <c r="Q528" s="227"/>
      <c r="R528" s="227"/>
      <c r="S528" s="227"/>
      <c r="T528" s="227"/>
      <c r="U528" s="227"/>
      <c r="V528" s="227"/>
      <c r="W528" s="227"/>
      <c r="X528" s="227"/>
      <c r="Y528" s="227"/>
      <c r="Z528" s="227"/>
      <c r="AA528" s="227"/>
      <c r="AB528" s="227"/>
      <c r="AC528" s="227"/>
      <c r="AD528" s="227"/>
      <c r="AE528" s="227"/>
      <c r="AF528" s="227"/>
      <c r="AG528" s="227"/>
      <c r="AH528" s="227"/>
      <c r="AI528" s="227"/>
      <c r="AJ528" s="227"/>
      <c r="AK528" s="227"/>
      <c r="AL528" s="225"/>
      <c r="AM528" s="227"/>
    </row>
    <row r="529" spans="1:39" ht="20.100000000000001" customHeight="1">
      <c r="A529" s="227">
        <v>261</v>
      </c>
      <c r="B529" s="225"/>
      <c r="C529" s="227"/>
      <c r="D529" s="228">
        <f>(SUMPRODUCT(E529:AL529*$E$6:$AL$6)/100)+(SUMPRODUCT(E529:AL529*$E$6:$AL$6*$E$3:$AL$3)/100)</f>
        <v>0</v>
      </c>
      <c r="E529" s="227"/>
      <c r="F529" s="227"/>
      <c r="G529" s="227"/>
      <c r="H529" s="227"/>
      <c r="I529" s="227"/>
      <c r="J529" s="227"/>
      <c r="K529" s="227"/>
      <c r="L529" s="227"/>
      <c r="M529" s="227"/>
      <c r="N529" s="227"/>
      <c r="O529" s="227"/>
      <c r="P529" s="227"/>
      <c r="Q529" s="227"/>
      <c r="R529" s="227"/>
      <c r="S529" s="227"/>
      <c r="T529" s="227"/>
      <c r="U529" s="227"/>
      <c r="V529" s="227"/>
      <c r="W529" s="227"/>
      <c r="X529" s="227"/>
      <c r="Y529" s="227"/>
      <c r="Z529" s="227"/>
      <c r="AA529" s="227"/>
      <c r="AB529" s="227"/>
      <c r="AC529" s="227"/>
      <c r="AD529" s="227"/>
      <c r="AE529" s="227"/>
      <c r="AF529" s="227"/>
      <c r="AG529" s="227"/>
      <c r="AH529" s="227"/>
      <c r="AI529" s="227"/>
      <c r="AJ529" s="227"/>
      <c r="AK529" s="227"/>
      <c r="AL529" s="225"/>
      <c r="AM529" s="227"/>
    </row>
    <row r="530" spans="1:39" ht="20.100000000000001" customHeight="1">
      <c r="A530" s="227"/>
      <c r="B530" s="225"/>
      <c r="C530" s="227"/>
      <c r="D530" s="224"/>
      <c r="E530" s="227"/>
      <c r="F530" s="227"/>
      <c r="G530" s="227"/>
      <c r="H530" s="227"/>
      <c r="I530" s="227"/>
      <c r="J530" s="227"/>
      <c r="K530" s="227"/>
      <c r="L530" s="227"/>
      <c r="M530" s="227"/>
      <c r="N530" s="227"/>
      <c r="O530" s="227"/>
      <c r="P530" s="227"/>
      <c r="Q530" s="227"/>
      <c r="R530" s="227"/>
      <c r="S530" s="227"/>
      <c r="T530" s="227"/>
      <c r="U530" s="227"/>
      <c r="V530" s="227"/>
      <c r="W530" s="227"/>
      <c r="X530" s="227"/>
      <c r="Y530" s="227"/>
      <c r="Z530" s="227"/>
      <c r="AA530" s="227"/>
      <c r="AB530" s="227"/>
      <c r="AC530" s="227"/>
      <c r="AD530" s="227"/>
      <c r="AE530" s="227"/>
      <c r="AF530" s="227"/>
      <c r="AG530" s="227"/>
      <c r="AH530" s="227"/>
      <c r="AI530" s="227"/>
      <c r="AJ530" s="227"/>
      <c r="AK530" s="227"/>
      <c r="AL530" s="225"/>
      <c r="AM530" s="227"/>
    </row>
    <row r="531" spans="1:39" ht="20.100000000000001" customHeight="1">
      <c r="A531" s="227">
        <v>262</v>
      </c>
      <c r="B531" s="225"/>
      <c r="C531" s="227"/>
      <c r="D531" s="228">
        <f>(SUMPRODUCT(E531:AL531*$E$6:$AL$6)/100)+(SUMPRODUCT(E531:AL531*$E$6:$AL$6*$E$3:$AL$3)/100)</f>
        <v>0</v>
      </c>
      <c r="E531" s="227"/>
      <c r="F531" s="227"/>
      <c r="G531" s="227"/>
      <c r="H531" s="227"/>
      <c r="I531" s="227"/>
      <c r="J531" s="227"/>
      <c r="K531" s="227"/>
      <c r="L531" s="227"/>
      <c r="M531" s="227"/>
      <c r="N531" s="227"/>
      <c r="O531" s="227"/>
      <c r="P531" s="227"/>
      <c r="Q531" s="227"/>
      <c r="R531" s="227"/>
      <c r="S531" s="227"/>
      <c r="T531" s="227"/>
      <c r="U531" s="227"/>
      <c r="V531" s="227"/>
      <c r="W531" s="227"/>
      <c r="X531" s="227"/>
      <c r="Y531" s="227"/>
      <c r="Z531" s="227"/>
      <c r="AA531" s="227"/>
      <c r="AB531" s="227"/>
      <c r="AC531" s="227"/>
      <c r="AD531" s="227"/>
      <c r="AE531" s="227"/>
      <c r="AF531" s="227"/>
      <c r="AG531" s="227"/>
      <c r="AH531" s="227"/>
      <c r="AI531" s="227"/>
      <c r="AJ531" s="227"/>
      <c r="AK531" s="227"/>
      <c r="AL531" s="225"/>
      <c r="AM531" s="227"/>
    </row>
    <row r="532" spans="1:39" ht="20.100000000000001" customHeight="1">
      <c r="A532" s="223"/>
      <c r="B532" s="225"/>
      <c r="C532" s="227"/>
      <c r="D532" s="224"/>
      <c r="E532" s="227"/>
      <c r="F532" s="227"/>
      <c r="G532" s="227"/>
      <c r="H532" s="227"/>
      <c r="I532" s="227"/>
      <c r="J532" s="227"/>
      <c r="K532" s="227"/>
      <c r="L532" s="227"/>
      <c r="M532" s="227"/>
      <c r="N532" s="227"/>
      <c r="O532" s="227"/>
      <c r="P532" s="227"/>
      <c r="Q532" s="227"/>
      <c r="R532" s="227"/>
      <c r="S532" s="227"/>
      <c r="T532" s="227"/>
      <c r="U532" s="227"/>
      <c r="V532" s="227"/>
      <c r="W532" s="227"/>
      <c r="X532" s="227"/>
      <c r="Y532" s="227"/>
      <c r="Z532" s="227"/>
      <c r="AA532" s="227"/>
      <c r="AB532" s="227"/>
      <c r="AC532" s="227"/>
      <c r="AD532" s="227"/>
      <c r="AE532" s="227"/>
      <c r="AF532" s="227"/>
      <c r="AG532" s="227"/>
      <c r="AH532" s="227"/>
      <c r="AI532" s="227"/>
      <c r="AJ532" s="227"/>
      <c r="AK532" s="227"/>
      <c r="AL532" s="225"/>
      <c r="AM532" s="227"/>
    </row>
    <row r="533" spans="1:39" ht="20.100000000000001" customHeight="1">
      <c r="A533" s="227">
        <v>263</v>
      </c>
      <c r="B533" s="225"/>
      <c r="C533" s="227"/>
      <c r="D533" s="228">
        <f>(SUMPRODUCT(E533:AL533*$E$6:$AL$6)/100)+(SUMPRODUCT(E533:AL533*$E$6:$AL$6*$E$3:$AL$3)/100)</f>
        <v>0</v>
      </c>
      <c r="E533" s="227"/>
      <c r="F533" s="227"/>
      <c r="G533" s="227"/>
      <c r="H533" s="227"/>
      <c r="I533" s="227"/>
      <c r="J533" s="227"/>
      <c r="K533" s="227"/>
      <c r="L533" s="227"/>
      <c r="M533" s="227"/>
      <c r="N533" s="227"/>
      <c r="O533" s="227"/>
      <c r="P533" s="227"/>
      <c r="Q533" s="227"/>
      <c r="R533" s="227"/>
      <c r="S533" s="227"/>
      <c r="T533" s="227"/>
      <c r="U533" s="227"/>
      <c r="V533" s="227"/>
      <c r="W533" s="227"/>
      <c r="X533" s="227"/>
      <c r="Y533" s="227"/>
      <c r="Z533" s="227"/>
      <c r="AA533" s="227"/>
      <c r="AB533" s="227"/>
      <c r="AC533" s="227"/>
      <c r="AD533" s="227"/>
      <c r="AE533" s="227"/>
      <c r="AF533" s="227"/>
      <c r="AG533" s="227"/>
      <c r="AH533" s="227"/>
      <c r="AI533" s="227"/>
      <c r="AJ533" s="227"/>
      <c r="AK533" s="227"/>
      <c r="AL533" s="225"/>
      <c r="AM533" s="227"/>
    </row>
    <row r="534" spans="1:39" ht="20.100000000000001" customHeight="1">
      <c r="A534" s="227"/>
      <c r="B534" s="225"/>
      <c r="C534" s="227"/>
      <c r="D534" s="224"/>
      <c r="E534" s="227"/>
      <c r="F534" s="227"/>
      <c r="G534" s="227"/>
      <c r="H534" s="227"/>
      <c r="I534" s="227"/>
      <c r="J534" s="227"/>
      <c r="K534" s="227"/>
      <c r="L534" s="227"/>
      <c r="M534" s="227"/>
      <c r="N534" s="227"/>
      <c r="O534" s="227"/>
      <c r="P534" s="227"/>
      <c r="Q534" s="227"/>
      <c r="R534" s="227"/>
      <c r="S534" s="227"/>
      <c r="T534" s="227"/>
      <c r="U534" s="227"/>
      <c r="V534" s="227"/>
      <c r="W534" s="227"/>
      <c r="X534" s="227"/>
      <c r="Y534" s="227"/>
      <c r="Z534" s="227"/>
      <c r="AA534" s="227"/>
      <c r="AB534" s="227"/>
      <c r="AC534" s="227"/>
      <c r="AD534" s="227"/>
      <c r="AE534" s="227"/>
      <c r="AF534" s="227"/>
      <c r="AG534" s="227"/>
      <c r="AH534" s="227"/>
      <c r="AI534" s="227"/>
      <c r="AJ534" s="227"/>
      <c r="AK534" s="227"/>
      <c r="AL534" s="225"/>
      <c r="AM534" s="227"/>
    </row>
    <row r="535" spans="1:39" ht="20.100000000000001" customHeight="1">
      <c r="A535" s="227">
        <v>264</v>
      </c>
      <c r="B535" s="225"/>
      <c r="C535" s="227"/>
      <c r="D535" s="228">
        <f>(SUMPRODUCT(E535:AL535*$E$6:$AL$6)/100)+(SUMPRODUCT(E535:AL535*$E$6:$AL$6*$E$3:$AL$3)/100)</f>
        <v>0</v>
      </c>
      <c r="E535" s="227"/>
      <c r="F535" s="227"/>
      <c r="G535" s="227"/>
      <c r="H535" s="227"/>
      <c r="I535" s="227"/>
      <c r="J535" s="227"/>
      <c r="K535" s="227"/>
      <c r="L535" s="227"/>
      <c r="M535" s="227"/>
      <c r="N535" s="227"/>
      <c r="O535" s="227"/>
      <c r="P535" s="227"/>
      <c r="Q535" s="227"/>
      <c r="R535" s="227"/>
      <c r="S535" s="227"/>
      <c r="T535" s="227"/>
      <c r="U535" s="227"/>
      <c r="V535" s="227"/>
      <c r="W535" s="227"/>
      <c r="X535" s="227"/>
      <c r="Y535" s="227"/>
      <c r="Z535" s="227"/>
      <c r="AA535" s="227"/>
      <c r="AB535" s="227"/>
      <c r="AC535" s="227"/>
      <c r="AD535" s="227"/>
      <c r="AE535" s="227"/>
      <c r="AF535" s="227"/>
      <c r="AG535" s="227"/>
      <c r="AH535" s="227"/>
      <c r="AI535" s="227"/>
      <c r="AJ535" s="227"/>
      <c r="AK535" s="227"/>
      <c r="AL535" s="225"/>
      <c r="AM535" s="227"/>
    </row>
    <row r="536" spans="1:39" ht="20.100000000000001" customHeight="1">
      <c r="A536" s="223"/>
      <c r="B536" s="225"/>
      <c r="C536" s="227"/>
      <c r="D536" s="224"/>
      <c r="E536" s="227"/>
      <c r="F536" s="227"/>
      <c r="G536" s="227"/>
      <c r="H536" s="227"/>
      <c r="I536" s="227"/>
      <c r="J536" s="227"/>
      <c r="K536" s="227"/>
      <c r="L536" s="227"/>
      <c r="M536" s="227"/>
      <c r="N536" s="227"/>
      <c r="O536" s="227"/>
      <c r="P536" s="227"/>
      <c r="Q536" s="227"/>
      <c r="R536" s="227"/>
      <c r="S536" s="227"/>
      <c r="T536" s="227"/>
      <c r="U536" s="227"/>
      <c r="V536" s="227"/>
      <c r="W536" s="227"/>
      <c r="X536" s="227"/>
      <c r="Y536" s="227"/>
      <c r="Z536" s="227"/>
      <c r="AA536" s="227"/>
      <c r="AB536" s="227"/>
      <c r="AC536" s="227"/>
      <c r="AD536" s="227"/>
      <c r="AE536" s="227"/>
      <c r="AF536" s="227"/>
      <c r="AG536" s="227"/>
      <c r="AH536" s="227"/>
      <c r="AI536" s="227"/>
      <c r="AJ536" s="227"/>
      <c r="AK536" s="227"/>
      <c r="AL536" s="225"/>
      <c r="AM536" s="227"/>
    </row>
    <row r="537" spans="1:39" ht="20.100000000000001" customHeight="1">
      <c r="A537" s="227">
        <v>265</v>
      </c>
      <c r="B537" s="225"/>
      <c r="C537" s="227"/>
      <c r="D537" s="228">
        <f>(SUMPRODUCT(E537:AL537*$E$6:$AL$6)/100)+(SUMPRODUCT(E537:AL537*$E$6:$AL$6*$E$3:$AL$3)/100)</f>
        <v>0</v>
      </c>
      <c r="E537" s="227"/>
      <c r="F537" s="227"/>
      <c r="G537" s="227"/>
      <c r="H537" s="227"/>
      <c r="I537" s="227"/>
      <c r="J537" s="227"/>
      <c r="K537" s="227"/>
      <c r="L537" s="227"/>
      <c r="M537" s="227"/>
      <c r="N537" s="227"/>
      <c r="O537" s="227"/>
      <c r="P537" s="227"/>
      <c r="Q537" s="227"/>
      <c r="R537" s="227"/>
      <c r="S537" s="227"/>
      <c r="T537" s="227"/>
      <c r="U537" s="227"/>
      <c r="V537" s="227"/>
      <c r="W537" s="227"/>
      <c r="X537" s="227"/>
      <c r="Y537" s="227"/>
      <c r="Z537" s="227"/>
      <c r="AA537" s="227"/>
      <c r="AB537" s="227"/>
      <c r="AC537" s="227"/>
      <c r="AD537" s="227"/>
      <c r="AE537" s="227"/>
      <c r="AF537" s="227"/>
      <c r="AG537" s="227"/>
      <c r="AH537" s="227"/>
      <c r="AI537" s="227"/>
      <c r="AJ537" s="227"/>
      <c r="AK537" s="227"/>
      <c r="AL537" s="225"/>
      <c r="AM537" s="227"/>
    </row>
    <row r="538" spans="1:39" ht="20.100000000000001" customHeight="1">
      <c r="A538" s="227"/>
      <c r="B538" s="225"/>
      <c r="C538" s="227"/>
      <c r="D538" s="224"/>
      <c r="E538" s="227"/>
      <c r="F538" s="227"/>
      <c r="G538" s="227"/>
      <c r="H538" s="227"/>
      <c r="I538" s="227"/>
      <c r="J538" s="227"/>
      <c r="K538" s="227"/>
      <c r="L538" s="227"/>
      <c r="M538" s="227"/>
      <c r="N538" s="227"/>
      <c r="O538" s="227"/>
      <c r="P538" s="227"/>
      <c r="Q538" s="227"/>
      <c r="R538" s="227"/>
      <c r="S538" s="227"/>
      <c r="T538" s="227"/>
      <c r="U538" s="227"/>
      <c r="V538" s="227"/>
      <c r="W538" s="227"/>
      <c r="X538" s="227"/>
      <c r="Y538" s="227"/>
      <c r="Z538" s="227"/>
      <c r="AA538" s="227"/>
      <c r="AB538" s="227"/>
      <c r="AC538" s="227"/>
      <c r="AD538" s="227"/>
      <c r="AE538" s="227"/>
      <c r="AF538" s="227"/>
      <c r="AG538" s="227"/>
      <c r="AH538" s="227"/>
      <c r="AI538" s="227"/>
      <c r="AJ538" s="227"/>
      <c r="AK538" s="227"/>
      <c r="AL538" s="225"/>
      <c r="AM538" s="227"/>
    </row>
    <row r="539" spans="1:39" ht="20.100000000000001" customHeight="1">
      <c r="A539" s="227">
        <v>266</v>
      </c>
      <c r="B539" s="225"/>
      <c r="C539" s="227"/>
      <c r="D539" s="228">
        <f>(SUMPRODUCT(E539:AL539*$E$6:$AL$6)/100)+(SUMPRODUCT(E539:AL539*$E$6:$AL$6*$E$3:$AL$3)/100)</f>
        <v>0</v>
      </c>
      <c r="E539" s="227"/>
      <c r="F539" s="227"/>
      <c r="G539" s="227"/>
      <c r="H539" s="227"/>
      <c r="I539" s="227"/>
      <c r="J539" s="227"/>
      <c r="K539" s="227"/>
      <c r="L539" s="227"/>
      <c r="M539" s="227"/>
      <c r="N539" s="227"/>
      <c r="O539" s="227"/>
      <c r="P539" s="227"/>
      <c r="Q539" s="227"/>
      <c r="R539" s="227"/>
      <c r="S539" s="227"/>
      <c r="T539" s="227"/>
      <c r="U539" s="227"/>
      <c r="V539" s="227"/>
      <c r="W539" s="227"/>
      <c r="X539" s="227"/>
      <c r="Y539" s="227"/>
      <c r="Z539" s="227"/>
      <c r="AA539" s="227"/>
      <c r="AB539" s="227"/>
      <c r="AC539" s="227"/>
      <c r="AD539" s="227"/>
      <c r="AE539" s="227"/>
      <c r="AF539" s="227"/>
      <c r="AG539" s="227"/>
      <c r="AH539" s="227"/>
      <c r="AI539" s="227"/>
      <c r="AJ539" s="227"/>
      <c r="AK539" s="227"/>
      <c r="AL539" s="225"/>
      <c r="AM539" s="227"/>
    </row>
    <row r="540" spans="1:39" ht="20.100000000000001" customHeight="1">
      <c r="A540" s="223"/>
      <c r="B540" s="225"/>
      <c r="C540" s="227"/>
      <c r="D540" s="224"/>
      <c r="E540" s="227"/>
      <c r="F540" s="227"/>
      <c r="G540" s="227"/>
      <c r="H540" s="227"/>
      <c r="I540" s="227"/>
      <c r="J540" s="227"/>
      <c r="K540" s="227"/>
      <c r="L540" s="227"/>
      <c r="M540" s="227"/>
      <c r="N540" s="227"/>
      <c r="O540" s="227"/>
      <c r="P540" s="227"/>
      <c r="Q540" s="227"/>
      <c r="R540" s="227"/>
      <c r="S540" s="227"/>
      <c r="T540" s="227"/>
      <c r="U540" s="227"/>
      <c r="V540" s="227"/>
      <c r="W540" s="227"/>
      <c r="X540" s="227"/>
      <c r="Y540" s="227"/>
      <c r="Z540" s="227"/>
      <c r="AA540" s="227"/>
      <c r="AB540" s="227"/>
      <c r="AC540" s="227"/>
      <c r="AD540" s="227"/>
      <c r="AE540" s="227"/>
      <c r="AF540" s="227"/>
      <c r="AG540" s="227"/>
      <c r="AH540" s="227"/>
      <c r="AI540" s="227"/>
      <c r="AJ540" s="227"/>
      <c r="AK540" s="227"/>
      <c r="AL540" s="225"/>
      <c r="AM540" s="227"/>
    </row>
    <row r="541" spans="1:39" ht="20.100000000000001" customHeight="1">
      <c r="A541" s="227">
        <v>267</v>
      </c>
      <c r="B541" s="225"/>
      <c r="C541" s="227"/>
      <c r="D541" s="228">
        <f>(SUMPRODUCT(E541:AL541*$E$6:$AL$6)/100)+(SUMPRODUCT(E541:AL541*$E$6:$AL$6*$E$3:$AL$3)/100)</f>
        <v>0</v>
      </c>
      <c r="E541" s="227"/>
      <c r="F541" s="227"/>
      <c r="G541" s="227"/>
      <c r="H541" s="227"/>
      <c r="I541" s="227"/>
      <c r="J541" s="227"/>
      <c r="K541" s="227"/>
      <c r="L541" s="227"/>
      <c r="M541" s="227"/>
      <c r="N541" s="227"/>
      <c r="O541" s="227"/>
      <c r="P541" s="227"/>
      <c r="Q541" s="227"/>
      <c r="R541" s="227"/>
      <c r="S541" s="227"/>
      <c r="T541" s="227"/>
      <c r="U541" s="227"/>
      <c r="V541" s="227"/>
      <c r="W541" s="227"/>
      <c r="X541" s="227"/>
      <c r="Y541" s="227"/>
      <c r="Z541" s="227"/>
      <c r="AA541" s="227"/>
      <c r="AB541" s="227"/>
      <c r="AC541" s="227"/>
      <c r="AD541" s="227"/>
      <c r="AE541" s="227"/>
      <c r="AF541" s="227"/>
      <c r="AG541" s="227"/>
      <c r="AH541" s="227"/>
      <c r="AI541" s="227"/>
      <c r="AJ541" s="227"/>
      <c r="AK541" s="227"/>
      <c r="AL541" s="225"/>
      <c r="AM541" s="227"/>
    </row>
    <row r="542" spans="1:39" ht="20.100000000000001" customHeight="1">
      <c r="A542" s="227"/>
      <c r="B542" s="225"/>
      <c r="C542" s="227"/>
      <c r="D542" s="224"/>
      <c r="E542" s="227"/>
      <c r="F542" s="227"/>
      <c r="G542" s="227"/>
      <c r="H542" s="227"/>
      <c r="I542" s="227"/>
      <c r="J542" s="227"/>
      <c r="K542" s="227"/>
      <c r="L542" s="227"/>
      <c r="M542" s="227"/>
      <c r="N542" s="227"/>
      <c r="O542" s="227"/>
      <c r="P542" s="227"/>
      <c r="Q542" s="227"/>
      <c r="R542" s="227"/>
      <c r="S542" s="227"/>
      <c r="T542" s="227"/>
      <c r="U542" s="227"/>
      <c r="V542" s="227"/>
      <c r="W542" s="227"/>
      <c r="X542" s="227"/>
      <c r="Y542" s="227"/>
      <c r="Z542" s="227"/>
      <c r="AA542" s="227"/>
      <c r="AB542" s="227"/>
      <c r="AC542" s="227"/>
      <c r="AD542" s="227"/>
      <c r="AE542" s="227"/>
      <c r="AF542" s="227"/>
      <c r="AG542" s="227"/>
      <c r="AH542" s="227"/>
      <c r="AI542" s="227"/>
      <c r="AJ542" s="227"/>
      <c r="AK542" s="227"/>
      <c r="AL542" s="225"/>
      <c r="AM542" s="227"/>
    </row>
    <row r="543" spans="1:39" ht="20.100000000000001" customHeight="1">
      <c r="A543" s="227">
        <v>268</v>
      </c>
      <c r="B543" s="225"/>
      <c r="C543" s="227"/>
      <c r="D543" s="228">
        <f>(SUMPRODUCT(E543:AL543*$E$6:$AL$6)/100)+(SUMPRODUCT(E543:AL543*$E$6:$AL$6*$E$3:$AL$3)/100)</f>
        <v>0</v>
      </c>
      <c r="E543" s="227"/>
      <c r="F543" s="227"/>
      <c r="G543" s="227"/>
      <c r="H543" s="227"/>
      <c r="I543" s="227"/>
      <c r="J543" s="227"/>
      <c r="K543" s="227"/>
      <c r="L543" s="227"/>
      <c r="M543" s="227"/>
      <c r="N543" s="227"/>
      <c r="O543" s="227"/>
      <c r="P543" s="227"/>
      <c r="Q543" s="227"/>
      <c r="R543" s="227"/>
      <c r="S543" s="227"/>
      <c r="T543" s="227"/>
      <c r="U543" s="227"/>
      <c r="V543" s="227"/>
      <c r="W543" s="227"/>
      <c r="X543" s="227"/>
      <c r="Y543" s="227"/>
      <c r="Z543" s="227"/>
      <c r="AA543" s="227"/>
      <c r="AB543" s="227"/>
      <c r="AC543" s="227"/>
      <c r="AD543" s="227"/>
      <c r="AE543" s="227"/>
      <c r="AF543" s="227"/>
      <c r="AG543" s="227"/>
      <c r="AH543" s="227"/>
      <c r="AI543" s="227"/>
      <c r="AJ543" s="227"/>
      <c r="AK543" s="227"/>
      <c r="AL543" s="225"/>
      <c r="AM543" s="227"/>
    </row>
    <row r="544" spans="1:39" ht="20.100000000000001" customHeight="1">
      <c r="A544" s="223"/>
      <c r="B544" s="225"/>
      <c r="C544" s="227"/>
      <c r="D544" s="224"/>
      <c r="E544" s="227"/>
      <c r="F544" s="227"/>
      <c r="G544" s="227"/>
      <c r="H544" s="227"/>
      <c r="I544" s="227"/>
      <c r="J544" s="227"/>
      <c r="K544" s="227"/>
      <c r="L544" s="227"/>
      <c r="M544" s="227"/>
      <c r="N544" s="227"/>
      <c r="O544" s="227"/>
      <c r="P544" s="227"/>
      <c r="Q544" s="227"/>
      <c r="R544" s="227"/>
      <c r="S544" s="227"/>
      <c r="T544" s="227"/>
      <c r="U544" s="227"/>
      <c r="V544" s="227"/>
      <c r="W544" s="227"/>
      <c r="X544" s="227"/>
      <c r="Y544" s="227"/>
      <c r="Z544" s="227"/>
      <c r="AA544" s="227"/>
      <c r="AB544" s="227"/>
      <c r="AC544" s="227"/>
      <c r="AD544" s="227"/>
      <c r="AE544" s="227"/>
      <c r="AF544" s="227"/>
      <c r="AG544" s="227"/>
      <c r="AH544" s="227"/>
      <c r="AI544" s="227"/>
      <c r="AJ544" s="227"/>
      <c r="AK544" s="227"/>
      <c r="AL544" s="225"/>
      <c r="AM544" s="227"/>
    </row>
    <row r="545" spans="1:39" ht="20.100000000000001" customHeight="1">
      <c r="A545" s="227">
        <v>269</v>
      </c>
      <c r="B545" s="225"/>
      <c r="C545" s="227"/>
      <c r="D545" s="228">
        <f>(SUMPRODUCT(E545:AL545*$E$6:$AL$6)/100)+(SUMPRODUCT(E545:AL545*$E$6:$AL$6*$E$3:$AL$3)/100)</f>
        <v>0</v>
      </c>
      <c r="E545" s="227"/>
      <c r="F545" s="227"/>
      <c r="G545" s="227"/>
      <c r="H545" s="227"/>
      <c r="I545" s="227"/>
      <c r="J545" s="227"/>
      <c r="K545" s="227"/>
      <c r="L545" s="227"/>
      <c r="M545" s="227"/>
      <c r="N545" s="227"/>
      <c r="O545" s="227"/>
      <c r="P545" s="227"/>
      <c r="Q545" s="227"/>
      <c r="R545" s="227"/>
      <c r="S545" s="227"/>
      <c r="T545" s="227"/>
      <c r="U545" s="227"/>
      <c r="V545" s="227"/>
      <c r="W545" s="227"/>
      <c r="X545" s="227"/>
      <c r="Y545" s="227"/>
      <c r="Z545" s="227"/>
      <c r="AA545" s="227"/>
      <c r="AB545" s="227"/>
      <c r="AC545" s="227"/>
      <c r="AD545" s="227"/>
      <c r="AE545" s="227"/>
      <c r="AF545" s="227"/>
      <c r="AG545" s="227"/>
      <c r="AH545" s="227"/>
      <c r="AI545" s="227"/>
      <c r="AJ545" s="227"/>
      <c r="AK545" s="227"/>
      <c r="AL545" s="225"/>
      <c r="AM545" s="227"/>
    </row>
    <row r="546" spans="1:39" ht="20.100000000000001" customHeight="1">
      <c r="A546" s="227"/>
      <c r="B546" s="225"/>
      <c r="C546" s="227"/>
      <c r="D546" s="224"/>
      <c r="E546" s="227"/>
      <c r="F546" s="227"/>
      <c r="G546" s="227"/>
      <c r="H546" s="227"/>
      <c r="I546" s="227"/>
      <c r="J546" s="227"/>
      <c r="K546" s="227"/>
      <c r="L546" s="227"/>
      <c r="M546" s="227"/>
      <c r="N546" s="227"/>
      <c r="O546" s="227"/>
      <c r="P546" s="227"/>
      <c r="Q546" s="227"/>
      <c r="R546" s="227"/>
      <c r="S546" s="227"/>
      <c r="T546" s="227"/>
      <c r="U546" s="227"/>
      <c r="V546" s="227"/>
      <c r="W546" s="227"/>
      <c r="X546" s="227"/>
      <c r="Y546" s="227"/>
      <c r="Z546" s="227"/>
      <c r="AA546" s="227"/>
      <c r="AB546" s="227"/>
      <c r="AC546" s="227"/>
      <c r="AD546" s="227"/>
      <c r="AE546" s="227"/>
      <c r="AF546" s="227"/>
      <c r="AG546" s="227"/>
      <c r="AH546" s="227"/>
      <c r="AI546" s="227"/>
      <c r="AJ546" s="227"/>
      <c r="AK546" s="227"/>
      <c r="AL546" s="225"/>
      <c r="AM546" s="227"/>
    </row>
    <row r="547" spans="1:39" ht="20.100000000000001" customHeight="1">
      <c r="A547" s="227">
        <v>270</v>
      </c>
      <c r="B547" s="225"/>
      <c r="C547" s="227"/>
      <c r="D547" s="228">
        <f>(SUMPRODUCT(E547:AL547*$E$6:$AL$6)/100)+(SUMPRODUCT(E547:AL547*$E$6:$AL$6*$E$3:$AL$3)/100)</f>
        <v>0</v>
      </c>
      <c r="E547" s="227"/>
      <c r="F547" s="227"/>
      <c r="G547" s="227"/>
      <c r="H547" s="227"/>
      <c r="I547" s="227"/>
      <c r="J547" s="227"/>
      <c r="K547" s="227"/>
      <c r="L547" s="227"/>
      <c r="M547" s="227"/>
      <c r="N547" s="227"/>
      <c r="O547" s="227"/>
      <c r="P547" s="227"/>
      <c r="Q547" s="227"/>
      <c r="R547" s="227"/>
      <c r="S547" s="227"/>
      <c r="T547" s="227"/>
      <c r="U547" s="227"/>
      <c r="V547" s="227"/>
      <c r="W547" s="227"/>
      <c r="X547" s="227"/>
      <c r="Y547" s="227"/>
      <c r="Z547" s="227"/>
      <c r="AA547" s="227"/>
      <c r="AB547" s="227"/>
      <c r="AC547" s="227"/>
      <c r="AD547" s="227"/>
      <c r="AE547" s="227"/>
      <c r="AF547" s="227"/>
      <c r="AG547" s="227"/>
      <c r="AH547" s="227"/>
      <c r="AI547" s="227"/>
      <c r="AJ547" s="227"/>
      <c r="AK547" s="227"/>
      <c r="AL547" s="225"/>
      <c r="AM547" s="227"/>
    </row>
    <row r="548" spans="1:39" ht="20.100000000000001" customHeight="1">
      <c r="A548" s="223"/>
      <c r="B548" s="225"/>
      <c r="C548" s="227"/>
      <c r="D548" s="224"/>
      <c r="E548" s="227"/>
      <c r="F548" s="227"/>
      <c r="G548" s="227"/>
      <c r="H548" s="227"/>
      <c r="I548" s="227"/>
      <c r="J548" s="227"/>
      <c r="K548" s="227"/>
      <c r="L548" s="227"/>
      <c r="M548" s="227"/>
      <c r="N548" s="227"/>
      <c r="O548" s="227"/>
      <c r="P548" s="227"/>
      <c r="Q548" s="227"/>
      <c r="R548" s="227"/>
      <c r="S548" s="227"/>
      <c r="T548" s="227"/>
      <c r="U548" s="227"/>
      <c r="V548" s="227"/>
      <c r="W548" s="227"/>
      <c r="X548" s="227"/>
      <c r="Y548" s="227"/>
      <c r="Z548" s="227"/>
      <c r="AA548" s="227"/>
      <c r="AB548" s="227"/>
      <c r="AC548" s="227"/>
      <c r="AD548" s="227"/>
      <c r="AE548" s="227"/>
      <c r="AF548" s="227"/>
      <c r="AG548" s="227"/>
      <c r="AH548" s="227"/>
      <c r="AI548" s="227"/>
      <c r="AJ548" s="227"/>
      <c r="AK548" s="227"/>
      <c r="AL548" s="225"/>
      <c r="AM548" s="227"/>
    </row>
    <row r="549" spans="1:39" ht="20.100000000000001" customHeight="1">
      <c r="A549" s="227">
        <v>271</v>
      </c>
      <c r="B549" s="225"/>
      <c r="C549" s="227"/>
      <c r="D549" s="228">
        <f>(SUMPRODUCT(E549:AL549*$E$6:$AL$6)/100)+(SUMPRODUCT(E549:AL549*$E$6:$AL$6*$E$3:$AL$3)/100)</f>
        <v>0</v>
      </c>
      <c r="E549" s="227"/>
      <c r="F549" s="227"/>
      <c r="G549" s="227"/>
      <c r="H549" s="227"/>
      <c r="I549" s="227"/>
      <c r="J549" s="227"/>
      <c r="K549" s="227"/>
      <c r="L549" s="227"/>
      <c r="M549" s="227"/>
      <c r="N549" s="227"/>
      <c r="O549" s="227"/>
      <c r="P549" s="227"/>
      <c r="Q549" s="227"/>
      <c r="R549" s="227"/>
      <c r="S549" s="227"/>
      <c r="T549" s="227"/>
      <c r="U549" s="227"/>
      <c r="V549" s="227"/>
      <c r="W549" s="227"/>
      <c r="X549" s="227"/>
      <c r="Y549" s="227"/>
      <c r="Z549" s="227"/>
      <c r="AA549" s="227"/>
      <c r="AB549" s="227"/>
      <c r="AC549" s="227"/>
      <c r="AD549" s="227"/>
      <c r="AE549" s="227"/>
      <c r="AF549" s="227"/>
      <c r="AG549" s="227"/>
      <c r="AH549" s="227"/>
      <c r="AI549" s="227"/>
      <c r="AJ549" s="227"/>
      <c r="AK549" s="227"/>
      <c r="AL549" s="225"/>
      <c r="AM549" s="227"/>
    </row>
    <row r="550" spans="1:39" ht="20.100000000000001" customHeight="1">
      <c r="A550" s="227"/>
      <c r="B550" s="225"/>
      <c r="C550" s="227"/>
      <c r="D550" s="224"/>
      <c r="E550" s="227"/>
      <c r="F550" s="227"/>
      <c r="G550" s="227"/>
      <c r="H550" s="227"/>
      <c r="I550" s="227"/>
      <c r="J550" s="227"/>
      <c r="K550" s="227"/>
      <c r="L550" s="227"/>
      <c r="M550" s="227"/>
      <c r="N550" s="227"/>
      <c r="O550" s="227"/>
      <c r="P550" s="227"/>
      <c r="Q550" s="227"/>
      <c r="R550" s="227"/>
      <c r="S550" s="227"/>
      <c r="T550" s="227"/>
      <c r="U550" s="227"/>
      <c r="V550" s="227"/>
      <c r="W550" s="227"/>
      <c r="X550" s="227"/>
      <c r="Y550" s="227"/>
      <c r="Z550" s="227"/>
      <c r="AA550" s="227"/>
      <c r="AB550" s="227"/>
      <c r="AC550" s="227"/>
      <c r="AD550" s="227"/>
      <c r="AE550" s="227"/>
      <c r="AF550" s="227"/>
      <c r="AG550" s="227"/>
      <c r="AH550" s="227"/>
      <c r="AI550" s="227"/>
      <c r="AJ550" s="227"/>
      <c r="AK550" s="227"/>
      <c r="AL550" s="225"/>
      <c r="AM550" s="227"/>
    </row>
    <row r="551" spans="1:39" ht="20.100000000000001" customHeight="1">
      <c r="A551" s="227">
        <v>272</v>
      </c>
      <c r="B551" s="225"/>
      <c r="C551" s="227"/>
      <c r="D551" s="228">
        <f>(SUMPRODUCT(E551:AL551*$E$6:$AL$6)/100)+(SUMPRODUCT(E551:AL551*$E$6:$AL$6*$E$3:$AL$3)/100)</f>
        <v>0</v>
      </c>
      <c r="E551" s="227"/>
      <c r="F551" s="227"/>
      <c r="G551" s="227"/>
      <c r="H551" s="227"/>
      <c r="I551" s="227"/>
      <c r="J551" s="227"/>
      <c r="K551" s="227"/>
      <c r="L551" s="227"/>
      <c r="M551" s="227"/>
      <c r="N551" s="227"/>
      <c r="O551" s="227"/>
      <c r="P551" s="227"/>
      <c r="Q551" s="227"/>
      <c r="R551" s="227"/>
      <c r="S551" s="227"/>
      <c r="T551" s="227"/>
      <c r="U551" s="227"/>
      <c r="V551" s="227"/>
      <c r="W551" s="227"/>
      <c r="X551" s="227"/>
      <c r="Y551" s="227"/>
      <c r="Z551" s="227"/>
      <c r="AA551" s="227"/>
      <c r="AB551" s="227"/>
      <c r="AC551" s="227"/>
      <c r="AD551" s="227"/>
      <c r="AE551" s="227"/>
      <c r="AF551" s="227"/>
      <c r="AG551" s="227"/>
      <c r="AH551" s="227"/>
      <c r="AI551" s="227"/>
      <c r="AJ551" s="227"/>
      <c r="AK551" s="227"/>
      <c r="AL551" s="225"/>
      <c r="AM551" s="227"/>
    </row>
    <row r="552" spans="1:39" ht="20.100000000000001" customHeight="1">
      <c r="A552" s="223"/>
      <c r="B552" s="225"/>
      <c r="C552" s="227"/>
      <c r="D552" s="224"/>
      <c r="E552" s="227"/>
      <c r="F552" s="227"/>
      <c r="G552" s="227"/>
      <c r="H552" s="227"/>
      <c r="I552" s="227"/>
      <c r="J552" s="227"/>
      <c r="K552" s="227"/>
      <c r="L552" s="227"/>
      <c r="M552" s="227"/>
      <c r="N552" s="227"/>
      <c r="O552" s="227"/>
      <c r="P552" s="227"/>
      <c r="Q552" s="227"/>
      <c r="R552" s="227"/>
      <c r="S552" s="227"/>
      <c r="T552" s="227"/>
      <c r="U552" s="227"/>
      <c r="V552" s="227"/>
      <c r="W552" s="227"/>
      <c r="X552" s="227"/>
      <c r="Y552" s="227"/>
      <c r="Z552" s="227"/>
      <c r="AA552" s="227"/>
      <c r="AB552" s="227"/>
      <c r="AC552" s="227"/>
      <c r="AD552" s="227"/>
      <c r="AE552" s="227"/>
      <c r="AF552" s="227"/>
      <c r="AG552" s="227"/>
      <c r="AH552" s="227"/>
      <c r="AI552" s="227"/>
      <c r="AJ552" s="227"/>
      <c r="AK552" s="227"/>
      <c r="AL552" s="225"/>
      <c r="AM552" s="227"/>
    </row>
    <row r="553" spans="1:39" ht="20.100000000000001" customHeight="1">
      <c r="A553" s="227">
        <v>273</v>
      </c>
      <c r="B553" s="225"/>
      <c r="C553" s="227"/>
      <c r="D553" s="228">
        <f>(SUMPRODUCT(E553:AL553*$E$6:$AL$6)/100)+(SUMPRODUCT(E553:AL553*$E$6:$AL$6*$E$3:$AL$3)/100)</f>
        <v>0</v>
      </c>
      <c r="E553" s="227"/>
      <c r="F553" s="227"/>
      <c r="G553" s="227"/>
      <c r="H553" s="227"/>
      <c r="I553" s="227"/>
      <c r="J553" s="227"/>
      <c r="K553" s="227"/>
      <c r="L553" s="227"/>
      <c r="M553" s="227"/>
      <c r="N553" s="227"/>
      <c r="O553" s="227"/>
      <c r="P553" s="227"/>
      <c r="Q553" s="227"/>
      <c r="R553" s="227"/>
      <c r="S553" s="227"/>
      <c r="T553" s="227"/>
      <c r="U553" s="227"/>
      <c r="V553" s="227"/>
      <c r="W553" s="227"/>
      <c r="X553" s="227"/>
      <c r="Y553" s="227"/>
      <c r="Z553" s="227"/>
      <c r="AA553" s="227"/>
      <c r="AB553" s="227"/>
      <c r="AC553" s="227"/>
      <c r="AD553" s="227"/>
      <c r="AE553" s="227"/>
      <c r="AF553" s="227"/>
      <c r="AG553" s="227"/>
      <c r="AH553" s="227"/>
      <c r="AI553" s="227"/>
      <c r="AJ553" s="227"/>
      <c r="AK553" s="227"/>
      <c r="AL553" s="225"/>
      <c r="AM553" s="227"/>
    </row>
    <row r="554" spans="1:39" ht="20.100000000000001" customHeight="1">
      <c r="A554" s="227"/>
      <c r="B554" s="225"/>
      <c r="C554" s="227"/>
      <c r="D554" s="224"/>
      <c r="E554" s="227"/>
      <c r="F554" s="227"/>
      <c r="G554" s="227"/>
      <c r="H554" s="227"/>
      <c r="I554" s="227"/>
      <c r="J554" s="227"/>
      <c r="K554" s="227"/>
      <c r="L554" s="227"/>
      <c r="M554" s="227"/>
      <c r="N554" s="227"/>
      <c r="O554" s="227"/>
      <c r="P554" s="227"/>
      <c r="Q554" s="227"/>
      <c r="R554" s="227"/>
      <c r="S554" s="227"/>
      <c r="T554" s="227"/>
      <c r="U554" s="227"/>
      <c r="V554" s="227"/>
      <c r="W554" s="227"/>
      <c r="X554" s="227"/>
      <c r="Y554" s="227"/>
      <c r="Z554" s="227"/>
      <c r="AA554" s="227"/>
      <c r="AB554" s="227"/>
      <c r="AC554" s="227"/>
      <c r="AD554" s="227"/>
      <c r="AE554" s="227"/>
      <c r="AF554" s="227"/>
      <c r="AG554" s="227"/>
      <c r="AH554" s="227"/>
      <c r="AI554" s="227"/>
      <c r="AJ554" s="227"/>
      <c r="AK554" s="227"/>
      <c r="AL554" s="225"/>
      <c r="AM554" s="227"/>
    </row>
    <row r="555" spans="1:39" ht="20.100000000000001" customHeight="1">
      <c r="A555" s="227">
        <v>274</v>
      </c>
      <c r="B555" s="225"/>
      <c r="C555" s="227"/>
      <c r="D555" s="228">
        <f>(SUMPRODUCT(E555:AL555*$E$6:$AL$6)/100)+(SUMPRODUCT(E555:AL555*$E$6:$AL$6*$E$3:$AL$3)/100)</f>
        <v>0</v>
      </c>
      <c r="E555" s="227"/>
      <c r="F555" s="227"/>
      <c r="G555" s="227"/>
      <c r="H555" s="227"/>
      <c r="I555" s="227"/>
      <c r="J555" s="227"/>
      <c r="K555" s="227"/>
      <c r="L555" s="227"/>
      <c r="M555" s="227"/>
      <c r="N555" s="227"/>
      <c r="O555" s="227"/>
      <c r="P555" s="227"/>
      <c r="Q555" s="227"/>
      <c r="R555" s="227"/>
      <c r="S555" s="227"/>
      <c r="T555" s="227"/>
      <c r="U555" s="227"/>
      <c r="V555" s="227"/>
      <c r="W555" s="227"/>
      <c r="X555" s="227"/>
      <c r="Y555" s="227"/>
      <c r="Z555" s="227"/>
      <c r="AA555" s="227"/>
      <c r="AB555" s="227"/>
      <c r="AC555" s="227"/>
      <c r="AD555" s="227"/>
      <c r="AE555" s="227"/>
      <c r="AF555" s="227"/>
      <c r="AG555" s="227"/>
      <c r="AH555" s="227"/>
      <c r="AI555" s="227"/>
      <c r="AJ555" s="227"/>
      <c r="AK555" s="227"/>
      <c r="AL555" s="225"/>
      <c r="AM555" s="227"/>
    </row>
    <row r="556" spans="1:39" ht="20.100000000000001" customHeight="1">
      <c r="A556" s="223"/>
      <c r="B556" s="225"/>
      <c r="C556" s="227"/>
      <c r="D556" s="224"/>
      <c r="E556" s="227"/>
      <c r="F556" s="227"/>
      <c r="G556" s="227"/>
      <c r="H556" s="227"/>
      <c r="I556" s="227"/>
      <c r="J556" s="227"/>
      <c r="K556" s="227"/>
      <c r="L556" s="227"/>
      <c r="M556" s="227"/>
      <c r="N556" s="227"/>
      <c r="O556" s="227"/>
      <c r="P556" s="227"/>
      <c r="Q556" s="227"/>
      <c r="R556" s="227"/>
      <c r="S556" s="227"/>
      <c r="T556" s="227"/>
      <c r="U556" s="227"/>
      <c r="V556" s="227"/>
      <c r="W556" s="227"/>
      <c r="X556" s="227"/>
      <c r="Y556" s="227"/>
      <c r="Z556" s="227"/>
      <c r="AA556" s="227"/>
      <c r="AB556" s="227"/>
      <c r="AC556" s="227"/>
      <c r="AD556" s="227"/>
      <c r="AE556" s="227"/>
      <c r="AF556" s="227"/>
      <c r="AG556" s="227"/>
      <c r="AH556" s="227"/>
      <c r="AI556" s="227"/>
      <c r="AJ556" s="227"/>
      <c r="AK556" s="227"/>
      <c r="AL556" s="225"/>
      <c r="AM556" s="227"/>
    </row>
    <row r="557" spans="1:39" ht="20.100000000000001" customHeight="1">
      <c r="A557" s="227">
        <v>275</v>
      </c>
      <c r="B557" s="225"/>
      <c r="C557" s="227"/>
      <c r="D557" s="228">
        <f>(SUMPRODUCT(E557:AL557*$E$6:$AL$6)/100)+(SUMPRODUCT(E557:AL557*$E$6:$AL$6*$E$3:$AL$3)/100)</f>
        <v>0</v>
      </c>
      <c r="E557" s="227"/>
      <c r="F557" s="227"/>
      <c r="G557" s="227"/>
      <c r="H557" s="227"/>
      <c r="I557" s="227"/>
      <c r="J557" s="227"/>
      <c r="K557" s="227"/>
      <c r="L557" s="227"/>
      <c r="M557" s="227"/>
      <c r="N557" s="227"/>
      <c r="O557" s="227"/>
      <c r="P557" s="227"/>
      <c r="Q557" s="227"/>
      <c r="R557" s="227"/>
      <c r="S557" s="227"/>
      <c r="T557" s="227"/>
      <c r="U557" s="227"/>
      <c r="V557" s="227"/>
      <c r="W557" s="227"/>
      <c r="X557" s="227"/>
      <c r="Y557" s="227"/>
      <c r="Z557" s="227"/>
      <c r="AA557" s="227"/>
      <c r="AB557" s="227"/>
      <c r="AC557" s="227"/>
      <c r="AD557" s="227"/>
      <c r="AE557" s="227"/>
      <c r="AF557" s="227"/>
      <c r="AG557" s="227"/>
      <c r="AH557" s="227"/>
      <c r="AI557" s="227"/>
      <c r="AJ557" s="227"/>
      <c r="AK557" s="227"/>
      <c r="AL557" s="225"/>
      <c r="AM557" s="227"/>
    </row>
    <row r="558" spans="1:39" ht="20.100000000000001" customHeight="1">
      <c r="A558" s="227"/>
      <c r="B558" s="225"/>
      <c r="C558" s="227"/>
      <c r="D558" s="224"/>
      <c r="E558" s="227"/>
      <c r="F558" s="227"/>
      <c r="G558" s="227"/>
      <c r="H558" s="227"/>
      <c r="I558" s="227"/>
      <c r="J558" s="227"/>
      <c r="K558" s="227"/>
      <c r="L558" s="227"/>
      <c r="M558" s="227"/>
      <c r="N558" s="227"/>
      <c r="O558" s="227"/>
      <c r="P558" s="227"/>
      <c r="Q558" s="227"/>
      <c r="R558" s="227"/>
      <c r="S558" s="227"/>
      <c r="T558" s="227"/>
      <c r="U558" s="227"/>
      <c r="V558" s="227"/>
      <c r="W558" s="227"/>
      <c r="X558" s="227"/>
      <c r="Y558" s="227"/>
      <c r="Z558" s="227"/>
      <c r="AA558" s="227"/>
      <c r="AB558" s="227"/>
      <c r="AC558" s="227"/>
      <c r="AD558" s="227"/>
      <c r="AE558" s="227"/>
      <c r="AF558" s="227"/>
      <c r="AG558" s="227"/>
      <c r="AH558" s="227"/>
      <c r="AI558" s="227"/>
      <c r="AJ558" s="227"/>
      <c r="AK558" s="227"/>
      <c r="AL558" s="225"/>
      <c r="AM558" s="227"/>
    </row>
    <row r="559" spans="1:39" ht="20.100000000000001" customHeight="1">
      <c r="A559" s="227">
        <v>276</v>
      </c>
      <c r="B559" s="225"/>
      <c r="C559" s="227"/>
      <c r="D559" s="228">
        <f>(SUMPRODUCT(E559:AL559*$E$6:$AL$6)/100)+(SUMPRODUCT(E559:AL559*$E$6:$AL$6*$E$3:$AL$3)/100)</f>
        <v>0</v>
      </c>
      <c r="E559" s="227"/>
      <c r="F559" s="227"/>
      <c r="G559" s="227"/>
      <c r="H559" s="227"/>
      <c r="I559" s="227"/>
      <c r="J559" s="227"/>
      <c r="K559" s="227"/>
      <c r="L559" s="227"/>
      <c r="M559" s="227"/>
      <c r="N559" s="227"/>
      <c r="O559" s="227"/>
      <c r="P559" s="227"/>
      <c r="Q559" s="227"/>
      <c r="R559" s="227"/>
      <c r="S559" s="227"/>
      <c r="T559" s="227"/>
      <c r="U559" s="227"/>
      <c r="V559" s="227"/>
      <c r="W559" s="227"/>
      <c r="X559" s="227"/>
      <c r="Y559" s="227"/>
      <c r="Z559" s="227"/>
      <c r="AA559" s="227"/>
      <c r="AB559" s="227"/>
      <c r="AC559" s="227"/>
      <c r="AD559" s="227"/>
      <c r="AE559" s="227"/>
      <c r="AF559" s="227"/>
      <c r="AG559" s="227"/>
      <c r="AH559" s="227"/>
      <c r="AI559" s="227"/>
      <c r="AJ559" s="227"/>
      <c r="AK559" s="227"/>
      <c r="AL559" s="225"/>
      <c r="AM559" s="227"/>
    </row>
    <row r="560" spans="1:39" ht="20.100000000000001" customHeight="1">
      <c r="A560" s="223"/>
      <c r="B560" s="225"/>
      <c r="C560" s="227"/>
      <c r="D560" s="224"/>
      <c r="E560" s="227"/>
      <c r="F560" s="227"/>
      <c r="G560" s="227"/>
      <c r="H560" s="227"/>
      <c r="I560" s="227"/>
      <c r="J560" s="227"/>
      <c r="K560" s="227"/>
      <c r="L560" s="227"/>
      <c r="M560" s="227"/>
      <c r="N560" s="227"/>
      <c r="O560" s="227"/>
      <c r="P560" s="227"/>
      <c r="Q560" s="227"/>
      <c r="R560" s="227"/>
      <c r="S560" s="227"/>
      <c r="T560" s="227"/>
      <c r="U560" s="227"/>
      <c r="V560" s="227"/>
      <c r="W560" s="227"/>
      <c r="X560" s="227"/>
      <c r="Y560" s="227"/>
      <c r="Z560" s="227"/>
      <c r="AA560" s="227"/>
      <c r="AB560" s="227"/>
      <c r="AC560" s="227"/>
      <c r="AD560" s="227"/>
      <c r="AE560" s="227"/>
      <c r="AF560" s="227"/>
      <c r="AG560" s="227"/>
      <c r="AH560" s="227"/>
      <c r="AI560" s="227"/>
      <c r="AJ560" s="227"/>
      <c r="AK560" s="227"/>
      <c r="AL560" s="225"/>
      <c r="AM560" s="227"/>
    </row>
    <row r="561" spans="1:39" ht="20.100000000000001" customHeight="1">
      <c r="A561" s="227">
        <v>277</v>
      </c>
      <c r="B561" s="225"/>
      <c r="C561" s="227"/>
      <c r="D561" s="228">
        <f>(SUMPRODUCT(E561:AL561*$E$6:$AL$6)/100)+(SUMPRODUCT(E561:AL561*$E$6:$AL$6*$E$3:$AL$3)/100)</f>
        <v>0</v>
      </c>
      <c r="E561" s="227"/>
      <c r="F561" s="227"/>
      <c r="G561" s="227"/>
      <c r="H561" s="227"/>
      <c r="I561" s="227"/>
      <c r="J561" s="227"/>
      <c r="K561" s="227"/>
      <c r="L561" s="227"/>
      <c r="M561" s="227"/>
      <c r="N561" s="227"/>
      <c r="O561" s="227"/>
      <c r="P561" s="227"/>
      <c r="Q561" s="227"/>
      <c r="R561" s="227"/>
      <c r="S561" s="227"/>
      <c r="T561" s="227"/>
      <c r="U561" s="227"/>
      <c r="V561" s="227"/>
      <c r="W561" s="227"/>
      <c r="X561" s="227"/>
      <c r="Y561" s="227"/>
      <c r="Z561" s="227"/>
      <c r="AA561" s="227"/>
      <c r="AB561" s="227"/>
      <c r="AC561" s="227"/>
      <c r="AD561" s="227"/>
      <c r="AE561" s="227"/>
      <c r="AF561" s="227"/>
      <c r="AG561" s="227"/>
      <c r="AH561" s="227"/>
      <c r="AI561" s="227"/>
      <c r="AJ561" s="227"/>
      <c r="AK561" s="227"/>
      <c r="AL561" s="225"/>
      <c r="AM561" s="227"/>
    </row>
    <row r="562" spans="1:39" ht="20.100000000000001" customHeight="1">
      <c r="A562" s="227"/>
      <c r="B562" s="225"/>
      <c r="C562" s="227"/>
      <c r="D562" s="224"/>
      <c r="E562" s="227"/>
      <c r="F562" s="227"/>
      <c r="G562" s="227"/>
      <c r="H562" s="227"/>
      <c r="I562" s="227"/>
      <c r="J562" s="227"/>
      <c r="K562" s="227"/>
      <c r="L562" s="227"/>
      <c r="M562" s="227"/>
      <c r="N562" s="227"/>
      <c r="O562" s="227"/>
      <c r="P562" s="227"/>
      <c r="Q562" s="227"/>
      <c r="R562" s="227"/>
      <c r="S562" s="227"/>
      <c r="T562" s="227"/>
      <c r="U562" s="227"/>
      <c r="V562" s="227"/>
      <c r="W562" s="227"/>
      <c r="X562" s="227"/>
      <c r="Y562" s="227"/>
      <c r="Z562" s="227"/>
      <c r="AA562" s="227"/>
      <c r="AB562" s="227"/>
      <c r="AC562" s="227"/>
      <c r="AD562" s="227"/>
      <c r="AE562" s="227"/>
      <c r="AF562" s="227"/>
      <c r="AG562" s="227"/>
      <c r="AH562" s="227"/>
      <c r="AI562" s="227"/>
      <c r="AJ562" s="227"/>
      <c r="AK562" s="227"/>
      <c r="AL562" s="225"/>
      <c r="AM562" s="227"/>
    </row>
    <row r="563" spans="1:39" ht="20.100000000000001" customHeight="1">
      <c r="A563" s="227">
        <v>278</v>
      </c>
      <c r="B563" s="225"/>
      <c r="C563" s="227"/>
      <c r="D563" s="228">
        <f>(SUMPRODUCT(E563:AL563*$E$6:$AL$6)/100)+(SUMPRODUCT(E563:AL563*$E$6:$AL$6*$E$3:$AL$3)/100)</f>
        <v>0</v>
      </c>
      <c r="E563" s="227"/>
      <c r="F563" s="227"/>
      <c r="G563" s="227"/>
      <c r="H563" s="227"/>
      <c r="I563" s="227"/>
      <c r="J563" s="227"/>
      <c r="K563" s="227"/>
      <c r="L563" s="227"/>
      <c r="M563" s="227"/>
      <c r="N563" s="227"/>
      <c r="O563" s="227"/>
      <c r="P563" s="227"/>
      <c r="Q563" s="227"/>
      <c r="R563" s="227"/>
      <c r="S563" s="227"/>
      <c r="T563" s="227"/>
      <c r="U563" s="227"/>
      <c r="V563" s="227"/>
      <c r="W563" s="227"/>
      <c r="X563" s="227"/>
      <c r="Y563" s="227"/>
      <c r="Z563" s="227"/>
      <c r="AA563" s="227"/>
      <c r="AB563" s="227"/>
      <c r="AC563" s="227"/>
      <c r="AD563" s="227"/>
      <c r="AE563" s="227"/>
      <c r="AF563" s="227"/>
      <c r="AG563" s="227"/>
      <c r="AH563" s="227"/>
      <c r="AI563" s="227"/>
      <c r="AJ563" s="227"/>
      <c r="AK563" s="227"/>
      <c r="AL563" s="225"/>
      <c r="AM563" s="227"/>
    </row>
    <row r="564" spans="1:39" ht="20.100000000000001" customHeight="1">
      <c r="A564" s="223"/>
      <c r="B564" s="225"/>
      <c r="C564" s="227"/>
      <c r="D564" s="224"/>
      <c r="E564" s="227"/>
      <c r="F564" s="227"/>
      <c r="G564" s="227"/>
      <c r="H564" s="227"/>
      <c r="I564" s="227"/>
      <c r="J564" s="227"/>
      <c r="K564" s="227"/>
      <c r="L564" s="227"/>
      <c r="M564" s="227"/>
      <c r="N564" s="227"/>
      <c r="O564" s="227"/>
      <c r="P564" s="227"/>
      <c r="Q564" s="227"/>
      <c r="R564" s="227"/>
      <c r="S564" s="227"/>
      <c r="T564" s="227"/>
      <c r="U564" s="227"/>
      <c r="V564" s="227"/>
      <c r="W564" s="227"/>
      <c r="X564" s="227"/>
      <c r="Y564" s="227"/>
      <c r="Z564" s="227"/>
      <c r="AA564" s="227"/>
      <c r="AB564" s="227"/>
      <c r="AC564" s="227"/>
      <c r="AD564" s="227"/>
      <c r="AE564" s="227"/>
      <c r="AF564" s="227"/>
      <c r="AG564" s="227"/>
      <c r="AH564" s="227"/>
      <c r="AI564" s="227"/>
      <c r="AJ564" s="227"/>
      <c r="AK564" s="227"/>
      <c r="AL564" s="225"/>
      <c r="AM564" s="227"/>
    </row>
    <row r="565" spans="1:39" ht="20.100000000000001" customHeight="1">
      <c r="A565" s="227">
        <v>279</v>
      </c>
      <c r="B565" s="225"/>
      <c r="C565" s="227"/>
      <c r="D565" s="228">
        <f>(SUMPRODUCT(E565:AL565*$E$6:$AL$6)/100)+(SUMPRODUCT(E565:AL565*$E$6:$AL$6*$E$3:$AL$3)/100)</f>
        <v>0</v>
      </c>
      <c r="E565" s="227"/>
      <c r="F565" s="227"/>
      <c r="G565" s="227"/>
      <c r="H565" s="227"/>
      <c r="I565" s="227"/>
      <c r="J565" s="227"/>
      <c r="K565" s="227"/>
      <c r="L565" s="227"/>
      <c r="M565" s="227"/>
      <c r="N565" s="227"/>
      <c r="O565" s="227"/>
      <c r="P565" s="227"/>
      <c r="Q565" s="227"/>
      <c r="R565" s="227"/>
      <c r="S565" s="227"/>
      <c r="T565" s="227"/>
      <c r="U565" s="227"/>
      <c r="V565" s="227"/>
      <c r="W565" s="227"/>
      <c r="X565" s="227"/>
      <c r="Y565" s="227"/>
      <c r="Z565" s="227"/>
      <c r="AA565" s="227"/>
      <c r="AB565" s="227"/>
      <c r="AC565" s="227"/>
      <c r="AD565" s="227"/>
      <c r="AE565" s="227"/>
      <c r="AF565" s="227"/>
      <c r="AG565" s="227"/>
      <c r="AH565" s="227"/>
      <c r="AI565" s="227"/>
      <c r="AJ565" s="227"/>
      <c r="AK565" s="227"/>
      <c r="AL565" s="225"/>
      <c r="AM565" s="227"/>
    </row>
    <row r="566" spans="1:39" ht="20.100000000000001" customHeight="1">
      <c r="A566" s="227"/>
      <c r="B566" s="225"/>
      <c r="C566" s="227"/>
      <c r="D566" s="224"/>
      <c r="E566" s="227"/>
      <c r="F566" s="227"/>
      <c r="G566" s="227"/>
      <c r="H566" s="227"/>
      <c r="I566" s="227"/>
      <c r="J566" s="227"/>
      <c r="K566" s="227"/>
      <c r="L566" s="227"/>
      <c r="M566" s="227"/>
      <c r="N566" s="227"/>
      <c r="O566" s="227"/>
      <c r="P566" s="227"/>
      <c r="Q566" s="227"/>
      <c r="R566" s="227"/>
      <c r="S566" s="227"/>
      <c r="T566" s="227"/>
      <c r="U566" s="227"/>
      <c r="V566" s="227"/>
      <c r="W566" s="227"/>
      <c r="X566" s="227"/>
      <c r="Y566" s="227"/>
      <c r="Z566" s="227"/>
      <c r="AA566" s="227"/>
      <c r="AB566" s="227"/>
      <c r="AC566" s="227"/>
      <c r="AD566" s="227"/>
      <c r="AE566" s="227"/>
      <c r="AF566" s="227"/>
      <c r="AG566" s="227"/>
      <c r="AH566" s="227"/>
      <c r="AI566" s="227"/>
      <c r="AJ566" s="227"/>
      <c r="AK566" s="227"/>
      <c r="AL566" s="225"/>
      <c r="AM566" s="227"/>
    </row>
    <row r="567" spans="1:39" ht="20.100000000000001" customHeight="1">
      <c r="A567" s="227">
        <v>280</v>
      </c>
      <c r="B567" s="225"/>
      <c r="C567" s="227"/>
      <c r="D567" s="228">
        <f>(SUMPRODUCT(E567:AL567*$E$6:$AL$6)/100)+(SUMPRODUCT(E567:AL567*$E$6:$AL$6*$E$3:$AL$3)/100)</f>
        <v>0</v>
      </c>
      <c r="E567" s="227"/>
      <c r="F567" s="227"/>
      <c r="G567" s="227"/>
      <c r="H567" s="227"/>
      <c r="I567" s="227"/>
      <c r="J567" s="227"/>
      <c r="K567" s="227"/>
      <c r="L567" s="227"/>
      <c r="M567" s="227"/>
      <c r="N567" s="227"/>
      <c r="O567" s="227"/>
      <c r="P567" s="227"/>
      <c r="Q567" s="227"/>
      <c r="R567" s="227"/>
      <c r="S567" s="227"/>
      <c r="T567" s="227"/>
      <c r="U567" s="227"/>
      <c r="V567" s="227"/>
      <c r="W567" s="227"/>
      <c r="X567" s="227"/>
      <c r="Y567" s="227"/>
      <c r="Z567" s="227"/>
      <c r="AA567" s="227"/>
      <c r="AB567" s="227"/>
      <c r="AC567" s="227"/>
      <c r="AD567" s="227"/>
      <c r="AE567" s="227"/>
      <c r="AF567" s="227"/>
      <c r="AG567" s="227"/>
      <c r="AH567" s="227"/>
      <c r="AI567" s="227"/>
      <c r="AJ567" s="227"/>
      <c r="AK567" s="227"/>
      <c r="AL567" s="225"/>
      <c r="AM567" s="227"/>
    </row>
    <row r="568" spans="1:39" ht="20.100000000000001" customHeight="1">
      <c r="A568" s="223"/>
      <c r="B568" s="225"/>
      <c r="C568" s="227"/>
      <c r="D568" s="224"/>
      <c r="E568" s="227"/>
      <c r="F568" s="227"/>
      <c r="G568" s="227"/>
      <c r="H568" s="227"/>
      <c r="I568" s="227"/>
      <c r="J568" s="227"/>
      <c r="K568" s="227"/>
      <c r="L568" s="227"/>
      <c r="M568" s="227"/>
      <c r="N568" s="227"/>
      <c r="O568" s="227"/>
      <c r="P568" s="227"/>
      <c r="Q568" s="227"/>
      <c r="R568" s="227"/>
      <c r="S568" s="227"/>
      <c r="T568" s="227"/>
      <c r="U568" s="227"/>
      <c r="V568" s="227"/>
      <c r="W568" s="227"/>
      <c r="X568" s="227"/>
      <c r="Y568" s="227"/>
      <c r="Z568" s="227"/>
      <c r="AA568" s="227"/>
      <c r="AB568" s="227"/>
      <c r="AC568" s="227"/>
      <c r="AD568" s="227"/>
      <c r="AE568" s="227"/>
      <c r="AF568" s="227"/>
      <c r="AG568" s="227"/>
      <c r="AH568" s="227"/>
      <c r="AI568" s="227"/>
      <c r="AJ568" s="227"/>
      <c r="AK568" s="227"/>
      <c r="AL568" s="225"/>
      <c r="AM568" s="227"/>
    </row>
    <row r="569" spans="1:39" ht="20.100000000000001" customHeight="1">
      <c r="A569" s="227">
        <v>281</v>
      </c>
      <c r="B569" s="225"/>
      <c r="C569" s="227"/>
      <c r="D569" s="228">
        <f>(SUMPRODUCT(E569:AL569*$E$6:$AL$6)/100)+(SUMPRODUCT(E569:AL569*$E$6:$AL$6*$E$3:$AL$3)/100)</f>
        <v>0</v>
      </c>
      <c r="E569" s="227"/>
      <c r="F569" s="227"/>
      <c r="G569" s="227"/>
      <c r="H569" s="227"/>
      <c r="I569" s="227"/>
      <c r="J569" s="227"/>
      <c r="K569" s="227"/>
      <c r="L569" s="227"/>
      <c r="M569" s="227"/>
      <c r="N569" s="227"/>
      <c r="O569" s="227"/>
      <c r="P569" s="227"/>
      <c r="Q569" s="227"/>
      <c r="R569" s="227"/>
      <c r="S569" s="227"/>
      <c r="T569" s="227"/>
      <c r="U569" s="227"/>
      <c r="V569" s="227"/>
      <c r="W569" s="227"/>
      <c r="X569" s="227"/>
      <c r="Y569" s="227"/>
      <c r="Z569" s="227"/>
      <c r="AA569" s="227"/>
      <c r="AB569" s="227"/>
      <c r="AC569" s="227"/>
      <c r="AD569" s="227"/>
      <c r="AE569" s="227"/>
      <c r="AF569" s="227"/>
      <c r="AG569" s="227"/>
      <c r="AH569" s="227"/>
      <c r="AI569" s="227"/>
      <c r="AJ569" s="227"/>
      <c r="AK569" s="227"/>
      <c r="AL569" s="225"/>
      <c r="AM569" s="227"/>
    </row>
    <row r="570" spans="1:39" ht="20.100000000000001" customHeight="1">
      <c r="A570" s="227"/>
      <c r="B570" s="225"/>
      <c r="C570" s="227"/>
      <c r="D570" s="224"/>
      <c r="E570" s="227"/>
      <c r="F570" s="227"/>
      <c r="G570" s="227"/>
      <c r="H570" s="227"/>
      <c r="I570" s="227"/>
      <c r="J570" s="227"/>
      <c r="K570" s="227"/>
      <c r="L570" s="227"/>
      <c r="M570" s="227"/>
      <c r="N570" s="227"/>
      <c r="O570" s="227"/>
      <c r="P570" s="227"/>
      <c r="Q570" s="227"/>
      <c r="R570" s="227"/>
      <c r="S570" s="227"/>
      <c r="T570" s="227"/>
      <c r="U570" s="227"/>
      <c r="V570" s="227"/>
      <c r="W570" s="227"/>
      <c r="X570" s="227"/>
      <c r="Y570" s="227"/>
      <c r="Z570" s="227"/>
      <c r="AA570" s="227"/>
      <c r="AB570" s="227"/>
      <c r="AC570" s="227"/>
      <c r="AD570" s="227"/>
      <c r="AE570" s="227"/>
      <c r="AF570" s="227"/>
      <c r="AG570" s="227"/>
      <c r="AH570" s="227"/>
      <c r="AI570" s="227"/>
      <c r="AJ570" s="227"/>
      <c r="AK570" s="227"/>
      <c r="AL570" s="225"/>
      <c r="AM570" s="227"/>
    </row>
    <row r="571" spans="1:39" ht="20.100000000000001" customHeight="1">
      <c r="A571" s="227">
        <v>282</v>
      </c>
      <c r="B571" s="225"/>
      <c r="C571" s="227"/>
      <c r="D571" s="228">
        <f>(SUMPRODUCT(E571:AL571*$E$6:$AL$6)/100)+(SUMPRODUCT(E571:AL571*$E$6:$AL$6*$E$3:$AL$3)/100)</f>
        <v>0</v>
      </c>
      <c r="E571" s="227"/>
      <c r="F571" s="227"/>
      <c r="G571" s="227"/>
      <c r="H571" s="227"/>
      <c r="I571" s="227"/>
      <c r="J571" s="227"/>
      <c r="K571" s="227"/>
      <c r="L571" s="227"/>
      <c r="M571" s="227"/>
      <c r="N571" s="227"/>
      <c r="O571" s="227"/>
      <c r="P571" s="227"/>
      <c r="Q571" s="227"/>
      <c r="R571" s="227"/>
      <c r="S571" s="227"/>
      <c r="T571" s="227"/>
      <c r="U571" s="227"/>
      <c r="V571" s="227"/>
      <c r="W571" s="227"/>
      <c r="X571" s="227"/>
      <c r="Y571" s="227"/>
      <c r="Z571" s="227"/>
      <c r="AA571" s="227"/>
      <c r="AB571" s="227"/>
      <c r="AC571" s="227"/>
      <c r="AD571" s="227"/>
      <c r="AE571" s="227"/>
      <c r="AF571" s="227"/>
      <c r="AG571" s="227"/>
      <c r="AH571" s="227"/>
      <c r="AI571" s="227"/>
      <c r="AJ571" s="227"/>
      <c r="AK571" s="227"/>
      <c r="AL571" s="225"/>
      <c r="AM571" s="227"/>
    </row>
    <row r="572" spans="1:39" ht="20.100000000000001" customHeight="1">
      <c r="A572" s="223"/>
      <c r="B572" s="225"/>
      <c r="C572" s="227"/>
      <c r="D572" s="224"/>
      <c r="E572" s="227"/>
      <c r="F572" s="227"/>
      <c r="G572" s="227"/>
      <c r="H572" s="227"/>
      <c r="I572" s="227"/>
      <c r="J572" s="227"/>
      <c r="K572" s="227"/>
      <c r="L572" s="227"/>
      <c r="M572" s="227"/>
      <c r="N572" s="227"/>
      <c r="O572" s="227"/>
      <c r="P572" s="227"/>
      <c r="Q572" s="227"/>
      <c r="R572" s="227"/>
      <c r="S572" s="227"/>
      <c r="T572" s="227"/>
      <c r="U572" s="227"/>
      <c r="V572" s="227"/>
      <c r="W572" s="227"/>
      <c r="X572" s="227"/>
      <c r="Y572" s="227"/>
      <c r="Z572" s="227"/>
      <c r="AA572" s="227"/>
      <c r="AB572" s="227"/>
      <c r="AC572" s="227"/>
      <c r="AD572" s="227"/>
      <c r="AE572" s="227"/>
      <c r="AF572" s="227"/>
      <c r="AG572" s="227"/>
      <c r="AH572" s="227"/>
      <c r="AI572" s="227"/>
      <c r="AJ572" s="227"/>
      <c r="AK572" s="227"/>
      <c r="AL572" s="225"/>
      <c r="AM572" s="227"/>
    </row>
    <row r="573" spans="1:39" ht="20.100000000000001" customHeight="1">
      <c r="A573" s="227">
        <v>283</v>
      </c>
      <c r="B573" s="225"/>
      <c r="C573" s="227"/>
      <c r="D573" s="228">
        <f>(SUMPRODUCT(E573:AL573*$E$6:$AL$6)/100)+(SUMPRODUCT(E573:AL573*$E$6:$AL$6*$E$3:$AL$3)/100)</f>
        <v>0</v>
      </c>
      <c r="E573" s="227"/>
      <c r="F573" s="227"/>
      <c r="G573" s="227"/>
      <c r="H573" s="227"/>
      <c r="I573" s="227"/>
      <c r="J573" s="227"/>
      <c r="K573" s="227"/>
      <c r="L573" s="227"/>
      <c r="M573" s="227"/>
      <c r="N573" s="227"/>
      <c r="O573" s="227"/>
      <c r="P573" s="227"/>
      <c r="Q573" s="227"/>
      <c r="R573" s="227"/>
      <c r="S573" s="227"/>
      <c r="T573" s="227"/>
      <c r="U573" s="227"/>
      <c r="V573" s="227"/>
      <c r="W573" s="227"/>
      <c r="X573" s="227"/>
      <c r="Y573" s="227"/>
      <c r="Z573" s="227"/>
      <c r="AA573" s="227"/>
      <c r="AB573" s="227"/>
      <c r="AC573" s="227"/>
      <c r="AD573" s="227"/>
      <c r="AE573" s="227"/>
      <c r="AF573" s="227"/>
      <c r="AG573" s="227"/>
      <c r="AH573" s="227"/>
      <c r="AI573" s="227"/>
      <c r="AJ573" s="227"/>
      <c r="AK573" s="227"/>
      <c r="AL573" s="225"/>
      <c r="AM573" s="227"/>
    </row>
    <row r="574" spans="1:39" ht="20.100000000000001" customHeight="1">
      <c r="A574" s="227"/>
      <c r="B574" s="225"/>
      <c r="C574" s="227"/>
      <c r="D574" s="224"/>
      <c r="E574" s="227"/>
      <c r="F574" s="227"/>
      <c r="G574" s="227"/>
      <c r="H574" s="227"/>
      <c r="I574" s="227"/>
      <c r="J574" s="227"/>
      <c r="K574" s="227"/>
      <c r="L574" s="227"/>
      <c r="M574" s="227"/>
      <c r="N574" s="227"/>
      <c r="O574" s="227"/>
      <c r="P574" s="227"/>
      <c r="Q574" s="227"/>
      <c r="R574" s="227"/>
      <c r="S574" s="227"/>
      <c r="T574" s="227"/>
      <c r="U574" s="227"/>
      <c r="V574" s="227"/>
      <c r="W574" s="227"/>
      <c r="X574" s="227"/>
      <c r="Y574" s="227"/>
      <c r="Z574" s="227"/>
      <c r="AA574" s="227"/>
      <c r="AB574" s="227"/>
      <c r="AC574" s="227"/>
      <c r="AD574" s="227"/>
      <c r="AE574" s="227"/>
      <c r="AF574" s="227"/>
      <c r="AG574" s="227"/>
      <c r="AH574" s="227"/>
      <c r="AI574" s="227"/>
      <c r="AJ574" s="227"/>
      <c r="AK574" s="227"/>
      <c r="AL574" s="225"/>
      <c r="AM574" s="227"/>
    </row>
    <row r="575" spans="1:39" ht="20.100000000000001" customHeight="1">
      <c r="A575" s="227">
        <v>284</v>
      </c>
      <c r="B575" s="225"/>
      <c r="C575" s="227"/>
      <c r="D575" s="228">
        <f>(SUMPRODUCT(E575:AL575*$E$6:$AL$6)/100)+(SUMPRODUCT(E575:AL575*$E$6:$AL$6*$E$3:$AL$3)/100)</f>
        <v>0</v>
      </c>
      <c r="E575" s="227"/>
      <c r="F575" s="227"/>
      <c r="G575" s="227"/>
      <c r="H575" s="227"/>
      <c r="I575" s="227"/>
      <c r="J575" s="227"/>
      <c r="K575" s="227"/>
      <c r="L575" s="227"/>
      <c r="M575" s="227"/>
      <c r="N575" s="227"/>
      <c r="O575" s="227"/>
      <c r="P575" s="227"/>
      <c r="Q575" s="227"/>
      <c r="R575" s="227"/>
      <c r="S575" s="227"/>
      <c r="T575" s="227"/>
      <c r="U575" s="227"/>
      <c r="V575" s="227"/>
      <c r="W575" s="227"/>
      <c r="X575" s="227"/>
      <c r="Y575" s="227"/>
      <c r="Z575" s="227"/>
      <c r="AA575" s="227"/>
      <c r="AB575" s="227"/>
      <c r="AC575" s="227"/>
      <c r="AD575" s="227"/>
      <c r="AE575" s="227"/>
      <c r="AF575" s="227"/>
      <c r="AG575" s="227"/>
      <c r="AH575" s="227"/>
      <c r="AI575" s="227"/>
      <c r="AJ575" s="227"/>
      <c r="AK575" s="227"/>
      <c r="AL575" s="225"/>
      <c r="AM575" s="227"/>
    </row>
    <row r="576" spans="1:39" ht="20.100000000000001" customHeight="1">
      <c r="A576" s="223"/>
      <c r="B576" s="225"/>
      <c r="C576" s="227"/>
      <c r="D576" s="224"/>
      <c r="E576" s="227"/>
      <c r="F576" s="227"/>
      <c r="G576" s="227"/>
      <c r="H576" s="227"/>
      <c r="I576" s="227"/>
      <c r="J576" s="227"/>
      <c r="K576" s="227"/>
      <c r="L576" s="227"/>
      <c r="M576" s="227"/>
      <c r="N576" s="227"/>
      <c r="O576" s="227"/>
      <c r="P576" s="227"/>
      <c r="Q576" s="227"/>
      <c r="R576" s="227"/>
      <c r="S576" s="227"/>
      <c r="T576" s="227"/>
      <c r="U576" s="227"/>
      <c r="V576" s="227"/>
      <c r="W576" s="227"/>
      <c r="X576" s="227"/>
      <c r="Y576" s="227"/>
      <c r="Z576" s="227"/>
      <c r="AA576" s="227"/>
      <c r="AB576" s="227"/>
      <c r="AC576" s="227"/>
      <c r="AD576" s="227"/>
      <c r="AE576" s="227"/>
      <c r="AF576" s="227"/>
      <c r="AG576" s="227"/>
      <c r="AH576" s="227"/>
      <c r="AI576" s="227"/>
      <c r="AJ576" s="227"/>
      <c r="AK576" s="227"/>
      <c r="AL576" s="225"/>
      <c r="AM576" s="227"/>
    </row>
    <row r="577" spans="1:39" ht="20.100000000000001" customHeight="1">
      <c r="A577" s="227">
        <v>285</v>
      </c>
      <c r="B577" s="225"/>
      <c r="C577" s="227"/>
      <c r="D577" s="228">
        <f>(SUMPRODUCT(E577:AL577*$E$6:$AL$6)/100)+(SUMPRODUCT(E577:AL577*$E$6:$AL$6*$E$3:$AL$3)/100)</f>
        <v>0</v>
      </c>
      <c r="E577" s="227"/>
      <c r="F577" s="227"/>
      <c r="G577" s="227"/>
      <c r="H577" s="227"/>
      <c r="I577" s="227"/>
      <c r="J577" s="227"/>
      <c r="K577" s="227"/>
      <c r="L577" s="227"/>
      <c r="M577" s="227"/>
      <c r="N577" s="227"/>
      <c r="O577" s="227"/>
      <c r="P577" s="227"/>
      <c r="Q577" s="227"/>
      <c r="R577" s="227"/>
      <c r="S577" s="227"/>
      <c r="T577" s="227"/>
      <c r="U577" s="227"/>
      <c r="V577" s="227"/>
      <c r="W577" s="227"/>
      <c r="X577" s="227"/>
      <c r="Y577" s="227"/>
      <c r="Z577" s="227"/>
      <c r="AA577" s="227"/>
      <c r="AB577" s="227"/>
      <c r="AC577" s="227"/>
      <c r="AD577" s="227"/>
      <c r="AE577" s="227"/>
      <c r="AF577" s="227"/>
      <c r="AG577" s="227"/>
      <c r="AH577" s="227"/>
      <c r="AI577" s="227"/>
      <c r="AJ577" s="227"/>
      <c r="AK577" s="227"/>
      <c r="AL577" s="225"/>
      <c r="AM577" s="227"/>
    </row>
    <row r="578" spans="1:39" ht="20.100000000000001" customHeight="1">
      <c r="A578" s="227"/>
      <c r="B578" s="225"/>
      <c r="C578" s="227"/>
      <c r="D578" s="224"/>
      <c r="E578" s="227"/>
      <c r="F578" s="227"/>
      <c r="G578" s="227"/>
      <c r="H578" s="227"/>
      <c r="I578" s="227"/>
      <c r="J578" s="227"/>
      <c r="K578" s="227"/>
      <c r="L578" s="227"/>
      <c r="M578" s="227"/>
      <c r="N578" s="227"/>
      <c r="O578" s="227"/>
      <c r="P578" s="227"/>
      <c r="Q578" s="227"/>
      <c r="R578" s="227"/>
      <c r="S578" s="227"/>
      <c r="T578" s="227"/>
      <c r="U578" s="227"/>
      <c r="V578" s="227"/>
      <c r="W578" s="227"/>
      <c r="X578" s="227"/>
      <c r="Y578" s="227"/>
      <c r="Z578" s="227"/>
      <c r="AA578" s="227"/>
      <c r="AB578" s="227"/>
      <c r="AC578" s="227"/>
      <c r="AD578" s="227"/>
      <c r="AE578" s="227"/>
      <c r="AF578" s="227"/>
      <c r="AG578" s="227"/>
      <c r="AH578" s="227"/>
      <c r="AI578" s="227"/>
      <c r="AJ578" s="227"/>
      <c r="AK578" s="227"/>
      <c r="AL578" s="225"/>
      <c r="AM578" s="227"/>
    </row>
    <row r="579" spans="1:39" ht="20.100000000000001" customHeight="1">
      <c r="A579" s="227">
        <v>286</v>
      </c>
      <c r="B579" s="225"/>
      <c r="C579" s="227"/>
      <c r="D579" s="228">
        <f>(SUMPRODUCT(E579:AL579*$E$6:$AL$6)/100)+(SUMPRODUCT(E579:AL579*$E$6:$AL$6*$E$3:$AL$3)/100)</f>
        <v>0</v>
      </c>
      <c r="E579" s="227"/>
      <c r="F579" s="227"/>
      <c r="G579" s="227"/>
      <c r="H579" s="227"/>
      <c r="I579" s="227"/>
      <c r="J579" s="227"/>
      <c r="K579" s="227"/>
      <c r="L579" s="227"/>
      <c r="M579" s="227"/>
      <c r="N579" s="227"/>
      <c r="O579" s="227"/>
      <c r="P579" s="227"/>
      <c r="Q579" s="227"/>
      <c r="R579" s="227"/>
      <c r="S579" s="227"/>
      <c r="T579" s="227"/>
      <c r="U579" s="227"/>
      <c r="V579" s="227"/>
      <c r="W579" s="227"/>
      <c r="X579" s="227"/>
      <c r="Y579" s="227"/>
      <c r="Z579" s="227"/>
      <c r="AA579" s="227"/>
      <c r="AB579" s="227"/>
      <c r="AC579" s="227"/>
      <c r="AD579" s="227"/>
      <c r="AE579" s="227"/>
      <c r="AF579" s="227"/>
      <c r="AG579" s="227"/>
      <c r="AH579" s="227"/>
      <c r="AI579" s="227"/>
      <c r="AJ579" s="227"/>
      <c r="AK579" s="227"/>
      <c r="AL579" s="225"/>
      <c r="AM579" s="227"/>
    </row>
    <row r="580" spans="1:39" ht="20.100000000000001" customHeight="1">
      <c r="A580" s="223"/>
      <c r="B580" s="225"/>
      <c r="C580" s="227"/>
      <c r="D580" s="224"/>
      <c r="E580" s="227"/>
      <c r="F580" s="227"/>
      <c r="G580" s="227"/>
      <c r="H580" s="227"/>
      <c r="I580" s="227"/>
      <c r="J580" s="227"/>
      <c r="K580" s="227"/>
      <c r="L580" s="227"/>
      <c r="M580" s="227"/>
      <c r="N580" s="227"/>
      <c r="O580" s="227"/>
      <c r="P580" s="227"/>
      <c r="Q580" s="227"/>
      <c r="R580" s="227"/>
      <c r="S580" s="227"/>
      <c r="T580" s="227"/>
      <c r="U580" s="227"/>
      <c r="V580" s="227"/>
      <c r="W580" s="227"/>
      <c r="X580" s="227"/>
      <c r="Y580" s="227"/>
      <c r="Z580" s="227"/>
      <c r="AA580" s="227"/>
      <c r="AB580" s="227"/>
      <c r="AC580" s="227"/>
      <c r="AD580" s="227"/>
      <c r="AE580" s="227"/>
      <c r="AF580" s="227"/>
      <c r="AG580" s="227"/>
      <c r="AH580" s="227"/>
      <c r="AI580" s="227"/>
      <c r="AJ580" s="227"/>
      <c r="AK580" s="227"/>
      <c r="AL580" s="225"/>
      <c r="AM580" s="227"/>
    </row>
    <row r="581" spans="1:39" ht="20.100000000000001" customHeight="1">
      <c r="A581" s="227">
        <v>287</v>
      </c>
      <c r="B581" s="225"/>
      <c r="C581" s="227"/>
      <c r="D581" s="228">
        <f>(SUMPRODUCT(E581:AL581*$E$6:$AL$6)/100)+(SUMPRODUCT(E581:AL581*$E$6:$AL$6*$E$3:$AL$3)/100)</f>
        <v>0</v>
      </c>
      <c r="E581" s="227"/>
      <c r="F581" s="227"/>
      <c r="G581" s="227"/>
      <c r="H581" s="227"/>
      <c r="I581" s="227"/>
      <c r="J581" s="227"/>
      <c r="K581" s="227"/>
      <c r="L581" s="227"/>
      <c r="M581" s="227"/>
      <c r="N581" s="227"/>
      <c r="O581" s="227"/>
      <c r="P581" s="227"/>
      <c r="Q581" s="227"/>
      <c r="R581" s="227"/>
      <c r="S581" s="227"/>
      <c r="T581" s="227"/>
      <c r="U581" s="227"/>
      <c r="V581" s="227"/>
      <c r="W581" s="227"/>
      <c r="X581" s="227"/>
      <c r="Y581" s="227"/>
      <c r="Z581" s="227"/>
      <c r="AA581" s="227"/>
      <c r="AB581" s="227"/>
      <c r="AC581" s="227"/>
      <c r="AD581" s="227"/>
      <c r="AE581" s="227"/>
      <c r="AF581" s="227"/>
      <c r="AG581" s="227"/>
      <c r="AH581" s="227"/>
      <c r="AI581" s="227"/>
      <c r="AJ581" s="227"/>
      <c r="AK581" s="227"/>
      <c r="AL581" s="225"/>
      <c r="AM581" s="227"/>
    </row>
    <row r="582" spans="1:39" ht="20.100000000000001" customHeight="1">
      <c r="A582" s="227"/>
      <c r="B582" s="225"/>
      <c r="C582" s="227"/>
      <c r="D582" s="224"/>
      <c r="E582" s="227"/>
      <c r="F582" s="227"/>
      <c r="G582" s="227"/>
      <c r="H582" s="227"/>
      <c r="I582" s="227"/>
      <c r="J582" s="227"/>
      <c r="K582" s="227"/>
      <c r="L582" s="227"/>
      <c r="M582" s="227"/>
      <c r="N582" s="227"/>
      <c r="O582" s="227"/>
      <c r="P582" s="227"/>
      <c r="Q582" s="227"/>
      <c r="R582" s="227"/>
      <c r="S582" s="227"/>
      <c r="T582" s="227"/>
      <c r="U582" s="227"/>
      <c r="V582" s="227"/>
      <c r="W582" s="227"/>
      <c r="X582" s="227"/>
      <c r="Y582" s="227"/>
      <c r="Z582" s="227"/>
      <c r="AA582" s="227"/>
      <c r="AB582" s="227"/>
      <c r="AC582" s="227"/>
      <c r="AD582" s="227"/>
      <c r="AE582" s="227"/>
      <c r="AF582" s="227"/>
      <c r="AG582" s="227"/>
      <c r="AH582" s="227"/>
      <c r="AI582" s="227"/>
      <c r="AJ582" s="227"/>
      <c r="AK582" s="227"/>
      <c r="AL582" s="225"/>
      <c r="AM582" s="227"/>
    </row>
    <row r="583" spans="1:39" ht="20.100000000000001" customHeight="1">
      <c r="A583" s="227">
        <v>288</v>
      </c>
      <c r="B583" s="225"/>
      <c r="C583" s="227"/>
      <c r="D583" s="228">
        <f>(SUMPRODUCT(E583:AL583*$E$6:$AL$6)/100)+(SUMPRODUCT(E583:AL583*$E$6:$AL$6*$E$3:$AL$3)/100)</f>
        <v>0</v>
      </c>
      <c r="E583" s="227"/>
      <c r="F583" s="227"/>
      <c r="G583" s="227"/>
      <c r="H583" s="227"/>
      <c r="I583" s="227"/>
      <c r="J583" s="227"/>
      <c r="K583" s="227"/>
      <c r="L583" s="227"/>
      <c r="M583" s="227"/>
      <c r="N583" s="227"/>
      <c r="O583" s="227"/>
      <c r="P583" s="227"/>
      <c r="Q583" s="227"/>
      <c r="R583" s="227"/>
      <c r="S583" s="227"/>
      <c r="T583" s="227"/>
      <c r="U583" s="227"/>
      <c r="V583" s="227"/>
      <c r="W583" s="227"/>
      <c r="X583" s="227"/>
      <c r="Y583" s="227"/>
      <c r="Z583" s="227"/>
      <c r="AA583" s="227"/>
      <c r="AB583" s="227"/>
      <c r="AC583" s="227"/>
      <c r="AD583" s="227"/>
      <c r="AE583" s="227"/>
      <c r="AF583" s="227"/>
      <c r="AG583" s="227"/>
      <c r="AH583" s="227"/>
      <c r="AI583" s="227"/>
      <c r="AJ583" s="227"/>
      <c r="AK583" s="227"/>
      <c r="AL583" s="225"/>
      <c r="AM583" s="227"/>
    </row>
    <row r="584" spans="1:39" ht="20.100000000000001" customHeight="1">
      <c r="A584" s="223"/>
      <c r="B584" s="225"/>
      <c r="C584" s="227"/>
      <c r="D584" s="224"/>
      <c r="E584" s="227"/>
      <c r="F584" s="227"/>
      <c r="G584" s="227"/>
      <c r="H584" s="227"/>
      <c r="I584" s="227"/>
      <c r="J584" s="227"/>
      <c r="K584" s="227"/>
      <c r="L584" s="227"/>
      <c r="M584" s="227"/>
      <c r="N584" s="227"/>
      <c r="O584" s="227"/>
      <c r="P584" s="227"/>
      <c r="Q584" s="227"/>
      <c r="R584" s="227"/>
      <c r="S584" s="227"/>
      <c r="T584" s="227"/>
      <c r="U584" s="227"/>
      <c r="V584" s="227"/>
      <c r="W584" s="227"/>
      <c r="X584" s="227"/>
      <c r="Y584" s="227"/>
      <c r="Z584" s="227"/>
      <c r="AA584" s="227"/>
      <c r="AB584" s="227"/>
      <c r="AC584" s="227"/>
      <c r="AD584" s="227"/>
      <c r="AE584" s="227"/>
      <c r="AF584" s="227"/>
      <c r="AG584" s="227"/>
      <c r="AH584" s="227"/>
      <c r="AI584" s="227"/>
      <c r="AJ584" s="227"/>
      <c r="AK584" s="227"/>
      <c r="AL584" s="225"/>
      <c r="AM584" s="227"/>
    </row>
    <row r="585" spans="1:39" ht="20.100000000000001" customHeight="1">
      <c r="A585" s="227">
        <v>289</v>
      </c>
      <c r="B585" s="225"/>
      <c r="C585" s="227"/>
      <c r="D585" s="228">
        <f>(SUMPRODUCT(E585:AL585*$E$6:$AL$6)/100)+(SUMPRODUCT(E585:AL585*$E$6:$AL$6*$E$3:$AL$3)/100)</f>
        <v>0</v>
      </c>
      <c r="E585" s="227"/>
      <c r="F585" s="227"/>
      <c r="G585" s="227"/>
      <c r="H585" s="227"/>
      <c r="I585" s="227"/>
      <c r="J585" s="227"/>
      <c r="K585" s="227"/>
      <c r="L585" s="227"/>
      <c r="M585" s="227"/>
      <c r="N585" s="227"/>
      <c r="O585" s="227"/>
      <c r="P585" s="227"/>
      <c r="Q585" s="227"/>
      <c r="R585" s="227"/>
      <c r="S585" s="227"/>
      <c r="T585" s="227"/>
      <c r="U585" s="227"/>
      <c r="V585" s="227"/>
      <c r="W585" s="227"/>
      <c r="X585" s="227"/>
      <c r="Y585" s="227"/>
      <c r="Z585" s="227"/>
      <c r="AA585" s="227"/>
      <c r="AB585" s="227"/>
      <c r="AC585" s="227"/>
      <c r="AD585" s="227"/>
      <c r="AE585" s="227"/>
      <c r="AF585" s="227"/>
      <c r="AG585" s="227"/>
      <c r="AH585" s="227"/>
      <c r="AI585" s="227"/>
      <c r="AJ585" s="227"/>
      <c r="AK585" s="227"/>
      <c r="AL585" s="225"/>
      <c r="AM585" s="227"/>
    </row>
    <row r="586" spans="1:39" ht="20.100000000000001" customHeight="1">
      <c r="A586" s="227"/>
      <c r="B586" s="225"/>
      <c r="C586" s="227"/>
      <c r="D586" s="224"/>
      <c r="E586" s="227"/>
      <c r="F586" s="227"/>
      <c r="G586" s="227"/>
      <c r="H586" s="227"/>
      <c r="I586" s="227"/>
      <c r="J586" s="227"/>
      <c r="K586" s="227"/>
      <c r="L586" s="227"/>
      <c r="M586" s="227"/>
      <c r="N586" s="227"/>
      <c r="O586" s="227"/>
      <c r="P586" s="227"/>
      <c r="Q586" s="227"/>
      <c r="R586" s="227"/>
      <c r="S586" s="227"/>
      <c r="T586" s="227"/>
      <c r="U586" s="227"/>
      <c r="V586" s="227"/>
      <c r="W586" s="227"/>
      <c r="X586" s="227"/>
      <c r="Y586" s="227"/>
      <c r="Z586" s="227"/>
      <c r="AA586" s="227"/>
      <c r="AB586" s="227"/>
      <c r="AC586" s="227"/>
      <c r="AD586" s="227"/>
      <c r="AE586" s="227"/>
      <c r="AF586" s="227"/>
      <c r="AG586" s="227"/>
      <c r="AH586" s="227"/>
      <c r="AI586" s="227"/>
      <c r="AJ586" s="227"/>
      <c r="AK586" s="227"/>
      <c r="AL586" s="225"/>
      <c r="AM586" s="227"/>
    </row>
    <row r="587" spans="1:39" ht="20.100000000000001" customHeight="1">
      <c r="A587" s="227">
        <v>290</v>
      </c>
      <c r="B587" s="225"/>
      <c r="C587" s="227"/>
      <c r="D587" s="228">
        <f>(SUMPRODUCT(E587:AL587*$E$6:$AL$6)/100)+(SUMPRODUCT(E587:AL587*$E$6:$AL$6*$E$3:$AL$3)/100)</f>
        <v>0</v>
      </c>
      <c r="E587" s="227"/>
      <c r="F587" s="227"/>
      <c r="G587" s="227"/>
      <c r="H587" s="227"/>
      <c r="I587" s="227"/>
      <c r="J587" s="227"/>
      <c r="K587" s="227"/>
      <c r="L587" s="227"/>
      <c r="M587" s="227"/>
      <c r="N587" s="227"/>
      <c r="O587" s="227"/>
      <c r="P587" s="227"/>
      <c r="Q587" s="227"/>
      <c r="R587" s="227"/>
      <c r="S587" s="227"/>
      <c r="T587" s="227"/>
      <c r="U587" s="227"/>
      <c r="V587" s="227"/>
      <c r="W587" s="227"/>
      <c r="X587" s="227"/>
      <c r="Y587" s="227"/>
      <c r="Z587" s="227"/>
      <c r="AA587" s="227"/>
      <c r="AB587" s="227"/>
      <c r="AC587" s="227"/>
      <c r="AD587" s="227"/>
      <c r="AE587" s="227"/>
      <c r="AF587" s="227"/>
      <c r="AG587" s="227"/>
      <c r="AH587" s="227"/>
      <c r="AI587" s="227"/>
      <c r="AJ587" s="227"/>
      <c r="AK587" s="227"/>
      <c r="AL587" s="225"/>
      <c r="AM587" s="227"/>
    </row>
    <row r="588" spans="1:39" ht="20.100000000000001" customHeight="1">
      <c r="A588" s="223"/>
      <c r="B588" s="225"/>
      <c r="C588" s="227"/>
      <c r="D588" s="224"/>
      <c r="E588" s="227"/>
      <c r="F588" s="227"/>
      <c r="G588" s="227"/>
      <c r="H588" s="227"/>
      <c r="I588" s="227"/>
      <c r="J588" s="227"/>
      <c r="K588" s="227"/>
      <c r="L588" s="227"/>
      <c r="M588" s="227"/>
      <c r="N588" s="227"/>
      <c r="O588" s="227"/>
      <c r="P588" s="227"/>
      <c r="Q588" s="227"/>
      <c r="R588" s="227"/>
      <c r="S588" s="227"/>
      <c r="T588" s="227"/>
      <c r="U588" s="227"/>
      <c r="V588" s="227"/>
      <c r="W588" s="227"/>
      <c r="X588" s="227"/>
      <c r="Y588" s="227"/>
      <c r="Z588" s="227"/>
      <c r="AA588" s="227"/>
      <c r="AB588" s="227"/>
      <c r="AC588" s="227"/>
      <c r="AD588" s="227"/>
      <c r="AE588" s="227"/>
      <c r="AF588" s="227"/>
      <c r="AG588" s="227"/>
      <c r="AH588" s="227"/>
      <c r="AI588" s="227"/>
      <c r="AJ588" s="227"/>
      <c r="AK588" s="227"/>
      <c r="AL588" s="225"/>
      <c r="AM588" s="227"/>
    </row>
    <row r="589" spans="1:39" ht="20.100000000000001" customHeight="1">
      <c r="A589" s="227">
        <v>291</v>
      </c>
      <c r="B589" s="225"/>
      <c r="C589" s="227"/>
      <c r="D589" s="228">
        <f>(SUMPRODUCT(E589:AL589*$E$6:$AL$6)/100)+(SUMPRODUCT(E589:AL589*$E$6:$AL$6*$E$3:$AL$3)/100)</f>
        <v>0</v>
      </c>
      <c r="E589" s="227"/>
      <c r="F589" s="227"/>
      <c r="G589" s="227"/>
      <c r="H589" s="227"/>
      <c r="I589" s="227"/>
      <c r="J589" s="227"/>
      <c r="K589" s="227"/>
      <c r="L589" s="227"/>
      <c r="M589" s="227"/>
      <c r="N589" s="227"/>
      <c r="O589" s="227"/>
      <c r="P589" s="227"/>
      <c r="Q589" s="227"/>
      <c r="R589" s="227"/>
      <c r="S589" s="227"/>
      <c r="T589" s="227"/>
      <c r="U589" s="227"/>
      <c r="V589" s="227"/>
      <c r="W589" s="227"/>
      <c r="X589" s="227"/>
      <c r="Y589" s="227"/>
      <c r="Z589" s="227"/>
      <c r="AA589" s="227"/>
      <c r="AB589" s="227"/>
      <c r="AC589" s="227"/>
      <c r="AD589" s="227"/>
      <c r="AE589" s="227"/>
      <c r="AF589" s="227"/>
      <c r="AG589" s="227"/>
      <c r="AH589" s="227"/>
      <c r="AI589" s="227"/>
      <c r="AJ589" s="227"/>
      <c r="AK589" s="227"/>
      <c r="AL589" s="225"/>
      <c r="AM589" s="227"/>
    </row>
    <row r="590" spans="1:39" ht="20.100000000000001" customHeight="1">
      <c r="A590" s="227"/>
      <c r="B590" s="225"/>
      <c r="C590" s="227"/>
      <c r="D590" s="224"/>
      <c r="E590" s="227"/>
      <c r="F590" s="227"/>
      <c r="G590" s="227"/>
      <c r="H590" s="227"/>
      <c r="I590" s="227"/>
      <c r="J590" s="227"/>
      <c r="K590" s="227"/>
      <c r="L590" s="227"/>
      <c r="M590" s="227"/>
      <c r="N590" s="227"/>
      <c r="O590" s="227"/>
      <c r="P590" s="227"/>
      <c r="Q590" s="227"/>
      <c r="R590" s="227"/>
      <c r="S590" s="227"/>
      <c r="T590" s="227"/>
      <c r="U590" s="227"/>
      <c r="V590" s="227"/>
      <c r="W590" s="227"/>
      <c r="X590" s="227"/>
      <c r="Y590" s="227"/>
      <c r="Z590" s="227"/>
      <c r="AA590" s="227"/>
      <c r="AB590" s="227"/>
      <c r="AC590" s="227"/>
      <c r="AD590" s="227"/>
      <c r="AE590" s="227"/>
      <c r="AF590" s="227"/>
      <c r="AG590" s="227"/>
      <c r="AH590" s="227"/>
      <c r="AI590" s="227"/>
      <c r="AJ590" s="227"/>
      <c r="AK590" s="227"/>
      <c r="AL590" s="225"/>
      <c r="AM590" s="227"/>
    </row>
    <row r="591" spans="1:39" ht="20.100000000000001" customHeight="1">
      <c r="A591" s="227">
        <v>292</v>
      </c>
      <c r="B591" s="225"/>
      <c r="C591" s="227"/>
      <c r="D591" s="228">
        <f>(SUMPRODUCT(E591:AL591*$E$6:$AL$6)/100)+(SUMPRODUCT(E591:AL591*$E$6:$AL$6*$E$3:$AL$3)/100)</f>
        <v>0</v>
      </c>
      <c r="E591" s="227"/>
      <c r="F591" s="227"/>
      <c r="G591" s="227"/>
      <c r="H591" s="227"/>
      <c r="I591" s="227"/>
      <c r="J591" s="227"/>
      <c r="K591" s="227"/>
      <c r="L591" s="227"/>
      <c r="M591" s="227"/>
      <c r="N591" s="227"/>
      <c r="O591" s="227"/>
      <c r="P591" s="227"/>
      <c r="Q591" s="227"/>
      <c r="R591" s="227"/>
      <c r="S591" s="227"/>
      <c r="T591" s="227"/>
      <c r="U591" s="227"/>
      <c r="V591" s="227"/>
      <c r="W591" s="227"/>
      <c r="X591" s="227"/>
      <c r="Y591" s="227"/>
      <c r="Z591" s="227"/>
      <c r="AA591" s="227"/>
      <c r="AB591" s="227"/>
      <c r="AC591" s="227"/>
      <c r="AD591" s="227"/>
      <c r="AE591" s="227"/>
      <c r="AF591" s="227"/>
      <c r="AG591" s="227"/>
      <c r="AH591" s="227"/>
      <c r="AI591" s="227"/>
      <c r="AJ591" s="227"/>
      <c r="AK591" s="227"/>
      <c r="AL591" s="225"/>
      <c r="AM591" s="227"/>
    </row>
    <row r="592" spans="1:39" ht="20.100000000000001" customHeight="1">
      <c r="A592" s="223"/>
      <c r="B592" s="225"/>
      <c r="C592" s="227"/>
      <c r="D592" s="224"/>
      <c r="E592" s="227"/>
      <c r="F592" s="227"/>
      <c r="G592" s="227"/>
      <c r="H592" s="227"/>
      <c r="I592" s="227"/>
      <c r="J592" s="227"/>
      <c r="K592" s="227"/>
      <c r="L592" s="227"/>
      <c r="M592" s="227"/>
      <c r="N592" s="227"/>
      <c r="O592" s="227"/>
      <c r="P592" s="227"/>
      <c r="Q592" s="227"/>
      <c r="R592" s="227"/>
      <c r="S592" s="227"/>
      <c r="T592" s="227"/>
      <c r="U592" s="227"/>
      <c r="V592" s="227"/>
      <c r="W592" s="227"/>
      <c r="X592" s="227"/>
      <c r="Y592" s="227"/>
      <c r="Z592" s="227"/>
      <c r="AA592" s="227"/>
      <c r="AB592" s="227"/>
      <c r="AC592" s="227"/>
      <c r="AD592" s="227"/>
      <c r="AE592" s="227"/>
      <c r="AF592" s="227"/>
      <c r="AG592" s="227"/>
      <c r="AH592" s="227"/>
      <c r="AI592" s="227"/>
      <c r="AJ592" s="227"/>
      <c r="AK592" s="227"/>
      <c r="AL592" s="225"/>
      <c r="AM592" s="227"/>
    </row>
    <row r="593" spans="1:39" ht="20.100000000000001" customHeight="1">
      <c r="A593" s="227">
        <v>293</v>
      </c>
      <c r="B593" s="225"/>
      <c r="C593" s="227"/>
      <c r="D593" s="228">
        <f>(SUMPRODUCT(E593:AL593*$E$6:$AL$6)/100)+(SUMPRODUCT(E593:AL593*$E$6:$AL$6*$E$3:$AL$3)/100)</f>
        <v>0</v>
      </c>
      <c r="E593" s="227"/>
      <c r="F593" s="227"/>
      <c r="G593" s="227"/>
      <c r="H593" s="227"/>
      <c r="I593" s="227"/>
      <c r="J593" s="227"/>
      <c r="K593" s="227"/>
      <c r="L593" s="227"/>
      <c r="M593" s="227"/>
      <c r="N593" s="227"/>
      <c r="O593" s="227"/>
      <c r="P593" s="227"/>
      <c r="Q593" s="227"/>
      <c r="R593" s="227"/>
      <c r="S593" s="227"/>
      <c r="T593" s="227"/>
      <c r="U593" s="227"/>
      <c r="V593" s="227"/>
      <c r="W593" s="227"/>
      <c r="X593" s="227"/>
      <c r="Y593" s="227"/>
      <c r="Z593" s="227"/>
      <c r="AA593" s="227"/>
      <c r="AB593" s="227"/>
      <c r="AC593" s="227"/>
      <c r="AD593" s="227"/>
      <c r="AE593" s="227"/>
      <c r="AF593" s="227"/>
      <c r="AG593" s="227"/>
      <c r="AH593" s="227"/>
      <c r="AI593" s="227"/>
      <c r="AJ593" s="227"/>
      <c r="AK593" s="227"/>
      <c r="AL593" s="225"/>
      <c r="AM593" s="227"/>
    </row>
    <row r="594" spans="1:39" ht="20.100000000000001" customHeight="1">
      <c r="A594" s="227"/>
      <c r="B594" s="225"/>
      <c r="C594" s="227"/>
      <c r="D594" s="224"/>
      <c r="E594" s="227"/>
      <c r="F594" s="227"/>
      <c r="G594" s="227"/>
      <c r="H594" s="227"/>
      <c r="I594" s="227"/>
      <c r="J594" s="227"/>
      <c r="K594" s="227"/>
      <c r="L594" s="227"/>
      <c r="M594" s="227"/>
      <c r="N594" s="227"/>
      <c r="O594" s="227"/>
      <c r="P594" s="227"/>
      <c r="Q594" s="227"/>
      <c r="R594" s="227"/>
      <c r="S594" s="227"/>
      <c r="T594" s="227"/>
      <c r="U594" s="227"/>
      <c r="V594" s="227"/>
      <c r="W594" s="227"/>
      <c r="X594" s="227"/>
      <c r="Y594" s="227"/>
      <c r="Z594" s="227"/>
      <c r="AA594" s="227"/>
      <c r="AB594" s="227"/>
      <c r="AC594" s="227"/>
      <c r="AD594" s="227"/>
      <c r="AE594" s="227"/>
      <c r="AF594" s="227"/>
      <c r="AG594" s="227"/>
      <c r="AH594" s="227"/>
      <c r="AI594" s="227"/>
      <c r="AJ594" s="227"/>
      <c r="AK594" s="227"/>
      <c r="AL594" s="225"/>
      <c r="AM594" s="227"/>
    </row>
    <row r="595" spans="1:39" ht="20.100000000000001" customHeight="1">
      <c r="A595" s="227">
        <v>294</v>
      </c>
      <c r="B595" s="225"/>
      <c r="C595" s="227"/>
      <c r="D595" s="228">
        <f>(SUMPRODUCT(E595:AL595*$E$6:$AL$6)/100)+(SUMPRODUCT(E595:AL595*$E$6:$AL$6*$E$3:$AL$3)/100)</f>
        <v>0</v>
      </c>
      <c r="E595" s="227"/>
      <c r="F595" s="227"/>
      <c r="G595" s="227"/>
      <c r="H595" s="227"/>
      <c r="I595" s="227"/>
      <c r="J595" s="227"/>
      <c r="K595" s="227"/>
      <c r="L595" s="227"/>
      <c r="M595" s="227"/>
      <c r="N595" s="227"/>
      <c r="O595" s="227"/>
      <c r="P595" s="227"/>
      <c r="Q595" s="227"/>
      <c r="R595" s="227"/>
      <c r="S595" s="227"/>
      <c r="T595" s="227"/>
      <c r="U595" s="227"/>
      <c r="V595" s="227"/>
      <c r="W595" s="227"/>
      <c r="X595" s="227"/>
      <c r="Y595" s="227"/>
      <c r="Z595" s="227"/>
      <c r="AA595" s="227"/>
      <c r="AB595" s="227"/>
      <c r="AC595" s="227"/>
      <c r="AD595" s="227"/>
      <c r="AE595" s="227"/>
      <c r="AF595" s="227"/>
      <c r="AG595" s="227"/>
      <c r="AH595" s="227"/>
      <c r="AI595" s="227"/>
      <c r="AJ595" s="227"/>
      <c r="AK595" s="227"/>
      <c r="AL595" s="225"/>
      <c r="AM595" s="227"/>
    </row>
    <row r="596" spans="1:39" ht="20.100000000000001" customHeight="1">
      <c r="A596" s="223"/>
      <c r="B596" s="225"/>
      <c r="C596" s="227"/>
      <c r="D596" s="224"/>
      <c r="E596" s="227"/>
      <c r="F596" s="227"/>
      <c r="G596" s="227"/>
      <c r="H596" s="227"/>
      <c r="I596" s="227"/>
      <c r="J596" s="227"/>
      <c r="K596" s="227"/>
      <c r="L596" s="227"/>
      <c r="M596" s="227"/>
      <c r="N596" s="227"/>
      <c r="O596" s="227"/>
      <c r="P596" s="227"/>
      <c r="Q596" s="227"/>
      <c r="R596" s="227"/>
      <c r="S596" s="227"/>
      <c r="T596" s="227"/>
      <c r="U596" s="227"/>
      <c r="V596" s="227"/>
      <c r="W596" s="227"/>
      <c r="X596" s="227"/>
      <c r="Y596" s="227"/>
      <c r="Z596" s="227"/>
      <c r="AA596" s="227"/>
      <c r="AB596" s="227"/>
      <c r="AC596" s="227"/>
      <c r="AD596" s="227"/>
      <c r="AE596" s="227"/>
      <c r="AF596" s="227"/>
      <c r="AG596" s="227"/>
      <c r="AH596" s="227"/>
      <c r="AI596" s="227"/>
      <c r="AJ596" s="227"/>
      <c r="AK596" s="227"/>
      <c r="AL596" s="225"/>
      <c r="AM596" s="227"/>
    </row>
    <row r="597" spans="1:39" ht="20.100000000000001" customHeight="1">
      <c r="A597" s="227">
        <v>295</v>
      </c>
      <c r="B597" s="225"/>
      <c r="C597" s="227"/>
      <c r="D597" s="228">
        <f>(SUMPRODUCT(E597:AL597*$E$6:$AL$6)/100)+(SUMPRODUCT(E597:AL597*$E$6:$AL$6*$E$3:$AL$3)/100)</f>
        <v>0</v>
      </c>
      <c r="E597" s="227"/>
      <c r="F597" s="227"/>
      <c r="G597" s="227"/>
      <c r="H597" s="227"/>
      <c r="I597" s="227"/>
      <c r="J597" s="227"/>
      <c r="K597" s="227"/>
      <c r="L597" s="227"/>
      <c r="M597" s="227"/>
      <c r="N597" s="227"/>
      <c r="O597" s="227"/>
      <c r="P597" s="227"/>
      <c r="Q597" s="227"/>
      <c r="R597" s="227"/>
      <c r="S597" s="227"/>
      <c r="T597" s="227"/>
      <c r="U597" s="227"/>
      <c r="V597" s="227"/>
      <c r="W597" s="227"/>
      <c r="X597" s="227"/>
      <c r="Y597" s="227"/>
      <c r="Z597" s="227"/>
      <c r="AA597" s="227"/>
      <c r="AB597" s="227"/>
      <c r="AC597" s="227"/>
      <c r="AD597" s="227"/>
      <c r="AE597" s="227"/>
      <c r="AF597" s="227"/>
      <c r="AG597" s="227"/>
      <c r="AH597" s="227"/>
      <c r="AI597" s="227"/>
      <c r="AJ597" s="227"/>
      <c r="AK597" s="227"/>
      <c r="AL597" s="225"/>
      <c r="AM597" s="227"/>
    </row>
    <row r="598" spans="1:39" ht="20.100000000000001" customHeight="1">
      <c r="A598" s="227"/>
      <c r="B598" s="225"/>
      <c r="C598" s="227"/>
      <c r="D598" s="224"/>
      <c r="E598" s="227"/>
      <c r="F598" s="227"/>
      <c r="G598" s="227"/>
      <c r="H598" s="227"/>
      <c r="I598" s="227"/>
      <c r="J598" s="227"/>
      <c r="K598" s="227"/>
      <c r="L598" s="227"/>
      <c r="M598" s="227"/>
      <c r="N598" s="227"/>
      <c r="O598" s="227"/>
      <c r="P598" s="227"/>
      <c r="Q598" s="227"/>
      <c r="R598" s="227"/>
      <c r="S598" s="227"/>
      <c r="T598" s="227"/>
      <c r="U598" s="227"/>
      <c r="V598" s="227"/>
      <c r="W598" s="227"/>
      <c r="X598" s="227"/>
      <c r="Y598" s="227"/>
      <c r="Z598" s="227"/>
      <c r="AA598" s="227"/>
      <c r="AB598" s="227"/>
      <c r="AC598" s="227"/>
      <c r="AD598" s="227"/>
      <c r="AE598" s="227"/>
      <c r="AF598" s="227"/>
      <c r="AG598" s="227"/>
      <c r="AH598" s="227"/>
      <c r="AI598" s="227"/>
      <c r="AJ598" s="227"/>
      <c r="AK598" s="227"/>
      <c r="AL598" s="225"/>
      <c r="AM598" s="227"/>
    </row>
    <row r="599" spans="1:39" ht="20.100000000000001" customHeight="1">
      <c r="A599" s="227">
        <v>296</v>
      </c>
      <c r="B599" s="225"/>
      <c r="C599" s="227"/>
      <c r="D599" s="228">
        <f>(SUMPRODUCT(E599:AL599*$E$6:$AL$6)/100)+(SUMPRODUCT(E599:AL599*$E$6:$AL$6*$E$3:$AL$3)/100)</f>
        <v>0</v>
      </c>
      <c r="E599" s="227"/>
      <c r="F599" s="227"/>
      <c r="G599" s="227"/>
      <c r="H599" s="227"/>
      <c r="I599" s="227"/>
      <c r="J599" s="227"/>
      <c r="K599" s="227"/>
      <c r="L599" s="227"/>
      <c r="M599" s="227"/>
      <c r="N599" s="227"/>
      <c r="O599" s="227"/>
      <c r="P599" s="227"/>
      <c r="Q599" s="227"/>
      <c r="R599" s="227"/>
      <c r="S599" s="227"/>
      <c r="T599" s="227"/>
      <c r="U599" s="227"/>
      <c r="V599" s="227"/>
      <c r="W599" s="227"/>
      <c r="X599" s="227"/>
      <c r="Y599" s="227"/>
      <c r="Z599" s="227"/>
      <c r="AA599" s="227"/>
      <c r="AB599" s="227"/>
      <c r="AC599" s="227"/>
      <c r="AD599" s="227"/>
      <c r="AE599" s="227"/>
      <c r="AF599" s="227"/>
      <c r="AG599" s="227"/>
      <c r="AH599" s="227"/>
      <c r="AI599" s="227"/>
      <c r="AJ599" s="227"/>
      <c r="AK599" s="227"/>
      <c r="AL599" s="225"/>
      <c r="AM599" s="227"/>
    </row>
    <row r="600" spans="1:39" ht="20.100000000000001" customHeight="1">
      <c r="A600" s="223"/>
      <c r="B600" s="225"/>
      <c r="C600" s="227"/>
      <c r="D600" s="224"/>
      <c r="E600" s="227"/>
      <c r="F600" s="227"/>
      <c r="G600" s="227"/>
      <c r="H600" s="227"/>
      <c r="I600" s="227"/>
      <c r="J600" s="227"/>
      <c r="K600" s="227"/>
      <c r="L600" s="227"/>
      <c r="M600" s="227"/>
      <c r="N600" s="227"/>
      <c r="O600" s="227"/>
      <c r="P600" s="227"/>
      <c r="Q600" s="227"/>
      <c r="R600" s="227"/>
      <c r="S600" s="227"/>
      <c r="T600" s="227"/>
      <c r="U600" s="227"/>
      <c r="V600" s="227"/>
      <c r="W600" s="227"/>
      <c r="X600" s="227"/>
      <c r="Y600" s="227"/>
      <c r="Z600" s="227"/>
      <c r="AA600" s="227"/>
      <c r="AB600" s="227"/>
      <c r="AC600" s="227"/>
      <c r="AD600" s="227"/>
      <c r="AE600" s="227"/>
      <c r="AF600" s="227"/>
      <c r="AG600" s="227"/>
      <c r="AH600" s="227"/>
      <c r="AI600" s="227"/>
      <c r="AJ600" s="227"/>
      <c r="AK600" s="227"/>
      <c r="AL600" s="225"/>
      <c r="AM600" s="227"/>
    </row>
    <row r="601" spans="1:39" ht="20.100000000000001" customHeight="1">
      <c r="A601" s="227">
        <v>297</v>
      </c>
      <c r="B601" s="225"/>
      <c r="C601" s="227"/>
      <c r="D601" s="228">
        <f>(SUMPRODUCT(E601:AL601*$E$6:$AL$6)/100)+(SUMPRODUCT(E601:AL601*$E$6:$AL$6*$E$3:$AL$3)/100)</f>
        <v>0</v>
      </c>
      <c r="E601" s="227"/>
      <c r="F601" s="227"/>
      <c r="G601" s="227"/>
      <c r="H601" s="227"/>
      <c r="I601" s="227"/>
      <c r="J601" s="227"/>
      <c r="K601" s="227"/>
      <c r="L601" s="227"/>
      <c r="M601" s="227"/>
      <c r="N601" s="227"/>
      <c r="O601" s="227"/>
      <c r="P601" s="227"/>
      <c r="Q601" s="227"/>
      <c r="R601" s="227"/>
      <c r="S601" s="227"/>
      <c r="T601" s="227"/>
      <c r="U601" s="227"/>
      <c r="V601" s="227"/>
      <c r="W601" s="227"/>
      <c r="X601" s="227"/>
      <c r="Y601" s="227"/>
      <c r="Z601" s="227"/>
      <c r="AA601" s="227"/>
      <c r="AB601" s="227"/>
      <c r="AC601" s="227"/>
      <c r="AD601" s="227"/>
      <c r="AE601" s="227"/>
      <c r="AF601" s="227"/>
      <c r="AG601" s="227"/>
      <c r="AH601" s="227"/>
      <c r="AI601" s="227"/>
      <c r="AJ601" s="227"/>
      <c r="AK601" s="227"/>
      <c r="AL601" s="225"/>
      <c r="AM601" s="227"/>
    </row>
    <row r="602" spans="1:39" ht="20.100000000000001" customHeight="1">
      <c r="A602" s="227"/>
      <c r="B602" s="225"/>
      <c r="C602" s="227"/>
      <c r="D602" s="224"/>
      <c r="E602" s="227"/>
      <c r="F602" s="227"/>
      <c r="G602" s="227"/>
      <c r="H602" s="227"/>
      <c r="I602" s="227"/>
      <c r="J602" s="227"/>
      <c r="K602" s="227"/>
      <c r="L602" s="227"/>
      <c r="M602" s="227"/>
      <c r="N602" s="227"/>
      <c r="O602" s="227"/>
      <c r="P602" s="227"/>
      <c r="Q602" s="227"/>
      <c r="R602" s="227"/>
      <c r="S602" s="227"/>
      <c r="T602" s="227"/>
      <c r="U602" s="227"/>
      <c r="V602" s="227"/>
      <c r="W602" s="227"/>
      <c r="X602" s="227"/>
      <c r="Y602" s="227"/>
      <c r="Z602" s="227"/>
      <c r="AA602" s="227"/>
      <c r="AB602" s="227"/>
      <c r="AC602" s="227"/>
      <c r="AD602" s="227"/>
      <c r="AE602" s="227"/>
      <c r="AF602" s="227"/>
      <c r="AG602" s="227"/>
      <c r="AH602" s="227"/>
      <c r="AI602" s="227"/>
      <c r="AJ602" s="227"/>
      <c r="AK602" s="227"/>
      <c r="AL602" s="225"/>
      <c r="AM602" s="227"/>
    </row>
    <row r="603" spans="1:39" ht="20.100000000000001" customHeight="1">
      <c r="A603" s="227">
        <v>298</v>
      </c>
      <c r="B603" s="225"/>
      <c r="C603" s="227"/>
      <c r="D603" s="228">
        <f>(SUMPRODUCT(E603:AL603*$E$6:$AL$6)/100)+(SUMPRODUCT(E603:AL603*$E$6:$AL$6*$E$3:$AL$3)/100)</f>
        <v>0</v>
      </c>
      <c r="E603" s="227"/>
      <c r="F603" s="227"/>
      <c r="G603" s="227"/>
      <c r="H603" s="227"/>
      <c r="I603" s="227"/>
      <c r="J603" s="227"/>
      <c r="K603" s="227"/>
      <c r="L603" s="227"/>
      <c r="M603" s="227"/>
      <c r="N603" s="227"/>
      <c r="O603" s="227"/>
      <c r="P603" s="227"/>
      <c r="Q603" s="227"/>
      <c r="R603" s="227"/>
      <c r="S603" s="227"/>
      <c r="T603" s="227"/>
      <c r="U603" s="227"/>
      <c r="V603" s="227"/>
      <c r="W603" s="227"/>
      <c r="X603" s="227"/>
      <c r="Y603" s="227"/>
      <c r="Z603" s="227"/>
      <c r="AA603" s="227"/>
      <c r="AB603" s="227"/>
      <c r="AC603" s="227"/>
      <c r="AD603" s="227"/>
      <c r="AE603" s="227"/>
      <c r="AF603" s="227"/>
      <c r="AG603" s="227"/>
      <c r="AH603" s="227"/>
      <c r="AI603" s="227"/>
      <c r="AJ603" s="227"/>
      <c r="AK603" s="227"/>
      <c r="AL603" s="225"/>
      <c r="AM603" s="227"/>
    </row>
    <row r="604" spans="1:39" ht="20.100000000000001" customHeight="1">
      <c r="A604" s="223"/>
      <c r="B604" s="225"/>
      <c r="C604" s="227"/>
      <c r="D604" s="224"/>
      <c r="E604" s="227"/>
      <c r="F604" s="227"/>
      <c r="G604" s="227"/>
      <c r="H604" s="227"/>
      <c r="I604" s="227"/>
      <c r="J604" s="227"/>
      <c r="K604" s="227"/>
      <c r="L604" s="227"/>
      <c r="M604" s="227"/>
      <c r="N604" s="227"/>
      <c r="O604" s="227"/>
      <c r="P604" s="227"/>
      <c r="Q604" s="227"/>
      <c r="R604" s="227"/>
      <c r="S604" s="227"/>
      <c r="T604" s="227"/>
      <c r="U604" s="227"/>
      <c r="V604" s="227"/>
      <c r="W604" s="227"/>
      <c r="X604" s="227"/>
      <c r="Y604" s="227"/>
      <c r="Z604" s="227"/>
      <c r="AA604" s="227"/>
      <c r="AB604" s="227"/>
      <c r="AC604" s="227"/>
      <c r="AD604" s="227"/>
      <c r="AE604" s="227"/>
      <c r="AF604" s="227"/>
      <c r="AG604" s="227"/>
      <c r="AH604" s="227"/>
      <c r="AI604" s="227"/>
      <c r="AJ604" s="227"/>
      <c r="AK604" s="227"/>
      <c r="AL604" s="225"/>
      <c r="AM604" s="227"/>
    </row>
    <row r="605" spans="1:39" ht="20.100000000000001" customHeight="1">
      <c r="A605" s="227">
        <v>299</v>
      </c>
      <c r="B605" s="225"/>
      <c r="C605" s="227"/>
      <c r="D605" s="228">
        <f>(SUMPRODUCT(E605:AL605*$E$6:$AL$6)/100)+(SUMPRODUCT(E605:AL605*$E$6:$AL$6*$E$3:$AL$3)/100)</f>
        <v>0</v>
      </c>
      <c r="E605" s="227"/>
      <c r="F605" s="227"/>
      <c r="G605" s="227"/>
      <c r="H605" s="227"/>
      <c r="I605" s="227"/>
      <c r="J605" s="227"/>
      <c r="K605" s="227"/>
      <c r="L605" s="227"/>
      <c r="M605" s="227"/>
      <c r="N605" s="227"/>
      <c r="O605" s="227"/>
      <c r="P605" s="227"/>
      <c r="Q605" s="227"/>
      <c r="R605" s="227"/>
      <c r="S605" s="227"/>
      <c r="T605" s="227"/>
      <c r="U605" s="227"/>
      <c r="V605" s="227"/>
      <c r="W605" s="227"/>
      <c r="X605" s="227"/>
      <c r="Y605" s="227"/>
      <c r="Z605" s="227"/>
      <c r="AA605" s="227"/>
      <c r="AB605" s="227"/>
      <c r="AC605" s="227"/>
      <c r="AD605" s="227"/>
      <c r="AE605" s="227"/>
      <c r="AF605" s="227"/>
      <c r="AG605" s="227"/>
      <c r="AH605" s="227"/>
      <c r="AI605" s="227"/>
      <c r="AJ605" s="227"/>
      <c r="AK605" s="227"/>
      <c r="AL605" s="225"/>
      <c r="AM605" s="227"/>
    </row>
    <row r="606" spans="1:39" ht="20.100000000000001" customHeight="1">
      <c r="A606" s="227"/>
      <c r="B606" s="225"/>
      <c r="C606" s="227"/>
      <c r="D606" s="224"/>
      <c r="E606" s="227"/>
      <c r="F606" s="227"/>
      <c r="G606" s="227"/>
      <c r="H606" s="227"/>
      <c r="I606" s="227"/>
      <c r="J606" s="227"/>
      <c r="K606" s="227"/>
      <c r="L606" s="227"/>
      <c r="M606" s="227"/>
      <c r="N606" s="227"/>
      <c r="O606" s="227"/>
      <c r="P606" s="227"/>
      <c r="Q606" s="227"/>
      <c r="R606" s="227"/>
      <c r="S606" s="227"/>
      <c r="T606" s="227"/>
      <c r="U606" s="227"/>
      <c r="V606" s="227"/>
      <c r="W606" s="227"/>
      <c r="X606" s="227"/>
      <c r="Y606" s="227"/>
      <c r="Z606" s="227"/>
      <c r="AA606" s="227"/>
      <c r="AB606" s="227"/>
      <c r="AC606" s="227"/>
      <c r="AD606" s="227"/>
      <c r="AE606" s="227"/>
      <c r="AF606" s="227"/>
      <c r="AG606" s="227"/>
      <c r="AH606" s="227"/>
      <c r="AI606" s="227"/>
      <c r="AJ606" s="227"/>
      <c r="AK606" s="227"/>
      <c r="AL606" s="225"/>
      <c r="AM606" s="227"/>
    </row>
    <row r="607" spans="1:39" ht="20.100000000000001" customHeight="1">
      <c r="A607" s="227">
        <v>300</v>
      </c>
      <c r="B607" s="225"/>
      <c r="C607" s="227"/>
      <c r="D607" s="228">
        <f>(SUMPRODUCT(E607:AL607*$E$6:$AL$6)/100)+(SUMPRODUCT(E607:AL607*$E$6:$AL$6*$E$3:$AL$3)/100)</f>
        <v>0</v>
      </c>
      <c r="E607" s="227"/>
      <c r="F607" s="227"/>
      <c r="G607" s="227"/>
      <c r="H607" s="227"/>
      <c r="I607" s="227"/>
      <c r="J607" s="227"/>
      <c r="K607" s="227"/>
      <c r="L607" s="227"/>
      <c r="M607" s="227"/>
      <c r="N607" s="227"/>
      <c r="O607" s="227"/>
      <c r="P607" s="227"/>
      <c r="Q607" s="227"/>
      <c r="R607" s="227"/>
      <c r="S607" s="227"/>
      <c r="T607" s="227"/>
      <c r="U607" s="227"/>
      <c r="V607" s="227"/>
      <c r="W607" s="227"/>
      <c r="X607" s="227"/>
      <c r="Y607" s="227"/>
      <c r="Z607" s="227"/>
      <c r="AA607" s="227"/>
      <c r="AB607" s="227"/>
      <c r="AC607" s="227"/>
      <c r="AD607" s="227"/>
      <c r="AE607" s="227"/>
      <c r="AF607" s="227"/>
      <c r="AG607" s="227"/>
      <c r="AH607" s="227"/>
      <c r="AI607" s="227"/>
      <c r="AJ607" s="227"/>
      <c r="AK607" s="227"/>
      <c r="AL607" s="225"/>
      <c r="AM607" s="227"/>
    </row>
    <row r="608" spans="1:39" ht="20.100000000000001" customHeight="1">
      <c r="A608" s="223"/>
      <c r="B608" s="225"/>
      <c r="C608" s="227"/>
      <c r="D608" s="224"/>
      <c r="E608" s="227"/>
      <c r="F608" s="227"/>
      <c r="G608" s="227"/>
      <c r="H608" s="227"/>
      <c r="I608" s="227"/>
      <c r="J608" s="227"/>
      <c r="K608" s="227"/>
      <c r="L608" s="227"/>
      <c r="M608" s="227"/>
      <c r="N608" s="227"/>
      <c r="O608" s="227"/>
      <c r="P608" s="227"/>
      <c r="Q608" s="227"/>
      <c r="R608" s="227"/>
      <c r="S608" s="227"/>
      <c r="T608" s="227"/>
      <c r="U608" s="227"/>
      <c r="V608" s="227"/>
      <c r="W608" s="227"/>
      <c r="X608" s="227"/>
      <c r="Y608" s="227"/>
      <c r="Z608" s="227"/>
      <c r="AA608" s="227"/>
      <c r="AB608" s="227"/>
      <c r="AC608" s="227"/>
      <c r="AD608" s="227"/>
      <c r="AE608" s="227"/>
      <c r="AF608" s="227"/>
      <c r="AG608" s="227"/>
      <c r="AH608" s="227"/>
      <c r="AI608" s="227"/>
      <c r="AJ608" s="227"/>
      <c r="AK608" s="227"/>
      <c r="AL608" s="225"/>
      <c r="AM608" s="227"/>
    </row>
    <row r="609" spans="1:39" ht="20.100000000000001" customHeight="1">
      <c r="A609" s="227">
        <v>301</v>
      </c>
      <c r="B609" s="225"/>
      <c r="C609" s="227"/>
      <c r="D609" s="228">
        <f>(SUMPRODUCT(E609:AL609*$E$6:$AL$6)/100)+(SUMPRODUCT(E609:AL609*$E$6:$AL$6*$E$3:$AL$3)/100)</f>
        <v>0</v>
      </c>
      <c r="E609" s="227"/>
      <c r="F609" s="227"/>
      <c r="G609" s="227"/>
      <c r="H609" s="227"/>
      <c r="I609" s="227"/>
      <c r="J609" s="227"/>
      <c r="K609" s="227"/>
      <c r="L609" s="227"/>
      <c r="M609" s="227"/>
      <c r="N609" s="227"/>
      <c r="O609" s="227"/>
      <c r="P609" s="227"/>
      <c r="Q609" s="227"/>
      <c r="R609" s="227"/>
      <c r="S609" s="227"/>
      <c r="T609" s="227"/>
      <c r="U609" s="227"/>
      <c r="V609" s="227"/>
      <c r="W609" s="227"/>
      <c r="X609" s="227"/>
      <c r="Y609" s="227"/>
      <c r="Z609" s="227"/>
      <c r="AA609" s="227"/>
      <c r="AB609" s="227"/>
      <c r="AC609" s="227"/>
      <c r="AD609" s="227"/>
      <c r="AE609" s="227"/>
      <c r="AF609" s="227"/>
      <c r="AG609" s="227"/>
      <c r="AH609" s="227"/>
      <c r="AI609" s="227"/>
      <c r="AJ609" s="227"/>
      <c r="AK609" s="227"/>
      <c r="AL609" s="225"/>
      <c r="AM609" s="227"/>
    </row>
    <row r="610" spans="1:39" ht="20.100000000000001" customHeight="1">
      <c r="A610" s="227"/>
      <c r="B610" s="225"/>
      <c r="C610" s="227"/>
      <c r="D610" s="224"/>
      <c r="E610" s="227"/>
      <c r="F610" s="227"/>
      <c r="G610" s="227"/>
      <c r="H610" s="227"/>
      <c r="I610" s="227"/>
      <c r="J610" s="227"/>
      <c r="K610" s="227"/>
      <c r="L610" s="227"/>
      <c r="M610" s="227"/>
      <c r="N610" s="227"/>
      <c r="O610" s="227"/>
      <c r="P610" s="227"/>
      <c r="Q610" s="227"/>
      <c r="R610" s="227"/>
      <c r="S610" s="227"/>
      <c r="T610" s="227"/>
      <c r="U610" s="227"/>
      <c r="V610" s="227"/>
      <c r="W610" s="227"/>
      <c r="X610" s="227"/>
      <c r="Y610" s="227"/>
      <c r="Z610" s="227"/>
      <c r="AA610" s="227"/>
      <c r="AB610" s="227"/>
      <c r="AC610" s="227"/>
      <c r="AD610" s="227"/>
      <c r="AE610" s="227"/>
      <c r="AF610" s="227"/>
      <c r="AG610" s="227"/>
      <c r="AH610" s="227"/>
      <c r="AI610" s="227"/>
      <c r="AJ610" s="227"/>
      <c r="AK610" s="227"/>
      <c r="AL610" s="225"/>
      <c r="AM610" s="227"/>
    </row>
    <row r="611" spans="1:39" ht="20.100000000000001" customHeight="1">
      <c r="A611" s="227">
        <v>302</v>
      </c>
      <c r="B611" s="225"/>
      <c r="C611" s="227"/>
      <c r="D611" s="228">
        <f>(SUMPRODUCT(E611:AL611*$E$6:$AL$6)/100)+(SUMPRODUCT(E611:AL611*$E$6:$AL$6*$E$3:$AL$3)/100)</f>
        <v>0</v>
      </c>
      <c r="E611" s="227"/>
      <c r="F611" s="227"/>
      <c r="G611" s="227"/>
      <c r="H611" s="227"/>
      <c r="I611" s="227"/>
      <c r="J611" s="227"/>
      <c r="K611" s="227"/>
      <c r="L611" s="227"/>
      <c r="M611" s="227"/>
      <c r="N611" s="227"/>
      <c r="O611" s="227"/>
      <c r="P611" s="227"/>
      <c r="Q611" s="227"/>
      <c r="R611" s="227"/>
      <c r="S611" s="227"/>
      <c r="T611" s="227"/>
      <c r="U611" s="227"/>
      <c r="V611" s="227"/>
      <c r="W611" s="227"/>
      <c r="X611" s="227"/>
      <c r="Y611" s="227"/>
      <c r="Z611" s="227"/>
      <c r="AA611" s="227"/>
      <c r="AB611" s="227"/>
      <c r="AC611" s="227"/>
      <c r="AD611" s="227"/>
      <c r="AE611" s="227"/>
      <c r="AF611" s="227"/>
      <c r="AG611" s="227"/>
      <c r="AH611" s="227"/>
      <c r="AI611" s="227"/>
      <c r="AJ611" s="227"/>
      <c r="AK611" s="227"/>
      <c r="AL611" s="225"/>
      <c r="AM611" s="227"/>
    </row>
    <row r="612" spans="1:39" ht="20.100000000000001" customHeight="1">
      <c r="A612" s="223"/>
      <c r="B612" s="225"/>
      <c r="C612" s="227"/>
      <c r="D612" s="224"/>
      <c r="E612" s="227"/>
      <c r="F612" s="227"/>
      <c r="G612" s="227"/>
      <c r="H612" s="227"/>
      <c r="I612" s="227"/>
      <c r="J612" s="227"/>
      <c r="K612" s="227"/>
      <c r="L612" s="227"/>
      <c r="M612" s="227"/>
      <c r="N612" s="227"/>
      <c r="O612" s="227"/>
      <c r="P612" s="227"/>
      <c r="Q612" s="227"/>
      <c r="R612" s="227"/>
      <c r="S612" s="227"/>
      <c r="T612" s="227"/>
      <c r="U612" s="227"/>
      <c r="V612" s="227"/>
      <c r="W612" s="227"/>
      <c r="X612" s="227"/>
      <c r="Y612" s="227"/>
      <c r="Z612" s="227"/>
      <c r="AA612" s="227"/>
      <c r="AB612" s="227"/>
      <c r="AC612" s="227"/>
      <c r="AD612" s="227"/>
      <c r="AE612" s="227"/>
      <c r="AF612" s="227"/>
      <c r="AG612" s="227"/>
      <c r="AH612" s="227"/>
      <c r="AI612" s="227"/>
      <c r="AJ612" s="227"/>
      <c r="AK612" s="227"/>
      <c r="AL612" s="225"/>
      <c r="AM612" s="227"/>
    </row>
    <row r="613" spans="1:39" ht="20.100000000000001" customHeight="1">
      <c r="A613" s="227">
        <v>303</v>
      </c>
      <c r="B613" s="225"/>
      <c r="C613" s="227"/>
      <c r="D613" s="228">
        <f>(SUMPRODUCT(E613:AL613*$E$6:$AL$6)/100)+(SUMPRODUCT(E613:AL613*$E$6:$AL$6*$E$3:$AL$3)/100)</f>
        <v>0</v>
      </c>
      <c r="E613" s="227"/>
      <c r="F613" s="227"/>
      <c r="G613" s="227"/>
      <c r="H613" s="227"/>
      <c r="I613" s="227"/>
      <c r="J613" s="227"/>
      <c r="K613" s="227"/>
      <c r="L613" s="227"/>
      <c r="M613" s="227"/>
      <c r="N613" s="227"/>
      <c r="O613" s="227"/>
      <c r="P613" s="227"/>
      <c r="Q613" s="227"/>
      <c r="R613" s="227"/>
      <c r="S613" s="227"/>
      <c r="T613" s="227"/>
      <c r="U613" s="227"/>
      <c r="V613" s="227"/>
      <c r="W613" s="227"/>
      <c r="X613" s="227"/>
      <c r="Y613" s="227"/>
      <c r="Z613" s="227"/>
      <c r="AA613" s="227"/>
      <c r="AB613" s="227"/>
      <c r="AC613" s="227"/>
      <c r="AD613" s="227"/>
      <c r="AE613" s="227"/>
      <c r="AF613" s="227"/>
      <c r="AG613" s="227"/>
      <c r="AH613" s="227"/>
      <c r="AI613" s="227"/>
      <c r="AJ613" s="227"/>
      <c r="AK613" s="227"/>
      <c r="AL613" s="225"/>
      <c r="AM613" s="227"/>
    </row>
    <row r="614" spans="1:39" ht="20.100000000000001" customHeight="1">
      <c r="A614" s="227"/>
      <c r="B614" s="225"/>
      <c r="C614" s="227"/>
      <c r="D614" s="224"/>
      <c r="E614" s="227"/>
      <c r="F614" s="227"/>
      <c r="G614" s="227"/>
      <c r="H614" s="227"/>
      <c r="I614" s="227"/>
      <c r="J614" s="227"/>
      <c r="K614" s="227"/>
      <c r="L614" s="227"/>
      <c r="M614" s="227"/>
      <c r="N614" s="227"/>
      <c r="O614" s="227"/>
      <c r="P614" s="227"/>
      <c r="Q614" s="227"/>
      <c r="R614" s="227"/>
      <c r="S614" s="227"/>
      <c r="T614" s="227"/>
      <c r="U614" s="227"/>
      <c r="V614" s="227"/>
      <c r="W614" s="227"/>
      <c r="X614" s="227"/>
      <c r="Y614" s="227"/>
      <c r="Z614" s="227"/>
      <c r="AA614" s="227"/>
      <c r="AB614" s="227"/>
      <c r="AC614" s="227"/>
      <c r="AD614" s="227"/>
      <c r="AE614" s="227"/>
      <c r="AF614" s="227"/>
      <c r="AG614" s="227"/>
      <c r="AH614" s="227"/>
      <c r="AI614" s="227"/>
      <c r="AJ614" s="227"/>
      <c r="AK614" s="227"/>
      <c r="AL614" s="225"/>
      <c r="AM614" s="227"/>
    </row>
    <row r="615" spans="1:39" ht="20.100000000000001" customHeight="1">
      <c r="A615" s="227">
        <v>304</v>
      </c>
      <c r="B615" s="225"/>
      <c r="C615" s="227"/>
      <c r="D615" s="228">
        <f>(SUMPRODUCT(E615:AL615*$E$6:$AL$6)/100)+(SUMPRODUCT(E615:AL615*$E$6:$AL$6*$E$3:$AL$3)/100)</f>
        <v>0</v>
      </c>
      <c r="E615" s="227"/>
      <c r="F615" s="227"/>
      <c r="G615" s="227"/>
      <c r="H615" s="227"/>
      <c r="I615" s="227"/>
      <c r="J615" s="227"/>
      <c r="K615" s="227"/>
      <c r="L615" s="227"/>
      <c r="M615" s="227"/>
      <c r="N615" s="227"/>
      <c r="O615" s="227"/>
      <c r="P615" s="227"/>
      <c r="Q615" s="227"/>
      <c r="R615" s="227"/>
      <c r="S615" s="227"/>
      <c r="T615" s="227"/>
      <c r="U615" s="227"/>
      <c r="V615" s="227"/>
      <c r="W615" s="227"/>
      <c r="X615" s="227"/>
      <c r="Y615" s="227"/>
      <c r="Z615" s="227"/>
      <c r="AA615" s="227"/>
      <c r="AB615" s="227"/>
      <c r="AC615" s="227"/>
      <c r="AD615" s="227"/>
      <c r="AE615" s="227"/>
      <c r="AF615" s="227"/>
      <c r="AG615" s="227"/>
      <c r="AH615" s="227"/>
      <c r="AI615" s="227"/>
      <c r="AJ615" s="227"/>
      <c r="AK615" s="227"/>
      <c r="AL615" s="225"/>
      <c r="AM615" s="227"/>
    </row>
    <row r="616" spans="1:39" ht="20.100000000000001" customHeight="1">
      <c r="A616" s="223"/>
      <c r="B616" s="225"/>
      <c r="C616" s="227"/>
      <c r="D616" s="224"/>
      <c r="E616" s="227"/>
      <c r="F616" s="227"/>
      <c r="G616" s="227"/>
      <c r="H616" s="227"/>
      <c r="I616" s="227"/>
      <c r="J616" s="227"/>
      <c r="K616" s="227"/>
      <c r="L616" s="227"/>
      <c r="M616" s="227"/>
      <c r="N616" s="227"/>
      <c r="O616" s="227"/>
      <c r="P616" s="227"/>
      <c r="Q616" s="227"/>
      <c r="R616" s="227"/>
      <c r="S616" s="227"/>
      <c r="T616" s="227"/>
      <c r="U616" s="227"/>
      <c r="V616" s="227"/>
      <c r="W616" s="227"/>
      <c r="X616" s="227"/>
      <c r="Y616" s="227"/>
      <c r="Z616" s="227"/>
      <c r="AA616" s="227"/>
      <c r="AB616" s="227"/>
      <c r="AC616" s="227"/>
      <c r="AD616" s="227"/>
      <c r="AE616" s="227"/>
      <c r="AF616" s="227"/>
      <c r="AG616" s="227"/>
      <c r="AH616" s="227"/>
      <c r="AI616" s="227"/>
      <c r="AJ616" s="227"/>
      <c r="AK616" s="227"/>
      <c r="AL616" s="225"/>
      <c r="AM616" s="227"/>
    </row>
    <row r="617" spans="1:39" ht="20.100000000000001" customHeight="1">
      <c r="A617" s="227">
        <v>305</v>
      </c>
      <c r="B617" s="225"/>
      <c r="C617" s="227"/>
      <c r="D617" s="228">
        <f>(SUMPRODUCT(E617:AL617*$E$6:$AL$6)/100)+(SUMPRODUCT(E617:AL617*$E$6:$AL$6*$E$3:$AL$3)/100)</f>
        <v>0</v>
      </c>
      <c r="E617" s="227"/>
      <c r="F617" s="227"/>
      <c r="G617" s="227"/>
      <c r="H617" s="227"/>
      <c r="I617" s="227"/>
      <c r="J617" s="227"/>
      <c r="K617" s="227"/>
      <c r="L617" s="227"/>
      <c r="M617" s="227"/>
      <c r="N617" s="227"/>
      <c r="O617" s="227"/>
      <c r="P617" s="227"/>
      <c r="Q617" s="227"/>
      <c r="R617" s="227"/>
      <c r="S617" s="227"/>
      <c r="T617" s="227"/>
      <c r="U617" s="227"/>
      <c r="V617" s="227"/>
      <c r="W617" s="227"/>
      <c r="X617" s="227"/>
      <c r="Y617" s="227"/>
      <c r="Z617" s="227"/>
      <c r="AA617" s="227"/>
      <c r="AB617" s="227"/>
      <c r="AC617" s="227"/>
      <c r="AD617" s="227"/>
      <c r="AE617" s="227"/>
      <c r="AF617" s="227"/>
      <c r="AG617" s="227"/>
      <c r="AH617" s="227"/>
      <c r="AI617" s="227"/>
      <c r="AJ617" s="227"/>
      <c r="AK617" s="227"/>
      <c r="AL617" s="225"/>
      <c r="AM617" s="227"/>
    </row>
    <row r="618" spans="1:39" ht="20.100000000000001" customHeight="1">
      <c r="A618" s="227"/>
      <c r="B618" s="225"/>
      <c r="C618" s="227"/>
      <c r="D618" s="224"/>
      <c r="E618" s="227"/>
      <c r="F618" s="227"/>
      <c r="G618" s="227"/>
      <c r="H618" s="227"/>
      <c r="I618" s="227"/>
      <c r="J618" s="227"/>
      <c r="K618" s="227"/>
      <c r="L618" s="227"/>
      <c r="M618" s="227"/>
      <c r="N618" s="227"/>
      <c r="O618" s="227"/>
      <c r="P618" s="227"/>
      <c r="Q618" s="227"/>
      <c r="R618" s="227"/>
      <c r="S618" s="227"/>
      <c r="T618" s="227"/>
      <c r="U618" s="227"/>
      <c r="V618" s="227"/>
      <c r="W618" s="227"/>
      <c r="X618" s="227"/>
      <c r="Y618" s="227"/>
      <c r="Z618" s="227"/>
      <c r="AA618" s="227"/>
      <c r="AB618" s="227"/>
      <c r="AC618" s="227"/>
      <c r="AD618" s="227"/>
      <c r="AE618" s="227"/>
      <c r="AF618" s="227"/>
      <c r="AG618" s="227"/>
      <c r="AH618" s="227"/>
      <c r="AI618" s="227"/>
      <c r="AJ618" s="227"/>
      <c r="AK618" s="227"/>
      <c r="AL618" s="225"/>
      <c r="AM618" s="227"/>
    </row>
    <row r="619" spans="1:39" ht="20.100000000000001" customHeight="1">
      <c r="A619" s="227">
        <v>306</v>
      </c>
      <c r="B619" s="225"/>
      <c r="C619" s="227"/>
      <c r="D619" s="228">
        <f>(SUMPRODUCT(E619:AL619*$E$6:$AL$6)/100)+(SUMPRODUCT(E619:AL619*$E$6:$AL$6*$E$3:$AL$3)/100)</f>
        <v>0</v>
      </c>
      <c r="E619" s="227"/>
      <c r="F619" s="227"/>
      <c r="G619" s="227"/>
      <c r="H619" s="227"/>
      <c r="I619" s="227"/>
      <c r="J619" s="227"/>
      <c r="K619" s="227"/>
      <c r="L619" s="227"/>
      <c r="M619" s="227"/>
      <c r="N619" s="227"/>
      <c r="O619" s="227"/>
      <c r="P619" s="227"/>
      <c r="Q619" s="227"/>
      <c r="R619" s="227"/>
      <c r="S619" s="227"/>
      <c r="T619" s="227"/>
      <c r="U619" s="227"/>
      <c r="V619" s="227"/>
      <c r="W619" s="227"/>
      <c r="X619" s="227"/>
      <c r="Y619" s="227"/>
      <c r="Z619" s="227"/>
      <c r="AA619" s="227"/>
      <c r="AB619" s="227"/>
      <c r="AC619" s="227"/>
      <c r="AD619" s="227"/>
      <c r="AE619" s="227"/>
      <c r="AF619" s="227"/>
      <c r="AG619" s="227"/>
      <c r="AH619" s="227"/>
      <c r="AI619" s="227"/>
      <c r="AJ619" s="227"/>
      <c r="AK619" s="227"/>
      <c r="AL619" s="225"/>
      <c r="AM619" s="227"/>
    </row>
    <row r="620" spans="1:39" ht="20.100000000000001" customHeight="1">
      <c r="A620" s="223"/>
      <c r="B620" s="225"/>
      <c r="C620" s="227"/>
      <c r="D620" s="224"/>
      <c r="E620" s="227"/>
      <c r="F620" s="227"/>
      <c r="G620" s="227"/>
      <c r="H620" s="227"/>
      <c r="I620" s="227"/>
      <c r="J620" s="227"/>
      <c r="K620" s="227"/>
      <c r="L620" s="227"/>
      <c r="M620" s="227"/>
      <c r="N620" s="227"/>
      <c r="O620" s="227"/>
      <c r="P620" s="227"/>
      <c r="Q620" s="227"/>
      <c r="R620" s="227"/>
      <c r="S620" s="227"/>
      <c r="T620" s="227"/>
      <c r="U620" s="227"/>
      <c r="V620" s="227"/>
      <c r="W620" s="227"/>
      <c r="X620" s="227"/>
      <c r="Y620" s="227"/>
      <c r="Z620" s="227"/>
      <c r="AA620" s="227"/>
      <c r="AB620" s="227"/>
      <c r="AC620" s="227"/>
      <c r="AD620" s="227"/>
      <c r="AE620" s="227"/>
      <c r="AF620" s="227"/>
      <c r="AG620" s="227"/>
      <c r="AH620" s="227"/>
      <c r="AI620" s="227"/>
      <c r="AJ620" s="227"/>
      <c r="AK620" s="227"/>
      <c r="AL620" s="225"/>
      <c r="AM620" s="227"/>
    </row>
    <row r="621" spans="1:39" ht="20.100000000000001" customHeight="1">
      <c r="A621" s="227">
        <v>307</v>
      </c>
      <c r="B621" s="225"/>
      <c r="C621" s="227"/>
      <c r="D621" s="228">
        <f>(SUMPRODUCT(E621:AL621*$E$6:$AL$6)/100)+(SUMPRODUCT(E621:AL621*$E$6:$AL$6*$E$3:$AL$3)/100)</f>
        <v>0</v>
      </c>
      <c r="E621" s="227"/>
      <c r="F621" s="227"/>
      <c r="G621" s="227"/>
      <c r="H621" s="227"/>
      <c r="I621" s="227"/>
      <c r="J621" s="227"/>
      <c r="K621" s="227"/>
      <c r="L621" s="227"/>
      <c r="M621" s="227"/>
      <c r="N621" s="227"/>
      <c r="O621" s="227"/>
      <c r="P621" s="227"/>
      <c r="Q621" s="227"/>
      <c r="R621" s="227"/>
      <c r="S621" s="227"/>
      <c r="T621" s="227"/>
      <c r="U621" s="227"/>
      <c r="V621" s="227"/>
      <c r="W621" s="227"/>
      <c r="X621" s="227"/>
      <c r="Y621" s="227"/>
      <c r="Z621" s="227"/>
      <c r="AA621" s="227"/>
      <c r="AB621" s="227"/>
      <c r="AC621" s="227"/>
      <c r="AD621" s="227"/>
      <c r="AE621" s="227"/>
      <c r="AF621" s="227"/>
      <c r="AG621" s="227"/>
      <c r="AH621" s="227"/>
      <c r="AI621" s="227"/>
      <c r="AJ621" s="227"/>
      <c r="AK621" s="227"/>
      <c r="AL621" s="225"/>
      <c r="AM621" s="227"/>
    </row>
    <row r="622" spans="1:39" ht="20.100000000000001" customHeight="1">
      <c r="A622" s="227"/>
      <c r="B622" s="225"/>
      <c r="C622" s="227"/>
      <c r="D622" s="224"/>
      <c r="E622" s="227"/>
      <c r="F622" s="227"/>
      <c r="G622" s="227"/>
      <c r="H622" s="227"/>
      <c r="I622" s="227"/>
      <c r="J622" s="227"/>
      <c r="K622" s="227"/>
      <c r="L622" s="227"/>
      <c r="M622" s="227"/>
      <c r="N622" s="227"/>
      <c r="O622" s="227"/>
      <c r="P622" s="227"/>
      <c r="Q622" s="227"/>
      <c r="R622" s="227"/>
      <c r="S622" s="227"/>
      <c r="T622" s="227"/>
      <c r="U622" s="227"/>
      <c r="V622" s="227"/>
      <c r="W622" s="227"/>
      <c r="X622" s="227"/>
      <c r="Y622" s="227"/>
      <c r="Z622" s="227"/>
      <c r="AA622" s="227"/>
      <c r="AB622" s="227"/>
      <c r="AC622" s="227"/>
      <c r="AD622" s="227"/>
      <c r="AE622" s="227"/>
      <c r="AF622" s="227"/>
      <c r="AG622" s="227"/>
      <c r="AH622" s="227"/>
      <c r="AI622" s="227"/>
      <c r="AJ622" s="227"/>
      <c r="AK622" s="227"/>
      <c r="AL622" s="225"/>
      <c r="AM622" s="227"/>
    </row>
    <row r="623" spans="1:39" ht="20.100000000000001" customHeight="1">
      <c r="A623" s="227">
        <v>308</v>
      </c>
      <c r="B623" s="225"/>
      <c r="C623" s="227"/>
      <c r="D623" s="228">
        <f>(SUMPRODUCT(E623:AL623*$E$6:$AL$6)/100)+(SUMPRODUCT(E623:AL623*$E$6:$AL$6*$E$3:$AL$3)/100)</f>
        <v>0</v>
      </c>
      <c r="E623" s="227"/>
      <c r="F623" s="227"/>
      <c r="G623" s="227"/>
      <c r="H623" s="227"/>
      <c r="I623" s="227"/>
      <c r="J623" s="227"/>
      <c r="K623" s="227"/>
      <c r="L623" s="227"/>
      <c r="M623" s="227"/>
      <c r="N623" s="227"/>
      <c r="O623" s="227"/>
      <c r="P623" s="227"/>
      <c r="Q623" s="227"/>
      <c r="R623" s="227"/>
      <c r="S623" s="227"/>
      <c r="T623" s="227"/>
      <c r="U623" s="227"/>
      <c r="V623" s="227"/>
      <c r="W623" s="227"/>
      <c r="X623" s="227"/>
      <c r="Y623" s="227"/>
      <c r="Z623" s="227"/>
      <c r="AA623" s="227"/>
      <c r="AB623" s="227"/>
      <c r="AC623" s="227"/>
      <c r="AD623" s="227"/>
      <c r="AE623" s="227"/>
      <c r="AF623" s="227"/>
      <c r="AG623" s="227"/>
      <c r="AH623" s="227"/>
      <c r="AI623" s="227"/>
      <c r="AJ623" s="227"/>
      <c r="AK623" s="227"/>
      <c r="AL623" s="225"/>
      <c r="AM623" s="227"/>
    </row>
    <row r="624" spans="1:39" ht="20.100000000000001" customHeight="1">
      <c r="A624" s="223"/>
      <c r="B624" s="225"/>
      <c r="C624" s="227"/>
      <c r="D624" s="224"/>
      <c r="E624" s="227"/>
      <c r="F624" s="227"/>
      <c r="G624" s="227"/>
      <c r="H624" s="227"/>
      <c r="I624" s="227"/>
      <c r="J624" s="227"/>
      <c r="K624" s="227"/>
      <c r="L624" s="227"/>
      <c r="M624" s="227"/>
      <c r="N624" s="227"/>
      <c r="O624" s="227"/>
      <c r="P624" s="227"/>
      <c r="Q624" s="227"/>
      <c r="R624" s="227"/>
      <c r="S624" s="227"/>
      <c r="T624" s="227"/>
      <c r="U624" s="227"/>
      <c r="V624" s="227"/>
      <c r="W624" s="227"/>
      <c r="X624" s="227"/>
      <c r="Y624" s="227"/>
      <c r="Z624" s="227"/>
      <c r="AA624" s="227"/>
      <c r="AB624" s="227"/>
      <c r="AC624" s="227"/>
      <c r="AD624" s="227"/>
      <c r="AE624" s="227"/>
      <c r="AF624" s="227"/>
      <c r="AG624" s="227"/>
      <c r="AH624" s="227"/>
      <c r="AI624" s="227"/>
      <c r="AJ624" s="227"/>
      <c r="AK624" s="227"/>
      <c r="AL624" s="225"/>
      <c r="AM624" s="227"/>
    </row>
    <row r="625" spans="1:39" ht="20.100000000000001" customHeight="1">
      <c r="A625" s="227">
        <v>309</v>
      </c>
      <c r="B625" s="225"/>
      <c r="C625" s="227"/>
      <c r="D625" s="228">
        <f>(SUMPRODUCT(E625:AL625*$E$6:$AL$6)/100)+(SUMPRODUCT(E625:AL625*$E$6:$AL$6*$E$3:$AL$3)/100)</f>
        <v>0</v>
      </c>
      <c r="E625" s="227"/>
      <c r="F625" s="227"/>
      <c r="G625" s="227"/>
      <c r="H625" s="227"/>
      <c r="I625" s="227"/>
      <c r="J625" s="227"/>
      <c r="K625" s="227"/>
      <c r="L625" s="227"/>
      <c r="M625" s="227"/>
      <c r="N625" s="227"/>
      <c r="O625" s="227"/>
      <c r="P625" s="227"/>
      <c r="Q625" s="227"/>
      <c r="R625" s="227"/>
      <c r="S625" s="227"/>
      <c r="T625" s="227"/>
      <c r="U625" s="227"/>
      <c r="V625" s="227"/>
      <c r="W625" s="227"/>
      <c r="X625" s="227"/>
      <c r="Y625" s="227"/>
      <c r="Z625" s="227"/>
      <c r="AA625" s="227"/>
      <c r="AB625" s="227"/>
      <c r="AC625" s="227"/>
      <c r="AD625" s="227"/>
      <c r="AE625" s="227"/>
      <c r="AF625" s="227"/>
      <c r="AG625" s="227"/>
      <c r="AH625" s="227"/>
      <c r="AI625" s="227"/>
      <c r="AJ625" s="227"/>
      <c r="AK625" s="227"/>
      <c r="AL625" s="225"/>
      <c r="AM625" s="227"/>
    </row>
    <row r="626" spans="1:39" ht="20.100000000000001" customHeight="1">
      <c r="A626" s="227"/>
      <c r="B626" s="225"/>
      <c r="C626" s="227"/>
      <c r="D626" s="224"/>
      <c r="E626" s="227"/>
      <c r="F626" s="227"/>
      <c r="G626" s="227"/>
      <c r="H626" s="227"/>
      <c r="I626" s="227"/>
      <c r="J626" s="227"/>
      <c r="K626" s="227"/>
      <c r="L626" s="227"/>
      <c r="M626" s="227"/>
      <c r="N626" s="227"/>
      <c r="O626" s="227"/>
      <c r="P626" s="227"/>
      <c r="Q626" s="227"/>
      <c r="R626" s="227"/>
      <c r="S626" s="227"/>
      <c r="T626" s="227"/>
      <c r="U626" s="227"/>
      <c r="V626" s="227"/>
      <c r="W626" s="227"/>
      <c r="X626" s="227"/>
      <c r="Y626" s="227"/>
      <c r="Z626" s="227"/>
      <c r="AA626" s="227"/>
      <c r="AB626" s="227"/>
      <c r="AC626" s="227"/>
      <c r="AD626" s="227"/>
      <c r="AE626" s="227"/>
      <c r="AF626" s="227"/>
      <c r="AG626" s="227"/>
      <c r="AH626" s="227"/>
      <c r="AI626" s="227"/>
      <c r="AJ626" s="227"/>
      <c r="AK626" s="227"/>
      <c r="AL626" s="225"/>
      <c r="AM626" s="227"/>
    </row>
    <row r="627" spans="1:39" ht="20.100000000000001" customHeight="1">
      <c r="A627" s="227">
        <v>310</v>
      </c>
      <c r="B627" s="225"/>
      <c r="C627" s="227"/>
      <c r="D627" s="228">
        <f>(SUMPRODUCT(E627:AL627*$E$6:$AL$6)/100)+(SUMPRODUCT(E627:AL627*$E$6:$AL$6*$E$3:$AL$3)/100)</f>
        <v>0</v>
      </c>
      <c r="E627" s="227"/>
      <c r="F627" s="227"/>
      <c r="G627" s="227"/>
      <c r="H627" s="227"/>
      <c r="I627" s="227"/>
      <c r="J627" s="227"/>
      <c r="K627" s="227"/>
      <c r="L627" s="227"/>
      <c r="M627" s="227"/>
      <c r="N627" s="227"/>
      <c r="O627" s="227"/>
      <c r="P627" s="227"/>
      <c r="Q627" s="227"/>
      <c r="R627" s="227"/>
      <c r="S627" s="227"/>
      <c r="T627" s="227"/>
      <c r="U627" s="227"/>
      <c r="V627" s="227"/>
      <c r="W627" s="227"/>
      <c r="X627" s="227"/>
      <c r="Y627" s="227"/>
      <c r="Z627" s="227"/>
      <c r="AA627" s="227"/>
      <c r="AB627" s="227"/>
      <c r="AC627" s="227"/>
      <c r="AD627" s="227"/>
      <c r="AE627" s="227"/>
      <c r="AF627" s="227"/>
      <c r="AG627" s="227"/>
      <c r="AH627" s="227"/>
      <c r="AI627" s="227"/>
      <c r="AJ627" s="227"/>
      <c r="AK627" s="227"/>
      <c r="AL627" s="225"/>
      <c r="AM627" s="227"/>
    </row>
    <row r="628" spans="1:39" ht="20.100000000000001" customHeight="1">
      <c r="A628" s="223"/>
      <c r="B628" s="225"/>
      <c r="C628" s="227"/>
      <c r="D628" s="224"/>
      <c r="E628" s="227"/>
      <c r="F628" s="227"/>
      <c r="G628" s="227"/>
      <c r="H628" s="227"/>
      <c r="I628" s="227"/>
      <c r="J628" s="227"/>
      <c r="K628" s="227"/>
      <c r="L628" s="227"/>
      <c r="M628" s="227"/>
      <c r="N628" s="227"/>
      <c r="O628" s="227"/>
      <c r="P628" s="227"/>
      <c r="Q628" s="227"/>
      <c r="R628" s="227"/>
      <c r="S628" s="227"/>
      <c r="T628" s="227"/>
      <c r="U628" s="227"/>
      <c r="V628" s="227"/>
      <c r="W628" s="227"/>
      <c r="X628" s="227"/>
      <c r="Y628" s="227"/>
      <c r="Z628" s="227"/>
      <c r="AA628" s="227"/>
      <c r="AB628" s="227"/>
      <c r="AC628" s="227"/>
      <c r="AD628" s="227"/>
      <c r="AE628" s="227"/>
      <c r="AF628" s="227"/>
      <c r="AG628" s="227"/>
      <c r="AH628" s="227"/>
      <c r="AI628" s="227"/>
      <c r="AJ628" s="227"/>
      <c r="AK628" s="227"/>
      <c r="AL628" s="225"/>
      <c r="AM628" s="227"/>
    </row>
    <row r="629" spans="1:39" ht="20.100000000000001" customHeight="1">
      <c r="A629" s="227">
        <v>311</v>
      </c>
      <c r="B629" s="225"/>
      <c r="C629" s="227"/>
      <c r="D629" s="228">
        <f>(SUMPRODUCT(E629:AL629*$E$6:$AL$6)/100)+(SUMPRODUCT(E629:AL629*$E$6:$AL$6*$E$3:$AL$3)/100)</f>
        <v>0</v>
      </c>
      <c r="E629" s="227"/>
      <c r="F629" s="227"/>
      <c r="G629" s="227"/>
      <c r="H629" s="227"/>
      <c r="I629" s="227"/>
      <c r="J629" s="227"/>
      <c r="K629" s="227"/>
      <c r="L629" s="227"/>
      <c r="M629" s="227"/>
      <c r="N629" s="227"/>
      <c r="O629" s="227"/>
      <c r="P629" s="227"/>
      <c r="Q629" s="227"/>
      <c r="R629" s="227"/>
      <c r="S629" s="227"/>
      <c r="T629" s="227"/>
      <c r="U629" s="227"/>
      <c r="V629" s="227"/>
      <c r="W629" s="227"/>
      <c r="X629" s="227"/>
      <c r="Y629" s="227"/>
      <c r="Z629" s="227"/>
      <c r="AA629" s="227"/>
      <c r="AB629" s="227"/>
      <c r="AC629" s="227"/>
      <c r="AD629" s="227"/>
      <c r="AE629" s="227"/>
      <c r="AF629" s="227"/>
      <c r="AG629" s="227"/>
      <c r="AH629" s="227"/>
      <c r="AI629" s="227"/>
      <c r="AJ629" s="227"/>
      <c r="AK629" s="227"/>
      <c r="AL629" s="225"/>
      <c r="AM629" s="227"/>
    </row>
    <row r="630" spans="1:39" ht="20.100000000000001" customHeight="1">
      <c r="A630" s="227"/>
      <c r="B630" s="225"/>
      <c r="C630" s="227"/>
      <c r="D630" s="224"/>
      <c r="E630" s="227"/>
      <c r="F630" s="227"/>
      <c r="G630" s="227"/>
      <c r="H630" s="227"/>
      <c r="I630" s="227"/>
      <c r="J630" s="227"/>
      <c r="K630" s="227"/>
      <c r="L630" s="227"/>
      <c r="M630" s="227"/>
      <c r="N630" s="227"/>
      <c r="O630" s="227"/>
      <c r="P630" s="227"/>
      <c r="Q630" s="227"/>
      <c r="R630" s="227"/>
      <c r="S630" s="227"/>
      <c r="T630" s="227"/>
      <c r="U630" s="227"/>
      <c r="V630" s="227"/>
      <c r="W630" s="227"/>
      <c r="X630" s="227"/>
      <c r="Y630" s="227"/>
      <c r="Z630" s="227"/>
      <c r="AA630" s="227"/>
      <c r="AB630" s="227"/>
      <c r="AC630" s="227"/>
      <c r="AD630" s="227"/>
      <c r="AE630" s="227"/>
      <c r="AF630" s="227"/>
      <c r="AG630" s="227"/>
      <c r="AH630" s="227"/>
      <c r="AI630" s="227"/>
      <c r="AJ630" s="227"/>
      <c r="AK630" s="227"/>
      <c r="AL630" s="225"/>
      <c r="AM630" s="227"/>
    </row>
    <row r="631" spans="1:39" ht="20.100000000000001" customHeight="1">
      <c r="A631" s="227">
        <v>312</v>
      </c>
      <c r="B631" s="225"/>
      <c r="C631" s="227"/>
      <c r="D631" s="228">
        <f>(SUMPRODUCT(E631:AL631*$E$6:$AL$6)/100)+(SUMPRODUCT(E631:AL631*$E$6:$AL$6*$E$3:$AL$3)/100)</f>
        <v>0</v>
      </c>
      <c r="E631" s="227"/>
      <c r="F631" s="227"/>
      <c r="G631" s="227"/>
      <c r="H631" s="227"/>
      <c r="I631" s="227"/>
      <c r="J631" s="227"/>
      <c r="K631" s="227"/>
      <c r="L631" s="227"/>
      <c r="M631" s="227"/>
      <c r="N631" s="227"/>
      <c r="O631" s="227"/>
      <c r="P631" s="227"/>
      <c r="Q631" s="227"/>
      <c r="R631" s="227"/>
      <c r="S631" s="227"/>
      <c r="T631" s="227"/>
      <c r="U631" s="227"/>
      <c r="V631" s="227"/>
      <c r="W631" s="227"/>
      <c r="X631" s="227"/>
      <c r="Y631" s="227"/>
      <c r="Z631" s="227"/>
      <c r="AA631" s="227"/>
      <c r="AB631" s="227"/>
      <c r="AC631" s="227"/>
      <c r="AD631" s="227"/>
      <c r="AE631" s="227"/>
      <c r="AF631" s="227"/>
      <c r="AG631" s="227"/>
      <c r="AH631" s="227"/>
      <c r="AI631" s="227"/>
      <c r="AJ631" s="227"/>
      <c r="AK631" s="227"/>
      <c r="AL631" s="225"/>
      <c r="AM631" s="227"/>
    </row>
    <row r="632" spans="1:39" ht="20.100000000000001" customHeight="1">
      <c r="A632" s="223"/>
      <c r="B632" s="225"/>
      <c r="C632" s="227"/>
      <c r="D632" s="224"/>
      <c r="E632" s="227"/>
      <c r="F632" s="227"/>
      <c r="G632" s="227"/>
      <c r="H632" s="227"/>
      <c r="I632" s="227"/>
      <c r="J632" s="227"/>
      <c r="K632" s="227"/>
      <c r="L632" s="227"/>
      <c r="M632" s="227"/>
      <c r="N632" s="227"/>
      <c r="O632" s="227"/>
      <c r="P632" s="227"/>
      <c r="Q632" s="227"/>
      <c r="R632" s="227"/>
      <c r="S632" s="227"/>
      <c r="T632" s="227"/>
      <c r="U632" s="227"/>
      <c r="V632" s="227"/>
      <c r="W632" s="227"/>
      <c r="X632" s="227"/>
      <c r="Y632" s="227"/>
      <c r="Z632" s="227"/>
      <c r="AA632" s="227"/>
      <c r="AB632" s="227"/>
      <c r="AC632" s="227"/>
      <c r="AD632" s="227"/>
      <c r="AE632" s="227"/>
      <c r="AF632" s="227"/>
      <c r="AG632" s="227"/>
      <c r="AH632" s="227"/>
      <c r="AI632" s="227"/>
      <c r="AJ632" s="227"/>
      <c r="AK632" s="227"/>
      <c r="AL632" s="225"/>
      <c r="AM632" s="227"/>
    </row>
    <row r="633" spans="1:39" ht="20.100000000000001" customHeight="1">
      <c r="A633" s="227">
        <v>313</v>
      </c>
      <c r="B633" s="225"/>
      <c r="C633" s="227"/>
      <c r="D633" s="228">
        <f>(SUMPRODUCT(E633:AL633*$E$6:$AL$6)/100)+(SUMPRODUCT(E633:AL633*$E$6:$AL$6*$E$3:$AL$3)/100)</f>
        <v>0</v>
      </c>
      <c r="E633" s="227"/>
      <c r="F633" s="227"/>
      <c r="G633" s="227"/>
      <c r="H633" s="227"/>
      <c r="I633" s="227"/>
      <c r="J633" s="227"/>
      <c r="K633" s="227"/>
      <c r="L633" s="227"/>
      <c r="M633" s="227"/>
      <c r="N633" s="227"/>
      <c r="O633" s="227"/>
      <c r="P633" s="227"/>
      <c r="Q633" s="227"/>
      <c r="R633" s="227"/>
      <c r="S633" s="227"/>
      <c r="T633" s="227"/>
      <c r="U633" s="227"/>
      <c r="V633" s="227"/>
      <c r="W633" s="227"/>
      <c r="X633" s="227"/>
      <c r="Y633" s="227"/>
      <c r="Z633" s="227"/>
      <c r="AA633" s="227"/>
      <c r="AB633" s="227"/>
      <c r="AC633" s="227"/>
      <c r="AD633" s="227"/>
      <c r="AE633" s="227"/>
      <c r="AF633" s="227"/>
      <c r="AG633" s="227"/>
      <c r="AH633" s="227"/>
      <c r="AI633" s="227"/>
      <c r="AJ633" s="227"/>
      <c r="AK633" s="227"/>
      <c r="AL633" s="225"/>
      <c r="AM633" s="227"/>
    </row>
    <row r="634" spans="1:39" ht="20.100000000000001" customHeight="1">
      <c r="A634" s="227"/>
      <c r="B634" s="225"/>
      <c r="C634" s="227"/>
      <c r="D634" s="224"/>
      <c r="E634" s="227"/>
      <c r="F634" s="227"/>
      <c r="G634" s="227"/>
      <c r="H634" s="227"/>
      <c r="I634" s="227"/>
      <c r="J634" s="227"/>
      <c r="K634" s="227"/>
      <c r="L634" s="227"/>
      <c r="M634" s="227"/>
      <c r="N634" s="227"/>
      <c r="O634" s="227"/>
      <c r="P634" s="227"/>
      <c r="Q634" s="227"/>
      <c r="R634" s="227"/>
      <c r="S634" s="227"/>
      <c r="T634" s="227"/>
      <c r="U634" s="227"/>
      <c r="V634" s="227"/>
      <c r="W634" s="227"/>
      <c r="X634" s="227"/>
      <c r="Y634" s="227"/>
      <c r="Z634" s="227"/>
      <c r="AA634" s="227"/>
      <c r="AB634" s="227"/>
      <c r="AC634" s="227"/>
      <c r="AD634" s="227"/>
      <c r="AE634" s="227"/>
      <c r="AF634" s="227"/>
      <c r="AG634" s="227"/>
      <c r="AH634" s="227"/>
      <c r="AI634" s="227"/>
      <c r="AJ634" s="227"/>
      <c r="AK634" s="227"/>
      <c r="AL634" s="225"/>
      <c r="AM634" s="227"/>
    </row>
    <row r="635" spans="1:39" ht="20.100000000000001" customHeight="1">
      <c r="A635" s="227">
        <v>314</v>
      </c>
      <c r="B635" s="225"/>
      <c r="C635" s="227"/>
      <c r="D635" s="228">
        <f>(SUMPRODUCT(E635:AL635*$E$6:$AL$6)/100)+(SUMPRODUCT(E635:AL635*$E$6:$AL$6*$E$3:$AL$3)/100)</f>
        <v>0</v>
      </c>
      <c r="E635" s="227"/>
      <c r="F635" s="227"/>
      <c r="G635" s="227"/>
      <c r="H635" s="227"/>
      <c r="I635" s="227"/>
      <c r="J635" s="227"/>
      <c r="K635" s="227"/>
      <c r="L635" s="227"/>
      <c r="M635" s="227"/>
      <c r="N635" s="227"/>
      <c r="O635" s="227"/>
      <c r="P635" s="227"/>
      <c r="Q635" s="227"/>
      <c r="R635" s="227"/>
      <c r="S635" s="227"/>
      <c r="T635" s="227"/>
      <c r="U635" s="227"/>
      <c r="V635" s="227"/>
      <c r="W635" s="227"/>
      <c r="X635" s="227"/>
      <c r="Y635" s="227"/>
      <c r="Z635" s="227"/>
      <c r="AA635" s="227"/>
      <c r="AB635" s="227"/>
      <c r="AC635" s="227"/>
      <c r="AD635" s="227"/>
      <c r="AE635" s="227"/>
      <c r="AF635" s="227"/>
      <c r="AG635" s="227"/>
      <c r="AH635" s="227"/>
      <c r="AI635" s="227"/>
      <c r="AJ635" s="227"/>
      <c r="AK635" s="227"/>
      <c r="AL635" s="225"/>
      <c r="AM635" s="227"/>
    </row>
    <row r="636" spans="1:39" ht="20.100000000000001" customHeight="1">
      <c r="A636" s="223"/>
      <c r="B636" s="225"/>
      <c r="C636" s="227"/>
      <c r="D636" s="224"/>
      <c r="E636" s="227"/>
      <c r="F636" s="227"/>
      <c r="G636" s="227"/>
      <c r="H636" s="227"/>
      <c r="I636" s="227"/>
      <c r="J636" s="227"/>
      <c r="K636" s="227"/>
      <c r="L636" s="227"/>
      <c r="M636" s="227"/>
      <c r="N636" s="227"/>
      <c r="O636" s="227"/>
      <c r="P636" s="227"/>
      <c r="Q636" s="227"/>
      <c r="R636" s="227"/>
      <c r="S636" s="227"/>
      <c r="T636" s="227"/>
      <c r="U636" s="227"/>
      <c r="V636" s="227"/>
      <c r="W636" s="227"/>
      <c r="X636" s="227"/>
      <c r="Y636" s="227"/>
      <c r="Z636" s="227"/>
      <c r="AA636" s="227"/>
      <c r="AB636" s="227"/>
      <c r="AC636" s="227"/>
      <c r="AD636" s="227"/>
      <c r="AE636" s="227"/>
      <c r="AF636" s="227"/>
      <c r="AG636" s="227"/>
      <c r="AH636" s="227"/>
      <c r="AI636" s="227"/>
      <c r="AJ636" s="227"/>
      <c r="AK636" s="227"/>
      <c r="AL636" s="225"/>
      <c r="AM636" s="227"/>
    </row>
    <row r="637" spans="1:39" ht="20.100000000000001" customHeight="1">
      <c r="A637" s="227">
        <v>315</v>
      </c>
      <c r="B637" s="225"/>
      <c r="C637" s="227"/>
      <c r="D637" s="228">
        <f>(SUMPRODUCT(E637:AL637*$E$6:$AL$6)/100)+(SUMPRODUCT(E637:AL637*$E$6:$AL$6*$E$3:$AL$3)/100)</f>
        <v>0</v>
      </c>
      <c r="E637" s="227"/>
      <c r="F637" s="227"/>
      <c r="G637" s="227"/>
      <c r="H637" s="227"/>
      <c r="I637" s="227"/>
      <c r="J637" s="227"/>
      <c r="K637" s="227"/>
      <c r="L637" s="227"/>
      <c r="M637" s="227"/>
      <c r="N637" s="227"/>
      <c r="O637" s="227"/>
      <c r="P637" s="227"/>
      <c r="Q637" s="227"/>
      <c r="R637" s="227"/>
      <c r="S637" s="227"/>
      <c r="T637" s="227"/>
      <c r="U637" s="227"/>
      <c r="V637" s="227"/>
      <c r="W637" s="227"/>
      <c r="X637" s="227"/>
      <c r="Y637" s="227"/>
      <c r="Z637" s="227"/>
      <c r="AA637" s="227"/>
      <c r="AB637" s="227"/>
      <c r="AC637" s="227"/>
      <c r="AD637" s="227"/>
      <c r="AE637" s="227"/>
      <c r="AF637" s="227"/>
      <c r="AG637" s="227"/>
      <c r="AH637" s="227"/>
      <c r="AI637" s="227"/>
      <c r="AJ637" s="227"/>
      <c r="AK637" s="227"/>
      <c r="AL637" s="225"/>
      <c r="AM637" s="227"/>
    </row>
    <row r="638" spans="1:39" ht="20.100000000000001" customHeight="1">
      <c r="A638" s="227"/>
      <c r="B638" s="225"/>
      <c r="C638" s="227"/>
      <c r="D638" s="224"/>
      <c r="E638" s="227"/>
      <c r="F638" s="227"/>
      <c r="G638" s="227"/>
      <c r="H638" s="227"/>
      <c r="I638" s="227"/>
      <c r="J638" s="227"/>
      <c r="K638" s="227"/>
      <c r="L638" s="227"/>
      <c r="M638" s="227"/>
      <c r="N638" s="227"/>
      <c r="O638" s="227"/>
      <c r="P638" s="227"/>
      <c r="Q638" s="227"/>
      <c r="R638" s="227"/>
      <c r="S638" s="227"/>
      <c r="T638" s="227"/>
      <c r="U638" s="227"/>
      <c r="V638" s="227"/>
      <c r="W638" s="227"/>
      <c r="X638" s="227"/>
      <c r="Y638" s="227"/>
      <c r="Z638" s="227"/>
      <c r="AA638" s="227"/>
      <c r="AB638" s="227"/>
      <c r="AC638" s="227"/>
      <c r="AD638" s="227"/>
      <c r="AE638" s="227"/>
      <c r="AF638" s="227"/>
      <c r="AG638" s="227"/>
      <c r="AH638" s="227"/>
      <c r="AI638" s="227"/>
      <c r="AJ638" s="227"/>
      <c r="AK638" s="227"/>
      <c r="AL638" s="225"/>
      <c r="AM638" s="227"/>
    </row>
    <row r="639" spans="1:39" ht="20.100000000000001" customHeight="1">
      <c r="A639" s="227">
        <v>316</v>
      </c>
      <c r="B639" s="225"/>
      <c r="C639" s="227"/>
      <c r="D639" s="228">
        <f>(SUMPRODUCT(E639:AL639*$E$6:$AL$6)/100)+(SUMPRODUCT(E639:AL639*$E$6:$AL$6*$E$3:$AL$3)/100)</f>
        <v>0</v>
      </c>
      <c r="E639" s="227"/>
      <c r="F639" s="227"/>
      <c r="G639" s="227"/>
      <c r="H639" s="227"/>
      <c r="I639" s="227"/>
      <c r="J639" s="227"/>
      <c r="K639" s="227"/>
      <c r="L639" s="227"/>
      <c r="M639" s="227"/>
      <c r="N639" s="227"/>
      <c r="O639" s="227"/>
      <c r="P639" s="227"/>
      <c r="Q639" s="227"/>
      <c r="R639" s="227"/>
      <c r="S639" s="227"/>
      <c r="T639" s="227"/>
      <c r="U639" s="227"/>
      <c r="V639" s="227"/>
      <c r="W639" s="227"/>
      <c r="X639" s="227"/>
      <c r="Y639" s="227"/>
      <c r="Z639" s="227"/>
      <c r="AA639" s="227"/>
      <c r="AB639" s="227"/>
      <c r="AC639" s="227"/>
      <c r="AD639" s="227"/>
      <c r="AE639" s="227"/>
      <c r="AF639" s="227"/>
      <c r="AG639" s="227"/>
      <c r="AH639" s="227"/>
      <c r="AI639" s="227"/>
      <c r="AJ639" s="227"/>
      <c r="AK639" s="227"/>
      <c r="AL639" s="225"/>
      <c r="AM639" s="227"/>
    </row>
    <row r="640" spans="1:39" ht="20.100000000000001" customHeight="1">
      <c r="A640" s="223"/>
      <c r="B640" s="225"/>
      <c r="C640" s="227"/>
      <c r="D640" s="224"/>
      <c r="E640" s="227"/>
      <c r="F640" s="227"/>
      <c r="G640" s="227"/>
      <c r="H640" s="227"/>
      <c r="I640" s="227"/>
      <c r="J640" s="227"/>
      <c r="K640" s="227"/>
      <c r="L640" s="227"/>
      <c r="M640" s="227"/>
      <c r="N640" s="227"/>
      <c r="O640" s="227"/>
      <c r="P640" s="227"/>
      <c r="Q640" s="227"/>
      <c r="R640" s="227"/>
      <c r="S640" s="227"/>
      <c r="T640" s="227"/>
      <c r="U640" s="227"/>
      <c r="V640" s="227"/>
      <c r="W640" s="227"/>
      <c r="X640" s="227"/>
      <c r="Y640" s="227"/>
      <c r="Z640" s="227"/>
      <c r="AA640" s="227"/>
      <c r="AB640" s="227"/>
      <c r="AC640" s="227"/>
      <c r="AD640" s="227"/>
      <c r="AE640" s="227"/>
      <c r="AF640" s="227"/>
      <c r="AG640" s="227"/>
      <c r="AH640" s="227"/>
      <c r="AI640" s="227"/>
      <c r="AJ640" s="227"/>
      <c r="AK640" s="227"/>
      <c r="AL640" s="225"/>
      <c r="AM640" s="227"/>
    </row>
    <row r="641" spans="1:39" ht="20.100000000000001" customHeight="1">
      <c r="A641" s="227">
        <v>317</v>
      </c>
      <c r="B641" s="225"/>
      <c r="C641" s="227"/>
      <c r="D641" s="228">
        <f>(SUMPRODUCT(E641:AL641*$E$6:$AL$6)/100)+(SUMPRODUCT(E641:AL641*$E$6:$AL$6*$E$3:$AL$3)/100)</f>
        <v>0</v>
      </c>
      <c r="E641" s="227"/>
      <c r="F641" s="227"/>
      <c r="G641" s="227"/>
      <c r="H641" s="227"/>
      <c r="I641" s="227"/>
      <c r="J641" s="227"/>
      <c r="K641" s="227"/>
      <c r="L641" s="227"/>
      <c r="M641" s="227"/>
      <c r="N641" s="227"/>
      <c r="O641" s="227"/>
      <c r="P641" s="227"/>
      <c r="Q641" s="227"/>
      <c r="R641" s="227"/>
      <c r="S641" s="227"/>
      <c r="T641" s="227"/>
      <c r="U641" s="227"/>
      <c r="V641" s="227"/>
      <c r="W641" s="227"/>
      <c r="X641" s="227"/>
      <c r="Y641" s="227"/>
      <c r="Z641" s="227"/>
      <c r="AA641" s="227"/>
      <c r="AB641" s="227"/>
      <c r="AC641" s="227"/>
      <c r="AD641" s="227"/>
      <c r="AE641" s="227"/>
      <c r="AF641" s="227"/>
      <c r="AG641" s="227"/>
      <c r="AH641" s="227"/>
      <c r="AI641" s="227"/>
      <c r="AJ641" s="227"/>
      <c r="AK641" s="227"/>
      <c r="AL641" s="225"/>
      <c r="AM641" s="227"/>
    </row>
    <row r="642" spans="1:39" ht="20.100000000000001" customHeight="1">
      <c r="A642" s="227"/>
      <c r="B642" s="225"/>
      <c r="C642" s="227"/>
      <c r="D642" s="224"/>
      <c r="E642" s="227"/>
      <c r="F642" s="227"/>
      <c r="G642" s="227"/>
      <c r="H642" s="227"/>
      <c r="I642" s="227"/>
      <c r="J642" s="227"/>
      <c r="K642" s="227"/>
      <c r="L642" s="227"/>
      <c r="M642" s="227"/>
      <c r="N642" s="227"/>
      <c r="O642" s="227"/>
      <c r="P642" s="227"/>
      <c r="Q642" s="227"/>
      <c r="R642" s="227"/>
      <c r="S642" s="227"/>
      <c r="T642" s="227"/>
      <c r="U642" s="227"/>
      <c r="V642" s="227"/>
      <c r="W642" s="227"/>
      <c r="X642" s="227"/>
      <c r="Y642" s="227"/>
      <c r="Z642" s="227"/>
      <c r="AA642" s="227"/>
      <c r="AB642" s="227"/>
      <c r="AC642" s="227"/>
      <c r="AD642" s="227"/>
      <c r="AE642" s="227"/>
      <c r="AF642" s="227"/>
      <c r="AG642" s="227"/>
      <c r="AH642" s="227"/>
      <c r="AI642" s="227"/>
      <c r="AJ642" s="227"/>
      <c r="AK642" s="227"/>
      <c r="AL642" s="225"/>
      <c r="AM642" s="227"/>
    </row>
    <row r="643" spans="1:39" ht="20.100000000000001" customHeight="1">
      <c r="A643" s="227">
        <v>318</v>
      </c>
      <c r="B643" s="225"/>
      <c r="C643" s="227"/>
      <c r="D643" s="228">
        <f>(SUMPRODUCT(E643:AL643*$E$6:$AL$6)/100)+(SUMPRODUCT(E643:AL643*$E$6:$AL$6*$E$3:$AL$3)/100)</f>
        <v>0</v>
      </c>
      <c r="E643" s="227"/>
      <c r="F643" s="227"/>
      <c r="G643" s="227"/>
      <c r="H643" s="227"/>
      <c r="I643" s="227"/>
      <c r="J643" s="227"/>
      <c r="K643" s="227"/>
      <c r="L643" s="227"/>
      <c r="M643" s="227"/>
      <c r="N643" s="227"/>
      <c r="O643" s="227"/>
      <c r="P643" s="227"/>
      <c r="Q643" s="227"/>
      <c r="R643" s="227"/>
      <c r="S643" s="227"/>
      <c r="T643" s="227"/>
      <c r="U643" s="227"/>
      <c r="V643" s="227"/>
      <c r="W643" s="227"/>
      <c r="X643" s="227"/>
      <c r="Y643" s="227"/>
      <c r="Z643" s="227"/>
      <c r="AA643" s="227"/>
      <c r="AB643" s="227"/>
      <c r="AC643" s="227"/>
      <c r="AD643" s="227"/>
      <c r="AE643" s="227"/>
      <c r="AF643" s="227"/>
      <c r="AG643" s="227"/>
      <c r="AH643" s="227"/>
      <c r="AI643" s="227"/>
      <c r="AJ643" s="227"/>
      <c r="AK643" s="227"/>
      <c r="AL643" s="225"/>
      <c r="AM643" s="227"/>
    </row>
    <row r="644" spans="1:39" ht="20.100000000000001" customHeight="1">
      <c r="A644" s="223"/>
      <c r="B644" s="225"/>
      <c r="C644" s="227"/>
      <c r="D644" s="224"/>
      <c r="E644" s="227"/>
      <c r="F644" s="227"/>
      <c r="G644" s="227"/>
      <c r="H644" s="227"/>
      <c r="I644" s="227"/>
      <c r="J644" s="227"/>
      <c r="K644" s="227"/>
      <c r="L644" s="227"/>
      <c r="M644" s="227"/>
      <c r="N644" s="227"/>
      <c r="O644" s="227"/>
      <c r="P644" s="227"/>
      <c r="Q644" s="227"/>
      <c r="R644" s="227"/>
      <c r="S644" s="227"/>
      <c r="T644" s="227"/>
      <c r="U644" s="227"/>
      <c r="V644" s="227"/>
      <c r="W644" s="227"/>
      <c r="X644" s="227"/>
      <c r="Y644" s="227"/>
      <c r="Z644" s="227"/>
      <c r="AA644" s="227"/>
      <c r="AB644" s="227"/>
      <c r="AC644" s="227"/>
      <c r="AD644" s="227"/>
      <c r="AE644" s="227"/>
      <c r="AF644" s="227"/>
      <c r="AG644" s="227"/>
      <c r="AH644" s="227"/>
      <c r="AI644" s="227"/>
      <c r="AJ644" s="227"/>
      <c r="AK644" s="227"/>
      <c r="AL644" s="225"/>
      <c r="AM644" s="227"/>
    </row>
    <row r="645" spans="1:39" ht="20.100000000000001" customHeight="1">
      <c r="A645" s="227">
        <v>319</v>
      </c>
      <c r="B645" s="225"/>
      <c r="C645" s="227"/>
      <c r="D645" s="228">
        <f>(SUMPRODUCT(E645:AL645*$E$6:$AL$6)/100)+(SUMPRODUCT(E645:AL645*$E$6:$AL$6*$E$3:$AL$3)/100)</f>
        <v>0</v>
      </c>
      <c r="E645" s="227"/>
      <c r="F645" s="227"/>
      <c r="G645" s="227"/>
      <c r="H645" s="227"/>
      <c r="I645" s="227"/>
      <c r="J645" s="227"/>
      <c r="K645" s="227"/>
      <c r="L645" s="227"/>
      <c r="M645" s="227"/>
      <c r="N645" s="227"/>
      <c r="O645" s="227"/>
      <c r="P645" s="227"/>
      <c r="Q645" s="227"/>
      <c r="R645" s="227"/>
      <c r="S645" s="227"/>
      <c r="T645" s="227"/>
      <c r="U645" s="227"/>
      <c r="V645" s="227"/>
      <c r="W645" s="227"/>
      <c r="X645" s="227"/>
      <c r="Y645" s="227"/>
      <c r="Z645" s="227"/>
      <c r="AA645" s="227"/>
      <c r="AB645" s="227"/>
      <c r="AC645" s="227"/>
      <c r="AD645" s="227"/>
      <c r="AE645" s="227"/>
      <c r="AF645" s="227"/>
      <c r="AG645" s="227"/>
      <c r="AH645" s="227"/>
      <c r="AI645" s="227"/>
      <c r="AJ645" s="227"/>
      <c r="AK645" s="227"/>
      <c r="AL645" s="225"/>
      <c r="AM645" s="227"/>
    </row>
    <row r="646" spans="1:39" ht="20.100000000000001" customHeight="1">
      <c r="A646" s="227"/>
      <c r="B646" s="225"/>
      <c r="C646" s="227"/>
      <c r="D646" s="224"/>
      <c r="E646" s="227"/>
      <c r="F646" s="227"/>
      <c r="G646" s="227"/>
      <c r="H646" s="227"/>
      <c r="I646" s="227"/>
      <c r="J646" s="227"/>
      <c r="K646" s="227"/>
      <c r="L646" s="227"/>
      <c r="M646" s="227"/>
      <c r="N646" s="227"/>
      <c r="O646" s="227"/>
      <c r="P646" s="227"/>
      <c r="Q646" s="227"/>
      <c r="R646" s="227"/>
      <c r="S646" s="227"/>
      <c r="T646" s="227"/>
      <c r="U646" s="227"/>
      <c r="V646" s="227"/>
      <c r="W646" s="227"/>
      <c r="X646" s="227"/>
      <c r="Y646" s="227"/>
      <c r="Z646" s="227"/>
      <c r="AA646" s="227"/>
      <c r="AB646" s="227"/>
      <c r="AC646" s="227"/>
      <c r="AD646" s="227"/>
      <c r="AE646" s="227"/>
      <c r="AF646" s="227"/>
      <c r="AG646" s="227"/>
      <c r="AH646" s="227"/>
      <c r="AI646" s="227"/>
      <c r="AJ646" s="227"/>
      <c r="AK646" s="227"/>
      <c r="AL646" s="225"/>
      <c r="AM646" s="227"/>
    </row>
    <row r="647" spans="1:39" ht="20.100000000000001" customHeight="1">
      <c r="A647" s="227">
        <v>320</v>
      </c>
      <c r="B647" s="225"/>
      <c r="C647" s="227"/>
      <c r="D647" s="228">
        <f>(SUMPRODUCT(E647:AL647*$E$6:$AL$6)/100)+(SUMPRODUCT(E647:AL647*$E$6:$AL$6*$E$3:$AL$3)/100)</f>
        <v>0</v>
      </c>
      <c r="E647" s="227"/>
      <c r="F647" s="227"/>
      <c r="G647" s="227"/>
      <c r="H647" s="227"/>
      <c r="I647" s="227"/>
      <c r="J647" s="227"/>
      <c r="K647" s="227"/>
      <c r="L647" s="227"/>
      <c r="M647" s="227"/>
      <c r="N647" s="227"/>
      <c r="O647" s="227"/>
      <c r="P647" s="227"/>
      <c r="Q647" s="227"/>
      <c r="R647" s="227"/>
      <c r="S647" s="227"/>
      <c r="T647" s="227"/>
      <c r="U647" s="227"/>
      <c r="V647" s="227"/>
      <c r="W647" s="227"/>
      <c r="X647" s="227"/>
      <c r="Y647" s="227"/>
      <c r="Z647" s="227"/>
      <c r="AA647" s="227"/>
      <c r="AB647" s="227"/>
      <c r="AC647" s="227"/>
      <c r="AD647" s="227"/>
      <c r="AE647" s="227"/>
      <c r="AF647" s="227"/>
      <c r="AG647" s="227"/>
      <c r="AH647" s="227"/>
      <c r="AI647" s="227"/>
      <c r="AJ647" s="227"/>
      <c r="AK647" s="227"/>
      <c r="AL647" s="225"/>
      <c r="AM647" s="227"/>
    </row>
    <row r="648" spans="1:39" ht="20.100000000000001" customHeight="1">
      <c r="A648" s="223"/>
      <c r="B648" s="225"/>
      <c r="C648" s="227"/>
      <c r="D648" s="224"/>
      <c r="E648" s="227"/>
      <c r="F648" s="227"/>
      <c r="G648" s="227"/>
      <c r="H648" s="227"/>
      <c r="I648" s="227"/>
      <c r="J648" s="227"/>
      <c r="K648" s="227"/>
      <c r="L648" s="227"/>
      <c r="M648" s="227"/>
      <c r="N648" s="227"/>
      <c r="O648" s="227"/>
      <c r="P648" s="227"/>
      <c r="Q648" s="227"/>
      <c r="R648" s="227"/>
      <c r="S648" s="227"/>
      <c r="T648" s="227"/>
      <c r="U648" s="227"/>
      <c r="V648" s="227"/>
      <c r="W648" s="227"/>
      <c r="X648" s="227"/>
      <c r="Y648" s="227"/>
      <c r="Z648" s="227"/>
      <c r="AA648" s="227"/>
      <c r="AB648" s="227"/>
      <c r="AC648" s="227"/>
      <c r="AD648" s="227"/>
      <c r="AE648" s="227"/>
      <c r="AF648" s="227"/>
      <c r="AG648" s="227"/>
      <c r="AH648" s="227"/>
      <c r="AI648" s="227"/>
      <c r="AJ648" s="227"/>
      <c r="AK648" s="227"/>
      <c r="AL648" s="225"/>
      <c r="AM648" s="227"/>
    </row>
    <row r="649" spans="1:39" ht="20.100000000000001" customHeight="1">
      <c r="A649" s="227">
        <v>321</v>
      </c>
      <c r="B649" s="225"/>
      <c r="C649" s="227"/>
      <c r="D649" s="228">
        <f>(SUMPRODUCT(E649:AL649*$E$6:$AL$6)/100)+(SUMPRODUCT(E649:AL649*$E$6:$AL$6*$E$3:$AL$3)/100)</f>
        <v>0</v>
      </c>
      <c r="E649" s="227"/>
      <c r="F649" s="227"/>
      <c r="G649" s="227"/>
      <c r="H649" s="227"/>
      <c r="I649" s="227"/>
      <c r="J649" s="227"/>
      <c r="K649" s="227"/>
      <c r="L649" s="227"/>
      <c r="M649" s="227"/>
      <c r="N649" s="227"/>
      <c r="O649" s="227"/>
      <c r="P649" s="227"/>
      <c r="Q649" s="227"/>
      <c r="R649" s="227"/>
      <c r="S649" s="227"/>
      <c r="T649" s="227"/>
      <c r="U649" s="227"/>
      <c r="V649" s="227"/>
      <c r="W649" s="227"/>
      <c r="X649" s="227"/>
      <c r="Y649" s="227"/>
      <c r="Z649" s="227"/>
      <c r="AA649" s="227"/>
      <c r="AB649" s="227"/>
      <c r="AC649" s="227"/>
      <c r="AD649" s="227"/>
      <c r="AE649" s="227"/>
      <c r="AF649" s="227"/>
      <c r="AG649" s="227"/>
      <c r="AH649" s="227"/>
      <c r="AI649" s="227"/>
      <c r="AJ649" s="227"/>
      <c r="AK649" s="227"/>
      <c r="AL649" s="225"/>
      <c r="AM649" s="227"/>
    </row>
    <row r="650" spans="1:39" ht="20.100000000000001" customHeight="1">
      <c r="A650" s="227"/>
      <c r="B650" s="225"/>
      <c r="C650" s="227"/>
      <c r="D650" s="224"/>
      <c r="E650" s="227"/>
      <c r="F650" s="227"/>
      <c r="G650" s="227"/>
      <c r="H650" s="227"/>
      <c r="I650" s="227"/>
      <c r="J650" s="227"/>
      <c r="K650" s="227"/>
      <c r="L650" s="227"/>
      <c r="M650" s="227"/>
      <c r="N650" s="227"/>
      <c r="O650" s="227"/>
      <c r="P650" s="227"/>
      <c r="Q650" s="227"/>
      <c r="R650" s="227"/>
      <c r="S650" s="227"/>
      <c r="T650" s="227"/>
      <c r="U650" s="227"/>
      <c r="V650" s="227"/>
      <c r="W650" s="227"/>
      <c r="X650" s="227"/>
      <c r="Y650" s="227"/>
      <c r="Z650" s="227"/>
      <c r="AA650" s="227"/>
      <c r="AB650" s="227"/>
      <c r="AC650" s="227"/>
      <c r="AD650" s="227"/>
      <c r="AE650" s="227"/>
      <c r="AF650" s="227"/>
      <c r="AG650" s="227"/>
      <c r="AH650" s="227"/>
      <c r="AI650" s="227"/>
      <c r="AJ650" s="227"/>
      <c r="AK650" s="227"/>
      <c r="AL650" s="225"/>
      <c r="AM650" s="227"/>
    </row>
    <row r="651" spans="1:39" ht="20.100000000000001" customHeight="1">
      <c r="A651" s="227">
        <v>322</v>
      </c>
      <c r="B651" s="225"/>
      <c r="C651" s="227"/>
      <c r="D651" s="228">
        <f>(SUMPRODUCT(E651:AL651*$E$6:$AL$6)/100)+(SUMPRODUCT(E651:AL651*$E$6:$AL$6*$E$3:$AL$3)/100)</f>
        <v>0</v>
      </c>
      <c r="E651" s="227"/>
      <c r="F651" s="227"/>
      <c r="G651" s="227"/>
      <c r="H651" s="227"/>
      <c r="I651" s="227"/>
      <c r="J651" s="227"/>
      <c r="K651" s="227"/>
      <c r="L651" s="227"/>
      <c r="M651" s="227"/>
      <c r="N651" s="227"/>
      <c r="O651" s="227"/>
      <c r="P651" s="227"/>
      <c r="Q651" s="227"/>
      <c r="R651" s="227"/>
      <c r="S651" s="227"/>
      <c r="T651" s="227"/>
      <c r="U651" s="227"/>
      <c r="V651" s="227"/>
      <c r="W651" s="227"/>
      <c r="X651" s="227"/>
      <c r="Y651" s="227"/>
      <c r="Z651" s="227"/>
      <c r="AA651" s="227"/>
      <c r="AB651" s="227"/>
      <c r="AC651" s="227"/>
      <c r="AD651" s="227"/>
      <c r="AE651" s="227"/>
      <c r="AF651" s="227"/>
      <c r="AG651" s="227"/>
      <c r="AH651" s="227"/>
      <c r="AI651" s="227"/>
      <c r="AJ651" s="227"/>
      <c r="AK651" s="227"/>
      <c r="AL651" s="225"/>
      <c r="AM651" s="227"/>
    </row>
    <row r="652" spans="1:39" ht="20.100000000000001" customHeight="1">
      <c r="A652" s="223"/>
      <c r="B652" s="225"/>
      <c r="C652" s="227"/>
      <c r="D652" s="224"/>
      <c r="E652" s="227"/>
      <c r="F652" s="227"/>
      <c r="G652" s="227"/>
      <c r="H652" s="227"/>
      <c r="I652" s="227"/>
      <c r="J652" s="227"/>
      <c r="K652" s="227"/>
      <c r="L652" s="227"/>
      <c r="M652" s="227"/>
      <c r="N652" s="227"/>
      <c r="O652" s="227"/>
      <c r="P652" s="227"/>
      <c r="Q652" s="227"/>
      <c r="R652" s="227"/>
      <c r="S652" s="227"/>
      <c r="T652" s="227"/>
      <c r="U652" s="227"/>
      <c r="V652" s="227"/>
      <c r="W652" s="227"/>
      <c r="X652" s="227"/>
      <c r="Y652" s="227"/>
      <c r="Z652" s="227"/>
      <c r="AA652" s="227"/>
      <c r="AB652" s="227"/>
      <c r="AC652" s="227"/>
      <c r="AD652" s="227"/>
      <c r="AE652" s="227"/>
      <c r="AF652" s="227"/>
      <c r="AG652" s="227"/>
      <c r="AH652" s="227"/>
      <c r="AI652" s="227"/>
      <c r="AJ652" s="227"/>
      <c r="AK652" s="227"/>
      <c r="AL652" s="225"/>
      <c r="AM652" s="227"/>
    </row>
    <row r="653" spans="1:39" ht="20.100000000000001" customHeight="1">
      <c r="A653" s="227">
        <v>323</v>
      </c>
      <c r="B653" s="225"/>
      <c r="C653" s="227"/>
      <c r="D653" s="228">
        <f>(SUMPRODUCT(E653:AL653*$E$6:$AL$6)/100)+(SUMPRODUCT(E653:AL653*$E$6:$AL$6*$E$3:$AL$3)/100)</f>
        <v>0</v>
      </c>
      <c r="E653" s="227"/>
      <c r="F653" s="227"/>
      <c r="G653" s="227"/>
      <c r="H653" s="227"/>
      <c r="I653" s="227"/>
      <c r="J653" s="227"/>
      <c r="K653" s="227"/>
      <c r="L653" s="227"/>
      <c r="M653" s="227"/>
      <c r="N653" s="227"/>
      <c r="O653" s="227"/>
      <c r="P653" s="227"/>
      <c r="Q653" s="227"/>
      <c r="R653" s="227"/>
      <c r="S653" s="227"/>
      <c r="T653" s="227"/>
      <c r="U653" s="227"/>
      <c r="V653" s="227"/>
      <c r="W653" s="227"/>
      <c r="X653" s="227"/>
      <c r="Y653" s="227"/>
      <c r="Z653" s="227"/>
      <c r="AA653" s="227"/>
      <c r="AB653" s="227"/>
      <c r="AC653" s="227"/>
      <c r="AD653" s="227"/>
      <c r="AE653" s="227"/>
      <c r="AF653" s="227"/>
      <c r="AG653" s="227"/>
      <c r="AH653" s="227"/>
      <c r="AI653" s="227"/>
      <c r="AJ653" s="227"/>
      <c r="AK653" s="227"/>
      <c r="AL653" s="225"/>
      <c r="AM653" s="227"/>
    </row>
    <row r="654" spans="1:39" ht="20.100000000000001" customHeight="1">
      <c r="A654" s="227"/>
      <c r="B654" s="225"/>
      <c r="C654" s="227"/>
      <c r="D654" s="224"/>
      <c r="E654" s="227"/>
      <c r="F654" s="227"/>
      <c r="G654" s="227"/>
      <c r="H654" s="227"/>
      <c r="I654" s="227"/>
      <c r="J654" s="227"/>
      <c r="K654" s="227"/>
      <c r="L654" s="227"/>
      <c r="M654" s="227"/>
      <c r="N654" s="227"/>
      <c r="O654" s="227"/>
      <c r="P654" s="227"/>
      <c r="Q654" s="227"/>
      <c r="R654" s="227"/>
      <c r="S654" s="227"/>
      <c r="T654" s="227"/>
      <c r="U654" s="227"/>
      <c r="V654" s="227"/>
      <c r="W654" s="227"/>
      <c r="X654" s="227"/>
      <c r="Y654" s="227"/>
      <c r="Z654" s="227"/>
      <c r="AA654" s="227"/>
      <c r="AB654" s="227"/>
      <c r="AC654" s="227"/>
      <c r="AD654" s="227"/>
      <c r="AE654" s="227"/>
      <c r="AF654" s="227"/>
      <c r="AG654" s="227"/>
      <c r="AH654" s="227"/>
      <c r="AI654" s="227"/>
      <c r="AJ654" s="227"/>
      <c r="AK654" s="227"/>
      <c r="AL654" s="225"/>
      <c r="AM654" s="227"/>
    </row>
    <row r="655" spans="1:39" ht="20.100000000000001" customHeight="1">
      <c r="A655" s="227">
        <v>324</v>
      </c>
      <c r="B655" s="225"/>
      <c r="C655" s="227"/>
      <c r="D655" s="228">
        <f>(SUMPRODUCT(E655:AL655*$E$6:$AL$6)/100)+(SUMPRODUCT(E655:AL655*$E$6:$AL$6*$E$3:$AL$3)/100)</f>
        <v>0</v>
      </c>
      <c r="E655" s="227"/>
      <c r="F655" s="227"/>
      <c r="G655" s="227"/>
      <c r="H655" s="227"/>
      <c r="I655" s="227"/>
      <c r="J655" s="227"/>
      <c r="K655" s="227"/>
      <c r="L655" s="227"/>
      <c r="M655" s="227"/>
      <c r="N655" s="227"/>
      <c r="O655" s="227"/>
      <c r="P655" s="227"/>
      <c r="Q655" s="227"/>
      <c r="R655" s="227"/>
      <c r="S655" s="227"/>
      <c r="T655" s="227"/>
      <c r="U655" s="227"/>
      <c r="V655" s="227"/>
      <c r="W655" s="227"/>
      <c r="X655" s="227"/>
      <c r="Y655" s="227"/>
      <c r="Z655" s="227"/>
      <c r="AA655" s="227"/>
      <c r="AB655" s="227"/>
      <c r="AC655" s="227"/>
      <c r="AD655" s="227"/>
      <c r="AE655" s="227"/>
      <c r="AF655" s="227"/>
      <c r="AG655" s="227"/>
      <c r="AH655" s="227"/>
      <c r="AI655" s="227"/>
      <c r="AJ655" s="227"/>
      <c r="AK655" s="227"/>
      <c r="AL655" s="225"/>
      <c r="AM655" s="227"/>
    </row>
    <row r="656" spans="1:39" ht="20.100000000000001" customHeight="1">
      <c r="A656" s="223"/>
      <c r="B656" s="225"/>
      <c r="C656" s="227"/>
      <c r="D656" s="224"/>
      <c r="E656" s="227"/>
      <c r="F656" s="227"/>
      <c r="G656" s="227"/>
      <c r="H656" s="227"/>
      <c r="I656" s="227"/>
      <c r="J656" s="227"/>
      <c r="K656" s="227"/>
      <c r="L656" s="227"/>
      <c r="M656" s="227"/>
      <c r="N656" s="227"/>
      <c r="O656" s="227"/>
      <c r="P656" s="227"/>
      <c r="Q656" s="227"/>
      <c r="R656" s="227"/>
      <c r="S656" s="227"/>
      <c r="T656" s="227"/>
      <c r="U656" s="227"/>
      <c r="V656" s="227"/>
      <c r="W656" s="227"/>
      <c r="X656" s="227"/>
      <c r="Y656" s="227"/>
      <c r="Z656" s="227"/>
      <c r="AA656" s="227"/>
      <c r="AB656" s="227"/>
      <c r="AC656" s="227"/>
      <c r="AD656" s="227"/>
      <c r="AE656" s="227"/>
      <c r="AF656" s="227"/>
      <c r="AG656" s="227"/>
      <c r="AH656" s="227"/>
      <c r="AI656" s="227"/>
      <c r="AJ656" s="227"/>
      <c r="AK656" s="227"/>
      <c r="AL656" s="225"/>
      <c r="AM656" s="227"/>
    </row>
    <row r="657" spans="1:39" ht="20.100000000000001" customHeight="1">
      <c r="A657" s="227">
        <v>325</v>
      </c>
      <c r="B657" s="225"/>
      <c r="C657" s="227"/>
      <c r="D657" s="228">
        <f>(SUMPRODUCT(E657:AL657*$E$6:$AL$6)/100)+(SUMPRODUCT(E657:AL657*$E$6:$AL$6*$E$3:$AL$3)/100)</f>
        <v>0</v>
      </c>
      <c r="E657" s="227"/>
      <c r="F657" s="227"/>
      <c r="G657" s="227"/>
      <c r="H657" s="227"/>
      <c r="I657" s="227"/>
      <c r="J657" s="227"/>
      <c r="K657" s="227"/>
      <c r="L657" s="227"/>
      <c r="M657" s="227"/>
      <c r="N657" s="227"/>
      <c r="O657" s="227"/>
      <c r="P657" s="227"/>
      <c r="Q657" s="227"/>
      <c r="R657" s="227"/>
      <c r="S657" s="227"/>
      <c r="T657" s="227"/>
      <c r="U657" s="227"/>
      <c r="V657" s="227"/>
      <c r="W657" s="227"/>
      <c r="X657" s="227"/>
      <c r="Y657" s="227"/>
      <c r="Z657" s="227"/>
      <c r="AA657" s="227"/>
      <c r="AB657" s="227"/>
      <c r="AC657" s="227"/>
      <c r="AD657" s="227"/>
      <c r="AE657" s="227"/>
      <c r="AF657" s="227"/>
      <c r="AG657" s="227"/>
      <c r="AH657" s="227"/>
      <c r="AI657" s="227"/>
      <c r="AJ657" s="227"/>
      <c r="AK657" s="227"/>
      <c r="AL657" s="225"/>
      <c r="AM657" s="227"/>
    </row>
    <row r="658" spans="1:39" ht="20.100000000000001" customHeight="1">
      <c r="A658" s="227"/>
      <c r="B658" s="225"/>
      <c r="C658" s="227"/>
      <c r="D658" s="224"/>
      <c r="E658" s="227"/>
      <c r="F658" s="227"/>
      <c r="G658" s="227"/>
      <c r="H658" s="227"/>
      <c r="I658" s="227"/>
      <c r="J658" s="227"/>
      <c r="K658" s="227"/>
      <c r="L658" s="227"/>
      <c r="M658" s="227"/>
      <c r="N658" s="227"/>
      <c r="O658" s="227"/>
      <c r="P658" s="227"/>
      <c r="Q658" s="227"/>
      <c r="R658" s="227"/>
      <c r="S658" s="227"/>
      <c r="T658" s="227"/>
      <c r="U658" s="227"/>
      <c r="V658" s="227"/>
      <c r="W658" s="227"/>
      <c r="X658" s="227"/>
      <c r="Y658" s="227"/>
      <c r="Z658" s="227"/>
      <c r="AA658" s="227"/>
      <c r="AB658" s="227"/>
      <c r="AC658" s="227"/>
      <c r="AD658" s="227"/>
      <c r="AE658" s="227"/>
      <c r="AF658" s="227"/>
      <c r="AG658" s="227"/>
      <c r="AH658" s="227"/>
      <c r="AI658" s="227"/>
      <c r="AJ658" s="227"/>
      <c r="AK658" s="227"/>
      <c r="AL658" s="225"/>
      <c r="AM658" s="227"/>
    </row>
    <row r="659" spans="1:39" ht="20.100000000000001" customHeight="1">
      <c r="A659" s="227">
        <v>326</v>
      </c>
      <c r="B659" s="225"/>
      <c r="C659" s="227"/>
      <c r="D659" s="228">
        <f>(SUMPRODUCT(E659:AL659*$E$6:$AL$6)/100)+(SUMPRODUCT(E659:AL659*$E$6:$AL$6*$E$3:$AL$3)/100)</f>
        <v>0</v>
      </c>
      <c r="E659" s="227"/>
      <c r="F659" s="227"/>
      <c r="G659" s="227"/>
      <c r="H659" s="227"/>
      <c r="I659" s="227"/>
      <c r="J659" s="227"/>
      <c r="K659" s="227"/>
      <c r="L659" s="227"/>
      <c r="M659" s="227"/>
      <c r="N659" s="227"/>
      <c r="O659" s="227"/>
      <c r="P659" s="227"/>
      <c r="Q659" s="227"/>
      <c r="R659" s="227"/>
      <c r="S659" s="227"/>
      <c r="T659" s="227"/>
      <c r="U659" s="227"/>
      <c r="V659" s="227"/>
      <c r="W659" s="227"/>
      <c r="X659" s="227"/>
      <c r="Y659" s="227"/>
      <c r="Z659" s="227"/>
      <c r="AA659" s="227"/>
      <c r="AB659" s="227"/>
      <c r="AC659" s="227"/>
      <c r="AD659" s="227"/>
      <c r="AE659" s="227"/>
      <c r="AF659" s="227"/>
      <c r="AG659" s="227"/>
      <c r="AH659" s="227"/>
      <c r="AI659" s="227"/>
      <c r="AJ659" s="227"/>
      <c r="AK659" s="227"/>
      <c r="AL659" s="225"/>
      <c r="AM659" s="227"/>
    </row>
    <row r="660" spans="1:39" ht="20.100000000000001" customHeight="1">
      <c r="A660" s="223"/>
      <c r="B660" s="225"/>
      <c r="C660" s="227"/>
      <c r="D660" s="224"/>
      <c r="E660" s="227"/>
      <c r="F660" s="227"/>
      <c r="G660" s="227"/>
      <c r="H660" s="227"/>
      <c r="I660" s="227"/>
      <c r="J660" s="227"/>
      <c r="K660" s="227"/>
      <c r="L660" s="227"/>
      <c r="M660" s="227"/>
      <c r="N660" s="227"/>
      <c r="O660" s="227"/>
      <c r="P660" s="227"/>
      <c r="Q660" s="227"/>
      <c r="R660" s="227"/>
      <c r="S660" s="227"/>
      <c r="T660" s="227"/>
      <c r="U660" s="227"/>
      <c r="V660" s="227"/>
      <c r="W660" s="227"/>
      <c r="X660" s="227"/>
      <c r="Y660" s="227"/>
      <c r="Z660" s="227"/>
      <c r="AA660" s="227"/>
      <c r="AB660" s="227"/>
      <c r="AC660" s="227"/>
      <c r="AD660" s="227"/>
      <c r="AE660" s="227"/>
      <c r="AF660" s="227"/>
      <c r="AG660" s="227"/>
      <c r="AH660" s="227"/>
      <c r="AI660" s="227"/>
      <c r="AJ660" s="227"/>
      <c r="AK660" s="227"/>
      <c r="AL660" s="225"/>
      <c r="AM660" s="227"/>
    </row>
    <row r="661" spans="1:39" ht="20.100000000000001" customHeight="1">
      <c r="A661" s="227">
        <v>327</v>
      </c>
      <c r="B661" s="225"/>
      <c r="C661" s="227"/>
      <c r="D661" s="228">
        <f>(SUMPRODUCT(E661:AL661*$E$6:$AL$6)/100)+(SUMPRODUCT(E661:AL661*$E$6:$AL$6*$E$3:$AL$3)/100)</f>
        <v>0</v>
      </c>
      <c r="E661" s="227"/>
      <c r="F661" s="227"/>
      <c r="G661" s="227"/>
      <c r="H661" s="227"/>
      <c r="I661" s="227"/>
      <c r="J661" s="227"/>
      <c r="K661" s="227"/>
      <c r="L661" s="227"/>
      <c r="M661" s="227"/>
      <c r="N661" s="227"/>
      <c r="O661" s="227"/>
      <c r="P661" s="227"/>
      <c r="Q661" s="227"/>
      <c r="R661" s="227"/>
      <c r="S661" s="227"/>
      <c r="T661" s="227"/>
      <c r="U661" s="227"/>
      <c r="V661" s="227"/>
      <c r="W661" s="227"/>
      <c r="X661" s="227"/>
      <c r="Y661" s="227"/>
      <c r="Z661" s="227"/>
      <c r="AA661" s="227"/>
      <c r="AB661" s="227"/>
      <c r="AC661" s="227"/>
      <c r="AD661" s="227"/>
      <c r="AE661" s="227"/>
      <c r="AF661" s="227"/>
      <c r="AG661" s="227"/>
      <c r="AH661" s="227"/>
      <c r="AI661" s="227"/>
      <c r="AJ661" s="227"/>
      <c r="AK661" s="227"/>
      <c r="AL661" s="225"/>
      <c r="AM661" s="227"/>
    </row>
    <row r="662" spans="1:39" ht="20.100000000000001" customHeight="1">
      <c r="A662" s="227"/>
      <c r="B662" s="225"/>
      <c r="C662" s="227"/>
      <c r="D662" s="224"/>
      <c r="E662" s="227"/>
      <c r="F662" s="227"/>
      <c r="G662" s="227"/>
      <c r="H662" s="227"/>
      <c r="I662" s="227"/>
      <c r="J662" s="227"/>
      <c r="K662" s="227"/>
      <c r="L662" s="227"/>
      <c r="M662" s="227"/>
      <c r="N662" s="227"/>
      <c r="O662" s="227"/>
      <c r="P662" s="227"/>
      <c r="Q662" s="227"/>
      <c r="R662" s="227"/>
      <c r="S662" s="227"/>
      <c r="T662" s="227"/>
      <c r="U662" s="227"/>
      <c r="V662" s="227"/>
      <c r="W662" s="227"/>
      <c r="X662" s="227"/>
      <c r="Y662" s="227"/>
      <c r="Z662" s="227"/>
      <c r="AA662" s="227"/>
      <c r="AB662" s="227"/>
      <c r="AC662" s="227"/>
      <c r="AD662" s="227"/>
      <c r="AE662" s="227"/>
      <c r="AF662" s="227"/>
      <c r="AG662" s="227"/>
      <c r="AH662" s="227"/>
      <c r="AI662" s="227"/>
      <c r="AJ662" s="227"/>
      <c r="AK662" s="227"/>
      <c r="AL662" s="225"/>
      <c r="AM662" s="227"/>
    </row>
    <row r="663" spans="1:39" ht="20.100000000000001" customHeight="1">
      <c r="A663" s="227">
        <v>328</v>
      </c>
      <c r="B663" s="225"/>
      <c r="C663" s="227"/>
      <c r="D663" s="228">
        <f>(SUMPRODUCT(E663:AL663*$E$6:$AL$6)/100)+(SUMPRODUCT(E663:AL663*$E$6:$AL$6*$E$3:$AL$3)/100)</f>
        <v>0</v>
      </c>
      <c r="E663" s="227"/>
      <c r="F663" s="227"/>
      <c r="G663" s="227"/>
      <c r="H663" s="227"/>
      <c r="I663" s="227"/>
      <c r="J663" s="227"/>
      <c r="K663" s="227"/>
      <c r="L663" s="227"/>
      <c r="M663" s="227"/>
      <c r="N663" s="227"/>
      <c r="O663" s="227"/>
      <c r="P663" s="227"/>
      <c r="Q663" s="227"/>
      <c r="R663" s="227"/>
      <c r="S663" s="227"/>
      <c r="T663" s="227"/>
      <c r="U663" s="227"/>
      <c r="V663" s="227"/>
      <c r="W663" s="227"/>
      <c r="X663" s="227"/>
      <c r="Y663" s="227"/>
      <c r="Z663" s="227"/>
      <c r="AA663" s="227"/>
      <c r="AB663" s="227"/>
      <c r="AC663" s="227"/>
      <c r="AD663" s="227"/>
      <c r="AE663" s="227"/>
      <c r="AF663" s="227"/>
      <c r="AG663" s="227"/>
      <c r="AH663" s="227"/>
      <c r="AI663" s="227"/>
      <c r="AJ663" s="227"/>
      <c r="AK663" s="227"/>
      <c r="AL663" s="225"/>
      <c r="AM663" s="227"/>
    </row>
    <row r="664" spans="1:39" ht="20.100000000000001" customHeight="1">
      <c r="A664" s="223"/>
      <c r="B664" s="225"/>
      <c r="C664" s="227"/>
      <c r="D664" s="224"/>
      <c r="E664" s="227"/>
      <c r="F664" s="227"/>
      <c r="G664" s="227"/>
      <c r="H664" s="227"/>
      <c r="I664" s="227"/>
      <c r="J664" s="227"/>
      <c r="K664" s="227"/>
      <c r="L664" s="227"/>
      <c r="M664" s="227"/>
      <c r="N664" s="227"/>
      <c r="O664" s="227"/>
      <c r="P664" s="227"/>
      <c r="Q664" s="227"/>
      <c r="R664" s="227"/>
      <c r="S664" s="227"/>
      <c r="T664" s="227"/>
      <c r="U664" s="227"/>
      <c r="V664" s="227"/>
      <c r="W664" s="227"/>
      <c r="X664" s="227"/>
      <c r="Y664" s="227"/>
      <c r="Z664" s="227"/>
      <c r="AA664" s="227"/>
      <c r="AB664" s="227"/>
      <c r="AC664" s="227"/>
      <c r="AD664" s="227"/>
      <c r="AE664" s="227"/>
      <c r="AF664" s="227"/>
      <c r="AG664" s="227"/>
      <c r="AH664" s="227"/>
      <c r="AI664" s="227"/>
      <c r="AJ664" s="227"/>
      <c r="AK664" s="227"/>
      <c r="AL664" s="225"/>
      <c r="AM664" s="227"/>
    </row>
    <row r="665" spans="1:39" ht="20.100000000000001" customHeight="1">
      <c r="A665" s="227">
        <v>329</v>
      </c>
      <c r="B665" s="225"/>
      <c r="C665" s="227"/>
      <c r="D665" s="228">
        <f>(SUMPRODUCT(E665:AL665*$E$6:$AL$6)/100)+(SUMPRODUCT(E665:AL665*$E$6:$AL$6*$E$3:$AL$3)/100)</f>
        <v>0</v>
      </c>
      <c r="E665" s="227"/>
      <c r="F665" s="227"/>
      <c r="G665" s="227"/>
      <c r="H665" s="227"/>
      <c r="I665" s="227"/>
      <c r="J665" s="227"/>
      <c r="K665" s="227"/>
      <c r="L665" s="227"/>
      <c r="M665" s="227"/>
      <c r="N665" s="227"/>
      <c r="O665" s="227"/>
      <c r="P665" s="227"/>
      <c r="Q665" s="227"/>
      <c r="R665" s="227"/>
      <c r="S665" s="227"/>
      <c r="T665" s="227"/>
      <c r="U665" s="227"/>
      <c r="V665" s="227"/>
      <c r="W665" s="227"/>
      <c r="X665" s="227"/>
      <c r="Y665" s="227"/>
      <c r="Z665" s="227"/>
      <c r="AA665" s="227"/>
      <c r="AB665" s="227"/>
      <c r="AC665" s="227"/>
      <c r="AD665" s="227"/>
      <c r="AE665" s="227"/>
      <c r="AF665" s="227"/>
      <c r="AG665" s="227"/>
      <c r="AH665" s="227"/>
      <c r="AI665" s="227"/>
      <c r="AJ665" s="227"/>
      <c r="AK665" s="227"/>
      <c r="AL665" s="225"/>
      <c r="AM665" s="227"/>
    </row>
    <row r="666" spans="1:39" ht="20.100000000000001" customHeight="1">
      <c r="A666" s="227"/>
      <c r="B666" s="225"/>
      <c r="C666" s="227"/>
      <c r="D666" s="224"/>
      <c r="E666" s="227"/>
      <c r="F666" s="227"/>
      <c r="G666" s="227"/>
      <c r="H666" s="227"/>
      <c r="I666" s="227"/>
      <c r="J666" s="227"/>
      <c r="K666" s="227"/>
      <c r="L666" s="227"/>
      <c r="M666" s="227"/>
      <c r="N666" s="227"/>
      <c r="O666" s="227"/>
      <c r="P666" s="227"/>
      <c r="Q666" s="227"/>
      <c r="R666" s="227"/>
      <c r="S666" s="227"/>
      <c r="T666" s="227"/>
      <c r="U666" s="227"/>
      <c r="V666" s="227"/>
      <c r="W666" s="227"/>
      <c r="X666" s="227"/>
      <c r="Y666" s="227"/>
      <c r="Z666" s="227"/>
      <c r="AA666" s="227"/>
      <c r="AB666" s="227"/>
      <c r="AC666" s="227"/>
      <c r="AD666" s="227"/>
      <c r="AE666" s="227"/>
      <c r="AF666" s="227"/>
      <c r="AG666" s="227"/>
      <c r="AH666" s="227"/>
      <c r="AI666" s="227"/>
      <c r="AJ666" s="227"/>
      <c r="AK666" s="227"/>
      <c r="AL666" s="225"/>
      <c r="AM666" s="227"/>
    </row>
    <row r="667" spans="1:39" ht="20.100000000000001" customHeight="1">
      <c r="A667" s="227">
        <v>330</v>
      </c>
      <c r="B667" s="225"/>
      <c r="C667" s="227"/>
      <c r="D667" s="228">
        <f>(SUMPRODUCT(E667:AL667*$E$6:$AL$6)/100)+(SUMPRODUCT(E667:AL667*$E$6:$AL$6*$E$3:$AL$3)/100)</f>
        <v>0</v>
      </c>
      <c r="E667" s="227"/>
      <c r="F667" s="227"/>
      <c r="G667" s="227"/>
      <c r="H667" s="227"/>
      <c r="I667" s="227"/>
      <c r="J667" s="227"/>
      <c r="K667" s="227"/>
      <c r="L667" s="227"/>
      <c r="M667" s="227"/>
      <c r="N667" s="227"/>
      <c r="O667" s="227"/>
      <c r="P667" s="227"/>
      <c r="Q667" s="227"/>
      <c r="R667" s="227"/>
      <c r="S667" s="227"/>
      <c r="T667" s="227"/>
      <c r="U667" s="227"/>
      <c r="V667" s="227"/>
      <c r="W667" s="227"/>
      <c r="X667" s="227"/>
      <c r="Y667" s="227"/>
      <c r="Z667" s="227"/>
      <c r="AA667" s="227"/>
      <c r="AB667" s="227"/>
      <c r="AC667" s="227"/>
      <c r="AD667" s="227"/>
      <c r="AE667" s="227"/>
      <c r="AF667" s="227"/>
      <c r="AG667" s="227"/>
      <c r="AH667" s="227"/>
      <c r="AI667" s="227"/>
      <c r="AJ667" s="227"/>
      <c r="AK667" s="227"/>
      <c r="AL667" s="225"/>
      <c r="AM667" s="227"/>
    </row>
    <row r="668" spans="1:39" ht="20.100000000000001" customHeight="1">
      <c r="A668" s="223"/>
      <c r="B668" s="225"/>
      <c r="C668" s="227"/>
      <c r="D668" s="224"/>
      <c r="E668" s="227"/>
      <c r="F668" s="227"/>
      <c r="G668" s="227"/>
      <c r="H668" s="227"/>
      <c r="I668" s="227"/>
      <c r="J668" s="227"/>
      <c r="K668" s="227"/>
      <c r="L668" s="227"/>
      <c r="M668" s="227"/>
      <c r="N668" s="227"/>
      <c r="O668" s="227"/>
      <c r="P668" s="227"/>
      <c r="Q668" s="227"/>
      <c r="R668" s="227"/>
      <c r="S668" s="227"/>
      <c r="T668" s="227"/>
      <c r="U668" s="227"/>
      <c r="V668" s="227"/>
      <c r="W668" s="227"/>
      <c r="X668" s="227"/>
      <c r="Y668" s="227"/>
      <c r="Z668" s="227"/>
      <c r="AA668" s="227"/>
      <c r="AB668" s="227"/>
      <c r="AC668" s="227"/>
      <c r="AD668" s="227"/>
      <c r="AE668" s="227"/>
      <c r="AF668" s="227"/>
      <c r="AG668" s="227"/>
      <c r="AH668" s="227"/>
      <c r="AI668" s="227"/>
      <c r="AJ668" s="227"/>
      <c r="AK668" s="227"/>
      <c r="AL668" s="225"/>
      <c r="AM668" s="227"/>
    </row>
    <row r="669" spans="1:39" ht="20.100000000000001" customHeight="1">
      <c r="A669" s="227">
        <v>331</v>
      </c>
      <c r="B669" s="225"/>
      <c r="C669" s="227"/>
      <c r="D669" s="228">
        <f>(SUMPRODUCT(E669:AL669*$E$6:$AL$6)/100)+(SUMPRODUCT(E669:AL669*$E$6:$AL$6*$E$3:$AL$3)/100)</f>
        <v>0</v>
      </c>
      <c r="E669" s="227"/>
      <c r="F669" s="227"/>
      <c r="G669" s="227"/>
      <c r="H669" s="227"/>
      <c r="I669" s="227"/>
      <c r="J669" s="227"/>
      <c r="K669" s="227"/>
      <c r="L669" s="227"/>
      <c r="M669" s="227"/>
      <c r="N669" s="227"/>
      <c r="O669" s="227"/>
      <c r="P669" s="227"/>
      <c r="Q669" s="227"/>
      <c r="R669" s="227"/>
      <c r="S669" s="227"/>
      <c r="T669" s="227"/>
      <c r="U669" s="227"/>
      <c r="V669" s="227"/>
      <c r="W669" s="227"/>
      <c r="X669" s="227"/>
      <c r="Y669" s="227"/>
      <c r="Z669" s="227"/>
      <c r="AA669" s="227"/>
      <c r="AB669" s="227"/>
      <c r="AC669" s="227"/>
      <c r="AD669" s="227"/>
      <c r="AE669" s="227"/>
      <c r="AF669" s="227"/>
      <c r="AG669" s="227"/>
      <c r="AH669" s="227"/>
      <c r="AI669" s="227"/>
      <c r="AJ669" s="227"/>
      <c r="AK669" s="227"/>
      <c r="AL669" s="225"/>
      <c r="AM669" s="227"/>
    </row>
    <row r="670" spans="1:39" ht="20.100000000000001" customHeight="1">
      <c r="A670" s="227"/>
      <c r="B670" s="225"/>
      <c r="C670" s="227"/>
      <c r="D670" s="224"/>
      <c r="E670" s="227"/>
      <c r="F670" s="227"/>
      <c r="G670" s="227"/>
      <c r="H670" s="227"/>
      <c r="I670" s="227"/>
      <c r="J670" s="227"/>
      <c r="K670" s="227"/>
      <c r="L670" s="227"/>
      <c r="M670" s="227"/>
      <c r="N670" s="227"/>
      <c r="O670" s="227"/>
      <c r="P670" s="227"/>
      <c r="Q670" s="227"/>
      <c r="R670" s="227"/>
      <c r="S670" s="227"/>
      <c r="T670" s="227"/>
      <c r="U670" s="227"/>
      <c r="V670" s="227"/>
      <c r="W670" s="227"/>
      <c r="X670" s="227"/>
      <c r="Y670" s="227"/>
      <c r="Z670" s="227"/>
      <c r="AA670" s="227"/>
      <c r="AB670" s="227"/>
      <c r="AC670" s="227"/>
      <c r="AD670" s="227"/>
      <c r="AE670" s="227"/>
      <c r="AF670" s="227"/>
      <c r="AG670" s="227"/>
      <c r="AH670" s="227"/>
      <c r="AI670" s="227"/>
      <c r="AJ670" s="227"/>
      <c r="AK670" s="227"/>
      <c r="AL670" s="225"/>
      <c r="AM670" s="227"/>
    </row>
    <row r="671" spans="1:39" ht="20.100000000000001" customHeight="1">
      <c r="A671" s="227">
        <v>332</v>
      </c>
      <c r="B671" s="225"/>
      <c r="C671" s="227"/>
      <c r="D671" s="228">
        <f>(SUMPRODUCT(E671:AL671*$E$6:$AL$6)/100)+(SUMPRODUCT(E671:AL671*$E$6:$AL$6*$E$3:$AL$3)/100)</f>
        <v>0</v>
      </c>
      <c r="E671" s="227"/>
      <c r="F671" s="227"/>
      <c r="G671" s="227"/>
      <c r="H671" s="227"/>
      <c r="I671" s="227"/>
      <c r="J671" s="227"/>
      <c r="K671" s="227"/>
      <c r="L671" s="227"/>
      <c r="M671" s="227"/>
      <c r="N671" s="227"/>
      <c r="O671" s="227"/>
      <c r="P671" s="227"/>
      <c r="Q671" s="227"/>
      <c r="R671" s="227"/>
      <c r="S671" s="227"/>
      <c r="T671" s="227"/>
      <c r="U671" s="227"/>
      <c r="V671" s="227"/>
      <c r="W671" s="227"/>
      <c r="X671" s="227"/>
      <c r="Y671" s="227"/>
      <c r="Z671" s="227"/>
      <c r="AA671" s="227"/>
      <c r="AB671" s="227"/>
      <c r="AC671" s="227"/>
      <c r="AD671" s="227"/>
      <c r="AE671" s="227"/>
      <c r="AF671" s="227"/>
      <c r="AG671" s="227"/>
      <c r="AH671" s="227"/>
      <c r="AI671" s="227"/>
      <c r="AJ671" s="227"/>
      <c r="AK671" s="227"/>
      <c r="AL671" s="225"/>
      <c r="AM671" s="227"/>
    </row>
    <row r="672" spans="1:39" ht="20.100000000000001" customHeight="1">
      <c r="A672" s="223"/>
      <c r="B672" s="225"/>
      <c r="C672" s="227"/>
      <c r="D672" s="224"/>
      <c r="E672" s="227"/>
      <c r="F672" s="227"/>
      <c r="G672" s="227"/>
      <c r="H672" s="227"/>
      <c r="I672" s="227"/>
      <c r="J672" s="227"/>
      <c r="K672" s="227"/>
      <c r="L672" s="227"/>
      <c r="M672" s="227"/>
      <c r="N672" s="227"/>
      <c r="O672" s="227"/>
      <c r="P672" s="227"/>
      <c r="Q672" s="227"/>
      <c r="R672" s="227"/>
      <c r="S672" s="227"/>
      <c r="T672" s="227"/>
      <c r="U672" s="227"/>
      <c r="V672" s="227"/>
      <c r="W672" s="227"/>
      <c r="X672" s="227"/>
      <c r="Y672" s="227"/>
      <c r="Z672" s="227"/>
      <c r="AA672" s="227"/>
      <c r="AB672" s="227"/>
      <c r="AC672" s="227"/>
      <c r="AD672" s="227"/>
      <c r="AE672" s="227"/>
      <c r="AF672" s="227"/>
      <c r="AG672" s="227"/>
      <c r="AH672" s="227"/>
      <c r="AI672" s="227"/>
      <c r="AJ672" s="227"/>
      <c r="AK672" s="227"/>
      <c r="AL672" s="225"/>
      <c r="AM672" s="227"/>
    </row>
    <row r="673" spans="1:39" ht="20.100000000000001" customHeight="1">
      <c r="A673" s="227">
        <v>333</v>
      </c>
      <c r="B673" s="225"/>
      <c r="C673" s="227"/>
      <c r="D673" s="228">
        <f>(SUMPRODUCT(E673:AL673*$E$6:$AL$6)/100)+(SUMPRODUCT(E673:AL673*$E$6:$AL$6*$E$3:$AL$3)/100)</f>
        <v>0</v>
      </c>
      <c r="E673" s="227"/>
      <c r="F673" s="227"/>
      <c r="G673" s="227"/>
      <c r="H673" s="227"/>
      <c r="I673" s="227"/>
      <c r="J673" s="227"/>
      <c r="K673" s="227"/>
      <c r="L673" s="227"/>
      <c r="M673" s="227"/>
      <c r="N673" s="227"/>
      <c r="O673" s="227"/>
      <c r="P673" s="227"/>
      <c r="Q673" s="227"/>
      <c r="R673" s="227"/>
      <c r="S673" s="227"/>
      <c r="T673" s="227"/>
      <c r="U673" s="227"/>
      <c r="V673" s="227"/>
      <c r="W673" s="227"/>
      <c r="X673" s="227"/>
      <c r="Y673" s="227"/>
      <c r="Z673" s="227"/>
      <c r="AA673" s="227"/>
      <c r="AB673" s="227"/>
      <c r="AC673" s="227"/>
      <c r="AD673" s="227"/>
      <c r="AE673" s="227"/>
      <c r="AF673" s="227"/>
      <c r="AG673" s="227"/>
      <c r="AH673" s="227"/>
      <c r="AI673" s="227"/>
      <c r="AJ673" s="227"/>
      <c r="AK673" s="227"/>
      <c r="AL673" s="225"/>
      <c r="AM673" s="227"/>
    </row>
    <row r="674" spans="1:39" ht="20.100000000000001" customHeight="1">
      <c r="A674" s="227"/>
      <c r="B674" s="225"/>
      <c r="C674" s="227"/>
      <c r="D674" s="224"/>
      <c r="E674" s="227"/>
      <c r="F674" s="227"/>
      <c r="G674" s="227"/>
      <c r="H674" s="227"/>
      <c r="I674" s="227"/>
      <c r="J674" s="227"/>
      <c r="K674" s="227"/>
      <c r="L674" s="227"/>
      <c r="M674" s="227"/>
      <c r="N674" s="227"/>
      <c r="O674" s="227"/>
      <c r="P674" s="227"/>
      <c r="Q674" s="227"/>
      <c r="R674" s="227"/>
      <c r="S674" s="227"/>
      <c r="T674" s="227"/>
      <c r="U674" s="227"/>
      <c r="V674" s="227"/>
      <c r="W674" s="227"/>
      <c r="X674" s="227"/>
      <c r="Y674" s="227"/>
      <c r="Z674" s="227"/>
      <c r="AA674" s="227"/>
      <c r="AB674" s="227"/>
      <c r="AC674" s="227"/>
      <c r="AD674" s="227"/>
      <c r="AE674" s="227"/>
      <c r="AF674" s="227"/>
      <c r="AG674" s="227"/>
      <c r="AH674" s="227"/>
      <c r="AI674" s="227"/>
      <c r="AJ674" s="227"/>
      <c r="AK674" s="227"/>
      <c r="AL674" s="225"/>
      <c r="AM674" s="227"/>
    </row>
    <row r="675" spans="1:39" ht="20.100000000000001" customHeight="1">
      <c r="A675" s="227">
        <v>334</v>
      </c>
      <c r="B675" s="225"/>
      <c r="C675" s="227"/>
      <c r="D675" s="228">
        <f>(SUMPRODUCT(E675:AL675*$E$6:$AL$6)/100)+(SUMPRODUCT(E675:AL675*$E$6:$AL$6*$E$3:$AL$3)/100)</f>
        <v>0</v>
      </c>
      <c r="E675" s="227"/>
      <c r="F675" s="227"/>
      <c r="G675" s="227"/>
      <c r="H675" s="227"/>
      <c r="I675" s="227"/>
      <c r="J675" s="227"/>
      <c r="K675" s="227"/>
      <c r="L675" s="227"/>
      <c r="M675" s="227"/>
      <c r="N675" s="227"/>
      <c r="O675" s="227"/>
      <c r="P675" s="227"/>
      <c r="Q675" s="227"/>
      <c r="R675" s="227"/>
      <c r="S675" s="227"/>
      <c r="T675" s="227"/>
      <c r="U675" s="227"/>
      <c r="V675" s="227"/>
      <c r="W675" s="227"/>
      <c r="X675" s="227"/>
      <c r="Y675" s="227"/>
      <c r="Z675" s="227"/>
      <c r="AA675" s="227"/>
      <c r="AB675" s="227"/>
      <c r="AC675" s="227"/>
      <c r="AD675" s="227"/>
      <c r="AE675" s="227"/>
      <c r="AF675" s="227"/>
      <c r="AG675" s="227"/>
      <c r="AH675" s="227"/>
      <c r="AI675" s="227"/>
      <c r="AJ675" s="227"/>
      <c r="AK675" s="227"/>
      <c r="AL675" s="225"/>
      <c r="AM675" s="227"/>
    </row>
    <row r="676" spans="1:39" ht="20.100000000000001" customHeight="1">
      <c r="A676" s="223"/>
      <c r="B676" s="225"/>
      <c r="C676" s="227"/>
      <c r="D676" s="224"/>
      <c r="E676" s="227"/>
      <c r="F676" s="227"/>
      <c r="G676" s="227"/>
      <c r="H676" s="227"/>
      <c r="I676" s="227"/>
      <c r="J676" s="227"/>
      <c r="K676" s="227"/>
      <c r="L676" s="227"/>
      <c r="M676" s="227"/>
      <c r="N676" s="227"/>
      <c r="O676" s="227"/>
      <c r="P676" s="227"/>
      <c r="Q676" s="227"/>
      <c r="R676" s="227"/>
      <c r="S676" s="227"/>
      <c r="T676" s="227"/>
      <c r="U676" s="227"/>
      <c r="V676" s="227"/>
      <c r="W676" s="227"/>
      <c r="X676" s="227"/>
      <c r="Y676" s="227"/>
      <c r="Z676" s="227"/>
      <c r="AA676" s="227"/>
      <c r="AB676" s="227"/>
      <c r="AC676" s="227"/>
      <c r="AD676" s="227"/>
      <c r="AE676" s="227"/>
      <c r="AF676" s="227"/>
      <c r="AG676" s="227"/>
      <c r="AH676" s="227"/>
      <c r="AI676" s="227"/>
      <c r="AJ676" s="227"/>
      <c r="AK676" s="227"/>
      <c r="AL676" s="225"/>
      <c r="AM676" s="227"/>
    </row>
    <row r="677" spans="1:39" ht="20.100000000000001" customHeight="1">
      <c r="A677" s="227">
        <v>335</v>
      </c>
      <c r="B677" s="225"/>
      <c r="C677" s="227"/>
      <c r="D677" s="228">
        <f>(SUMPRODUCT(E677:AL677*$E$6:$AL$6)/100)+(SUMPRODUCT(E677:AL677*$E$6:$AL$6*$E$3:$AL$3)/100)</f>
        <v>0</v>
      </c>
      <c r="E677" s="227"/>
      <c r="F677" s="227"/>
      <c r="G677" s="227"/>
      <c r="H677" s="227"/>
      <c r="I677" s="227"/>
      <c r="J677" s="227"/>
      <c r="K677" s="227"/>
      <c r="L677" s="227"/>
      <c r="M677" s="227"/>
      <c r="N677" s="227"/>
      <c r="O677" s="227"/>
      <c r="P677" s="227"/>
      <c r="Q677" s="227"/>
      <c r="R677" s="227"/>
      <c r="S677" s="227"/>
      <c r="T677" s="227"/>
      <c r="U677" s="227"/>
      <c r="V677" s="227"/>
      <c r="W677" s="227"/>
      <c r="X677" s="227"/>
      <c r="Y677" s="227"/>
      <c r="Z677" s="227"/>
      <c r="AA677" s="227"/>
      <c r="AB677" s="227"/>
      <c r="AC677" s="227"/>
      <c r="AD677" s="227"/>
      <c r="AE677" s="227"/>
      <c r="AF677" s="227"/>
      <c r="AG677" s="227"/>
      <c r="AH677" s="227"/>
      <c r="AI677" s="227"/>
      <c r="AJ677" s="227"/>
      <c r="AK677" s="227"/>
      <c r="AL677" s="225"/>
      <c r="AM677" s="227"/>
    </row>
    <row r="678" spans="1:39" ht="20.100000000000001" customHeight="1">
      <c r="A678" s="227"/>
      <c r="B678" s="225"/>
      <c r="C678" s="227"/>
      <c r="D678" s="224"/>
      <c r="E678" s="227"/>
      <c r="F678" s="227"/>
      <c r="G678" s="227"/>
      <c r="H678" s="227"/>
      <c r="I678" s="227"/>
      <c r="J678" s="227"/>
      <c r="K678" s="227"/>
      <c r="L678" s="227"/>
      <c r="M678" s="227"/>
      <c r="N678" s="227"/>
      <c r="O678" s="227"/>
      <c r="P678" s="227"/>
      <c r="Q678" s="227"/>
      <c r="R678" s="227"/>
      <c r="S678" s="227"/>
      <c r="T678" s="227"/>
      <c r="U678" s="227"/>
      <c r="V678" s="227"/>
      <c r="W678" s="227"/>
      <c r="X678" s="227"/>
      <c r="Y678" s="227"/>
      <c r="Z678" s="227"/>
      <c r="AA678" s="227"/>
      <c r="AB678" s="227"/>
      <c r="AC678" s="227"/>
      <c r="AD678" s="227"/>
      <c r="AE678" s="227"/>
      <c r="AF678" s="227"/>
      <c r="AG678" s="227"/>
      <c r="AH678" s="227"/>
      <c r="AI678" s="227"/>
      <c r="AJ678" s="227"/>
      <c r="AK678" s="227"/>
      <c r="AL678" s="225"/>
      <c r="AM678" s="227"/>
    </row>
    <row r="679" spans="1:39" ht="20.100000000000001" customHeight="1">
      <c r="A679" s="227">
        <v>336</v>
      </c>
      <c r="B679" s="225"/>
      <c r="C679" s="227"/>
      <c r="D679" s="228">
        <f>(SUMPRODUCT(E679:AL679*$E$6:$AL$6)/100)+(SUMPRODUCT(E679:AL679*$E$6:$AL$6*$E$3:$AL$3)/100)</f>
        <v>0</v>
      </c>
      <c r="E679" s="227"/>
      <c r="F679" s="227"/>
      <c r="G679" s="227"/>
      <c r="H679" s="227"/>
      <c r="I679" s="227"/>
      <c r="J679" s="227"/>
      <c r="K679" s="227"/>
      <c r="L679" s="227"/>
      <c r="M679" s="227"/>
      <c r="N679" s="227"/>
      <c r="O679" s="227"/>
      <c r="P679" s="227"/>
      <c r="Q679" s="227"/>
      <c r="R679" s="227"/>
      <c r="S679" s="227"/>
      <c r="T679" s="227"/>
      <c r="U679" s="227"/>
      <c r="V679" s="227"/>
      <c r="W679" s="227"/>
      <c r="X679" s="227"/>
      <c r="Y679" s="227"/>
      <c r="Z679" s="227"/>
      <c r="AA679" s="227"/>
      <c r="AB679" s="227"/>
      <c r="AC679" s="227"/>
      <c r="AD679" s="227"/>
      <c r="AE679" s="227"/>
      <c r="AF679" s="227"/>
      <c r="AG679" s="227"/>
      <c r="AH679" s="227"/>
      <c r="AI679" s="227"/>
      <c r="AJ679" s="227"/>
      <c r="AK679" s="227"/>
      <c r="AL679" s="225"/>
      <c r="AM679" s="227"/>
    </row>
    <row r="680" spans="1:39" ht="20.100000000000001" customHeight="1">
      <c r="A680" s="223"/>
      <c r="B680" s="225"/>
      <c r="C680" s="227"/>
      <c r="D680" s="224"/>
      <c r="E680" s="227"/>
      <c r="F680" s="227"/>
      <c r="G680" s="227"/>
      <c r="H680" s="227"/>
      <c r="I680" s="227"/>
      <c r="J680" s="227"/>
      <c r="K680" s="227"/>
      <c r="L680" s="227"/>
      <c r="M680" s="227"/>
      <c r="N680" s="227"/>
      <c r="O680" s="227"/>
      <c r="P680" s="227"/>
      <c r="Q680" s="227"/>
      <c r="R680" s="227"/>
      <c r="S680" s="227"/>
      <c r="T680" s="227"/>
      <c r="U680" s="227"/>
      <c r="V680" s="227"/>
      <c r="W680" s="227"/>
      <c r="X680" s="227"/>
      <c r="Y680" s="227"/>
      <c r="Z680" s="227"/>
      <c r="AA680" s="227"/>
      <c r="AB680" s="227"/>
      <c r="AC680" s="227"/>
      <c r="AD680" s="227"/>
      <c r="AE680" s="227"/>
      <c r="AF680" s="227"/>
      <c r="AG680" s="227"/>
      <c r="AH680" s="227"/>
      <c r="AI680" s="227"/>
      <c r="AJ680" s="227"/>
      <c r="AK680" s="227"/>
      <c r="AL680" s="225"/>
      <c r="AM680" s="227"/>
    </row>
    <row r="681" spans="1:39" ht="20.100000000000001" customHeight="1">
      <c r="A681" s="227">
        <v>337</v>
      </c>
      <c r="B681" s="225"/>
      <c r="C681" s="227"/>
      <c r="D681" s="228">
        <f>(SUMPRODUCT(E681:AL681*$E$6:$AL$6)/100)+(SUMPRODUCT(E681:AL681*$E$6:$AL$6*$E$3:$AL$3)/100)</f>
        <v>0</v>
      </c>
      <c r="E681" s="227"/>
      <c r="F681" s="227"/>
      <c r="G681" s="227"/>
      <c r="H681" s="227"/>
      <c r="I681" s="227"/>
      <c r="J681" s="227"/>
      <c r="K681" s="227"/>
      <c r="L681" s="227"/>
      <c r="M681" s="227"/>
      <c r="N681" s="227"/>
      <c r="O681" s="227"/>
      <c r="P681" s="227"/>
      <c r="Q681" s="227"/>
      <c r="R681" s="227"/>
      <c r="S681" s="227"/>
      <c r="T681" s="227"/>
      <c r="U681" s="227"/>
      <c r="V681" s="227"/>
      <c r="W681" s="227"/>
      <c r="X681" s="227"/>
      <c r="Y681" s="227"/>
      <c r="Z681" s="227"/>
      <c r="AA681" s="227"/>
      <c r="AB681" s="227"/>
      <c r="AC681" s="227"/>
      <c r="AD681" s="227"/>
      <c r="AE681" s="227"/>
      <c r="AF681" s="227"/>
      <c r="AG681" s="227"/>
      <c r="AH681" s="227"/>
      <c r="AI681" s="227"/>
      <c r="AJ681" s="227"/>
      <c r="AK681" s="227"/>
      <c r="AL681" s="225"/>
      <c r="AM681" s="227"/>
    </row>
    <row r="682" spans="1:39" ht="20.100000000000001" customHeight="1">
      <c r="A682" s="227"/>
      <c r="B682" s="225"/>
      <c r="C682" s="227"/>
      <c r="D682" s="224"/>
      <c r="E682" s="227"/>
      <c r="F682" s="227"/>
      <c r="G682" s="227"/>
      <c r="H682" s="227"/>
      <c r="I682" s="227"/>
      <c r="J682" s="227"/>
      <c r="K682" s="227"/>
      <c r="L682" s="227"/>
      <c r="M682" s="227"/>
      <c r="N682" s="227"/>
      <c r="O682" s="227"/>
      <c r="P682" s="227"/>
      <c r="Q682" s="227"/>
      <c r="R682" s="227"/>
      <c r="S682" s="227"/>
      <c r="T682" s="227"/>
      <c r="U682" s="227"/>
      <c r="V682" s="227"/>
      <c r="W682" s="227"/>
      <c r="X682" s="227"/>
      <c r="Y682" s="227"/>
      <c r="Z682" s="227"/>
      <c r="AA682" s="227"/>
      <c r="AB682" s="227"/>
      <c r="AC682" s="227"/>
      <c r="AD682" s="227"/>
      <c r="AE682" s="227"/>
      <c r="AF682" s="227"/>
      <c r="AG682" s="227"/>
      <c r="AH682" s="227"/>
      <c r="AI682" s="227"/>
      <c r="AJ682" s="227"/>
      <c r="AK682" s="227"/>
      <c r="AL682" s="225"/>
      <c r="AM682" s="227"/>
    </row>
    <row r="683" spans="1:39" ht="20.100000000000001" customHeight="1">
      <c r="A683" s="227">
        <v>338</v>
      </c>
      <c r="B683" s="225"/>
      <c r="C683" s="227"/>
      <c r="D683" s="228">
        <f>(SUMPRODUCT(E683:AL683*$E$6:$AL$6)/100)+(SUMPRODUCT(E683:AL683*$E$6:$AL$6*$E$3:$AL$3)/100)</f>
        <v>0</v>
      </c>
      <c r="E683" s="227"/>
      <c r="F683" s="227"/>
      <c r="G683" s="227"/>
      <c r="H683" s="227"/>
      <c r="I683" s="227"/>
      <c r="J683" s="227"/>
      <c r="K683" s="227"/>
      <c r="L683" s="227"/>
      <c r="M683" s="227"/>
      <c r="N683" s="227"/>
      <c r="O683" s="227"/>
      <c r="P683" s="227"/>
      <c r="Q683" s="227"/>
      <c r="R683" s="227"/>
      <c r="S683" s="227"/>
      <c r="T683" s="227"/>
      <c r="U683" s="227"/>
      <c r="V683" s="227"/>
      <c r="W683" s="227"/>
      <c r="X683" s="227"/>
      <c r="Y683" s="227"/>
      <c r="Z683" s="227"/>
      <c r="AA683" s="227"/>
      <c r="AB683" s="227"/>
      <c r="AC683" s="227"/>
      <c r="AD683" s="227"/>
      <c r="AE683" s="227"/>
      <c r="AF683" s="227"/>
      <c r="AG683" s="227"/>
      <c r="AH683" s="227"/>
      <c r="AI683" s="227"/>
      <c r="AJ683" s="227"/>
      <c r="AK683" s="227"/>
      <c r="AL683" s="225"/>
      <c r="AM683" s="227"/>
    </row>
    <row r="684" spans="1:39" ht="20.100000000000001" customHeight="1">
      <c r="A684" s="223"/>
      <c r="B684" s="225"/>
      <c r="C684" s="227"/>
      <c r="D684" s="224"/>
      <c r="E684" s="227"/>
      <c r="F684" s="227"/>
      <c r="G684" s="227"/>
      <c r="H684" s="227"/>
      <c r="I684" s="227"/>
      <c r="J684" s="227"/>
      <c r="K684" s="227"/>
      <c r="L684" s="227"/>
      <c r="M684" s="227"/>
      <c r="N684" s="227"/>
      <c r="O684" s="227"/>
      <c r="P684" s="227"/>
      <c r="Q684" s="227"/>
      <c r="R684" s="227"/>
      <c r="S684" s="227"/>
      <c r="T684" s="227"/>
      <c r="U684" s="227"/>
      <c r="V684" s="227"/>
      <c r="W684" s="227"/>
      <c r="X684" s="227"/>
      <c r="Y684" s="227"/>
      <c r="Z684" s="227"/>
      <c r="AA684" s="227"/>
      <c r="AB684" s="227"/>
      <c r="AC684" s="227"/>
      <c r="AD684" s="227"/>
      <c r="AE684" s="227"/>
      <c r="AF684" s="227"/>
      <c r="AG684" s="227"/>
      <c r="AH684" s="227"/>
      <c r="AI684" s="227"/>
      <c r="AJ684" s="227"/>
      <c r="AK684" s="227"/>
      <c r="AL684" s="225"/>
      <c r="AM684" s="227"/>
    </row>
    <row r="685" spans="1:39" ht="20.100000000000001" customHeight="1">
      <c r="A685" s="227">
        <v>339</v>
      </c>
      <c r="B685" s="225"/>
      <c r="C685" s="227"/>
      <c r="D685" s="228">
        <f>(SUMPRODUCT(E685:AL685*$E$6:$AL$6)/100)+(SUMPRODUCT(E685:AL685*$E$6:$AL$6*$E$3:$AL$3)/100)</f>
        <v>0</v>
      </c>
      <c r="E685" s="227"/>
      <c r="F685" s="227"/>
      <c r="G685" s="227"/>
      <c r="H685" s="227"/>
      <c r="I685" s="227"/>
      <c r="J685" s="227"/>
      <c r="K685" s="227"/>
      <c r="L685" s="227"/>
      <c r="M685" s="227"/>
      <c r="N685" s="227"/>
      <c r="O685" s="227"/>
      <c r="P685" s="227"/>
      <c r="Q685" s="227"/>
      <c r="R685" s="227"/>
      <c r="S685" s="227"/>
      <c r="T685" s="227"/>
      <c r="U685" s="227"/>
      <c r="V685" s="227"/>
      <c r="W685" s="227"/>
      <c r="X685" s="227"/>
      <c r="Y685" s="227"/>
      <c r="Z685" s="227"/>
      <c r="AA685" s="227"/>
      <c r="AB685" s="227"/>
      <c r="AC685" s="227"/>
      <c r="AD685" s="227"/>
      <c r="AE685" s="227"/>
      <c r="AF685" s="227"/>
      <c r="AG685" s="227"/>
      <c r="AH685" s="227"/>
      <c r="AI685" s="227"/>
      <c r="AJ685" s="227"/>
      <c r="AK685" s="227"/>
      <c r="AL685" s="225"/>
      <c r="AM685" s="227"/>
    </row>
    <row r="686" spans="1:39" ht="20.100000000000001" customHeight="1">
      <c r="A686" s="227"/>
      <c r="B686" s="225"/>
      <c r="C686" s="227"/>
      <c r="D686" s="224"/>
      <c r="E686" s="227"/>
      <c r="F686" s="227"/>
      <c r="G686" s="227"/>
      <c r="H686" s="227"/>
      <c r="I686" s="227"/>
      <c r="J686" s="227"/>
      <c r="K686" s="227"/>
      <c r="L686" s="227"/>
      <c r="M686" s="227"/>
      <c r="N686" s="227"/>
      <c r="O686" s="227"/>
      <c r="P686" s="227"/>
      <c r="Q686" s="227"/>
      <c r="R686" s="227"/>
      <c r="S686" s="227"/>
      <c r="T686" s="227"/>
      <c r="U686" s="227"/>
      <c r="V686" s="227"/>
      <c r="W686" s="227"/>
      <c r="X686" s="227"/>
      <c r="Y686" s="227"/>
      <c r="Z686" s="227"/>
      <c r="AA686" s="227"/>
      <c r="AB686" s="227"/>
      <c r="AC686" s="227"/>
      <c r="AD686" s="227"/>
      <c r="AE686" s="227"/>
      <c r="AF686" s="227"/>
      <c r="AG686" s="227"/>
      <c r="AH686" s="227"/>
      <c r="AI686" s="227"/>
      <c r="AJ686" s="227"/>
      <c r="AK686" s="227"/>
      <c r="AL686" s="225"/>
      <c r="AM686" s="227"/>
    </row>
    <row r="687" spans="1:39" ht="20.100000000000001" customHeight="1">
      <c r="A687" s="227">
        <v>340</v>
      </c>
      <c r="B687" s="225"/>
      <c r="C687" s="227"/>
      <c r="D687" s="228">
        <f>(SUMPRODUCT(E687:AL687*$E$6:$AL$6)/100)+(SUMPRODUCT(E687:AL687*$E$6:$AL$6*$E$3:$AL$3)/100)</f>
        <v>0</v>
      </c>
      <c r="E687" s="227"/>
      <c r="F687" s="227"/>
      <c r="G687" s="227"/>
      <c r="H687" s="227"/>
      <c r="I687" s="227"/>
      <c r="J687" s="227"/>
      <c r="K687" s="227"/>
      <c r="L687" s="227"/>
      <c r="M687" s="227"/>
      <c r="N687" s="227"/>
      <c r="O687" s="227"/>
      <c r="P687" s="227"/>
      <c r="Q687" s="227"/>
      <c r="R687" s="227"/>
      <c r="S687" s="227"/>
      <c r="T687" s="227"/>
      <c r="U687" s="227"/>
      <c r="V687" s="227"/>
      <c r="W687" s="227"/>
      <c r="X687" s="227"/>
      <c r="Y687" s="227"/>
      <c r="Z687" s="227"/>
      <c r="AA687" s="227"/>
      <c r="AB687" s="227"/>
      <c r="AC687" s="227"/>
      <c r="AD687" s="227"/>
      <c r="AE687" s="227"/>
      <c r="AF687" s="227"/>
      <c r="AG687" s="227"/>
      <c r="AH687" s="227"/>
      <c r="AI687" s="227"/>
      <c r="AJ687" s="227"/>
      <c r="AK687" s="227"/>
      <c r="AL687" s="225"/>
      <c r="AM687" s="227"/>
    </row>
    <row r="688" spans="1:39" ht="20.100000000000001" customHeight="1">
      <c r="A688" s="223"/>
      <c r="B688" s="225"/>
      <c r="C688" s="227"/>
      <c r="D688" s="224"/>
      <c r="E688" s="227"/>
      <c r="F688" s="227"/>
      <c r="G688" s="227"/>
      <c r="H688" s="227"/>
      <c r="I688" s="227"/>
      <c r="J688" s="227"/>
      <c r="K688" s="227"/>
      <c r="L688" s="227"/>
      <c r="M688" s="227"/>
      <c r="N688" s="227"/>
      <c r="O688" s="227"/>
      <c r="P688" s="227"/>
      <c r="Q688" s="227"/>
      <c r="R688" s="227"/>
      <c r="S688" s="227"/>
      <c r="T688" s="227"/>
      <c r="U688" s="227"/>
      <c r="V688" s="227"/>
      <c r="W688" s="227"/>
      <c r="X688" s="227"/>
      <c r="Y688" s="227"/>
      <c r="Z688" s="227"/>
      <c r="AA688" s="227"/>
      <c r="AB688" s="227"/>
      <c r="AC688" s="227"/>
      <c r="AD688" s="227"/>
      <c r="AE688" s="227"/>
      <c r="AF688" s="227"/>
      <c r="AG688" s="227"/>
      <c r="AH688" s="227"/>
      <c r="AI688" s="227"/>
      <c r="AJ688" s="227"/>
      <c r="AK688" s="227"/>
      <c r="AL688" s="225"/>
      <c r="AM688" s="227"/>
    </row>
    <row r="689" spans="1:39" ht="20.100000000000001" customHeight="1">
      <c r="A689" s="227">
        <v>341</v>
      </c>
      <c r="B689" s="225"/>
      <c r="C689" s="227"/>
      <c r="D689" s="228">
        <f>(SUMPRODUCT(E689:AL689*$E$6:$AL$6)/100)+(SUMPRODUCT(E689:AL689*$E$6:$AL$6*$E$3:$AL$3)/100)</f>
        <v>0</v>
      </c>
      <c r="E689" s="227"/>
      <c r="F689" s="227"/>
      <c r="G689" s="227"/>
      <c r="H689" s="227"/>
      <c r="I689" s="227"/>
      <c r="J689" s="227"/>
      <c r="K689" s="227"/>
      <c r="L689" s="227"/>
      <c r="M689" s="227"/>
      <c r="N689" s="227"/>
      <c r="O689" s="227"/>
      <c r="P689" s="227"/>
      <c r="Q689" s="227"/>
      <c r="R689" s="227"/>
      <c r="S689" s="227"/>
      <c r="T689" s="227"/>
      <c r="U689" s="227"/>
      <c r="V689" s="227"/>
      <c r="W689" s="227"/>
      <c r="X689" s="227"/>
      <c r="Y689" s="227"/>
      <c r="Z689" s="227"/>
      <c r="AA689" s="227"/>
      <c r="AB689" s="227"/>
      <c r="AC689" s="227"/>
      <c r="AD689" s="227"/>
      <c r="AE689" s="227"/>
      <c r="AF689" s="227"/>
      <c r="AG689" s="227"/>
      <c r="AH689" s="227"/>
      <c r="AI689" s="227"/>
      <c r="AJ689" s="227"/>
      <c r="AK689" s="227"/>
      <c r="AL689" s="225"/>
      <c r="AM689" s="227"/>
    </row>
    <row r="690" spans="1:39" ht="20.100000000000001" customHeight="1">
      <c r="A690" s="227"/>
      <c r="B690" s="225"/>
      <c r="C690" s="227"/>
      <c r="D690" s="224"/>
      <c r="E690" s="227"/>
      <c r="F690" s="227"/>
      <c r="G690" s="227"/>
      <c r="H690" s="227"/>
      <c r="I690" s="227"/>
      <c r="J690" s="227"/>
      <c r="K690" s="227"/>
      <c r="L690" s="227"/>
      <c r="M690" s="227"/>
      <c r="N690" s="227"/>
      <c r="O690" s="227"/>
      <c r="P690" s="227"/>
      <c r="Q690" s="227"/>
      <c r="R690" s="227"/>
      <c r="S690" s="227"/>
      <c r="T690" s="227"/>
      <c r="U690" s="227"/>
      <c r="V690" s="227"/>
      <c r="W690" s="227"/>
      <c r="X690" s="227"/>
      <c r="Y690" s="227"/>
      <c r="Z690" s="227"/>
      <c r="AA690" s="227"/>
      <c r="AB690" s="227"/>
      <c r="AC690" s="227"/>
      <c r="AD690" s="227"/>
      <c r="AE690" s="227"/>
      <c r="AF690" s="227"/>
      <c r="AG690" s="227"/>
      <c r="AH690" s="227"/>
      <c r="AI690" s="227"/>
      <c r="AJ690" s="227"/>
      <c r="AK690" s="227"/>
      <c r="AL690" s="225"/>
      <c r="AM690" s="227"/>
    </row>
    <row r="691" spans="1:39" ht="20.100000000000001" customHeight="1">
      <c r="A691" s="227">
        <v>342</v>
      </c>
      <c r="B691" s="225"/>
      <c r="C691" s="227"/>
      <c r="D691" s="228">
        <f>(SUMPRODUCT(E691:AL691*$E$6:$AL$6)/100)+(SUMPRODUCT(E691:AL691*$E$6:$AL$6*$E$3:$AL$3)/100)</f>
        <v>0</v>
      </c>
      <c r="E691" s="227"/>
      <c r="F691" s="227"/>
      <c r="G691" s="227"/>
      <c r="H691" s="227"/>
      <c r="I691" s="227"/>
      <c r="J691" s="227"/>
      <c r="K691" s="227"/>
      <c r="L691" s="227"/>
      <c r="M691" s="227"/>
      <c r="N691" s="227"/>
      <c r="O691" s="227"/>
      <c r="P691" s="227"/>
      <c r="Q691" s="227"/>
      <c r="R691" s="227"/>
      <c r="S691" s="227"/>
      <c r="T691" s="227"/>
      <c r="U691" s="227"/>
      <c r="V691" s="227"/>
      <c r="W691" s="227"/>
      <c r="X691" s="227"/>
      <c r="Y691" s="227"/>
      <c r="Z691" s="227"/>
      <c r="AA691" s="227"/>
      <c r="AB691" s="227"/>
      <c r="AC691" s="227"/>
      <c r="AD691" s="227"/>
      <c r="AE691" s="227"/>
      <c r="AF691" s="227"/>
      <c r="AG691" s="227"/>
      <c r="AH691" s="227"/>
      <c r="AI691" s="227"/>
      <c r="AJ691" s="227"/>
      <c r="AK691" s="227"/>
      <c r="AL691" s="225"/>
      <c r="AM691" s="227"/>
    </row>
    <row r="692" spans="1:39" ht="20.100000000000001" customHeight="1">
      <c r="A692" s="223"/>
      <c r="B692" s="225"/>
      <c r="C692" s="227"/>
      <c r="D692" s="224"/>
      <c r="E692" s="227"/>
      <c r="F692" s="227"/>
      <c r="G692" s="227"/>
      <c r="H692" s="227"/>
      <c r="I692" s="227"/>
      <c r="J692" s="227"/>
      <c r="K692" s="227"/>
      <c r="L692" s="227"/>
      <c r="M692" s="227"/>
      <c r="N692" s="227"/>
      <c r="O692" s="227"/>
      <c r="P692" s="227"/>
      <c r="Q692" s="227"/>
      <c r="R692" s="227"/>
      <c r="S692" s="227"/>
      <c r="T692" s="227"/>
      <c r="U692" s="227"/>
      <c r="V692" s="227"/>
      <c r="W692" s="227"/>
      <c r="X692" s="227"/>
      <c r="Y692" s="227"/>
      <c r="Z692" s="227"/>
      <c r="AA692" s="227"/>
      <c r="AB692" s="227"/>
      <c r="AC692" s="227"/>
      <c r="AD692" s="227"/>
      <c r="AE692" s="227"/>
      <c r="AF692" s="227"/>
      <c r="AG692" s="227"/>
      <c r="AH692" s="227"/>
      <c r="AI692" s="227"/>
      <c r="AJ692" s="227"/>
      <c r="AK692" s="227"/>
      <c r="AL692" s="225"/>
      <c r="AM692" s="227"/>
    </row>
    <row r="693" spans="1:39" ht="20.100000000000001" customHeight="1">
      <c r="A693" s="227">
        <v>343</v>
      </c>
      <c r="B693" s="225"/>
      <c r="C693" s="227"/>
      <c r="D693" s="228">
        <f>(SUMPRODUCT(E693:AL693*$E$6:$AL$6)/100)+(SUMPRODUCT(E693:AL693*$E$6:$AL$6*$E$3:$AL$3)/100)</f>
        <v>0</v>
      </c>
      <c r="E693" s="227"/>
      <c r="F693" s="227"/>
      <c r="G693" s="227"/>
      <c r="H693" s="227"/>
      <c r="I693" s="227"/>
      <c r="J693" s="227"/>
      <c r="K693" s="227"/>
      <c r="L693" s="227"/>
      <c r="M693" s="227"/>
      <c r="N693" s="227"/>
      <c r="O693" s="227"/>
      <c r="P693" s="227"/>
      <c r="Q693" s="227"/>
      <c r="R693" s="227"/>
      <c r="S693" s="227"/>
      <c r="T693" s="227"/>
      <c r="U693" s="227"/>
      <c r="V693" s="227"/>
      <c r="W693" s="227"/>
      <c r="X693" s="227"/>
      <c r="Y693" s="227"/>
      <c r="Z693" s="227"/>
      <c r="AA693" s="227"/>
      <c r="AB693" s="227"/>
      <c r="AC693" s="227"/>
      <c r="AD693" s="227"/>
      <c r="AE693" s="227"/>
      <c r="AF693" s="227"/>
      <c r="AG693" s="227"/>
      <c r="AH693" s="227"/>
      <c r="AI693" s="227"/>
      <c r="AJ693" s="227"/>
      <c r="AK693" s="227"/>
      <c r="AL693" s="225"/>
      <c r="AM693" s="227"/>
    </row>
    <row r="694" spans="1:39" ht="20.100000000000001" customHeight="1">
      <c r="A694" s="227"/>
      <c r="B694" s="225"/>
      <c r="C694" s="227"/>
      <c r="D694" s="224"/>
      <c r="E694" s="227"/>
      <c r="F694" s="227"/>
      <c r="G694" s="227"/>
      <c r="H694" s="227"/>
      <c r="I694" s="227"/>
      <c r="J694" s="227"/>
      <c r="K694" s="227"/>
      <c r="L694" s="227"/>
      <c r="M694" s="227"/>
      <c r="N694" s="227"/>
      <c r="O694" s="227"/>
      <c r="P694" s="227"/>
      <c r="Q694" s="227"/>
      <c r="R694" s="227"/>
      <c r="S694" s="227"/>
      <c r="T694" s="227"/>
      <c r="U694" s="227"/>
      <c r="V694" s="227"/>
      <c r="W694" s="227"/>
      <c r="X694" s="227"/>
      <c r="Y694" s="227"/>
      <c r="Z694" s="227"/>
      <c r="AA694" s="227"/>
      <c r="AB694" s="227"/>
      <c r="AC694" s="227"/>
      <c r="AD694" s="227"/>
      <c r="AE694" s="227"/>
      <c r="AF694" s="227"/>
      <c r="AG694" s="227"/>
      <c r="AH694" s="227"/>
      <c r="AI694" s="227"/>
      <c r="AJ694" s="227"/>
      <c r="AK694" s="227"/>
      <c r="AL694" s="225"/>
      <c r="AM694" s="227"/>
    </row>
    <row r="695" spans="1:39" ht="20.100000000000001" customHeight="1">
      <c r="A695" s="227">
        <v>344</v>
      </c>
      <c r="B695" s="225"/>
      <c r="C695" s="227"/>
      <c r="D695" s="228">
        <f>(SUMPRODUCT(E695:AL695*$E$6:$AL$6)/100)+(SUMPRODUCT(E695:AL695*$E$6:$AL$6*$E$3:$AL$3)/100)</f>
        <v>0</v>
      </c>
      <c r="E695" s="227"/>
      <c r="F695" s="227"/>
      <c r="G695" s="227"/>
      <c r="H695" s="227"/>
      <c r="I695" s="227"/>
      <c r="J695" s="227"/>
      <c r="K695" s="227"/>
      <c r="L695" s="227"/>
      <c r="M695" s="227"/>
      <c r="N695" s="227"/>
      <c r="O695" s="227"/>
      <c r="P695" s="227"/>
      <c r="Q695" s="227"/>
      <c r="R695" s="227"/>
      <c r="S695" s="227"/>
      <c r="T695" s="227"/>
      <c r="U695" s="227"/>
      <c r="V695" s="227"/>
      <c r="W695" s="227"/>
      <c r="X695" s="227"/>
      <c r="Y695" s="227"/>
      <c r="Z695" s="227"/>
      <c r="AA695" s="227"/>
      <c r="AB695" s="227"/>
      <c r="AC695" s="227"/>
      <c r="AD695" s="227"/>
      <c r="AE695" s="227"/>
      <c r="AF695" s="227"/>
      <c r="AG695" s="227"/>
      <c r="AH695" s="227"/>
      <c r="AI695" s="227"/>
      <c r="AJ695" s="227"/>
      <c r="AK695" s="227"/>
      <c r="AL695" s="225"/>
      <c r="AM695" s="227"/>
    </row>
    <row r="696" spans="1:39" ht="20.100000000000001" customHeight="1">
      <c r="A696" s="223"/>
      <c r="B696" s="225"/>
      <c r="C696" s="227"/>
      <c r="D696" s="224"/>
      <c r="E696" s="227"/>
      <c r="F696" s="227"/>
      <c r="G696" s="227"/>
      <c r="H696" s="227"/>
      <c r="I696" s="227"/>
      <c r="J696" s="227"/>
      <c r="K696" s="227"/>
      <c r="L696" s="227"/>
      <c r="M696" s="227"/>
      <c r="N696" s="227"/>
      <c r="O696" s="227"/>
      <c r="P696" s="227"/>
      <c r="Q696" s="227"/>
      <c r="R696" s="227"/>
      <c r="S696" s="227"/>
      <c r="T696" s="227"/>
      <c r="U696" s="227"/>
      <c r="V696" s="227"/>
      <c r="W696" s="227"/>
      <c r="X696" s="227"/>
      <c r="Y696" s="227"/>
      <c r="Z696" s="227"/>
      <c r="AA696" s="227"/>
      <c r="AB696" s="227"/>
      <c r="AC696" s="227"/>
      <c r="AD696" s="227"/>
      <c r="AE696" s="227"/>
      <c r="AF696" s="227"/>
      <c r="AG696" s="227"/>
      <c r="AH696" s="227"/>
      <c r="AI696" s="227"/>
      <c r="AJ696" s="227"/>
      <c r="AK696" s="227"/>
      <c r="AL696" s="225"/>
      <c r="AM696" s="227"/>
    </row>
    <row r="697" spans="1:39" ht="20.100000000000001" customHeight="1">
      <c r="A697" s="227">
        <v>345</v>
      </c>
      <c r="B697" s="225"/>
      <c r="C697" s="227"/>
      <c r="D697" s="228">
        <f>(SUMPRODUCT(E697:AL697*$E$6:$AL$6)/100)+(SUMPRODUCT(E697:AL697*$E$6:$AL$6*$E$3:$AL$3)/100)</f>
        <v>0</v>
      </c>
      <c r="E697" s="227"/>
      <c r="F697" s="227"/>
      <c r="G697" s="227"/>
      <c r="H697" s="227"/>
      <c r="I697" s="227"/>
      <c r="J697" s="227"/>
      <c r="K697" s="227"/>
      <c r="L697" s="227"/>
      <c r="M697" s="227"/>
      <c r="N697" s="227"/>
      <c r="O697" s="227"/>
      <c r="P697" s="227"/>
      <c r="Q697" s="227"/>
      <c r="R697" s="227"/>
      <c r="S697" s="227"/>
      <c r="T697" s="227"/>
      <c r="U697" s="227"/>
      <c r="V697" s="227"/>
      <c r="W697" s="227"/>
      <c r="X697" s="227"/>
      <c r="Y697" s="227"/>
      <c r="Z697" s="227"/>
      <c r="AA697" s="227"/>
      <c r="AB697" s="227"/>
      <c r="AC697" s="227"/>
      <c r="AD697" s="227"/>
      <c r="AE697" s="227"/>
      <c r="AF697" s="227"/>
      <c r="AG697" s="227"/>
      <c r="AH697" s="227"/>
      <c r="AI697" s="227"/>
      <c r="AJ697" s="227"/>
      <c r="AK697" s="227"/>
      <c r="AL697" s="225"/>
      <c r="AM697" s="227"/>
    </row>
    <row r="698" spans="1:39" ht="20.100000000000001" customHeight="1">
      <c r="A698" s="227"/>
      <c r="B698" s="225"/>
      <c r="C698" s="227"/>
      <c r="D698" s="224"/>
      <c r="E698" s="227"/>
      <c r="F698" s="227"/>
      <c r="G698" s="227"/>
      <c r="H698" s="227"/>
      <c r="I698" s="227"/>
      <c r="J698" s="227"/>
      <c r="K698" s="227"/>
      <c r="L698" s="227"/>
      <c r="M698" s="227"/>
      <c r="N698" s="227"/>
      <c r="O698" s="227"/>
      <c r="P698" s="227"/>
      <c r="Q698" s="227"/>
      <c r="R698" s="227"/>
      <c r="S698" s="227"/>
      <c r="T698" s="227"/>
      <c r="U698" s="227"/>
      <c r="V698" s="227"/>
      <c r="W698" s="227"/>
      <c r="X698" s="227"/>
      <c r="Y698" s="227"/>
      <c r="Z698" s="227"/>
      <c r="AA698" s="227"/>
      <c r="AB698" s="227"/>
      <c r="AC698" s="227"/>
      <c r="AD698" s="227"/>
      <c r="AE698" s="227"/>
      <c r="AF698" s="227"/>
      <c r="AG698" s="227"/>
      <c r="AH698" s="227"/>
      <c r="AI698" s="227"/>
      <c r="AJ698" s="227"/>
      <c r="AK698" s="227"/>
      <c r="AL698" s="225"/>
      <c r="AM698" s="227"/>
    </row>
    <row r="699" spans="1:39" ht="20.100000000000001" customHeight="1">
      <c r="A699" s="227">
        <v>346</v>
      </c>
      <c r="B699" s="225"/>
      <c r="C699" s="227"/>
      <c r="D699" s="228">
        <f>(SUMPRODUCT(E699:AL699*$E$6:$AL$6)/100)+(SUMPRODUCT(E699:AL699*$E$6:$AL$6*$E$3:$AL$3)/100)</f>
        <v>0</v>
      </c>
      <c r="E699" s="227"/>
      <c r="F699" s="227"/>
      <c r="G699" s="227"/>
      <c r="H699" s="227"/>
      <c r="I699" s="227"/>
      <c r="J699" s="227"/>
      <c r="K699" s="227"/>
      <c r="L699" s="227"/>
      <c r="M699" s="227"/>
      <c r="N699" s="227"/>
      <c r="O699" s="227"/>
      <c r="P699" s="227"/>
      <c r="Q699" s="227"/>
      <c r="R699" s="227"/>
      <c r="S699" s="227"/>
      <c r="T699" s="227"/>
      <c r="U699" s="227"/>
      <c r="V699" s="227"/>
      <c r="W699" s="227"/>
      <c r="X699" s="227"/>
      <c r="Y699" s="227"/>
      <c r="Z699" s="227"/>
      <c r="AA699" s="227"/>
      <c r="AB699" s="227"/>
      <c r="AC699" s="227"/>
      <c r="AD699" s="227"/>
      <c r="AE699" s="227"/>
      <c r="AF699" s="227"/>
      <c r="AG699" s="227"/>
      <c r="AH699" s="227"/>
      <c r="AI699" s="227"/>
      <c r="AJ699" s="227"/>
      <c r="AK699" s="227"/>
      <c r="AL699" s="225"/>
      <c r="AM699" s="227"/>
    </row>
    <row r="700" spans="1:39" ht="20.100000000000001" customHeight="1">
      <c r="A700" s="223"/>
      <c r="B700" s="225"/>
      <c r="C700" s="227"/>
      <c r="D700" s="224"/>
      <c r="E700" s="227"/>
      <c r="F700" s="227"/>
      <c r="G700" s="227"/>
      <c r="H700" s="227"/>
      <c r="I700" s="227"/>
      <c r="J700" s="227"/>
      <c r="K700" s="227"/>
      <c r="L700" s="227"/>
      <c r="M700" s="227"/>
      <c r="N700" s="227"/>
      <c r="O700" s="227"/>
      <c r="P700" s="227"/>
      <c r="Q700" s="227"/>
      <c r="R700" s="227"/>
      <c r="S700" s="227"/>
      <c r="T700" s="227"/>
      <c r="U700" s="227"/>
      <c r="V700" s="227"/>
      <c r="W700" s="227"/>
      <c r="X700" s="227"/>
      <c r="Y700" s="227"/>
      <c r="Z700" s="227"/>
      <c r="AA700" s="227"/>
      <c r="AB700" s="227"/>
      <c r="AC700" s="227"/>
      <c r="AD700" s="227"/>
      <c r="AE700" s="227"/>
      <c r="AF700" s="227"/>
      <c r="AG700" s="227"/>
      <c r="AH700" s="227"/>
      <c r="AI700" s="227"/>
      <c r="AJ700" s="227"/>
      <c r="AK700" s="227"/>
      <c r="AL700" s="225"/>
      <c r="AM700" s="227"/>
    </row>
    <row r="701" spans="1:39" ht="20.100000000000001" customHeight="1">
      <c r="A701" s="227">
        <v>347</v>
      </c>
      <c r="B701" s="225"/>
      <c r="C701" s="227"/>
      <c r="D701" s="228">
        <f>(SUMPRODUCT(E701:AL701*$E$6:$AL$6)/100)+(SUMPRODUCT(E701:AL701*$E$6:$AL$6*$E$3:$AL$3)/100)</f>
        <v>0</v>
      </c>
      <c r="E701" s="227"/>
      <c r="F701" s="227"/>
      <c r="G701" s="227"/>
      <c r="H701" s="227"/>
      <c r="I701" s="227"/>
      <c r="J701" s="227"/>
      <c r="K701" s="227"/>
      <c r="L701" s="227"/>
      <c r="M701" s="227"/>
      <c r="N701" s="227"/>
      <c r="O701" s="227"/>
      <c r="P701" s="227"/>
      <c r="Q701" s="227"/>
      <c r="R701" s="227"/>
      <c r="S701" s="227"/>
      <c r="T701" s="227"/>
      <c r="U701" s="227"/>
      <c r="V701" s="227"/>
      <c r="W701" s="227"/>
      <c r="X701" s="227"/>
      <c r="Y701" s="227"/>
      <c r="Z701" s="227"/>
      <c r="AA701" s="227"/>
      <c r="AB701" s="227"/>
      <c r="AC701" s="227"/>
      <c r="AD701" s="227"/>
      <c r="AE701" s="227"/>
      <c r="AF701" s="227"/>
      <c r="AG701" s="227"/>
      <c r="AH701" s="227"/>
      <c r="AI701" s="227"/>
      <c r="AJ701" s="227"/>
      <c r="AK701" s="227"/>
      <c r="AL701" s="225"/>
      <c r="AM701" s="227"/>
    </row>
    <row r="702" spans="1:39" ht="20.100000000000001" customHeight="1">
      <c r="A702" s="227"/>
      <c r="B702" s="225"/>
      <c r="C702" s="227"/>
      <c r="D702" s="224"/>
      <c r="E702" s="227"/>
      <c r="F702" s="227"/>
      <c r="G702" s="227"/>
      <c r="H702" s="227"/>
      <c r="I702" s="227"/>
      <c r="J702" s="227"/>
      <c r="K702" s="227"/>
      <c r="L702" s="227"/>
      <c r="M702" s="227"/>
      <c r="N702" s="227"/>
      <c r="O702" s="227"/>
      <c r="P702" s="227"/>
      <c r="Q702" s="227"/>
      <c r="R702" s="227"/>
      <c r="S702" s="227"/>
      <c r="T702" s="227"/>
      <c r="U702" s="227"/>
      <c r="V702" s="227"/>
      <c r="W702" s="227"/>
      <c r="X702" s="227"/>
      <c r="Y702" s="227"/>
      <c r="Z702" s="227"/>
      <c r="AA702" s="227"/>
      <c r="AB702" s="227"/>
      <c r="AC702" s="227"/>
      <c r="AD702" s="227"/>
      <c r="AE702" s="227"/>
      <c r="AF702" s="227"/>
      <c r="AG702" s="227"/>
      <c r="AH702" s="227"/>
      <c r="AI702" s="227"/>
      <c r="AJ702" s="227"/>
      <c r="AK702" s="227"/>
      <c r="AL702" s="225"/>
      <c r="AM702" s="227"/>
    </row>
    <row r="703" spans="1:39" ht="20.100000000000001" customHeight="1">
      <c r="A703" s="227">
        <v>348</v>
      </c>
      <c r="B703" s="225"/>
      <c r="C703" s="227"/>
      <c r="D703" s="228">
        <f>(SUMPRODUCT(E703:AL703*$E$6:$AL$6)/100)+(SUMPRODUCT(E703:AL703*$E$6:$AL$6*$E$3:$AL$3)/100)</f>
        <v>0</v>
      </c>
      <c r="E703" s="227"/>
      <c r="F703" s="227"/>
      <c r="G703" s="227"/>
      <c r="H703" s="227"/>
      <c r="I703" s="227"/>
      <c r="J703" s="227"/>
      <c r="K703" s="227"/>
      <c r="L703" s="227"/>
      <c r="M703" s="227"/>
      <c r="N703" s="227"/>
      <c r="O703" s="227"/>
      <c r="P703" s="227"/>
      <c r="Q703" s="227"/>
      <c r="R703" s="227"/>
      <c r="S703" s="227"/>
      <c r="T703" s="227"/>
      <c r="U703" s="227"/>
      <c r="V703" s="227"/>
      <c r="W703" s="227"/>
      <c r="X703" s="227"/>
      <c r="Y703" s="227"/>
      <c r="Z703" s="227"/>
      <c r="AA703" s="227"/>
      <c r="AB703" s="227"/>
      <c r="AC703" s="227"/>
      <c r="AD703" s="227"/>
      <c r="AE703" s="227"/>
      <c r="AF703" s="227"/>
      <c r="AG703" s="227"/>
      <c r="AH703" s="227"/>
      <c r="AI703" s="227"/>
      <c r="AJ703" s="227"/>
      <c r="AK703" s="227"/>
      <c r="AL703" s="225"/>
      <c r="AM703" s="227"/>
    </row>
    <row r="704" spans="1:39" ht="20.100000000000001" customHeight="1">
      <c r="A704" s="223"/>
      <c r="B704" s="225"/>
      <c r="C704" s="227"/>
      <c r="D704" s="224"/>
      <c r="E704" s="227"/>
      <c r="F704" s="227"/>
      <c r="G704" s="227"/>
      <c r="H704" s="227"/>
      <c r="I704" s="227"/>
      <c r="J704" s="227"/>
      <c r="K704" s="227"/>
      <c r="L704" s="227"/>
      <c r="M704" s="227"/>
      <c r="N704" s="227"/>
      <c r="O704" s="227"/>
      <c r="P704" s="227"/>
      <c r="Q704" s="227"/>
      <c r="R704" s="227"/>
      <c r="S704" s="227"/>
      <c r="T704" s="227"/>
      <c r="U704" s="227"/>
      <c r="V704" s="227"/>
      <c r="W704" s="227"/>
      <c r="X704" s="227"/>
      <c r="Y704" s="227"/>
      <c r="Z704" s="227"/>
      <c r="AA704" s="227"/>
      <c r="AB704" s="227"/>
      <c r="AC704" s="227"/>
      <c r="AD704" s="227"/>
      <c r="AE704" s="227"/>
      <c r="AF704" s="227"/>
      <c r="AG704" s="227"/>
      <c r="AH704" s="227"/>
      <c r="AI704" s="227"/>
      <c r="AJ704" s="227"/>
      <c r="AK704" s="227"/>
      <c r="AL704" s="225"/>
      <c r="AM704" s="227"/>
    </row>
    <row r="705" spans="1:39" ht="20.100000000000001" customHeight="1">
      <c r="A705" s="227">
        <v>349</v>
      </c>
      <c r="B705" s="225"/>
      <c r="C705" s="227"/>
      <c r="D705" s="228">
        <f>(SUMPRODUCT(E705:AL705*$E$6:$AL$6)/100)+(SUMPRODUCT(E705:AL705*$E$6:$AL$6*$E$3:$AL$3)/100)</f>
        <v>0</v>
      </c>
      <c r="E705" s="227"/>
      <c r="F705" s="227"/>
      <c r="G705" s="227"/>
      <c r="H705" s="227"/>
      <c r="I705" s="227"/>
      <c r="J705" s="227"/>
      <c r="K705" s="227"/>
      <c r="L705" s="227"/>
      <c r="M705" s="227"/>
      <c r="N705" s="227"/>
      <c r="O705" s="227"/>
      <c r="P705" s="227"/>
      <c r="Q705" s="227"/>
      <c r="R705" s="227"/>
      <c r="S705" s="227"/>
      <c r="T705" s="227"/>
      <c r="U705" s="227"/>
      <c r="V705" s="227"/>
      <c r="W705" s="227"/>
      <c r="X705" s="227"/>
      <c r="Y705" s="227"/>
      <c r="Z705" s="227"/>
      <c r="AA705" s="227"/>
      <c r="AB705" s="227"/>
      <c r="AC705" s="227"/>
      <c r="AD705" s="227"/>
      <c r="AE705" s="227"/>
      <c r="AF705" s="227"/>
      <c r="AG705" s="227"/>
      <c r="AH705" s="227"/>
      <c r="AI705" s="227"/>
      <c r="AJ705" s="227"/>
      <c r="AK705" s="227"/>
      <c r="AL705" s="225"/>
      <c r="AM705" s="227"/>
    </row>
    <row r="706" spans="1:39" ht="20.100000000000001" customHeight="1">
      <c r="A706" s="227"/>
      <c r="B706" s="225"/>
      <c r="C706" s="227"/>
      <c r="D706" s="224"/>
      <c r="E706" s="227"/>
      <c r="F706" s="227"/>
      <c r="G706" s="227"/>
      <c r="H706" s="227"/>
      <c r="I706" s="227"/>
      <c r="J706" s="227"/>
      <c r="K706" s="227"/>
      <c r="L706" s="227"/>
      <c r="M706" s="227"/>
      <c r="N706" s="227"/>
      <c r="O706" s="227"/>
      <c r="P706" s="227"/>
      <c r="Q706" s="227"/>
      <c r="R706" s="227"/>
      <c r="S706" s="227"/>
      <c r="T706" s="227"/>
      <c r="U706" s="227"/>
      <c r="V706" s="227"/>
      <c r="W706" s="227"/>
      <c r="X706" s="227"/>
      <c r="Y706" s="227"/>
      <c r="Z706" s="227"/>
      <c r="AA706" s="227"/>
      <c r="AB706" s="227"/>
      <c r="AC706" s="227"/>
      <c r="AD706" s="227"/>
      <c r="AE706" s="227"/>
      <c r="AF706" s="227"/>
      <c r="AG706" s="227"/>
      <c r="AH706" s="227"/>
      <c r="AI706" s="227"/>
      <c r="AJ706" s="227"/>
      <c r="AK706" s="227"/>
      <c r="AL706" s="225"/>
      <c r="AM706" s="227"/>
    </row>
    <row r="707" spans="1:39" ht="20.100000000000001" customHeight="1">
      <c r="A707" s="227">
        <v>350</v>
      </c>
      <c r="B707" s="225"/>
      <c r="C707" s="227"/>
      <c r="D707" s="228">
        <f>(SUMPRODUCT(E707:AL707*$E$6:$AL$6)/100)+(SUMPRODUCT(E707:AL707*$E$6:$AL$6*$E$3:$AL$3)/100)</f>
        <v>0</v>
      </c>
      <c r="E707" s="227"/>
      <c r="F707" s="227"/>
      <c r="G707" s="227"/>
      <c r="H707" s="227"/>
      <c r="I707" s="227"/>
      <c r="J707" s="227"/>
      <c r="K707" s="227"/>
      <c r="L707" s="227"/>
      <c r="M707" s="227"/>
      <c r="N707" s="227"/>
      <c r="O707" s="227"/>
      <c r="P707" s="227"/>
      <c r="Q707" s="227"/>
      <c r="R707" s="227"/>
      <c r="S707" s="227"/>
      <c r="T707" s="227"/>
      <c r="U707" s="227"/>
      <c r="V707" s="227"/>
      <c r="W707" s="227"/>
      <c r="X707" s="227"/>
      <c r="Y707" s="227"/>
      <c r="Z707" s="227"/>
      <c r="AA707" s="227"/>
      <c r="AB707" s="227"/>
      <c r="AC707" s="227"/>
      <c r="AD707" s="227"/>
      <c r="AE707" s="227"/>
      <c r="AF707" s="227"/>
      <c r="AG707" s="227"/>
      <c r="AH707" s="227"/>
      <c r="AI707" s="227"/>
      <c r="AJ707" s="227"/>
      <c r="AK707" s="227"/>
      <c r="AL707" s="225"/>
      <c r="AM707" s="227"/>
    </row>
    <row r="708" spans="1:39" ht="20.100000000000001" customHeight="1">
      <c r="A708" s="223"/>
      <c r="B708" s="225"/>
      <c r="C708" s="227"/>
      <c r="D708" s="224"/>
      <c r="E708" s="227"/>
      <c r="F708" s="227"/>
      <c r="G708" s="227"/>
      <c r="H708" s="227"/>
      <c r="I708" s="227"/>
      <c r="J708" s="227"/>
      <c r="K708" s="227"/>
      <c r="L708" s="227"/>
      <c r="M708" s="227"/>
      <c r="N708" s="227"/>
      <c r="O708" s="227"/>
      <c r="P708" s="227"/>
      <c r="Q708" s="227"/>
      <c r="R708" s="227"/>
      <c r="S708" s="227"/>
      <c r="T708" s="227"/>
      <c r="U708" s="227"/>
      <c r="V708" s="227"/>
      <c r="W708" s="227"/>
      <c r="X708" s="227"/>
      <c r="Y708" s="227"/>
      <c r="Z708" s="227"/>
      <c r="AA708" s="227"/>
      <c r="AB708" s="227"/>
      <c r="AC708" s="227"/>
      <c r="AD708" s="227"/>
      <c r="AE708" s="227"/>
      <c r="AF708" s="227"/>
      <c r="AG708" s="227"/>
      <c r="AH708" s="227"/>
      <c r="AI708" s="227"/>
      <c r="AJ708" s="227"/>
      <c r="AK708" s="227"/>
      <c r="AL708" s="225"/>
      <c r="AM708" s="227"/>
    </row>
    <row r="709" spans="1:39" ht="20.100000000000001" customHeight="1">
      <c r="A709" s="227">
        <v>351</v>
      </c>
      <c r="B709" s="225"/>
      <c r="C709" s="227"/>
      <c r="D709" s="228">
        <f>(SUMPRODUCT(E709:AL709*$E$6:$AL$6)/100)+(SUMPRODUCT(E709:AL709*$E$6:$AL$6*$E$3:$AL$3)/100)</f>
        <v>0</v>
      </c>
      <c r="E709" s="227"/>
      <c r="F709" s="227"/>
      <c r="G709" s="227"/>
      <c r="H709" s="227"/>
      <c r="I709" s="227"/>
      <c r="J709" s="227"/>
      <c r="K709" s="227"/>
      <c r="L709" s="227"/>
      <c r="M709" s="227"/>
      <c r="N709" s="227"/>
      <c r="O709" s="227"/>
      <c r="P709" s="227"/>
      <c r="Q709" s="227"/>
      <c r="R709" s="227"/>
      <c r="S709" s="227"/>
      <c r="T709" s="227"/>
      <c r="U709" s="227"/>
      <c r="V709" s="227"/>
      <c r="W709" s="227"/>
      <c r="X709" s="227"/>
      <c r="Y709" s="227"/>
      <c r="Z709" s="227"/>
      <c r="AA709" s="227"/>
      <c r="AB709" s="227"/>
      <c r="AC709" s="227"/>
      <c r="AD709" s="227"/>
      <c r="AE709" s="227"/>
      <c r="AF709" s="227"/>
      <c r="AG709" s="227"/>
      <c r="AH709" s="227"/>
      <c r="AI709" s="227"/>
      <c r="AJ709" s="227"/>
      <c r="AK709" s="227"/>
      <c r="AL709" s="225"/>
      <c r="AM709" s="227"/>
    </row>
    <row r="710" spans="1:39" ht="20.100000000000001" customHeight="1">
      <c r="A710" s="227"/>
      <c r="B710" s="225"/>
      <c r="C710" s="227"/>
      <c r="D710" s="224"/>
      <c r="E710" s="227"/>
      <c r="F710" s="227"/>
      <c r="G710" s="227"/>
      <c r="H710" s="227"/>
      <c r="I710" s="227"/>
      <c r="J710" s="227"/>
      <c r="K710" s="227"/>
      <c r="L710" s="227"/>
      <c r="M710" s="227"/>
      <c r="N710" s="227"/>
      <c r="O710" s="227"/>
      <c r="P710" s="227"/>
      <c r="Q710" s="227"/>
      <c r="R710" s="227"/>
      <c r="S710" s="227"/>
      <c r="T710" s="227"/>
      <c r="U710" s="227"/>
      <c r="V710" s="227"/>
      <c r="W710" s="227"/>
      <c r="X710" s="227"/>
      <c r="Y710" s="227"/>
      <c r="Z710" s="227"/>
      <c r="AA710" s="227"/>
      <c r="AB710" s="227"/>
      <c r="AC710" s="227"/>
      <c r="AD710" s="227"/>
      <c r="AE710" s="227"/>
      <c r="AF710" s="227"/>
      <c r="AG710" s="227"/>
      <c r="AH710" s="227"/>
      <c r="AI710" s="227"/>
      <c r="AJ710" s="227"/>
      <c r="AK710" s="227"/>
      <c r="AL710" s="225"/>
      <c r="AM710" s="227"/>
    </row>
    <row r="711" spans="1:39" ht="20.100000000000001" customHeight="1">
      <c r="A711" s="227">
        <v>352</v>
      </c>
      <c r="B711" s="225"/>
      <c r="C711" s="227"/>
      <c r="D711" s="228">
        <f>(SUMPRODUCT(E711:AL711*$E$6:$AL$6)/100)+(SUMPRODUCT(E711:AL711*$E$6:$AL$6*$E$3:$AL$3)/100)</f>
        <v>0</v>
      </c>
      <c r="E711" s="227"/>
      <c r="F711" s="227"/>
      <c r="G711" s="227"/>
      <c r="H711" s="227"/>
      <c r="I711" s="227"/>
      <c r="J711" s="227"/>
      <c r="K711" s="227"/>
      <c r="L711" s="227"/>
      <c r="M711" s="227"/>
      <c r="N711" s="227"/>
      <c r="O711" s="227"/>
      <c r="P711" s="227"/>
      <c r="Q711" s="227"/>
      <c r="R711" s="227"/>
      <c r="S711" s="227"/>
      <c r="T711" s="227"/>
      <c r="U711" s="227"/>
      <c r="V711" s="227"/>
      <c r="W711" s="227"/>
      <c r="X711" s="227"/>
      <c r="Y711" s="227"/>
      <c r="Z711" s="227"/>
      <c r="AA711" s="227"/>
      <c r="AB711" s="227"/>
      <c r="AC711" s="227"/>
      <c r="AD711" s="227"/>
      <c r="AE711" s="227"/>
      <c r="AF711" s="227"/>
      <c r="AG711" s="227"/>
      <c r="AH711" s="227"/>
      <c r="AI711" s="227"/>
      <c r="AJ711" s="227"/>
      <c r="AK711" s="227"/>
      <c r="AL711" s="225"/>
      <c r="AM711" s="227"/>
    </row>
    <row r="712" spans="1:39" ht="20.100000000000001" customHeight="1">
      <c r="A712" s="223"/>
      <c r="B712" s="225"/>
      <c r="C712" s="227"/>
      <c r="D712" s="224"/>
      <c r="E712" s="227"/>
      <c r="F712" s="227"/>
      <c r="G712" s="227"/>
      <c r="H712" s="227"/>
      <c r="I712" s="227"/>
      <c r="J712" s="227"/>
      <c r="K712" s="227"/>
      <c r="L712" s="227"/>
      <c r="M712" s="227"/>
      <c r="N712" s="227"/>
      <c r="O712" s="227"/>
      <c r="P712" s="227"/>
      <c r="Q712" s="227"/>
      <c r="R712" s="227"/>
      <c r="S712" s="227"/>
      <c r="T712" s="227"/>
      <c r="U712" s="227"/>
      <c r="V712" s="227"/>
      <c r="W712" s="227"/>
      <c r="X712" s="227"/>
      <c r="Y712" s="227"/>
      <c r="Z712" s="227"/>
      <c r="AA712" s="227"/>
      <c r="AB712" s="227"/>
      <c r="AC712" s="227"/>
      <c r="AD712" s="227"/>
      <c r="AE712" s="227"/>
      <c r="AF712" s="227"/>
      <c r="AG712" s="227"/>
      <c r="AH712" s="227"/>
      <c r="AI712" s="227"/>
      <c r="AJ712" s="227"/>
      <c r="AK712" s="227"/>
      <c r="AL712" s="225"/>
      <c r="AM712" s="227"/>
    </row>
    <row r="713" spans="1:39" ht="20.100000000000001" customHeight="1">
      <c r="A713" s="227">
        <v>353</v>
      </c>
      <c r="B713" s="225"/>
      <c r="C713" s="227"/>
      <c r="D713" s="228">
        <f>(SUMPRODUCT(E713:AL713*$E$6:$AL$6)/100)+(SUMPRODUCT(E713:AL713*$E$6:$AL$6*$E$3:$AL$3)/100)</f>
        <v>0</v>
      </c>
      <c r="E713" s="227"/>
      <c r="F713" s="227"/>
      <c r="G713" s="227"/>
      <c r="H713" s="227"/>
      <c r="I713" s="227"/>
      <c r="J713" s="227"/>
      <c r="K713" s="227"/>
      <c r="L713" s="227"/>
      <c r="M713" s="227"/>
      <c r="N713" s="227"/>
      <c r="O713" s="227"/>
      <c r="P713" s="227"/>
      <c r="Q713" s="227"/>
      <c r="R713" s="227"/>
      <c r="S713" s="227"/>
      <c r="T713" s="227"/>
      <c r="U713" s="227"/>
      <c r="V713" s="227"/>
      <c r="W713" s="227"/>
      <c r="X713" s="227"/>
      <c r="Y713" s="227"/>
      <c r="Z713" s="227"/>
      <c r="AA713" s="227"/>
      <c r="AB713" s="227"/>
      <c r="AC713" s="227"/>
      <c r="AD713" s="227"/>
      <c r="AE713" s="227"/>
      <c r="AF713" s="227"/>
      <c r="AG713" s="227"/>
      <c r="AH713" s="227"/>
      <c r="AI713" s="227"/>
      <c r="AJ713" s="227"/>
      <c r="AK713" s="227"/>
      <c r="AL713" s="225"/>
      <c r="AM713" s="227"/>
    </row>
    <row r="714" spans="1:39" ht="20.100000000000001" customHeight="1">
      <c r="A714" s="227"/>
      <c r="B714" s="225"/>
      <c r="C714" s="227"/>
      <c r="D714" s="224"/>
      <c r="E714" s="227"/>
      <c r="F714" s="227"/>
      <c r="G714" s="227"/>
      <c r="H714" s="227"/>
      <c r="I714" s="227"/>
      <c r="J714" s="227"/>
      <c r="K714" s="227"/>
      <c r="L714" s="227"/>
      <c r="M714" s="227"/>
      <c r="N714" s="227"/>
      <c r="O714" s="227"/>
      <c r="P714" s="227"/>
      <c r="Q714" s="227"/>
      <c r="R714" s="227"/>
      <c r="S714" s="227"/>
      <c r="T714" s="227"/>
      <c r="U714" s="227"/>
      <c r="V714" s="227"/>
      <c r="W714" s="227"/>
      <c r="X714" s="227"/>
      <c r="Y714" s="227"/>
      <c r="Z714" s="227"/>
      <c r="AA714" s="227"/>
      <c r="AB714" s="227"/>
      <c r="AC714" s="227"/>
      <c r="AD714" s="227"/>
      <c r="AE714" s="227"/>
      <c r="AF714" s="227"/>
      <c r="AG714" s="227"/>
      <c r="AH714" s="227"/>
      <c r="AI714" s="227"/>
      <c r="AJ714" s="227"/>
      <c r="AK714" s="227"/>
      <c r="AL714" s="225"/>
      <c r="AM714" s="227"/>
    </row>
    <row r="715" spans="1:39" ht="20.100000000000001" customHeight="1">
      <c r="A715" s="227"/>
      <c r="B715" s="225"/>
      <c r="C715" s="227"/>
      <c r="D715" s="228">
        <f>(SUMPRODUCT(E715:AL715*$E$6:$AL$6)/100)+(SUMPRODUCT(E715:AL715*$E$6:$AL$6*$E$3:$AL$3)/100)</f>
        <v>0</v>
      </c>
      <c r="E715" s="227"/>
      <c r="F715" s="227"/>
      <c r="G715" s="227"/>
      <c r="H715" s="227"/>
      <c r="I715" s="227"/>
      <c r="J715" s="227"/>
      <c r="K715" s="227"/>
      <c r="L715" s="227"/>
      <c r="M715" s="227"/>
      <c r="N715" s="227"/>
      <c r="O715" s="227"/>
      <c r="P715" s="227"/>
      <c r="Q715" s="227"/>
      <c r="R715" s="227"/>
      <c r="S715" s="227"/>
      <c r="T715" s="227"/>
      <c r="U715" s="227"/>
      <c r="V715" s="227"/>
      <c r="W715" s="227"/>
      <c r="X715" s="227"/>
      <c r="Y715" s="227"/>
      <c r="Z715" s="227"/>
      <c r="AA715" s="227"/>
      <c r="AB715" s="227"/>
      <c r="AC715" s="227"/>
      <c r="AD715" s="227"/>
      <c r="AE715" s="227"/>
      <c r="AF715" s="227"/>
      <c r="AG715" s="227"/>
      <c r="AH715" s="227"/>
      <c r="AI715" s="227"/>
      <c r="AJ715" s="227"/>
      <c r="AK715" s="227"/>
      <c r="AL715" s="225"/>
      <c r="AM715" s="227"/>
    </row>
    <row r="716" spans="1:39" ht="20.100000000000001" customHeight="1">
      <c r="A716" s="227"/>
      <c r="B716" s="225"/>
      <c r="C716" s="227"/>
      <c r="D716" s="224"/>
      <c r="E716" s="227"/>
      <c r="F716" s="227"/>
      <c r="G716" s="227"/>
      <c r="H716" s="227"/>
      <c r="I716" s="227"/>
      <c r="J716" s="227"/>
      <c r="K716" s="227"/>
      <c r="L716" s="227"/>
      <c r="M716" s="227"/>
      <c r="N716" s="227"/>
      <c r="O716" s="227"/>
      <c r="P716" s="227"/>
      <c r="Q716" s="227"/>
      <c r="R716" s="227"/>
      <c r="S716" s="227"/>
      <c r="T716" s="227"/>
      <c r="U716" s="227"/>
      <c r="V716" s="227"/>
      <c r="W716" s="227"/>
      <c r="X716" s="227"/>
      <c r="Y716" s="227"/>
      <c r="Z716" s="227"/>
      <c r="AA716" s="227"/>
      <c r="AB716" s="227"/>
      <c r="AC716" s="227"/>
      <c r="AD716" s="227"/>
      <c r="AE716" s="227"/>
      <c r="AF716" s="227"/>
      <c r="AG716" s="227"/>
      <c r="AH716" s="227"/>
      <c r="AI716" s="227"/>
      <c r="AJ716" s="227"/>
      <c r="AK716" s="227"/>
      <c r="AL716" s="225"/>
      <c r="AM716" s="227"/>
    </row>
    <row r="717" spans="1:39" ht="20.100000000000001" customHeight="1">
      <c r="A717" s="227"/>
      <c r="B717" s="225"/>
      <c r="C717" s="227"/>
      <c r="D717" s="228">
        <f>(SUMPRODUCT(E717:AL717*$E$6:$AL$6)/100)+(SUMPRODUCT(E717:AL717*$E$6:$AL$6*$E$3:$AL$3)/100)</f>
        <v>0</v>
      </c>
      <c r="E717" s="227"/>
      <c r="F717" s="227"/>
      <c r="G717" s="227"/>
      <c r="H717" s="227"/>
      <c r="I717" s="227"/>
      <c r="J717" s="227"/>
      <c r="K717" s="227"/>
      <c r="L717" s="227"/>
      <c r="M717" s="227"/>
      <c r="N717" s="227"/>
      <c r="O717" s="227"/>
      <c r="P717" s="227"/>
      <c r="Q717" s="227"/>
      <c r="R717" s="227"/>
      <c r="S717" s="227"/>
      <c r="T717" s="227"/>
      <c r="U717" s="227"/>
      <c r="V717" s="227"/>
      <c r="W717" s="227"/>
      <c r="X717" s="227"/>
      <c r="Y717" s="227"/>
      <c r="Z717" s="227"/>
      <c r="AA717" s="227"/>
      <c r="AB717" s="227"/>
      <c r="AC717" s="227"/>
      <c r="AD717" s="227"/>
      <c r="AE717" s="227"/>
      <c r="AF717" s="227"/>
      <c r="AG717" s="227"/>
      <c r="AH717" s="227"/>
      <c r="AI717" s="227"/>
      <c r="AJ717" s="227"/>
      <c r="AK717" s="227"/>
      <c r="AL717" s="225"/>
      <c r="AM717" s="227"/>
    </row>
    <row r="718" spans="1:39" ht="20.100000000000001" customHeight="1">
      <c r="A718" s="227"/>
      <c r="B718" s="225"/>
      <c r="C718" s="227"/>
      <c r="D718" s="224"/>
      <c r="E718" s="227"/>
      <c r="F718" s="227"/>
      <c r="G718" s="227"/>
      <c r="H718" s="227"/>
      <c r="I718" s="227"/>
      <c r="J718" s="227"/>
      <c r="K718" s="227"/>
      <c r="L718" s="227"/>
      <c r="M718" s="227"/>
      <c r="N718" s="227"/>
      <c r="O718" s="227"/>
      <c r="P718" s="227"/>
      <c r="Q718" s="227"/>
      <c r="R718" s="227"/>
      <c r="S718" s="227"/>
      <c r="T718" s="227"/>
      <c r="U718" s="227"/>
      <c r="V718" s="227"/>
      <c r="W718" s="227"/>
      <c r="X718" s="227"/>
      <c r="Y718" s="227"/>
      <c r="Z718" s="227"/>
      <c r="AA718" s="227"/>
      <c r="AB718" s="227"/>
      <c r="AC718" s="227"/>
      <c r="AD718" s="227"/>
      <c r="AE718" s="227"/>
      <c r="AF718" s="227"/>
      <c r="AG718" s="227"/>
      <c r="AH718" s="227"/>
      <c r="AI718" s="227"/>
      <c r="AJ718" s="227"/>
      <c r="AK718" s="227"/>
      <c r="AL718" s="225"/>
      <c r="AM718" s="227"/>
    </row>
    <row r="719" spans="1:39" ht="20.100000000000001" customHeight="1">
      <c r="A719" s="227"/>
      <c r="B719" s="225"/>
      <c r="C719" s="227"/>
      <c r="D719" s="228">
        <f>(SUMPRODUCT(E719:AL719*$E$6:$AL$6)/100)+(SUMPRODUCT(E719:AL719*$E$6:$AL$6*$E$3:$AL$3)/100)</f>
        <v>0</v>
      </c>
      <c r="E719" s="227"/>
      <c r="F719" s="227"/>
      <c r="G719" s="227"/>
      <c r="H719" s="227"/>
      <c r="I719" s="227"/>
      <c r="J719" s="227"/>
      <c r="K719" s="227"/>
      <c r="L719" s="227"/>
      <c r="M719" s="227"/>
      <c r="N719" s="227"/>
      <c r="O719" s="227"/>
      <c r="P719" s="227"/>
      <c r="Q719" s="227"/>
      <c r="R719" s="227"/>
      <c r="S719" s="227"/>
      <c r="T719" s="227"/>
      <c r="U719" s="227"/>
      <c r="V719" s="227"/>
      <c r="W719" s="227"/>
      <c r="X719" s="227"/>
      <c r="Y719" s="227"/>
      <c r="Z719" s="227"/>
      <c r="AA719" s="227"/>
      <c r="AB719" s="227"/>
      <c r="AC719" s="227"/>
      <c r="AD719" s="227"/>
      <c r="AE719" s="227"/>
      <c r="AF719" s="227"/>
      <c r="AG719" s="227"/>
      <c r="AH719" s="227"/>
      <c r="AI719" s="227"/>
      <c r="AJ719" s="227"/>
      <c r="AK719" s="227"/>
      <c r="AL719" s="225"/>
      <c r="AM719" s="227"/>
    </row>
    <row r="720" spans="1:39" ht="20.100000000000001" customHeight="1">
      <c r="A720" s="227"/>
      <c r="B720" s="225"/>
      <c r="C720" s="227"/>
      <c r="D720" s="224"/>
      <c r="E720" s="227"/>
      <c r="F720" s="227"/>
      <c r="G720" s="227"/>
      <c r="H720" s="227"/>
      <c r="I720" s="227"/>
      <c r="J720" s="227"/>
      <c r="K720" s="227"/>
      <c r="L720" s="227"/>
      <c r="M720" s="227"/>
      <c r="N720" s="227"/>
      <c r="O720" s="227"/>
      <c r="P720" s="227"/>
      <c r="Q720" s="227"/>
      <c r="R720" s="227"/>
      <c r="S720" s="227"/>
      <c r="T720" s="227"/>
      <c r="U720" s="227"/>
      <c r="V720" s="227"/>
      <c r="W720" s="227"/>
      <c r="X720" s="227"/>
      <c r="Y720" s="227"/>
      <c r="Z720" s="227"/>
      <c r="AA720" s="227"/>
      <c r="AB720" s="227"/>
      <c r="AC720" s="227"/>
      <c r="AD720" s="227"/>
      <c r="AE720" s="227"/>
      <c r="AF720" s="227"/>
      <c r="AG720" s="227"/>
      <c r="AH720" s="227"/>
      <c r="AI720" s="227"/>
      <c r="AJ720" s="227"/>
      <c r="AK720" s="227"/>
      <c r="AL720" s="225"/>
      <c r="AM720" s="227"/>
    </row>
    <row r="721" spans="1:39" ht="20.100000000000001" customHeight="1">
      <c r="A721" s="227"/>
      <c r="B721" s="225"/>
      <c r="C721" s="227"/>
      <c r="D721" s="228">
        <f>(SUMPRODUCT(E721:AL721*$E$6:$AL$6)/100)+(SUMPRODUCT(E721:AL721*$E$6:$AL$6*$E$3:$AL$3)/100)</f>
        <v>0</v>
      </c>
      <c r="E721" s="227"/>
      <c r="F721" s="227"/>
      <c r="G721" s="227"/>
      <c r="H721" s="227"/>
      <c r="I721" s="227"/>
      <c r="J721" s="227"/>
      <c r="K721" s="227"/>
      <c r="L721" s="227"/>
      <c r="M721" s="227"/>
      <c r="N721" s="227"/>
      <c r="O721" s="227"/>
      <c r="P721" s="227"/>
      <c r="Q721" s="227"/>
      <c r="R721" s="227"/>
      <c r="S721" s="227"/>
      <c r="T721" s="227"/>
      <c r="U721" s="227"/>
      <c r="V721" s="227"/>
      <c r="W721" s="227"/>
      <c r="X721" s="227"/>
      <c r="Y721" s="227"/>
      <c r="Z721" s="227"/>
      <c r="AA721" s="227"/>
      <c r="AB721" s="227"/>
      <c r="AC721" s="227"/>
      <c r="AD721" s="227"/>
      <c r="AE721" s="227"/>
      <c r="AF721" s="227"/>
      <c r="AG721" s="227"/>
      <c r="AH721" s="227"/>
      <c r="AI721" s="227"/>
      <c r="AJ721" s="227"/>
      <c r="AK721" s="227"/>
      <c r="AL721" s="225"/>
      <c r="AM721" s="227"/>
    </row>
    <row r="722" spans="1:39" ht="20.100000000000001" customHeight="1">
      <c r="A722" s="227"/>
      <c r="B722" s="225"/>
      <c r="C722" s="227"/>
      <c r="D722" s="224"/>
      <c r="E722" s="227"/>
      <c r="F722" s="227"/>
      <c r="G722" s="227"/>
      <c r="H722" s="227"/>
      <c r="I722" s="227"/>
      <c r="J722" s="227"/>
      <c r="K722" s="227"/>
      <c r="L722" s="227"/>
      <c r="M722" s="227"/>
      <c r="N722" s="227"/>
      <c r="O722" s="227"/>
      <c r="P722" s="227"/>
      <c r="Q722" s="227"/>
      <c r="R722" s="227"/>
      <c r="S722" s="227"/>
      <c r="T722" s="227"/>
      <c r="U722" s="227"/>
      <c r="V722" s="227"/>
      <c r="W722" s="227"/>
      <c r="X722" s="227"/>
      <c r="Y722" s="227"/>
      <c r="Z722" s="227"/>
      <c r="AA722" s="227"/>
      <c r="AB722" s="227"/>
      <c r="AC722" s="227"/>
      <c r="AD722" s="227"/>
      <c r="AE722" s="227"/>
      <c r="AF722" s="227"/>
      <c r="AG722" s="227"/>
      <c r="AH722" s="227"/>
      <c r="AI722" s="227"/>
      <c r="AJ722" s="227"/>
      <c r="AK722" s="227"/>
      <c r="AL722" s="225"/>
      <c r="AM722" s="227"/>
    </row>
    <row r="723" spans="1:39" ht="20.100000000000001" customHeight="1">
      <c r="A723" s="227"/>
      <c r="B723" s="225"/>
      <c r="C723" s="227"/>
      <c r="D723" s="228">
        <f>(SUMPRODUCT(E723:AL723*$E$6:$AL$6)/100)+(SUMPRODUCT(E723:AL723*$E$6:$AL$6*$E$3:$AL$3)/100)</f>
        <v>0</v>
      </c>
      <c r="E723" s="227"/>
      <c r="F723" s="227"/>
      <c r="G723" s="227"/>
      <c r="H723" s="227"/>
      <c r="I723" s="227"/>
      <c r="J723" s="227"/>
      <c r="K723" s="227"/>
      <c r="L723" s="227"/>
      <c r="M723" s="227"/>
      <c r="N723" s="227"/>
      <c r="O723" s="227"/>
      <c r="P723" s="227"/>
      <c r="Q723" s="227"/>
      <c r="R723" s="227"/>
      <c r="S723" s="227"/>
      <c r="T723" s="227"/>
      <c r="U723" s="227"/>
      <c r="V723" s="227"/>
      <c r="W723" s="227"/>
      <c r="X723" s="227"/>
      <c r="Y723" s="227"/>
      <c r="Z723" s="227"/>
      <c r="AA723" s="227"/>
      <c r="AB723" s="227"/>
      <c r="AC723" s="227"/>
      <c r="AD723" s="227"/>
      <c r="AE723" s="227"/>
      <c r="AF723" s="227"/>
      <c r="AG723" s="227"/>
      <c r="AH723" s="227"/>
      <c r="AI723" s="227"/>
      <c r="AJ723" s="227"/>
      <c r="AK723" s="227"/>
      <c r="AL723" s="225"/>
      <c r="AM723" s="227"/>
    </row>
    <row r="724" spans="1:39" ht="20.100000000000001" customHeight="1">
      <c r="A724" s="227"/>
      <c r="B724" s="225"/>
      <c r="C724" s="227"/>
      <c r="D724" s="224"/>
      <c r="E724" s="227"/>
      <c r="F724" s="227"/>
      <c r="G724" s="227"/>
      <c r="H724" s="227"/>
      <c r="I724" s="227"/>
      <c r="J724" s="227"/>
      <c r="K724" s="227"/>
      <c r="L724" s="227"/>
      <c r="M724" s="227"/>
      <c r="N724" s="227"/>
      <c r="O724" s="227"/>
      <c r="P724" s="227"/>
      <c r="Q724" s="227"/>
      <c r="R724" s="227"/>
      <c r="S724" s="227"/>
      <c r="T724" s="227"/>
      <c r="U724" s="227"/>
      <c r="V724" s="227"/>
      <c r="W724" s="227"/>
      <c r="X724" s="227"/>
      <c r="Y724" s="227"/>
      <c r="Z724" s="227"/>
      <c r="AA724" s="227"/>
      <c r="AB724" s="227"/>
      <c r="AC724" s="227"/>
      <c r="AD724" s="227"/>
      <c r="AE724" s="227"/>
      <c r="AF724" s="227"/>
      <c r="AG724" s="227"/>
      <c r="AH724" s="227"/>
      <c r="AI724" s="227"/>
      <c r="AJ724" s="227"/>
      <c r="AK724" s="227"/>
      <c r="AL724" s="225"/>
      <c r="AM724" s="227"/>
    </row>
    <row r="725" spans="1:39" ht="20.100000000000001" customHeight="1">
      <c r="A725" s="227"/>
      <c r="B725" s="225"/>
      <c r="C725" s="227"/>
      <c r="D725" s="228">
        <f>(SUMPRODUCT(E725:AL725*$E$6:$AL$6)/100)+(SUMPRODUCT(E725:AL725*$E$6:$AL$6*$E$3:$AL$3)/100)</f>
        <v>0</v>
      </c>
      <c r="E725" s="227"/>
      <c r="F725" s="227"/>
      <c r="G725" s="227"/>
      <c r="H725" s="227"/>
      <c r="I725" s="227"/>
      <c r="J725" s="227"/>
      <c r="K725" s="227"/>
      <c r="L725" s="227"/>
      <c r="M725" s="227"/>
      <c r="N725" s="227"/>
      <c r="O725" s="227"/>
      <c r="P725" s="227"/>
      <c r="Q725" s="227"/>
      <c r="R725" s="227"/>
      <c r="S725" s="227"/>
      <c r="T725" s="227"/>
      <c r="U725" s="227"/>
      <c r="V725" s="227"/>
      <c r="W725" s="227"/>
      <c r="X725" s="227"/>
      <c r="Y725" s="227"/>
      <c r="Z725" s="227"/>
      <c r="AA725" s="227"/>
      <c r="AB725" s="227"/>
      <c r="AC725" s="227"/>
      <c r="AD725" s="227"/>
      <c r="AE725" s="227"/>
      <c r="AF725" s="227"/>
      <c r="AG725" s="227"/>
      <c r="AH725" s="227"/>
      <c r="AI725" s="227"/>
      <c r="AJ725" s="227"/>
      <c r="AK725" s="227"/>
      <c r="AL725" s="225"/>
      <c r="AM725" s="227"/>
    </row>
    <row r="726" spans="1:39" ht="20.100000000000001" customHeight="1">
      <c r="A726" s="227"/>
      <c r="B726" s="225"/>
      <c r="C726" s="227"/>
      <c r="D726" s="224"/>
      <c r="E726" s="227"/>
      <c r="F726" s="227"/>
      <c r="G726" s="227"/>
      <c r="H726" s="227"/>
      <c r="I726" s="227"/>
      <c r="J726" s="227"/>
      <c r="K726" s="227"/>
      <c r="L726" s="227"/>
      <c r="M726" s="227"/>
      <c r="N726" s="227"/>
      <c r="O726" s="227"/>
      <c r="P726" s="227"/>
      <c r="Q726" s="227"/>
      <c r="R726" s="227"/>
      <c r="S726" s="227"/>
      <c r="T726" s="227"/>
      <c r="U726" s="227"/>
      <c r="V726" s="227"/>
      <c r="W726" s="227"/>
      <c r="X726" s="227"/>
      <c r="Y726" s="227"/>
      <c r="Z726" s="227"/>
      <c r="AA726" s="227"/>
      <c r="AB726" s="227"/>
      <c r="AC726" s="227"/>
      <c r="AD726" s="227"/>
      <c r="AE726" s="227"/>
      <c r="AF726" s="227"/>
      <c r="AG726" s="227"/>
      <c r="AH726" s="227"/>
      <c r="AI726" s="227"/>
      <c r="AJ726" s="227"/>
      <c r="AK726" s="227"/>
      <c r="AL726" s="225"/>
      <c r="AM726" s="227"/>
    </row>
    <row r="727" spans="1:39" ht="20.100000000000001" customHeight="1">
      <c r="A727" s="227"/>
      <c r="B727" s="225"/>
      <c r="C727" s="227"/>
      <c r="D727" s="228">
        <f>(SUMPRODUCT(E727:AL727*$E$6:$AL$6)/100)+(SUMPRODUCT(E727:AL727*$E$6:$AL$6*$E$3:$AL$3)/100)</f>
        <v>0</v>
      </c>
      <c r="E727" s="227"/>
      <c r="F727" s="227"/>
      <c r="G727" s="227"/>
      <c r="H727" s="227"/>
      <c r="I727" s="227"/>
      <c r="J727" s="227"/>
      <c r="K727" s="227"/>
      <c r="L727" s="227"/>
      <c r="M727" s="227"/>
      <c r="N727" s="227"/>
      <c r="O727" s="227"/>
      <c r="P727" s="227"/>
      <c r="Q727" s="227"/>
      <c r="R727" s="227"/>
      <c r="S727" s="227"/>
      <c r="T727" s="227"/>
      <c r="U727" s="227"/>
      <c r="V727" s="227"/>
      <c r="W727" s="227"/>
      <c r="X727" s="227"/>
      <c r="Y727" s="227"/>
      <c r="Z727" s="227"/>
      <c r="AA727" s="227"/>
      <c r="AB727" s="227"/>
      <c r="AC727" s="227"/>
      <c r="AD727" s="227"/>
      <c r="AE727" s="227"/>
      <c r="AF727" s="227"/>
      <c r="AG727" s="227"/>
      <c r="AH727" s="227"/>
      <c r="AI727" s="227"/>
      <c r="AJ727" s="227"/>
      <c r="AK727" s="227"/>
      <c r="AL727" s="225"/>
      <c r="AM727" s="227"/>
    </row>
    <row r="728" spans="1:39" ht="20.100000000000001" customHeight="1">
      <c r="A728" s="227"/>
      <c r="B728" s="225"/>
      <c r="C728" s="227"/>
      <c r="D728" s="224"/>
      <c r="E728" s="227"/>
      <c r="F728" s="227"/>
      <c r="G728" s="227"/>
      <c r="H728" s="227"/>
      <c r="I728" s="227"/>
      <c r="J728" s="227"/>
      <c r="K728" s="227"/>
      <c r="L728" s="227"/>
      <c r="M728" s="227"/>
      <c r="N728" s="227"/>
      <c r="O728" s="227"/>
      <c r="P728" s="227"/>
      <c r="Q728" s="227"/>
      <c r="R728" s="227"/>
      <c r="S728" s="227"/>
      <c r="T728" s="227"/>
      <c r="U728" s="227"/>
      <c r="V728" s="227"/>
      <c r="W728" s="227"/>
      <c r="X728" s="227"/>
      <c r="Y728" s="227"/>
      <c r="Z728" s="227"/>
      <c r="AA728" s="227"/>
      <c r="AB728" s="227"/>
      <c r="AC728" s="227"/>
      <c r="AD728" s="227"/>
      <c r="AE728" s="227"/>
      <c r="AF728" s="227"/>
      <c r="AG728" s="227"/>
      <c r="AH728" s="227"/>
      <c r="AI728" s="227"/>
      <c r="AJ728" s="227"/>
      <c r="AK728" s="227"/>
      <c r="AL728" s="225"/>
      <c r="AM728" s="227"/>
    </row>
    <row r="729" spans="1:39" ht="20.100000000000001" customHeight="1">
      <c r="A729" s="227"/>
      <c r="B729" s="225"/>
      <c r="C729" s="227"/>
      <c r="D729" s="228">
        <f>(SUMPRODUCT(E729:AL729*$E$6:$AL$6)/100)+(SUMPRODUCT(E729:AL729*$E$6:$AL$6*$E$3:$AL$3)/100)</f>
        <v>0</v>
      </c>
      <c r="E729" s="227"/>
      <c r="F729" s="227"/>
      <c r="G729" s="227"/>
      <c r="H729" s="227"/>
      <c r="I729" s="227"/>
      <c r="J729" s="227"/>
      <c r="K729" s="227"/>
      <c r="L729" s="227"/>
      <c r="M729" s="227"/>
      <c r="N729" s="227"/>
      <c r="O729" s="227"/>
      <c r="P729" s="227"/>
      <c r="Q729" s="227"/>
      <c r="R729" s="227"/>
      <c r="S729" s="227"/>
      <c r="T729" s="227"/>
      <c r="U729" s="227"/>
      <c r="V729" s="227"/>
      <c r="W729" s="227"/>
      <c r="X729" s="227"/>
      <c r="Y729" s="227"/>
      <c r="Z729" s="227"/>
      <c r="AA729" s="227"/>
      <c r="AB729" s="227"/>
      <c r="AC729" s="227"/>
      <c r="AD729" s="227"/>
      <c r="AE729" s="227"/>
      <c r="AF729" s="227"/>
      <c r="AG729" s="227"/>
      <c r="AH729" s="227"/>
      <c r="AI729" s="227"/>
      <c r="AJ729" s="227"/>
      <c r="AK729" s="227"/>
      <c r="AL729" s="225"/>
      <c r="AM729" s="227"/>
    </row>
    <row r="730" spans="1:39" ht="20.100000000000001" customHeight="1">
      <c r="A730" s="227"/>
      <c r="B730" s="225"/>
      <c r="C730" s="227"/>
      <c r="D730" s="224"/>
      <c r="E730" s="227"/>
      <c r="F730" s="227"/>
      <c r="G730" s="227"/>
      <c r="H730" s="227"/>
      <c r="I730" s="227"/>
      <c r="J730" s="227"/>
      <c r="K730" s="227"/>
      <c r="L730" s="227"/>
      <c r="M730" s="227"/>
      <c r="N730" s="227"/>
      <c r="O730" s="227"/>
      <c r="P730" s="227"/>
      <c r="Q730" s="227"/>
      <c r="R730" s="227"/>
      <c r="S730" s="227"/>
      <c r="T730" s="227"/>
      <c r="U730" s="227"/>
      <c r="V730" s="227"/>
      <c r="W730" s="227"/>
      <c r="X730" s="227"/>
      <c r="Y730" s="227"/>
      <c r="Z730" s="227"/>
      <c r="AA730" s="227"/>
      <c r="AB730" s="227"/>
      <c r="AC730" s="227"/>
      <c r="AD730" s="227"/>
      <c r="AE730" s="227"/>
      <c r="AF730" s="227"/>
      <c r="AG730" s="227"/>
      <c r="AH730" s="227"/>
      <c r="AI730" s="227"/>
      <c r="AJ730" s="227"/>
      <c r="AK730" s="227"/>
      <c r="AL730" s="225"/>
      <c r="AM730" s="227"/>
    </row>
    <row r="731" spans="1:39" ht="20.100000000000001" customHeight="1">
      <c r="A731" s="227"/>
      <c r="B731" s="225"/>
      <c r="C731" s="227"/>
      <c r="D731" s="228">
        <f>(SUMPRODUCT(E731:AL731*$E$6:$AL$6)/100)+(SUMPRODUCT(E731:AL731*$E$6:$AL$6*$E$3:$AL$3)/100)</f>
        <v>0</v>
      </c>
      <c r="E731" s="227"/>
      <c r="F731" s="227"/>
      <c r="G731" s="227"/>
      <c r="H731" s="227"/>
      <c r="I731" s="227"/>
      <c r="J731" s="227"/>
      <c r="K731" s="227"/>
      <c r="L731" s="227"/>
      <c r="M731" s="227"/>
      <c r="N731" s="227"/>
      <c r="O731" s="227"/>
      <c r="P731" s="227"/>
      <c r="Q731" s="227"/>
      <c r="R731" s="227"/>
      <c r="S731" s="227"/>
      <c r="T731" s="227"/>
      <c r="U731" s="227"/>
      <c r="V731" s="227"/>
      <c r="W731" s="227"/>
      <c r="X731" s="227"/>
      <c r="Y731" s="227"/>
      <c r="Z731" s="227"/>
      <c r="AA731" s="227"/>
      <c r="AB731" s="227"/>
      <c r="AC731" s="227"/>
      <c r="AD731" s="227"/>
      <c r="AE731" s="227"/>
      <c r="AF731" s="227"/>
      <c r="AG731" s="227"/>
      <c r="AH731" s="227"/>
      <c r="AI731" s="227"/>
      <c r="AJ731" s="227"/>
      <c r="AK731" s="227"/>
      <c r="AL731" s="225"/>
      <c r="AM731" s="227"/>
    </row>
    <row r="732" spans="1:39" ht="20.100000000000001" customHeight="1">
      <c r="A732" s="227"/>
      <c r="B732" s="225"/>
      <c r="C732" s="227"/>
      <c r="D732" s="224"/>
      <c r="E732" s="227"/>
      <c r="F732" s="227"/>
      <c r="G732" s="227"/>
      <c r="H732" s="227"/>
      <c r="I732" s="227"/>
      <c r="J732" s="227"/>
      <c r="K732" s="227"/>
      <c r="L732" s="227"/>
      <c r="M732" s="227"/>
      <c r="N732" s="227"/>
      <c r="O732" s="227"/>
      <c r="P732" s="227"/>
      <c r="Q732" s="227"/>
      <c r="R732" s="227"/>
      <c r="S732" s="227"/>
      <c r="T732" s="227"/>
      <c r="U732" s="227"/>
      <c r="V732" s="227"/>
      <c r="W732" s="227"/>
      <c r="X732" s="227"/>
      <c r="Y732" s="227"/>
      <c r="Z732" s="227"/>
      <c r="AA732" s="227"/>
      <c r="AB732" s="227"/>
      <c r="AC732" s="227"/>
      <c r="AD732" s="227"/>
      <c r="AE732" s="227"/>
      <c r="AF732" s="227"/>
      <c r="AG732" s="227"/>
      <c r="AH732" s="227"/>
      <c r="AI732" s="227"/>
      <c r="AJ732" s="227"/>
      <c r="AK732" s="227"/>
      <c r="AL732" s="225"/>
      <c r="AM732" s="227"/>
    </row>
    <row r="733" spans="1:39" ht="20.100000000000001" customHeight="1">
      <c r="A733" s="227"/>
      <c r="B733" s="225"/>
      <c r="C733" s="227"/>
      <c r="D733" s="228">
        <f>(SUMPRODUCT(E733:AL733*$E$6:$AL$6)/100)+(SUMPRODUCT(E733:AL733*$E$6:$AL$6*$E$3:$AL$3)/100)</f>
        <v>0</v>
      </c>
      <c r="E733" s="227"/>
      <c r="F733" s="227"/>
      <c r="G733" s="227"/>
      <c r="H733" s="227"/>
      <c r="I733" s="227"/>
      <c r="J733" s="227"/>
      <c r="K733" s="227"/>
      <c r="L733" s="227"/>
      <c r="M733" s="227"/>
      <c r="N733" s="227"/>
      <c r="O733" s="227"/>
      <c r="P733" s="227"/>
      <c r="Q733" s="227"/>
      <c r="R733" s="227"/>
      <c r="S733" s="227"/>
      <c r="T733" s="227"/>
      <c r="U733" s="227"/>
      <c r="V733" s="227"/>
      <c r="W733" s="227"/>
      <c r="X733" s="227"/>
      <c r="Y733" s="227"/>
      <c r="Z733" s="227"/>
      <c r="AA733" s="227"/>
      <c r="AB733" s="227"/>
      <c r="AC733" s="227"/>
      <c r="AD733" s="227"/>
      <c r="AE733" s="227"/>
      <c r="AF733" s="227"/>
      <c r="AG733" s="227"/>
      <c r="AH733" s="227"/>
      <c r="AI733" s="227"/>
      <c r="AJ733" s="227"/>
      <c r="AK733" s="227"/>
      <c r="AL733" s="225"/>
      <c r="AM733" s="227"/>
    </row>
    <row r="734" spans="1:39" ht="20.100000000000001" customHeight="1">
      <c r="A734" s="227"/>
      <c r="B734" s="225"/>
      <c r="C734" s="227"/>
      <c r="D734" s="224"/>
      <c r="E734" s="227"/>
      <c r="F734" s="227"/>
      <c r="G734" s="227"/>
      <c r="H734" s="227"/>
      <c r="I734" s="227"/>
      <c r="J734" s="227"/>
      <c r="K734" s="227"/>
      <c r="L734" s="227"/>
      <c r="M734" s="227"/>
      <c r="N734" s="227"/>
      <c r="O734" s="227"/>
      <c r="P734" s="227"/>
      <c r="Q734" s="227"/>
      <c r="R734" s="227"/>
      <c r="S734" s="227"/>
      <c r="T734" s="227"/>
      <c r="U734" s="227"/>
      <c r="V734" s="227"/>
      <c r="W734" s="227"/>
      <c r="X734" s="227"/>
      <c r="Y734" s="227"/>
      <c r="Z734" s="227"/>
      <c r="AA734" s="227"/>
      <c r="AB734" s="227"/>
      <c r="AC734" s="227"/>
      <c r="AD734" s="227"/>
      <c r="AE734" s="227"/>
      <c r="AF734" s="227"/>
      <c r="AG734" s="227"/>
      <c r="AH734" s="227"/>
      <c r="AI734" s="227"/>
      <c r="AJ734" s="227"/>
      <c r="AK734" s="227"/>
      <c r="AL734" s="225"/>
      <c r="AM734" s="227"/>
    </row>
    <row r="735" spans="1:39" ht="20.100000000000001" customHeight="1">
      <c r="A735" s="227"/>
      <c r="B735" s="225"/>
      <c r="C735" s="227"/>
      <c r="D735" s="228">
        <f>(SUMPRODUCT(E735:AL735*$E$6:$AL$6)/100)+(SUMPRODUCT(E735:AL735*$E$6:$AL$6*$E$3:$AL$3)/100)</f>
        <v>0</v>
      </c>
      <c r="E735" s="227"/>
      <c r="F735" s="227"/>
      <c r="G735" s="227"/>
      <c r="H735" s="227"/>
      <c r="I735" s="227"/>
      <c r="J735" s="227"/>
      <c r="K735" s="227"/>
      <c r="L735" s="227"/>
      <c r="M735" s="227"/>
      <c r="N735" s="227"/>
      <c r="O735" s="227"/>
      <c r="P735" s="227"/>
      <c r="Q735" s="227"/>
      <c r="R735" s="227"/>
      <c r="S735" s="227"/>
      <c r="T735" s="227"/>
      <c r="U735" s="227"/>
      <c r="V735" s="227"/>
      <c r="W735" s="227"/>
      <c r="X735" s="227"/>
      <c r="Y735" s="227"/>
      <c r="Z735" s="227"/>
      <c r="AA735" s="227"/>
      <c r="AB735" s="227"/>
      <c r="AC735" s="227"/>
      <c r="AD735" s="227"/>
      <c r="AE735" s="227"/>
      <c r="AF735" s="227"/>
      <c r="AG735" s="227"/>
      <c r="AH735" s="227"/>
      <c r="AI735" s="227"/>
      <c r="AJ735" s="227"/>
      <c r="AK735" s="227"/>
      <c r="AL735" s="225"/>
      <c r="AM735" s="227"/>
    </row>
    <row r="736" spans="1:39" ht="20.100000000000001" customHeight="1">
      <c r="A736" s="227"/>
      <c r="B736" s="225"/>
      <c r="C736" s="227"/>
      <c r="D736" s="224"/>
      <c r="E736" s="227"/>
      <c r="F736" s="227"/>
      <c r="G736" s="227"/>
      <c r="H736" s="227"/>
      <c r="I736" s="227"/>
      <c r="J736" s="227"/>
      <c r="K736" s="227"/>
      <c r="L736" s="227"/>
      <c r="M736" s="227"/>
      <c r="N736" s="227"/>
      <c r="O736" s="227"/>
      <c r="P736" s="227"/>
      <c r="Q736" s="227"/>
      <c r="R736" s="227"/>
      <c r="S736" s="227"/>
      <c r="T736" s="227"/>
      <c r="U736" s="227"/>
      <c r="V736" s="227"/>
      <c r="W736" s="227"/>
      <c r="X736" s="227"/>
      <c r="Y736" s="227"/>
      <c r="Z736" s="227"/>
      <c r="AA736" s="227"/>
      <c r="AB736" s="227"/>
      <c r="AC736" s="227"/>
      <c r="AD736" s="227"/>
      <c r="AE736" s="227"/>
      <c r="AF736" s="227"/>
      <c r="AG736" s="227"/>
      <c r="AH736" s="227"/>
      <c r="AI736" s="227"/>
      <c r="AJ736" s="227"/>
      <c r="AK736" s="227"/>
      <c r="AL736" s="225"/>
      <c r="AM736" s="227"/>
    </row>
    <row r="737" spans="1:39" ht="20.100000000000001" customHeight="1">
      <c r="A737" s="227"/>
      <c r="B737" s="225"/>
      <c r="C737" s="227"/>
      <c r="D737" s="228">
        <f>(SUMPRODUCT(E737:AL737*$E$6:$AL$6)/100)+(SUMPRODUCT(E737:AL737*$E$6:$AL$6*$E$3:$AL$3)/100)</f>
        <v>0</v>
      </c>
      <c r="E737" s="227"/>
      <c r="F737" s="227"/>
      <c r="G737" s="227"/>
      <c r="H737" s="227"/>
      <c r="I737" s="227"/>
      <c r="J737" s="227"/>
      <c r="K737" s="227"/>
      <c r="L737" s="227"/>
      <c r="M737" s="227"/>
      <c r="N737" s="227"/>
      <c r="O737" s="227"/>
      <c r="P737" s="227"/>
      <c r="Q737" s="227"/>
      <c r="R737" s="227"/>
      <c r="S737" s="227"/>
      <c r="T737" s="227"/>
      <c r="U737" s="227"/>
      <c r="V737" s="227"/>
      <c r="W737" s="227"/>
      <c r="X737" s="227"/>
      <c r="Y737" s="227"/>
      <c r="Z737" s="227"/>
      <c r="AA737" s="227"/>
      <c r="AB737" s="227"/>
      <c r="AC737" s="227"/>
      <c r="AD737" s="227"/>
      <c r="AE737" s="227"/>
      <c r="AF737" s="227"/>
      <c r="AG737" s="227"/>
      <c r="AH737" s="227"/>
      <c r="AI737" s="227"/>
      <c r="AJ737" s="227"/>
      <c r="AK737" s="227"/>
      <c r="AL737" s="225"/>
      <c r="AM737" s="227"/>
    </row>
    <row r="738" spans="1:39" ht="20.100000000000001" customHeight="1">
      <c r="A738" s="227"/>
      <c r="B738" s="225"/>
      <c r="C738" s="227"/>
      <c r="D738" s="224"/>
      <c r="E738" s="227"/>
      <c r="F738" s="227"/>
      <c r="G738" s="227"/>
      <c r="H738" s="227"/>
      <c r="I738" s="227"/>
      <c r="J738" s="227"/>
      <c r="K738" s="227"/>
      <c r="L738" s="227"/>
      <c r="M738" s="227"/>
      <c r="N738" s="227"/>
      <c r="O738" s="227"/>
      <c r="P738" s="227"/>
      <c r="Q738" s="227"/>
      <c r="R738" s="227"/>
      <c r="S738" s="227"/>
      <c r="T738" s="227"/>
      <c r="U738" s="227"/>
      <c r="V738" s="227"/>
      <c r="W738" s="227"/>
      <c r="X738" s="227"/>
      <c r="Y738" s="227"/>
      <c r="Z738" s="227"/>
      <c r="AA738" s="227"/>
      <c r="AB738" s="227"/>
      <c r="AC738" s="227"/>
      <c r="AD738" s="227"/>
      <c r="AE738" s="227"/>
      <c r="AF738" s="227"/>
      <c r="AG738" s="227"/>
      <c r="AH738" s="227"/>
      <c r="AI738" s="227"/>
      <c r="AJ738" s="227"/>
      <c r="AK738" s="227"/>
      <c r="AL738" s="225"/>
      <c r="AM738" s="227"/>
    </row>
    <row r="739" spans="1:39" ht="20.100000000000001" customHeight="1">
      <c r="A739" s="227"/>
      <c r="B739" s="225"/>
      <c r="C739" s="227"/>
      <c r="D739" s="228">
        <f>(SUMPRODUCT(E739:AL739*$E$6:$AL$6)/100)+(SUMPRODUCT(E739:AL739*$E$6:$AL$6*$E$3:$AL$3)/100)</f>
        <v>0</v>
      </c>
      <c r="E739" s="227"/>
      <c r="F739" s="227"/>
      <c r="G739" s="227"/>
      <c r="H739" s="227"/>
      <c r="I739" s="227"/>
      <c r="J739" s="227"/>
      <c r="K739" s="227"/>
      <c r="L739" s="227"/>
      <c r="M739" s="227"/>
      <c r="N739" s="227"/>
      <c r="O739" s="227"/>
      <c r="P739" s="227"/>
      <c r="Q739" s="227"/>
      <c r="R739" s="227"/>
      <c r="S739" s="227"/>
      <c r="T739" s="227"/>
      <c r="U739" s="227"/>
      <c r="V739" s="227"/>
      <c r="W739" s="227"/>
      <c r="X739" s="227"/>
      <c r="Y739" s="227"/>
      <c r="Z739" s="227"/>
      <c r="AA739" s="227"/>
      <c r="AB739" s="227"/>
      <c r="AC739" s="227"/>
      <c r="AD739" s="227"/>
      <c r="AE739" s="227"/>
      <c r="AF739" s="227"/>
      <c r="AG739" s="227"/>
      <c r="AH739" s="227"/>
      <c r="AI739" s="227"/>
      <c r="AJ739" s="227"/>
      <c r="AK739" s="227"/>
      <c r="AL739" s="225"/>
      <c r="AM739" s="227"/>
    </row>
    <row r="740" spans="1:39" ht="20.100000000000001" customHeight="1">
      <c r="A740" s="227"/>
      <c r="B740" s="225"/>
      <c r="C740" s="227"/>
      <c r="D740" s="224"/>
      <c r="E740" s="227"/>
      <c r="F740" s="227"/>
      <c r="G740" s="227"/>
      <c r="H740" s="227"/>
      <c r="I740" s="227"/>
      <c r="J740" s="227"/>
      <c r="K740" s="227"/>
      <c r="L740" s="227"/>
      <c r="M740" s="227"/>
      <c r="N740" s="227"/>
      <c r="O740" s="227"/>
      <c r="P740" s="227"/>
      <c r="Q740" s="227"/>
      <c r="R740" s="227"/>
      <c r="S740" s="227"/>
      <c r="T740" s="227"/>
      <c r="U740" s="227"/>
      <c r="V740" s="227"/>
      <c r="W740" s="227"/>
      <c r="X740" s="227"/>
      <c r="Y740" s="227"/>
      <c r="Z740" s="227"/>
      <c r="AA740" s="227"/>
      <c r="AB740" s="227"/>
      <c r="AC740" s="227"/>
      <c r="AD740" s="227"/>
      <c r="AE740" s="227"/>
      <c r="AF740" s="227"/>
      <c r="AG740" s="227"/>
      <c r="AH740" s="227"/>
      <c r="AI740" s="227"/>
      <c r="AJ740" s="227"/>
      <c r="AK740" s="227"/>
      <c r="AL740" s="225"/>
      <c r="AM740" s="227"/>
    </row>
    <row r="741" spans="1:39" ht="20.100000000000001" customHeight="1">
      <c r="A741" s="227"/>
      <c r="B741" s="225"/>
      <c r="C741" s="227"/>
      <c r="D741" s="228">
        <f>(SUMPRODUCT(E741:AL741*$E$6:$AL$6)/100)+(SUMPRODUCT(E741:AL741*$E$6:$AL$6*$E$3:$AL$3)/100)</f>
        <v>0</v>
      </c>
      <c r="E741" s="227"/>
      <c r="F741" s="227"/>
      <c r="G741" s="227"/>
      <c r="H741" s="227"/>
      <c r="I741" s="227"/>
      <c r="J741" s="227"/>
      <c r="K741" s="227"/>
      <c r="L741" s="227"/>
      <c r="M741" s="227"/>
      <c r="N741" s="227"/>
      <c r="O741" s="227"/>
      <c r="P741" s="227"/>
      <c r="Q741" s="227"/>
      <c r="R741" s="227"/>
      <c r="S741" s="227"/>
      <c r="T741" s="227"/>
      <c r="U741" s="227"/>
      <c r="V741" s="227"/>
      <c r="W741" s="227"/>
      <c r="X741" s="227"/>
      <c r="Y741" s="227"/>
      <c r="Z741" s="227"/>
      <c r="AA741" s="227"/>
      <c r="AB741" s="227"/>
      <c r="AC741" s="227"/>
      <c r="AD741" s="227"/>
      <c r="AE741" s="227"/>
      <c r="AF741" s="227"/>
      <c r="AG741" s="227"/>
      <c r="AH741" s="227"/>
      <c r="AI741" s="227"/>
      <c r="AJ741" s="227"/>
      <c r="AK741" s="227"/>
      <c r="AL741" s="225"/>
      <c r="AM741" s="227"/>
    </row>
    <row r="742" spans="1:39" ht="20.100000000000001" customHeight="1">
      <c r="A742" s="227"/>
      <c r="B742" s="225"/>
      <c r="C742" s="227"/>
      <c r="D742" s="224"/>
      <c r="E742" s="227"/>
      <c r="F742" s="227"/>
      <c r="G742" s="227"/>
      <c r="H742" s="227"/>
      <c r="I742" s="227"/>
      <c r="J742" s="227"/>
      <c r="K742" s="227"/>
      <c r="L742" s="227"/>
      <c r="M742" s="227"/>
      <c r="N742" s="227"/>
      <c r="O742" s="227"/>
      <c r="P742" s="227"/>
      <c r="Q742" s="227"/>
      <c r="R742" s="227"/>
      <c r="S742" s="227"/>
      <c r="T742" s="227"/>
      <c r="U742" s="227"/>
      <c r="V742" s="227"/>
      <c r="W742" s="227"/>
      <c r="X742" s="227"/>
      <c r="Y742" s="227"/>
      <c r="Z742" s="227"/>
      <c r="AA742" s="227"/>
      <c r="AB742" s="227"/>
      <c r="AC742" s="227"/>
      <c r="AD742" s="227"/>
      <c r="AE742" s="227"/>
      <c r="AF742" s="227"/>
      <c r="AG742" s="227"/>
      <c r="AH742" s="227"/>
      <c r="AI742" s="227"/>
      <c r="AJ742" s="227"/>
      <c r="AK742" s="227"/>
      <c r="AL742" s="225"/>
      <c r="AM742" s="227"/>
    </row>
    <row r="743" spans="1:39" ht="20.100000000000001" customHeight="1">
      <c r="A743" s="227"/>
      <c r="B743" s="225"/>
      <c r="C743" s="227"/>
      <c r="D743" s="228">
        <f>(SUMPRODUCT(E743:AL743*$E$6:$AL$6)/100)+(SUMPRODUCT(E743:AL743*$E$6:$AL$6*$E$3:$AL$3)/100)</f>
        <v>0</v>
      </c>
      <c r="E743" s="227"/>
      <c r="F743" s="227"/>
      <c r="G743" s="227"/>
      <c r="H743" s="227"/>
      <c r="I743" s="227"/>
      <c r="J743" s="227"/>
      <c r="K743" s="227"/>
      <c r="L743" s="227"/>
      <c r="M743" s="227"/>
      <c r="N743" s="227"/>
      <c r="O743" s="227"/>
      <c r="P743" s="227"/>
      <c r="Q743" s="227"/>
      <c r="R743" s="227"/>
      <c r="S743" s="227"/>
      <c r="T743" s="227"/>
      <c r="U743" s="227"/>
      <c r="V743" s="227"/>
      <c r="W743" s="227"/>
      <c r="X743" s="227"/>
      <c r="Y743" s="227"/>
      <c r="Z743" s="227"/>
      <c r="AA743" s="227"/>
      <c r="AB743" s="227"/>
      <c r="AC743" s="227"/>
      <c r="AD743" s="227"/>
      <c r="AE743" s="227"/>
      <c r="AF743" s="227"/>
      <c r="AG743" s="227"/>
      <c r="AH743" s="227"/>
      <c r="AI743" s="227"/>
      <c r="AJ743" s="227"/>
      <c r="AK743" s="227"/>
      <c r="AL743" s="225"/>
      <c r="AM743" s="227"/>
    </row>
    <row r="744" spans="1:39" ht="20.100000000000001" customHeight="1">
      <c r="A744" s="227"/>
      <c r="B744" s="225"/>
      <c r="C744" s="227"/>
      <c r="D744" s="224"/>
      <c r="E744" s="227"/>
      <c r="F744" s="227"/>
      <c r="G744" s="227"/>
      <c r="H744" s="227"/>
      <c r="I744" s="227"/>
      <c r="J744" s="227"/>
      <c r="K744" s="227"/>
      <c r="L744" s="227"/>
      <c r="M744" s="227"/>
      <c r="N744" s="227"/>
      <c r="O744" s="227"/>
      <c r="P744" s="227"/>
      <c r="Q744" s="227"/>
      <c r="R744" s="227"/>
      <c r="S744" s="227"/>
      <c r="T744" s="227"/>
      <c r="U744" s="227"/>
      <c r="V744" s="227"/>
      <c r="W744" s="227"/>
      <c r="X744" s="227"/>
      <c r="Y744" s="227"/>
      <c r="Z744" s="227"/>
      <c r="AA744" s="227"/>
      <c r="AB744" s="227"/>
      <c r="AC744" s="227"/>
      <c r="AD744" s="227"/>
      <c r="AE744" s="227"/>
      <c r="AF744" s="227"/>
      <c r="AG744" s="227"/>
      <c r="AH744" s="227"/>
      <c r="AI744" s="227"/>
      <c r="AJ744" s="227"/>
      <c r="AK744" s="227"/>
      <c r="AL744" s="225"/>
      <c r="AM744" s="227"/>
    </row>
    <row r="745" spans="1:39" ht="20.100000000000001" customHeight="1">
      <c r="A745" s="227"/>
      <c r="B745" s="225"/>
      <c r="C745" s="227"/>
      <c r="D745" s="228">
        <f>(SUMPRODUCT(E745:AL745*$E$6:$AL$6)/100)+(SUMPRODUCT(E745:AL745*$E$6:$AL$6*$E$3:$AL$3)/100)</f>
        <v>0</v>
      </c>
      <c r="E745" s="227"/>
      <c r="F745" s="227"/>
      <c r="G745" s="227"/>
      <c r="H745" s="227"/>
      <c r="I745" s="227"/>
      <c r="J745" s="227"/>
      <c r="K745" s="227"/>
      <c r="L745" s="227"/>
      <c r="M745" s="227"/>
      <c r="N745" s="227"/>
      <c r="O745" s="227"/>
      <c r="P745" s="227"/>
      <c r="Q745" s="227"/>
      <c r="R745" s="227"/>
      <c r="S745" s="227"/>
      <c r="T745" s="227"/>
      <c r="U745" s="227"/>
      <c r="V745" s="227"/>
      <c r="W745" s="227"/>
      <c r="X745" s="227"/>
      <c r="Y745" s="227"/>
      <c r="Z745" s="227"/>
      <c r="AA745" s="227"/>
      <c r="AB745" s="227"/>
      <c r="AC745" s="227"/>
      <c r="AD745" s="227"/>
      <c r="AE745" s="227"/>
      <c r="AF745" s="227"/>
      <c r="AG745" s="227"/>
      <c r="AH745" s="227"/>
      <c r="AI745" s="227"/>
      <c r="AJ745" s="227"/>
      <c r="AK745" s="227"/>
      <c r="AL745" s="225"/>
      <c r="AM745" s="227"/>
    </row>
    <row r="746" spans="1:39" ht="20.100000000000001" customHeight="1">
      <c r="A746" s="227"/>
      <c r="B746" s="225"/>
      <c r="C746" s="227"/>
      <c r="D746" s="224"/>
      <c r="E746" s="227"/>
      <c r="F746" s="227"/>
      <c r="G746" s="227"/>
      <c r="H746" s="227"/>
      <c r="I746" s="227"/>
      <c r="J746" s="227"/>
      <c r="K746" s="227"/>
      <c r="L746" s="227"/>
      <c r="M746" s="227"/>
      <c r="N746" s="227"/>
      <c r="O746" s="227"/>
      <c r="P746" s="227"/>
      <c r="Q746" s="227"/>
      <c r="R746" s="227"/>
      <c r="S746" s="227"/>
      <c r="T746" s="227"/>
      <c r="U746" s="227"/>
      <c r="V746" s="227"/>
      <c r="W746" s="227"/>
      <c r="X746" s="227"/>
      <c r="Y746" s="227"/>
      <c r="Z746" s="227"/>
      <c r="AA746" s="227"/>
      <c r="AB746" s="227"/>
      <c r="AC746" s="227"/>
      <c r="AD746" s="227"/>
      <c r="AE746" s="227"/>
      <c r="AF746" s="227"/>
      <c r="AG746" s="227"/>
      <c r="AH746" s="227"/>
      <c r="AI746" s="227"/>
      <c r="AJ746" s="227"/>
      <c r="AK746" s="227"/>
      <c r="AL746" s="225"/>
      <c r="AM746" s="227"/>
    </row>
    <row r="747" spans="1:39" ht="20.100000000000001" customHeight="1">
      <c r="A747" s="227"/>
      <c r="B747" s="225"/>
      <c r="C747" s="227"/>
      <c r="D747" s="228">
        <f>(SUMPRODUCT(E747:AL747*$E$6:$AL$6)/100)+(SUMPRODUCT(E747:AL747*$E$6:$AL$6*$E$3:$AL$3)/100)</f>
        <v>0</v>
      </c>
      <c r="E747" s="227"/>
      <c r="F747" s="227"/>
      <c r="G747" s="227"/>
      <c r="H747" s="227"/>
      <c r="I747" s="227"/>
      <c r="J747" s="227"/>
      <c r="K747" s="227"/>
      <c r="L747" s="227"/>
      <c r="M747" s="227"/>
      <c r="N747" s="227"/>
      <c r="O747" s="227"/>
      <c r="P747" s="227"/>
      <c r="Q747" s="227"/>
      <c r="R747" s="227"/>
      <c r="S747" s="227"/>
      <c r="T747" s="227"/>
      <c r="U747" s="227"/>
      <c r="V747" s="227"/>
      <c r="W747" s="227"/>
      <c r="X747" s="227"/>
      <c r="Y747" s="227"/>
      <c r="Z747" s="227"/>
      <c r="AA747" s="227"/>
      <c r="AB747" s="227"/>
      <c r="AC747" s="227"/>
      <c r="AD747" s="227"/>
      <c r="AE747" s="227"/>
      <c r="AF747" s="227"/>
      <c r="AG747" s="227"/>
      <c r="AH747" s="227"/>
      <c r="AI747" s="227"/>
      <c r="AJ747" s="227"/>
      <c r="AK747" s="227"/>
      <c r="AL747" s="225"/>
      <c r="AM747" s="227"/>
    </row>
    <row r="748" spans="1:39" ht="20.100000000000001" customHeight="1">
      <c r="A748" s="227"/>
      <c r="B748" s="225"/>
      <c r="C748" s="227"/>
      <c r="D748" s="224"/>
      <c r="E748" s="227"/>
      <c r="F748" s="227"/>
      <c r="G748" s="227"/>
      <c r="H748" s="227"/>
      <c r="I748" s="227"/>
      <c r="J748" s="227"/>
      <c r="K748" s="227"/>
      <c r="L748" s="227"/>
      <c r="M748" s="227"/>
      <c r="N748" s="227"/>
      <c r="O748" s="227"/>
      <c r="P748" s="227"/>
      <c r="Q748" s="227"/>
      <c r="R748" s="227"/>
      <c r="S748" s="227"/>
      <c r="T748" s="227"/>
      <c r="U748" s="227"/>
      <c r="V748" s="227"/>
      <c r="W748" s="227"/>
      <c r="X748" s="227"/>
      <c r="Y748" s="227"/>
      <c r="Z748" s="227"/>
      <c r="AA748" s="227"/>
      <c r="AB748" s="227"/>
      <c r="AC748" s="227"/>
      <c r="AD748" s="227"/>
      <c r="AE748" s="227"/>
      <c r="AF748" s="227"/>
      <c r="AG748" s="227"/>
      <c r="AH748" s="227"/>
      <c r="AI748" s="227"/>
      <c r="AJ748" s="227"/>
      <c r="AK748" s="227"/>
      <c r="AL748" s="225"/>
      <c r="AM748" s="227"/>
    </row>
    <row r="749" spans="1:39" ht="20.100000000000001" customHeight="1">
      <c r="A749" s="227"/>
      <c r="B749" s="225"/>
      <c r="C749" s="227"/>
      <c r="D749" s="228">
        <f>(SUMPRODUCT(E749:AL749*$E$6:$AL$6)/100)+(SUMPRODUCT(E749:AL749*$E$6:$AL$6*$E$3:$AL$3)/100)</f>
        <v>0</v>
      </c>
      <c r="E749" s="227"/>
      <c r="F749" s="227"/>
      <c r="G749" s="227"/>
      <c r="H749" s="227"/>
      <c r="I749" s="227"/>
      <c r="J749" s="227"/>
      <c r="K749" s="227"/>
      <c r="L749" s="227"/>
      <c r="M749" s="227"/>
      <c r="N749" s="227"/>
      <c r="O749" s="227"/>
      <c r="P749" s="227"/>
      <c r="Q749" s="227"/>
      <c r="R749" s="227"/>
      <c r="S749" s="227"/>
      <c r="T749" s="227"/>
      <c r="U749" s="227"/>
      <c r="V749" s="227"/>
      <c r="W749" s="227"/>
      <c r="X749" s="227"/>
      <c r="Y749" s="227"/>
      <c r="Z749" s="227"/>
      <c r="AA749" s="227"/>
      <c r="AB749" s="227"/>
      <c r="AC749" s="227"/>
      <c r="AD749" s="227"/>
      <c r="AE749" s="227"/>
      <c r="AF749" s="227"/>
      <c r="AG749" s="227"/>
      <c r="AH749" s="227"/>
      <c r="AI749" s="227"/>
      <c r="AJ749" s="227"/>
      <c r="AK749" s="227"/>
      <c r="AL749" s="225"/>
      <c r="AM749" s="227"/>
    </row>
    <row r="750" spans="1:39" ht="20.100000000000001" customHeight="1">
      <c r="A750" s="227"/>
      <c r="B750" s="225"/>
      <c r="C750" s="227"/>
      <c r="D750" s="224"/>
      <c r="E750" s="227"/>
      <c r="F750" s="227"/>
      <c r="G750" s="227"/>
      <c r="H750" s="227"/>
      <c r="I750" s="227"/>
      <c r="J750" s="227"/>
      <c r="K750" s="227"/>
      <c r="L750" s="227"/>
      <c r="M750" s="227"/>
      <c r="N750" s="227"/>
      <c r="O750" s="227"/>
      <c r="P750" s="227"/>
      <c r="Q750" s="227"/>
      <c r="R750" s="227"/>
      <c r="S750" s="227"/>
      <c r="T750" s="227"/>
      <c r="U750" s="227"/>
      <c r="V750" s="227"/>
      <c r="W750" s="227"/>
      <c r="X750" s="227"/>
      <c r="Y750" s="227"/>
      <c r="Z750" s="227"/>
      <c r="AA750" s="227"/>
      <c r="AB750" s="227"/>
      <c r="AC750" s="227"/>
      <c r="AD750" s="227"/>
      <c r="AE750" s="227"/>
      <c r="AF750" s="227"/>
      <c r="AG750" s="227"/>
      <c r="AH750" s="227"/>
      <c r="AI750" s="227"/>
      <c r="AJ750" s="227"/>
      <c r="AK750" s="227"/>
      <c r="AL750" s="225"/>
      <c r="AM750" s="227"/>
    </row>
    <row r="751" spans="1:39" ht="20.100000000000001" customHeight="1">
      <c r="A751" s="227"/>
      <c r="B751" s="225"/>
      <c r="C751" s="227"/>
      <c r="D751" s="228">
        <f>(SUMPRODUCT(E751:AL751*$E$6:$AL$6)/100)+(SUMPRODUCT(E751:AL751*$E$6:$AL$6*$E$3:$AL$3)/100)</f>
        <v>0</v>
      </c>
      <c r="E751" s="227"/>
      <c r="F751" s="227"/>
      <c r="G751" s="227"/>
      <c r="H751" s="227"/>
      <c r="I751" s="227"/>
      <c r="J751" s="227"/>
      <c r="K751" s="227"/>
      <c r="L751" s="227"/>
      <c r="M751" s="227"/>
      <c r="N751" s="227"/>
      <c r="O751" s="227"/>
      <c r="P751" s="227"/>
      <c r="Q751" s="227"/>
      <c r="R751" s="227"/>
      <c r="S751" s="227"/>
      <c r="T751" s="227"/>
      <c r="U751" s="227"/>
      <c r="V751" s="227"/>
      <c r="W751" s="227"/>
      <c r="X751" s="227"/>
      <c r="Y751" s="227"/>
      <c r="Z751" s="227"/>
      <c r="AA751" s="227"/>
      <c r="AB751" s="227"/>
      <c r="AC751" s="227"/>
      <c r="AD751" s="227"/>
      <c r="AE751" s="227"/>
      <c r="AF751" s="227"/>
      <c r="AG751" s="227"/>
      <c r="AH751" s="227"/>
      <c r="AI751" s="227"/>
      <c r="AJ751" s="227"/>
      <c r="AK751" s="227"/>
      <c r="AL751" s="225"/>
      <c r="AM751" s="227"/>
    </row>
    <row r="752" spans="1:39" ht="20.100000000000001" customHeight="1">
      <c r="A752" s="227"/>
      <c r="B752" s="225"/>
      <c r="C752" s="227"/>
      <c r="D752" s="224"/>
      <c r="E752" s="227"/>
      <c r="F752" s="227"/>
      <c r="G752" s="227"/>
      <c r="H752" s="227"/>
      <c r="I752" s="227"/>
      <c r="J752" s="227"/>
      <c r="K752" s="227"/>
      <c r="L752" s="227"/>
      <c r="M752" s="227"/>
      <c r="N752" s="227"/>
      <c r="O752" s="227"/>
      <c r="P752" s="227"/>
      <c r="Q752" s="227"/>
      <c r="R752" s="227"/>
      <c r="S752" s="227"/>
      <c r="T752" s="227"/>
      <c r="U752" s="227"/>
      <c r="V752" s="227"/>
      <c r="W752" s="227"/>
      <c r="X752" s="227"/>
      <c r="Y752" s="227"/>
      <c r="Z752" s="227"/>
      <c r="AA752" s="227"/>
      <c r="AB752" s="227"/>
      <c r="AC752" s="227"/>
      <c r="AD752" s="227"/>
      <c r="AE752" s="227"/>
      <c r="AF752" s="227"/>
      <c r="AG752" s="227"/>
      <c r="AH752" s="227"/>
      <c r="AI752" s="227"/>
      <c r="AJ752" s="227"/>
      <c r="AK752" s="227"/>
      <c r="AL752" s="225"/>
      <c r="AM752" s="227"/>
    </row>
    <row r="753" spans="1:39" ht="20.100000000000001" customHeight="1">
      <c r="A753" s="227"/>
      <c r="B753" s="225"/>
      <c r="C753" s="227"/>
      <c r="D753" s="228">
        <f>(SUMPRODUCT(E753:AL753*$E$6:$AL$6)/100)+(SUMPRODUCT(E753:AL753*$E$6:$AL$6*$E$3:$AL$3)/100)</f>
        <v>0</v>
      </c>
      <c r="E753" s="227"/>
      <c r="F753" s="227"/>
      <c r="G753" s="227"/>
      <c r="H753" s="227"/>
      <c r="I753" s="227"/>
      <c r="J753" s="227"/>
      <c r="K753" s="227"/>
      <c r="L753" s="227"/>
      <c r="M753" s="227"/>
      <c r="N753" s="227"/>
      <c r="O753" s="227"/>
      <c r="P753" s="227"/>
      <c r="Q753" s="227"/>
      <c r="R753" s="227"/>
      <c r="S753" s="227"/>
      <c r="T753" s="227"/>
      <c r="U753" s="227"/>
      <c r="V753" s="227"/>
      <c r="W753" s="227"/>
      <c r="X753" s="227"/>
      <c r="Y753" s="227"/>
      <c r="Z753" s="227"/>
      <c r="AA753" s="227"/>
      <c r="AB753" s="227"/>
      <c r="AC753" s="227"/>
      <c r="AD753" s="227"/>
      <c r="AE753" s="227"/>
      <c r="AF753" s="227"/>
      <c r="AG753" s="227"/>
      <c r="AH753" s="227"/>
      <c r="AI753" s="227"/>
      <c r="AJ753" s="227"/>
      <c r="AK753" s="227"/>
      <c r="AL753" s="225"/>
      <c r="AM753" s="227"/>
    </row>
    <row r="754" spans="1:39" ht="20.100000000000001" customHeight="1">
      <c r="A754" s="227"/>
      <c r="B754" s="225"/>
      <c r="C754" s="227"/>
      <c r="D754" s="224"/>
      <c r="E754" s="227"/>
      <c r="F754" s="227"/>
      <c r="G754" s="227"/>
      <c r="H754" s="227"/>
      <c r="I754" s="227"/>
      <c r="J754" s="227"/>
      <c r="K754" s="227"/>
      <c r="L754" s="227"/>
      <c r="M754" s="227"/>
      <c r="N754" s="227"/>
      <c r="O754" s="227"/>
      <c r="P754" s="227"/>
      <c r="Q754" s="227"/>
      <c r="R754" s="227"/>
      <c r="S754" s="227"/>
      <c r="T754" s="227"/>
      <c r="U754" s="227"/>
      <c r="V754" s="227"/>
      <c r="W754" s="227"/>
      <c r="X754" s="227"/>
      <c r="Y754" s="227"/>
      <c r="Z754" s="227"/>
      <c r="AA754" s="227"/>
      <c r="AB754" s="227"/>
      <c r="AC754" s="227"/>
      <c r="AD754" s="227"/>
      <c r="AE754" s="227"/>
      <c r="AF754" s="227"/>
      <c r="AG754" s="227"/>
      <c r="AH754" s="227"/>
      <c r="AI754" s="227"/>
      <c r="AJ754" s="227"/>
      <c r="AK754" s="227"/>
      <c r="AL754" s="225"/>
      <c r="AM754" s="227"/>
    </row>
    <row r="755" spans="1:39" ht="20.100000000000001" customHeight="1">
      <c r="A755" s="227"/>
      <c r="B755" s="225"/>
      <c r="C755" s="227"/>
      <c r="D755" s="228">
        <f>(SUMPRODUCT(E755:AL755*$E$6:$AL$6)/100)+(SUMPRODUCT(E755:AL755*$E$6:$AL$6*$E$3:$AL$3)/100)</f>
        <v>0</v>
      </c>
      <c r="E755" s="227"/>
      <c r="F755" s="227"/>
      <c r="G755" s="227"/>
      <c r="H755" s="227"/>
      <c r="I755" s="227"/>
      <c r="J755" s="227"/>
      <c r="K755" s="227"/>
      <c r="L755" s="227"/>
      <c r="M755" s="227"/>
      <c r="N755" s="227"/>
      <c r="O755" s="227"/>
      <c r="P755" s="227"/>
      <c r="Q755" s="227"/>
      <c r="R755" s="227"/>
      <c r="S755" s="227"/>
      <c r="T755" s="227"/>
      <c r="U755" s="227"/>
      <c r="V755" s="227"/>
      <c r="W755" s="227"/>
      <c r="X755" s="227"/>
      <c r="Y755" s="227"/>
      <c r="Z755" s="227"/>
      <c r="AA755" s="227"/>
      <c r="AB755" s="227"/>
      <c r="AC755" s="227"/>
      <c r="AD755" s="227"/>
      <c r="AE755" s="227"/>
      <c r="AF755" s="227"/>
      <c r="AG755" s="227"/>
      <c r="AH755" s="227"/>
      <c r="AI755" s="227"/>
      <c r="AJ755" s="227"/>
      <c r="AK755" s="227"/>
      <c r="AL755" s="225"/>
      <c r="AM755" s="227"/>
    </row>
    <row r="756" spans="1:39" ht="20.100000000000001" customHeight="1">
      <c r="A756" s="227"/>
      <c r="B756" s="225"/>
      <c r="C756" s="227"/>
      <c r="D756" s="224"/>
      <c r="E756" s="227"/>
      <c r="F756" s="227"/>
      <c r="G756" s="227"/>
      <c r="H756" s="227"/>
      <c r="I756" s="227"/>
      <c r="J756" s="227"/>
      <c r="K756" s="227"/>
      <c r="L756" s="227"/>
      <c r="M756" s="227"/>
      <c r="N756" s="227"/>
      <c r="O756" s="227"/>
      <c r="P756" s="227"/>
      <c r="Q756" s="227"/>
      <c r="R756" s="227"/>
      <c r="S756" s="227"/>
      <c r="T756" s="227"/>
      <c r="U756" s="227"/>
      <c r="V756" s="227"/>
      <c r="W756" s="227"/>
      <c r="X756" s="227"/>
      <c r="Y756" s="227"/>
      <c r="Z756" s="227"/>
      <c r="AA756" s="227"/>
      <c r="AB756" s="227"/>
      <c r="AC756" s="227"/>
      <c r="AD756" s="227"/>
      <c r="AE756" s="227"/>
      <c r="AF756" s="227"/>
      <c r="AG756" s="227"/>
      <c r="AH756" s="227"/>
      <c r="AI756" s="227"/>
      <c r="AJ756" s="227"/>
      <c r="AK756" s="227"/>
      <c r="AL756" s="225"/>
      <c r="AM756" s="227"/>
    </row>
    <row r="757" spans="1:39" ht="20.100000000000001" customHeight="1">
      <c r="A757" s="227"/>
      <c r="B757" s="225"/>
      <c r="C757" s="227"/>
      <c r="D757" s="228">
        <f>(SUMPRODUCT(E757:AL757*$E$6:$AL$6)/100)+(SUMPRODUCT(E757:AL757*$E$6:$AL$6*$E$3:$AL$3)/100)</f>
        <v>0</v>
      </c>
      <c r="E757" s="227"/>
      <c r="F757" s="227"/>
      <c r="G757" s="227"/>
      <c r="H757" s="227"/>
      <c r="I757" s="227"/>
      <c r="J757" s="227"/>
      <c r="K757" s="227"/>
      <c r="L757" s="227"/>
      <c r="M757" s="227"/>
      <c r="N757" s="227"/>
      <c r="O757" s="227"/>
      <c r="P757" s="227"/>
      <c r="Q757" s="227"/>
      <c r="R757" s="227"/>
      <c r="S757" s="227"/>
      <c r="T757" s="227"/>
      <c r="U757" s="227"/>
      <c r="V757" s="227"/>
      <c r="W757" s="227"/>
      <c r="X757" s="227"/>
      <c r="Y757" s="227"/>
      <c r="Z757" s="227"/>
      <c r="AA757" s="227"/>
      <c r="AB757" s="227"/>
      <c r="AC757" s="227"/>
      <c r="AD757" s="227"/>
      <c r="AE757" s="227"/>
      <c r="AF757" s="227"/>
      <c r="AG757" s="227"/>
      <c r="AH757" s="227"/>
      <c r="AI757" s="227"/>
      <c r="AJ757" s="227"/>
      <c r="AK757" s="227"/>
      <c r="AL757" s="225"/>
      <c r="AM757" s="227"/>
    </row>
    <row r="758" spans="1:39" ht="20.100000000000001" customHeight="1">
      <c r="A758" s="227"/>
      <c r="B758" s="225"/>
      <c r="C758" s="227"/>
      <c r="D758" s="224"/>
      <c r="E758" s="227"/>
      <c r="F758" s="227"/>
      <c r="G758" s="227"/>
      <c r="H758" s="227"/>
      <c r="I758" s="227"/>
      <c r="J758" s="227"/>
      <c r="K758" s="227"/>
      <c r="L758" s="227"/>
      <c r="M758" s="227"/>
      <c r="N758" s="227"/>
      <c r="O758" s="227"/>
      <c r="P758" s="227"/>
      <c r="Q758" s="227"/>
      <c r="R758" s="227"/>
      <c r="S758" s="227"/>
      <c r="T758" s="227"/>
      <c r="U758" s="227"/>
      <c r="V758" s="227"/>
      <c r="W758" s="227"/>
      <c r="X758" s="227"/>
      <c r="Y758" s="227"/>
      <c r="Z758" s="227"/>
      <c r="AA758" s="227"/>
      <c r="AB758" s="227"/>
      <c r="AC758" s="227"/>
      <c r="AD758" s="227"/>
      <c r="AE758" s="227"/>
      <c r="AF758" s="227"/>
      <c r="AG758" s="227"/>
      <c r="AH758" s="227"/>
      <c r="AI758" s="227"/>
      <c r="AJ758" s="227"/>
      <c r="AK758" s="227"/>
      <c r="AL758" s="225"/>
      <c r="AM758" s="227"/>
    </row>
    <row r="759" spans="1:39" ht="20.100000000000001" customHeight="1">
      <c r="A759" s="227"/>
      <c r="B759" s="225"/>
      <c r="C759" s="227"/>
      <c r="D759" s="228">
        <f>(SUMPRODUCT(E759:AL759*$E$6:$AL$6)/100)+(SUMPRODUCT(E759:AL759*$E$6:$AL$6*$E$3:$AL$3)/100)</f>
        <v>0</v>
      </c>
      <c r="E759" s="227"/>
      <c r="F759" s="227"/>
      <c r="G759" s="227"/>
      <c r="H759" s="227"/>
      <c r="I759" s="227"/>
      <c r="J759" s="227"/>
      <c r="K759" s="227"/>
      <c r="L759" s="227"/>
      <c r="M759" s="227"/>
      <c r="N759" s="227"/>
      <c r="O759" s="227"/>
      <c r="P759" s="227"/>
      <c r="Q759" s="227"/>
      <c r="R759" s="227"/>
      <c r="S759" s="227"/>
      <c r="T759" s="227"/>
      <c r="U759" s="227"/>
      <c r="V759" s="227"/>
      <c r="W759" s="227"/>
      <c r="X759" s="227"/>
      <c r="Y759" s="227"/>
      <c r="Z759" s="227"/>
      <c r="AA759" s="227"/>
      <c r="AB759" s="227"/>
      <c r="AC759" s="227"/>
      <c r="AD759" s="227"/>
      <c r="AE759" s="227"/>
      <c r="AF759" s="227"/>
      <c r="AG759" s="227"/>
      <c r="AH759" s="227"/>
      <c r="AI759" s="227"/>
      <c r="AJ759" s="227"/>
      <c r="AK759" s="227"/>
      <c r="AL759" s="225"/>
      <c r="AM759" s="227"/>
    </row>
    <row r="760" spans="1:39" ht="20.100000000000001" customHeight="1">
      <c r="A760" s="227"/>
      <c r="B760" s="225"/>
      <c r="C760" s="227"/>
      <c r="D760" s="224"/>
      <c r="E760" s="227"/>
      <c r="F760" s="227"/>
      <c r="G760" s="227"/>
      <c r="H760" s="227"/>
      <c r="I760" s="227"/>
      <c r="J760" s="227"/>
      <c r="K760" s="227"/>
      <c r="L760" s="227"/>
      <c r="M760" s="227"/>
      <c r="N760" s="227"/>
      <c r="O760" s="227"/>
      <c r="P760" s="227"/>
      <c r="Q760" s="227"/>
      <c r="R760" s="227"/>
      <c r="S760" s="227"/>
      <c r="T760" s="227"/>
      <c r="U760" s="227"/>
      <c r="V760" s="227"/>
      <c r="W760" s="227"/>
      <c r="X760" s="227"/>
      <c r="Y760" s="227"/>
      <c r="Z760" s="227"/>
      <c r="AA760" s="227"/>
      <c r="AB760" s="227"/>
      <c r="AC760" s="227"/>
      <c r="AD760" s="227"/>
      <c r="AE760" s="227"/>
      <c r="AF760" s="227"/>
      <c r="AG760" s="227"/>
      <c r="AH760" s="227"/>
      <c r="AI760" s="227"/>
      <c r="AJ760" s="227"/>
      <c r="AK760" s="227"/>
      <c r="AL760" s="225"/>
      <c r="AM760" s="227"/>
    </row>
    <row r="761" spans="1:39" ht="20.100000000000001" customHeight="1">
      <c r="A761" s="227"/>
      <c r="B761" s="225"/>
      <c r="C761" s="227"/>
      <c r="D761" s="228">
        <f>(SUMPRODUCT(E761:AL761*$E$6:$AL$6)/100)+(SUMPRODUCT(E761:AL761*$E$6:$AL$6*$E$3:$AL$3)/100)</f>
        <v>0</v>
      </c>
      <c r="E761" s="227"/>
      <c r="F761" s="227"/>
      <c r="G761" s="227"/>
      <c r="H761" s="227"/>
      <c r="I761" s="227"/>
      <c r="J761" s="227"/>
      <c r="K761" s="227"/>
      <c r="L761" s="227"/>
      <c r="M761" s="227"/>
      <c r="N761" s="227"/>
      <c r="O761" s="227"/>
      <c r="P761" s="227"/>
      <c r="Q761" s="227"/>
      <c r="R761" s="227"/>
      <c r="S761" s="227"/>
      <c r="T761" s="227"/>
      <c r="U761" s="227"/>
      <c r="V761" s="227"/>
      <c r="W761" s="227"/>
      <c r="X761" s="227"/>
      <c r="Y761" s="227"/>
      <c r="Z761" s="227"/>
      <c r="AA761" s="227"/>
      <c r="AB761" s="227"/>
      <c r="AC761" s="227"/>
      <c r="AD761" s="227"/>
      <c r="AE761" s="227"/>
      <c r="AF761" s="227"/>
      <c r="AG761" s="227"/>
      <c r="AH761" s="227"/>
      <c r="AI761" s="227"/>
      <c r="AJ761" s="227"/>
      <c r="AK761" s="227"/>
      <c r="AL761" s="225"/>
      <c r="AM761" s="227"/>
    </row>
    <row r="762" spans="1:39" ht="20.100000000000001" customHeight="1">
      <c r="A762" s="227"/>
      <c r="B762" s="225"/>
      <c r="C762" s="227"/>
      <c r="D762" s="224"/>
      <c r="E762" s="227"/>
      <c r="F762" s="227"/>
      <c r="G762" s="227"/>
      <c r="H762" s="227"/>
      <c r="I762" s="227"/>
      <c r="J762" s="227"/>
      <c r="K762" s="227"/>
      <c r="L762" s="227"/>
      <c r="M762" s="227"/>
      <c r="N762" s="227"/>
      <c r="O762" s="227"/>
      <c r="P762" s="227"/>
      <c r="Q762" s="227"/>
      <c r="R762" s="227"/>
      <c r="S762" s="227"/>
      <c r="T762" s="227"/>
      <c r="U762" s="227"/>
      <c r="V762" s="227"/>
      <c r="W762" s="227"/>
      <c r="X762" s="227"/>
      <c r="Y762" s="227"/>
      <c r="Z762" s="227"/>
      <c r="AA762" s="227"/>
      <c r="AB762" s="227"/>
      <c r="AC762" s="227"/>
      <c r="AD762" s="227"/>
      <c r="AE762" s="227"/>
      <c r="AF762" s="227"/>
      <c r="AG762" s="227"/>
      <c r="AH762" s="227"/>
      <c r="AI762" s="227"/>
      <c r="AJ762" s="227"/>
      <c r="AK762" s="227"/>
      <c r="AL762" s="225"/>
      <c r="AM762" s="227"/>
    </row>
    <row r="763" spans="1:39" ht="20.100000000000001" customHeight="1">
      <c r="A763" s="227"/>
      <c r="B763" s="225"/>
      <c r="C763" s="227"/>
      <c r="D763" s="228">
        <f>(SUMPRODUCT(E763:AL763*$E$6:$AL$6)/100)+(SUMPRODUCT(E763:AL763*$E$6:$AL$6*$E$3:$AL$3)/100)</f>
        <v>0</v>
      </c>
      <c r="E763" s="227"/>
      <c r="F763" s="227"/>
      <c r="G763" s="227"/>
      <c r="H763" s="227"/>
      <c r="I763" s="227"/>
      <c r="J763" s="227"/>
      <c r="K763" s="227"/>
      <c r="L763" s="227"/>
      <c r="M763" s="227"/>
      <c r="N763" s="227"/>
      <c r="O763" s="227"/>
      <c r="P763" s="227"/>
      <c r="Q763" s="227"/>
      <c r="R763" s="227"/>
      <c r="S763" s="227"/>
      <c r="T763" s="227"/>
      <c r="U763" s="227"/>
      <c r="V763" s="227"/>
      <c r="W763" s="227"/>
      <c r="X763" s="227"/>
      <c r="Y763" s="227"/>
      <c r="Z763" s="227"/>
      <c r="AA763" s="227"/>
      <c r="AB763" s="227"/>
      <c r="AC763" s="227"/>
      <c r="AD763" s="227"/>
      <c r="AE763" s="227"/>
      <c r="AF763" s="227"/>
      <c r="AG763" s="227"/>
      <c r="AH763" s="227"/>
      <c r="AI763" s="227"/>
      <c r="AJ763" s="227"/>
      <c r="AK763" s="227"/>
      <c r="AL763" s="225"/>
      <c r="AM763" s="227"/>
    </row>
    <row r="764" spans="1:39" ht="20.100000000000001" customHeight="1">
      <c r="A764" s="227"/>
      <c r="B764" s="225"/>
      <c r="C764" s="227"/>
      <c r="D764" s="224"/>
      <c r="E764" s="227"/>
      <c r="F764" s="227"/>
      <c r="G764" s="227"/>
      <c r="H764" s="227"/>
      <c r="I764" s="227"/>
      <c r="J764" s="227"/>
      <c r="K764" s="227"/>
      <c r="L764" s="227"/>
      <c r="M764" s="227"/>
      <c r="N764" s="227"/>
      <c r="O764" s="227"/>
      <c r="P764" s="227"/>
      <c r="Q764" s="227"/>
      <c r="R764" s="227"/>
      <c r="S764" s="227"/>
      <c r="T764" s="227"/>
      <c r="U764" s="227"/>
      <c r="V764" s="227"/>
      <c r="W764" s="227"/>
      <c r="X764" s="227"/>
      <c r="Y764" s="227"/>
      <c r="Z764" s="227"/>
      <c r="AA764" s="227"/>
      <c r="AB764" s="227"/>
      <c r="AC764" s="227"/>
      <c r="AD764" s="227"/>
      <c r="AE764" s="227"/>
      <c r="AF764" s="227"/>
      <c r="AG764" s="227"/>
      <c r="AH764" s="227"/>
      <c r="AI764" s="227"/>
      <c r="AJ764" s="227"/>
      <c r="AK764" s="227"/>
      <c r="AL764" s="225"/>
      <c r="AM764" s="227"/>
    </row>
    <row r="765" spans="1:39" ht="20.100000000000001" customHeight="1">
      <c r="A765" s="227"/>
      <c r="B765" s="225"/>
      <c r="C765" s="227"/>
      <c r="D765" s="228">
        <f>(SUMPRODUCT(E765:AL765*$E$6:$AL$6)/100)+(SUMPRODUCT(E765:AL765*$E$6:$AL$6*$E$3:$AL$3)/100)</f>
        <v>0</v>
      </c>
      <c r="E765" s="227"/>
      <c r="F765" s="227"/>
      <c r="G765" s="227"/>
      <c r="H765" s="227"/>
      <c r="I765" s="227"/>
      <c r="J765" s="227"/>
      <c r="K765" s="227"/>
      <c r="L765" s="227"/>
      <c r="M765" s="227"/>
      <c r="N765" s="227"/>
      <c r="O765" s="227"/>
      <c r="P765" s="227"/>
      <c r="Q765" s="227"/>
      <c r="R765" s="227"/>
      <c r="S765" s="227"/>
      <c r="T765" s="227"/>
      <c r="U765" s="227"/>
      <c r="V765" s="227"/>
      <c r="W765" s="227"/>
      <c r="X765" s="227"/>
      <c r="Y765" s="227"/>
      <c r="Z765" s="227"/>
      <c r="AA765" s="227"/>
      <c r="AB765" s="227"/>
      <c r="AC765" s="227"/>
      <c r="AD765" s="227"/>
      <c r="AE765" s="227"/>
      <c r="AF765" s="227"/>
      <c r="AG765" s="227"/>
      <c r="AH765" s="227"/>
      <c r="AI765" s="227"/>
      <c r="AJ765" s="227"/>
      <c r="AK765" s="227"/>
      <c r="AL765" s="225"/>
      <c r="AM765" s="227"/>
    </row>
    <row r="766" spans="1:39" ht="20.100000000000001" customHeight="1">
      <c r="A766" s="227"/>
      <c r="B766" s="225"/>
      <c r="C766" s="227"/>
      <c r="D766" s="224"/>
      <c r="E766" s="227"/>
      <c r="F766" s="227"/>
      <c r="G766" s="227"/>
      <c r="H766" s="227"/>
      <c r="I766" s="227"/>
      <c r="J766" s="227"/>
      <c r="K766" s="227"/>
      <c r="L766" s="227"/>
      <c r="M766" s="227"/>
      <c r="N766" s="227"/>
      <c r="O766" s="227"/>
      <c r="P766" s="227"/>
      <c r="Q766" s="227"/>
      <c r="R766" s="227"/>
      <c r="S766" s="227"/>
      <c r="T766" s="227"/>
      <c r="U766" s="227"/>
      <c r="V766" s="227"/>
      <c r="W766" s="227"/>
      <c r="X766" s="227"/>
      <c r="Y766" s="227"/>
      <c r="Z766" s="227"/>
      <c r="AA766" s="227"/>
      <c r="AB766" s="227"/>
      <c r="AC766" s="227"/>
      <c r="AD766" s="227"/>
      <c r="AE766" s="227"/>
      <c r="AF766" s="227"/>
      <c r="AG766" s="227"/>
      <c r="AH766" s="227"/>
      <c r="AI766" s="227"/>
      <c r="AJ766" s="227"/>
      <c r="AK766" s="227"/>
      <c r="AL766" s="225"/>
      <c r="AM766" s="227"/>
    </row>
    <row r="767" spans="1:39" ht="20.100000000000001" customHeight="1">
      <c r="A767" s="227"/>
      <c r="B767" s="225"/>
      <c r="C767" s="227"/>
      <c r="D767" s="228">
        <f>(SUMPRODUCT(E767:AL767*$E$6:$AL$6)/100)+(SUMPRODUCT(E767:AL767*$E$6:$AL$6*$E$3:$AL$3)/100)</f>
        <v>0</v>
      </c>
      <c r="E767" s="227"/>
      <c r="F767" s="227"/>
      <c r="G767" s="227"/>
      <c r="H767" s="227"/>
      <c r="I767" s="227"/>
      <c r="J767" s="227"/>
      <c r="K767" s="227"/>
      <c r="L767" s="227"/>
      <c r="M767" s="227"/>
      <c r="N767" s="227"/>
      <c r="O767" s="227"/>
      <c r="P767" s="227"/>
      <c r="Q767" s="227"/>
      <c r="R767" s="227"/>
      <c r="S767" s="227"/>
      <c r="T767" s="227"/>
      <c r="U767" s="227"/>
      <c r="V767" s="227"/>
      <c r="W767" s="227"/>
      <c r="X767" s="227"/>
      <c r="Y767" s="227"/>
      <c r="Z767" s="227"/>
      <c r="AA767" s="227"/>
      <c r="AB767" s="227"/>
      <c r="AC767" s="227"/>
      <c r="AD767" s="227"/>
      <c r="AE767" s="227"/>
      <c r="AF767" s="227"/>
      <c r="AG767" s="227"/>
      <c r="AH767" s="227"/>
      <c r="AI767" s="227"/>
      <c r="AJ767" s="227"/>
      <c r="AK767" s="227"/>
      <c r="AL767" s="225"/>
      <c r="AM767" s="227"/>
    </row>
    <row r="768" spans="1:39" ht="20.100000000000001" customHeight="1">
      <c r="A768" s="227"/>
      <c r="B768" s="225"/>
      <c r="C768" s="227"/>
      <c r="D768" s="224"/>
      <c r="E768" s="227"/>
      <c r="F768" s="227"/>
      <c r="G768" s="227"/>
      <c r="H768" s="227"/>
      <c r="I768" s="227"/>
      <c r="J768" s="227"/>
      <c r="K768" s="227"/>
      <c r="L768" s="227"/>
      <c r="M768" s="227"/>
      <c r="N768" s="227"/>
      <c r="O768" s="227"/>
      <c r="P768" s="227"/>
      <c r="Q768" s="227"/>
      <c r="R768" s="227"/>
      <c r="S768" s="227"/>
      <c r="T768" s="227"/>
      <c r="U768" s="227"/>
      <c r="V768" s="227"/>
      <c r="W768" s="227"/>
      <c r="X768" s="227"/>
      <c r="Y768" s="227"/>
      <c r="Z768" s="227"/>
      <c r="AA768" s="227"/>
      <c r="AB768" s="227"/>
      <c r="AC768" s="227"/>
      <c r="AD768" s="227"/>
      <c r="AE768" s="227"/>
      <c r="AF768" s="227"/>
      <c r="AG768" s="227"/>
      <c r="AH768" s="227"/>
      <c r="AI768" s="227"/>
      <c r="AJ768" s="227"/>
      <c r="AK768" s="227"/>
      <c r="AL768" s="225"/>
      <c r="AM768" s="227"/>
    </row>
  </sheetData>
  <mergeCells count="7">
    <mergeCell ref="A2:B2"/>
    <mergeCell ref="AM4:AM6"/>
    <mergeCell ref="D5:D7"/>
    <mergeCell ref="A4:A6"/>
    <mergeCell ref="B4:B6"/>
    <mergeCell ref="C4:C6"/>
    <mergeCell ref="AL4:AL6"/>
  </mergeCells>
  <phoneticPr fontId="24" type="noConversion"/>
  <conditionalFormatting sqref="C1:C3 C8:C1048576">
    <cfRule type="duplicateValues" dxfId="3" priority="2"/>
  </conditionalFormatting>
  <conditionalFormatting sqref="C4:C7">
    <cfRule type="duplicateValues" dxfId="2" priority="1"/>
  </conditionalFormatting>
  <pageMargins left="0" right="0" top="0" bottom="0" header="0" footer="0"/>
  <pageSetup paperSize="9" scale="68" orientation="landscape" verticalDpi="300" r:id="rId1"/>
  <headerFooter alignWithMargins="0"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F0FBE-0F2B-4521-B8FF-351C58AE10A9}">
  <dimension ref="A1:CV768"/>
  <sheetViews>
    <sheetView zoomScaleNormal="100" workbookViewId="0">
      <pane xSplit="4" ySplit="7" topLeftCell="E8" activePane="bottomRight" state="frozen"/>
      <selection pane="topRight" activeCell="F1" sqref="F1"/>
      <selection pane="bottomLeft" activeCell="A9" sqref="A9"/>
      <selection pane="bottomRight" activeCell="CV365" sqref="CV365"/>
    </sheetView>
  </sheetViews>
  <sheetFormatPr defaultRowHeight="20.100000000000001" customHeight="1"/>
  <cols>
    <col min="1" max="1" width="4.5" style="192" customWidth="1"/>
    <col min="2" max="2" width="20.5" style="229" customWidth="1"/>
    <col min="3" max="3" width="7.875" style="192" customWidth="1"/>
    <col min="4" max="4" width="6.875" style="230" customWidth="1"/>
    <col min="5" max="5" width="7.25" style="192" customWidth="1"/>
    <col min="6" max="68" width="6.125" style="192" customWidth="1"/>
    <col min="69" max="94" width="6.125" style="192" hidden="1" customWidth="1"/>
    <col min="95" max="98" width="6.875" style="192" hidden="1" customWidth="1"/>
    <col min="99" max="99" width="7.875" style="229" customWidth="1"/>
    <col min="100" max="100" width="6" style="192" customWidth="1"/>
    <col min="101" max="218" width="8.75" style="192"/>
    <col min="219" max="219" width="4.5" style="192" customWidth="1"/>
    <col min="220" max="220" width="20.5" style="192" customWidth="1"/>
    <col min="221" max="221" width="7.875" style="192" customWidth="1"/>
    <col min="222" max="222" width="6.875" style="192" customWidth="1"/>
    <col min="223" max="223" width="7.25" style="192" customWidth="1"/>
    <col min="224" max="286" width="6.125" style="192" customWidth="1"/>
    <col min="287" max="296" width="0" style="192" hidden="1" customWidth="1"/>
    <col min="297" max="301" width="6.875" style="192" customWidth="1"/>
    <col min="302" max="354" width="0" style="192" hidden="1" customWidth="1"/>
    <col min="355" max="355" width="7.875" style="192" customWidth="1"/>
    <col min="356" max="356" width="6" style="192" customWidth="1"/>
    <col min="357" max="474" width="8.75" style="192"/>
    <col min="475" max="475" width="4.5" style="192" customWidth="1"/>
    <col min="476" max="476" width="20.5" style="192" customWidth="1"/>
    <col min="477" max="477" width="7.875" style="192" customWidth="1"/>
    <col min="478" max="478" width="6.875" style="192" customWidth="1"/>
    <col min="479" max="479" width="7.25" style="192" customWidth="1"/>
    <col min="480" max="542" width="6.125" style="192" customWidth="1"/>
    <col min="543" max="552" width="0" style="192" hidden="1" customWidth="1"/>
    <col min="553" max="557" width="6.875" style="192" customWidth="1"/>
    <col min="558" max="610" width="0" style="192" hidden="1" customWidth="1"/>
    <col min="611" max="611" width="7.875" style="192" customWidth="1"/>
    <col min="612" max="612" width="6" style="192" customWidth="1"/>
    <col min="613" max="730" width="8.75" style="192"/>
    <col min="731" max="731" width="4.5" style="192" customWidth="1"/>
    <col min="732" max="732" width="20.5" style="192" customWidth="1"/>
    <col min="733" max="733" width="7.875" style="192" customWidth="1"/>
    <col min="734" max="734" width="6.875" style="192" customWidth="1"/>
    <col min="735" max="735" width="7.25" style="192" customWidth="1"/>
    <col min="736" max="798" width="6.125" style="192" customWidth="1"/>
    <col min="799" max="808" width="0" style="192" hidden="1" customWidth="1"/>
    <col min="809" max="813" width="6.875" style="192" customWidth="1"/>
    <col min="814" max="866" width="0" style="192" hidden="1" customWidth="1"/>
    <col min="867" max="867" width="7.875" style="192" customWidth="1"/>
    <col min="868" max="868" width="6" style="192" customWidth="1"/>
    <col min="869" max="986" width="8.75" style="192"/>
    <col min="987" max="987" width="4.5" style="192" customWidth="1"/>
    <col min="988" max="988" width="20.5" style="192" customWidth="1"/>
    <col min="989" max="989" width="7.875" style="192" customWidth="1"/>
    <col min="990" max="990" width="6.875" style="192" customWidth="1"/>
    <col min="991" max="991" width="7.25" style="192" customWidth="1"/>
    <col min="992" max="1054" width="6.125" style="192" customWidth="1"/>
    <col min="1055" max="1064" width="0" style="192" hidden="1" customWidth="1"/>
    <col min="1065" max="1069" width="6.875" style="192" customWidth="1"/>
    <col min="1070" max="1122" width="0" style="192" hidden="1" customWidth="1"/>
    <col min="1123" max="1123" width="7.875" style="192" customWidth="1"/>
    <col min="1124" max="1124" width="6" style="192" customWidth="1"/>
    <col min="1125" max="1242" width="8.75" style="192"/>
    <col min="1243" max="1243" width="4.5" style="192" customWidth="1"/>
    <col min="1244" max="1244" width="20.5" style="192" customWidth="1"/>
    <col min="1245" max="1245" width="7.875" style="192" customWidth="1"/>
    <col min="1246" max="1246" width="6.875" style="192" customWidth="1"/>
    <col min="1247" max="1247" width="7.25" style="192" customWidth="1"/>
    <col min="1248" max="1310" width="6.125" style="192" customWidth="1"/>
    <col min="1311" max="1320" width="0" style="192" hidden="1" customWidth="1"/>
    <col min="1321" max="1325" width="6.875" style="192" customWidth="1"/>
    <col min="1326" max="1378" width="0" style="192" hidden="1" customWidth="1"/>
    <col min="1379" max="1379" width="7.875" style="192" customWidth="1"/>
    <col min="1380" max="1380" width="6" style="192" customWidth="1"/>
    <col min="1381" max="1498" width="8.75" style="192"/>
    <col min="1499" max="1499" width="4.5" style="192" customWidth="1"/>
    <col min="1500" max="1500" width="20.5" style="192" customWidth="1"/>
    <col min="1501" max="1501" width="7.875" style="192" customWidth="1"/>
    <col min="1502" max="1502" width="6.875" style="192" customWidth="1"/>
    <col min="1503" max="1503" width="7.25" style="192" customWidth="1"/>
    <col min="1504" max="1566" width="6.125" style="192" customWidth="1"/>
    <col min="1567" max="1576" width="0" style="192" hidden="1" customWidth="1"/>
    <col min="1577" max="1581" width="6.875" style="192" customWidth="1"/>
    <col min="1582" max="1634" width="0" style="192" hidden="1" customWidth="1"/>
    <col min="1635" max="1635" width="7.875" style="192" customWidth="1"/>
    <col min="1636" max="1636" width="6" style="192" customWidth="1"/>
    <col min="1637" max="1754" width="8.75" style="192"/>
    <col min="1755" max="1755" width="4.5" style="192" customWidth="1"/>
    <col min="1756" max="1756" width="20.5" style="192" customWidth="1"/>
    <col min="1757" max="1757" width="7.875" style="192" customWidth="1"/>
    <col min="1758" max="1758" width="6.875" style="192" customWidth="1"/>
    <col min="1759" max="1759" width="7.25" style="192" customWidth="1"/>
    <col min="1760" max="1822" width="6.125" style="192" customWidth="1"/>
    <col min="1823" max="1832" width="0" style="192" hidden="1" customWidth="1"/>
    <col min="1833" max="1837" width="6.875" style="192" customWidth="1"/>
    <col min="1838" max="1890" width="0" style="192" hidden="1" customWidth="1"/>
    <col min="1891" max="1891" width="7.875" style="192" customWidth="1"/>
    <col min="1892" max="1892" width="6" style="192" customWidth="1"/>
    <col min="1893" max="2010" width="8.75" style="192"/>
    <col min="2011" max="2011" width="4.5" style="192" customWidth="1"/>
    <col min="2012" max="2012" width="20.5" style="192" customWidth="1"/>
    <col min="2013" max="2013" width="7.875" style="192" customWidth="1"/>
    <col min="2014" max="2014" width="6.875" style="192" customWidth="1"/>
    <col min="2015" max="2015" width="7.25" style="192" customWidth="1"/>
    <col min="2016" max="2078" width="6.125" style="192" customWidth="1"/>
    <col min="2079" max="2088" width="0" style="192" hidden="1" customWidth="1"/>
    <col min="2089" max="2093" width="6.875" style="192" customWidth="1"/>
    <col min="2094" max="2146" width="0" style="192" hidden="1" customWidth="1"/>
    <col min="2147" max="2147" width="7.875" style="192" customWidth="1"/>
    <col min="2148" max="2148" width="6" style="192" customWidth="1"/>
    <col min="2149" max="2266" width="8.75" style="192"/>
    <col min="2267" max="2267" width="4.5" style="192" customWidth="1"/>
    <col min="2268" max="2268" width="20.5" style="192" customWidth="1"/>
    <col min="2269" max="2269" width="7.875" style="192" customWidth="1"/>
    <col min="2270" max="2270" width="6.875" style="192" customWidth="1"/>
    <col min="2271" max="2271" width="7.25" style="192" customWidth="1"/>
    <col min="2272" max="2334" width="6.125" style="192" customWidth="1"/>
    <col min="2335" max="2344" width="0" style="192" hidden="1" customWidth="1"/>
    <col min="2345" max="2349" width="6.875" style="192" customWidth="1"/>
    <col min="2350" max="2402" width="0" style="192" hidden="1" customWidth="1"/>
    <col min="2403" max="2403" width="7.875" style="192" customWidth="1"/>
    <col min="2404" max="2404" width="6" style="192" customWidth="1"/>
    <col min="2405" max="2522" width="8.75" style="192"/>
    <col min="2523" max="2523" width="4.5" style="192" customWidth="1"/>
    <col min="2524" max="2524" width="20.5" style="192" customWidth="1"/>
    <col min="2525" max="2525" width="7.875" style="192" customWidth="1"/>
    <col min="2526" max="2526" width="6.875" style="192" customWidth="1"/>
    <col min="2527" max="2527" width="7.25" style="192" customWidth="1"/>
    <col min="2528" max="2590" width="6.125" style="192" customWidth="1"/>
    <col min="2591" max="2600" width="0" style="192" hidden="1" customWidth="1"/>
    <col min="2601" max="2605" width="6.875" style="192" customWidth="1"/>
    <col min="2606" max="2658" width="0" style="192" hidden="1" customWidth="1"/>
    <col min="2659" max="2659" width="7.875" style="192" customWidth="1"/>
    <col min="2660" max="2660" width="6" style="192" customWidth="1"/>
    <col min="2661" max="2778" width="8.75" style="192"/>
    <col min="2779" max="2779" width="4.5" style="192" customWidth="1"/>
    <col min="2780" max="2780" width="20.5" style="192" customWidth="1"/>
    <col min="2781" max="2781" width="7.875" style="192" customWidth="1"/>
    <col min="2782" max="2782" width="6.875" style="192" customWidth="1"/>
    <col min="2783" max="2783" width="7.25" style="192" customWidth="1"/>
    <col min="2784" max="2846" width="6.125" style="192" customWidth="1"/>
    <col min="2847" max="2856" width="0" style="192" hidden="1" customWidth="1"/>
    <col min="2857" max="2861" width="6.875" style="192" customWidth="1"/>
    <col min="2862" max="2914" width="0" style="192" hidden="1" customWidth="1"/>
    <col min="2915" max="2915" width="7.875" style="192" customWidth="1"/>
    <col min="2916" max="2916" width="6" style="192" customWidth="1"/>
    <col min="2917" max="3034" width="8.75" style="192"/>
    <col min="3035" max="3035" width="4.5" style="192" customWidth="1"/>
    <col min="3036" max="3036" width="20.5" style="192" customWidth="1"/>
    <col min="3037" max="3037" width="7.875" style="192" customWidth="1"/>
    <col min="3038" max="3038" width="6.875" style="192" customWidth="1"/>
    <col min="3039" max="3039" width="7.25" style="192" customWidth="1"/>
    <col min="3040" max="3102" width="6.125" style="192" customWidth="1"/>
    <col min="3103" max="3112" width="0" style="192" hidden="1" customWidth="1"/>
    <col min="3113" max="3117" width="6.875" style="192" customWidth="1"/>
    <col min="3118" max="3170" width="0" style="192" hidden="1" customWidth="1"/>
    <col min="3171" max="3171" width="7.875" style="192" customWidth="1"/>
    <col min="3172" max="3172" width="6" style="192" customWidth="1"/>
    <col min="3173" max="3290" width="8.75" style="192"/>
    <col min="3291" max="3291" width="4.5" style="192" customWidth="1"/>
    <col min="3292" max="3292" width="20.5" style="192" customWidth="1"/>
    <col min="3293" max="3293" width="7.875" style="192" customWidth="1"/>
    <col min="3294" max="3294" width="6.875" style="192" customWidth="1"/>
    <col min="3295" max="3295" width="7.25" style="192" customWidth="1"/>
    <col min="3296" max="3358" width="6.125" style="192" customWidth="1"/>
    <col min="3359" max="3368" width="0" style="192" hidden="1" customWidth="1"/>
    <col min="3369" max="3373" width="6.875" style="192" customWidth="1"/>
    <col min="3374" max="3426" width="0" style="192" hidden="1" customWidth="1"/>
    <col min="3427" max="3427" width="7.875" style="192" customWidth="1"/>
    <col min="3428" max="3428" width="6" style="192" customWidth="1"/>
    <col min="3429" max="3546" width="8.75" style="192"/>
    <col min="3547" max="3547" width="4.5" style="192" customWidth="1"/>
    <col min="3548" max="3548" width="20.5" style="192" customWidth="1"/>
    <col min="3549" max="3549" width="7.875" style="192" customWidth="1"/>
    <col min="3550" max="3550" width="6.875" style="192" customWidth="1"/>
    <col min="3551" max="3551" width="7.25" style="192" customWidth="1"/>
    <col min="3552" max="3614" width="6.125" style="192" customWidth="1"/>
    <col min="3615" max="3624" width="0" style="192" hidden="1" customWidth="1"/>
    <col min="3625" max="3629" width="6.875" style="192" customWidth="1"/>
    <col min="3630" max="3682" width="0" style="192" hidden="1" customWidth="1"/>
    <col min="3683" max="3683" width="7.875" style="192" customWidth="1"/>
    <col min="3684" max="3684" width="6" style="192" customWidth="1"/>
    <col min="3685" max="3802" width="8.75" style="192"/>
    <col min="3803" max="3803" width="4.5" style="192" customWidth="1"/>
    <col min="3804" max="3804" width="20.5" style="192" customWidth="1"/>
    <col min="3805" max="3805" width="7.875" style="192" customWidth="1"/>
    <col min="3806" max="3806" width="6.875" style="192" customWidth="1"/>
    <col min="3807" max="3807" width="7.25" style="192" customWidth="1"/>
    <col min="3808" max="3870" width="6.125" style="192" customWidth="1"/>
    <col min="3871" max="3880" width="0" style="192" hidden="1" customWidth="1"/>
    <col min="3881" max="3885" width="6.875" style="192" customWidth="1"/>
    <col min="3886" max="3938" width="0" style="192" hidden="1" customWidth="1"/>
    <col min="3939" max="3939" width="7.875" style="192" customWidth="1"/>
    <col min="3940" max="3940" width="6" style="192" customWidth="1"/>
    <col min="3941" max="4058" width="8.75" style="192"/>
    <col min="4059" max="4059" width="4.5" style="192" customWidth="1"/>
    <col min="4060" max="4060" width="20.5" style="192" customWidth="1"/>
    <col min="4061" max="4061" width="7.875" style="192" customWidth="1"/>
    <col min="4062" max="4062" width="6.875" style="192" customWidth="1"/>
    <col min="4063" max="4063" width="7.25" style="192" customWidth="1"/>
    <col min="4064" max="4126" width="6.125" style="192" customWidth="1"/>
    <col min="4127" max="4136" width="0" style="192" hidden="1" customWidth="1"/>
    <col min="4137" max="4141" width="6.875" style="192" customWidth="1"/>
    <col min="4142" max="4194" width="0" style="192" hidden="1" customWidth="1"/>
    <col min="4195" max="4195" width="7.875" style="192" customWidth="1"/>
    <col min="4196" max="4196" width="6" style="192" customWidth="1"/>
    <col min="4197" max="4314" width="8.75" style="192"/>
    <col min="4315" max="4315" width="4.5" style="192" customWidth="1"/>
    <col min="4316" max="4316" width="20.5" style="192" customWidth="1"/>
    <col min="4317" max="4317" width="7.875" style="192" customWidth="1"/>
    <col min="4318" max="4318" width="6.875" style="192" customWidth="1"/>
    <col min="4319" max="4319" width="7.25" style="192" customWidth="1"/>
    <col min="4320" max="4382" width="6.125" style="192" customWidth="1"/>
    <col min="4383" max="4392" width="0" style="192" hidden="1" customWidth="1"/>
    <col min="4393" max="4397" width="6.875" style="192" customWidth="1"/>
    <col min="4398" max="4450" width="0" style="192" hidden="1" customWidth="1"/>
    <col min="4451" max="4451" width="7.875" style="192" customWidth="1"/>
    <col min="4452" max="4452" width="6" style="192" customWidth="1"/>
    <col min="4453" max="4570" width="8.75" style="192"/>
    <col min="4571" max="4571" width="4.5" style="192" customWidth="1"/>
    <col min="4572" max="4572" width="20.5" style="192" customWidth="1"/>
    <col min="4573" max="4573" width="7.875" style="192" customWidth="1"/>
    <col min="4574" max="4574" width="6.875" style="192" customWidth="1"/>
    <col min="4575" max="4575" width="7.25" style="192" customWidth="1"/>
    <col min="4576" max="4638" width="6.125" style="192" customWidth="1"/>
    <col min="4639" max="4648" width="0" style="192" hidden="1" customWidth="1"/>
    <col min="4649" max="4653" width="6.875" style="192" customWidth="1"/>
    <col min="4654" max="4706" width="0" style="192" hidden="1" customWidth="1"/>
    <col min="4707" max="4707" width="7.875" style="192" customWidth="1"/>
    <col min="4708" max="4708" width="6" style="192" customWidth="1"/>
    <col min="4709" max="4826" width="8.75" style="192"/>
    <col min="4827" max="4827" width="4.5" style="192" customWidth="1"/>
    <col min="4828" max="4828" width="20.5" style="192" customWidth="1"/>
    <col min="4829" max="4829" width="7.875" style="192" customWidth="1"/>
    <col min="4830" max="4830" width="6.875" style="192" customWidth="1"/>
    <col min="4831" max="4831" width="7.25" style="192" customWidth="1"/>
    <col min="4832" max="4894" width="6.125" style="192" customWidth="1"/>
    <col min="4895" max="4904" width="0" style="192" hidden="1" customWidth="1"/>
    <col min="4905" max="4909" width="6.875" style="192" customWidth="1"/>
    <col min="4910" max="4962" width="0" style="192" hidden="1" customWidth="1"/>
    <col min="4963" max="4963" width="7.875" style="192" customWidth="1"/>
    <col min="4964" max="4964" width="6" style="192" customWidth="1"/>
    <col min="4965" max="5082" width="8.75" style="192"/>
    <col min="5083" max="5083" width="4.5" style="192" customWidth="1"/>
    <col min="5084" max="5084" width="20.5" style="192" customWidth="1"/>
    <col min="5085" max="5085" width="7.875" style="192" customWidth="1"/>
    <col min="5086" max="5086" width="6.875" style="192" customWidth="1"/>
    <col min="5087" max="5087" width="7.25" style="192" customWidth="1"/>
    <col min="5088" max="5150" width="6.125" style="192" customWidth="1"/>
    <col min="5151" max="5160" width="0" style="192" hidden="1" customWidth="1"/>
    <col min="5161" max="5165" width="6.875" style="192" customWidth="1"/>
    <col min="5166" max="5218" width="0" style="192" hidden="1" customWidth="1"/>
    <col min="5219" max="5219" width="7.875" style="192" customWidth="1"/>
    <col min="5220" max="5220" width="6" style="192" customWidth="1"/>
    <col min="5221" max="5338" width="8.75" style="192"/>
    <col min="5339" max="5339" width="4.5" style="192" customWidth="1"/>
    <col min="5340" max="5340" width="20.5" style="192" customWidth="1"/>
    <col min="5341" max="5341" width="7.875" style="192" customWidth="1"/>
    <col min="5342" max="5342" width="6.875" style="192" customWidth="1"/>
    <col min="5343" max="5343" width="7.25" style="192" customWidth="1"/>
    <col min="5344" max="5406" width="6.125" style="192" customWidth="1"/>
    <col min="5407" max="5416" width="0" style="192" hidden="1" customWidth="1"/>
    <col min="5417" max="5421" width="6.875" style="192" customWidth="1"/>
    <col min="5422" max="5474" width="0" style="192" hidden="1" customWidth="1"/>
    <col min="5475" max="5475" width="7.875" style="192" customWidth="1"/>
    <col min="5476" max="5476" width="6" style="192" customWidth="1"/>
    <col min="5477" max="5594" width="8.75" style="192"/>
    <col min="5595" max="5595" width="4.5" style="192" customWidth="1"/>
    <col min="5596" max="5596" width="20.5" style="192" customWidth="1"/>
    <col min="5597" max="5597" width="7.875" style="192" customWidth="1"/>
    <col min="5598" max="5598" width="6.875" style="192" customWidth="1"/>
    <col min="5599" max="5599" width="7.25" style="192" customWidth="1"/>
    <col min="5600" max="5662" width="6.125" style="192" customWidth="1"/>
    <col min="5663" max="5672" width="0" style="192" hidden="1" customWidth="1"/>
    <col min="5673" max="5677" width="6.875" style="192" customWidth="1"/>
    <col min="5678" max="5730" width="0" style="192" hidden="1" customWidth="1"/>
    <col min="5731" max="5731" width="7.875" style="192" customWidth="1"/>
    <col min="5732" max="5732" width="6" style="192" customWidth="1"/>
    <col min="5733" max="5850" width="8.75" style="192"/>
    <col min="5851" max="5851" width="4.5" style="192" customWidth="1"/>
    <col min="5852" max="5852" width="20.5" style="192" customWidth="1"/>
    <col min="5853" max="5853" width="7.875" style="192" customWidth="1"/>
    <col min="5854" max="5854" width="6.875" style="192" customWidth="1"/>
    <col min="5855" max="5855" width="7.25" style="192" customWidth="1"/>
    <col min="5856" max="5918" width="6.125" style="192" customWidth="1"/>
    <col min="5919" max="5928" width="0" style="192" hidden="1" customWidth="1"/>
    <col min="5929" max="5933" width="6.875" style="192" customWidth="1"/>
    <col min="5934" max="5986" width="0" style="192" hidden="1" customWidth="1"/>
    <col min="5987" max="5987" width="7.875" style="192" customWidth="1"/>
    <col min="5988" max="5988" width="6" style="192" customWidth="1"/>
    <col min="5989" max="6106" width="8.75" style="192"/>
    <col min="6107" max="6107" width="4.5" style="192" customWidth="1"/>
    <col min="6108" max="6108" width="20.5" style="192" customWidth="1"/>
    <col min="6109" max="6109" width="7.875" style="192" customWidth="1"/>
    <col min="6110" max="6110" width="6.875" style="192" customWidth="1"/>
    <col min="6111" max="6111" width="7.25" style="192" customWidth="1"/>
    <col min="6112" max="6174" width="6.125" style="192" customWidth="1"/>
    <col min="6175" max="6184" width="0" style="192" hidden="1" customWidth="1"/>
    <col min="6185" max="6189" width="6.875" style="192" customWidth="1"/>
    <col min="6190" max="6242" width="0" style="192" hidden="1" customWidth="1"/>
    <col min="6243" max="6243" width="7.875" style="192" customWidth="1"/>
    <col min="6244" max="6244" width="6" style="192" customWidth="1"/>
    <col min="6245" max="6362" width="8.75" style="192"/>
    <col min="6363" max="6363" width="4.5" style="192" customWidth="1"/>
    <col min="6364" max="6364" width="20.5" style="192" customWidth="1"/>
    <col min="6365" max="6365" width="7.875" style="192" customWidth="1"/>
    <col min="6366" max="6366" width="6.875" style="192" customWidth="1"/>
    <col min="6367" max="6367" width="7.25" style="192" customWidth="1"/>
    <col min="6368" max="6430" width="6.125" style="192" customWidth="1"/>
    <col min="6431" max="6440" width="0" style="192" hidden="1" customWidth="1"/>
    <col min="6441" max="6445" width="6.875" style="192" customWidth="1"/>
    <col min="6446" max="6498" width="0" style="192" hidden="1" customWidth="1"/>
    <col min="6499" max="6499" width="7.875" style="192" customWidth="1"/>
    <col min="6500" max="6500" width="6" style="192" customWidth="1"/>
    <col min="6501" max="6618" width="8.75" style="192"/>
    <col min="6619" max="6619" width="4.5" style="192" customWidth="1"/>
    <col min="6620" max="6620" width="20.5" style="192" customWidth="1"/>
    <col min="6621" max="6621" width="7.875" style="192" customWidth="1"/>
    <col min="6622" max="6622" width="6.875" style="192" customWidth="1"/>
    <col min="6623" max="6623" width="7.25" style="192" customWidth="1"/>
    <col min="6624" max="6686" width="6.125" style="192" customWidth="1"/>
    <col min="6687" max="6696" width="0" style="192" hidden="1" customWidth="1"/>
    <col min="6697" max="6701" width="6.875" style="192" customWidth="1"/>
    <col min="6702" max="6754" width="0" style="192" hidden="1" customWidth="1"/>
    <col min="6755" max="6755" width="7.875" style="192" customWidth="1"/>
    <col min="6756" max="6756" width="6" style="192" customWidth="1"/>
    <col min="6757" max="6874" width="8.75" style="192"/>
    <col min="6875" max="6875" width="4.5" style="192" customWidth="1"/>
    <col min="6876" max="6876" width="20.5" style="192" customWidth="1"/>
    <col min="6877" max="6877" width="7.875" style="192" customWidth="1"/>
    <col min="6878" max="6878" width="6.875" style="192" customWidth="1"/>
    <col min="6879" max="6879" width="7.25" style="192" customWidth="1"/>
    <col min="6880" max="6942" width="6.125" style="192" customWidth="1"/>
    <col min="6943" max="6952" width="0" style="192" hidden="1" customWidth="1"/>
    <col min="6953" max="6957" width="6.875" style="192" customWidth="1"/>
    <col min="6958" max="7010" width="0" style="192" hidden="1" customWidth="1"/>
    <col min="7011" max="7011" width="7.875" style="192" customWidth="1"/>
    <col min="7012" max="7012" width="6" style="192" customWidth="1"/>
    <col min="7013" max="7130" width="8.75" style="192"/>
    <col min="7131" max="7131" width="4.5" style="192" customWidth="1"/>
    <col min="7132" max="7132" width="20.5" style="192" customWidth="1"/>
    <col min="7133" max="7133" width="7.875" style="192" customWidth="1"/>
    <col min="7134" max="7134" width="6.875" style="192" customWidth="1"/>
    <col min="7135" max="7135" width="7.25" style="192" customWidth="1"/>
    <col min="7136" max="7198" width="6.125" style="192" customWidth="1"/>
    <col min="7199" max="7208" width="0" style="192" hidden="1" customWidth="1"/>
    <col min="7209" max="7213" width="6.875" style="192" customWidth="1"/>
    <col min="7214" max="7266" width="0" style="192" hidden="1" customWidth="1"/>
    <col min="7267" max="7267" width="7.875" style="192" customWidth="1"/>
    <col min="7268" max="7268" width="6" style="192" customWidth="1"/>
    <col min="7269" max="7386" width="8.75" style="192"/>
    <col min="7387" max="7387" width="4.5" style="192" customWidth="1"/>
    <col min="7388" max="7388" width="20.5" style="192" customWidth="1"/>
    <col min="7389" max="7389" width="7.875" style="192" customWidth="1"/>
    <col min="7390" max="7390" width="6.875" style="192" customWidth="1"/>
    <col min="7391" max="7391" width="7.25" style="192" customWidth="1"/>
    <col min="7392" max="7454" width="6.125" style="192" customWidth="1"/>
    <col min="7455" max="7464" width="0" style="192" hidden="1" customWidth="1"/>
    <col min="7465" max="7469" width="6.875" style="192" customWidth="1"/>
    <col min="7470" max="7522" width="0" style="192" hidden="1" customWidth="1"/>
    <col min="7523" max="7523" width="7.875" style="192" customWidth="1"/>
    <col min="7524" max="7524" width="6" style="192" customWidth="1"/>
    <col min="7525" max="7642" width="8.75" style="192"/>
    <col min="7643" max="7643" width="4.5" style="192" customWidth="1"/>
    <col min="7644" max="7644" width="20.5" style="192" customWidth="1"/>
    <col min="7645" max="7645" width="7.875" style="192" customWidth="1"/>
    <col min="7646" max="7646" width="6.875" style="192" customWidth="1"/>
    <col min="7647" max="7647" width="7.25" style="192" customWidth="1"/>
    <col min="7648" max="7710" width="6.125" style="192" customWidth="1"/>
    <col min="7711" max="7720" width="0" style="192" hidden="1" customWidth="1"/>
    <col min="7721" max="7725" width="6.875" style="192" customWidth="1"/>
    <col min="7726" max="7778" width="0" style="192" hidden="1" customWidth="1"/>
    <col min="7779" max="7779" width="7.875" style="192" customWidth="1"/>
    <col min="7780" max="7780" width="6" style="192" customWidth="1"/>
    <col min="7781" max="7898" width="8.75" style="192"/>
    <col min="7899" max="7899" width="4.5" style="192" customWidth="1"/>
    <col min="7900" max="7900" width="20.5" style="192" customWidth="1"/>
    <col min="7901" max="7901" width="7.875" style="192" customWidth="1"/>
    <col min="7902" max="7902" width="6.875" style="192" customWidth="1"/>
    <col min="7903" max="7903" width="7.25" style="192" customWidth="1"/>
    <col min="7904" max="7966" width="6.125" style="192" customWidth="1"/>
    <col min="7967" max="7976" width="0" style="192" hidden="1" customWidth="1"/>
    <col min="7977" max="7981" width="6.875" style="192" customWidth="1"/>
    <col min="7982" max="8034" width="0" style="192" hidden="1" customWidth="1"/>
    <col min="8035" max="8035" width="7.875" style="192" customWidth="1"/>
    <col min="8036" max="8036" width="6" style="192" customWidth="1"/>
    <col min="8037" max="8154" width="8.75" style="192"/>
    <col min="8155" max="8155" width="4.5" style="192" customWidth="1"/>
    <col min="8156" max="8156" width="20.5" style="192" customWidth="1"/>
    <col min="8157" max="8157" width="7.875" style="192" customWidth="1"/>
    <col min="8158" max="8158" width="6.875" style="192" customWidth="1"/>
    <col min="8159" max="8159" width="7.25" style="192" customWidth="1"/>
    <col min="8160" max="8222" width="6.125" style="192" customWidth="1"/>
    <col min="8223" max="8232" width="0" style="192" hidden="1" customWidth="1"/>
    <col min="8233" max="8237" width="6.875" style="192" customWidth="1"/>
    <col min="8238" max="8290" width="0" style="192" hidden="1" customWidth="1"/>
    <col min="8291" max="8291" width="7.875" style="192" customWidth="1"/>
    <col min="8292" max="8292" width="6" style="192" customWidth="1"/>
    <col min="8293" max="8410" width="8.75" style="192"/>
    <col min="8411" max="8411" width="4.5" style="192" customWidth="1"/>
    <col min="8412" max="8412" width="20.5" style="192" customWidth="1"/>
    <col min="8413" max="8413" width="7.875" style="192" customWidth="1"/>
    <col min="8414" max="8414" width="6.875" style="192" customWidth="1"/>
    <col min="8415" max="8415" width="7.25" style="192" customWidth="1"/>
    <col min="8416" max="8478" width="6.125" style="192" customWidth="1"/>
    <col min="8479" max="8488" width="0" style="192" hidden="1" customWidth="1"/>
    <col min="8489" max="8493" width="6.875" style="192" customWidth="1"/>
    <col min="8494" max="8546" width="0" style="192" hidden="1" customWidth="1"/>
    <col min="8547" max="8547" width="7.875" style="192" customWidth="1"/>
    <col min="8548" max="8548" width="6" style="192" customWidth="1"/>
    <col min="8549" max="8666" width="8.75" style="192"/>
    <col min="8667" max="8667" width="4.5" style="192" customWidth="1"/>
    <col min="8668" max="8668" width="20.5" style="192" customWidth="1"/>
    <col min="8669" max="8669" width="7.875" style="192" customWidth="1"/>
    <col min="8670" max="8670" width="6.875" style="192" customWidth="1"/>
    <col min="8671" max="8671" width="7.25" style="192" customWidth="1"/>
    <col min="8672" max="8734" width="6.125" style="192" customWidth="1"/>
    <col min="8735" max="8744" width="0" style="192" hidden="1" customWidth="1"/>
    <col min="8745" max="8749" width="6.875" style="192" customWidth="1"/>
    <col min="8750" max="8802" width="0" style="192" hidden="1" customWidth="1"/>
    <col min="8803" max="8803" width="7.875" style="192" customWidth="1"/>
    <col min="8804" max="8804" width="6" style="192" customWidth="1"/>
    <col min="8805" max="8922" width="8.75" style="192"/>
    <col min="8923" max="8923" width="4.5" style="192" customWidth="1"/>
    <col min="8924" max="8924" width="20.5" style="192" customWidth="1"/>
    <col min="8925" max="8925" width="7.875" style="192" customWidth="1"/>
    <col min="8926" max="8926" width="6.875" style="192" customWidth="1"/>
    <col min="8927" max="8927" width="7.25" style="192" customWidth="1"/>
    <col min="8928" max="8990" width="6.125" style="192" customWidth="1"/>
    <col min="8991" max="9000" width="0" style="192" hidden="1" customWidth="1"/>
    <col min="9001" max="9005" width="6.875" style="192" customWidth="1"/>
    <col min="9006" max="9058" width="0" style="192" hidden="1" customWidth="1"/>
    <col min="9059" max="9059" width="7.875" style="192" customWidth="1"/>
    <col min="9060" max="9060" width="6" style="192" customWidth="1"/>
    <col min="9061" max="9178" width="8.75" style="192"/>
    <col min="9179" max="9179" width="4.5" style="192" customWidth="1"/>
    <col min="9180" max="9180" width="20.5" style="192" customWidth="1"/>
    <col min="9181" max="9181" width="7.875" style="192" customWidth="1"/>
    <col min="9182" max="9182" width="6.875" style="192" customWidth="1"/>
    <col min="9183" max="9183" width="7.25" style="192" customWidth="1"/>
    <col min="9184" max="9246" width="6.125" style="192" customWidth="1"/>
    <col min="9247" max="9256" width="0" style="192" hidden="1" customWidth="1"/>
    <col min="9257" max="9261" width="6.875" style="192" customWidth="1"/>
    <col min="9262" max="9314" width="0" style="192" hidden="1" customWidth="1"/>
    <col min="9315" max="9315" width="7.875" style="192" customWidth="1"/>
    <col min="9316" max="9316" width="6" style="192" customWidth="1"/>
    <col min="9317" max="9434" width="8.75" style="192"/>
    <col min="9435" max="9435" width="4.5" style="192" customWidth="1"/>
    <col min="9436" max="9436" width="20.5" style="192" customWidth="1"/>
    <col min="9437" max="9437" width="7.875" style="192" customWidth="1"/>
    <col min="9438" max="9438" width="6.875" style="192" customWidth="1"/>
    <col min="9439" max="9439" width="7.25" style="192" customWidth="1"/>
    <col min="9440" max="9502" width="6.125" style="192" customWidth="1"/>
    <col min="9503" max="9512" width="0" style="192" hidden="1" customWidth="1"/>
    <col min="9513" max="9517" width="6.875" style="192" customWidth="1"/>
    <col min="9518" max="9570" width="0" style="192" hidden="1" customWidth="1"/>
    <col min="9571" max="9571" width="7.875" style="192" customWidth="1"/>
    <col min="9572" max="9572" width="6" style="192" customWidth="1"/>
    <col min="9573" max="9690" width="8.75" style="192"/>
    <col min="9691" max="9691" width="4.5" style="192" customWidth="1"/>
    <col min="9692" max="9692" width="20.5" style="192" customWidth="1"/>
    <col min="9693" max="9693" width="7.875" style="192" customWidth="1"/>
    <col min="9694" max="9694" width="6.875" style="192" customWidth="1"/>
    <col min="9695" max="9695" width="7.25" style="192" customWidth="1"/>
    <col min="9696" max="9758" width="6.125" style="192" customWidth="1"/>
    <col min="9759" max="9768" width="0" style="192" hidden="1" customWidth="1"/>
    <col min="9769" max="9773" width="6.875" style="192" customWidth="1"/>
    <col min="9774" max="9826" width="0" style="192" hidden="1" customWidth="1"/>
    <col min="9827" max="9827" width="7.875" style="192" customWidth="1"/>
    <col min="9828" max="9828" width="6" style="192" customWidth="1"/>
    <col min="9829" max="9946" width="8.75" style="192"/>
    <col min="9947" max="9947" width="4.5" style="192" customWidth="1"/>
    <col min="9948" max="9948" width="20.5" style="192" customWidth="1"/>
    <col min="9949" max="9949" width="7.875" style="192" customWidth="1"/>
    <col min="9950" max="9950" width="6.875" style="192" customWidth="1"/>
    <col min="9951" max="9951" width="7.25" style="192" customWidth="1"/>
    <col min="9952" max="10014" width="6.125" style="192" customWidth="1"/>
    <col min="10015" max="10024" width="0" style="192" hidden="1" customWidth="1"/>
    <col min="10025" max="10029" width="6.875" style="192" customWidth="1"/>
    <col min="10030" max="10082" width="0" style="192" hidden="1" customWidth="1"/>
    <col min="10083" max="10083" width="7.875" style="192" customWidth="1"/>
    <col min="10084" max="10084" width="6" style="192" customWidth="1"/>
    <col min="10085" max="10202" width="8.75" style="192"/>
    <col min="10203" max="10203" width="4.5" style="192" customWidth="1"/>
    <col min="10204" max="10204" width="20.5" style="192" customWidth="1"/>
    <col min="10205" max="10205" width="7.875" style="192" customWidth="1"/>
    <col min="10206" max="10206" width="6.875" style="192" customWidth="1"/>
    <col min="10207" max="10207" width="7.25" style="192" customWidth="1"/>
    <col min="10208" max="10270" width="6.125" style="192" customWidth="1"/>
    <col min="10271" max="10280" width="0" style="192" hidden="1" customWidth="1"/>
    <col min="10281" max="10285" width="6.875" style="192" customWidth="1"/>
    <col min="10286" max="10338" width="0" style="192" hidden="1" customWidth="1"/>
    <col min="10339" max="10339" width="7.875" style="192" customWidth="1"/>
    <col min="10340" max="10340" width="6" style="192" customWidth="1"/>
    <col min="10341" max="10458" width="8.75" style="192"/>
    <col min="10459" max="10459" width="4.5" style="192" customWidth="1"/>
    <col min="10460" max="10460" width="20.5" style="192" customWidth="1"/>
    <col min="10461" max="10461" width="7.875" style="192" customWidth="1"/>
    <col min="10462" max="10462" width="6.875" style="192" customWidth="1"/>
    <col min="10463" max="10463" width="7.25" style="192" customWidth="1"/>
    <col min="10464" max="10526" width="6.125" style="192" customWidth="1"/>
    <col min="10527" max="10536" width="0" style="192" hidden="1" customWidth="1"/>
    <col min="10537" max="10541" width="6.875" style="192" customWidth="1"/>
    <col min="10542" max="10594" width="0" style="192" hidden="1" customWidth="1"/>
    <col min="10595" max="10595" width="7.875" style="192" customWidth="1"/>
    <col min="10596" max="10596" width="6" style="192" customWidth="1"/>
    <col min="10597" max="10714" width="8.75" style="192"/>
    <col min="10715" max="10715" width="4.5" style="192" customWidth="1"/>
    <col min="10716" max="10716" width="20.5" style="192" customWidth="1"/>
    <col min="10717" max="10717" width="7.875" style="192" customWidth="1"/>
    <col min="10718" max="10718" width="6.875" style="192" customWidth="1"/>
    <col min="10719" max="10719" width="7.25" style="192" customWidth="1"/>
    <col min="10720" max="10782" width="6.125" style="192" customWidth="1"/>
    <col min="10783" max="10792" width="0" style="192" hidden="1" customWidth="1"/>
    <col min="10793" max="10797" width="6.875" style="192" customWidth="1"/>
    <col min="10798" max="10850" width="0" style="192" hidden="1" customWidth="1"/>
    <col min="10851" max="10851" width="7.875" style="192" customWidth="1"/>
    <col min="10852" max="10852" width="6" style="192" customWidth="1"/>
    <col min="10853" max="10970" width="8.75" style="192"/>
    <col min="10971" max="10971" width="4.5" style="192" customWidth="1"/>
    <col min="10972" max="10972" width="20.5" style="192" customWidth="1"/>
    <col min="10973" max="10973" width="7.875" style="192" customWidth="1"/>
    <col min="10974" max="10974" width="6.875" style="192" customWidth="1"/>
    <col min="10975" max="10975" width="7.25" style="192" customWidth="1"/>
    <col min="10976" max="11038" width="6.125" style="192" customWidth="1"/>
    <col min="11039" max="11048" width="0" style="192" hidden="1" customWidth="1"/>
    <col min="11049" max="11053" width="6.875" style="192" customWidth="1"/>
    <col min="11054" max="11106" width="0" style="192" hidden="1" customWidth="1"/>
    <col min="11107" max="11107" width="7.875" style="192" customWidth="1"/>
    <col min="11108" max="11108" width="6" style="192" customWidth="1"/>
    <col min="11109" max="11226" width="8.75" style="192"/>
    <col min="11227" max="11227" width="4.5" style="192" customWidth="1"/>
    <col min="11228" max="11228" width="20.5" style="192" customWidth="1"/>
    <col min="11229" max="11229" width="7.875" style="192" customWidth="1"/>
    <col min="11230" max="11230" width="6.875" style="192" customWidth="1"/>
    <col min="11231" max="11231" width="7.25" style="192" customWidth="1"/>
    <col min="11232" max="11294" width="6.125" style="192" customWidth="1"/>
    <col min="11295" max="11304" width="0" style="192" hidden="1" customWidth="1"/>
    <col min="11305" max="11309" width="6.875" style="192" customWidth="1"/>
    <col min="11310" max="11362" width="0" style="192" hidden="1" customWidth="1"/>
    <col min="11363" max="11363" width="7.875" style="192" customWidth="1"/>
    <col min="11364" max="11364" width="6" style="192" customWidth="1"/>
    <col min="11365" max="11482" width="8.75" style="192"/>
    <col min="11483" max="11483" width="4.5" style="192" customWidth="1"/>
    <col min="11484" max="11484" width="20.5" style="192" customWidth="1"/>
    <col min="11485" max="11485" width="7.875" style="192" customWidth="1"/>
    <col min="11486" max="11486" width="6.875" style="192" customWidth="1"/>
    <col min="11487" max="11487" width="7.25" style="192" customWidth="1"/>
    <col min="11488" max="11550" width="6.125" style="192" customWidth="1"/>
    <col min="11551" max="11560" width="0" style="192" hidden="1" customWidth="1"/>
    <col min="11561" max="11565" width="6.875" style="192" customWidth="1"/>
    <col min="11566" max="11618" width="0" style="192" hidden="1" customWidth="1"/>
    <col min="11619" max="11619" width="7.875" style="192" customWidth="1"/>
    <col min="11620" max="11620" width="6" style="192" customWidth="1"/>
    <col min="11621" max="11738" width="8.75" style="192"/>
    <col min="11739" max="11739" width="4.5" style="192" customWidth="1"/>
    <col min="11740" max="11740" width="20.5" style="192" customWidth="1"/>
    <col min="11741" max="11741" width="7.875" style="192" customWidth="1"/>
    <col min="11742" max="11742" width="6.875" style="192" customWidth="1"/>
    <col min="11743" max="11743" width="7.25" style="192" customWidth="1"/>
    <col min="11744" max="11806" width="6.125" style="192" customWidth="1"/>
    <col min="11807" max="11816" width="0" style="192" hidden="1" customWidth="1"/>
    <col min="11817" max="11821" width="6.875" style="192" customWidth="1"/>
    <col min="11822" max="11874" width="0" style="192" hidden="1" customWidth="1"/>
    <col min="11875" max="11875" width="7.875" style="192" customWidth="1"/>
    <col min="11876" max="11876" width="6" style="192" customWidth="1"/>
    <col min="11877" max="11994" width="8.75" style="192"/>
    <col min="11995" max="11995" width="4.5" style="192" customWidth="1"/>
    <col min="11996" max="11996" width="20.5" style="192" customWidth="1"/>
    <col min="11997" max="11997" width="7.875" style="192" customWidth="1"/>
    <col min="11998" max="11998" width="6.875" style="192" customWidth="1"/>
    <col min="11999" max="11999" width="7.25" style="192" customWidth="1"/>
    <col min="12000" max="12062" width="6.125" style="192" customWidth="1"/>
    <col min="12063" max="12072" width="0" style="192" hidden="1" customWidth="1"/>
    <col min="12073" max="12077" width="6.875" style="192" customWidth="1"/>
    <col min="12078" max="12130" width="0" style="192" hidden="1" customWidth="1"/>
    <col min="12131" max="12131" width="7.875" style="192" customWidth="1"/>
    <col min="12132" max="12132" width="6" style="192" customWidth="1"/>
    <col min="12133" max="12250" width="8.75" style="192"/>
    <col min="12251" max="12251" width="4.5" style="192" customWidth="1"/>
    <col min="12252" max="12252" width="20.5" style="192" customWidth="1"/>
    <col min="12253" max="12253" width="7.875" style="192" customWidth="1"/>
    <col min="12254" max="12254" width="6.875" style="192" customWidth="1"/>
    <col min="12255" max="12255" width="7.25" style="192" customWidth="1"/>
    <col min="12256" max="12318" width="6.125" style="192" customWidth="1"/>
    <col min="12319" max="12328" width="0" style="192" hidden="1" customWidth="1"/>
    <col min="12329" max="12333" width="6.875" style="192" customWidth="1"/>
    <col min="12334" max="12386" width="0" style="192" hidden="1" customWidth="1"/>
    <col min="12387" max="12387" width="7.875" style="192" customWidth="1"/>
    <col min="12388" max="12388" width="6" style="192" customWidth="1"/>
    <col min="12389" max="12506" width="8.75" style="192"/>
    <col min="12507" max="12507" width="4.5" style="192" customWidth="1"/>
    <col min="12508" max="12508" width="20.5" style="192" customWidth="1"/>
    <col min="12509" max="12509" width="7.875" style="192" customWidth="1"/>
    <col min="12510" max="12510" width="6.875" style="192" customWidth="1"/>
    <col min="12511" max="12511" width="7.25" style="192" customWidth="1"/>
    <col min="12512" max="12574" width="6.125" style="192" customWidth="1"/>
    <col min="12575" max="12584" width="0" style="192" hidden="1" customWidth="1"/>
    <col min="12585" max="12589" width="6.875" style="192" customWidth="1"/>
    <col min="12590" max="12642" width="0" style="192" hidden="1" customWidth="1"/>
    <col min="12643" max="12643" width="7.875" style="192" customWidth="1"/>
    <col min="12644" max="12644" width="6" style="192" customWidth="1"/>
    <col min="12645" max="12762" width="8.75" style="192"/>
    <col min="12763" max="12763" width="4.5" style="192" customWidth="1"/>
    <col min="12764" max="12764" width="20.5" style="192" customWidth="1"/>
    <col min="12765" max="12765" width="7.875" style="192" customWidth="1"/>
    <col min="12766" max="12766" width="6.875" style="192" customWidth="1"/>
    <col min="12767" max="12767" width="7.25" style="192" customWidth="1"/>
    <col min="12768" max="12830" width="6.125" style="192" customWidth="1"/>
    <col min="12831" max="12840" width="0" style="192" hidden="1" customWidth="1"/>
    <col min="12841" max="12845" width="6.875" style="192" customWidth="1"/>
    <col min="12846" max="12898" width="0" style="192" hidden="1" customWidth="1"/>
    <col min="12899" max="12899" width="7.875" style="192" customWidth="1"/>
    <col min="12900" max="12900" width="6" style="192" customWidth="1"/>
    <col min="12901" max="13018" width="8.75" style="192"/>
    <col min="13019" max="13019" width="4.5" style="192" customWidth="1"/>
    <col min="13020" max="13020" width="20.5" style="192" customWidth="1"/>
    <col min="13021" max="13021" width="7.875" style="192" customWidth="1"/>
    <col min="13022" max="13022" width="6.875" style="192" customWidth="1"/>
    <col min="13023" max="13023" width="7.25" style="192" customWidth="1"/>
    <col min="13024" max="13086" width="6.125" style="192" customWidth="1"/>
    <col min="13087" max="13096" width="0" style="192" hidden="1" customWidth="1"/>
    <col min="13097" max="13101" width="6.875" style="192" customWidth="1"/>
    <col min="13102" max="13154" width="0" style="192" hidden="1" customWidth="1"/>
    <col min="13155" max="13155" width="7.875" style="192" customWidth="1"/>
    <col min="13156" max="13156" width="6" style="192" customWidth="1"/>
    <col min="13157" max="13274" width="8.75" style="192"/>
    <col min="13275" max="13275" width="4.5" style="192" customWidth="1"/>
    <col min="13276" max="13276" width="20.5" style="192" customWidth="1"/>
    <col min="13277" max="13277" width="7.875" style="192" customWidth="1"/>
    <col min="13278" max="13278" width="6.875" style="192" customWidth="1"/>
    <col min="13279" max="13279" width="7.25" style="192" customWidth="1"/>
    <col min="13280" max="13342" width="6.125" style="192" customWidth="1"/>
    <col min="13343" max="13352" width="0" style="192" hidden="1" customWidth="1"/>
    <col min="13353" max="13357" width="6.875" style="192" customWidth="1"/>
    <col min="13358" max="13410" width="0" style="192" hidden="1" customWidth="1"/>
    <col min="13411" max="13411" width="7.875" style="192" customWidth="1"/>
    <col min="13412" max="13412" width="6" style="192" customWidth="1"/>
    <col min="13413" max="13530" width="8.75" style="192"/>
    <col min="13531" max="13531" width="4.5" style="192" customWidth="1"/>
    <col min="13532" max="13532" width="20.5" style="192" customWidth="1"/>
    <col min="13533" max="13533" width="7.875" style="192" customWidth="1"/>
    <col min="13534" max="13534" width="6.875" style="192" customWidth="1"/>
    <col min="13535" max="13535" width="7.25" style="192" customWidth="1"/>
    <col min="13536" max="13598" width="6.125" style="192" customWidth="1"/>
    <col min="13599" max="13608" width="0" style="192" hidden="1" customWidth="1"/>
    <col min="13609" max="13613" width="6.875" style="192" customWidth="1"/>
    <col min="13614" max="13666" width="0" style="192" hidden="1" customWidth="1"/>
    <col min="13667" max="13667" width="7.875" style="192" customWidth="1"/>
    <col min="13668" max="13668" width="6" style="192" customWidth="1"/>
    <col min="13669" max="13786" width="8.75" style="192"/>
    <col min="13787" max="13787" width="4.5" style="192" customWidth="1"/>
    <col min="13788" max="13788" width="20.5" style="192" customWidth="1"/>
    <col min="13789" max="13789" width="7.875" style="192" customWidth="1"/>
    <col min="13790" max="13790" width="6.875" style="192" customWidth="1"/>
    <col min="13791" max="13791" width="7.25" style="192" customWidth="1"/>
    <col min="13792" max="13854" width="6.125" style="192" customWidth="1"/>
    <col min="13855" max="13864" width="0" style="192" hidden="1" customWidth="1"/>
    <col min="13865" max="13869" width="6.875" style="192" customWidth="1"/>
    <col min="13870" max="13922" width="0" style="192" hidden="1" customWidth="1"/>
    <col min="13923" max="13923" width="7.875" style="192" customWidth="1"/>
    <col min="13924" max="13924" width="6" style="192" customWidth="1"/>
    <col min="13925" max="14042" width="8.75" style="192"/>
    <col min="14043" max="14043" width="4.5" style="192" customWidth="1"/>
    <col min="14044" max="14044" width="20.5" style="192" customWidth="1"/>
    <col min="14045" max="14045" width="7.875" style="192" customWidth="1"/>
    <col min="14046" max="14046" width="6.875" style="192" customWidth="1"/>
    <col min="14047" max="14047" width="7.25" style="192" customWidth="1"/>
    <col min="14048" max="14110" width="6.125" style="192" customWidth="1"/>
    <col min="14111" max="14120" width="0" style="192" hidden="1" customWidth="1"/>
    <col min="14121" max="14125" width="6.875" style="192" customWidth="1"/>
    <col min="14126" max="14178" width="0" style="192" hidden="1" customWidth="1"/>
    <col min="14179" max="14179" width="7.875" style="192" customWidth="1"/>
    <col min="14180" max="14180" width="6" style="192" customWidth="1"/>
    <col min="14181" max="14298" width="8.75" style="192"/>
    <col min="14299" max="14299" width="4.5" style="192" customWidth="1"/>
    <col min="14300" max="14300" width="20.5" style="192" customWidth="1"/>
    <col min="14301" max="14301" width="7.875" style="192" customWidth="1"/>
    <col min="14302" max="14302" width="6.875" style="192" customWidth="1"/>
    <col min="14303" max="14303" width="7.25" style="192" customWidth="1"/>
    <col min="14304" max="14366" width="6.125" style="192" customWidth="1"/>
    <col min="14367" max="14376" width="0" style="192" hidden="1" customWidth="1"/>
    <col min="14377" max="14381" width="6.875" style="192" customWidth="1"/>
    <col min="14382" max="14434" width="0" style="192" hidden="1" customWidth="1"/>
    <col min="14435" max="14435" width="7.875" style="192" customWidth="1"/>
    <col min="14436" max="14436" width="6" style="192" customWidth="1"/>
    <col min="14437" max="14554" width="8.75" style="192"/>
    <col min="14555" max="14555" width="4.5" style="192" customWidth="1"/>
    <col min="14556" max="14556" width="20.5" style="192" customWidth="1"/>
    <col min="14557" max="14557" width="7.875" style="192" customWidth="1"/>
    <col min="14558" max="14558" width="6.875" style="192" customWidth="1"/>
    <col min="14559" max="14559" width="7.25" style="192" customWidth="1"/>
    <col min="14560" max="14622" width="6.125" style="192" customWidth="1"/>
    <col min="14623" max="14632" width="0" style="192" hidden="1" customWidth="1"/>
    <col min="14633" max="14637" width="6.875" style="192" customWidth="1"/>
    <col min="14638" max="14690" width="0" style="192" hidden="1" customWidth="1"/>
    <col min="14691" max="14691" width="7.875" style="192" customWidth="1"/>
    <col min="14692" max="14692" width="6" style="192" customWidth="1"/>
    <col min="14693" max="14810" width="8.75" style="192"/>
    <col min="14811" max="14811" width="4.5" style="192" customWidth="1"/>
    <col min="14812" max="14812" width="20.5" style="192" customWidth="1"/>
    <col min="14813" max="14813" width="7.875" style="192" customWidth="1"/>
    <col min="14814" max="14814" width="6.875" style="192" customWidth="1"/>
    <col min="14815" max="14815" width="7.25" style="192" customWidth="1"/>
    <col min="14816" max="14878" width="6.125" style="192" customWidth="1"/>
    <col min="14879" max="14888" width="0" style="192" hidden="1" customWidth="1"/>
    <col min="14889" max="14893" width="6.875" style="192" customWidth="1"/>
    <col min="14894" max="14946" width="0" style="192" hidden="1" customWidth="1"/>
    <col min="14947" max="14947" width="7.875" style="192" customWidth="1"/>
    <col min="14948" max="14948" width="6" style="192" customWidth="1"/>
    <col min="14949" max="15066" width="8.75" style="192"/>
    <col min="15067" max="15067" width="4.5" style="192" customWidth="1"/>
    <col min="15068" max="15068" width="20.5" style="192" customWidth="1"/>
    <col min="15069" max="15069" width="7.875" style="192" customWidth="1"/>
    <col min="15070" max="15070" width="6.875" style="192" customWidth="1"/>
    <col min="15071" max="15071" width="7.25" style="192" customWidth="1"/>
    <col min="15072" max="15134" width="6.125" style="192" customWidth="1"/>
    <col min="15135" max="15144" width="0" style="192" hidden="1" customWidth="1"/>
    <col min="15145" max="15149" width="6.875" style="192" customWidth="1"/>
    <col min="15150" max="15202" width="0" style="192" hidden="1" customWidth="1"/>
    <col min="15203" max="15203" width="7.875" style="192" customWidth="1"/>
    <col min="15204" max="15204" width="6" style="192" customWidth="1"/>
    <col min="15205" max="15322" width="8.75" style="192"/>
    <col min="15323" max="15323" width="4.5" style="192" customWidth="1"/>
    <col min="15324" max="15324" width="20.5" style="192" customWidth="1"/>
    <col min="15325" max="15325" width="7.875" style="192" customWidth="1"/>
    <col min="15326" max="15326" width="6.875" style="192" customWidth="1"/>
    <col min="15327" max="15327" width="7.25" style="192" customWidth="1"/>
    <col min="15328" max="15390" width="6.125" style="192" customWidth="1"/>
    <col min="15391" max="15400" width="0" style="192" hidden="1" customWidth="1"/>
    <col min="15401" max="15405" width="6.875" style="192" customWidth="1"/>
    <col min="15406" max="15458" width="0" style="192" hidden="1" customWidth="1"/>
    <col min="15459" max="15459" width="7.875" style="192" customWidth="1"/>
    <col min="15460" max="15460" width="6" style="192" customWidth="1"/>
    <col min="15461" max="15578" width="8.75" style="192"/>
    <col min="15579" max="15579" width="4.5" style="192" customWidth="1"/>
    <col min="15580" max="15580" width="20.5" style="192" customWidth="1"/>
    <col min="15581" max="15581" width="7.875" style="192" customWidth="1"/>
    <col min="15582" max="15582" width="6.875" style="192" customWidth="1"/>
    <col min="15583" max="15583" width="7.25" style="192" customWidth="1"/>
    <col min="15584" max="15646" width="6.125" style="192" customWidth="1"/>
    <col min="15647" max="15656" width="0" style="192" hidden="1" customWidth="1"/>
    <col min="15657" max="15661" width="6.875" style="192" customWidth="1"/>
    <col min="15662" max="15714" width="0" style="192" hidden="1" customWidth="1"/>
    <col min="15715" max="15715" width="7.875" style="192" customWidth="1"/>
    <col min="15716" max="15716" width="6" style="192" customWidth="1"/>
    <col min="15717" max="15834" width="8.75" style="192"/>
    <col min="15835" max="15835" width="4.5" style="192" customWidth="1"/>
    <col min="15836" max="15836" width="20.5" style="192" customWidth="1"/>
    <col min="15837" max="15837" width="7.875" style="192" customWidth="1"/>
    <col min="15838" max="15838" width="6.875" style="192" customWidth="1"/>
    <col min="15839" max="15839" width="7.25" style="192" customWidth="1"/>
    <col min="15840" max="15902" width="6.125" style="192" customWidth="1"/>
    <col min="15903" max="15912" width="0" style="192" hidden="1" customWidth="1"/>
    <col min="15913" max="15917" width="6.875" style="192" customWidth="1"/>
    <col min="15918" max="15970" width="0" style="192" hidden="1" customWidth="1"/>
    <col min="15971" max="15971" width="7.875" style="192" customWidth="1"/>
    <col min="15972" max="15972" width="6" style="192" customWidth="1"/>
    <col min="15973" max="16090" width="8.75" style="192"/>
    <col min="16091" max="16091" width="4.5" style="192" customWidth="1"/>
    <col min="16092" max="16092" width="20.5" style="192" customWidth="1"/>
    <col min="16093" max="16093" width="7.875" style="192" customWidth="1"/>
    <col min="16094" max="16094" width="6.875" style="192" customWidth="1"/>
    <col min="16095" max="16095" width="7.25" style="192" customWidth="1"/>
    <col min="16096" max="16158" width="6.125" style="192" customWidth="1"/>
    <col min="16159" max="16168" width="0" style="192" hidden="1" customWidth="1"/>
    <col min="16169" max="16173" width="6.875" style="192" customWidth="1"/>
    <col min="16174" max="16226" width="0" style="192" hidden="1" customWidth="1"/>
    <col min="16227" max="16227" width="7.875" style="192" customWidth="1"/>
    <col min="16228" max="16228" width="6" style="192" customWidth="1"/>
    <col min="16229" max="16384" width="8.75" style="192"/>
  </cols>
  <sheetData>
    <row r="1" spans="1:100" s="189" customFormat="1" ht="20.100000000000001" customHeight="1">
      <c r="A1" s="232" t="s">
        <v>192</v>
      </c>
      <c r="B1" s="231"/>
      <c r="C1" s="186"/>
      <c r="D1" s="187"/>
      <c r="E1" s="188">
        <f>IFERROR(E5-E2,0)</f>
        <v>0</v>
      </c>
      <c r="F1" s="188">
        <f t="shared" ref="F1:BP1" si="0">IFERROR(F5-F2,0)</f>
        <v>0</v>
      </c>
      <c r="G1" s="188">
        <f t="shared" si="0"/>
        <v>0</v>
      </c>
      <c r="H1" s="188">
        <f t="shared" si="0"/>
        <v>0</v>
      </c>
      <c r="I1" s="188">
        <f t="shared" si="0"/>
        <v>0</v>
      </c>
      <c r="J1" s="188">
        <f t="shared" si="0"/>
        <v>0</v>
      </c>
      <c r="K1" s="188">
        <f t="shared" si="0"/>
        <v>0</v>
      </c>
      <c r="L1" s="188">
        <f t="shared" si="0"/>
        <v>0</v>
      </c>
      <c r="M1" s="188">
        <f t="shared" si="0"/>
        <v>0</v>
      </c>
      <c r="N1" s="188">
        <f t="shared" si="0"/>
        <v>0</v>
      </c>
      <c r="O1" s="188">
        <f t="shared" si="0"/>
        <v>0</v>
      </c>
      <c r="P1" s="188">
        <f t="shared" si="0"/>
        <v>0</v>
      </c>
      <c r="Q1" s="188">
        <f t="shared" si="0"/>
        <v>0</v>
      </c>
      <c r="R1" s="188">
        <f t="shared" si="0"/>
        <v>0</v>
      </c>
      <c r="S1" s="188">
        <f t="shared" si="0"/>
        <v>0</v>
      </c>
      <c r="T1" s="188">
        <f t="shared" si="0"/>
        <v>0</v>
      </c>
      <c r="U1" s="188">
        <f t="shared" si="0"/>
        <v>0</v>
      </c>
      <c r="V1" s="188">
        <f t="shared" si="0"/>
        <v>0</v>
      </c>
      <c r="W1" s="188">
        <f t="shared" si="0"/>
        <v>0</v>
      </c>
      <c r="X1" s="188">
        <f t="shared" si="0"/>
        <v>0</v>
      </c>
      <c r="Y1" s="188">
        <f t="shared" si="0"/>
        <v>0</v>
      </c>
      <c r="Z1" s="188">
        <f t="shared" si="0"/>
        <v>0</v>
      </c>
      <c r="AA1" s="188">
        <f t="shared" si="0"/>
        <v>0</v>
      </c>
      <c r="AB1" s="188">
        <f t="shared" si="0"/>
        <v>0</v>
      </c>
      <c r="AC1" s="188">
        <f t="shared" si="0"/>
        <v>0</v>
      </c>
      <c r="AD1" s="188">
        <f t="shared" si="0"/>
        <v>0</v>
      </c>
      <c r="AE1" s="188">
        <f t="shared" si="0"/>
        <v>0</v>
      </c>
      <c r="AF1" s="188">
        <f t="shared" si="0"/>
        <v>0</v>
      </c>
      <c r="AG1" s="188">
        <f t="shared" si="0"/>
        <v>0</v>
      </c>
      <c r="AH1" s="188">
        <f t="shared" si="0"/>
        <v>0</v>
      </c>
      <c r="AI1" s="188">
        <f t="shared" si="0"/>
        <v>0</v>
      </c>
      <c r="AJ1" s="188">
        <f t="shared" si="0"/>
        <v>0</v>
      </c>
      <c r="AK1" s="188">
        <f t="shared" si="0"/>
        <v>0</v>
      </c>
      <c r="AL1" s="188">
        <f t="shared" si="0"/>
        <v>0</v>
      </c>
      <c r="AM1" s="188">
        <f t="shared" si="0"/>
        <v>0</v>
      </c>
      <c r="AN1" s="188">
        <f t="shared" si="0"/>
        <v>0</v>
      </c>
      <c r="AO1" s="188">
        <f t="shared" si="0"/>
        <v>0</v>
      </c>
      <c r="AP1" s="188">
        <f t="shared" si="0"/>
        <v>0</v>
      </c>
      <c r="AQ1" s="188">
        <f t="shared" si="0"/>
        <v>0</v>
      </c>
      <c r="AR1" s="188">
        <f t="shared" si="0"/>
        <v>0</v>
      </c>
      <c r="AS1" s="188">
        <f t="shared" si="0"/>
        <v>0</v>
      </c>
      <c r="AT1" s="188">
        <f t="shared" si="0"/>
        <v>0</v>
      </c>
      <c r="AU1" s="188">
        <f t="shared" si="0"/>
        <v>0</v>
      </c>
      <c r="AV1" s="188">
        <f t="shared" si="0"/>
        <v>0</v>
      </c>
      <c r="AW1" s="188">
        <f t="shared" si="0"/>
        <v>0</v>
      </c>
      <c r="AX1" s="188">
        <f t="shared" si="0"/>
        <v>0</v>
      </c>
      <c r="AY1" s="188">
        <f t="shared" si="0"/>
        <v>0</v>
      </c>
      <c r="AZ1" s="188">
        <f t="shared" si="0"/>
        <v>0</v>
      </c>
      <c r="BA1" s="188">
        <f t="shared" si="0"/>
        <v>0</v>
      </c>
      <c r="BB1" s="188">
        <f t="shared" si="0"/>
        <v>0</v>
      </c>
      <c r="BC1" s="188">
        <f t="shared" si="0"/>
        <v>0</v>
      </c>
      <c r="BD1" s="188">
        <f t="shared" si="0"/>
        <v>0</v>
      </c>
      <c r="BE1" s="188">
        <f t="shared" si="0"/>
        <v>0</v>
      </c>
      <c r="BF1" s="188">
        <f t="shared" si="0"/>
        <v>0</v>
      </c>
      <c r="BG1" s="188">
        <f t="shared" si="0"/>
        <v>0</v>
      </c>
      <c r="BH1" s="188">
        <f t="shared" si="0"/>
        <v>0</v>
      </c>
      <c r="BI1" s="188">
        <f t="shared" si="0"/>
        <v>0</v>
      </c>
      <c r="BJ1" s="188">
        <f t="shared" si="0"/>
        <v>0</v>
      </c>
      <c r="BK1" s="188">
        <f t="shared" si="0"/>
        <v>0</v>
      </c>
      <c r="BL1" s="188">
        <f t="shared" si="0"/>
        <v>0</v>
      </c>
      <c r="BM1" s="188">
        <f t="shared" si="0"/>
        <v>0</v>
      </c>
      <c r="BN1" s="188">
        <f t="shared" si="0"/>
        <v>0</v>
      </c>
      <c r="BO1" s="188">
        <f t="shared" si="0"/>
        <v>0</v>
      </c>
      <c r="BP1" s="188">
        <f t="shared" si="0"/>
        <v>0</v>
      </c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8"/>
      <c r="CB1" s="188"/>
      <c r="CC1" s="188"/>
      <c r="CD1" s="188"/>
      <c r="CE1" s="188"/>
      <c r="CF1" s="188"/>
      <c r="CG1" s="188"/>
      <c r="CH1" s="188"/>
      <c r="CI1" s="188"/>
      <c r="CJ1" s="188"/>
      <c r="CK1" s="188">
        <f t="shared" ref="CK1" si="1">+CK5-CK2</f>
        <v>0</v>
      </c>
      <c r="CL1" s="188">
        <f t="shared" ref="CL1:CT1" si="2">+CL5-CL2</f>
        <v>0</v>
      </c>
      <c r="CM1" s="188">
        <f t="shared" si="2"/>
        <v>0</v>
      </c>
      <c r="CN1" s="188">
        <f t="shared" si="2"/>
        <v>0</v>
      </c>
      <c r="CO1" s="188">
        <f t="shared" si="2"/>
        <v>0</v>
      </c>
      <c r="CP1" s="188">
        <f t="shared" si="2"/>
        <v>0</v>
      </c>
      <c r="CQ1" s="188">
        <f t="shared" si="2"/>
        <v>0</v>
      </c>
      <c r="CR1" s="188">
        <f t="shared" si="2"/>
        <v>0</v>
      </c>
      <c r="CS1" s="188">
        <f t="shared" si="2"/>
        <v>0</v>
      </c>
      <c r="CT1" s="188">
        <f t="shared" si="2"/>
        <v>0</v>
      </c>
      <c r="CU1" s="185"/>
    </row>
    <row r="2" spans="1:100" ht="23.25" customHeight="1">
      <c r="A2" s="31" t="s">
        <v>197</v>
      </c>
      <c r="B2" s="31"/>
      <c r="C2" s="190"/>
      <c r="D2" s="191"/>
      <c r="E2" s="190" cm="1">
        <f t="array" ref="E2">IFERROR(SUM(_xlfn._xlws.FILTER(E8:E832,ISNUMBER(E8:E832))),0)</f>
        <v>0</v>
      </c>
      <c r="F2" s="190" cm="1">
        <f t="array" ref="F2">IFERROR(SUM(_xlfn._xlws.FILTER(F8:F832,ISNUMBER(F8:F832))),0)</f>
        <v>0</v>
      </c>
      <c r="G2" s="190" cm="1">
        <f t="array" ref="G2">IFERROR(SUM(_xlfn._xlws.FILTER(G8:G832,ISNUMBER(G8:G832))),0)</f>
        <v>0</v>
      </c>
      <c r="H2" s="190" cm="1">
        <f t="array" ref="H2">IFERROR(SUM(_xlfn._xlws.FILTER(H8:H832,ISNUMBER(H8:H832))),0)</f>
        <v>0</v>
      </c>
      <c r="I2" s="190" cm="1">
        <f t="array" ref="I2">IFERROR(SUM(_xlfn._xlws.FILTER(I8:I832,ISNUMBER(I8:I832))),0)</f>
        <v>0</v>
      </c>
      <c r="J2" s="190" cm="1">
        <f t="array" ref="J2">IFERROR(SUM(_xlfn._xlws.FILTER(J8:J832,ISNUMBER(J8:J832))),0)</f>
        <v>0</v>
      </c>
      <c r="K2" s="190" cm="1">
        <f t="array" ref="K2">IFERROR(SUM(_xlfn._xlws.FILTER(K8:K832,ISNUMBER(K8:K832))),0)</f>
        <v>0</v>
      </c>
      <c r="L2" s="190" cm="1">
        <f t="array" ref="L2">IFERROR(SUM(_xlfn._xlws.FILTER(L8:L832,ISNUMBER(L8:L832))),0)</f>
        <v>0</v>
      </c>
      <c r="M2" s="190" cm="1">
        <f t="array" ref="M2">IFERROR(SUM(_xlfn._xlws.FILTER(M8:M832,ISNUMBER(M8:M832))),0)</f>
        <v>0</v>
      </c>
      <c r="N2" s="190" cm="1">
        <f t="array" ref="N2">IFERROR(SUM(_xlfn._xlws.FILTER(N8:N832,ISNUMBER(N8:N832))),0)</f>
        <v>0</v>
      </c>
      <c r="O2" s="190" cm="1">
        <f t="array" ref="O2">IFERROR(SUM(_xlfn._xlws.FILTER(O8:O832,ISNUMBER(O8:O832))),0)</f>
        <v>0</v>
      </c>
      <c r="P2" s="190" cm="1">
        <f t="array" ref="P2">IFERROR(SUM(_xlfn._xlws.FILTER(P8:P832,ISNUMBER(P8:P832))),0)</f>
        <v>0</v>
      </c>
      <c r="Q2" s="190" cm="1">
        <f t="array" ref="Q2">IFERROR(SUM(_xlfn._xlws.FILTER(Q8:Q832,ISNUMBER(Q8:Q832))),0)</f>
        <v>0</v>
      </c>
      <c r="R2" s="190" cm="1">
        <f t="array" ref="R2">IFERROR(SUM(_xlfn._xlws.FILTER(R8:R832,ISNUMBER(R8:R832))),0)</f>
        <v>0</v>
      </c>
      <c r="S2" s="190" cm="1">
        <f t="array" ref="S2">IFERROR(SUM(_xlfn._xlws.FILTER(S8:S832,ISNUMBER(S8:S832))),0)</f>
        <v>0</v>
      </c>
      <c r="T2" s="190" cm="1">
        <f t="array" ref="T2">IFERROR(SUM(_xlfn._xlws.FILTER(T8:T832,ISNUMBER(T8:T832))),0)</f>
        <v>0</v>
      </c>
      <c r="U2" s="190" cm="1">
        <f t="array" ref="U2">IFERROR(SUM(_xlfn._xlws.FILTER(U8:U832,ISNUMBER(U8:U832))),0)</f>
        <v>0</v>
      </c>
      <c r="V2" s="190" cm="1">
        <f t="array" ref="V2">IFERROR(SUM(_xlfn._xlws.FILTER(V8:V832,ISNUMBER(V8:V832))),0)</f>
        <v>0</v>
      </c>
      <c r="W2" s="190" cm="1">
        <f t="array" ref="W2">IFERROR(SUM(_xlfn._xlws.FILTER(W8:W832,ISNUMBER(W8:W832))),0)</f>
        <v>0</v>
      </c>
      <c r="X2" s="190" cm="1">
        <f t="array" ref="X2">IFERROR(SUM(_xlfn._xlws.FILTER(X8:X832,ISNUMBER(X8:X832))),0)</f>
        <v>0</v>
      </c>
      <c r="Y2" s="190" cm="1">
        <f t="array" ref="Y2">IFERROR(SUM(_xlfn._xlws.FILTER(Y8:Y832,ISNUMBER(Y8:Y832))),0)</f>
        <v>0</v>
      </c>
      <c r="Z2" s="190" cm="1">
        <f t="array" ref="Z2">IFERROR(SUM(_xlfn._xlws.FILTER(Z8:Z832,ISNUMBER(Z8:Z832))),0)</f>
        <v>0</v>
      </c>
      <c r="AA2" s="190" cm="1">
        <f t="array" ref="AA2">IFERROR(SUM(_xlfn._xlws.FILTER(AA8:AA832,ISNUMBER(AA8:AA832))),0)</f>
        <v>0</v>
      </c>
      <c r="AB2" s="190" cm="1">
        <f t="array" ref="AB2">IFERROR(SUM(_xlfn._xlws.FILTER(AB8:AB832,ISNUMBER(AB8:AB832))),0)</f>
        <v>0</v>
      </c>
      <c r="AC2" s="190" cm="1">
        <f t="array" ref="AC2">IFERROR(SUM(_xlfn._xlws.FILTER(AC8:AC832,ISNUMBER(AC8:AC832))),0)</f>
        <v>0</v>
      </c>
      <c r="AD2" s="190" cm="1">
        <f t="array" ref="AD2">IFERROR(SUM(_xlfn._xlws.FILTER(AD8:AD832,ISNUMBER(AD8:AD832))),0)</f>
        <v>0</v>
      </c>
      <c r="AE2" s="190" cm="1">
        <f t="array" ref="AE2">IFERROR(SUM(_xlfn._xlws.FILTER(AE8:AE832,ISNUMBER(AE8:AE832))),0)</f>
        <v>0</v>
      </c>
      <c r="AF2" s="190" cm="1">
        <f t="array" ref="AF2">IFERROR(SUM(_xlfn._xlws.FILTER(AF8:AF832,ISNUMBER(AF8:AF832))),0)</f>
        <v>0</v>
      </c>
      <c r="AG2" s="190" cm="1">
        <f t="array" ref="AG2">IFERROR(SUM(_xlfn._xlws.FILTER(AG8:AG832,ISNUMBER(AG8:AG832))),0)</f>
        <v>0</v>
      </c>
      <c r="AH2" s="190" cm="1">
        <f t="array" ref="AH2">IFERROR(SUM(_xlfn._xlws.FILTER(AH8:AH832,ISNUMBER(AH8:AH832))),0)</f>
        <v>0</v>
      </c>
      <c r="AI2" s="190" cm="1">
        <f t="array" ref="AI2">IFERROR(SUM(_xlfn._xlws.FILTER(AI8:AI832,ISNUMBER(AI8:AI832))),0)</f>
        <v>0</v>
      </c>
      <c r="AJ2" s="190" cm="1">
        <f t="array" ref="AJ2">IFERROR(SUM(_xlfn._xlws.FILTER(AJ8:AJ832,ISNUMBER(AJ8:AJ832))),0)</f>
        <v>0</v>
      </c>
      <c r="AK2" s="190" cm="1">
        <f t="array" ref="AK2">IFERROR(SUM(_xlfn._xlws.FILTER(AK8:AK832,ISNUMBER(AK8:AK832))),0)</f>
        <v>0</v>
      </c>
      <c r="AL2" s="190" cm="1">
        <f t="array" ref="AL2">IFERROR(SUM(_xlfn._xlws.FILTER(AL8:AL832,ISNUMBER(AL8:AL832))),0)</f>
        <v>0</v>
      </c>
      <c r="AM2" s="190" cm="1">
        <f t="array" ref="AM2">IFERROR(SUM(_xlfn._xlws.FILTER(AM8:AM832,ISNUMBER(AM8:AM832))),0)</f>
        <v>0</v>
      </c>
      <c r="AN2" s="190" cm="1">
        <f t="array" ref="AN2">IFERROR(SUM(_xlfn._xlws.FILTER(AN8:AN832,ISNUMBER(AN8:AN832))),0)</f>
        <v>0</v>
      </c>
      <c r="AO2" s="190" cm="1">
        <f t="array" ref="AO2">IFERROR(SUM(_xlfn._xlws.FILTER(AO8:AO832,ISNUMBER(AO8:AO832))),0)</f>
        <v>0</v>
      </c>
      <c r="AP2" s="190" cm="1">
        <f t="array" ref="AP2">IFERROR(SUM(_xlfn._xlws.FILTER(AP8:AP832,ISNUMBER(AP8:AP832))),0)</f>
        <v>0</v>
      </c>
      <c r="AQ2" s="190" cm="1">
        <f t="array" ref="AQ2">IFERROR(SUM(_xlfn._xlws.FILTER(AQ8:AQ832,ISNUMBER(AQ8:AQ832))),0)</f>
        <v>0</v>
      </c>
      <c r="AR2" s="190" cm="1">
        <f t="array" ref="AR2">IFERROR(SUM(_xlfn._xlws.FILTER(AR8:AR832,ISNUMBER(AR8:AR832))),0)</f>
        <v>0</v>
      </c>
      <c r="AS2" s="190" cm="1">
        <f t="array" ref="AS2">IFERROR(SUM(_xlfn._xlws.FILTER(AS8:AS832,ISNUMBER(AS8:AS832))),0)</f>
        <v>0</v>
      </c>
      <c r="AT2" s="190" cm="1">
        <f t="array" ref="AT2">IFERROR(SUM(_xlfn._xlws.FILTER(AT8:AT832,ISNUMBER(AT8:AT832))),0)</f>
        <v>0</v>
      </c>
      <c r="AU2" s="190" cm="1">
        <f t="array" ref="AU2">IFERROR(SUM(_xlfn._xlws.FILTER(AU8:AU832,ISNUMBER(AU8:AU832))),0)</f>
        <v>0</v>
      </c>
      <c r="AV2" s="190" cm="1">
        <f t="array" ref="AV2">IFERROR(SUM(_xlfn._xlws.FILTER(AV8:AV832,ISNUMBER(AV8:AV832))),0)</f>
        <v>0</v>
      </c>
      <c r="AW2" s="190" cm="1">
        <f t="array" ref="AW2">IFERROR(SUM(_xlfn._xlws.FILTER(AW8:AW832,ISNUMBER(AW8:AW832))),0)</f>
        <v>0</v>
      </c>
      <c r="AX2" s="190" cm="1">
        <f t="array" ref="AX2">IFERROR(SUM(_xlfn._xlws.FILTER(AX8:AX832,ISNUMBER(AX8:AX832))),0)</f>
        <v>0</v>
      </c>
      <c r="AY2" s="190" cm="1">
        <f t="array" ref="AY2">IFERROR(SUM(_xlfn._xlws.FILTER(AY8:AY832,ISNUMBER(AY8:AY832))),0)</f>
        <v>0</v>
      </c>
      <c r="AZ2" s="190" cm="1">
        <f t="array" ref="AZ2">IFERROR(SUM(_xlfn._xlws.FILTER(AZ8:AZ832,ISNUMBER(AZ8:AZ832))),0)</f>
        <v>0</v>
      </c>
      <c r="BA2" s="190" cm="1">
        <f t="array" ref="BA2">IFERROR(SUM(_xlfn._xlws.FILTER(BA8:BA832,ISNUMBER(BA8:BA832))),0)</f>
        <v>0</v>
      </c>
      <c r="BB2" s="190" cm="1">
        <f t="array" ref="BB2">IFERROR(SUM(_xlfn._xlws.FILTER(BB8:BB832,ISNUMBER(BB8:BB832))),0)</f>
        <v>0</v>
      </c>
      <c r="BC2" s="190" cm="1">
        <f t="array" ref="BC2">IFERROR(SUM(_xlfn._xlws.FILTER(BC8:BC832,ISNUMBER(BC8:BC832))),0)</f>
        <v>0</v>
      </c>
      <c r="BD2" s="190" cm="1">
        <f t="array" ref="BD2">IFERROR(SUM(_xlfn._xlws.FILTER(BD8:BD832,ISNUMBER(BD8:BD832))),0)</f>
        <v>0</v>
      </c>
      <c r="BE2" s="190" cm="1">
        <f t="array" ref="BE2">IFERROR(SUM(_xlfn._xlws.FILTER(BE8:BE832,ISNUMBER(BE8:BE832))),0)</f>
        <v>0</v>
      </c>
      <c r="BF2" s="190" cm="1">
        <f t="array" ref="BF2">IFERROR(SUM(_xlfn._xlws.FILTER(BF8:BF832,ISNUMBER(BF8:BF832))),0)</f>
        <v>0</v>
      </c>
      <c r="BG2" s="190" cm="1">
        <f t="array" ref="BG2">IFERROR(SUM(_xlfn._xlws.FILTER(BG8:BG832,ISNUMBER(BG8:BG832))),0)</f>
        <v>0</v>
      </c>
      <c r="BH2" s="190" cm="1">
        <f t="array" ref="BH2">IFERROR(SUM(_xlfn._xlws.FILTER(BH8:BH832,ISNUMBER(BH8:BH832))),0)</f>
        <v>0</v>
      </c>
      <c r="BI2" s="190" cm="1">
        <f t="array" ref="BI2">IFERROR(SUM(_xlfn._xlws.FILTER(BI8:BI832,ISNUMBER(BI8:BI832))),0)</f>
        <v>0</v>
      </c>
      <c r="BJ2" s="190" cm="1">
        <f t="array" ref="BJ2">IFERROR(SUM(_xlfn._xlws.FILTER(BJ8:BJ832,ISNUMBER(BJ8:BJ832))),0)</f>
        <v>0</v>
      </c>
      <c r="BK2" s="190" cm="1">
        <f t="array" ref="BK2">IFERROR(SUM(_xlfn._xlws.FILTER(BK8:BK832,ISNUMBER(BK8:BK832))),0)</f>
        <v>0</v>
      </c>
      <c r="BL2" s="190" cm="1">
        <f t="array" ref="BL2">IFERROR(SUM(_xlfn._xlws.FILTER(BL8:BL832,ISNUMBER(BL8:BL832))),0)</f>
        <v>0</v>
      </c>
      <c r="BM2" s="190" cm="1">
        <f t="array" ref="BM2">IFERROR(SUM(_xlfn._xlws.FILTER(BM8:BM832,ISNUMBER(BM8:BM832))),0)</f>
        <v>0</v>
      </c>
      <c r="BN2" s="190" cm="1">
        <f t="array" ref="BN2">IFERROR(SUM(_xlfn._xlws.FILTER(BN8:BN832,ISNUMBER(BN8:BN832))),0)</f>
        <v>0</v>
      </c>
      <c r="BO2" s="190" cm="1">
        <f t="array" ref="BO2">IFERROR(SUM(_xlfn._xlws.FILTER(BO8:BO832,ISNUMBER(BO8:BO832))),0)</f>
        <v>0</v>
      </c>
      <c r="BP2" s="190" cm="1">
        <f t="array" ref="BP2">IFERROR(SUM(_xlfn._xlws.FILTER(BP8:BP832,ISNUMBER(BP8:BP832))),0)</f>
        <v>0</v>
      </c>
      <c r="BQ2" s="190"/>
      <c r="BR2" s="190"/>
      <c r="BS2" s="190"/>
      <c r="BT2" s="190"/>
      <c r="BU2" s="190"/>
      <c r="BV2" s="190"/>
      <c r="BW2" s="190"/>
      <c r="BX2" s="190"/>
      <c r="BY2" s="190"/>
      <c r="BZ2" s="190"/>
      <c r="CA2" s="190"/>
      <c r="CB2" s="190"/>
      <c r="CC2" s="190"/>
      <c r="CD2" s="190"/>
      <c r="CE2" s="190"/>
      <c r="CF2" s="190"/>
      <c r="CG2" s="190"/>
      <c r="CH2" s="190"/>
      <c r="CI2" s="190"/>
      <c r="CJ2" s="190"/>
      <c r="CK2" s="190">
        <f t="shared" ref="CK2" si="3">SUM(CK8:CK832)</f>
        <v>0</v>
      </c>
      <c r="CL2" s="190">
        <f t="shared" ref="CL2:CT2" si="4">SUM(CL8:CL832)</f>
        <v>0</v>
      </c>
      <c r="CM2" s="190">
        <f t="shared" si="4"/>
        <v>0</v>
      </c>
      <c r="CN2" s="190">
        <f t="shared" si="4"/>
        <v>0</v>
      </c>
      <c r="CO2" s="190">
        <f t="shared" si="4"/>
        <v>0</v>
      </c>
      <c r="CP2" s="190">
        <f t="shared" si="4"/>
        <v>0</v>
      </c>
      <c r="CQ2" s="190">
        <f t="shared" si="4"/>
        <v>0</v>
      </c>
      <c r="CR2" s="190">
        <f t="shared" si="4"/>
        <v>0</v>
      </c>
      <c r="CS2" s="190">
        <f t="shared" si="4"/>
        <v>0</v>
      </c>
      <c r="CT2" s="190">
        <f t="shared" si="4"/>
        <v>0</v>
      </c>
      <c r="CU2" s="190"/>
    </row>
    <row r="3" spans="1:100" ht="21" customHeight="1">
      <c r="A3" s="233" t="s">
        <v>231</v>
      </c>
      <c r="B3" s="193"/>
      <c r="C3" s="194"/>
      <c r="D3" s="195"/>
      <c r="E3" s="196"/>
      <c r="F3" s="196"/>
      <c r="G3" s="196"/>
      <c r="H3" s="197"/>
      <c r="I3" s="197"/>
      <c r="J3" s="197"/>
      <c r="K3" s="197"/>
      <c r="L3" s="197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  <c r="AL3" s="196"/>
      <c r="AM3" s="196"/>
      <c r="AN3" s="196"/>
      <c r="AO3" s="196"/>
      <c r="AP3" s="196"/>
      <c r="AQ3" s="196"/>
      <c r="AR3" s="196"/>
      <c r="AS3" s="196"/>
      <c r="AT3" s="196"/>
      <c r="AU3" s="196"/>
      <c r="AV3" s="196"/>
      <c r="AW3" s="196"/>
      <c r="AX3" s="196"/>
      <c r="AY3" s="196"/>
      <c r="AZ3" s="196"/>
      <c r="BA3" s="196"/>
      <c r="BB3" s="196"/>
      <c r="BC3" s="196"/>
      <c r="BD3" s="196"/>
      <c r="BE3" s="196"/>
      <c r="BF3" s="196"/>
      <c r="BG3" s="196"/>
      <c r="BH3" s="196"/>
      <c r="BI3" s="196"/>
      <c r="BJ3" s="196"/>
      <c r="BK3" s="196"/>
      <c r="BL3" s="196"/>
      <c r="BM3" s="196"/>
      <c r="BN3" s="196"/>
      <c r="BO3" s="196"/>
      <c r="BP3" s="196"/>
      <c r="BQ3" s="196"/>
      <c r="BR3" s="196"/>
      <c r="BS3" s="196"/>
      <c r="BT3" s="196"/>
      <c r="BU3" s="196"/>
      <c r="BV3" s="196"/>
      <c r="BW3" s="196"/>
      <c r="BX3" s="196"/>
      <c r="BY3" s="196"/>
      <c r="BZ3" s="196"/>
      <c r="CA3" s="196"/>
      <c r="CB3" s="196"/>
      <c r="CC3" s="196"/>
      <c r="CD3" s="196"/>
      <c r="CE3" s="196"/>
      <c r="CF3" s="196"/>
      <c r="CG3" s="196"/>
      <c r="CH3" s="196"/>
      <c r="CI3" s="196"/>
      <c r="CJ3" s="196"/>
      <c r="CK3" s="196"/>
      <c r="CL3" s="196"/>
      <c r="CM3" s="196"/>
      <c r="CN3" s="196"/>
      <c r="CO3" s="196"/>
      <c r="CP3" s="196"/>
      <c r="CQ3" s="196"/>
      <c r="CR3" s="196"/>
      <c r="CS3" s="196"/>
      <c r="CT3" s="196"/>
      <c r="CU3" s="193"/>
    </row>
    <row r="4" spans="1:100" s="204" customFormat="1" ht="42" customHeight="1">
      <c r="A4" s="298" t="s">
        <v>0</v>
      </c>
      <c r="B4" s="298" t="s">
        <v>4</v>
      </c>
      <c r="C4" s="298" t="s">
        <v>1</v>
      </c>
      <c r="D4" s="292" t="s">
        <v>193</v>
      </c>
      <c r="E4" s="199"/>
      <c r="F4" s="200"/>
      <c r="G4" s="201"/>
      <c r="H4" s="202"/>
      <c r="I4" s="201"/>
      <c r="J4" s="200"/>
      <c r="K4" s="200"/>
      <c r="L4" s="201"/>
      <c r="M4" s="200"/>
      <c r="N4" s="200"/>
      <c r="O4" s="200"/>
      <c r="P4" s="200"/>
      <c r="Q4" s="198"/>
      <c r="R4" s="203"/>
      <c r="S4" s="198"/>
      <c r="T4" s="198"/>
      <c r="U4" s="198"/>
      <c r="V4" s="201"/>
      <c r="W4" s="201"/>
      <c r="X4" s="201"/>
      <c r="Y4" s="201"/>
      <c r="Z4" s="201"/>
      <c r="AA4" s="202"/>
      <c r="AB4" s="202"/>
      <c r="AC4" s="202"/>
      <c r="AD4" s="201"/>
      <c r="AE4" s="201"/>
      <c r="AF4" s="201"/>
      <c r="AG4" s="198"/>
      <c r="AH4" s="198"/>
      <c r="AI4" s="198"/>
      <c r="AJ4" s="202"/>
      <c r="AK4" s="202"/>
      <c r="AL4" s="202"/>
      <c r="AM4" s="202"/>
      <c r="AN4" s="202"/>
      <c r="AO4" s="202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2"/>
      <c r="CL4" s="202"/>
      <c r="CM4" s="202"/>
      <c r="CN4" s="202"/>
      <c r="CO4" s="202"/>
      <c r="CP4" s="202"/>
      <c r="CQ4" s="201"/>
      <c r="CR4" s="202"/>
      <c r="CS4" s="202"/>
      <c r="CT4" s="202"/>
      <c r="CU4" s="300" t="s">
        <v>194</v>
      </c>
      <c r="CV4" s="294" t="s">
        <v>0</v>
      </c>
    </row>
    <row r="5" spans="1:100" s="206" customFormat="1" ht="19.5" customHeight="1">
      <c r="A5" s="298"/>
      <c r="B5" s="298"/>
      <c r="C5" s="298"/>
      <c r="D5" s="295" t="s">
        <v>2</v>
      </c>
      <c r="E5" s="198"/>
      <c r="F5" s="200"/>
      <c r="G5" s="201"/>
      <c r="H5" s="200"/>
      <c r="I5" s="201"/>
      <c r="J5" s="200"/>
      <c r="K5" s="200"/>
      <c r="L5" s="201"/>
      <c r="M5" s="200"/>
      <c r="N5" s="200"/>
      <c r="O5" s="200"/>
      <c r="P5" s="200"/>
      <c r="Q5" s="198"/>
      <c r="R5" s="205"/>
      <c r="S5" s="198"/>
      <c r="T5" s="198"/>
      <c r="U5" s="198"/>
      <c r="V5" s="201"/>
      <c r="W5" s="201"/>
      <c r="X5" s="201"/>
      <c r="Y5" s="201"/>
      <c r="Z5" s="201"/>
      <c r="AA5" s="200"/>
      <c r="AB5" s="202"/>
      <c r="AC5" s="202"/>
      <c r="AD5" s="201"/>
      <c r="AE5" s="201"/>
      <c r="AF5" s="201"/>
      <c r="AG5" s="198"/>
      <c r="AH5" s="198"/>
      <c r="AI5" s="198"/>
      <c r="AJ5" s="200"/>
      <c r="AK5" s="202"/>
      <c r="AL5" s="202"/>
      <c r="AM5" s="202"/>
      <c r="AN5" s="202"/>
      <c r="AO5" s="202"/>
      <c r="AP5" s="200"/>
      <c r="AQ5" s="200"/>
      <c r="AR5" s="200"/>
      <c r="AS5" s="200"/>
      <c r="AT5" s="200"/>
      <c r="AU5" s="200"/>
      <c r="AV5" s="200"/>
      <c r="AW5" s="200"/>
      <c r="AX5" s="200"/>
      <c r="AY5" s="200"/>
      <c r="AZ5" s="200"/>
      <c r="BA5" s="200"/>
      <c r="BB5" s="200"/>
      <c r="BC5" s="200"/>
      <c r="BD5" s="200"/>
      <c r="BE5" s="200"/>
      <c r="BF5" s="200"/>
      <c r="BG5" s="200"/>
      <c r="BH5" s="200"/>
      <c r="BI5" s="200"/>
      <c r="BJ5" s="200"/>
      <c r="BK5" s="200"/>
      <c r="BL5" s="200"/>
      <c r="BM5" s="200"/>
      <c r="BN5" s="200"/>
      <c r="BO5" s="200"/>
      <c r="BP5" s="200"/>
      <c r="BQ5" s="200"/>
      <c r="BR5" s="200"/>
      <c r="BS5" s="200"/>
      <c r="BT5" s="200"/>
      <c r="BU5" s="200"/>
      <c r="BV5" s="200"/>
      <c r="BW5" s="200"/>
      <c r="BX5" s="200"/>
      <c r="BY5" s="200"/>
      <c r="BZ5" s="200"/>
      <c r="CA5" s="200"/>
      <c r="CB5" s="200"/>
      <c r="CC5" s="200"/>
      <c r="CD5" s="200"/>
      <c r="CE5" s="200"/>
      <c r="CF5" s="200"/>
      <c r="CG5" s="200"/>
      <c r="CH5" s="200"/>
      <c r="CI5" s="200"/>
      <c r="CJ5" s="200"/>
      <c r="CK5" s="202"/>
      <c r="CL5" s="202"/>
      <c r="CM5" s="202"/>
      <c r="CN5" s="202"/>
      <c r="CO5" s="202"/>
      <c r="CP5" s="202"/>
      <c r="CQ5" s="201"/>
      <c r="CR5" s="202"/>
      <c r="CS5" s="202"/>
      <c r="CT5" s="202"/>
      <c r="CU5" s="301"/>
      <c r="CV5" s="294"/>
    </row>
    <row r="6" spans="1:100" s="215" customFormat="1" ht="17.25" customHeight="1">
      <c r="A6" s="299"/>
      <c r="B6" s="299"/>
      <c r="C6" s="299"/>
      <c r="D6" s="296"/>
      <c r="E6" s="207"/>
      <c r="F6" s="208"/>
      <c r="G6" s="209"/>
      <c r="H6" s="209"/>
      <c r="I6" s="209"/>
      <c r="J6" s="209"/>
      <c r="K6" s="209"/>
      <c r="L6" s="209"/>
      <c r="M6" s="209"/>
      <c r="N6" s="208"/>
      <c r="O6" s="209"/>
      <c r="P6" s="208"/>
      <c r="Q6" s="210"/>
      <c r="R6" s="211"/>
      <c r="S6" s="210"/>
      <c r="T6" s="210"/>
      <c r="U6" s="210"/>
      <c r="V6" s="212"/>
      <c r="W6" s="212"/>
      <c r="X6" s="212"/>
      <c r="Y6" s="212"/>
      <c r="Z6" s="212"/>
      <c r="AA6" s="210"/>
      <c r="AB6" s="213"/>
      <c r="AC6" s="213"/>
      <c r="AD6" s="214"/>
      <c r="AE6" s="212"/>
      <c r="AF6" s="212"/>
      <c r="AG6" s="210"/>
      <c r="AH6" s="210"/>
      <c r="AI6" s="210"/>
      <c r="AJ6" s="210"/>
      <c r="AK6" s="213"/>
      <c r="AL6" s="213"/>
      <c r="AM6" s="213"/>
      <c r="AN6" s="213"/>
      <c r="AO6" s="213"/>
      <c r="AP6" s="208"/>
      <c r="AQ6" s="208"/>
      <c r="AR6" s="208"/>
      <c r="AS6" s="208"/>
      <c r="AT6" s="208"/>
      <c r="AU6" s="208"/>
      <c r="AV6" s="208"/>
      <c r="AW6" s="208"/>
      <c r="AX6" s="208"/>
      <c r="AY6" s="208"/>
      <c r="AZ6" s="208"/>
      <c r="BA6" s="208"/>
      <c r="BB6" s="208"/>
      <c r="BC6" s="208"/>
      <c r="BD6" s="208"/>
      <c r="BE6" s="208"/>
      <c r="BF6" s="208"/>
      <c r="BG6" s="208"/>
      <c r="BH6" s="208"/>
      <c r="BI6" s="208"/>
      <c r="BJ6" s="208"/>
      <c r="BK6" s="208"/>
      <c r="BL6" s="208"/>
      <c r="BM6" s="208"/>
      <c r="BN6" s="208"/>
      <c r="BO6" s="208"/>
      <c r="BP6" s="208"/>
      <c r="BQ6" s="208"/>
      <c r="BR6" s="208"/>
      <c r="BS6" s="208"/>
      <c r="BT6" s="208"/>
      <c r="BU6" s="208"/>
      <c r="BV6" s="208"/>
      <c r="BW6" s="208"/>
      <c r="BX6" s="208"/>
      <c r="BY6" s="208"/>
      <c r="BZ6" s="208"/>
      <c r="CA6" s="208"/>
      <c r="CB6" s="208"/>
      <c r="CC6" s="208"/>
      <c r="CD6" s="208"/>
      <c r="CE6" s="208"/>
      <c r="CF6" s="208"/>
      <c r="CG6" s="208"/>
      <c r="CH6" s="208"/>
      <c r="CI6" s="208"/>
      <c r="CJ6" s="208"/>
      <c r="CK6" s="213"/>
      <c r="CL6" s="213"/>
      <c r="CM6" s="213"/>
      <c r="CN6" s="213"/>
      <c r="CO6" s="213"/>
      <c r="CP6" s="213"/>
      <c r="CQ6" s="214"/>
      <c r="CR6" s="213"/>
      <c r="CS6" s="213"/>
      <c r="CT6" s="214"/>
      <c r="CU6" s="302"/>
      <c r="CV6" s="294"/>
    </row>
    <row r="7" spans="1:100" s="222" customFormat="1" ht="22.5" customHeight="1">
      <c r="A7" s="216"/>
      <c r="B7" s="216"/>
      <c r="C7" s="216"/>
      <c r="D7" s="297"/>
      <c r="E7" s="217"/>
      <c r="F7" s="217"/>
      <c r="G7" s="217"/>
      <c r="H7" s="217"/>
      <c r="I7" s="217"/>
      <c r="J7" s="217"/>
      <c r="K7" s="217"/>
      <c r="L7" s="217"/>
      <c r="M7" s="218"/>
      <c r="N7" s="218"/>
      <c r="O7" s="218"/>
      <c r="P7" s="218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9"/>
      <c r="AP7" s="219"/>
      <c r="AQ7" s="219"/>
      <c r="AR7" s="219"/>
      <c r="AS7" s="219"/>
      <c r="AT7" s="219"/>
      <c r="AU7" s="219"/>
      <c r="AV7" s="219"/>
      <c r="AW7" s="219"/>
      <c r="AX7" s="219"/>
      <c r="AY7" s="219"/>
      <c r="AZ7" s="219"/>
      <c r="BA7" s="219"/>
      <c r="BB7" s="219"/>
      <c r="BC7" s="219"/>
      <c r="BD7" s="219"/>
      <c r="BE7" s="219"/>
      <c r="BF7" s="219"/>
      <c r="BG7" s="219"/>
      <c r="BH7" s="219"/>
      <c r="BI7" s="219"/>
      <c r="BJ7" s="219"/>
      <c r="BK7" s="219"/>
      <c r="BL7" s="219"/>
      <c r="BM7" s="219"/>
      <c r="BN7" s="219"/>
      <c r="BO7" s="219"/>
      <c r="BP7" s="219"/>
      <c r="BQ7" s="219"/>
      <c r="BR7" s="219"/>
      <c r="BS7" s="219"/>
      <c r="BT7" s="219"/>
      <c r="BU7" s="219"/>
      <c r="BV7" s="219"/>
      <c r="BW7" s="219"/>
      <c r="BX7" s="219"/>
      <c r="BY7" s="219"/>
      <c r="BZ7" s="219"/>
      <c r="CA7" s="219"/>
      <c r="CB7" s="219"/>
      <c r="CC7" s="219"/>
      <c r="CD7" s="219"/>
      <c r="CE7" s="219"/>
      <c r="CF7" s="219"/>
      <c r="CG7" s="219"/>
      <c r="CH7" s="219"/>
      <c r="CI7" s="219"/>
      <c r="CJ7" s="219"/>
      <c r="CK7" s="219"/>
      <c r="CL7" s="219"/>
      <c r="CM7" s="219"/>
      <c r="CN7" s="219"/>
      <c r="CO7" s="219"/>
      <c r="CP7" s="219"/>
      <c r="CQ7" s="217"/>
      <c r="CR7" s="219"/>
      <c r="CS7" s="219"/>
      <c r="CT7" s="217"/>
      <c r="CU7" s="220"/>
      <c r="CV7" s="221"/>
    </row>
    <row r="8" spans="1:100" s="226" customFormat="1" ht="20.100000000000001" customHeight="1">
      <c r="A8" s="223"/>
      <c r="B8" s="223"/>
      <c r="C8" s="223"/>
      <c r="D8" s="224"/>
      <c r="E8" s="223"/>
      <c r="F8" s="223"/>
      <c r="G8" s="223"/>
      <c r="H8" s="223"/>
      <c r="I8" s="223"/>
      <c r="J8" s="223"/>
      <c r="K8" s="223"/>
      <c r="L8" s="223"/>
      <c r="M8" s="223"/>
      <c r="N8" s="223"/>
      <c r="O8" s="223"/>
      <c r="P8" s="223"/>
      <c r="Q8" s="223"/>
      <c r="R8" s="223"/>
      <c r="S8" s="223"/>
      <c r="T8" s="223"/>
      <c r="U8" s="223"/>
      <c r="V8" s="223"/>
      <c r="W8" s="223"/>
      <c r="X8" s="223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  <c r="AU8" s="223"/>
      <c r="AV8" s="223"/>
      <c r="AW8" s="223"/>
      <c r="AX8" s="223"/>
      <c r="AY8" s="223"/>
      <c r="AZ8" s="223"/>
      <c r="BA8" s="223"/>
      <c r="BB8" s="223"/>
      <c r="BC8" s="223"/>
      <c r="BD8" s="223"/>
      <c r="BE8" s="223"/>
      <c r="BF8" s="223"/>
      <c r="BG8" s="223"/>
      <c r="BH8" s="223"/>
      <c r="BI8" s="223"/>
      <c r="BJ8" s="223"/>
      <c r="BK8" s="223"/>
      <c r="BL8" s="223"/>
      <c r="BM8" s="223"/>
      <c r="BN8" s="223"/>
      <c r="BO8" s="223"/>
      <c r="BP8" s="223"/>
      <c r="BQ8" s="223"/>
      <c r="BR8" s="223"/>
      <c r="BS8" s="223"/>
      <c r="BT8" s="223"/>
      <c r="BU8" s="223"/>
      <c r="BV8" s="223"/>
      <c r="BW8" s="223"/>
      <c r="BX8" s="223"/>
      <c r="BY8" s="223"/>
      <c r="BZ8" s="223"/>
      <c r="CA8" s="223"/>
      <c r="CB8" s="223"/>
      <c r="CC8" s="223"/>
      <c r="CD8" s="223"/>
      <c r="CE8" s="223"/>
      <c r="CF8" s="223"/>
      <c r="CG8" s="223"/>
      <c r="CH8" s="223"/>
      <c r="CI8" s="223"/>
      <c r="CJ8" s="223"/>
      <c r="CK8" s="223"/>
      <c r="CL8" s="223"/>
      <c r="CM8" s="223"/>
      <c r="CN8" s="223"/>
      <c r="CO8" s="223"/>
      <c r="CP8" s="223"/>
      <c r="CQ8" s="223"/>
      <c r="CR8" s="223"/>
      <c r="CS8" s="223"/>
      <c r="CT8" s="223"/>
      <c r="CU8" s="223"/>
      <c r="CV8" s="225"/>
    </row>
    <row r="9" spans="1:100" ht="20.100000000000001" customHeight="1">
      <c r="A9" s="227">
        <v>1</v>
      </c>
      <c r="B9" s="225"/>
      <c r="C9" s="227"/>
      <c r="D9" s="228" cm="1">
        <f t="array" ref="D9">IFERROR(
(SUMPRODUCT(E9:CU9*$E$6:$CU$6)/100) + (SUMPRODUCT(E9:CU9*$E$6:$CU$6*$E$3:$CU$3)/100),
0
)</f>
        <v>0</v>
      </c>
      <c r="E9" s="227"/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7"/>
      <c r="T9" s="227"/>
      <c r="U9" s="227"/>
      <c r="V9" s="227"/>
      <c r="W9" s="227"/>
      <c r="X9" s="227"/>
      <c r="Y9" s="227"/>
      <c r="Z9" s="227"/>
      <c r="AA9" s="227"/>
      <c r="AB9" s="227"/>
      <c r="AC9" s="227"/>
      <c r="AD9" s="227"/>
      <c r="AE9" s="227"/>
      <c r="AF9" s="227"/>
      <c r="AG9" s="227"/>
      <c r="AH9" s="227"/>
      <c r="AI9" s="227"/>
      <c r="AJ9" s="227"/>
      <c r="AK9" s="227"/>
      <c r="AL9" s="227"/>
      <c r="AM9" s="227"/>
      <c r="AN9" s="227"/>
      <c r="AO9" s="227"/>
      <c r="AP9" s="227"/>
      <c r="AQ9" s="227"/>
      <c r="AR9" s="227"/>
      <c r="AS9" s="227"/>
      <c r="AT9" s="227"/>
      <c r="AU9" s="227"/>
      <c r="AV9" s="227"/>
      <c r="AW9" s="227"/>
      <c r="AX9" s="227"/>
      <c r="AY9" s="227"/>
      <c r="AZ9" s="227"/>
      <c r="BA9" s="227"/>
      <c r="BB9" s="227"/>
      <c r="BC9" s="227"/>
      <c r="BD9" s="227"/>
      <c r="BE9" s="227"/>
      <c r="BF9" s="227"/>
      <c r="BG9" s="227"/>
      <c r="BH9" s="227"/>
      <c r="BI9" s="227"/>
      <c r="BJ9" s="227"/>
      <c r="BK9" s="227"/>
      <c r="BL9" s="227"/>
      <c r="BM9" s="227"/>
      <c r="BN9" s="227"/>
      <c r="BO9" s="227"/>
      <c r="BP9" s="227"/>
      <c r="BQ9" s="227"/>
      <c r="BR9" s="227"/>
      <c r="BS9" s="227"/>
      <c r="BT9" s="227"/>
      <c r="BU9" s="227"/>
      <c r="BV9" s="227"/>
      <c r="BW9" s="227"/>
      <c r="BX9" s="227"/>
      <c r="BY9" s="227"/>
      <c r="BZ9" s="227"/>
      <c r="CA9" s="227"/>
      <c r="CB9" s="227"/>
      <c r="CC9" s="227"/>
      <c r="CD9" s="227"/>
      <c r="CE9" s="227"/>
      <c r="CF9" s="227"/>
      <c r="CG9" s="227"/>
      <c r="CH9" s="227"/>
      <c r="CI9" s="227"/>
      <c r="CJ9" s="227"/>
      <c r="CK9" s="227"/>
      <c r="CL9" s="227"/>
      <c r="CM9" s="227"/>
      <c r="CN9" s="227"/>
      <c r="CO9" s="227"/>
      <c r="CP9" s="227"/>
      <c r="CQ9" s="227"/>
      <c r="CR9" s="227"/>
      <c r="CS9" s="227"/>
      <c r="CT9" s="227"/>
      <c r="CU9" s="225"/>
      <c r="CV9" s="227"/>
    </row>
    <row r="10" spans="1:100" ht="20.100000000000001" customHeight="1">
      <c r="A10" s="227"/>
      <c r="B10" s="225"/>
      <c r="C10" s="227"/>
      <c r="D10" s="224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3"/>
      <c r="T10" s="223"/>
      <c r="U10" s="223"/>
      <c r="V10" s="223"/>
      <c r="W10" s="223"/>
      <c r="X10" s="223"/>
      <c r="Y10" s="223"/>
      <c r="Z10" s="223"/>
      <c r="AA10" s="223"/>
      <c r="AB10" s="223"/>
      <c r="AC10" s="223"/>
      <c r="AD10" s="223"/>
      <c r="AE10" s="223"/>
      <c r="AF10" s="223"/>
      <c r="AG10" s="223"/>
      <c r="AH10" s="223"/>
      <c r="AI10" s="223"/>
      <c r="AJ10" s="223"/>
      <c r="AK10" s="223"/>
      <c r="AL10" s="223"/>
      <c r="AM10" s="223"/>
      <c r="AN10" s="223"/>
      <c r="AO10" s="223"/>
      <c r="AP10" s="223"/>
      <c r="AQ10" s="223"/>
      <c r="AR10" s="223"/>
      <c r="AS10" s="223"/>
      <c r="AT10" s="223"/>
      <c r="AU10" s="223"/>
      <c r="AV10" s="223"/>
      <c r="AW10" s="223"/>
      <c r="AX10" s="223"/>
      <c r="AY10" s="223"/>
      <c r="AZ10" s="223"/>
      <c r="BA10" s="223"/>
      <c r="BB10" s="223"/>
      <c r="BC10" s="223"/>
      <c r="BD10" s="223"/>
      <c r="BE10" s="223"/>
      <c r="BF10" s="223"/>
      <c r="BG10" s="223"/>
      <c r="BH10" s="223"/>
      <c r="BI10" s="223"/>
      <c r="BJ10" s="223"/>
      <c r="BK10" s="223"/>
      <c r="BL10" s="223"/>
      <c r="BM10" s="223"/>
      <c r="BN10" s="223"/>
      <c r="BO10" s="223"/>
      <c r="BP10" s="223"/>
      <c r="BQ10" s="227"/>
      <c r="BR10" s="227"/>
      <c r="BS10" s="227"/>
      <c r="BT10" s="227"/>
      <c r="BU10" s="227"/>
      <c r="BV10" s="227"/>
      <c r="BW10" s="227"/>
      <c r="BX10" s="227"/>
      <c r="BY10" s="227"/>
      <c r="BZ10" s="227"/>
      <c r="CA10" s="227"/>
      <c r="CB10" s="227"/>
      <c r="CC10" s="227"/>
      <c r="CD10" s="227"/>
      <c r="CE10" s="227"/>
      <c r="CF10" s="227"/>
      <c r="CG10" s="227"/>
      <c r="CH10" s="227"/>
      <c r="CI10" s="227"/>
      <c r="CJ10" s="227"/>
      <c r="CK10" s="227"/>
      <c r="CL10" s="227"/>
      <c r="CM10" s="227"/>
      <c r="CN10" s="227"/>
      <c r="CO10" s="227"/>
      <c r="CP10" s="227"/>
      <c r="CQ10" s="227"/>
      <c r="CR10" s="227"/>
      <c r="CS10" s="227"/>
      <c r="CT10" s="227"/>
      <c r="CU10" s="225"/>
      <c r="CV10" s="227"/>
    </row>
    <row r="11" spans="1:100" ht="20.100000000000001" customHeight="1">
      <c r="A11" s="227">
        <v>2</v>
      </c>
      <c r="B11" s="225"/>
      <c r="C11" s="227"/>
      <c r="D11" s="228" cm="1">
        <f t="array" ref="D11">IFERROR(
(SUMPRODUCT(E11:CU11*$E$6:$CU$6)/100) + (SUMPRODUCT(E11:CU11*$E$6:$CU$6*$E$3:$CU$3)/100),
0
)</f>
        <v>0</v>
      </c>
      <c r="E11" s="227"/>
      <c r="F11" s="227"/>
      <c r="G11" s="227"/>
      <c r="H11" s="227"/>
      <c r="I11" s="227"/>
      <c r="J11" s="227"/>
      <c r="K11" s="227"/>
      <c r="L11" s="227"/>
      <c r="M11" s="227"/>
      <c r="N11" s="227"/>
      <c r="O11" s="227"/>
      <c r="P11" s="227"/>
      <c r="Q11" s="227"/>
      <c r="R11" s="22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  <c r="BQ11" s="227"/>
      <c r="BR11" s="227"/>
      <c r="BS11" s="227"/>
      <c r="BT11" s="227"/>
      <c r="BU11" s="227"/>
      <c r="BV11" s="227"/>
      <c r="BW11" s="227"/>
      <c r="BX11" s="227"/>
      <c r="BY11" s="227"/>
      <c r="BZ11" s="227"/>
      <c r="CA11" s="227"/>
      <c r="CB11" s="227"/>
      <c r="CC11" s="227"/>
      <c r="CD11" s="227"/>
      <c r="CE11" s="227"/>
      <c r="CF11" s="227"/>
      <c r="CG11" s="227"/>
      <c r="CH11" s="227"/>
      <c r="CI11" s="227"/>
      <c r="CJ11" s="227"/>
      <c r="CK11" s="227"/>
      <c r="CL11" s="227"/>
      <c r="CM11" s="227"/>
      <c r="CN11" s="227"/>
      <c r="CO11" s="227"/>
      <c r="CP11" s="227"/>
      <c r="CQ11" s="227"/>
      <c r="CR11" s="227"/>
      <c r="CS11" s="227"/>
      <c r="CT11" s="227"/>
      <c r="CU11" s="225"/>
      <c r="CV11" s="227"/>
    </row>
    <row r="12" spans="1:100" ht="20.100000000000001" customHeight="1">
      <c r="A12" s="223"/>
      <c r="B12" s="225"/>
      <c r="C12" s="227"/>
      <c r="D12" s="224"/>
      <c r="E12" s="223"/>
      <c r="F12" s="223"/>
      <c r="G12" s="223"/>
      <c r="H12" s="223"/>
      <c r="I12" s="223"/>
      <c r="J12" s="223"/>
      <c r="K12" s="223"/>
      <c r="L12" s="223"/>
      <c r="M12" s="223"/>
      <c r="N12" s="223"/>
      <c r="O12" s="223"/>
      <c r="P12" s="223"/>
      <c r="Q12" s="223"/>
      <c r="R12" s="223"/>
      <c r="S12" s="223"/>
      <c r="T12" s="223"/>
      <c r="U12" s="223"/>
      <c r="V12" s="223"/>
      <c r="W12" s="223"/>
      <c r="X12" s="223"/>
      <c r="Y12" s="223"/>
      <c r="Z12" s="223"/>
      <c r="AA12" s="223"/>
      <c r="AB12" s="223"/>
      <c r="AC12" s="223"/>
      <c r="AD12" s="223"/>
      <c r="AE12" s="223"/>
      <c r="AF12" s="223"/>
      <c r="AG12" s="223"/>
      <c r="AH12" s="223"/>
      <c r="AI12" s="223"/>
      <c r="AJ12" s="223"/>
      <c r="AK12" s="223"/>
      <c r="AL12" s="223"/>
      <c r="AM12" s="223"/>
      <c r="AN12" s="223"/>
      <c r="AO12" s="223"/>
      <c r="AP12" s="223"/>
      <c r="AQ12" s="223"/>
      <c r="AR12" s="223"/>
      <c r="AS12" s="223"/>
      <c r="AT12" s="223"/>
      <c r="AU12" s="223"/>
      <c r="AV12" s="223"/>
      <c r="AW12" s="223"/>
      <c r="AX12" s="223"/>
      <c r="AY12" s="223"/>
      <c r="AZ12" s="223"/>
      <c r="BA12" s="223"/>
      <c r="BB12" s="223"/>
      <c r="BC12" s="223"/>
      <c r="BD12" s="223"/>
      <c r="BE12" s="223"/>
      <c r="BF12" s="223"/>
      <c r="BG12" s="223"/>
      <c r="BH12" s="223"/>
      <c r="BI12" s="223"/>
      <c r="BJ12" s="223"/>
      <c r="BK12" s="223"/>
      <c r="BL12" s="223"/>
      <c r="BM12" s="223"/>
      <c r="BN12" s="223"/>
      <c r="BO12" s="223"/>
      <c r="BP12" s="223"/>
      <c r="BQ12" s="227"/>
      <c r="BR12" s="227"/>
      <c r="BS12" s="227"/>
      <c r="BT12" s="227"/>
      <c r="BU12" s="227"/>
      <c r="BV12" s="227"/>
      <c r="BW12" s="227"/>
      <c r="BX12" s="227"/>
      <c r="BY12" s="227"/>
      <c r="BZ12" s="227"/>
      <c r="CA12" s="227"/>
      <c r="CB12" s="227"/>
      <c r="CC12" s="227"/>
      <c r="CD12" s="227"/>
      <c r="CE12" s="227"/>
      <c r="CF12" s="227"/>
      <c r="CG12" s="227"/>
      <c r="CH12" s="227"/>
      <c r="CI12" s="227"/>
      <c r="CJ12" s="227"/>
      <c r="CK12" s="227"/>
      <c r="CL12" s="227"/>
      <c r="CM12" s="227"/>
      <c r="CN12" s="227"/>
      <c r="CO12" s="227"/>
      <c r="CP12" s="227"/>
      <c r="CQ12" s="227"/>
      <c r="CR12" s="227"/>
      <c r="CS12" s="227"/>
      <c r="CT12" s="227"/>
      <c r="CU12" s="225"/>
      <c r="CV12" s="227"/>
    </row>
    <row r="13" spans="1:100" ht="20.100000000000001" customHeight="1">
      <c r="A13" s="227">
        <v>3</v>
      </c>
      <c r="B13" s="225"/>
      <c r="C13" s="227"/>
      <c r="D13" s="228" cm="1">
        <f t="array" ref="D13">IFERROR(
(SUMPRODUCT(E13:CU13*$E$6:$CU$6)/100) + (SUMPRODUCT(E13:CU13*$E$6:$CU$6*$E$3:$CU$3)/100),
0
)</f>
        <v>0</v>
      </c>
      <c r="E13" s="227"/>
      <c r="F13" s="227"/>
      <c r="G13" s="227"/>
      <c r="H13" s="227"/>
      <c r="I13" s="227"/>
      <c r="J13" s="227"/>
      <c r="K13" s="227"/>
      <c r="L13" s="227"/>
      <c r="M13" s="227"/>
      <c r="N13" s="227"/>
      <c r="O13" s="227"/>
      <c r="P13" s="227"/>
      <c r="Q13" s="227"/>
      <c r="R13" s="227"/>
      <c r="S13" s="227"/>
      <c r="T13" s="227"/>
      <c r="U13" s="227"/>
      <c r="V13" s="227"/>
      <c r="W13" s="227"/>
      <c r="X13" s="227"/>
      <c r="Y13" s="227"/>
      <c r="Z13" s="227"/>
      <c r="AA13" s="227"/>
      <c r="AB13" s="227"/>
      <c r="AC13" s="227"/>
      <c r="AD13" s="227"/>
      <c r="AE13" s="227"/>
      <c r="AF13" s="227"/>
      <c r="AG13" s="227"/>
      <c r="AH13" s="227"/>
      <c r="AI13" s="227"/>
      <c r="AJ13" s="227"/>
      <c r="AK13" s="227"/>
      <c r="AL13" s="227"/>
      <c r="AM13" s="227"/>
      <c r="AN13" s="227"/>
      <c r="AO13" s="227"/>
      <c r="AP13" s="227"/>
      <c r="AQ13" s="227"/>
      <c r="AR13" s="227"/>
      <c r="AS13" s="227"/>
      <c r="AT13" s="227"/>
      <c r="AU13" s="227"/>
      <c r="AV13" s="227"/>
      <c r="AW13" s="227"/>
      <c r="AX13" s="227"/>
      <c r="AY13" s="22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  <c r="BQ13" s="227"/>
      <c r="BR13" s="227"/>
      <c r="BS13" s="227"/>
      <c r="BT13" s="227"/>
      <c r="BU13" s="227"/>
      <c r="BV13" s="227"/>
      <c r="BW13" s="227"/>
      <c r="BX13" s="227"/>
      <c r="BY13" s="227"/>
      <c r="BZ13" s="227"/>
      <c r="CA13" s="227"/>
      <c r="CB13" s="227"/>
      <c r="CC13" s="227"/>
      <c r="CD13" s="227"/>
      <c r="CE13" s="227"/>
      <c r="CF13" s="227"/>
      <c r="CG13" s="227"/>
      <c r="CH13" s="227"/>
      <c r="CI13" s="227"/>
      <c r="CJ13" s="227"/>
      <c r="CK13" s="227"/>
      <c r="CL13" s="227"/>
      <c r="CM13" s="227"/>
      <c r="CN13" s="227"/>
      <c r="CO13" s="227"/>
      <c r="CP13" s="227"/>
      <c r="CQ13" s="227"/>
      <c r="CR13" s="227"/>
      <c r="CS13" s="227"/>
      <c r="CT13" s="227"/>
      <c r="CU13" s="225"/>
      <c r="CV13" s="227"/>
    </row>
    <row r="14" spans="1:100" ht="20.100000000000001" customHeight="1">
      <c r="A14" s="227"/>
      <c r="B14" s="225"/>
      <c r="C14" s="227"/>
      <c r="D14" s="224"/>
      <c r="E14" s="223"/>
      <c r="F14" s="223"/>
      <c r="G14" s="223"/>
      <c r="H14" s="223"/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  <c r="AC14" s="223"/>
      <c r="AD14" s="223"/>
      <c r="AE14" s="223"/>
      <c r="AF14" s="223"/>
      <c r="AG14" s="223"/>
      <c r="AH14" s="223"/>
      <c r="AI14" s="223"/>
      <c r="AJ14" s="223"/>
      <c r="AK14" s="223"/>
      <c r="AL14" s="223"/>
      <c r="AM14" s="223"/>
      <c r="AN14" s="223"/>
      <c r="AO14" s="223"/>
      <c r="AP14" s="223"/>
      <c r="AQ14" s="223"/>
      <c r="AR14" s="223"/>
      <c r="AS14" s="223"/>
      <c r="AT14" s="223"/>
      <c r="AU14" s="223"/>
      <c r="AV14" s="223"/>
      <c r="AW14" s="223"/>
      <c r="AX14" s="223"/>
      <c r="AY14" s="223"/>
      <c r="AZ14" s="223"/>
      <c r="BA14" s="223"/>
      <c r="BB14" s="223"/>
      <c r="BC14" s="223"/>
      <c r="BD14" s="223"/>
      <c r="BE14" s="223"/>
      <c r="BF14" s="223"/>
      <c r="BG14" s="223"/>
      <c r="BH14" s="223"/>
      <c r="BI14" s="223"/>
      <c r="BJ14" s="223"/>
      <c r="BK14" s="223"/>
      <c r="BL14" s="223"/>
      <c r="BM14" s="223"/>
      <c r="BN14" s="223"/>
      <c r="BO14" s="223"/>
      <c r="BP14" s="223"/>
      <c r="BQ14" s="227"/>
      <c r="BR14" s="227"/>
      <c r="BS14" s="227"/>
      <c r="BT14" s="227"/>
      <c r="BU14" s="227"/>
      <c r="BV14" s="227"/>
      <c r="BW14" s="227"/>
      <c r="BX14" s="227"/>
      <c r="BY14" s="227"/>
      <c r="BZ14" s="227"/>
      <c r="CA14" s="227"/>
      <c r="CB14" s="227"/>
      <c r="CC14" s="227"/>
      <c r="CD14" s="227"/>
      <c r="CE14" s="227"/>
      <c r="CF14" s="227"/>
      <c r="CG14" s="227"/>
      <c r="CH14" s="227"/>
      <c r="CI14" s="227"/>
      <c r="CJ14" s="227"/>
      <c r="CK14" s="227"/>
      <c r="CL14" s="227"/>
      <c r="CM14" s="227"/>
      <c r="CN14" s="227"/>
      <c r="CO14" s="227"/>
      <c r="CP14" s="227"/>
      <c r="CQ14" s="227"/>
      <c r="CR14" s="227"/>
      <c r="CS14" s="227"/>
      <c r="CT14" s="227"/>
      <c r="CU14" s="225"/>
      <c r="CV14" s="227"/>
    </row>
    <row r="15" spans="1:100" ht="20.100000000000001" customHeight="1">
      <c r="A15" s="227">
        <v>4</v>
      </c>
      <c r="B15" s="225"/>
      <c r="C15" s="227"/>
      <c r="D15" s="228" cm="1">
        <f t="array" ref="D15">IFERROR(
(SUMPRODUCT(E15:CU15*$E$6:$CU$6)/100) + (SUMPRODUCT(E15:CU15*$E$6:$CU$6*$E$3:$CU$3)/100),
0
)</f>
        <v>0</v>
      </c>
      <c r="E15" s="227"/>
      <c r="F15" s="227"/>
      <c r="G15" s="227"/>
      <c r="H15" s="227"/>
      <c r="I15" s="227"/>
      <c r="J15" s="227"/>
      <c r="K15" s="227"/>
      <c r="L15" s="227"/>
      <c r="M15" s="227"/>
      <c r="N15" s="227"/>
      <c r="O15" s="227"/>
      <c r="P15" s="227"/>
      <c r="Q15" s="227"/>
      <c r="R15" s="227"/>
      <c r="S15" s="227"/>
      <c r="T15" s="227"/>
      <c r="U15" s="227"/>
      <c r="V15" s="227"/>
      <c r="W15" s="227"/>
      <c r="X15" s="227"/>
      <c r="Y15" s="227"/>
      <c r="Z15" s="227"/>
      <c r="AA15" s="227"/>
      <c r="AB15" s="227"/>
      <c r="AC15" s="227"/>
      <c r="AD15" s="227"/>
      <c r="AE15" s="227"/>
      <c r="AF15" s="227"/>
      <c r="AG15" s="227"/>
      <c r="AH15" s="227"/>
      <c r="AI15" s="227"/>
      <c r="AJ15" s="227"/>
      <c r="AK15" s="227"/>
      <c r="AL15" s="227"/>
      <c r="AM15" s="227"/>
      <c r="AN15" s="227"/>
      <c r="AO15" s="227"/>
      <c r="AP15" s="227"/>
      <c r="AQ15" s="227"/>
      <c r="AR15" s="227"/>
      <c r="AS15" s="227"/>
      <c r="AT15" s="227"/>
      <c r="AU15" s="227"/>
      <c r="AV15" s="227"/>
      <c r="AW15" s="227"/>
      <c r="AX15" s="227"/>
      <c r="AY15" s="22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  <c r="BQ15" s="227"/>
      <c r="BR15" s="227"/>
      <c r="BS15" s="227"/>
      <c r="BT15" s="227"/>
      <c r="BU15" s="227"/>
      <c r="BV15" s="227"/>
      <c r="BW15" s="227"/>
      <c r="BX15" s="227"/>
      <c r="BY15" s="227"/>
      <c r="BZ15" s="227"/>
      <c r="CA15" s="227"/>
      <c r="CB15" s="227"/>
      <c r="CC15" s="227"/>
      <c r="CD15" s="227"/>
      <c r="CE15" s="227"/>
      <c r="CF15" s="227"/>
      <c r="CG15" s="227"/>
      <c r="CH15" s="227"/>
      <c r="CI15" s="227"/>
      <c r="CJ15" s="227"/>
      <c r="CK15" s="227"/>
      <c r="CL15" s="227"/>
      <c r="CM15" s="227"/>
      <c r="CN15" s="227"/>
      <c r="CO15" s="227"/>
      <c r="CP15" s="227"/>
      <c r="CQ15" s="227"/>
      <c r="CR15" s="227"/>
      <c r="CS15" s="227"/>
      <c r="CT15" s="227"/>
      <c r="CU15" s="225"/>
      <c r="CV15" s="227"/>
    </row>
    <row r="16" spans="1:100" ht="20.100000000000001" customHeight="1">
      <c r="A16" s="223"/>
      <c r="B16" s="225"/>
      <c r="C16" s="227"/>
      <c r="D16" s="224"/>
      <c r="E16" s="223"/>
      <c r="F16" s="223"/>
      <c r="G16" s="223"/>
      <c r="H16" s="223"/>
      <c r="I16" s="223"/>
      <c r="J16" s="223"/>
      <c r="K16" s="223"/>
      <c r="L16" s="223"/>
      <c r="M16" s="223"/>
      <c r="N16" s="223"/>
      <c r="O16" s="223"/>
      <c r="P16" s="223"/>
      <c r="Q16" s="223"/>
      <c r="R16" s="223"/>
      <c r="S16" s="223"/>
      <c r="T16" s="223"/>
      <c r="U16" s="223"/>
      <c r="V16" s="223"/>
      <c r="W16" s="223"/>
      <c r="X16" s="223"/>
      <c r="Y16" s="223"/>
      <c r="Z16" s="223"/>
      <c r="AA16" s="223"/>
      <c r="AB16" s="223"/>
      <c r="AC16" s="223"/>
      <c r="AD16" s="223"/>
      <c r="AE16" s="223"/>
      <c r="AF16" s="223"/>
      <c r="AG16" s="223"/>
      <c r="AH16" s="223"/>
      <c r="AI16" s="223"/>
      <c r="AJ16" s="223"/>
      <c r="AK16" s="223"/>
      <c r="AL16" s="223"/>
      <c r="AM16" s="223"/>
      <c r="AN16" s="223"/>
      <c r="AO16" s="223"/>
      <c r="AP16" s="223"/>
      <c r="AQ16" s="223"/>
      <c r="AR16" s="223"/>
      <c r="AS16" s="223"/>
      <c r="AT16" s="223"/>
      <c r="AU16" s="223"/>
      <c r="AV16" s="223"/>
      <c r="AW16" s="223"/>
      <c r="AX16" s="223"/>
      <c r="AY16" s="223"/>
      <c r="AZ16" s="223"/>
      <c r="BA16" s="223"/>
      <c r="BB16" s="223"/>
      <c r="BC16" s="223"/>
      <c r="BD16" s="223"/>
      <c r="BE16" s="223"/>
      <c r="BF16" s="223"/>
      <c r="BG16" s="223"/>
      <c r="BH16" s="223"/>
      <c r="BI16" s="223"/>
      <c r="BJ16" s="223"/>
      <c r="BK16" s="223"/>
      <c r="BL16" s="223"/>
      <c r="BM16" s="223"/>
      <c r="BN16" s="223"/>
      <c r="BO16" s="223"/>
      <c r="BP16" s="223"/>
      <c r="BQ16" s="227"/>
      <c r="BR16" s="227"/>
      <c r="BS16" s="227"/>
      <c r="BT16" s="227"/>
      <c r="BU16" s="227"/>
      <c r="BV16" s="227"/>
      <c r="BW16" s="227"/>
      <c r="BX16" s="227"/>
      <c r="BY16" s="227"/>
      <c r="BZ16" s="227"/>
      <c r="CA16" s="227"/>
      <c r="CB16" s="227"/>
      <c r="CC16" s="227"/>
      <c r="CD16" s="227"/>
      <c r="CE16" s="227"/>
      <c r="CF16" s="227"/>
      <c r="CG16" s="227"/>
      <c r="CH16" s="227"/>
      <c r="CI16" s="227"/>
      <c r="CJ16" s="227"/>
      <c r="CK16" s="227"/>
      <c r="CL16" s="227"/>
      <c r="CM16" s="227"/>
      <c r="CN16" s="227"/>
      <c r="CO16" s="227"/>
      <c r="CP16" s="227"/>
      <c r="CQ16" s="227"/>
      <c r="CR16" s="227"/>
      <c r="CS16" s="227"/>
      <c r="CT16" s="227"/>
      <c r="CU16" s="225"/>
      <c r="CV16" s="227"/>
    </row>
    <row r="17" spans="1:100" ht="20.100000000000001" customHeight="1">
      <c r="A17" s="227">
        <v>5</v>
      </c>
      <c r="B17" s="225"/>
      <c r="C17" s="227"/>
      <c r="D17" s="228" cm="1">
        <f t="array" ref="D17">IFERROR(
(SUMPRODUCT(E17:CU17*$E$6:$CU$6)/100) + (SUMPRODUCT(E17:CU17*$E$6:$CU$6*$E$3:$CU$3)/100),
0
)</f>
        <v>0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  <c r="BQ17" s="227"/>
      <c r="BR17" s="227"/>
      <c r="BS17" s="227"/>
      <c r="BT17" s="227"/>
      <c r="BU17" s="227"/>
      <c r="BV17" s="227"/>
      <c r="BW17" s="227"/>
      <c r="BX17" s="227"/>
      <c r="BY17" s="227"/>
      <c r="BZ17" s="227"/>
      <c r="CA17" s="227"/>
      <c r="CB17" s="227"/>
      <c r="CC17" s="227"/>
      <c r="CD17" s="227"/>
      <c r="CE17" s="227"/>
      <c r="CF17" s="227"/>
      <c r="CG17" s="227"/>
      <c r="CH17" s="227"/>
      <c r="CI17" s="227"/>
      <c r="CJ17" s="227"/>
      <c r="CK17" s="227"/>
      <c r="CL17" s="227"/>
      <c r="CM17" s="227"/>
      <c r="CN17" s="227"/>
      <c r="CO17" s="227"/>
      <c r="CP17" s="227"/>
      <c r="CQ17" s="227"/>
      <c r="CR17" s="227"/>
      <c r="CS17" s="227"/>
      <c r="CT17" s="227"/>
      <c r="CU17" s="225"/>
      <c r="CV17" s="227"/>
    </row>
    <row r="18" spans="1:100" ht="20.100000000000001" customHeight="1">
      <c r="A18" s="227"/>
      <c r="B18" s="225"/>
      <c r="C18" s="227"/>
      <c r="D18" s="224"/>
      <c r="E18" s="223"/>
      <c r="F18" s="223"/>
      <c r="G18" s="223"/>
      <c r="H18" s="223"/>
      <c r="I18" s="223"/>
      <c r="J18" s="223"/>
      <c r="K18" s="223"/>
      <c r="L18" s="223"/>
      <c r="M18" s="223"/>
      <c r="N18" s="223"/>
      <c r="O18" s="223"/>
      <c r="P18" s="223"/>
      <c r="Q18" s="223"/>
      <c r="R18" s="223"/>
      <c r="S18" s="223"/>
      <c r="T18" s="223"/>
      <c r="U18" s="223"/>
      <c r="V18" s="223"/>
      <c r="W18" s="223"/>
      <c r="X18" s="223"/>
      <c r="Y18" s="223"/>
      <c r="Z18" s="223"/>
      <c r="AA18" s="223"/>
      <c r="AB18" s="223"/>
      <c r="AC18" s="223"/>
      <c r="AD18" s="223"/>
      <c r="AE18" s="223"/>
      <c r="AF18" s="223"/>
      <c r="AG18" s="223"/>
      <c r="AH18" s="223"/>
      <c r="AI18" s="223"/>
      <c r="AJ18" s="223"/>
      <c r="AK18" s="223"/>
      <c r="AL18" s="223"/>
      <c r="AM18" s="223"/>
      <c r="AN18" s="223"/>
      <c r="AO18" s="223"/>
      <c r="AP18" s="223"/>
      <c r="AQ18" s="223"/>
      <c r="AR18" s="223"/>
      <c r="AS18" s="223"/>
      <c r="AT18" s="223"/>
      <c r="AU18" s="223"/>
      <c r="AV18" s="223"/>
      <c r="AW18" s="223"/>
      <c r="AX18" s="223"/>
      <c r="AY18" s="223"/>
      <c r="AZ18" s="223"/>
      <c r="BA18" s="223"/>
      <c r="BB18" s="223"/>
      <c r="BC18" s="223"/>
      <c r="BD18" s="223"/>
      <c r="BE18" s="223"/>
      <c r="BF18" s="223"/>
      <c r="BG18" s="223"/>
      <c r="BH18" s="223"/>
      <c r="BI18" s="223"/>
      <c r="BJ18" s="223"/>
      <c r="BK18" s="223"/>
      <c r="BL18" s="223"/>
      <c r="BM18" s="223"/>
      <c r="BN18" s="223"/>
      <c r="BO18" s="223"/>
      <c r="BP18" s="223"/>
      <c r="BQ18" s="227"/>
      <c r="BR18" s="227"/>
      <c r="BS18" s="227"/>
      <c r="BT18" s="227"/>
      <c r="BU18" s="227"/>
      <c r="BV18" s="227"/>
      <c r="BW18" s="227"/>
      <c r="BX18" s="227"/>
      <c r="BY18" s="227"/>
      <c r="BZ18" s="227"/>
      <c r="CA18" s="227"/>
      <c r="CB18" s="227"/>
      <c r="CC18" s="227"/>
      <c r="CD18" s="227"/>
      <c r="CE18" s="227"/>
      <c r="CF18" s="227"/>
      <c r="CG18" s="227"/>
      <c r="CH18" s="227"/>
      <c r="CI18" s="227"/>
      <c r="CJ18" s="227"/>
      <c r="CK18" s="227"/>
      <c r="CL18" s="227"/>
      <c r="CM18" s="227"/>
      <c r="CN18" s="227"/>
      <c r="CO18" s="227"/>
      <c r="CP18" s="227"/>
      <c r="CQ18" s="227"/>
      <c r="CR18" s="227"/>
      <c r="CS18" s="227"/>
      <c r="CT18" s="227"/>
      <c r="CU18" s="225"/>
      <c r="CV18" s="227"/>
    </row>
    <row r="19" spans="1:100" ht="20.100000000000001" customHeight="1">
      <c r="A19" s="227">
        <v>6</v>
      </c>
      <c r="B19" s="225"/>
      <c r="C19" s="227"/>
      <c r="D19" s="228" cm="1">
        <f t="array" ref="D19">IFERROR(
(SUMPRODUCT(E19:CU19*$E$6:$CU$6)/100) + (SUMPRODUCT(E19:CU19*$E$6:$CU$6*$E$3:$CU$3)/100),
0
)</f>
        <v>0</v>
      </c>
      <c r="E19" s="227"/>
      <c r="F19" s="227"/>
      <c r="G19" s="227"/>
      <c r="H19" s="227"/>
      <c r="I19" s="227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  <c r="AA19" s="227"/>
      <c r="AB19" s="227"/>
      <c r="AC19" s="227"/>
      <c r="AD19" s="227"/>
      <c r="AE19" s="227"/>
      <c r="AF19" s="227"/>
      <c r="AG19" s="227"/>
      <c r="AH19" s="227"/>
      <c r="AI19" s="227"/>
      <c r="AJ19" s="227"/>
      <c r="AK19" s="227"/>
      <c r="AL19" s="227"/>
      <c r="AM19" s="227"/>
      <c r="AN19" s="227"/>
      <c r="AO19" s="227"/>
      <c r="AP19" s="227"/>
      <c r="AQ19" s="227"/>
      <c r="AR19" s="227"/>
      <c r="AS19" s="227"/>
      <c r="AT19" s="227"/>
      <c r="AU19" s="227"/>
      <c r="AV19" s="227"/>
      <c r="AW19" s="227"/>
      <c r="AX19" s="227"/>
      <c r="AY19" s="22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  <c r="BQ19" s="227"/>
      <c r="BR19" s="227"/>
      <c r="BS19" s="227"/>
      <c r="BT19" s="227"/>
      <c r="BU19" s="227"/>
      <c r="BV19" s="227"/>
      <c r="BW19" s="227"/>
      <c r="BX19" s="227"/>
      <c r="BY19" s="227"/>
      <c r="BZ19" s="227"/>
      <c r="CA19" s="227"/>
      <c r="CB19" s="227"/>
      <c r="CC19" s="227"/>
      <c r="CD19" s="227"/>
      <c r="CE19" s="227"/>
      <c r="CF19" s="227"/>
      <c r="CG19" s="227"/>
      <c r="CH19" s="227"/>
      <c r="CI19" s="227"/>
      <c r="CJ19" s="227"/>
      <c r="CK19" s="227"/>
      <c r="CL19" s="227"/>
      <c r="CM19" s="227"/>
      <c r="CN19" s="227"/>
      <c r="CO19" s="227"/>
      <c r="CP19" s="227"/>
      <c r="CQ19" s="227"/>
      <c r="CR19" s="227"/>
      <c r="CS19" s="227"/>
      <c r="CT19" s="227"/>
      <c r="CU19" s="225"/>
      <c r="CV19" s="227"/>
    </row>
    <row r="20" spans="1:100" ht="20.100000000000001" customHeight="1">
      <c r="A20" s="223"/>
      <c r="B20" s="225"/>
      <c r="C20" s="227"/>
      <c r="D20" s="224"/>
      <c r="E20" s="223"/>
      <c r="F20" s="223"/>
      <c r="G20" s="223"/>
      <c r="H20" s="223"/>
      <c r="I20" s="223"/>
      <c r="J20" s="223"/>
      <c r="K20" s="223"/>
      <c r="L20" s="223"/>
      <c r="M20" s="223"/>
      <c r="N20" s="223"/>
      <c r="O20" s="223"/>
      <c r="P20" s="223"/>
      <c r="Q20" s="223"/>
      <c r="R20" s="223"/>
      <c r="S20" s="223"/>
      <c r="T20" s="223"/>
      <c r="U20" s="223"/>
      <c r="V20" s="223"/>
      <c r="W20" s="223"/>
      <c r="X20" s="223"/>
      <c r="Y20" s="223"/>
      <c r="Z20" s="223"/>
      <c r="AA20" s="223"/>
      <c r="AB20" s="223"/>
      <c r="AC20" s="223"/>
      <c r="AD20" s="223"/>
      <c r="AE20" s="223"/>
      <c r="AF20" s="223"/>
      <c r="AG20" s="223"/>
      <c r="AH20" s="223"/>
      <c r="AI20" s="223"/>
      <c r="AJ20" s="223"/>
      <c r="AK20" s="223"/>
      <c r="AL20" s="223"/>
      <c r="AM20" s="223"/>
      <c r="AN20" s="223"/>
      <c r="AO20" s="223"/>
      <c r="AP20" s="223"/>
      <c r="AQ20" s="223"/>
      <c r="AR20" s="223"/>
      <c r="AS20" s="223"/>
      <c r="AT20" s="223"/>
      <c r="AU20" s="223"/>
      <c r="AV20" s="223"/>
      <c r="AW20" s="223"/>
      <c r="AX20" s="223"/>
      <c r="AY20" s="223"/>
      <c r="AZ20" s="223"/>
      <c r="BA20" s="223"/>
      <c r="BB20" s="223"/>
      <c r="BC20" s="223"/>
      <c r="BD20" s="223"/>
      <c r="BE20" s="223"/>
      <c r="BF20" s="223"/>
      <c r="BG20" s="223"/>
      <c r="BH20" s="223"/>
      <c r="BI20" s="223"/>
      <c r="BJ20" s="223"/>
      <c r="BK20" s="223"/>
      <c r="BL20" s="223"/>
      <c r="BM20" s="223"/>
      <c r="BN20" s="223"/>
      <c r="BO20" s="223"/>
      <c r="BP20" s="223"/>
      <c r="BQ20" s="227"/>
      <c r="BR20" s="227"/>
      <c r="BS20" s="227"/>
      <c r="BT20" s="227"/>
      <c r="BU20" s="227"/>
      <c r="BV20" s="227"/>
      <c r="BW20" s="227"/>
      <c r="BX20" s="227"/>
      <c r="BY20" s="227"/>
      <c r="BZ20" s="227"/>
      <c r="CA20" s="227"/>
      <c r="CB20" s="227"/>
      <c r="CC20" s="227"/>
      <c r="CD20" s="227"/>
      <c r="CE20" s="227"/>
      <c r="CF20" s="227"/>
      <c r="CG20" s="227"/>
      <c r="CH20" s="227"/>
      <c r="CI20" s="227"/>
      <c r="CJ20" s="227"/>
      <c r="CK20" s="227"/>
      <c r="CL20" s="227"/>
      <c r="CM20" s="227"/>
      <c r="CN20" s="227"/>
      <c r="CO20" s="227"/>
      <c r="CP20" s="227"/>
      <c r="CQ20" s="227"/>
      <c r="CR20" s="227"/>
      <c r="CS20" s="227"/>
      <c r="CT20" s="227"/>
      <c r="CU20" s="225"/>
      <c r="CV20" s="227"/>
    </row>
    <row r="21" spans="1:100" ht="20.100000000000001" customHeight="1">
      <c r="A21" s="227">
        <v>7</v>
      </c>
      <c r="B21" s="225"/>
      <c r="C21" s="227"/>
      <c r="D21" s="228" cm="1">
        <f t="array" ref="D21">IFERROR(
(SUMPRODUCT(E21:CU21*$E$6:$CU$6)/100) + (SUMPRODUCT(E21:CU21*$E$6:$CU$6*$E$3:$CU$3)/100),
0
)</f>
        <v>0</v>
      </c>
      <c r="E21" s="227"/>
      <c r="F21" s="227"/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  <c r="AA21" s="227"/>
      <c r="AB21" s="227"/>
      <c r="AC21" s="227"/>
      <c r="AD21" s="227"/>
      <c r="AE21" s="227"/>
      <c r="AF21" s="227"/>
      <c r="AG21" s="227"/>
      <c r="AH21" s="227"/>
      <c r="AI21" s="227"/>
      <c r="AJ21" s="227"/>
      <c r="AK21" s="227"/>
      <c r="AL21" s="227"/>
      <c r="AM21" s="227"/>
      <c r="AN21" s="227"/>
      <c r="AO21" s="227"/>
      <c r="AP21" s="227"/>
      <c r="AQ21" s="227"/>
      <c r="AR21" s="227"/>
      <c r="AS21" s="227"/>
      <c r="AT21" s="227"/>
      <c r="AU21" s="227"/>
      <c r="AV21" s="227"/>
      <c r="AW21" s="227"/>
      <c r="AX21" s="227"/>
      <c r="AY21" s="22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  <c r="BQ21" s="227"/>
      <c r="BR21" s="227"/>
      <c r="BS21" s="227"/>
      <c r="BT21" s="227"/>
      <c r="BU21" s="227"/>
      <c r="BV21" s="227"/>
      <c r="BW21" s="227"/>
      <c r="BX21" s="227"/>
      <c r="BY21" s="227"/>
      <c r="BZ21" s="227"/>
      <c r="CA21" s="227"/>
      <c r="CB21" s="227"/>
      <c r="CC21" s="227"/>
      <c r="CD21" s="227"/>
      <c r="CE21" s="227"/>
      <c r="CF21" s="227"/>
      <c r="CG21" s="227"/>
      <c r="CH21" s="227"/>
      <c r="CI21" s="227"/>
      <c r="CJ21" s="227"/>
      <c r="CK21" s="227"/>
      <c r="CL21" s="227"/>
      <c r="CM21" s="227"/>
      <c r="CN21" s="227"/>
      <c r="CO21" s="227"/>
      <c r="CP21" s="227"/>
      <c r="CQ21" s="227"/>
      <c r="CR21" s="227"/>
      <c r="CS21" s="227"/>
      <c r="CT21" s="227"/>
      <c r="CU21" s="225"/>
      <c r="CV21" s="227"/>
    </row>
    <row r="22" spans="1:100" ht="20.100000000000001" customHeight="1">
      <c r="A22" s="227"/>
      <c r="B22" s="225"/>
      <c r="C22" s="227"/>
      <c r="D22" s="224"/>
      <c r="E22" s="223"/>
      <c r="F22" s="223"/>
      <c r="G22" s="223"/>
      <c r="H22" s="223"/>
      <c r="I22" s="223"/>
      <c r="J22" s="223"/>
      <c r="K22" s="223"/>
      <c r="L22" s="223"/>
      <c r="M22" s="223"/>
      <c r="N22" s="223"/>
      <c r="O22" s="223"/>
      <c r="P22" s="223"/>
      <c r="Q22" s="223"/>
      <c r="R22" s="223"/>
      <c r="S22" s="223"/>
      <c r="T22" s="223"/>
      <c r="U22" s="223"/>
      <c r="V22" s="223"/>
      <c r="W22" s="223"/>
      <c r="X22" s="223"/>
      <c r="Y22" s="223"/>
      <c r="Z22" s="223"/>
      <c r="AA22" s="223"/>
      <c r="AB22" s="223"/>
      <c r="AC22" s="223"/>
      <c r="AD22" s="223"/>
      <c r="AE22" s="223"/>
      <c r="AF22" s="223"/>
      <c r="AG22" s="223"/>
      <c r="AH22" s="223"/>
      <c r="AI22" s="223"/>
      <c r="AJ22" s="223"/>
      <c r="AK22" s="223"/>
      <c r="AL22" s="223"/>
      <c r="AM22" s="223"/>
      <c r="AN22" s="223"/>
      <c r="AO22" s="223"/>
      <c r="AP22" s="223"/>
      <c r="AQ22" s="223"/>
      <c r="AR22" s="223"/>
      <c r="AS22" s="223"/>
      <c r="AT22" s="223"/>
      <c r="AU22" s="223"/>
      <c r="AV22" s="223"/>
      <c r="AW22" s="223"/>
      <c r="AX22" s="223"/>
      <c r="AY22" s="223"/>
      <c r="AZ22" s="223"/>
      <c r="BA22" s="223"/>
      <c r="BB22" s="223"/>
      <c r="BC22" s="223"/>
      <c r="BD22" s="223"/>
      <c r="BE22" s="223"/>
      <c r="BF22" s="223"/>
      <c r="BG22" s="223"/>
      <c r="BH22" s="223"/>
      <c r="BI22" s="223"/>
      <c r="BJ22" s="223"/>
      <c r="BK22" s="223"/>
      <c r="BL22" s="223"/>
      <c r="BM22" s="223"/>
      <c r="BN22" s="223"/>
      <c r="BO22" s="223"/>
      <c r="BP22" s="223"/>
      <c r="BQ22" s="227"/>
      <c r="BR22" s="227"/>
      <c r="BS22" s="227"/>
      <c r="BT22" s="227"/>
      <c r="BU22" s="227"/>
      <c r="BV22" s="227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 s="227"/>
      <c r="CJ22" s="227"/>
      <c r="CK22" s="227"/>
      <c r="CL22" s="227"/>
      <c r="CM22" s="227"/>
      <c r="CN22" s="227"/>
      <c r="CO22" s="227"/>
      <c r="CP22" s="227"/>
      <c r="CQ22" s="227"/>
      <c r="CR22" s="227"/>
      <c r="CS22" s="227"/>
      <c r="CT22" s="227"/>
      <c r="CU22" s="225"/>
      <c r="CV22" s="227"/>
    </row>
    <row r="23" spans="1:100" ht="20.100000000000001" customHeight="1">
      <c r="A23" s="227">
        <v>8</v>
      </c>
      <c r="B23" s="225"/>
      <c r="C23" s="227"/>
      <c r="D23" s="228" cm="1">
        <f t="array" ref="D23">IFERROR(
(SUMPRODUCT(E23:CU23*$E$6:$CU$6)/100) + (SUMPRODUCT(E23:CU23*$E$6:$CU$6*$E$3:$CU$3)/100),
0
)</f>
        <v>0</v>
      </c>
      <c r="E23" s="227"/>
      <c r="F23" s="227"/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  <c r="AF23" s="227"/>
      <c r="AG23" s="227"/>
      <c r="AH23" s="227"/>
      <c r="AI23" s="227"/>
      <c r="AJ23" s="227"/>
      <c r="AK23" s="227"/>
      <c r="AL23" s="227"/>
      <c r="AM23" s="227"/>
      <c r="AN23" s="227"/>
      <c r="AO23" s="227"/>
      <c r="AP23" s="227"/>
      <c r="AQ23" s="227"/>
      <c r="AR23" s="227"/>
      <c r="AS23" s="227"/>
      <c r="AT23" s="227"/>
      <c r="AU23" s="227"/>
      <c r="AV23" s="227"/>
      <c r="AW23" s="227"/>
      <c r="AX23" s="227"/>
      <c r="AY23" s="22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  <c r="BQ23" s="227"/>
      <c r="BR23" s="227"/>
      <c r="BS23" s="227"/>
      <c r="BT23" s="227"/>
      <c r="BU23" s="227"/>
      <c r="BV23" s="227"/>
      <c r="BW23" s="227"/>
      <c r="BX23" s="227"/>
      <c r="BY23" s="227"/>
      <c r="BZ23" s="227"/>
      <c r="CA23" s="227"/>
      <c r="CB23" s="227"/>
      <c r="CC23" s="227"/>
      <c r="CD23" s="227"/>
      <c r="CE23" s="227"/>
      <c r="CF23" s="227"/>
      <c r="CG23" s="227"/>
      <c r="CH23" s="227"/>
      <c r="CI23" s="227"/>
      <c r="CJ23" s="227"/>
      <c r="CK23" s="227"/>
      <c r="CL23" s="227"/>
      <c r="CM23" s="227"/>
      <c r="CN23" s="227"/>
      <c r="CO23" s="227"/>
      <c r="CP23" s="227"/>
      <c r="CQ23" s="227"/>
      <c r="CR23" s="227"/>
      <c r="CS23" s="227"/>
      <c r="CT23" s="227"/>
      <c r="CU23" s="225"/>
      <c r="CV23" s="227"/>
    </row>
    <row r="24" spans="1:100" ht="20.100000000000001" customHeight="1">
      <c r="A24" s="223"/>
      <c r="B24" s="225"/>
      <c r="C24" s="227"/>
      <c r="D24" s="224"/>
      <c r="E24" s="223"/>
      <c r="F24" s="223"/>
      <c r="G24" s="223"/>
      <c r="H24" s="223"/>
      <c r="I24" s="223"/>
      <c r="J24" s="223"/>
      <c r="K24" s="223"/>
      <c r="L24" s="223"/>
      <c r="M24" s="223"/>
      <c r="N24" s="223"/>
      <c r="O24" s="223"/>
      <c r="P24" s="223"/>
      <c r="Q24" s="223"/>
      <c r="R24" s="223"/>
      <c r="S24" s="223"/>
      <c r="T24" s="223"/>
      <c r="U24" s="223"/>
      <c r="V24" s="223"/>
      <c r="W24" s="223"/>
      <c r="X24" s="223"/>
      <c r="Y24" s="223"/>
      <c r="Z24" s="223"/>
      <c r="AA24" s="223"/>
      <c r="AB24" s="223"/>
      <c r="AC24" s="223"/>
      <c r="AD24" s="223"/>
      <c r="AE24" s="223"/>
      <c r="AF24" s="223"/>
      <c r="AG24" s="223"/>
      <c r="AH24" s="223"/>
      <c r="AI24" s="223"/>
      <c r="AJ24" s="223"/>
      <c r="AK24" s="223"/>
      <c r="AL24" s="223"/>
      <c r="AM24" s="223"/>
      <c r="AN24" s="223"/>
      <c r="AO24" s="223"/>
      <c r="AP24" s="223"/>
      <c r="AQ24" s="223"/>
      <c r="AR24" s="223"/>
      <c r="AS24" s="223"/>
      <c r="AT24" s="223"/>
      <c r="AU24" s="223"/>
      <c r="AV24" s="223"/>
      <c r="AW24" s="223"/>
      <c r="AX24" s="223"/>
      <c r="AY24" s="223"/>
      <c r="AZ24" s="223"/>
      <c r="BA24" s="223"/>
      <c r="BB24" s="223"/>
      <c r="BC24" s="223"/>
      <c r="BD24" s="223"/>
      <c r="BE24" s="223"/>
      <c r="BF24" s="223"/>
      <c r="BG24" s="223"/>
      <c r="BH24" s="223"/>
      <c r="BI24" s="223"/>
      <c r="BJ24" s="223"/>
      <c r="BK24" s="223"/>
      <c r="BL24" s="223"/>
      <c r="BM24" s="223"/>
      <c r="BN24" s="223"/>
      <c r="BO24" s="223"/>
      <c r="BP24" s="223"/>
      <c r="BQ24" s="227"/>
      <c r="BR24" s="227"/>
      <c r="BS24" s="227"/>
      <c r="BT24" s="227"/>
      <c r="BU24" s="227"/>
      <c r="BV24" s="227"/>
      <c r="BW24" s="227"/>
      <c r="BX24" s="227"/>
      <c r="BY24" s="227"/>
      <c r="BZ24" s="227"/>
      <c r="CA24" s="227"/>
      <c r="CB24" s="227"/>
      <c r="CC24" s="227"/>
      <c r="CD24" s="227"/>
      <c r="CE24" s="227"/>
      <c r="CF24" s="227"/>
      <c r="CG24" s="227"/>
      <c r="CH24" s="227"/>
      <c r="CI24" s="227"/>
      <c r="CJ24" s="227"/>
      <c r="CK24" s="227"/>
      <c r="CL24" s="227"/>
      <c r="CM24" s="227"/>
      <c r="CN24" s="227"/>
      <c r="CO24" s="227"/>
      <c r="CP24" s="227"/>
      <c r="CQ24" s="227"/>
      <c r="CR24" s="227"/>
      <c r="CS24" s="227"/>
      <c r="CT24" s="227"/>
      <c r="CU24" s="225"/>
      <c r="CV24" s="227"/>
    </row>
    <row r="25" spans="1:100" ht="20.100000000000001" customHeight="1">
      <c r="A25" s="227">
        <v>9</v>
      </c>
      <c r="B25" s="225"/>
      <c r="C25" s="227"/>
      <c r="D25" s="228" cm="1">
        <f t="array" ref="D25">IFERROR(
(SUMPRODUCT(E25:CU25*$E$6:$CU$6)/100) + (SUMPRODUCT(E25:CU25*$E$6:$CU$6*$E$3:$CU$3)/100),
0
)</f>
        <v>0</v>
      </c>
      <c r="E25" s="227"/>
      <c r="F25" s="227"/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  <c r="AA25" s="227"/>
      <c r="AB25" s="227"/>
      <c r="AC25" s="227"/>
      <c r="AD25" s="227"/>
      <c r="AE25" s="227"/>
      <c r="AF25" s="227"/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  <c r="BQ25" s="227"/>
      <c r="BR25" s="227"/>
      <c r="BS25" s="227"/>
      <c r="BT25" s="227"/>
      <c r="BU25" s="227"/>
      <c r="BV25" s="227"/>
      <c r="BW25" s="227"/>
      <c r="BX25" s="227"/>
      <c r="BY25" s="227"/>
      <c r="BZ25" s="227"/>
      <c r="CA25" s="227"/>
      <c r="CB25" s="227"/>
      <c r="CC25" s="227"/>
      <c r="CD25" s="227"/>
      <c r="CE25" s="227"/>
      <c r="CF25" s="227"/>
      <c r="CG25" s="227"/>
      <c r="CH25" s="227"/>
      <c r="CI25" s="227"/>
      <c r="CJ25" s="227"/>
      <c r="CK25" s="227"/>
      <c r="CL25" s="227"/>
      <c r="CM25" s="227"/>
      <c r="CN25" s="227"/>
      <c r="CO25" s="227"/>
      <c r="CP25" s="227"/>
      <c r="CQ25" s="227"/>
      <c r="CR25" s="227"/>
      <c r="CS25" s="227"/>
      <c r="CT25" s="227"/>
      <c r="CU25" s="225"/>
      <c r="CV25" s="227"/>
    </row>
    <row r="26" spans="1:100" ht="20.100000000000001" customHeight="1">
      <c r="A26" s="227"/>
      <c r="B26" s="225"/>
      <c r="C26" s="227"/>
      <c r="D26" s="224"/>
      <c r="E26" s="223"/>
      <c r="F26" s="223"/>
      <c r="G26" s="223"/>
      <c r="H26" s="223"/>
      <c r="I26" s="223"/>
      <c r="J26" s="223"/>
      <c r="K26" s="223"/>
      <c r="L26" s="223"/>
      <c r="M26" s="223"/>
      <c r="N26" s="223"/>
      <c r="O26" s="223"/>
      <c r="P26" s="223"/>
      <c r="Q26" s="223"/>
      <c r="R26" s="223"/>
      <c r="S26" s="223"/>
      <c r="T26" s="223"/>
      <c r="U26" s="223"/>
      <c r="V26" s="223"/>
      <c r="W26" s="223"/>
      <c r="X26" s="223"/>
      <c r="Y26" s="223"/>
      <c r="Z26" s="223"/>
      <c r="AA26" s="223"/>
      <c r="AB26" s="223"/>
      <c r="AC26" s="223"/>
      <c r="AD26" s="223"/>
      <c r="AE26" s="223"/>
      <c r="AF26" s="223"/>
      <c r="AG26" s="223"/>
      <c r="AH26" s="223"/>
      <c r="AI26" s="223"/>
      <c r="AJ26" s="223"/>
      <c r="AK26" s="223"/>
      <c r="AL26" s="223"/>
      <c r="AM26" s="223"/>
      <c r="AN26" s="223"/>
      <c r="AO26" s="223"/>
      <c r="AP26" s="223"/>
      <c r="AQ26" s="223"/>
      <c r="AR26" s="223"/>
      <c r="AS26" s="223"/>
      <c r="AT26" s="223"/>
      <c r="AU26" s="223"/>
      <c r="AV26" s="223"/>
      <c r="AW26" s="223"/>
      <c r="AX26" s="223"/>
      <c r="AY26" s="223"/>
      <c r="AZ26" s="223"/>
      <c r="BA26" s="223"/>
      <c r="BB26" s="223"/>
      <c r="BC26" s="223"/>
      <c r="BD26" s="223"/>
      <c r="BE26" s="223"/>
      <c r="BF26" s="223"/>
      <c r="BG26" s="223"/>
      <c r="BH26" s="223"/>
      <c r="BI26" s="223"/>
      <c r="BJ26" s="223"/>
      <c r="BK26" s="223"/>
      <c r="BL26" s="223"/>
      <c r="BM26" s="223"/>
      <c r="BN26" s="223"/>
      <c r="BO26" s="223"/>
      <c r="BP26" s="223"/>
      <c r="BQ26" s="227"/>
      <c r="BR26" s="227"/>
      <c r="BS26" s="227"/>
      <c r="BT26" s="227"/>
      <c r="BU26" s="227"/>
      <c r="BV26" s="227"/>
      <c r="BW26" s="227"/>
      <c r="BX26" s="227"/>
      <c r="BY26" s="227"/>
      <c r="BZ26" s="227"/>
      <c r="CA26" s="227"/>
      <c r="CB26" s="227"/>
      <c r="CC26" s="227"/>
      <c r="CD26" s="227"/>
      <c r="CE26" s="227"/>
      <c r="CF26" s="227"/>
      <c r="CG26" s="227"/>
      <c r="CH26" s="227"/>
      <c r="CI26" s="227"/>
      <c r="CJ26" s="227"/>
      <c r="CK26" s="227"/>
      <c r="CL26" s="227"/>
      <c r="CM26" s="227"/>
      <c r="CN26" s="227"/>
      <c r="CO26" s="227"/>
      <c r="CP26" s="227"/>
      <c r="CQ26" s="227"/>
      <c r="CR26" s="227"/>
      <c r="CS26" s="227"/>
      <c r="CT26" s="227"/>
      <c r="CU26" s="225"/>
      <c r="CV26" s="227"/>
    </row>
    <row r="27" spans="1:100" ht="20.100000000000001" customHeight="1">
      <c r="A27" s="227">
        <v>10</v>
      </c>
      <c r="B27" s="225"/>
      <c r="C27" s="227"/>
      <c r="D27" s="228" cm="1">
        <f t="array" ref="D27">IFERROR(
(SUMPRODUCT(E27:CU27*$E$6:$CU$6)/100) + (SUMPRODUCT(E27:CU27*$E$6:$CU$6*$E$3:$CU$3)/100),
0
)</f>
        <v>0</v>
      </c>
      <c r="E27" s="227"/>
      <c r="F27" s="227"/>
      <c r="G27" s="227"/>
      <c r="H27" s="227"/>
      <c r="I27" s="227"/>
      <c r="J27" s="227"/>
      <c r="K27" s="227"/>
      <c r="L27" s="227"/>
      <c r="M27" s="227"/>
      <c r="N27" s="227"/>
      <c r="O27" s="227"/>
      <c r="P27" s="227"/>
      <c r="Q27" s="227"/>
      <c r="R27" s="227"/>
      <c r="S27" s="227"/>
      <c r="T27" s="227"/>
      <c r="U27" s="227"/>
      <c r="V27" s="227"/>
      <c r="W27" s="227"/>
      <c r="X27" s="227"/>
      <c r="Y27" s="227"/>
      <c r="Z27" s="227"/>
      <c r="AA27" s="227"/>
      <c r="AB27" s="227"/>
      <c r="AC27" s="227"/>
      <c r="AD27" s="227"/>
      <c r="AE27" s="227"/>
      <c r="AF27" s="227"/>
      <c r="AG27" s="227"/>
      <c r="AH27" s="227"/>
      <c r="AI27" s="227"/>
      <c r="AJ27" s="227"/>
      <c r="AK27" s="227"/>
      <c r="AL27" s="227"/>
      <c r="AM27" s="227"/>
      <c r="AN27" s="227"/>
      <c r="AO27" s="227"/>
      <c r="AP27" s="227"/>
      <c r="AQ27" s="227"/>
      <c r="AR27" s="227"/>
      <c r="AS27" s="227"/>
      <c r="AT27" s="227"/>
      <c r="AU27" s="227"/>
      <c r="AV27" s="227"/>
      <c r="AW27" s="227"/>
      <c r="AX27" s="227"/>
      <c r="AY27" s="22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  <c r="BQ27" s="227"/>
      <c r="BR27" s="227"/>
      <c r="BS27" s="227"/>
      <c r="BT27" s="227"/>
      <c r="BU27" s="227"/>
      <c r="BV27" s="227"/>
      <c r="BW27" s="227"/>
      <c r="BX27" s="227"/>
      <c r="BY27" s="227"/>
      <c r="BZ27" s="227"/>
      <c r="CA27" s="227"/>
      <c r="CB27" s="227"/>
      <c r="CC27" s="227"/>
      <c r="CD27" s="227"/>
      <c r="CE27" s="227"/>
      <c r="CF27" s="227"/>
      <c r="CG27" s="227"/>
      <c r="CH27" s="227"/>
      <c r="CI27" s="227"/>
      <c r="CJ27" s="227"/>
      <c r="CK27" s="227"/>
      <c r="CL27" s="227"/>
      <c r="CM27" s="227"/>
      <c r="CN27" s="227"/>
      <c r="CO27" s="227"/>
      <c r="CP27" s="227"/>
      <c r="CQ27" s="227"/>
      <c r="CR27" s="227"/>
      <c r="CS27" s="227"/>
      <c r="CT27" s="227"/>
      <c r="CU27" s="225"/>
      <c r="CV27" s="227"/>
    </row>
    <row r="28" spans="1:100" ht="20.100000000000001" customHeight="1">
      <c r="A28" s="223"/>
      <c r="B28" s="225"/>
      <c r="C28" s="227"/>
      <c r="D28" s="224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223"/>
      <c r="P28" s="223"/>
      <c r="Q28" s="223"/>
      <c r="R28" s="223"/>
      <c r="S28" s="223"/>
      <c r="T28" s="223"/>
      <c r="U28" s="223"/>
      <c r="V28" s="223"/>
      <c r="W28" s="223"/>
      <c r="X28" s="223"/>
      <c r="Y28" s="223"/>
      <c r="Z28" s="223"/>
      <c r="AA28" s="223"/>
      <c r="AB28" s="223"/>
      <c r="AC28" s="223"/>
      <c r="AD28" s="223"/>
      <c r="AE28" s="223"/>
      <c r="AF28" s="223"/>
      <c r="AG28" s="223"/>
      <c r="AH28" s="223"/>
      <c r="AI28" s="223"/>
      <c r="AJ28" s="223"/>
      <c r="AK28" s="223"/>
      <c r="AL28" s="223"/>
      <c r="AM28" s="223"/>
      <c r="AN28" s="223"/>
      <c r="AO28" s="223"/>
      <c r="AP28" s="223"/>
      <c r="AQ28" s="223"/>
      <c r="AR28" s="223"/>
      <c r="AS28" s="223"/>
      <c r="AT28" s="223"/>
      <c r="AU28" s="223"/>
      <c r="AV28" s="223"/>
      <c r="AW28" s="223"/>
      <c r="AX28" s="223"/>
      <c r="AY28" s="223"/>
      <c r="AZ28" s="223"/>
      <c r="BA28" s="223"/>
      <c r="BB28" s="223"/>
      <c r="BC28" s="223"/>
      <c r="BD28" s="223"/>
      <c r="BE28" s="223"/>
      <c r="BF28" s="223"/>
      <c r="BG28" s="223"/>
      <c r="BH28" s="223"/>
      <c r="BI28" s="223"/>
      <c r="BJ28" s="223"/>
      <c r="BK28" s="223"/>
      <c r="BL28" s="223"/>
      <c r="BM28" s="223"/>
      <c r="BN28" s="223"/>
      <c r="BO28" s="223"/>
      <c r="BP28" s="223"/>
      <c r="BQ28" s="227"/>
      <c r="BR28" s="227"/>
      <c r="BS28" s="227"/>
      <c r="BT28" s="227"/>
      <c r="BU28" s="227"/>
      <c r="BV28" s="227"/>
      <c r="BW28" s="227"/>
      <c r="BX28" s="227"/>
      <c r="BY28" s="227"/>
      <c r="BZ28" s="227"/>
      <c r="CA28" s="227"/>
      <c r="CB28" s="227"/>
      <c r="CC28" s="227"/>
      <c r="CD28" s="227"/>
      <c r="CE28" s="227"/>
      <c r="CF28" s="227"/>
      <c r="CG28" s="227"/>
      <c r="CH28" s="227"/>
      <c r="CI28" s="227"/>
      <c r="CJ28" s="227"/>
      <c r="CK28" s="227"/>
      <c r="CL28" s="227"/>
      <c r="CM28" s="227"/>
      <c r="CN28" s="227"/>
      <c r="CO28" s="227"/>
      <c r="CP28" s="227"/>
      <c r="CQ28" s="227"/>
      <c r="CR28" s="227"/>
      <c r="CS28" s="227"/>
      <c r="CT28" s="227"/>
      <c r="CU28" s="225"/>
      <c r="CV28" s="227"/>
    </row>
    <row r="29" spans="1:100" ht="20.100000000000001" customHeight="1">
      <c r="A29" s="227">
        <v>11</v>
      </c>
      <c r="B29" s="225"/>
      <c r="C29" s="227"/>
      <c r="D29" s="228" cm="1">
        <f t="array" ref="D29">IFERROR(
(SUMPRODUCT(E29:CU29*$E$6:$CU$6)/100) + (SUMPRODUCT(E29:CU29*$E$6:$CU$6*$E$3:$CU$3)/100),
0
)</f>
        <v>0</v>
      </c>
      <c r="E29" s="227"/>
      <c r="F29" s="227"/>
      <c r="G29" s="227"/>
      <c r="H29" s="227"/>
      <c r="I29" s="227"/>
      <c r="J29" s="227"/>
      <c r="K29" s="227"/>
      <c r="L29" s="227"/>
      <c r="M29" s="227"/>
      <c r="N29" s="227"/>
      <c r="O29" s="227"/>
      <c r="P29" s="227"/>
      <c r="Q29" s="227"/>
      <c r="R29" s="227"/>
      <c r="S29" s="227"/>
      <c r="T29" s="227"/>
      <c r="U29" s="227"/>
      <c r="V29" s="227"/>
      <c r="W29" s="227"/>
      <c r="X29" s="227"/>
      <c r="Y29" s="227"/>
      <c r="Z29" s="227"/>
      <c r="AA29" s="227"/>
      <c r="AB29" s="227"/>
      <c r="AC29" s="227"/>
      <c r="AD29" s="227"/>
      <c r="AE29" s="227"/>
      <c r="AF29" s="227"/>
      <c r="AG29" s="227"/>
      <c r="AH29" s="227"/>
      <c r="AI29" s="227"/>
      <c r="AJ29" s="227"/>
      <c r="AK29" s="227"/>
      <c r="AL29" s="227"/>
      <c r="AM29" s="227"/>
      <c r="AN29" s="227"/>
      <c r="AO29" s="227"/>
      <c r="AP29" s="227"/>
      <c r="AQ29" s="227"/>
      <c r="AR29" s="227"/>
      <c r="AS29" s="227"/>
      <c r="AT29" s="227"/>
      <c r="AU29" s="227"/>
      <c r="AV29" s="227"/>
      <c r="AW29" s="227"/>
      <c r="AX29" s="227"/>
      <c r="AY29" s="22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  <c r="BQ29" s="227"/>
      <c r="BR29" s="227"/>
      <c r="BS29" s="227"/>
      <c r="BT29" s="227"/>
      <c r="BU29" s="227"/>
      <c r="BV29" s="227"/>
      <c r="BW29" s="227"/>
      <c r="BX29" s="227"/>
      <c r="BY29" s="227"/>
      <c r="BZ29" s="227"/>
      <c r="CA29" s="227"/>
      <c r="CB29" s="227"/>
      <c r="CC29" s="227"/>
      <c r="CD29" s="227"/>
      <c r="CE29" s="227"/>
      <c r="CF29" s="227"/>
      <c r="CG29" s="227"/>
      <c r="CH29" s="227"/>
      <c r="CI29" s="227"/>
      <c r="CJ29" s="227"/>
      <c r="CK29" s="227"/>
      <c r="CL29" s="227"/>
      <c r="CM29" s="227"/>
      <c r="CN29" s="227"/>
      <c r="CO29" s="227"/>
      <c r="CP29" s="227"/>
      <c r="CQ29" s="227"/>
      <c r="CR29" s="227"/>
      <c r="CS29" s="227"/>
      <c r="CT29" s="227"/>
      <c r="CU29" s="225"/>
      <c r="CV29" s="227"/>
    </row>
    <row r="30" spans="1:100" ht="20.100000000000001" customHeight="1">
      <c r="A30" s="227"/>
      <c r="B30" s="225"/>
      <c r="C30" s="227"/>
      <c r="D30" s="224"/>
      <c r="E30" s="223"/>
      <c r="F30" s="223"/>
      <c r="G30" s="223"/>
      <c r="H30" s="223"/>
      <c r="I30" s="223"/>
      <c r="J30" s="223"/>
      <c r="K30" s="223"/>
      <c r="L30" s="223"/>
      <c r="M30" s="223"/>
      <c r="N30" s="223"/>
      <c r="O30" s="223"/>
      <c r="P30" s="223"/>
      <c r="Q30" s="223"/>
      <c r="R30" s="223"/>
      <c r="S30" s="223"/>
      <c r="T30" s="223"/>
      <c r="U30" s="223"/>
      <c r="V30" s="223"/>
      <c r="W30" s="223"/>
      <c r="X30" s="223"/>
      <c r="Y30" s="223"/>
      <c r="Z30" s="223"/>
      <c r="AA30" s="223"/>
      <c r="AB30" s="223"/>
      <c r="AC30" s="223"/>
      <c r="AD30" s="223"/>
      <c r="AE30" s="223"/>
      <c r="AF30" s="223"/>
      <c r="AG30" s="223"/>
      <c r="AH30" s="223"/>
      <c r="AI30" s="223"/>
      <c r="AJ30" s="223"/>
      <c r="AK30" s="223"/>
      <c r="AL30" s="223"/>
      <c r="AM30" s="223"/>
      <c r="AN30" s="223"/>
      <c r="AO30" s="223"/>
      <c r="AP30" s="223"/>
      <c r="AQ30" s="223"/>
      <c r="AR30" s="223"/>
      <c r="AS30" s="223"/>
      <c r="AT30" s="223"/>
      <c r="AU30" s="223"/>
      <c r="AV30" s="223"/>
      <c r="AW30" s="223"/>
      <c r="AX30" s="223"/>
      <c r="AY30" s="223"/>
      <c r="AZ30" s="223"/>
      <c r="BA30" s="223"/>
      <c r="BB30" s="223"/>
      <c r="BC30" s="223"/>
      <c r="BD30" s="223"/>
      <c r="BE30" s="223"/>
      <c r="BF30" s="223"/>
      <c r="BG30" s="223"/>
      <c r="BH30" s="223"/>
      <c r="BI30" s="223"/>
      <c r="BJ30" s="223"/>
      <c r="BK30" s="223"/>
      <c r="BL30" s="223"/>
      <c r="BM30" s="223"/>
      <c r="BN30" s="223"/>
      <c r="BO30" s="223"/>
      <c r="BP30" s="223"/>
      <c r="BQ30" s="227"/>
      <c r="BR30" s="227"/>
      <c r="BS30" s="227"/>
      <c r="BT30" s="227"/>
      <c r="BU30" s="227"/>
      <c r="BV30" s="227"/>
      <c r="BW30" s="227"/>
      <c r="BX30" s="227"/>
      <c r="BY30" s="227"/>
      <c r="BZ30" s="227"/>
      <c r="CA30" s="227"/>
      <c r="CB30" s="227"/>
      <c r="CC30" s="227"/>
      <c r="CD30" s="227"/>
      <c r="CE30" s="227"/>
      <c r="CF30" s="227"/>
      <c r="CG30" s="227"/>
      <c r="CH30" s="227"/>
      <c r="CI30" s="227"/>
      <c r="CJ30" s="227"/>
      <c r="CK30" s="227"/>
      <c r="CL30" s="227"/>
      <c r="CM30" s="227"/>
      <c r="CN30" s="227"/>
      <c r="CO30" s="227"/>
      <c r="CP30" s="227"/>
      <c r="CQ30" s="227"/>
      <c r="CR30" s="227"/>
      <c r="CS30" s="227"/>
      <c r="CT30" s="227"/>
      <c r="CU30" s="225"/>
      <c r="CV30" s="227"/>
    </row>
    <row r="31" spans="1:100" ht="20.100000000000001" customHeight="1">
      <c r="A31" s="227">
        <v>12</v>
      </c>
      <c r="B31" s="225"/>
      <c r="C31" s="227"/>
      <c r="D31" s="228" cm="1">
        <f t="array" ref="D31">IFERROR(
(SUMPRODUCT(E31:CU31*$E$6:$CU$6)/100) + (SUMPRODUCT(E31:CU31*$E$6:$CU$6*$E$3:$CU$3)/100),
0
)</f>
        <v>0</v>
      </c>
      <c r="E31" s="227"/>
      <c r="F31" s="227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  <c r="AF31" s="227"/>
      <c r="AG31" s="227"/>
      <c r="AH31" s="227"/>
      <c r="AI31" s="227"/>
      <c r="AJ31" s="227"/>
      <c r="AK31" s="227"/>
      <c r="AL31" s="227"/>
      <c r="AM31" s="227"/>
      <c r="AN31" s="227"/>
      <c r="AO31" s="227"/>
      <c r="AP31" s="227"/>
      <c r="AQ31" s="227"/>
      <c r="AR31" s="227"/>
      <c r="AS31" s="227"/>
      <c r="AT31" s="227"/>
      <c r="AU31" s="227"/>
      <c r="AV31" s="227"/>
      <c r="AW31" s="227"/>
      <c r="AX31" s="227"/>
      <c r="AY31" s="22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  <c r="BQ31" s="227"/>
      <c r="BR31" s="227"/>
      <c r="BS31" s="227"/>
      <c r="BT31" s="227"/>
      <c r="BU31" s="227"/>
      <c r="BV31" s="227"/>
      <c r="BW31" s="227"/>
      <c r="BX31" s="227"/>
      <c r="BY31" s="227"/>
      <c r="BZ31" s="227"/>
      <c r="CA31" s="227"/>
      <c r="CB31" s="227"/>
      <c r="CC31" s="227"/>
      <c r="CD31" s="227"/>
      <c r="CE31" s="227"/>
      <c r="CF31" s="227"/>
      <c r="CG31" s="227"/>
      <c r="CH31" s="227"/>
      <c r="CI31" s="227"/>
      <c r="CJ31" s="227"/>
      <c r="CK31" s="227"/>
      <c r="CL31" s="227"/>
      <c r="CM31" s="227"/>
      <c r="CN31" s="227"/>
      <c r="CO31" s="227"/>
      <c r="CP31" s="227"/>
      <c r="CQ31" s="227"/>
      <c r="CR31" s="227"/>
      <c r="CS31" s="227"/>
      <c r="CT31" s="227"/>
      <c r="CU31" s="225"/>
      <c r="CV31" s="227"/>
    </row>
    <row r="32" spans="1:100" ht="20.100000000000001" customHeight="1">
      <c r="A32" s="223"/>
      <c r="B32" s="225"/>
      <c r="C32" s="227"/>
      <c r="D32" s="224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223"/>
      <c r="S32" s="223"/>
      <c r="T32" s="223"/>
      <c r="U32" s="223"/>
      <c r="V32" s="223"/>
      <c r="W32" s="223"/>
      <c r="X32" s="223"/>
      <c r="Y32" s="223"/>
      <c r="Z32" s="223"/>
      <c r="AA32" s="223"/>
      <c r="AB32" s="223"/>
      <c r="AC32" s="223"/>
      <c r="AD32" s="223"/>
      <c r="AE32" s="223"/>
      <c r="AF32" s="223"/>
      <c r="AG32" s="223"/>
      <c r="AH32" s="223"/>
      <c r="AI32" s="223"/>
      <c r="AJ32" s="223"/>
      <c r="AK32" s="223"/>
      <c r="AL32" s="223"/>
      <c r="AM32" s="223"/>
      <c r="AN32" s="223"/>
      <c r="AO32" s="223"/>
      <c r="AP32" s="223"/>
      <c r="AQ32" s="223"/>
      <c r="AR32" s="223"/>
      <c r="AS32" s="223"/>
      <c r="AT32" s="223"/>
      <c r="AU32" s="223"/>
      <c r="AV32" s="223"/>
      <c r="AW32" s="223"/>
      <c r="AX32" s="223"/>
      <c r="AY32" s="223"/>
      <c r="AZ32" s="223"/>
      <c r="BA32" s="223"/>
      <c r="BB32" s="223"/>
      <c r="BC32" s="223"/>
      <c r="BD32" s="223"/>
      <c r="BE32" s="223"/>
      <c r="BF32" s="223"/>
      <c r="BG32" s="223"/>
      <c r="BH32" s="223"/>
      <c r="BI32" s="223"/>
      <c r="BJ32" s="223"/>
      <c r="BK32" s="223"/>
      <c r="BL32" s="223"/>
      <c r="BM32" s="223"/>
      <c r="BN32" s="223"/>
      <c r="BO32" s="223"/>
      <c r="BP32" s="223"/>
      <c r="BQ32" s="227"/>
      <c r="BR32" s="227"/>
      <c r="BS32" s="227"/>
      <c r="BT32" s="227"/>
      <c r="BU32" s="227"/>
      <c r="BV32" s="227"/>
      <c r="BW32" s="227"/>
      <c r="BX32" s="227"/>
      <c r="BY32" s="227"/>
      <c r="BZ32" s="227"/>
      <c r="CA32" s="227"/>
      <c r="CB32" s="227"/>
      <c r="CC32" s="227"/>
      <c r="CD32" s="227"/>
      <c r="CE32" s="227"/>
      <c r="CF32" s="227"/>
      <c r="CG32" s="227"/>
      <c r="CH32" s="227"/>
      <c r="CI32" s="227"/>
      <c r="CJ32" s="227"/>
      <c r="CK32" s="227"/>
      <c r="CL32" s="227"/>
      <c r="CM32" s="227"/>
      <c r="CN32" s="227"/>
      <c r="CO32" s="227"/>
      <c r="CP32" s="227"/>
      <c r="CQ32" s="227"/>
      <c r="CR32" s="227"/>
      <c r="CS32" s="227"/>
      <c r="CT32" s="227"/>
      <c r="CU32" s="225"/>
      <c r="CV32" s="227"/>
    </row>
    <row r="33" spans="1:100" ht="20.100000000000001" customHeight="1">
      <c r="A33" s="227">
        <v>13</v>
      </c>
      <c r="B33" s="225"/>
      <c r="C33" s="227"/>
      <c r="D33" s="228" cm="1">
        <f t="array" ref="D33">IFERROR(
(SUMPRODUCT(E33:CU33*$E$6:$CU$6)/100) + (SUMPRODUCT(E33:CU33*$E$6:$CU$6*$E$3:$CU$3)/100),
0
)</f>
        <v>0</v>
      </c>
      <c r="E33" s="227"/>
      <c r="F33" s="227"/>
      <c r="G33" s="227"/>
      <c r="H33" s="227"/>
      <c r="I33" s="227"/>
      <c r="J33" s="227"/>
      <c r="K33" s="227"/>
      <c r="L33" s="227"/>
      <c r="M33" s="227"/>
      <c r="N33" s="227"/>
      <c r="O33" s="227"/>
      <c r="P33" s="227"/>
      <c r="Q33" s="227"/>
      <c r="R33" s="227"/>
      <c r="S33" s="227"/>
      <c r="T33" s="227"/>
      <c r="U33" s="227"/>
      <c r="V33" s="227"/>
      <c r="W33" s="227"/>
      <c r="X33" s="227"/>
      <c r="Y33" s="227"/>
      <c r="Z33" s="227"/>
      <c r="AA33" s="227"/>
      <c r="AB33" s="227"/>
      <c r="AC33" s="227"/>
      <c r="AD33" s="227"/>
      <c r="AE33" s="227"/>
      <c r="AF33" s="227"/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  <c r="BQ33" s="227"/>
      <c r="BR33" s="227"/>
      <c r="BS33" s="227"/>
      <c r="BT33" s="227"/>
      <c r="BU33" s="227"/>
      <c r="BV33" s="227"/>
      <c r="BW33" s="227"/>
      <c r="BX33" s="227"/>
      <c r="BY33" s="227"/>
      <c r="BZ33" s="227"/>
      <c r="CA33" s="227"/>
      <c r="CB33" s="227"/>
      <c r="CC33" s="227"/>
      <c r="CD33" s="227"/>
      <c r="CE33" s="227"/>
      <c r="CF33" s="227"/>
      <c r="CG33" s="227"/>
      <c r="CH33" s="227"/>
      <c r="CI33" s="227"/>
      <c r="CJ33" s="227"/>
      <c r="CK33" s="227"/>
      <c r="CL33" s="227"/>
      <c r="CM33" s="227"/>
      <c r="CN33" s="227"/>
      <c r="CO33" s="227"/>
      <c r="CP33" s="227"/>
      <c r="CQ33" s="227"/>
      <c r="CR33" s="227"/>
      <c r="CS33" s="227"/>
      <c r="CT33" s="227"/>
      <c r="CU33" s="225"/>
      <c r="CV33" s="227"/>
    </row>
    <row r="34" spans="1:100" ht="20.100000000000001" customHeight="1">
      <c r="A34" s="227"/>
      <c r="B34" s="225"/>
      <c r="C34" s="227"/>
      <c r="D34" s="224"/>
      <c r="E34" s="223"/>
      <c r="F34" s="223"/>
      <c r="G34" s="223"/>
      <c r="H34" s="223"/>
      <c r="I34" s="223"/>
      <c r="J34" s="223"/>
      <c r="K34" s="223"/>
      <c r="L34" s="223"/>
      <c r="M34" s="223"/>
      <c r="N34" s="223"/>
      <c r="O34" s="223"/>
      <c r="P34" s="223"/>
      <c r="Q34" s="223"/>
      <c r="R34" s="223"/>
      <c r="S34" s="223"/>
      <c r="T34" s="223"/>
      <c r="U34" s="223"/>
      <c r="V34" s="223"/>
      <c r="W34" s="223"/>
      <c r="X34" s="223"/>
      <c r="Y34" s="223"/>
      <c r="Z34" s="223"/>
      <c r="AA34" s="223"/>
      <c r="AB34" s="223"/>
      <c r="AC34" s="223"/>
      <c r="AD34" s="223"/>
      <c r="AE34" s="223"/>
      <c r="AF34" s="223"/>
      <c r="AG34" s="223"/>
      <c r="AH34" s="223"/>
      <c r="AI34" s="223"/>
      <c r="AJ34" s="223"/>
      <c r="AK34" s="223"/>
      <c r="AL34" s="223"/>
      <c r="AM34" s="223"/>
      <c r="AN34" s="223"/>
      <c r="AO34" s="223"/>
      <c r="AP34" s="223"/>
      <c r="AQ34" s="223"/>
      <c r="AR34" s="223"/>
      <c r="AS34" s="223"/>
      <c r="AT34" s="223"/>
      <c r="AU34" s="223"/>
      <c r="AV34" s="223"/>
      <c r="AW34" s="223"/>
      <c r="AX34" s="223"/>
      <c r="AY34" s="223"/>
      <c r="AZ34" s="223"/>
      <c r="BA34" s="223"/>
      <c r="BB34" s="223"/>
      <c r="BC34" s="223"/>
      <c r="BD34" s="223"/>
      <c r="BE34" s="223"/>
      <c r="BF34" s="223"/>
      <c r="BG34" s="223"/>
      <c r="BH34" s="223"/>
      <c r="BI34" s="223"/>
      <c r="BJ34" s="223"/>
      <c r="BK34" s="223"/>
      <c r="BL34" s="223"/>
      <c r="BM34" s="223"/>
      <c r="BN34" s="223"/>
      <c r="BO34" s="223"/>
      <c r="BP34" s="223"/>
      <c r="BQ34" s="227"/>
      <c r="BR34" s="227"/>
      <c r="BS34" s="227"/>
      <c r="BT34" s="227"/>
      <c r="BU34" s="227"/>
      <c r="BV34" s="227"/>
      <c r="BW34" s="227"/>
      <c r="BX34" s="227"/>
      <c r="BY34" s="227"/>
      <c r="BZ34" s="227"/>
      <c r="CA34" s="227"/>
      <c r="CB34" s="227"/>
      <c r="CC34" s="227"/>
      <c r="CD34" s="227"/>
      <c r="CE34" s="227"/>
      <c r="CF34" s="227"/>
      <c r="CG34" s="227"/>
      <c r="CH34" s="227"/>
      <c r="CI34" s="227"/>
      <c r="CJ34" s="227"/>
      <c r="CK34" s="227"/>
      <c r="CL34" s="227"/>
      <c r="CM34" s="227"/>
      <c r="CN34" s="227"/>
      <c r="CO34" s="227"/>
      <c r="CP34" s="227"/>
      <c r="CQ34" s="227"/>
      <c r="CR34" s="227"/>
      <c r="CS34" s="227"/>
      <c r="CT34" s="227"/>
      <c r="CU34" s="225"/>
      <c r="CV34" s="227"/>
    </row>
    <row r="35" spans="1:100" ht="20.100000000000001" customHeight="1">
      <c r="A35" s="227">
        <v>14</v>
      </c>
      <c r="B35" s="225"/>
      <c r="C35" s="227"/>
      <c r="D35" s="228" cm="1">
        <f t="array" ref="D35">IFERROR(
(SUMPRODUCT(E35:CU35*$E$6:$CU$6)/100) + (SUMPRODUCT(E35:CU35*$E$6:$CU$6*$E$3:$CU$3)/100),
0
)</f>
        <v>0</v>
      </c>
      <c r="E35" s="227"/>
      <c r="F35" s="227"/>
      <c r="G35" s="227"/>
      <c r="H35" s="227"/>
      <c r="I35" s="227"/>
      <c r="J35" s="227"/>
      <c r="K35" s="227"/>
      <c r="L35" s="227"/>
      <c r="M35" s="227"/>
      <c r="N35" s="227"/>
      <c r="O35" s="227"/>
      <c r="P35" s="227"/>
      <c r="Q35" s="227"/>
      <c r="R35" s="227"/>
      <c r="S35" s="227"/>
      <c r="T35" s="227"/>
      <c r="U35" s="227"/>
      <c r="V35" s="227"/>
      <c r="W35" s="227"/>
      <c r="X35" s="227"/>
      <c r="Y35" s="227"/>
      <c r="Z35" s="227"/>
      <c r="AA35" s="227"/>
      <c r="AB35" s="227"/>
      <c r="AC35" s="227"/>
      <c r="AD35" s="227"/>
      <c r="AE35" s="227"/>
      <c r="AF35" s="227"/>
      <c r="AG35" s="227"/>
      <c r="AH35" s="227"/>
      <c r="AI35" s="227"/>
      <c r="AJ35" s="227"/>
      <c r="AK35" s="227"/>
      <c r="AL35" s="227"/>
      <c r="AM35" s="227"/>
      <c r="AN35" s="227"/>
      <c r="AO35" s="227"/>
      <c r="AP35" s="227"/>
      <c r="AQ35" s="227"/>
      <c r="AR35" s="227"/>
      <c r="AS35" s="227"/>
      <c r="AT35" s="227"/>
      <c r="AU35" s="227"/>
      <c r="AV35" s="227"/>
      <c r="AW35" s="227"/>
      <c r="AX35" s="227"/>
      <c r="AY35" s="227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  <c r="BQ35" s="227"/>
      <c r="BR35" s="227"/>
      <c r="BS35" s="227"/>
      <c r="BT35" s="227"/>
      <c r="BU35" s="227"/>
      <c r="BV35" s="227"/>
      <c r="BW35" s="227"/>
      <c r="BX35" s="227"/>
      <c r="BY35" s="227"/>
      <c r="BZ35" s="227"/>
      <c r="CA35" s="227"/>
      <c r="CB35" s="227"/>
      <c r="CC35" s="227"/>
      <c r="CD35" s="227"/>
      <c r="CE35" s="227"/>
      <c r="CF35" s="227"/>
      <c r="CG35" s="227"/>
      <c r="CH35" s="227"/>
      <c r="CI35" s="227"/>
      <c r="CJ35" s="227"/>
      <c r="CK35" s="227"/>
      <c r="CL35" s="227"/>
      <c r="CM35" s="227"/>
      <c r="CN35" s="227"/>
      <c r="CO35" s="227"/>
      <c r="CP35" s="227"/>
      <c r="CQ35" s="227"/>
      <c r="CR35" s="227"/>
      <c r="CS35" s="227"/>
      <c r="CT35" s="227"/>
      <c r="CU35" s="225"/>
      <c r="CV35" s="227"/>
    </row>
    <row r="36" spans="1:100" ht="20.100000000000001" customHeight="1">
      <c r="A36" s="223"/>
      <c r="B36" s="225"/>
      <c r="C36" s="227"/>
      <c r="D36" s="224"/>
      <c r="E36" s="223"/>
      <c r="F36" s="223"/>
      <c r="G36" s="223"/>
      <c r="H36" s="223"/>
      <c r="I36" s="223"/>
      <c r="J36" s="223"/>
      <c r="K36" s="223"/>
      <c r="L36" s="223"/>
      <c r="M36" s="223"/>
      <c r="N36" s="223"/>
      <c r="O36" s="223"/>
      <c r="P36" s="223"/>
      <c r="Q36" s="223"/>
      <c r="R36" s="223"/>
      <c r="S36" s="223"/>
      <c r="T36" s="223"/>
      <c r="U36" s="223"/>
      <c r="V36" s="223"/>
      <c r="W36" s="223"/>
      <c r="X36" s="223"/>
      <c r="Y36" s="223"/>
      <c r="Z36" s="223"/>
      <c r="AA36" s="223"/>
      <c r="AB36" s="223"/>
      <c r="AC36" s="223"/>
      <c r="AD36" s="223"/>
      <c r="AE36" s="223"/>
      <c r="AF36" s="223"/>
      <c r="AG36" s="223"/>
      <c r="AH36" s="223"/>
      <c r="AI36" s="223"/>
      <c r="AJ36" s="223"/>
      <c r="AK36" s="223"/>
      <c r="AL36" s="223"/>
      <c r="AM36" s="223"/>
      <c r="AN36" s="223"/>
      <c r="AO36" s="223"/>
      <c r="AP36" s="223"/>
      <c r="AQ36" s="223"/>
      <c r="AR36" s="223"/>
      <c r="AS36" s="223"/>
      <c r="AT36" s="223"/>
      <c r="AU36" s="223"/>
      <c r="AV36" s="223"/>
      <c r="AW36" s="223"/>
      <c r="AX36" s="223"/>
      <c r="AY36" s="223"/>
      <c r="AZ36" s="223"/>
      <c r="BA36" s="223"/>
      <c r="BB36" s="223"/>
      <c r="BC36" s="223"/>
      <c r="BD36" s="223"/>
      <c r="BE36" s="223"/>
      <c r="BF36" s="223"/>
      <c r="BG36" s="223"/>
      <c r="BH36" s="223"/>
      <c r="BI36" s="223"/>
      <c r="BJ36" s="223"/>
      <c r="BK36" s="223"/>
      <c r="BL36" s="223"/>
      <c r="BM36" s="223"/>
      <c r="BN36" s="223"/>
      <c r="BO36" s="223"/>
      <c r="BP36" s="223"/>
      <c r="BQ36" s="227"/>
      <c r="BR36" s="227"/>
      <c r="BS36" s="227"/>
      <c r="BT36" s="227"/>
      <c r="BU36" s="227"/>
      <c r="BV36" s="227"/>
      <c r="BW36" s="227"/>
      <c r="BX36" s="227"/>
      <c r="BY36" s="227"/>
      <c r="BZ36" s="227"/>
      <c r="CA36" s="227"/>
      <c r="CB36" s="227"/>
      <c r="CC36" s="227"/>
      <c r="CD36" s="227"/>
      <c r="CE36" s="227"/>
      <c r="CF36" s="227"/>
      <c r="CG36" s="227"/>
      <c r="CH36" s="227"/>
      <c r="CI36" s="227"/>
      <c r="CJ36" s="227"/>
      <c r="CK36" s="227"/>
      <c r="CL36" s="227"/>
      <c r="CM36" s="227"/>
      <c r="CN36" s="227"/>
      <c r="CO36" s="227"/>
      <c r="CP36" s="227"/>
      <c r="CQ36" s="227"/>
      <c r="CR36" s="227"/>
      <c r="CS36" s="227"/>
      <c r="CT36" s="227"/>
      <c r="CU36" s="225"/>
      <c r="CV36" s="227"/>
    </row>
    <row r="37" spans="1:100" ht="20.100000000000001" customHeight="1">
      <c r="A37" s="227">
        <v>15</v>
      </c>
      <c r="B37" s="225"/>
      <c r="C37" s="227"/>
      <c r="D37" s="228" cm="1">
        <f t="array" ref="D37">IFERROR(
(SUMPRODUCT(E37:CU37*$E$6:$CU$6)/100) + (SUMPRODUCT(E37:CU37*$E$6:$CU$6*$E$3:$CU$3)/100),
0
)</f>
        <v>0</v>
      </c>
      <c r="E37" s="227"/>
      <c r="F37" s="227"/>
      <c r="G37" s="227"/>
      <c r="H37" s="227"/>
      <c r="I37" s="227"/>
      <c r="J37" s="227"/>
      <c r="K37" s="227"/>
      <c r="L37" s="227"/>
      <c r="M37" s="227"/>
      <c r="N37" s="227"/>
      <c r="O37" s="227"/>
      <c r="P37" s="227"/>
      <c r="Q37" s="227"/>
      <c r="R37" s="227"/>
      <c r="S37" s="227"/>
      <c r="T37" s="227"/>
      <c r="U37" s="227"/>
      <c r="V37" s="227"/>
      <c r="W37" s="227"/>
      <c r="X37" s="227"/>
      <c r="Y37" s="227"/>
      <c r="Z37" s="227"/>
      <c r="AA37" s="227"/>
      <c r="AB37" s="227"/>
      <c r="AC37" s="227"/>
      <c r="AD37" s="227"/>
      <c r="AE37" s="227"/>
      <c r="AF37" s="227"/>
      <c r="AG37" s="227"/>
      <c r="AH37" s="227"/>
      <c r="AI37" s="227"/>
      <c r="AJ37" s="227"/>
      <c r="AK37" s="227"/>
      <c r="AL37" s="227"/>
      <c r="AM37" s="227"/>
      <c r="AN37" s="227"/>
      <c r="AO37" s="227"/>
      <c r="AP37" s="227"/>
      <c r="AQ37" s="227"/>
      <c r="AR37" s="227"/>
      <c r="AS37" s="227"/>
      <c r="AT37" s="227"/>
      <c r="AU37" s="227"/>
      <c r="AV37" s="227"/>
      <c r="AW37" s="227"/>
      <c r="AX37" s="227"/>
      <c r="AY37" s="22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  <c r="BQ37" s="227"/>
      <c r="BR37" s="227"/>
      <c r="BS37" s="227"/>
      <c r="BT37" s="227"/>
      <c r="BU37" s="227"/>
      <c r="BV37" s="227"/>
      <c r="BW37" s="227"/>
      <c r="BX37" s="227"/>
      <c r="BY37" s="227"/>
      <c r="BZ37" s="227"/>
      <c r="CA37" s="227"/>
      <c r="CB37" s="227"/>
      <c r="CC37" s="227"/>
      <c r="CD37" s="227"/>
      <c r="CE37" s="227"/>
      <c r="CF37" s="227"/>
      <c r="CG37" s="227"/>
      <c r="CH37" s="227"/>
      <c r="CI37" s="227"/>
      <c r="CJ37" s="227"/>
      <c r="CK37" s="227"/>
      <c r="CL37" s="227"/>
      <c r="CM37" s="227"/>
      <c r="CN37" s="227"/>
      <c r="CO37" s="227"/>
      <c r="CP37" s="227"/>
      <c r="CQ37" s="227"/>
      <c r="CR37" s="227"/>
      <c r="CS37" s="227"/>
      <c r="CT37" s="227"/>
      <c r="CU37" s="225"/>
      <c r="CV37" s="227"/>
    </row>
    <row r="38" spans="1:100" ht="20.100000000000001" customHeight="1">
      <c r="A38" s="227"/>
      <c r="B38" s="225"/>
      <c r="C38" s="227"/>
      <c r="D38" s="224"/>
      <c r="E38" s="223"/>
      <c r="F38" s="223"/>
      <c r="G38" s="223"/>
      <c r="H38" s="223"/>
      <c r="I38" s="223"/>
      <c r="J38" s="223"/>
      <c r="K38" s="223"/>
      <c r="L38" s="223"/>
      <c r="M38" s="223"/>
      <c r="N38" s="223"/>
      <c r="O38" s="223"/>
      <c r="P38" s="223"/>
      <c r="Q38" s="223"/>
      <c r="R38" s="223"/>
      <c r="S38" s="223"/>
      <c r="T38" s="223"/>
      <c r="U38" s="223"/>
      <c r="V38" s="223"/>
      <c r="W38" s="223"/>
      <c r="X38" s="223"/>
      <c r="Y38" s="223"/>
      <c r="Z38" s="223"/>
      <c r="AA38" s="223"/>
      <c r="AB38" s="223"/>
      <c r="AC38" s="223"/>
      <c r="AD38" s="223"/>
      <c r="AE38" s="223"/>
      <c r="AF38" s="223"/>
      <c r="AG38" s="223"/>
      <c r="AH38" s="223"/>
      <c r="AI38" s="223"/>
      <c r="AJ38" s="223"/>
      <c r="AK38" s="223"/>
      <c r="AL38" s="223"/>
      <c r="AM38" s="223"/>
      <c r="AN38" s="223"/>
      <c r="AO38" s="223"/>
      <c r="AP38" s="223"/>
      <c r="AQ38" s="223"/>
      <c r="AR38" s="223"/>
      <c r="AS38" s="223"/>
      <c r="AT38" s="223"/>
      <c r="AU38" s="223"/>
      <c r="AV38" s="223"/>
      <c r="AW38" s="223"/>
      <c r="AX38" s="223"/>
      <c r="AY38" s="223"/>
      <c r="AZ38" s="223"/>
      <c r="BA38" s="223"/>
      <c r="BB38" s="223"/>
      <c r="BC38" s="223"/>
      <c r="BD38" s="223"/>
      <c r="BE38" s="223"/>
      <c r="BF38" s="223"/>
      <c r="BG38" s="223"/>
      <c r="BH38" s="223"/>
      <c r="BI38" s="223"/>
      <c r="BJ38" s="223"/>
      <c r="BK38" s="223"/>
      <c r="BL38" s="223"/>
      <c r="BM38" s="223"/>
      <c r="BN38" s="223"/>
      <c r="BO38" s="223"/>
      <c r="BP38" s="223"/>
      <c r="BQ38" s="227"/>
      <c r="BR38" s="227"/>
      <c r="BS38" s="227"/>
      <c r="BT38" s="227"/>
      <c r="BU38" s="227"/>
      <c r="BV38" s="227"/>
      <c r="BW38" s="227"/>
      <c r="BX38" s="227"/>
      <c r="BY38" s="227"/>
      <c r="BZ38" s="227"/>
      <c r="CA38" s="227"/>
      <c r="CB38" s="227"/>
      <c r="CC38" s="227"/>
      <c r="CD38" s="227"/>
      <c r="CE38" s="227"/>
      <c r="CF38" s="227"/>
      <c r="CG38" s="227"/>
      <c r="CH38" s="227"/>
      <c r="CI38" s="227"/>
      <c r="CJ38" s="227"/>
      <c r="CK38" s="227"/>
      <c r="CL38" s="227"/>
      <c r="CM38" s="227"/>
      <c r="CN38" s="227"/>
      <c r="CO38" s="227"/>
      <c r="CP38" s="227"/>
      <c r="CQ38" s="227"/>
      <c r="CR38" s="227"/>
      <c r="CS38" s="227"/>
      <c r="CT38" s="227"/>
      <c r="CU38" s="225"/>
      <c r="CV38" s="227"/>
    </row>
    <row r="39" spans="1:100" ht="20.100000000000001" customHeight="1">
      <c r="A39" s="227">
        <v>16</v>
      </c>
      <c r="B39" s="225"/>
      <c r="C39" s="227"/>
      <c r="D39" s="228" cm="1">
        <f t="array" ref="D39">IFERROR(
(SUMPRODUCT(E39:CU39*$E$6:$CU$6)/100) + (SUMPRODUCT(E39:CU39*$E$6:$CU$6*$E$3:$CU$3)/100),
0
)</f>
        <v>0</v>
      </c>
      <c r="E39" s="227"/>
      <c r="F39" s="227"/>
      <c r="G39" s="227"/>
      <c r="H39" s="227"/>
      <c r="I39" s="227"/>
      <c r="J39" s="227"/>
      <c r="K39" s="227"/>
      <c r="L39" s="227"/>
      <c r="M39" s="227"/>
      <c r="N39" s="227"/>
      <c r="O39" s="227"/>
      <c r="P39" s="227"/>
      <c r="Q39" s="227"/>
      <c r="R39" s="227"/>
      <c r="S39" s="227"/>
      <c r="T39" s="227"/>
      <c r="U39" s="227"/>
      <c r="V39" s="227"/>
      <c r="W39" s="227"/>
      <c r="X39" s="227"/>
      <c r="Y39" s="227"/>
      <c r="Z39" s="227"/>
      <c r="AA39" s="227"/>
      <c r="AB39" s="227"/>
      <c r="AC39" s="227"/>
      <c r="AD39" s="227"/>
      <c r="AE39" s="227"/>
      <c r="AF39" s="227"/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  <c r="BQ39" s="227"/>
      <c r="BR39" s="227"/>
      <c r="BS39" s="227"/>
      <c r="BT39" s="227"/>
      <c r="BU39" s="227"/>
      <c r="BV39" s="227"/>
      <c r="BW39" s="227"/>
      <c r="BX39" s="227"/>
      <c r="BY39" s="227"/>
      <c r="BZ39" s="227"/>
      <c r="CA39" s="227"/>
      <c r="CB39" s="227"/>
      <c r="CC39" s="227"/>
      <c r="CD39" s="227"/>
      <c r="CE39" s="227"/>
      <c r="CF39" s="227"/>
      <c r="CG39" s="227"/>
      <c r="CH39" s="227"/>
      <c r="CI39" s="227"/>
      <c r="CJ39" s="227"/>
      <c r="CK39" s="227"/>
      <c r="CL39" s="227"/>
      <c r="CM39" s="227"/>
      <c r="CN39" s="227"/>
      <c r="CO39" s="227"/>
      <c r="CP39" s="227"/>
      <c r="CQ39" s="227"/>
      <c r="CR39" s="227"/>
      <c r="CS39" s="227"/>
      <c r="CT39" s="227"/>
      <c r="CU39" s="225"/>
      <c r="CV39" s="227"/>
    </row>
    <row r="40" spans="1:100" ht="20.100000000000001" customHeight="1">
      <c r="A40" s="223"/>
      <c r="B40" s="225"/>
      <c r="C40" s="227"/>
      <c r="D40" s="224"/>
      <c r="E40" s="223"/>
      <c r="F40" s="223"/>
      <c r="G40" s="223"/>
      <c r="H40" s="223"/>
      <c r="I40" s="223"/>
      <c r="J40" s="223"/>
      <c r="K40" s="223"/>
      <c r="L40" s="223"/>
      <c r="M40" s="223"/>
      <c r="N40" s="223"/>
      <c r="O40" s="223"/>
      <c r="P40" s="223"/>
      <c r="Q40" s="223"/>
      <c r="R40" s="223"/>
      <c r="S40" s="223"/>
      <c r="T40" s="223"/>
      <c r="U40" s="223"/>
      <c r="V40" s="223"/>
      <c r="W40" s="223"/>
      <c r="X40" s="223"/>
      <c r="Y40" s="223"/>
      <c r="Z40" s="223"/>
      <c r="AA40" s="223"/>
      <c r="AB40" s="223"/>
      <c r="AC40" s="223"/>
      <c r="AD40" s="223"/>
      <c r="AE40" s="223"/>
      <c r="AF40" s="223"/>
      <c r="AG40" s="223"/>
      <c r="AH40" s="223"/>
      <c r="AI40" s="223"/>
      <c r="AJ40" s="223"/>
      <c r="AK40" s="223"/>
      <c r="AL40" s="223"/>
      <c r="AM40" s="223"/>
      <c r="AN40" s="223"/>
      <c r="AO40" s="223"/>
      <c r="AP40" s="223"/>
      <c r="AQ40" s="223"/>
      <c r="AR40" s="223"/>
      <c r="AS40" s="223"/>
      <c r="AT40" s="223"/>
      <c r="AU40" s="223"/>
      <c r="AV40" s="223"/>
      <c r="AW40" s="223"/>
      <c r="AX40" s="223"/>
      <c r="AY40" s="223"/>
      <c r="AZ40" s="223"/>
      <c r="BA40" s="223"/>
      <c r="BB40" s="223"/>
      <c r="BC40" s="223"/>
      <c r="BD40" s="223"/>
      <c r="BE40" s="223"/>
      <c r="BF40" s="223"/>
      <c r="BG40" s="223"/>
      <c r="BH40" s="223"/>
      <c r="BI40" s="223"/>
      <c r="BJ40" s="223"/>
      <c r="BK40" s="223"/>
      <c r="BL40" s="223"/>
      <c r="BM40" s="223"/>
      <c r="BN40" s="223"/>
      <c r="BO40" s="223"/>
      <c r="BP40" s="223"/>
      <c r="BQ40" s="227"/>
      <c r="BR40" s="227"/>
      <c r="BS40" s="227"/>
      <c r="BT40" s="227"/>
      <c r="BU40" s="227"/>
      <c r="BV40" s="227"/>
      <c r="BW40" s="227"/>
      <c r="BX40" s="227"/>
      <c r="BY40" s="227"/>
      <c r="BZ40" s="227"/>
      <c r="CA40" s="227"/>
      <c r="CB40" s="227"/>
      <c r="CC40" s="227"/>
      <c r="CD40" s="227"/>
      <c r="CE40" s="227"/>
      <c r="CF40" s="227"/>
      <c r="CG40" s="227"/>
      <c r="CH40" s="227"/>
      <c r="CI40" s="227"/>
      <c r="CJ40" s="227"/>
      <c r="CK40" s="227"/>
      <c r="CL40" s="227"/>
      <c r="CM40" s="227"/>
      <c r="CN40" s="227"/>
      <c r="CO40" s="227"/>
      <c r="CP40" s="227"/>
      <c r="CQ40" s="227"/>
      <c r="CR40" s="227"/>
      <c r="CS40" s="227"/>
      <c r="CT40" s="227"/>
      <c r="CU40" s="225"/>
      <c r="CV40" s="227"/>
    </row>
    <row r="41" spans="1:100" ht="20.100000000000001" customHeight="1">
      <c r="A41" s="227">
        <v>17</v>
      </c>
      <c r="B41" s="225"/>
      <c r="C41" s="227"/>
      <c r="D41" s="228" cm="1">
        <f t="array" ref="D41">IFERROR(
(SUMPRODUCT(E41:CU41*$E$6:$CU$6)/100) + (SUMPRODUCT(E41:CU41*$E$6:$CU$6*$E$3:$CU$3)/100),
0
)</f>
        <v>0</v>
      </c>
      <c r="E41" s="227"/>
      <c r="F41" s="227"/>
      <c r="G41" s="227"/>
      <c r="H41" s="227"/>
      <c r="I41" s="227"/>
      <c r="J41" s="227"/>
      <c r="K41" s="227"/>
      <c r="L41" s="227"/>
      <c r="M41" s="227"/>
      <c r="N41" s="227"/>
      <c r="O41" s="227"/>
      <c r="P41" s="227"/>
      <c r="Q41" s="227"/>
      <c r="R41" s="227"/>
      <c r="S41" s="227"/>
      <c r="T41" s="227"/>
      <c r="U41" s="227"/>
      <c r="V41" s="227"/>
      <c r="W41" s="227"/>
      <c r="X41" s="227"/>
      <c r="Y41" s="227"/>
      <c r="Z41" s="227"/>
      <c r="AA41" s="227"/>
      <c r="AB41" s="227"/>
      <c r="AC41" s="227"/>
      <c r="AD41" s="227"/>
      <c r="AE41" s="227"/>
      <c r="AF41" s="227"/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  <c r="BQ41" s="227"/>
      <c r="BR41" s="227"/>
      <c r="BS41" s="227"/>
      <c r="BT41" s="227"/>
      <c r="BU41" s="227"/>
      <c r="BV41" s="227"/>
      <c r="BW41" s="227"/>
      <c r="BX41" s="227"/>
      <c r="BY41" s="227"/>
      <c r="BZ41" s="227"/>
      <c r="CA41" s="227"/>
      <c r="CB41" s="227"/>
      <c r="CC41" s="227"/>
      <c r="CD41" s="227"/>
      <c r="CE41" s="227"/>
      <c r="CF41" s="227"/>
      <c r="CG41" s="227"/>
      <c r="CH41" s="227"/>
      <c r="CI41" s="227"/>
      <c r="CJ41" s="227"/>
      <c r="CK41" s="227"/>
      <c r="CL41" s="227"/>
      <c r="CM41" s="227"/>
      <c r="CN41" s="227"/>
      <c r="CO41" s="227"/>
      <c r="CP41" s="227"/>
      <c r="CQ41" s="227"/>
      <c r="CR41" s="227"/>
      <c r="CS41" s="227"/>
      <c r="CT41" s="227"/>
      <c r="CU41" s="225"/>
      <c r="CV41" s="227"/>
    </row>
    <row r="42" spans="1:100" ht="20.100000000000001" customHeight="1">
      <c r="A42" s="227"/>
      <c r="B42" s="225"/>
      <c r="C42" s="227"/>
      <c r="D42" s="224"/>
      <c r="E42" s="223"/>
      <c r="F42" s="223"/>
      <c r="G42" s="223"/>
      <c r="H42" s="223"/>
      <c r="I42" s="223"/>
      <c r="J42" s="223"/>
      <c r="K42" s="223"/>
      <c r="L42" s="223"/>
      <c r="M42" s="223"/>
      <c r="N42" s="223"/>
      <c r="O42" s="223"/>
      <c r="P42" s="223"/>
      <c r="Q42" s="223"/>
      <c r="R42" s="223"/>
      <c r="S42" s="223"/>
      <c r="T42" s="223"/>
      <c r="U42" s="223"/>
      <c r="V42" s="223"/>
      <c r="W42" s="223"/>
      <c r="X42" s="223"/>
      <c r="Y42" s="223"/>
      <c r="Z42" s="223"/>
      <c r="AA42" s="223"/>
      <c r="AB42" s="223"/>
      <c r="AC42" s="223"/>
      <c r="AD42" s="223"/>
      <c r="AE42" s="223"/>
      <c r="AF42" s="223"/>
      <c r="AG42" s="223"/>
      <c r="AH42" s="223"/>
      <c r="AI42" s="223"/>
      <c r="AJ42" s="223"/>
      <c r="AK42" s="223"/>
      <c r="AL42" s="223"/>
      <c r="AM42" s="223"/>
      <c r="AN42" s="223"/>
      <c r="AO42" s="223"/>
      <c r="AP42" s="223"/>
      <c r="AQ42" s="223"/>
      <c r="AR42" s="223"/>
      <c r="AS42" s="223"/>
      <c r="AT42" s="223"/>
      <c r="AU42" s="223"/>
      <c r="AV42" s="223"/>
      <c r="AW42" s="223"/>
      <c r="AX42" s="223"/>
      <c r="AY42" s="223"/>
      <c r="AZ42" s="223"/>
      <c r="BA42" s="223"/>
      <c r="BB42" s="223"/>
      <c r="BC42" s="223"/>
      <c r="BD42" s="223"/>
      <c r="BE42" s="223"/>
      <c r="BF42" s="223"/>
      <c r="BG42" s="223"/>
      <c r="BH42" s="223"/>
      <c r="BI42" s="223"/>
      <c r="BJ42" s="223"/>
      <c r="BK42" s="223"/>
      <c r="BL42" s="223"/>
      <c r="BM42" s="223"/>
      <c r="BN42" s="223"/>
      <c r="BO42" s="223"/>
      <c r="BP42" s="223"/>
      <c r="BQ42" s="227"/>
      <c r="BR42" s="227"/>
      <c r="BS42" s="227"/>
      <c r="BT42" s="227"/>
      <c r="BU42" s="227"/>
      <c r="BV42" s="227"/>
      <c r="BW42" s="227"/>
      <c r="BX42" s="227"/>
      <c r="BY42" s="227"/>
      <c r="BZ42" s="227"/>
      <c r="CA42" s="227"/>
      <c r="CB42" s="227"/>
      <c r="CC42" s="227"/>
      <c r="CD42" s="227"/>
      <c r="CE42" s="227"/>
      <c r="CF42" s="227"/>
      <c r="CG42" s="227"/>
      <c r="CH42" s="227"/>
      <c r="CI42" s="227"/>
      <c r="CJ42" s="227"/>
      <c r="CK42" s="227"/>
      <c r="CL42" s="227"/>
      <c r="CM42" s="227"/>
      <c r="CN42" s="227"/>
      <c r="CO42" s="227"/>
      <c r="CP42" s="227"/>
      <c r="CQ42" s="227"/>
      <c r="CR42" s="227"/>
      <c r="CS42" s="227"/>
      <c r="CT42" s="227"/>
      <c r="CU42" s="225"/>
      <c r="CV42" s="227"/>
    </row>
    <row r="43" spans="1:100" ht="20.100000000000001" customHeight="1">
      <c r="A43" s="227">
        <v>18</v>
      </c>
      <c r="B43" s="225"/>
      <c r="C43" s="227"/>
      <c r="D43" s="228" cm="1">
        <f t="array" ref="D43">IFERROR(
(SUMPRODUCT(E43:CU43*$E$6:$CU$6)/100) + (SUMPRODUCT(E43:CU43*$E$6:$CU$6*$E$3:$CU$3)/100),
0
)</f>
        <v>0</v>
      </c>
      <c r="E43" s="227"/>
      <c r="F43" s="227"/>
      <c r="G43" s="227"/>
      <c r="H43" s="227"/>
      <c r="I43" s="227"/>
      <c r="J43" s="227"/>
      <c r="K43" s="227"/>
      <c r="L43" s="227"/>
      <c r="M43" s="227"/>
      <c r="N43" s="227"/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  <c r="BQ43" s="227"/>
      <c r="BR43" s="227"/>
      <c r="BS43" s="227"/>
      <c r="BT43" s="227"/>
      <c r="BU43" s="227"/>
      <c r="BV43" s="227"/>
      <c r="BW43" s="227"/>
      <c r="BX43" s="227"/>
      <c r="BY43" s="227"/>
      <c r="BZ43" s="227"/>
      <c r="CA43" s="227"/>
      <c r="CB43" s="227"/>
      <c r="CC43" s="227"/>
      <c r="CD43" s="227"/>
      <c r="CE43" s="227"/>
      <c r="CF43" s="227"/>
      <c r="CG43" s="227"/>
      <c r="CH43" s="227"/>
      <c r="CI43" s="227"/>
      <c r="CJ43" s="227"/>
      <c r="CK43" s="227"/>
      <c r="CL43" s="227"/>
      <c r="CM43" s="227"/>
      <c r="CN43" s="227"/>
      <c r="CO43" s="227"/>
      <c r="CP43" s="227"/>
      <c r="CQ43" s="227"/>
      <c r="CR43" s="227"/>
      <c r="CS43" s="227"/>
      <c r="CT43" s="227"/>
      <c r="CU43" s="225"/>
      <c r="CV43" s="227"/>
    </row>
    <row r="44" spans="1:100" ht="20.100000000000001" customHeight="1">
      <c r="A44" s="223"/>
      <c r="B44" s="225"/>
      <c r="C44" s="227"/>
      <c r="D44" s="224"/>
      <c r="E44" s="223"/>
      <c r="F44" s="223"/>
      <c r="G44" s="223"/>
      <c r="H44" s="223"/>
      <c r="I44" s="223"/>
      <c r="J44" s="223"/>
      <c r="K44" s="223"/>
      <c r="L44" s="223"/>
      <c r="M44" s="223"/>
      <c r="N44" s="223"/>
      <c r="O44" s="223"/>
      <c r="P44" s="223"/>
      <c r="Q44" s="223"/>
      <c r="R44" s="223"/>
      <c r="S44" s="223"/>
      <c r="T44" s="223"/>
      <c r="U44" s="223"/>
      <c r="V44" s="223"/>
      <c r="W44" s="223"/>
      <c r="X44" s="223"/>
      <c r="Y44" s="223"/>
      <c r="Z44" s="223"/>
      <c r="AA44" s="223"/>
      <c r="AB44" s="223"/>
      <c r="AC44" s="223"/>
      <c r="AD44" s="223"/>
      <c r="AE44" s="223"/>
      <c r="AF44" s="223"/>
      <c r="AG44" s="223"/>
      <c r="AH44" s="223"/>
      <c r="AI44" s="223"/>
      <c r="AJ44" s="223"/>
      <c r="AK44" s="223"/>
      <c r="AL44" s="223"/>
      <c r="AM44" s="223"/>
      <c r="AN44" s="223"/>
      <c r="AO44" s="223"/>
      <c r="AP44" s="223"/>
      <c r="AQ44" s="223"/>
      <c r="AR44" s="223"/>
      <c r="AS44" s="223"/>
      <c r="AT44" s="223"/>
      <c r="AU44" s="223"/>
      <c r="AV44" s="223"/>
      <c r="AW44" s="223"/>
      <c r="AX44" s="223"/>
      <c r="AY44" s="223"/>
      <c r="AZ44" s="223"/>
      <c r="BA44" s="223"/>
      <c r="BB44" s="223"/>
      <c r="BC44" s="223"/>
      <c r="BD44" s="223"/>
      <c r="BE44" s="223"/>
      <c r="BF44" s="223"/>
      <c r="BG44" s="223"/>
      <c r="BH44" s="223"/>
      <c r="BI44" s="223"/>
      <c r="BJ44" s="223"/>
      <c r="BK44" s="223"/>
      <c r="BL44" s="223"/>
      <c r="BM44" s="223"/>
      <c r="BN44" s="223"/>
      <c r="BO44" s="223"/>
      <c r="BP44" s="223"/>
      <c r="BQ44" s="227"/>
      <c r="BR44" s="227"/>
      <c r="BS44" s="227"/>
      <c r="BT44" s="227"/>
      <c r="BU44" s="227"/>
      <c r="BV44" s="227"/>
      <c r="BW44" s="227"/>
      <c r="BX44" s="227"/>
      <c r="BY44" s="227"/>
      <c r="BZ44" s="227"/>
      <c r="CA44" s="227"/>
      <c r="CB44" s="227"/>
      <c r="CC44" s="227"/>
      <c r="CD44" s="227"/>
      <c r="CE44" s="227"/>
      <c r="CF44" s="227"/>
      <c r="CG44" s="227"/>
      <c r="CH44" s="227"/>
      <c r="CI44" s="227"/>
      <c r="CJ44" s="227"/>
      <c r="CK44" s="227"/>
      <c r="CL44" s="227"/>
      <c r="CM44" s="227"/>
      <c r="CN44" s="227"/>
      <c r="CO44" s="227"/>
      <c r="CP44" s="227"/>
      <c r="CQ44" s="227"/>
      <c r="CR44" s="227"/>
      <c r="CS44" s="227"/>
      <c r="CT44" s="227"/>
      <c r="CU44" s="225"/>
      <c r="CV44" s="227"/>
    </row>
    <row r="45" spans="1:100" ht="20.100000000000001" customHeight="1">
      <c r="A45" s="227">
        <v>19</v>
      </c>
      <c r="B45" s="225"/>
      <c r="C45" s="227"/>
      <c r="D45" s="228" cm="1">
        <f t="array" ref="D45">IFERROR(
(SUMPRODUCT(E45:CU45*$E$6:$CU$6)/100) + (SUMPRODUCT(E45:CU45*$E$6:$CU$6*$E$3:$CU$3)/100),
0
)</f>
        <v>0</v>
      </c>
      <c r="E45" s="227"/>
      <c r="F45" s="227"/>
      <c r="G45" s="227"/>
      <c r="H45" s="227"/>
      <c r="I45" s="227"/>
      <c r="J45" s="227"/>
      <c r="K45" s="227"/>
      <c r="L45" s="227"/>
      <c r="M45" s="227"/>
      <c r="N45" s="227"/>
      <c r="O45" s="227"/>
      <c r="P45" s="227"/>
      <c r="Q45" s="227"/>
      <c r="R45" s="227"/>
      <c r="S45" s="227"/>
      <c r="T45" s="227"/>
      <c r="U45" s="227"/>
      <c r="V45" s="227"/>
      <c r="W45" s="227"/>
      <c r="X45" s="227"/>
      <c r="Y45" s="227"/>
      <c r="Z45" s="227"/>
      <c r="AA45" s="227"/>
      <c r="AB45" s="227"/>
      <c r="AC45" s="227"/>
      <c r="AD45" s="227"/>
      <c r="AE45" s="227"/>
      <c r="AF45" s="227"/>
      <c r="AG45" s="227"/>
      <c r="AH45" s="227"/>
      <c r="AI45" s="227"/>
      <c r="AJ45" s="227"/>
      <c r="AK45" s="227"/>
      <c r="AL45" s="227"/>
      <c r="AM45" s="227"/>
      <c r="AN45" s="227"/>
      <c r="AO45" s="227"/>
      <c r="AP45" s="227"/>
      <c r="AQ45" s="227"/>
      <c r="AR45" s="227"/>
      <c r="AS45" s="227"/>
      <c r="AT45" s="227"/>
      <c r="AU45" s="227"/>
      <c r="AV45" s="227"/>
      <c r="AW45" s="227"/>
      <c r="AX45" s="227"/>
      <c r="AY45" s="22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  <c r="BQ45" s="227"/>
      <c r="BR45" s="227"/>
      <c r="BS45" s="227"/>
      <c r="BT45" s="227"/>
      <c r="BU45" s="227"/>
      <c r="BV45" s="227"/>
      <c r="BW45" s="227"/>
      <c r="BX45" s="227"/>
      <c r="BY45" s="227"/>
      <c r="BZ45" s="227"/>
      <c r="CA45" s="227"/>
      <c r="CB45" s="227"/>
      <c r="CC45" s="227"/>
      <c r="CD45" s="227"/>
      <c r="CE45" s="227"/>
      <c r="CF45" s="227"/>
      <c r="CG45" s="227"/>
      <c r="CH45" s="227"/>
      <c r="CI45" s="227"/>
      <c r="CJ45" s="227"/>
      <c r="CK45" s="227"/>
      <c r="CL45" s="227"/>
      <c r="CM45" s="227"/>
      <c r="CN45" s="227"/>
      <c r="CO45" s="227"/>
      <c r="CP45" s="227"/>
      <c r="CQ45" s="227"/>
      <c r="CR45" s="227"/>
      <c r="CS45" s="227"/>
      <c r="CT45" s="227"/>
      <c r="CU45" s="225"/>
      <c r="CV45" s="227"/>
    </row>
    <row r="46" spans="1:100" ht="20.100000000000001" customHeight="1">
      <c r="A46" s="227"/>
      <c r="B46" s="225"/>
      <c r="C46" s="227"/>
      <c r="D46" s="224"/>
      <c r="E46" s="223"/>
      <c r="F46" s="223"/>
      <c r="G46" s="223"/>
      <c r="H46" s="223"/>
      <c r="I46" s="223"/>
      <c r="J46" s="223"/>
      <c r="K46" s="223"/>
      <c r="L46" s="223"/>
      <c r="M46" s="223"/>
      <c r="N46" s="223"/>
      <c r="O46" s="223"/>
      <c r="P46" s="223"/>
      <c r="Q46" s="223"/>
      <c r="R46" s="223"/>
      <c r="S46" s="223"/>
      <c r="T46" s="223"/>
      <c r="U46" s="223"/>
      <c r="V46" s="223"/>
      <c r="W46" s="223"/>
      <c r="X46" s="223"/>
      <c r="Y46" s="223"/>
      <c r="Z46" s="223"/>
      <c r="AA46" s="223"/>
      <c r="AB46" s="223"/>
      <c r="AC46" s="223"/>
      <c r="AD46" s="223"/>
      <c r="AE46" s="223"/>
      <c r="AF46" s="223"/>
      <c r="AG46" s="223"/>
      <c r="AH46" s="223"/>
      <c r="AI46" s="223"/>
      <c r="AJ46" s="223"/>
      <c r="AK46" s="223"/>
      <c r="AL46" s="223"/>
      <c r="AM46" s="223"/>
      <c r="AN46" s="223"/>
      <c r="AO46" s="223"/>
      <c r="AP46" s="223"/>
      <c r="AQ46" s="223"/>
      <c r="AR46" s="223"/>
      <c r="AS46" s="223"/>
      <c r="AT46" s="223"/>
      <c r="AU46" s="223"/>
      <c r="AV46" s="223"/>
      <c r="AW46" s="223"/>
      <c r="AX46" s="223"/>
      <c r="AY46" s="223"/>
      <c r="AZ46" s="223"/>
      <c r="BA46" s="223"/>
      <c r="BB46" s="223"/>
      <c r="BC46" s="223"/>
      <c r="BD46" s="223"/>
      <c r="BE46" s="223"/>
      <c r="BF46" s="223"/>
      <c r="BG46" s="223"/>
      <c r="BH46" s="223"/>
      <c r="BI46" s="223"/>
      <c r="BJ46" s="223"/>
      <c r="BK46" s="223"/>
      <c r="BL46" s="223"/>
      <c r="BM46" s="223"/>
      <c r="BN46" s="223"/>
      <c r="BO46" s="223"/>
      <c r="BP46" s="223"/>
      <c r="BQ46" s="227"/>
      <c r="BR46" s="227"/>
      <c r="BS46" s="227"/>
      <c r="BT46" s="227"/>
      <c r="BU46" s="227"/>
      <c r="BV46" s="227"/>
      <c r="BW46" s="227"/>
      <c r="BX46" s="227"/>
      <c r="BY46" s="227"/>
      <c r="BZ46" s="227"/>
      <c r="CA46" s="227"/>
      <c r="CB46" s="227"/>
      <c r="CC46" s="227"/>
      <c r="CD46" s="227"/>
      <c r="CE46" s="227"/>
      <c r="CF46" s="227"/>
      <c r="CG46" s="227"/>
      <c r="CH46" s="227"/>
      <c r="CI46" s="227"/>
      <c r="CJ46" s="227"/>
      <c r="CK46" s="227"/>
      <c r="CL46" s="227"/>
      <c r="CM46" s="227"/>
      <c r="CN46" s="227"/>
      <c r="CO46" s="227"/>
      <c r="CP46" s="227"/>
      <c r="CQ46" s="227"/>
      <c r="CR46" s="227"/>
      <c r="CS46" s="227"/>
      <c r="CT46" s="227"/>
      <c r="CU46" s="225"/>
      <c r="CV46" s="227"/>
    </row>
    <row r="47" spans="1:100" ht="20.100000000000001" customHeight="1">
      <c r="A47" s="227">
        <v>20</v>
      </c>
      <c r="B47" s="225"/>
      <c r="C47" s="227"/>
      <c r="D47" s="228" cm="1">
        <f t="array" ref="D47">IFERROR(
(SUMPRODUCT(E47:CU47*$E$6:$CU$6)/100) + (SUMPRODUCT(E47:CU47*$E$6:$CU$6*$E$3:$CU$3)/100),
0
)</f>
        <v>0</v>
      </c>
      <c r="E47" s="227"/>
      <c r="F47" s="227"/>
      <c r="G47" s="227"/>
      <c r="H47" s="227"/>
      <c r="I47" s="227"/>
      <c r="J47" s="227"/>
      <c r="K47" s="227"/>
      <c r="L47" s="227"/>
      <c r="M47" s="227"/>
      <c r="N47" s="227"/>
      <c r="O47" s="227"/>
      <c r="P47" s="227"/>
      <c r="Q47" s="227"/>
      <c r="R47" s="227"/>
      <c r="S47" s="227"/>
      <c r="T47" s="227"/>
      <c r="U47" s="227"/>
      <c r="V47" s="227"/>
      <c r="W47" s="227"/>
      <c r="X47" s="227"/>
      <c r="Y47" s="227"/>
      <c r="Z47" s="227"/>
      <c r="AA47" s="227"/>
      <c r="AB47" s="227"/>
      <c r="AC47" s="227"/>
      <c r="AD47" s="227"/>
      <c r="AE47" s="227"/>
      <c r="AF47" s="227"/>
      <c r="AG47" s="227"/>
      <c r="AH47" s="227"/>
      <c r="AI47" s="227"/>
      <c r="AJ47" s="227"/>
      <c r="AK47" s="227"/>
      <c r="AL47" s="227"/>
      <c r="AM47" s="227"/>
      <c r="AN47" s="227"/>
      <c r="AO47" s="227"/>
      <c r="AP47" s="227"/>
      <c r="AQ47" s="227"/>
      <c r="AR47" s="227"/>
      <c r="AS47" s="227"/>
      <c r="AT47" s="227"/>
      <c r="AU47" s="227"/>
      <c r="AV47" s="227"/>
      <c r="AW47" s="227"/>
      <c r="AX47" s="227"/>
      <c r="AY47" s="22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  <c r="BQ47" s="227"/>
      <c r="BR47" s="227"/>
      <c r="BS47" s="227"/>
      <c r="BT47" s="227"/>
      <c r="BU47" s="227"/>
      <c r="BV47" s="227"/>
      <c r="BW47" s="227"/>
      <c r="BX47" s="227"/>
      <c r="BY47" s="227"/>
      <c r="BZ47" s="227"/>
      <c r="CA47" s="227"/>
      <c r="CB47" s="227"/>
      <c r="CC47" s="227"/>
      <c r="CD47" s="227"/>
      <c r="CE47" s="227"/>
      <c r="CF47" s="227"/>
      <c r="CG47" s="227"/>
      <c r="CH47" s="227"/>
      <c r="CI47" s="227"/>
      <c r="CJ47" s="227"/>
      <c r="CK47" s="227"/>
      <c r="CL47" s="227"/>
      <c r="CM47" s="227"/>
      <c r="CN47" s="227"/>
      <c r="CO47" s="227"/>
      <c r="CP47" s="227"/>
      <c r="CQ47" s="227"/>
      <c r="CR47" s="227"/>
      <c r="CS47" s="227"/>
      <c r="CT47" s="227"/>
      <c r="CU47" s="225"/>
      <c r="CV47" s="227"/>
    </row>
    <row r="48" spans="1:100" ht="20.100000000000001" customHeight="1">
      <c r="A48" s="223"/>
      <c r="B48" s="225"/>
      <c r="C48" s="227"/>
      <c r="D48" s="224"/>
      <c r="E48" s="223"/>
      <c r="F48" s="223"/>
      <c r="G48" s="223"/>
      <c r="H48" s="223"/>
      <c r="I48" s="223"/>
      <c r="J48" s="223"/>
      <c r="K48" s="223"/>
      <c r="L48" s="223"/>
      <c r="M48" s="223"/>
      <c r="N48" s="223"/>
      <c r="O48" s="223"/>
      <c r="P48" s="223"/>
      <c r="Q48" s="223"/>
      <c r="R48" s="223"/>
      <c r="S48" s="223"/>
      <c r="T48" s="223"/>
      <c r="U48" s="223"/>
      <c r="V48" s="223"/>
      <c r="W48" s="223"/>
      <c r="X48" s="223"/>
      <c r="Y48" s="223"/>
      <c r="Z48" s="223"/>
      <c r="AA48" s="223"/>
      <c r="AB48" s="223"/>
      <c r="AC48" s="223"/>
      <c r="AD48" s="223"/>
      <c r="AE48" s="223"/>
      <c r="AF48" s="223"/>
      <c r="AG48" s="223"/>
      <c r="AH48" s="223"/>
      <c r="AI48" s="223"/>
      <c r="AJ48" s="223"/>
      <c r="AK48" s="223"/>
      <c r="AL48" s="223"/>
      <c r="AM48" s="223"/>
      <c r="AN48" s="223"/>
      <c r="AO48" s="223"/>
      <c r="AP48" s="223"/>
      <c r="AQ48" s="223"/>
      <c r="AR48" s="223"/>
      <c r="AS48" s="223"/>
      <c r="AT48" s="223"/>
      <c r="AU48" s="223"/>
      <c r="AV48" s="223"/>
      <c r="AW48" s="223"/>
      <c r="AX48" s="223"/>
      <c r="AY48" s="223"/>
      <c r="AZ48" s="223"/>
      <c r="BA48" s="223"/>
      <c r="BB48" s="223"/>
      <c r="BC48" s="223"/>
      <c r="BD48" s="223"/>
      <c r="BE48" s="223"/>
      <c r="BF48" s="223"/>
      <c r="BG48" s="223"/>
      <c r="BH48" s="223"/>
      <c r="BI48" s="223"/>
      <c r="BJ48" s="223"/>
      <c r="BK48" s="223"/>
      <c r="BL48" s="223"/>
      <c r="BM48" s="223"/>
      <c r="BN48" s="223"/>
      <c r="BO48" s="223"/>
      <c r="BP48" s="223"/>
      <c r="BQ48" s="227"/>
      <c r="BR48" s="227"/>
      <c r="BS48" s="227"/>
      <c r="BT48" s="227"/>
      <c r="BU48" s="227"/>
      <c r="BV48" s="227"/>
      <c r="BW48" s="227"/>
      <c r="BX48" s="227"/>
      <c r="BY48" s="227"/>
      <c r="BZ48" s="227"/>
      <c r="CA48" s="227"/>
      <c r="CB48" s="227"/>
      <c r="CC48" s="227"/>
      <c r="CD48" s="227"/>
      <c r="CE48" s="227"/>
      <c r="CF48" s="227"/>
      <c r="CG48" s="227"/>
      <c r="CH48" s="227"/>
      <c r="CI48" s="227"/>
      <c r="CJ48" s="227"/>
      <c r="CK48" s="227"/>
      <c r="CL48" s="227"/>
      <c r="CM48" s="227"/>
      <c r="CN48" s="227"/>
      <c r="CO48" s="227"/>
      <c r="CP48" s="227"/>
      <c r="CQ48" s="227"/>
      <c r="CR48" s="227"/>
      <c r="CS48" s="227"/>
      <c r="CT48" s="227"/>
      <c r="CU48" s="225"/>
      <c r="CV48" s="227"/>
    </row>
    <row r="49" spans="1:100" ht="20.100000000000001" customHeight="1">
      <c r="A49" s="227">
        <v>21</v>
      </c>
      <c r="B49" s="225"/>
      <c r="C49" s="227"/>
      <c r="D49" s="228" cm="1">
        <f t="array" ref="D49">IFERROR(
(SUMPRODUCT(E49:CU49*$E$6:$CU$6)/100) + (SUMPRODUCT(E49:CU49*$E$6:$CU$6*$E$3:$CU$3)/100),
0
)</f>
        <v>0</v>
      </c>
      <c r="E49" s="227"/>
      <c r="F49" s="227"/>
      <c r="G49" s="227"/>
      <c r="H49" s="227"/>
      <c r="I49" s="227"/>
      <c r="J49" s="227"/>
      <c r="K49" s="227"/>
      <c r="L49" s="227"/>
      <c r="M49" s="227"/>
      <c r="N49" s="227"/>
      <c r="O49" s="227"/>
      <c r="P49" s="227"/>
      <c r="Q49" s="227"/>
      <c r="R49" s="227"/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227"/>
      <c r="AF49" s="227"/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  <c r="BQ49" s="227"/>
      <c r="BR49" s="227"/>
      <c r="BS49" s="227"/>
      <c r="BT49" s="227"/>
      <c r="BU49" s="227"/>
      <c r="BV49" s="227"/>
      <c r="BW49" s="227"/>
      <c r="BX49" s="227"/>
      <c r="BY49" s="227"/>
      <c r="BZ49" s="227"/>
      <c r="CA49" s="227"/>
      <c r="CB49" s="227"/>
      <c r="CC49" s="227"/>
      <c r="CD49" s="227"/>
      <c r="CE49" s="227"/>
      <c r="CF49" s="227"/>
      <c r="CG49" s="227"/>
      <c r="CH49" s="227"/>
      <c r="CI49" s="227"/>
      <c r="CJ49" s="227"/>
      <c r="CK49" s="227"/>
      <c r="CL49" s="227"/>
      <c r="CM49" s="227"/>
      <c r="CN49" s="227"/>
      <c r="CO49" s="227"/>
      <c r="CP49" s="227"/>
      <c r="CQ49" s="227"/>
      <c r="CR49" s="227"/>
      <c r="CS49" s="227"/>
      <c r="CT49" s="227"/>
      <c r="CU49" s="225"/>
      <c r="CV49" s="227"/>
    </row>
    <row r="50" spans="1:100" ht="20.100000000000001" customHeight="1">
      <c r="A50" s="227"/>
      <c r="B50" s="225"/>
      <c r="C50" s="227"/>
      <c r="D50" s="224"/>
      <c r="E50" s="223"/>
      <c r="F50" s="223"/>
      <c r="G50" s="223"/>
      <c r="H50" s="223"/>
      <c r="I50" s="223"/>
      <c r="J50" s="223"/>
      <c r="K50" s="223"/>
      <c r="L50" s="223"/>
      <c r="M50" s="223"/>
      <c r="N50" s="223"/>
      <c r="O50" s="223"/>
      <c r="P50" s="223"/>
      <c r="Q50" s="223"/>
      <c r="R50" s="223"/>
      <c r="S50" s="223"/>
      <c r="T50" s="223"/>
      <c r="U50" s="223"/>
      <c r="V50" s="223"/>
      <c r="W50" s="223"/>
      <c r="X50" s="223"/>
      <c r="Y50" s="223"/>
      <c r="Z50" s="223"/>
      <c r="AA50" s="223"/>
      <c r="AB50" s="223"/>
      <c r="AC50" s="223"/>
      <c r="AD50" s="223"/>
      <c r="AE50" s="223"/>
      <c r="AF50" s="223"/>
      <c r="AG50" s="223"/>
      <c r="AH50" s="223"/>
      <c r="AI50" s="223"/>
      <c r="AJ50" s="223"/>
      <c r="AK50" s="223"/>
      <c r="AL50" s="223"/>
      <c r="AM50" s="223"/>
      <c r="AN50" s="223"/>
      <c r="AO50" s="223"/>
      <c r="AP50" s="223"/>
      <c r="AQ50" s="223"/>
      <c r="AR50" s="223"/>
      <c r="AS50" s="223"/>
      <c r="AT50" s="223"/>
      <c r="AU50" s="223"/>
      <c r="AV50" s="223"/>
      <c r="AW50" s="223"/>
      <c r="AX50" s="223"/>
      <c r="AY50" s="223"/>
      <c r="AZ50" s="223"/>
      <c r="BA50" s="223"/>
      <c r="BB50" s="223"/>
      <c r="BC50" s="223"/>
      <c r="BD50" s="223"/>
      <c r="BE50" s="223"/>
      <c r="BF50" s="223"/>
      <c r="BG50" s="223"/>
      <c r="BH50" s="223"/>
      <c r="BI50" s="223"/>
      <c r="BJ50" s="223"/>
      <c r="BK50" s="223"/>
      <c r="BL50" s="223"/>
      <c r="BM50" s="223"/>
      <c r="BN50" s="223"/>
      <c r="BO50" s="223"/>
      <c r="BP50" s="223"/>
      <c r="BQ50" s="227"/>
      <c r="BR50" s="227"/>
      <c r="BS50" s="227"/>
      <c r="BT50" s="227"/>
      <c r="BU50" s="227"/>
      <c r="BV50" s="227"/>
      <c r="BW50" s="227"/>
      <c r="BX50" s="227"/>
      <c r="BY50" s="227"/>
      <c r="BZ50" s="227"/>
      <c r="CA50" s="227"/>
      <c r="CB50" s="227"/>
      <c r="CC50" s="227"/>
      <c r="CD50" s="227"/>
      <c r="CE50" s="227"/>
      <c r="CF50" s="227"/>
      <c r="CG50" s="227"/>
      <c r="CH50" s="227"/>
      <c r="CI50" s="227"/>
      <c r="CJ50" s="227"/>
      <c r="CK50" s="227"/>
      <c r="CL50" s="227"/>
      <c r="CM50" s="227"/>
      <c r="CN50" s="227"/>
      <c r="CO50" s="227"/>
      <c r="CP50" s="227"/>
      <c r="CQ50" s="227"/>
      <c r="CR50" s="227"/>
      <c r="CS50" s="227"/>
      <c r="CT50" s="227"/>
      <c r="CU50" s="225"/>
      <c r="CV50" s="227"/>
    </row>
    <row r="51" spans="1:100" ht="20.100000000000001" customHeight="1">
      <c r="A51" s="227">
        <v>22</v>
      </c>
      <c r="B51" s="225"/>
      <c r="C51" s="227"/>
      <c r="D51" s="228" cm="1">
        <f t="array" ref="D51">IFERROR(
(SUMPRODUCT(E51:CU51*$E$6:$CU$6)/100) + (SUMPRODUCT(E51:CU51*$E$6:$CU$6*$E$3:$CU$3)/100),
0
)</f>
        <v>0</v>
      </c>
      <c r="E51" s="227"/>
      <c r="F51" s="227"/>
      <c r="G51" s="227"/>
      <c r="H51" s="227"/>
      <c r="I51" s="227"/>
      <c r="J51" s="227"/>
      <c r="K51" s="227"/>
      <c r="L51" s="227"/>
      <c r="M51" s="227"/>
      <c r="N51" s="227"/>
      <c r="O51" s="227"/>
      <c r="P51" s="227"/>
      <c r="Q51" s="227"/>
      <c r="R51" s="227"/>
      <c r="S51" s="227"/>
      <c r="T51" s="227"/>
      <c r="U51" s="227"/>
      <c r="V51" s="227"/>
      <c r="W51" s="227"/>
      <c r="X51" s="227"/>
      <c r="Y51" s="227"/>
      <c r="Z51" s="227"/>
      <c r="AA51" s="227"/>
      <c r="AB51" s="227"/>
      <c r="AC51" s="227"/>
      <c r="AD51" s="227"/>
      <c r="AE51" s="227"/>
      <c r="AF51" s="227"/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  <c r="BQ51" s="227"/>
      <c r="BR51" s="227"/>
      <c r="BS51" s="227"/>
      <c r="BT51" s="227"/>
      <c r="BU51" s="227"/>
      <c r="BV51" s="227"/>
      <c r="BW51" s="227"/>
      <c r="BX51" s="227"/>
      <c r="BY51" s="227"/>
      <c r="BZ51" s="227"/>
      <c r="CA51" s="227"/>
      <c r="CB51" s="227"/>
      <c r="CC51" s="227"/>
      <c r="CD51" s="227"/>
      <c r="CE51" s="227"/>
      <c r="CF51" s="227"/>
      <c r="CG51" s="227"/>
      <c r="CH51" s="227"/>
      <c r="CI51" s="227"/>
      <c r="CJ51" s="227"/>
      <c r="CK51" s="227"/>
      <c r="CL51" s="227"/>
      <c r="CM51" s="227"/>
      <c r="CN51" s="227"/>
      <c r="CO51" s="227"/>
      <c r="CP51" s="227"/>
      <c r="CQ51" s="227"/>
      <c r="CR51" s="227"/>
      <c r="CS51" s="227"/>
      <c r="CT51" s="227"/>
      <c r="CU51" s="225"/>
      <c r="CV51" s="227"/>
    </row>
    <row r="52" spans="1:100" ht="20.100000000000001" customHeight="1">
      <c r="A52" s="223"/>
      <c r="B52" s="225"/>
      <c r="C52" s="227"/>
      <c r="D52" s="224"/>
      <c r="E52" s="223"/>
      <c r="F52" s="223"/>
      <c r="G52" s="223"/>
      <c r="H52" s="223"/>
      <c r="I52" s="223"/>
      <c r="J52" s="223"/>
      <c r="K52" s="223"/>
      <c r="L52" s="223"/>
      <c r="M52" s="223"/>
      <c r="N52" s="223"/>
      <c r="O52" s="223"/>
      <c r="P52" s="223"/>
      <c r="Q52" s="223"/>
      <c r="R52" s="223"/>
      <c r="S52" s="223"/>
      <c r="T52" s="223"/>
      <c r="U52" s="223"/>
      <c r="V52" s="223"/>
      <c r="W52" s="223"/>
      <c r="X52" s="223"/>
      <c r="Y52" s="223"/>
      <c r="Z52" s="223"/>
      <c r="AA52" s="223"/>
      <c r="AB52" s="223"/>
      <c r="AC52" s="223"/>
      <c r="AD52" s="223"/>
      <c r="AE52" s="223"/>
      <c r="AF52" s="223"/>
      <c r="AG52" s="223"/>
      <c r="AH52" s="223"/>
      <c r="AI52" s="223"/>
      <c r="AJ52" s="223"/>
      <c r="AK52" s="223"/>
      <c r="AL52" s="223"/>
      <c r="AM52" s="223"/>
      <c r="AN52" s="223"/>
      <c r="AO52" s="223"/>
      <c r="AP52" s="223"/>
      <c r="AQ52" s="223"/>
      <c r="AR52" s="223"/>
      <c r="AS52" s="223"/>
      <c r="AT52" s="223"/>
      <c r="AU52" s="223"/>
      <c r="AV52" s="223"/>
      <c r="AW52" s="223"/>
      <c r="AX52" s="223"/>
      <c r="AY52" s="223"/>
      <c r="AZ52" s="223"/>
      <c r="BA52" s="223"/>
      <c r="BB52" s="223"/>
      <c r="BC52" s="223"/>
      <c r="BD52" s="223"/>
      <c r="BE52" s="223"/>
      <c r="BF52" s="223"/>
      <c r="BG52" s="223"/>
      <c r="BH52" s="223"/>
      <c r="BI52" s="223"/>
      <c r="BJ52" s="223"/>
      <c r="BK52" s="223"/>
      <c r="BL52" s="223"/>
      <c r="BM52" s="223"/>
      <c r="BN52" s="223"/>
      <c r="BO52" s="223"/>
      <c r="BP52" s="223"/>
      <c r="BQ52" s="227"/>
      <c r="BR52" s="227"/>
      <c r="BS52" s="227"/>
      <c r="BT52" s="227"/>
      <c r="BU52" s="227"/>
      <c r="BV52" s="227"/>
      <c r="BW52" s="227"/>
      <c r="BX52" s="227"/>
      <c r="BY52" s="227"/>
      <c r="BZ52" s="227"/>
      <c r="CA52" s="227"/>
      <c r="CB52" s="227"/>
      <c r="CC52" s="227"/>
      <c r="CD52" s="227"/>
      <c r="CE52" s="227"/>
      <c r="CF52" s="227"/>
      <c r="CG52" s="227"/>
      <c r="CH52" s="227"/>
      <c r="CI52" s="227"/>
      <c r="CJ52" s="227"/>
      <c r="CK52" s="227"/>
      <c r="CL52" s="227"/>
      <c r="CM52" s="227"/>
      <c r="CN52" s="227"/>
      <c r="CO52" s="227"/>
      <c r="CP52" s="227"/>
      <c r="CQ52" s="227"/>
      <c r="CR52" s="227"/>
      <c r="CS52" s="227"/>
      <c r="CT52" s="227"/>
      <c r="CU52" s="225"/>
      <c r="CV52" s="227"/>
    </row>
    <row r="53" spans="1:100" ht="20.100000000000001" customHeight="1">
      <c r="A53" s="227">
        <v>23</v>
      </c>
      <c r="B53" s="225"/>
      <c r="C53" s="227"/>
      <c r="D53" s="228" cm="1">
        <f t="array" ref="D53">IFERROR(
(SUMPRODUCT(E53:CU53*$E$6:$CU$6)/100) + (SUMPRODUCT(E53:CU53*$E$6:$CU$6*$E$3:$CU$3)/100),
0
)</f>
        <v>0</v>
      </c>
      <c r="E53" s="227"/>
      <c r="F53" s="227"/>
      <c r="G53" s="227"/>
      <c r="H53" s="227"/>
      <c r="I53" s="227"/>
      <c r="J53" s="227"/>
      <c r="K53" s="227"/>
      <c r="L53" s="227"/>
      <c r="M53" s="227"/>
      <c r="N53" s="227"/>
      <c r="O53" s="227"/>
      <c r="P53" s="227"/>
      <c r="Q53" s="227"/>
      <c r="R53" s="227"/>
      <c r="S53" s="227"/>
      <c r="T53" s="227"/>
      <c r="U53" s="227"/>
      <c r="V53" s="227"/>
      <c r="W53" s="227"/>
      <c r="X53" s="227"/>
      <c r="Y53" s="227"/>
      <c r="Z53" s="227"/>
      <c r="AA53" s="227"/>
      <c r="AB53" s="227"/>
      <c r="AC53" s="227"/>
      <c r="AD53" s="227"/>
      <c r="AE53" s="227"/>
      <c r="AF53" s="227"/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  <c r="BQ53" s="227"/>
      <c r="BR53" s="227"/>
      <c r="BS53" s="227"/>
      <c r="BT53" s="227"/>
      <c r="BU53" s="227"/>
      <c r="BV53" s="227"/>
      <c r="BW53" s="227"/>
      <c r="BX53" s="227"/>
      <c r="BY53" s="227"/>
      <c r="BZ53" s="227"/>
      <c r="CA53" s="227"/>
      <c r="CB53" s="227"/>
      <c r="CC53" s="227"/>
      <c r="CD53" s="227"/>
      <c r="CE53" s="227"/>
      <c r="CF53" s="227"/>
      <c r="CG53" s="227"/>
      <c r="CH53" s="227"/>
      <c r="CI53" s="227"/>
      <c r="CJ53" s="227"/>
      <c r="CK53" s="227"/>
      <c r="CL53" s="227"/>
      <c r="CM53" s="227"/>
      <c r="CN53" s="227"/>
      <c r="CO53" s="227"/>
      <c r="CP53" s="227"/>
      <c r="CQ53" s="227"/>
      <c r="CR53" s="227"/>
      <c r="CS53" s="227"/>
      <c r="CT53" s="227"/>
      <c r="CU53" s="225"/>
      <c r="CV53" s="227"/>
    </row>
    <row r="54" spans="1:100" ht="20.100000000000001" customHeight="1">
      <c r="A54" s="227"/>
      <c r="B54" s="225"/>
      <c r="C54" s="227"/>
      <c r="D54" s="224"/>
      <c r="E54" s="223"/>
      <c r="F54" s="223"/>
      <c r="G54" s="223"/>
      <c r="H54" s="223"/>
      <c r="I54" s="223"/>
      <c r="J54" s="223"/>
      <c r="K54" s="223"/>
      <c r="L54" s="223"/>
      <c r="M54" s="223"/>
      <c r="N54" s="223"/>
      <c r="O54" s="223"/>
      <c r="P54" s="223"/>
      <c r="Q54" s="223"/>
      <c r="R54" s="223"/>
      <c r="S54" s="223"/>
      <c r="T54" s="223"/>
      <c r="U54" s="223"/>
      <c r="V54" s="223"/>
      <c r="W54" s="223"/>
      <c r="X54" s="223"/>
      <c r="Y54" s="223"/>
      <c r="Z54" s="223"/>
      <c r="AA54" s="223"/>
      <c r="AB54" s="223"/>
      <c r="AC54" s="223"/>
      <c r="AD54" s="223"/>
      <c r="AE54" s="223"/>
      <c r="AF54" s="223"/>
      <c r="AG54" s="223"/>
      <c r="AH54" s="223"/>
      <c r="AI54" s="223"/>
      <c r="AJ54" s="223"/>
      <c r="AK54" s="223"/>
      <c r="AL54" s="223"/>
      <c r="AM54" s="223"/>
      <c r="AN54" s="223"/>
      <c r="AO54" s="223"/>
      <c r="AP54" s="223"/>
      <c r="AQ54" s="223"/>
      <c r="AR54" s="223"/>
      <c r="AS54" s="223"/>
      <c r="AT54" s="223"/>
      <c r="AU54" s="223"/>
      <c r="AV54" s="223"/>
      <c r="AW54" s="223"/>
      <c r="AX54" s="223"/>
      <c r="AY54" s="223"/>
      <c r="AZ54" s="223"/>
      <c r="BA54" s="223"/>
      <c r="BB54" s="223"/>
      <c r="BC54" s="223"/>
      <c r="BD54" s="223"/>
      <c r="BE54" s="223"/>
      <c r="BF54" s="223"/>
      <c r="BG54" s="223"/>
      <c r="BH54" s="223"/>
      <c r="BI54" s="223"/>
      <c r="BJ54" s="223"/>
      <c r="BK54" s="223"/>
      <c r="BL54" s="223"/>
      <c r="BM54" s="223"/>
      <c r="BN54" s="223"/>
      <c r="BO54" s="223"/>
      <c r="BP54" s="223"/>
      <c r="BQ54" s="227"/>
      <c r="BR54" s="227"/>
      <c r="BS54" s="227"/>
      <c r="BT54" s="227"/>
      <c r="BU54" s="227"/>
      <c r="BV54" s="227"/>
      <c r="BW54" s="227"/>
      <c r="BX54" s="227"/>
      <c r="BY54" s="227"/>
      <c r="BZ54" s="227"/>
      <c r="CA54" s="227"/>
      <c r="CB54" s="227"/>
      <c r="CC54" s="227"/>
      <c r="CD54" s="227"/>
      <c r="CE54" s="227"/>
      <c r="CF54" s="227"/>
      <c r="CG54" s="227"/>
      <c r="CH54" s="227"/>
      <c r="CI54" s="227"/>
      <c r="CJ54" s="227"/>
      <c r="CK54" s="227"/>
      <c r="CL54" s="227"/>
      <c r="CM54" s="227"/>
      <c r="CN54" s="227"/>
      <c r="CO54" s="227"/>
      <c r="CP54" s="227"/>
      <c r="CQ54" s="227"/>
      <c r="CR54" s="227"/>
      <c r="CS54" s="227"/>
      <c r="CT54" s="227"/>
      <c r="CU54" s="225"/>
      <c r="CV54" s="227"/>
    </row>
    <row r="55" spans="1:100" ht="20.100000000000001" customHeight="1">
      <c r="A55" s="227">
        <v>24</v>
      </c>
      <c r="B55" s="225"/>
      <c r="C55" s="227"/>
      <c r="D55" s="228" cm="1">
        <f t="array" ref="D55">IFERROR(
(SUMPRODUCT(E55:CU55*$E$6:$CU$6)/100) + (SUMPRODUCT(E55:CU55*$E$6:$CU$6*$E$3:$CU$3)/100),
0
)</f>
        <v>0</v>
      </c>
      <c r="E55" s="227"/>
      <c r="F55" s="227"/>
      <c r="G55" s="227"/>
      <c r="H55" s="227"/>
      <c r="I55" s="227"/>
      <c r="J55" s="227"/>
      <c r="K55" s="227"/>
      <c r="L55" s="227"/>
      <c r="M55" s="227"/>
      <c r="N55" s="227"/>
      <c r="O55" s="227"/>
      <c r="P55" s="227"/>
      <c r="Q55" s="227"/>
      <c r="R55" s="227"/>
      <c r="S55" s="227"/>
      <c r="T55" s="227"/>
      <c r="U55" s="227"/>
      <c r="V55" s="227"/>
      <c r="W55" s="227"/>
      <c r="X55" s="227"/>
      <c r="Y55" s="227"/>
      <c r="Z55" s="227"/>
      <c r="AA55" s="227"/>
      <c r="AB55" s="227"/>
      <c r="AC55" s="227"/>
      <c r="AD55" s="227"/>
      <c r="AE55" s="227"/>
      <c r="AF55" s="227"/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  <c r="BQ55" s="227"/>
      <c r="BR55" s="227"/>
      <c r="BS55" s="227"/>
      <c r="BT55" s="227"/>
      <c r="BU55" s="227"/>
      <c r="BV55" s="227"/>
      <c r="BW55" s="227"/>
      <c r="BX55" s="227"/>
      <c r="BY55" s="227"/>
      <c r="BZ55" s="227"/>
      <c r="CA55" s="227"/>
      <c r="CB55" s="227"/>
      <c r="CC55" s="227"/>
      <c r="CD55" s="227"/>
      <c r="CE55" s="227"/>
      <c r="CF55" s="227"/>
      <c r="CG55" s="227"/>
      <c r="CH55" s="227"/>
      <c r="CI55" s="227"/>
      <c r="CJ55" s="227"/>
      <c r="CK55" s="227"/>
      <c r="CL55" s="227"/>
      <c r="CM55" s="227"/>
      <c r="CN55" s="227"/>
      <c r="CO55" s="227"/>
      <c r="CP55" s="227"/>
      <c r="CQ55" s="227"/>
      <c r="CR55" s="227"/>
      <c r="CS55" s="227"/>
      <c r="CT55" s="227"/>
      <c r="CU55" s="225"/>
      <c r="CV55" s="227"/>
    </row>
    <row r="56" spans="1:100" ht="20.100000000000001" customHeight="1">
      <c r="A56" s="223"/>
      <c r="B56" s="225"/>
      <c r="C56" s="227"/>
      <c r="D56" s="224"/>
      <c r="E56" s="223"/>
      <c r="F56" s="223"/>
      <c r="G56" s="223"/>
      <c r="H56" s="223"/>
      <c r="I56" s="223"/>
      <c r="J56" s="223"/>
      <c r="K56" s="223"/>
      <c r="L56" s="223"/>
      <c r="M56" s="223"/>
      <c r="N56" s="223"/>
      <c r="O56" s="223"/>
      <c r="P56" s="223"/>
      <c r="Q56" s="223"/>
      <c r="R56" s="223"/>
      <c r="S56" s="223"/>
      <c r="T56" s="223"/>
      <c r="U56" s="223"/>
      <c r="V56" s="223"/>
      <c r="W56" s="223"/>
      <c r="X56" s="223"/>
      <c r="Y56" s="223"/>
      <c r="Z56" s="223"/>
      <c r="AA56" s="223"/>
      <c r="AB56" s="223"/>
      <c r="AC56" s="223"/>
      <c r="AD56" s="223"/>
      <c r="AE56" s="223"/>
      <c r="AF56" s="223"/>
      <c r="AG56" s="223"/>
      <c r="AH56" s="223"/>
      <c r="AI56" s="223"/>
      <c r="AJ56" s="223"/>
      <c r="AK56" s="223"/>
      <c r="AL56" s="223"/>
      <c r="AM56" s="223"/>
      <c r="AN56" s="223"/>
      <c r="AO56" s="223"/>
      <c r="AP56" s="223"/>
      <c r="AQ56" s="223"/>
      <c r="AR56" s="223"/>
      <c r="AS56" s="223"/>
      <c r="AT56" s="223"/>
      <c r="AU56" s="223"/>
      <c r="AV56" s="223"/>
      <c r="AW56" s="223"/>
      <c r="AX56" s="223"/>
      <c r="AY56" s="223"/>
      <c r="AZ56" s="223"/>
      <c r="BA56" s="223"/>
      <c r="BB56" s="223"/>
      <c r="BC56" s="223"/>
      <c r="BD56" s="223"/>
      <c r="BE56" s="223"/>
      <c r="BF56" s="223"/>
      <c r="BG56" s="223"/>
      <c r="BH56" s="223"/>
      <c r="BI56" s="223"/>
      <c r="BJ56" s="223"/>
      <c r="BK56" s="223"/>
      <c r="BL56" s="223"/>
      <c r="BM56" s="223"/>
      <c r="BN56" s="223"/>
      <c r="BO56" s="223"/>
      <c r="BP56" s="223"/>
      <c r="BQ56" s="227"/>
      <c r="BR56" s="227"/>
      <c r="BS56" s="227"/>
      <c r="BT56" s="227"/>
      <c r="BU56" s="227"/>
      <c r="BV56" s="227"/>
      <c r="BW56" s="227"/>
      <c r="BX56" s="227"/>
      <c r="BY56" s="227"/>
      <c r="BZ56" s="227"/>
      <c r="CA56" s="227"/>
      <c r="CB56" s="227"/>
      <c r="CC56" s="227"/>
      <c r="CD56" s="227"/>
      <c r="CE56" s="227"/>
      <c r="CF56" s="227"/>
      <c r="CG56" s="227"/>
      <c r="CH56" s="227"/>
      <c r="CI56" s="227"/>
      <c r="CJ56" s="227"/>
      <c r="CK56" s="227"/>
      <c r="CL56" s="227"/>
      <c r="CM56" s="227"/>
      <c r="CN56" s="227"/>
      <c r="CO56" s="227"/>
      <c r="CP56" s="227"/>
      <c r="CQ56" s="227"/>
      <c r="CR56" s="227"/>
      <c r="CS56" s="227"/>
      <c r="CT56" s="227"/>
      <c r="CU56" s="225"/>
      <c r="CV56" s="227"/>
    </row>
    <row r="57" spans="1:100" ht="20.100000000000001" customHeight="1">
      <c r="A57" s="227">
        <v>25</v>
      </c>
      <c r="B57" s="225"/>
      <c r="C57" s="227"/>
      <c r="D57" s="228" cm="1">
        <f t="array" ref="D57">IFERROR(
(SUMPRODUCT(E57:CU57*$E$6:$CU$6)/100) + (SUMPRODUCT(E57:CU57*$E$6:$CU$6*$E$3:$CU$3)/100),
0
)</f>
        <v>0</v>
      </c>
      <c r="E57" s="227"/>
      <c r="F57" s="227"/>
      <c r="G57" s="227"/>
      <c r="H57" s="227"/>
      <c r="I57" s="227"/>
      <c r="J57" s="227"/>
      <c r="K57" s="227"/>
      <c r="L57" s="227"/>
      <c r="M57" s="227"/>
      <c r="N57" s="227"/>
      <c r="O57" s="227"/>
      <c r="P57" s="227"/>
      <c r="Q57" s="227"/>
      <c r="R57" s="227"/>
      <c r="S57" s="227"/>
      <c r="T57" s="227"/>
      <c r="U57" s="227"/>
      <c r="V57" s="227"/>
      <c r="W57" s="227"/>
      <c r="X57" s="227"/>
      <c r="Y57" s="227"/>
      <c r="Z57" s="227"/>
      <c r="AA57" s="227"/>
      <c r="AB57" s="227"/>
      <c r="AC57" s="227"/>
      <c r="AD57" s="227"/>
      <c r="AE57" s="227"/>
      <c r="AF57" s="227"/>
      <c r="AG57" s="227"/>
      <c r="AH57" s="227"/>
      <c r="AI57" s="227"/>
      <c r="AJ57" s="227"/>
      <c r="AK57" s="227"/>
      <c r="AL57" s="227"/>
      <c r="AM57" s="227"/>
      <c r="AN57" s="227"/>
      <c r="AO57" s="227"/>
      <c r="AP57" s="227"/>
      <c r="AQ57" s="227"/>
      <c r="AR57" s="227"/>
      <c r="AS57" s="227"/>
      <c r="AT57" s="227"/>
      <c r="AU57" s="227"/>
      <c r="AV57" s="227"/>
      <c r="AW57" s="227"/>
      <c r="AX57" s="227"/>
      <c r="AY57" s="22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  <c r="BQ57" s="227"/>
      <c r="BR57" s="227"/>
      <c r="BS57" s="227"/>
      <c r="BT57" s="227"/>
      <c r="BU57" s="227"/>
      <c r="BV57" s="227"/>
      <c r="BW57" s="227"/>
      <c r="BX57" s="227"/>
      <c r="BY57" s="227"/>
      <c r="BZ57" s="227"/>
      <c r="CA57" s="227"/>
      <c r="CB57" s="227"/>
      <c r="CC57" s="227"/>
      <c r="CD57" s="227"/>
      <c r="CE57" s="227"/>
      <c r="CF57" s="227"/>
      <c r="CG57" s="227"/>
      <c r="CH57" s="227"/>
      <c r="CI57" s="227"/>
      <c r="CJ57" s="227"/>
      <c r="CK57" s="227"/>
      <c r="CL57" s="227"/>
      <c r="CM57" s="227"/>
      <c r="CN57" s="227"/>
      <c r="CO57" s="227"/>
      <c r="CP57" s="227"/>
      <c r="CQ57" s="227"/>
      <c r="CR57" s="227"/>
      <c r="CS57" s="227"/>
      <c r="CT57" s="227"/>
      <c r="CU57" s="225"/>
      <c r="CV57" s="227"/>
    </row>
    <row r="58" spans="1:100" ht="20.100000000000001" customHeight="1">
      <c r="A58" s="227"/>
      <c r="B58" s="225"/>
      <c r="C58" s="227"/>
      <c r="D58" s="224"/>
      <c r="E58" s="223"/>
      <c r="F58" s="223"/>
      <c r="G58" s="223"/>
      <c r="H58" s="223"/>
      <c r="I58" s="223"/>
      <c r="J58" s="223"/>
      <c r="K58" s="223"/>
      <c r="L58" s="223"/>
      <c r="M58" s="223"/>
      <c r="N58" s="223"/>
      <c r="O58" s="223"/>
      <c r="P58" s="223"/>
      <c r="Q58" s="223"/>
      <c r="R58" s="223"/>
      <c r="S58" s="223"/>
      <c r="T58" s="223"/>
      <c r="U58" s="223"/>
      <c r="V58" s="223"/>
      <c r="W58" s="223"/>
      <c r="X58" s="223"/>
      <c r="Y58" s="223"/>
      <c r="Z58" s="223"/>
      <c r="AA58" s="223"/>
      <c r="AB58" s="223"/>
      <c r="AC58" s="223"/>
      <c r="AD58" s="223"/>
      <c r="AE58" s="223"/>
      <c r="AF58" s="223"/>
      <c r="AG58" s="223"/>
      <c r="AH58" s="223"/>
      <c r="AI58" s="223"/>
      <c r="AJ58" s="223"/>
      <c r="AK58" s="223"/>
      <c r="AL58" s="223"/>
      <c r="AM58" s="223"/>
      <c r="AN58" s="223"/>
      <c r="AO58" s="223"/>
      <c r="AP58" s="223"/>
      <c r="AQ58" s="223"/>
      <c r="AR58" s="223"/>
      <c r="AS58" s="223"/>
      <c r="AT58" s="223"/>
      <c r="AU58" s="223"/>
      <c r="AV58" s="223"/>
      <c r="AW58" s="223"/>
      <c r="AX58" s="223"/>
      <c r="AY58" s="223"/>
      <c r="AZ58" s="223"/>
      <c r="BA58" s="223"/>
      <c r="BB58" s="223"/>
      <c r="BC58" s="223"/>
      <c r="BD58" s="223"/>
      <c r="BE58" s="223"/>
      <c r="BF58" s="223"/>
      <c r="BG58" s="223"/>
      <c r="BH58" s="223"/>
      <c r="BI58" s="223"/>
      <c r="BJ58" s="223"/>
      <c r="BK58" s="223"/>
      <c r="BL58" s="223"/>
      <c r="BM58" s="223"/>
      <c r="BN58" s="223"/>
      <c r="BO58" s="223"/>
      <c r="BP58" s="223"/>
      <c r="BQ58" s="227"/>
      <c r="BR58" s="227"/>
      <c r="BS58" s="227"/>
      <c r="BT58" s="227"/>
      <c r="BU58" s="227"/>
      <c r="BV58" s="227"/>
      <c r="BW58" s="227"/>
      <c r="BX58" s="227"/>
      <c r="BY58" s="227"/>
      <c r="BZ58" s="227"/>
      <c r="CA58" s="227"/>
      <c r="CB58" s="227"/>
      <c r="CC58" s="227"/>
      <c r="CD58" s="227"/>
      <c r="CE58" s="227"/>
      <c r="CF58" s="227"/>
      <c r="CG58" s="227"/>
      <c r="CH58" s="227"/>
      <c r="CI58" s="227"/>
      <c r="CJ58" s="227"/>
      <c r="CK58" s="227"/>
      <c r="CL58" s="227"/>
      <c r="CM58" s="227"/>
      <c r="CN58" s="227"/>
      <c r="CO58" s="227"/>
      <c r="CP58" s="227"/>
      <c r="CQ58" s="227"/>
      <c r="CR58" s="227"/>
      <c r="CS58" s="227"/>
      <c r="CT58" s="227"/>
      <c r="CU58" s="225"/>
      <c r="CV58" s="227"/>
    </row>
    <row r="59" spans="1:100" ht="20.100000000000001" customHeight="1">
      <c r="A59" s="227">
        <v>26</v>
      </c>
      <c r="B59" s="225"/>
      <c r="C59" s="227"/>
      <c r="D59" s="228" cm="1">
        <f t="array" ref="D59">IFERROR(
(SUMPRODUCT(E59:CU59*$E$6:$CU$6)/100) + (SUMPRODUCT(E59:CU59*$E$6:$CU$6*$E$3:$CU$3)/100),
0
)</f>
        <v>0</v>
      </c>
      <c r="E59" s="227"/>
      <c r="F59" s="227"/>
      <c r="G59" s="227"/>
      <c r="H59" s="227"/>
      <c r="I59" s="227"/>
      <c r="J59" s="227"/>
      <c r="K59" s="227"/>
      <c r="L59" s="227"/>
      <c r="M59" s="227"/>
      <c r="N59" s="227"/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  <c r="AA59" s="227"/>
      <c r="AB59" s="227"/>
      <c r="AC59" s="227"/>
      <c r="AD59" s="227"/>
      <c r="AE59" s="227"/>
      <c r="AF59" s="227"/>
      <c r="AG59" s="227"/>
      <c r="AH59" s="227"/>
      <c r="AI59" s="227"/>
      <c r="AJ59" s="227"/>
      <c r="AK59" s="227"/>
      <c r="AL59" s="227"/>
      <c r="AM59" s="227"/>
      <c r="AN59" s="227"/>
      <c r="AO59" s="227"/>
      <c r="AP59" s="227"/>
      <c r="AQ59" s="227"/>
      <c r="AR59" s="227"/>
      <c r="AS59" s="227"/>
      <c r="AT59" s="227"/>
      <c r="AU59" s="227"/>
      <c r="AV59" s="227"/>
      <c r="AW59" s="227"/>
      <c r="AX59" s="227"/>
      <c r="AY59" s="22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  <c r="BQ59" s="227"/>
      <c r="BR59" s="227"/>
      <c r="BS59" s="227"/>
      <c r="BT59" s="227"/>
      <c r="BU59" s="227"/>
      <c r="BV59" s="227"/>
      <c r="BW59" s="227"/>
      <c r="BX59" s="227"/>
      <c r="BY59" s="227"/>
      <c r="BZ59" s="227"/>
      <c r="CA59" s="227"/>
      <c r="CB59" s="227"/>
      <c r="CC59" s="227"/>
      <c r="CD59" s="227"/>
      <c r="CE59" s="227"/>
      <c r="CF59" s="227"/>
      <c r="CG59" s="227"/>
      <c r="CH59" s="227"/>
      <c r="CI59" s="227"/>
      <c r="CJ59" s="227"/>
      <c r="CK59" s="227"/>
      <c r="CL59" s="227"/>
      <c r="CM59" s="227"/>
      <c r="CN59" s="227"/>
      <c r="CO59" s="227"/>
      <c r="CP59" s="227"/>
      <c r="CQ59" s="227"/>
      <c r="CR59" s="227"/>
      <c r="CS59" s="227"/>
      <c r="CT59" s="227"/>
      <c r="CU59" s="225"/>
      <c r="CV59" s="227"/>
    </row>
    <row r="60" spans="1:100" ht="20.100000000000001" customHeight="1">
      <c r="A60" s="223"/>
      <c r="B60" s="225"/>
      <c r="C60" s="227"/>
      <c r="D60" s="224"/>
      <c r="E60" s="223"/>
      <c r="F60" s="223"/>
      <c r="G60" s="223"/>
      <c r="H60" s="223"/>
      <c r="I60" s="223"/>
      <c r="J60" s="223"/>
      <c r="K60" s="223"/>
      <c r="L60" s="223"/>
      <c r="M60" s="223"/>
      <c r="N60" s="223"/>
      <c r="O60" s="223"/>
      <c r="P60" s="223"/>
      <c r="Q60" s="223"/>
      <c r="R60" s="223"/>
      <c r="S60" s="223"/>
      <c r="T60" s="223"/>
      <c r="U60" s="223"/>
      <c r="V60" s="223"/>
      <c r="W60" s="223"/>
      <c r="X60" s="223"/>
      <c r="Y60" s="223"/>
      <c r="Z60" s="223"/>
      <c r="AA60" s="223"/>
      <c r="AB60" s="223"/>
      <c r="AC60" s="223"/>
      <c r="AD60" s="223"/>
      <c r="AE60" s="223"/>
      <c r="AF60" s="223"/>
      <c r="AG60" s="223"/>
      <c r="AH60" s="223"/>
      <c r="AI60" s="223"/>
      <c r="AJ60" s="223"/>
      <c r="AK60" s="223"/>
      <c r="AL60" s="223"/>
      <c r="AM60" s="223"/>
      <c r="AN60" s="223"/>
      <c r="AO60" s="223"/>
      <c r="AP60" s="223"/>
      <c r="AQ60" s="223"/>
      <c r="AR60" s="223"/>
      <c r="AS60" s="223"/>
      <c r="AT60" s="223"/>
      <c r="AU60" s="223"/>
      <c r="AV60" s="223"/>
      <c r="AW60" s="223"/>
      <c r="AX60" s="223"/>
      <c r="AY60" s="223"/>
      <c r="AZ60" s="223"/>
      <c r="BA60" s="223"/>
      <c r="BB60" s="223"/>
      <c r="BC60" s="223"/>
      <c r="BD60" s="223"/>
      <c r="BE60" s="223"/>
      <c r="BF60" s="223"/>
      <c r="BG60" s="223"/>
      <c r="BH60" s="223"/>
      <c r="BI60" s="223"/>
      <c r="BJ60" s="223"/>
      <c r="BK60" s="223"/>
      <c r="BL60" s="223"/>
      <c r="BM60" s="223"/>
      <c r="BN60" s="223"/>
      <c r="BO60" s="223"/>
      <c r="BP60" s="223"/>
      <c r="BQ60" s="227"/>
      <c r="BR60" s="227"/>
      <c r="BS60" s="227"/>
      <c r="BT60" s="227"/>
      <c r="BU60" s="227"/>
      <c r="BV60" s="227"/>
      <c r="BW60" s="227"/>
      <c r="BX60" s="227"/>
      <c r="BY60" s="227"/>
      <c r="BZ60" s="227"/>
      <c r="CA60" s="227"/>
      <c r="CB60" s="227"/>
      <c r="CC60" s="227"/>
      <c r="CD60" s="227"/>
      <c r="CE60" s="227"/>
      <c r="CF60" s="227"/>
      <c r="CG60" s="227"/>
      <c r="CH60" s="227"/>
      <c r="CI60" s="227"/>
      <c r="CJ60" s="227"/>
      <c r="CK60" s="227"/>
      <c r="CL60" s="227"/>
      <c r="CM60" s="227"/>
      <c r="CN60" s="227"/>
      <c r="CO60" s="227"/>
      <c r="CP60" s="227"/>
      <c r="CQ60" s="227"/>
      <c r="CR60" s="227"/>
      <c r="CS60" s="227"/>
      <c r="CT60" s="227"/>
      <c r="CU60" s="225"/>
      <c r="CV60" s="227"/>
    </row>
    <row r="61" spans="1:100" ht="20.100000000000001" customHeight="1">
      <c r="A61" s="227">
        <v>27</v>
      </c>
      <c r="B61" s="225"/>
      <c r="C61" s="227"/>
      <c r="D61" s="228" cm="1">
        <f t="array" ref="D61">IFERROR(
(SUMPRODUCT(E61:CU61*$E$6:$CU$6)/100) + (SUMPRODUCT(E61:CU61*$E$6:$CU$6*$E$3:$CU$3)/100),
0
)</f>
        <v>0</v>
      </c>
      <c r="E61" s="227"/>
      <c r="F61" s="227"/>
      <c r="G61" s="227"/>
      <c r="H61" s="227"/>
      <c r="I61" s="227"/>
      <c r="J61" s="227"/>
      <c r="K61" s="227"/>
      <c r="L61" s="227"/>
      <c r="M61" s="227"/>
      <c r="N61" s="227"/>
      <c r="O61" s="227"/>
      <c r="P61" s="227"/>
      <c r="Q61" s="227"/>
      <c r="R61" s="227"/>
      <c r="S61" s="227"/>
      <c r="T61" s="227"/>
      <c r="U61" s="227"/>
      <c r="V61" s="227"/>
      <c r="W61" s="227"/>
      <c r="X61" s="227"/>
      <c r="Y61" s="227"/>
      <c r="Z61" s="227"/>
      <c r="AA61" s="227"/>
      <c r="AB61" s="227"/>
      <c r="AC61" s="227"/>
      <c r="AD61" s="227"/>
      <c r="AE61" s="227"/>
      <c r="AF61" s="227"/>
      <c r="AG61" s="227"/>
      <c r="AH61" s="227"/>
      <c r="AI61" s="227"/>
      <c r="AJ61" s="227"/>
      <c r="AK61" s="227"/>
      <c r="AL61" s="227"/>
      <c r="AM61" s="227"/>
      <c r="AN61" s="227"/>
      <c r="AO61" s="227"/>
      <c r="AP61" s="227"/>
      <c r="AQ61" s="227"/>
      <c r="AR61" s="227"/>
      <c r="AS61" s="227"/>
      <c r="AT61" s="227"/>
      <c r="AU61" s="227"/>
      <c r="AV61" s="227"/>
      <c r="AW61" s="227"/>
      <c r="AX61" s="227"/>
      <c r="AY61" s="22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  <c r="BQ61" s="227"/>
      <c r="BR61" s="227"/>
      <c r="BS61" s="227"/>
      <c r="BT61" s="227"/>
      <c r="BU61" s="227"/>
      <c r="BV61" s="227"/>
      <c r="BW61" s="227"/>
      <c r="BX61" s="227"/>
      <c r="BY61" s="227"/>
      <c r="BZ61" s="227"/>
      <c r="CA61" s="227"/>
      <c r="CB61" s="227"/>
      <c r="CC61" s="227"/>
      <c r="CD61" s="227"/>
      <c r="CE61" s="227"/>
      <c r="CF61" s="227"/>
      <c r="CG61" s="227"/>
      <c r="CH61" s="227"/>
      <c r="CI61" s="227"/>
      <c r="CJ61" s="227"/>
      <c r="CK61" s="227"/>
      <c r="CL61" s="227"/>
      <c r="CM61" s="227"/>
      <c r="CN61" s="227"/>
      <c r="CO61" s="227"/>
      <c r="CP61" s="227"/>
      <c r="CQ61" s="227"/>
      <c r="CR61" s="227"/>
      <c r="CS61" s="227"/>
      <c r="CT61" s="227"/>
      <c r="CU61" s="225"/>
      <c r="CV61" s="227"/>
    </row>
    <row r="62" spans="1:100" ht="20.100000000000001" customHeight="1">
      <c r="A62" s="227"/>
      <c r="B62" s="225"/>
      <c r="C62" s="227"/>
      <c r="D62" s="224"/>
      <c r="E62" s="223"/>
      <c r="F62" s="223"/>
      <c r="G62" s="223"/>
      <c r="H62" s="223"/>
      <c r="I62" s="223"/>
      <c r="J62" s="223"/>
      <c r="K62" s="223"/>
      <c r="L62" s="223"/>
      <c r="M62" s="223"/>
      <c r="N62" s="223"/>
      <c r="O62" s="223"/>
      <c r="P62" s="223"/>
      <c r="Q62" s="223"/>
      <c r="R62" s="223"/>
      <c r="S62" s="223"/>
      <c r="T62" s="223"/>
      <c r="U62" s="223"/>
      <c r="V62" s="223"/>
      <c r="W62" s="223"/>
      <c r="X62" s="223"/>
      <c r="Y62" s="223"/>
      <c r="Z62" s="223"/>
      <c r="AA62" s="223"/>
      <c r="AB62" s="223"/>
      <c r="AC62" s="223"/>
      <c r="AD62" s="223"/>
      <c r="AE62" s="223"/>
      <c r="AF62" s="223"/>
      <c r="AG62" s="223"/>
      <c r="AH62" s="223"/>
      <c r="AI62" s="223"/>
      <c r="AJ62" s="223"/>
      <c r="AK62" s="223"/>
      <c r="AL62" s="223"/>
      <c r="AM62" s="223"/>
      <c r="AN62" s="223"/>
      <c r="AO62" s="223"/>
      <c r="AP62" s="223"/>
      <c r="AQ62" s="223"/>
      <c r="AR62" s="223"/>
      <c r="AS62" s="223"/>
      <c r="AT62" s="223"/>
      <c r="AU62" s="223"/>
      <c r="AV62" s="223"/>
      <c r="AW62" s="223"/>
      <c r="AX62" s="223"/>
      <c r="AY62" s="223"/>
      <c r="AZ62" s="223"/>
      <c r="BA62" s="223"/>
      <c r="BB62" s="223"/>
      <c r="BC62" s="223"/>
      <c r="BD62" s="223"/>
      <c r="BE62" s="223"/>
      <c r="BF62" s="223"/>
      <c r="BG62" s="223"/>
      <c r="BH62" s="223"/>
      <c r="BI62" s="223"/>
      <c r="BJ62" s="223"/>
      <c r="BK62" s="223"/>
      <c r="BL62" s="223"/>
      <c r="BM62" s="223"/>
      <c r="BN62" s="223"/>
      <c r="BO62" s="223"/>
      <c r="BP62" s="223"/>
      <c r="BQ62" s="227"/>
      <c r="BR62" s="227"/>
      <c r="BS62" s="227"/>
      <c r="BT62" s="227"/>
      <c r="BU62" s="227"/>
      <c r="BV62" s="227"/>
      <c r="BW62" s="227"/>
      <c r="BX62" s="227"/>
      <c r="BY62" s="227"/>
      <c r="BZ62" s="227"/>
      <c r="CA62" s="227"/>
      <c r="CB62" s="227"/>
      <c r="CC62" s="227"/>
      <c r="CD62" s="227"/>
      <c r="CE62" s="227"/>
      <c r="CF62" s="227"/>
      <c r="CG62" s="227"/>
      <c r="CH62" s="227"/>
      <c r="CI62" s="227"/>
      <c r="CJ62" s="227"/>
      <c r="CK62" s="227"/>
      <c r="CL62" s="227"/>
      <c r="CM62" s="227"/>
      <c r="CN62" s="227"/>
      <c r="CO62" s="227"/>
      <c r="CP62" s="227"/>
      <c r="CQ62" s="227"/>
      <c r="CR62" s="227"/>
      <c r="CS62" s="227"/>
      <c r="CT62" s="227"/>
      <c r="CU62" s="225"/>
      <c r="CV62" s="227"/>
    </row>
    <row r="63" spans="1:100" ht="20.100000000000001" customHeight="1">
      <c r="A63" s="227">
        <v>28</v>
      </c>
      <c r="B63" s="225"/>
      <c r="C63" s="227"/>
      <c r="D63" s="228" cm="1">
        <f t="array" ref="D63">IFERROR(
(SUMPRODUCT(E63:CU63*$E$6:$CU$6)/100) + (SUMPRODUCT(E63:CU63*$E$6:$CU$6*$E$3:$CU$3)/100),
0
)</f>
        <v>0</v>
      </c>
      <c r="E63" s="227"/>
      <c r="F63" s="227"/>
      <c r="G63" s="227"/>
      <c r="H63" s="227"/>
      <c r="I63" s="227"/>
      <c r="J63" s="227"/>
      <c r="K63" s="227"/>
      <c r="L63" s="227"/>
      <c r="M63" s="227"/>
      <c r="N63" s="227"/>
      <c r="O63" s="227"/>
      <c r="P63" s="227"/>
      <c r="Q63" s="227"/>
      <c r="R63" s="22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  <c r="BQ63" s="227"/>
      <c r="BR63" s="227"/>
      <c r="BS63" s="227"/>
      <c r="BT63" s="227"/>
      <c r="BU63" s="227"/>
      <c r="BV63" s="227"/>
      <c r="BW63" s="227"/>
      <c r="BX63" s="227"/>
      <c r="BY63" s="227"/>
      <c r="BZ63" s="227"/>
      <c r="CA63" s="227"/>
      <c r="CB63" s="227"/>
      <c r="CC63" s="227"/>
      <c r="CD63" s="227"/>
      <c r="CE63" s="227"/>
      <c r="CF63" s="227"/>
      <c r="CG63" s="227"/>
      <c r="CH63" s="227"/>
      <c r="CI63" s="227"/>
      <c r="CJ63" s="227"/>
      <c r="CK63" s="227"/>
      <c r="CL63" s="227"/>
      <c r="CM63" s="227"/>
      <c r="CN63" s="227"/>
      <c r="CO63" s="227"/>
      <c r="CP63" s="227"/>
      <c r="CQ63" s="227"/>
      <c r="CR63" s="227"/>
      <c r="CS63" s="227"/>
      <c r="CT63" s="227"/>
      <c r="CU63" s="225"/>
      <c r="CV63" s="227"/>
    </row>
    <row r="64" spans="1:100" ht="20.100000000000001" customHeight="1">
      <c r="A64" s="223"/>
      <c r="B64" s="225"/>
      <c r="C64" s="227"/>
      <c r="D64" s="224"/>
      <c r="E64" s="223"/>
      <c r="F64" s="223"/>
      <c r="G64" s="223"/>
      <c r="H64" s="223"/>
      <c r="I64" s="223"/>
      <c r="J64" s="223"/>
      <c r="K64" s="223"/>
      <c r="L64" s="223"/>
      <c r="M64" s="223"/>
      <c r="N64" s="223"/>
      <c r="O64" s="223"/>
      <c r="P64" s="223"/>
      <c r="Q64" s="223"/>
      <c r="R64" s="223"/>
      <c r="S64" s="223"/>
      <c r="T64" s="223"/>
      <c r="U64" s="223"/>
      <c r="V64" s="223"/>
      <c r="W64" s="223"/>
      <c r="X64" s="223"/>
      <c r="Y64" s="223"/>
      <c r="Z64" s="223"/>
      <c r="AA64" s="223"/>
      <c r="AB64" s="223"/>
      <c r="AC64" s="223"/>
      <c r="AD64" s="223"/>
      <c r="AE64" s="223"/>
      <c r="AF64" s="223"/>
      <c r="AG64" s="223"/>
      <c r="AH64" s="223"/>
      <c r="AI64" s="223"/>
      <c r="AJ64" s="223"/>
      <c r="AK64" s="223"/>
      <c r="AL64" s="223"/>
      <c r="AM64" s="223"/>
      <c r="AN64" s="223"/>
      <c r="AO64" s="223"/>
      <c r="AP64" s="223"/>
      <c r="AQ64" s="223"/>
      <c r="AR64" s="223"/>
      <c r="AS64" s="223"/>
      <c r="AT64" s="223"/>
      <c r="AU64" s="223"/>
      <c r="AV64" s="223"/>
      <c r="AW64" s="223"/>
      <c r="AX64" s="223"/>
      <c r="AY64" s="223"/>
      <c r="AZ64" s="223"/>
      <c r="BA64" s="223"/>
      <c r="BB64" s="223"/>
      <c r="BC64" s="223"/>
      <c r="BD64" s="223"/>
      <c r="BE64" s="223"/>
      <c r="BF64" s="223"/>
      <c r="BG64" s="223"/>
      <c r="BH64" s="223"/>
      <c r="BI64" s="223"/>
      <c r="BJ64" s="223"/>
      <c r="BK64" s="223"/>
      <c r="BL64" s="223"/>
      <c r="BM64" s="223"/>
      <c r="BN64" s="223"/>
      <c r="BO64" s="223"/>
      <c r="BP64" s="223"/>
      <c r="BQ64" s="227"/>
      <c r="BR64" s="227"/>
      <c r="BS64" s="227"/>
      <c r="BT64" s="227"/>
      <c r="BU64" s="227"/>
      <c r="BV64" s="227"/>
      <c r="BW64" s="227"/>
      <c r="BX64" s="227"/>
      <c r="BY64" s="227"/>
      <c r="BZ64" s="227"/>
      <c r="CA64" s="227"/>
      <c r="CB64" s="227"/>
      <c r="CC64" s="227"/>
      <c r="CD64" s="227"/>
      <c r="CE64" s="227"/>
      <c r="CF64" s="227"/>
      <c r="CG64" s="227"/>
      <c r="CH64" s="227"/>
      <c r="CI64" s="227"/>
      <c r="CJ64" s="227"/>
      <c r="CK64" s="227"/>
      <c r="CL64" s="227"/>
      <c r="CM64" s="227"/>
      <c r="CN64" s="227"/>
      <c r="CO64" s="227"/>
      <c r="CP64" s="227"/>
      <c r="CQ64" s="227"/>
      <c r="CR64" s="227"/>
      <c r="CS64" s="227"/>
      <c r="CT64" s="227"/>
      <c r="CU64" s="225"/>
      <c r="CV64" s="227"/>
    </row>
    <row r="65" spans="1:100" ht="20.100000000000001" customHeight="1">
      <c r="A65" s="227">
        <v>29</v>
      </c>
      <c r="B65" s="225"/>
      <c r="C65" s="227"/>
      <c r="D65" s="228" cm="1">
        <f t="array" ref="D65">IFERROR(
(SUMPRODUCT(E65:CU65*$E$6:$CU$6)/100) + (SUMPRODUCT(E65:CU65*$E$6:$CU$6*$E$3:$CU$3)/100),
0
)</f>
        <v>0</v>
      </c>
      <c r="E65" s="227"/>
      <c r="F65" s="227"/>
      <c r="G65" s="227"/>
      <c r="H65" s="227"/>
      <c r="I65" s="227"/>
      <c r="J65" s="227"/>
      <c r="K65" s="227"/>
      <c r="L65" s="227"/>
      <c r="M65" s="227"/>
      <c r="N65" s="227"/>
      <c r="O65" s="227"/>
      <c r="P65" s="227"/>
      <c r="Q65" s="227"/>
      <c r="R65" s="227"/>
      <c r="S65" s="227"/>
      <c r="T65" s="227"/>
      <c r="U65" s="227"/>
      <c r="V65" s="227"/>
      <c r="W65" s="227"/>
      <c r="X65" s="227"/>
      <c r="Y65" s="227"/>
      <c r="Z65" s="227"/>
      <c r="AA65" s="227"/>
      <c r="AB65" s="227"/>
      <c r="AC65" s="227"/>
      <c r="AD65" s="227"/>
      <c r="AE65" s="227"/>
      <c r="AF65" s="227"/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  <c r="BQ65" s="227"/>
      <c r="BR65" s="227"/>
      <c r="BS65" s="227"/>
      <c r="BT65" s="227"/>
      <c r="BU65" s="227"/>
      <c r="BV65" s="227"/>
      <c r="BW65" s="227"/>
      <c r="BX65" s="227"/>
      <c r="BY65" s="227"/>
      <c r="BZ65" s="227"/>
      <c r="CA65" s="227"/>
      <c r="CB65" s="227"/>
      <c r="CC65" s="227"/>
      <c r="CD65" s="227"/>
      <c r="CE65" s="227"/>
      <c r="CF65" s="227"/>
      <c r="CG65" s="227"/>
      <c r="CH65" s="227"/>
      <c r="CI65" s="227"/>
      <c r="CJ65" s="227"/>
      <c r="CK65" s="227"/>
      <c r="CL65" s="227"/>
      <c r="CM65" s="227"/>
      <c r="CN65" s="227"/>
      <c r="CO65" s="227"/>
      <c r="CP65" s="227"/>
      <c r="CQ65" s="227"/>
      <c r="CR65" s="227"/>
      <c r="CS65" s="227"/>
      <c r="CT65" s="227"/>
      <c r="CU65" s="225"/>
      <c r="CV65" s="227"/>
    </row>
    <row r="66" spans="1:100" ht="20.100000000000001" customHeight="1">
      <c r="A66" s="227"/>
      <c r="B66" s="225"/>
      <c r="C66" s="227"/>
      <c r="D66" s="224"/>
      <c r="E66" s="223"/>
      <c r="F66" s="223"/>
      <c r="G66" s="223"/>
      <c r="H66" s="223"/>
      <c r="I66" s="223"/>
      <c r="J66" s="223"/>
      <c r="K66" s="223"/>
      <c r="L66" s="223"/>
      <c r="M66" s="223"/>
      <c r="N66" s="223"/>
      <c r="O66" s="223"/>
      <c r="P66" s="223"/>
      <c r="Q66" s="223"/>
      <c r="R66" s="223"/>
      <c r="S66" s="223"/>
      <c r="T66" s="223"/>
      <c r="U66" s="223"/>
      <c r="V66" s="223"/>
      <c r="W66" s="223"/>
      <c r="X66" s="223"/>
      <c r="Y66" s="223"/>
      <c r="Z66" s="223"/>
      <c r="AA66" s="223"/>
      <c r="AB66" s="223"/>
      <c r="AC66" s="223"/>
      <c r="AD66" s="223"/>
      <c r="AE66" s="223"/>
      <c r="AF66" s="223"/>
      <c r="AG66" s="223"/>
      <c r="AH66" s="223"/>
      <c r="AI66" s="223"/>
      <c r="AJ66" s="223"/>
      <c r="AK66" s="223"/>
      <c r="AL66" s="223"/>
      <c r="AM66" s="223"/>
      <c r="AN66" s="223"/>
      <c r="AO66" s="223"/>
      <c r="AP66" s="223"/>
      <c r="AQ66" s="223"/>
      <c r="AR66" s="223"/>
      <c r="AS66" s="223"/>
      <c r="AT66" s="223"/>
      <c r="AU66" s="223"/>
      <c r="AV66" s="223"/>
      <c r="AW66" s="223"/>
      <c r="AX66" s="223"/>
      <c r="AY66" s="223"/>
      <c r="AZ66" s="223"/>
      <c r="BA66" s="223"/>
      <c r="BB66" s="223"/>
      <c r="BC66" s="223"/>
      <c r="BD66" s="223"/>
      <c r="BE66" s="223"/>
      <c r="BF66" s="223"/>
      <c r="BG66" s="223"/>
      <c r="BH66" s="223"/>
      <c r="BI66" s="223"/>
      <c r="BJ66" s="223"/>
      <c r="BK66" s="223"/>
      <c r="BL66" s="223"/>
      <c r="BM66" s="223"/>
      <c r="BN66" s="223"/>
      <c r="BO66" s="223"/>
      <c r="BP66" s="223"/>
      <c r="BQ66" s="227"/>
      <c r="BR66" s="227"/>
      <c r="BS66" s="227"/>
      <c r="BT66" s="227"/>
      <c r="BU66" s="227"/>
      <c r="BV66" s="227"/>
      <c r="BW66" s="227"/>
      <c r="BX66" s="227"/>
      <c r="BY66" s="227"/>
      <c r="BZ66" s="227"/>
      <c r="CA66" s="227"/>
      <c r="CB66" s="227"/>
      <c r="CC66" s="227"/>
      <c r="CD66" s="227"/>
      <c r="CE66" s="227"/>
      <c r="CF66" s="227"/>
      <c r="CG66" s="227"/>
      <c r="CH66" s="227"/>
      <c r="CI66" s="227"/>
      <c r="CJ66" s="227"/>
      <c r="CK66" s="227"/>
      <c r="CL66" s="227"/>
      <c r="CM66" s="227"/>
      <c r="CN66" s="227"/>
      <c r="CO66" s="227"/>
      <c r="CP66" s="227"/>
      <c r="CQ66" s="227"/>
      <c r="CR66" s="227"/>
      <c r="CS66" s="227"/>
      <c r="CT66" s="227"/>
      <c r="CU66" s="225"/>
      <c r="CV66" s="227"/>
    </row>
    <row r="67" spans="1:100" ht="20.100000000000001" customHeight="1">
      <c r="A67" s="227">
        <v>30</v>
      </c>
      <c r="B67" s="225"/>
      <c r="C67" s="227"/>
      <c r="D67" s="228" cm="1">
        <f t="array" ref="D67">IFERROR(
(SUMPRODUCT(E67:CU67*$E$6:$CU$6)/100) + (SUMPRODUCT(E67:CU67*$E$6:$CU$6*$E$3:$CU$3)/100),
0
)</f>
        <v>0</v>
      </c>
      <c r="E67" s="227"/>
      <c r="F67" s="227"/>
      <c r="G67" s="227"/>
      <c r="H67" s="227"/>
      <c r="I67" s="227"/>
      <c r="J67" s="227"/>
      <c r="K67" s="227"/>
      <c r="L67" s="227"/>
      <c r="M67" s="227"/>
      <c r="N67" s="227"/>
      <c r="O67" s="227"/>
      <c r="P67" s="227"/>
      <c r="Q67" s="227"/>
      <c r="R67" s="227"/>
      <c r="S67" s="227"/>
      <c r="T67" s="227"/>
      <c r="U67" s="227"/>
      <c r="V67" s="227"/>
      <c r="W67" s="227"/>
      <c r="X67" s="227"/>
      <c r="Y67" s="227"/>
      <c r="Z67" s="227"/>
      <c r="AA67" s="227"/>
      <c r="AB67" s="227"/>
      <c r="AC67" s="227"/>
      <c r="AD67" s="227"/>
      <c r="AE67" s="227"/>
      <c r="AF67" s="227"/>
      <c r="AG67" s="227"/>
      <c r="AH67" s="227"/>
      <c r="AI67" s="227"/>
      <c r="AJ67" s="227"/>
      <c r="AK67" s="227"/>
      <c r="AL67" s="227"/>
      <c r="AM67" s="227"/>
      <c r="AN67" s="227"/>
      <c r="AO67" s="227"/>
      <c r="AP67" s="227"/>
      <c r="AQ67" s="227"/>
      <c r="AR67" s="227"/>
      <c r="AS67" s="227"/>
      <c r="AT67" s="227"/>
      <c r="AU67" s="227"/>
      <c r="AV67" s="227"/>
      <c r="AW67" s="227"/>
      <c r="AX67" s="227"/>
      <c r="AY67" s="22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  <c r="BQ67" s="227"/>
      <c r="BR67" s="227"/>
      <c r="BS67" s="227"/>
      <c r="BT67" s="227"/>
      <c r="BU67" s="227"/>
      <c r="BV67" s="227"/>
      <c r="BW67" s="227"/>
      <c r="BX67" s="227"/>
      <c r="BY67" s="227"/>
      <c r="BZ67" s="227"/>
      <c r="CA67" s="227"/>
      <c r="CB67" s="227"/>
      <c r="CC67" s="227"/>
      <c r="CD67" s="227"/>
      <c r="CE67" s="227"/>
      <c r="CF67" s="227"/>
      <c r="CG67" s="227"/>
      <c r="CH67" s="227"/>
      <c r="CI67" s="227"/>
      <c r="CJ67" s="227"/>
      <c r="CK67" s="227"/>
      <c r="CL67" s="227"/>
      <c r="CM67" s="227"/>
      <c r="CN67" s="227"/>
      <c r="CO67" s="227"/>
      <c r="CP67" s="227"/>
      <c r="CQ67" s="227"/>
      <c r="CR67" s="227"/>
      <c r="CS67" s="227"/>
      <c r="CT67" s="227"/>
      <c r="CU67" s="225"/>
      <c r="CV67" s="227"/>
    </row>
    <row r="68" spans="1:100" ht="20.100000000000001" customHeight="1">
      <c r="A68" s="223"/>
      <c r="B68" s="225"/>
      <c r="C68" s="227"/>
      <c r="D68" s="224"/>
      <c r="E68" s="223"/>
      <c r="F68" s="223"/>
      <c r="G68" s="223"/>
      <c r="H68" s="223"/>
      <c r="I68" s="223"/>
      <c r="J68" s="223"/>
      <c r="K68" s="223"/>
      <c r="L68" s="223"/>
      <c r="M68" s="223"/>
      <c r="N68" s="223"/>
      <c r="O68" s="223"/>
      <c r="P68" s="223"/>
      <c r="Q68" s="223"/>
      <c r="R68" s="223"/>
      <c r="S68" s="223"/>
      <c r="T68" s="223"/>
      <c r="U68" s="223"/>
      <c r="V68" s="223"/>
      <c r="W68" s="223"/>
      <c r="X68" s="223"/>
      <c r="Y68" s="223"/>
      <c r="Z68" s="223"/>
      <c r="AA68" s="223"/>
      <c r="AB68" s="223"/>
      <c r="AC68" s="223"/>
      <c r="AD68" s="223"/>
      <c r="AE68" s="223"/>
      <c r="AF68" s="223"/>
      <c r="AG68" s="223"/>
      <c r="AH68" s="223"/>
      <c r="AI68" s="223"/>
      <c r="AJ68" s="223"/>
      <c r="AK68" s="223"/>
      <c r="AL68" s="223"/>
      <c r="AM68" s="223"/>
      <c r="AN68" s="223"/>
      <c r="AO68" s="223"/>
      <c r="AP68" s="223"/>
      <c r="AQ68" s="223"/>
      <c r="AR68" s="223"/>
      <c r="AS68" s="223"/>
      <c r="AT68" s="223"/>
      <c r="AU68" s="223"/>
      <c r="AV68" s="223"/>
      <c r="AW68" s="223"/>
      <c r="AX68" s="223"/>
      <c r="AY68" s="223"/>
      <c r="AZ68" s="223"/>
      <c r="BA68" s="223"/>
      <c r="BB68" s="223"/>
      <c r="BC68" s="223"/>
      <c r="BD68" s="223"/>
      <c r="BE68" s="223"/>
      <c r="BF68" s="223"/>
      <c r="BG68" s="223"/>
      <c r="BH68" s="223"/>
      <c r="BI68" s="223"/>
      <c r="BJ68" s="223"/>
      <c r="BK68" s="223"/>
      <c r="BL68" s="223"/>
      <c r="BM68" s="223"/>
      <c r="BN68" s="223"/>
      <c r="BO68" s="223"/>
      <c r="BP68" s="223"/>
      <c r="BQ68" s="227"/>
      <c r="BR68" s="227"/>
      <c r="BS68" s="227"/>
      <c r="BT68" s="227"/>
      <c r="BU68" s="227"/>
      <c r="BV68" s="227"/>
      <c r="BW68" s="227"/>
      <c r="BX68" s="227"/>
      <c r="BY68" s="227"/>
      <c r="BZ68" s="227"/>
      <c r="CA68" s="227"/>
      <c r="CB68" s="227"/>
      <c r="CC68" s="227"/>
      <c r="CD68" s="227"/>
      <c r="CE68" s="227"/>
      <c r="CF68" s="227"/>
      <c r="CG68" s="227"/>
      <c r="CH68" s="227"/>
      <c r="CI68" s="227"/>
      <c r="CJ68" s="227"/>
      <c r="CK68" s="227"/>
      <c r="CL68" s="227"/>
      <c r="CM68" s="227"/>
      <c r="CN68" s="227"/>
      <c r="CO68" s="227"/>
      <c r="CP68" s="227"/>
      <c r="CQ68" s="227"/>
      <c r="CR68" s="227"/>
      <c r="CS68" s="227"/>
      <c r="CT68" s="227"/>
      <c r="CU68" s="225"/>
      <c r="CV68" s="227"/>
    </row>
    <row r="69" spans="1:100" ht="20.100000000000001" customHeight="1">
      <c r="A69" s="227">
        <v>31</v>
      </c>
      <c r="B69" s="225"/>
      <c r="C69" s="227"/>
      <c r="D69" s="228" cm="1">
        <f t="array" ref="D69">IFERROR(
(SUMPRODUCT(E69:CU69*$E$6:$CU$6)/100) + (SUMPRODUCT(E69:CU69*$E$6:$CU$6*$E$3:$CU$3)/100),
0
)</f>
        <v>0</v>
      </c>
      <c r="E69" s="227"/>
      <c r="F69" s="227"/>
      <c r="G69" s="227"/>
      <c r="H69" s="227"/>
      <c r="I69" s="227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227"/>
      <c r="AA69" s="227"/>
      <c r="AB69" s="227"/>
      <c r="AC69" s="227"/>
      <c r="AD69" s="227"/>
      <c r="AE69" s="227"/>
      <c r="AF69" s="227"/>
      <c r="AG69" s="227"/>
      <c r="AH69" s="227"/>
      <c r="AI69" s="227"/>
      <c r="AJ69" s="227"/>
      <c r="AK69" s="227"/>
      <c r="AL69" s="227"/>
      <c r="AM69" s="227"/>
      <c r="AN69" s="227"/>
      <c r="AO69" s="227"/>
      <c r="AP69" s="227"/>
      <c r="AQ69" s="227"/>
      <c r="AR69" s="227"/>
      <c r="AS69" s="227"/>
      <c r="AT69" s="227"/>
      <c r="AU69" s="227"/>
      <c r="AV69" s="227"/>
      <c r="AW69" s="227"/>
      <c r="AX69" s="227"/>
      <c r="AY69" s="22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  <c r="BQ69" s="227"/>
      <c r="BR69" s="227"/>
      <c r="BS69" s="227"/>
      <c r="BT69" s="227"/>
      <c r="BU69" s="227"/>
      <c r="BV69" s="227"/>
      <c r="BW69" s="227"/>
      <c r="BX69" s="227"/>
      <c r="BY69" s="227"/>
      <c r="BZ69" s="227"/>
      <c r="CA69" s="227"/>
      <c r="CB69" s="227"/>
      <c r="CC69" s="227"/>
      <c r="CD69" s="227"/>
      <c r="CE69" s="227"/>
      <c r="CF69" s="227"/>
      <c r="CG69" s="227"/>
      <c r="CH69" s="227"/>
      <c r="CI69" s="227"/>
      <c r="CJ69" s="227"/>
      <c r="CK69" s="227"/>
      <c r="CL69" s="227"/>
      <c r="CM69" s="227"/>
      <c r="CN69" s="227"/>
      <c r="CO69" s="227"/>
      <c r="CP69" s="227"/>
      <c r="CQ69" s="227"/>
      <c r="CR69" s="227"/>
      <c r="CS69" s="227"/>
      <c r="CT69" s="227"/>
      <c r="CU69" s="225"/>
      <c r="CV69" s="227"/>
    </row>
    <row r="70" spans="1:100" ht="20.100000000000001" customHeight="1">
      <c r="A70" s="227"/>
      <c r="B70" s="225"/>
      <c r="C70" s="227"/>
      <c r="D70" s="224"/>
      <c r="E70" s="223"/>
      <c r="F70" s="223"/>
      <c r="G70" s="223"/>
      <c r="H70" s="223"/>
      <c r="I70" s="223"/>
      <c r="J70" s="223"/>
      <c r="K70" s="223"/>
      <c r="L70" s="223"/>
      <c r="M70" s="223"/>
      <c r="N70" s="223"/>
      <c r="O70" s="223"/>
      <c r="P70" s="223"/>
      <c r="Q70" s="223"/>
      <c r="R70" s="223"/>
      <c r="S70" s="223"/>
      <c r="T70" s="223"/>
      <c r="U70" s="223"/>
      <c r="V70" s="223"/>
      <c r="W70" s="223"/>
      <c r="X70" s="223"/>
      <c r="Y70" s="223"/>
      <c r="Z70" s="223"/>
      <c r="AA70" s="223"/>
      <c r="AB70" s="223"/>
      <c r="AC70" s="223"/>
      <c r="AD70" s="223"/>
      <c r="AE70" s="223"/>
      <c r="AF70" s="223"/>
      <c r="AG70" s="223"/>
      <c r="AH70" s="223"/>
      <c r="AI70" s="223"/>
      <c r="AJ70" s="223"/>
      <c r="AK70" s="223"/>
      <c r="AL70" s="223"/>
      <c r="AM70" s="223"/>
      <c r="AN70" s="223"/>
      <c r="AO70" s="223"/>
      <c r="AP70" s="223"/>
      <c r="AQ70" s="223"/>
      <c r="AR70" s="223"/>
      <c r="AS70" s="223"/>
      <c r="AT70" s="223"/>
      <c r="AU70" s="223"/>
      <c r="AV70" s="223"/>
      <c r="AW70" s="223"/>
      <c r="AX70" s="223"/>
      <c r="AY70" s="223"/>
      <c r="AZ70" s="223"/>
      <c r="BA70" s="223"/>
      <c r="BB70" s="223"/>
      <c r="BC70" s="223"/>
      <c r="BD70" s="223"/>
      <c r="BE70" s="223"/>
      <c r="BF70" s="223"/>
      <c r="BG70" s="223"/>
      <c r="BH70" s="223"/>
      <c r="BI70" s="223"/>
      <c r="BJ70" s="223"/>
      <c r="BK70" s="223"/>
      <c r="BL70" s="223"/>
      <c r="BM70" s="223"/>
      <c r="BN70" s="223"/>
      <c r="BO70" s="223"/>
      <c r="BP70" s="223"/>
      <c r="BQ70" s="227"/>
      <c r="BR70" s="227"/>
      <c r="BS70" s="227"/>
      <c r="BT70" s="227"/>
      <c r="BU70" s="227"/>
      <c r="BV70" s="227"/>
      <c r="BW70" s="227"/>
      <c r="BX70" s="227"/>
      <c r="BY70" s="227"/>
      <c r="BZ70" s="227"/>
      <c r="CA70" s="227"/>
      <c r="CB70" s="227"/>
      <c r="CC70" s="227"/>
      <c r="CD70" s="227"/>
      <c r="CE70" s="227"/>
      <c r="CF70" s="227"/>
      <c r="CG70" s="227"/>
      <c r="CH70" s="227"/>
      <c r="CI70" s="227"/>
      <c r="CJ70" s="227"/>
      <c r="CK70" s="227"/>
      <c r="CL70" s="227"/>
      <c r="CM70" s="227"/>
      <c r="CN70" s="227"/>
      <c r="CO70" s="227"/>
      <c r="CP70" s="227"/>
      <c r="CQ70" s="227"/>
      <c r="CR70" s="227"/>
      <c r="CS70" s="227"/>
      <c r="CT70" s="227"/>
      <c r="CU70" s="225"/>
      <c r="CV70" s="227"/>
    </row>
    <row r="71" spans="1:100" ht="20.100000000000001" customHeight="1">
      <c r="A71" s="227">
        <v>32</v>
      </c>
      <c r="B71" s="225"/>
      <c r="C71" s="227"/>
      <c r="D71" s="228" cm="1">
        <f t="array" ref="D71">IFERROR(
(SUMPRODUCT(E71:CU71*$E$6:$CU$6)/100) + (SUMPRODUCT(E71:CU71*$E$6:$CU$6*$E$3:$CU$3)/100),
0
)</f>
        <v>0</v>
      </c>
      <c r="E71" s="227"/>
      <c r="F71" s="227"/>
      <c r="G71" s="227"/>
      <c r="H71" s="227"/>
      <c r="I71" s="227"/>
      <c r="J71" s="227"/>
      <c r="K71" s="227"/>
      <c r="L71" s="227"/>
      <c r="M71" s="227"/>
      <c r="N71" s="227"/>
      <c r="O71" s="227"/>
      <c r="P71" s="227"/>
      <c r="Q71" s="227"/>
      <c r="R71" s="227"/>
      <c r="S71" s="227"/>
      <c r="T71" s="227"/>
      <c r="U71" s="227"/>
      <c r="V71" s="227"/>
      <c r="W71" s="227"/>
      <c r="X71" s="227"/>
      <c r="Y71" s="227"/>
      <c r="Z71" s="227"/>
      <c r="AA71" s="227"/>
      <c r="AB71" s="227"/>
      <c r="AC71" s="227"/>
      <c r="AD71" s="227"/>
      <c r="AE71" s="227"/>
      <c r="AF71" s="227"/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  <c r="BQ71" s="227"/>
      <c r="BR71" s="227"/>
      <c r="BS71" s="227"/>
      <c r="BT71" s="227"/>
      <c r="BU71" s="227"/>
      <c r="BV71" s="227"/>
      <c r="BW71" s="227"/>
      <c r="BX71" s="227"/>
      <c r="BY71" s="227"/>
      <c r="BZ71" s="227"/>
      <c r="CA71" s="227"/>
      <c r="CB71" s="227"/>
      <c r="CC71" s="227"/>
      <c r="CD71" s="227"/>
      <c r="CE71" s="227"/>
      <c r="CF71" s="227"/>
      <c r="CG71" s="227"/>
      <c r="CH71" s="227"/>
      <c r="CI71" s="227"/>
      <c r="CJ71" s="227"/>
      <c r="CK71" s="227"/>
      <c r="CL71" s="227"/>
      <c r="CM71" s="227"/>
      <c r="CN71" s="227"/>
      <c r="CO71" s="227"/>
      <c r="CP71" s="227"/>
      <c r="CQ71" s="227"/>
      <c r="CR71" s="227"/>
      <c r="CS71" s="227"/>
      <c r="CT71" s="227"/>
      <c r="CU71" s="225"/>
      <c r="CV71" s="227"/>
    </row>
    <row r="72" spans="1:100" ht="20.100000000000001" customHeight="1">
      <c r="A72" s="223"/>
      <c r="B72" s="225"/>
      <c r="C72" s="227"/>
      <c r="D72" s="224"/>
      <c r="E72" s="223"/>
      <c r="F72" s="223"/>
      <c r="G72" s="223"/>
      <c r="H72" s="223"/>
      <c r="I72" s="223"/>
      <c r="J72" s="223"/>
      <c r="K72" s="223"/>
      <c r="L72" s="223"/>
      <c r="M72" s="223"/>
      <c r="N72" s="223"/>
      <c r="O72" s="223"/>
      <c r="P72" s="223"/>
      <c r="Q72" s="223"/>
      <c r="R72" s="223"/>
      <c r="S72" s="223"/>
      <c r="T72" s="223"/>
      <c r="U72" s="223"/>
      <c r="V72" s="223"/>
      <c r="W72" s="223"/>
      <c r="X72" s="223"/>
      <c r="Y72" s="223"/>
      <c r="Z72" s="223"/>
      <c r="AA72" s="223"/>
      <c r="AB72" s="223"/>
      <c r="AC72" s="223"/>
      <c r="AD72" s="223"/>
      <c r="AE72" s="223"/>
      <c r="AF72" s="223"/>
      <c r="AG72" s="223"/>
      <c r="AH72" s="223"/>
      <c r="AI72" s="223"/>
      <c r="AJ72" s="223"/>
      <c r="AK72" s="223"/>
      <c r="AL72" s="223"/>
      <c r="AM72" s="223"/>
      <c r="AN72" s="223"/>
      <c r="AO72" s="223"/>
      <c r="AP72" s="223"/>
      <c r="AQ72" s="223"/>
      <c r="AR72" s="223"/>
      <c r="AS72" s="223"/>
      <c r="AT72" s="223"/>
      <c r="AU72" s="223"/>
      <c r="AV72" s="223"/>
      <c r="AW72" s="223"/>
      <c r="AX72" s="223"/>
      <c r="AY72" s="223"/>
      <c r="AZ72" s="223"/>
      <c r="BA72" s="223"/>
      <c r="BB72" s="223"/>
      <c r="BC72" s="223"/>
      <c r="BD72" s="223"/>
      <c r="BE72" s="223"/>
      <c r="BF72" s="223"/>
      <c r="BG72" s="223"/>
      <c r="BH72" s="223"/>
      <c r="BI72" s="223"/>
      <c r="BJ72" s="223"/>
      <c r="BK72" s="223"/>
      <c r="BL72" s="223"/>
      <c r="BM72" s="223"/>
      <c r="BN72" s="223"/>
      <c r="BO72" s="223"/>
      <c r="BP72" s="223"/>
      <c r="BQ72" s="227"/>
      <c r="BR72" s="227"/>
      <c r="BS72" s="227"/>
      <c r="BT72" s="227"/>
      <c r="BU72" s="227"/>
      <c r="BV72" s="227"/>
      <c r="BW72" s="227"/>
      <c r="BX72" s="227"/>
      <c r="BY72" s="227"/>
      <c r="BZ72" s="227"/>
      <c r="CA72" s="227"/>
      <c r="CB72" s="227"/>
      <c r="CC72" s="227"/>
      <c r="CD72" s="227"/>
      <c r="CE72" s="227"/>
      <c r="CF72" s="227"/>
      <c r="CG72" s="227"/>
      <c r="CH72" s="227"/>
      <c r="CI72" s="227"/>
      <c r="CJ72" s="227"/>
      <c r="CK72" s="227"/>
      <c r="CL72" s="227"/>
      <c r="CM72" s="227"/>
      <c r="CN72" s="227"/>
      <c r="CO72" s="227"/>
      <c r="CP72" s="227"/>
      <c r="CQ72" s="227"/>
      <c r="CR72" s="227"/>
      <c r="CS72" s="227"/>
      <c r="CT72" s="227"/>
      <c r="CU72" s="225"/>
      <c r="CV72" s="227"/>
    </row>
    <row r="73" spans="1:100" ht="20.100000000000001" customHeight="1">
      <c r="A73" s="227">
        <v>33</v>
      </c>
      <c r="B73" s="225"/>
      <c r="C73" s="227"/>
      <c r="D73" s="228" cm="1">
        <f t="array" ref="D73">IFERROR(
(SUMPRODUCT(E73:CU73*$E$6:$CU$6)/100) + (SUMPRODUCT(E73:CU73*$E$6:$CU$6*$E$3:$CU$3)/100),
0
)</f>
        <v>0</v>
      </c>
      <c r="E73" s="227"/>
      <c r="F73" s="227"/>
      <c r="G73" s="227"/>
      <c r="H73" s="227"/>
      <c r="I73" s="227"/>
      <c r="J73" s="227"/>
      <c r="K73" s="227"/>
      <c r="L73" s="227"/>
      <c r="M73" s="227"/>
      <c r="N73" s="227"/>
      <c r="O73" s="227"/>
      <c r="P73" s="227"/>
      <c r="Q73" s="227"/>
      <c r="R73" s="227"/>
      <c r="S73" s="227"/>
      <c r="T73" s="227"/>
      <c r="U73" s="227"/>
      <c r="V73" s="227"/>
      <c r="W73" s="227"/>
      <c r="X73" s="227"/>
      <c r="Y73" s="227"/>
      <c r="Z73" s="227"/>
      <c r="AA73" s="227"/>
      <c r="AB73" s="227"/>
      <c r="AC73" s="227"/>
      <c r="AD73" s="227"/>
      <c r="AE73" s="227"/>
      <c r="AF73" s="227"/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  <c r="BQ73" s="227"/>
      <c r="BR73" s="227"/>
      <c r="BS73" s="227"/>
      <c r="BT73" s="227"/>
      <c r="BU73" s="227"/>
      <c r="BV73" s="227"/>
      <c r="BW73" s="227"/>
      <c r="BX73" s="227"/>
      <c r="BY73" s="227"/>
      <c r="BZ73" s="227"/>
      <c r="CA73" s="227"/>
      <c r="CB73" s="227"/>
      <c r="CC73" s="227"/>
      <c r="CD73" s="227"/>
      <c r="CE73" s="227"/>
      <c r="CF73" s="227"/>
      <c r="CG73" s="227"/>
      <c r="CH73" s="227"/>
      <c r="CI73" s="227"/>
      <c r="CJ73" s="227"/>
      <c r="CK73" s="227"/>
      <c r="CL73" s="227"/>
      <c r="CM73" s="227"/>
      <c r="CN73" s="227"/>
      <c r="CO73" s="227"/>
      <c r="CP73" s="227"/>
      <c r="CQ73" s="227"/>
      <c r="CR73" s="227"/>
      <c r="CS73" s="227"/>
      <c r="CT73" s="227"/>
      <c r="CU73" s="225"/>
      <c r="CV73" s="227"/>
    </row>
    <row r="74" spans="1:100" ht="20.100000000000001" customHeight="1">
      <c r="A74" s="227"/>
      <c r="B74" s="225"/>
      <c r="C74" s="227"/>
      <c r="D74" s="224"/>
      <c r="E74" s="223"/>
      <c r="F74" s="223"/>
      <c r="G74" s="223"/>
      <c r="H74" s="223"/>
      <c r="I74" s="223"/>
      <c r="J74" s="223"/>
      <c r="K74" s="223"/>
      <c r="L74" s="223"/>
      <c r="M74" s="223"/>
      <c r="N74" s="223"/>
      <c r="O74" s="223"/>
      <c r="P74" s="223"/>
      <c r="Q74" s="223"/>
      <c r="R74" s="223"/>
      <c r="S74" s="223"/>
      <c r="T74" s="223"/>
      <c r="U74" s="223"/>
      <c r="V74" s="223"/>
      <c r="W74" s="223"/>
      <c r="X74" s="223"/>
      <c r="Y74" s="223"/>
      <c r="Z74" s="223"/>
      <c r="AA74" s="223"/>
      <c r="AB74" s="223"/>
      <c r="AC74" s="223"/>
      <c r="AD74" s="223"/>
      <c r="AE74" s="223"/>
      <c r="AF74" s="223"/>
      <c r="AG74" s="223"/>
      <c r="AH74" s="223"/>
      <c r="AI74" s="223"/>
      <c r="AJ74" s="223"/>
      <c r="AK74" s="223"/>
      <c r="AL74" s="223"/>
      <c r="AM74" s="223"/>
      <c r="AN74" s="223"/>
      <c r="AO74" s="223"/>
      <c r="AP74" s="223"/>
      <c r="AQ74" s="223"/>
      <c r="AR74" s="223"/>
      <c r="AS74" s="223"/>
      <c r="AT74" s="223"/>
      <c r="AU74" s="223"/>
      <c r="AV74" s="223"/>
      <c r="AW74" s="223"/>
      <c r="AX74" s="223"/>
      <c r="AY74" s="223"/>
      <c r="AZ74" s="223"/>
      <c r="BA74" s="223"/>
      <c r="BB74" s="223"/>
      <c r="BC74" s="223"/>
      <c r="BD74" s="223"/>
      <c r="BE74" s="223"/>
      <c r="BF74" s="223"/>
      <c r="BG74" s="223"/>
      <c r="BH74" s="223"/>
      <c r="BI74" s="223"/>
      <c r="BJ74" s="223"/>
      <c r="BK74" s="223"/>
      <c r="BL74" s="223"/>
      <c r="BM74" s="223"/>
      <c r="BN74" s="223"/>
      <c r="BO74" s="223"/>
      <c r="BP74" s="223"/>
      <c r="BQ74" s="227"/>
      <c r="BR74" s="227"/>
      <c r="BS74" s="227"/>
      <c r="BT74" s="227"/>
      <c r="BU74" s="227"/>
      <c r="BV74" s="227"/>
      <c r="BW74" s="227"/>
      <c r="BX74" s="227"/>
      <c r="BY74" s="227"/>
      <c r="BZ74" s="227"/>
      <c r="CA74" s="227"/>
      <c r="CB74" s="227"/>
      <c r="CC74" s="227"/>
      <c r="CD74" s="227"/>
      <c r="CE74" s="227"/>
      <c r="CF74" s="227"/>
      <c r="CG74" s="227"/>
      <c r="CH74" s="227"/>
      <c r="CI74" s="227"/>
      <c r="CJ74" s="227"/>
      <c r="CK74" s="227"/>
      <c r="CL74" s="227"/>
      <c r="CM74" s="227"/>
      <c r="CN74" s="227"/>
      <c r="CO74" s="227"/>
      <c r="CP74" s="227"/>
      <c r="CQ74" s="227"/>
      <c r="CR74" s="227"/>
      <c r="CS74" s="227"/>
      <c r="CT74" s="227"/>
      <c r="CU74" s="225"/>
      <c r="CV74" s="227"/>
    </row>
    <row r="75" spans="1:100" ht="20.100000000000001" customHeight="1">
      <c r="A75" s="227">
        <v>34</v>
      </c>
      <c r="B75" s="225"/>
      <c r="C75" s="227"/>
      <c r="D75" s="228" cm="1">
        <f t="array" ref="D75">IFERROR(
(SUMPRODUCT(E75:CU75*$E$6:$CU$6)/100) + (SUMPRODUCT(E75:CU75*$E$6:$CU$6*$E$3:$CU$3)/100),
0
)</f>
        <v>0</v>
      </c>
      <c r="E75" s="227"/>
      <c r="F75" s="227"/>
      <c r="G75" s="227"/>
      <c r="H75" s="227"/>
      <c r="I75" s="227"/>
      <c r="J75" s="227"/>
      <c r="K75" s="227"/>
      <c r="L75" s="227"/>
      <c r="M75" s="227"/>
      <c r="N75" s="227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  <c r="BQ75" s="227"/>
      <c r="BR75" s="227"/>
      <c r="BS75" s="227"/>
      <c r="BT75" s="227"/>
      <c r="BU75" s="227"/>
      <c r="BV75" s="227"/>
      <c r="BW75" s="227"/>
      <c r="BX75" s="227"/>
      <c r="BY75" s="227"/>
      <c r="BZ75" s="227"/>
      <c r="CA75" s="227"/>
      <c r="CB75" s="227"/>
      <c r="CC75" s="227"/>
      <c r="CD75" s="227"/>
      <c r="CE75" s="227"/>
      <c r="CF75" s="227"/>
      <c r="CG75" s="227"/>
      <c r="CH75" s="227"/>
      <c r="CI75" s="227"/>
      <c r="CJ75" s="227"/>
      <c r="CK75" s="227"/>
      <c r="CL75" s="227"/>
      <c r="CM75" s="227"/>
      <c r="CN75" s="227"/>
      <c r="CO75" s="227"/>
      <c r="CP75" s="227"/>
      <c r="CQ75" s="227"/>
      <c r="CR75" s="227"/>
      <c r="CS75" s="227"/>
      <c r="CT75" s="227"/>
      <c r="CU75" s="225"/>
      <c r="CV75" s="227"/>
    </row>
    <row r="76" spans="1:100" ht="20.100000000000001" customHeight="1">
      <c r="A76" s="223"/>
      <c r="B76" s="225"/>
      <c r="C76" s="227"/>
      <c r="D76" s="224"/>
      <c r="E76" s="223"/>
      <c r="F76" s="223"/>
      <c r="G76" s="223"/>
      <c r="H76" s="223"/>
      <c r="I76" s="223"/>
      <c r="J76" s="223"/>
      <c r="K76" s="223"/>
      <c r="L76" s="223"/>
      <c r="M76" s="223"/>
      <c r="N76" s="223"/>
      <c r="O76" s="223"/>
      <c r="P76" s="223"/>
      <c r="Q76" s="223"/>
      <c r="R76" s="223"/>
      <c r="S76" s="223"/>
      <c r="T76" s="223"/>
      <c r="U76" s="223"/>
      <c r="V76" s="223"/>
      <c r="W76" s="223"/>
      <c r="X76" s="223"/>
      <c r="Y76" s="223"/>
      <c r="Z76" s="223"/>
      <c r="AA76" s="223"/>
      <c r="AB76" s="223"/>
      <c r="AC76" s="223"/>
      <c r="AD76" s="223"/>
      <c r="AE76" s="223"/>
      <c r="AF76" s="223"/>
      <c r="AG76" s="223"/>
      <c r="AH76" s="223"/>
      <c r="AI76" s="223"/>
      <c r="AJ76" s="223"/>
      <c r="AK76" s="223"/>
      <c r="AL76" s="223"/>
      <c r="AM76" s="223"/>
      <c r="AN76" s="223"/>
      <c r="AO76" s="223"/>
      <c r="AP76" s="223"/>
      <c r="AQ76" s="223"/>
      <c r="AR76" s="223"/>
      <c r="AS76" s="223"/>
      <c r="AT76" s="223"/>
      <c r="AU76" s="223"/>
      <c r="AV76" s="223"/>
      <c r="AW76" s="223"/>
      <c r="AX76" s="223"/>
      <c r="AY76" s="223"/>
      <c r="AZ76" s="223"/>
      <c r="BA76" s="223"/>
      <c r="BB76" s="223"/>
      <c r="BC76" s="223"/>
      <c r="BD76" s="223"/>
      <c r="BE76" s="223"/>
      <c r="BF76" s="223"/>
      <c r="BG76" s="223"/>
      <c r="BH76" s="223"/>
      <c r="BI76" s="223"/>
      <c r="BJ76" s="223"/>
      <c r="BK76" s="223"/>
      <c r="BL76" s="223"/>
      <c r="BM76" s="223"/>
      <c r="BN76" s="223"/>
      <c r="BO76" s="223"/>
      <c r="BP76" s="223"/>
      <c r="BQ76" s="227"/>
      <c r="BR76" s="227"/>
      <c r="BS76" s="227"/>
      <c r="BT76" s="227"/>
      <c r="BU76" s="227"/>
      <c r="BV76" s="227"/>
      <c r="BW76" s="227"/>
      <c r="BX76" s="227"/>
      <c r="BY76" s="227"/>
      <c r="BZ76" s="227"/>
      <c r="CA76" s="227"/>
      <c r="CB76" s="227"/>
      <c r="CC76" s="227"/>
      <c r="CD76" s="227"/>
      <c r="CE76" s="227"/>
      <c r="CF76" s="227"/>
      <c r="CG76" s="227"/>
      <c r="CH76" s="227"/>
      <c r="CI76" s="227"/>
      <c r="CJ76" s="227"/>
      <c r="CK76" s="227"/>
      <c r="CL76" s="227"/>
      <c r="CM76" s="227"/>
      <c r="CN76" s="227"/>
      <c r="CO76" s="227"/>
      <c r="CP76" s="227"/>
      <c r="CQ76" s="227"/>
      <c r="CR76" s="227"/>
      <c r="CS76" s="227"/>
      <c r="CT76" s="227"/>
      <c r="CU76" s="225"/>
      <c r="CV76" s="227"/>
    </row>
    <row r="77" spans="1:100" ht="20.100000000000001" customHeight="1">
      <c r="A77" s="227">
        <v>35</v>
      </c>
      <c r="B77" s="225"/>
      <c r="C77" s="227"/>
      <c r="D77" s="228" cm="1">
        <f t="array" ref="D77">IFERROR(
(SUMPRODUCT(E77:CU77*$E$6:$CU$6)/100) + (SUMPRODUCT(E77:CU77*$E$6:$CU$6*$E$3:$CU$3)/100),
0
)</f>
        <v>0</v>
      </c>
      <c r="E77" s="227"/>
      <c r="F77" s="227"/>
      <c r="G77" s="227"/>
      <c r="H77" s="227"/>
      <c r="I77" s="227"/>
      <c r="J77" s="227"/>
      <c r="K77" s="227"/>
      <c r="L77" s="227"/>
      <c r="M77" s="227"/>
      <c r="N77" s="227"/>
      <c r="O77" s="227"/>
      <c r="P77" s="227"/>
      <c r="Q77" s="227"/>
      <c r="R77" s="227"/>
      <c r="S77" s="227"/>
      <c r="T77" s="227"/>
      <c r="U77" s="22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  <c r="BQ77" s="227"/>
      <c r="BR77" s="227"/>
      <c r="BS77" s="227"/>
      <c r="BT77" s="227"/>
      <c r="BU77" s="227"/>
      <c r="BV77" s="227"/>
      <c r="BW77" s="227"/>
      <c r="BX77" s="227"/>
      <c r="BY77" s="227"/>
      <c r="BZ77" s="227"/>
      <c r="CA77" s="227"/>
      <c r="CB77" s="227"/>
      <c r="CC77" s="227"/>
      <c r="CD77" s="227"/>
      <c r="CE77" s="227"/>
      <c r="CF77" s="227"/>
      <c r="CG77" s="227"/>
      <c r="CH77" s="227"/>
      <c r="CI77" s="227"/>
      <c r="CJ77" s="227"/>
      <c r="CK77" s="227"/>
      <c r="CL77" s="227"/>
      <c r="CM77" s="227"/>
      <c r="CN77" s="227"/>
      <c r="CO77" s="227"/>
      <c r="CP77" s="227"/>
      <c r="CQ77" s="227"/>
      <c r="CR77" s="227"/>
      <c r="CS77" s="227"/>
      <c r="CT77" s="227"/>
      <c r="CU77" s="225"/>
      <c r="CV77" s="227"/>
    </row>
    <row r="78" spans="1:100" ht="20.100000000000001" customHeight="1">
      <c r="A78" s="227"/>
      <c r="B78" s="225"/>
      <c r="C78" s="227"/>
      <c r="D78" s="224"/>
      <c r="E78" s="223"/>
      <c r="F78" s="223"/>
      <c r="G78" s="223"/>
      <c r="H78" s="223"/>
      <c r="I78" s="223"/>
      <c r="J78" s="223"/>
      <c r="K78" s="223"/>
      <c r="L78" s="223"/>
      <c r="M78" s="223"/>
      <c r="N78" s="223"/>
      <c r="O78" s="223"/>
      <c r="P78" s="223"/>
      <c r="Q78" s="223"/>
      <c r="R78" s="223"/>
      <c r="S78" s="223"/>
      <c r="T78" s="223"/>
      <c r="U78" s="223"/>
      <c r="V78" s="223"/>
      <c r="W78" s="223"/>
      <c r="X78" s="223"/>
      <c r="Y78" s="223"/>
      <c r="Z78" s="223"/>
      <c r="AA78" s="223"/>
      <c r="AB78" s="223"/>
      <c r="AC78" s="223"/>
      <c r="AD78" s="223"/>
      <c r="AE78" s="223"/>
      <c r="AF78" s="223"/>
      <c r="AG78" s="223"/>
      <c r="AH78" s="223"/>
      <c r="AI78" s="223"/>
      <c r="AJ78" s="223"/>
      <c r="AK78" s="223"/>
      <c r="AL78" s="223"/>
      <c r="AM78" s="223"/>
      <c r="AN78" s="223"/>
      <c r="AO78" s="223"/>
      <c r="AP78" s="223"/>
      <c r="AQ78" s="223"/>
      <c r="AR78" s="223"/>
      <c r="AS78" s="223"/>
      <c r="AT78" s="223"/>
      <c r="AU78" s="223"/>
      <c r="AV78" s="223"/>
      <c r="AW78" s="223"/>
      <c r="AX78" s="223"/>
      <c r="AY78" s="223"/>
      <c r="AZ78" s="223"/>
      <c r="BA78" s="223"/>
      <c r="BB78" s="223"/>
      <c r="BC78" s="223"/>
      <c r="BD78" s="223"/>
      <c r="BE78" s="223"/>
      <c r="BF78" s="223"/>
      <c r="BG78" s="223"/>
      <c r="BH78" s="223"/>
      <c r="BI78" s="223"/>
      <c r="BJ78" s="223"/>
      <c r="BK78" s="223"/>
      <c r="BL78" s="223"/>
      <c r="BM78" s="223"/>
      <c r="BN78" s="223"/>
      <c r="BO78" s="223"/>
      <c r="BP78" s="223"/>
      <c r="BQ78" s="227"/>
      <c r="BR78" s="227"/>
      <c r="BS78" s="227"/>
      <c r="BT78" s="227"/>
      <c r="BU78" s="227"/>
      <c r="BV78" s="227"/>
      <c r="BW78" s="227"/>
      <c r="BX78" s="227"/>
      <c r="BY78" s="227"/>
      <c r="BZ78" s="227"/>
      <c r="CA78" s="227"/>
      <c r="CB78" s="227"/>
      <c r="CC78" s="227"/>
      <c r="CD78" s="227"/>
      <c r="CE78" s="227"/>
      <c r="CF78" s="227"/>
      <c r="CG78" s="227"/>
      <c r="CH78" s="227"/>
      <c r="CI78" s="227"/>
      <c r="CJ78" s="227"/>
      <c r="CK78" s="227"/>
      <c r="CL78" s="227"/>
      <c r="CM78" s="227"/>
      <c r="CN78" s="227"/>
      <c r="CO78" s="227"/>
      <c r="CP78" s="227"/>
      <c r="CQ78" s="227"/>
      <c r="CR78" s="227"/>
      <c r="CS78" s="227"/>
      <c r="CT78" s="227"/>
      <c r="CU78" s="225"/>
      <c r="CV78" s="227"/>
    </row>
    <row r="79" spans="1:100" ht="20.100000000000001" customHeight="1">
      <c r="A79" s="227">
        <v>36</v>
      </c>
      <c r="B79" s="225"/>
      <c r="C79" s="227"/>
      <c r="D79" s="228" cm="1">
        <f t="array" ref="D79">IFERROR(
(SUMPRODUCT(E79:CU79*$E$6:$CU$6)/100) + (SUMPRODUCT(E79:CU79*$E$6:$CU$6*$E$3:$CU$3)/100),
0
)</f>
        <v>0</v>
      </c>
      <c r="E79" s="227"/>
      <c r="F79" s="227"/>
      <c r="G79" s="227"/>
      <c r="H79" s="227"/>
      <c r="I79" s="227"/>
      <c r="J79" s="227"/>
      <c r="K79" s="227"/>
      <c r="L79" s="227"/>
      <c r="M79" s="227"/>
      <c r="N79" s="227"/>
      <c r="O79" s="227"/>
      <c r="P79" s="227"/>
      <c r="Q79" s="227"/>
      <c r="R79" s="227"/>
      <c r="S79" s="227"/>
      <c r="T79" s="227"/>
      <c r="U79" s="22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  <c r="BQ79" s="227"/>
      <c r="BR79" s="227"/>
      <c r="BS79" s="227"/>
      <c r="BT79" s="227"/>
      <c r="BU79" s="227"/>
      <c r="BV79" s="227"/>
      <c r="BW79" s="227"/>
      <c r="BX79" s="227"/>
      <c r="BY79" s="227"/>
      <c r="BZ79" s="227"/>
      <c r="CA79" s="227"/>
      <c r="CB79" s="227"/>
      <c r="CC79" s="227"/>
      <c r="CD79" s="227"/>
      <c r="CE79" s="227"/>
      <c r="CF79" s="227"/>
      <c r="CG79" s="227"/>
      <c r="CH79" s="227"/>
      <c r="CI79" s="227"/>
      <c r="CJ79" s="227"/>
      <c r="CK79" s="227"/>
      <c r="CL79" s="227"/>
      <c r="CM79" s="227"/>
      <c r="CN79" s="227"/>
      <c r="CO79" s="227"/>
      <c r="CP79" s="227"/>
      <c r="CQ79" s="227"/>
      <c r="CR79" s="227"/>
      <c r="CS79" s="227"/>
      <c r="CT79" s="227"/>
      <c r="CU79" s="225"/>
      <c r="CV79" s="227"/>
    </row>
    <row r="80" spans="1:100" ht="20.100000000000001" customHeight="1">
      <c r="A80" s="223"/>
      <c r="B80" s="225"/>
      <c r="C80" s="227"/>
      <c r="D80" s="224"/>
      <c r="E80" s="223"/>
      <c r="F80" s="223"/>
      <c r="G80" s="223"/>
      <c r="H80" s="223"/>
      <c r="I80" s="223"/>
      <c r="J80" s="223"/>
      <c r="K80" s="223"/>
      <c r="L80" s="223"/>
      <c r="M80" s="223"/>
      <c r="N80" s="223"/>
      <c r="O80" s="223"/>
      <c r="P80" s="223"/>
      <c r="Q80" s="223"/>
      <c r="R80" s="223"/>
      <c r="S80" s="223"/>
      <c r="T80" s="223"/>
      <c r="U80" s="223"/>
      <c r="V80" s="223"/>
      <c r="W80" s="223"/>
      <c r="X80" s="223"/>
      <c r="Y80" s="223"/>
      <c r="Z80" s="223"/>
      <c r="AA80" s="223"/>
      <c r="AB80" s="223"/>
      <c r="AC80" s="223"/>
      <c r="AD80" s="223"/>
      <c r="AE80" s="223"/>
      <c r="AF80" s="223"/>
      <c r="AG80" s="223"/>
      <c r="AH80" s="223"/>
      <c r="AI80" s="223"/>
      <c r="AJ80" s="223"/>
      <c r="AK80" s="223"/>
      <c r="AL80" s="223"/>
      <c r="AM80" s="223"/>
      <c r="AN80" s="223"/>
      <c r="AO80" s="223"/>
      <c r="AP80" s="223"/>
      <c r="AQ80" s="223"/>
      <c r="AR80" s="223"/>
      <c r="AS80" s="223"/>
      <c r="AT80" s="223"/>
      <c r="AU80" s="223"/>
      <c r="AV80" s="223"/>
      <c r="AW80" s="223"/>
      <c r="AX80" s="223"/>
      <c r="AY80" s="223"/>
      <c r="AZ80" s="223"/>
      <c r="BA80" s="223"/>
      <c r="BB80" s="223"/>
      <c r="BC80" s="223"/>
      <c r="BD80" s="223"/>
      <c r="BE80" s="223"/>
      <c r="BF80" s="223"/>
      <c r="BG80" s="223"/>
      <c r="BH80" s="223"/>
      <c r="BI80" s="223"/>
      <c r="BJ80" s="223"/>
      <c r="BK80" s="223"/>
      <c r="BL80" s="223"/>
      <c r="BM80" s="223"/>
      <c r="BN80" s="223"/>
      <c r="BO80" s="223"/>
      <c r="BP80" s="223"/>
      <c r="BQ80" s="227"/>
      <c r="BR80" s="227"/>
      <c r="BS80" s="227"/>
      <c r="BT80" s="227"/>
      <c r="BU80" s="227"/>
      <c r="BV80" s="227"/>
      <c r="BW80" s="227"/>
      <c r="BX80" s="227"/>
      <c r="BY80" s="227"/>
      <c r="BZ80" s="227"/>
      <c r="CA80" s="227"/>
      <c r="CB80" s="227"/>
      <c r="CC80" s="227"/>
      <c r="CD80" s="227"/>
      <c r="CE80" s="227"/>
      <c r="CF80" s="227"/>
      <c r="CG80" s="227"/>
      <c r="CH80" s="227"/>
      <c r="CI80" s="227"/>
      <c r="CJ80" s="227"/>
      <c r="CK80" s="227"/>
      <c r="CL80" s="227"/>
      <c r="CM80" s="227"/>
      <c r="CN80" s="227"/>
      <c r="CO80" s="227"/>
      <c r="CP80" s="227"/>
      <c r="CQ80" s="227"/>
      <c r="CR80" s="227"/>
      <c r="CS80" s="227"/>
      <c r="CT80" s="227"/>
      <c r="CU80" s="225"/>
      <c r="CV80" s="227"/>
    </row>
    <row r="81" spans="1:100" ht="20.100000000000001" customHeight="1">
      <c r="A81" s="227">
        <v>37</v>
      </c>
      <c r="B81" s="225"/>
      <c r="C81" s="227"/>
      <c r="D81" s="228" cm="1">
        <f t="array" ref="D81">IFERROR(
(SUMPRODUCT(E81:CU81*$E$6:$CU$6)/100) + (SUMPRODUCT(E81:CU81*$E$6:$CU$6*$E$3:$CU$3)/100),
0
)</f>
        <v>0</v>
      </c>
      <c r="E81" s="227"/>
      <c r="F81" s="227"/>
      <c r="G81" s="227"/>
      <c r="H81" s="227"/>
      <c r="I81" s="227"/>
      <c r="J81" s="227"/>
      <c r="K81" s="227"/>
      <c r="L81" s="227"/>
      <c r="M81" s="227"/>
      <c r="N81" s="227"/>
      <c r="O81" s="227"/>
      <c r="P81" s="227"/>
      <c r="Q81" s="227"/>
      <c r="R81" s="227"/>
      <c r="S81" s="227"/>
      <c r="T81" s="227"/>
      <c r="U81" s="22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  <c r="BQ81" s="227"/>
      <c r="BR81" s="227"/>
      <c r="BS81" s="227"/>
      <c r="BT81" s="227"/>
      <c r="BU81" s="227"/>
      <c r="BV81" s="227"/>
      <c r="BW81" s="227"/>
      <c r="BX81" s="227"/>
      <c r="BY81" s="227"/>
      <c r="BZ81" s="227"/>
      <c r="CA81" s="227"/>
      <c r="CB81" s="227"/>
      <c r="CC81" s="227"/>
      <c r="CD81" s="227"/>
      <c r="CE81" s="227"/>
      <c r="CF81" s="227"/>
      <c r="CG81" s="227"/>
      <c r="CH81" s="227"/>
      <c r="CI81" s="227"/>
      <c r="CJ81" s="227"/>
      <c r="CK81" s="227"/>
      <c r="CL81" s="227"/>
      <c r="CM81" s="227"/>
      <c r="CN81" s="227"/>
      <c r="CO81" s="227"/>
      <c r="CP81" s="227"/>
      <c r="CQ81" s="227"/>
      <c r="CR81" s="227"/>
      <c r="CS81" s="227"/>
      <c r="CT81" s="227"/>
      <c r="CU81" s="225"/>
      <c r="CV81" s="227"/>
    </row>
    <row r="82" spans="1:100" ht="20.100000000000001" customHeight="1">
      <c r="A82" s="227"/>
      <c r="B82" s="225"/>
      <c r="C82" s="227"/>
      <c r="D82" s="224"/>
      <c r="E82" s="223"/>
      <c r="F82" s="223"/>
      <c r="G82" s="223"/>
      <c r="H82" s="223"/>
      <c r="I82" s="223"/>
      <c r="J82" s="223"/>
      <c r="K82" s="223"/>
      <c r="L82" s="223"/>
      <c r="M82" s="223"/>
      <c r="N82" s="223"/>
      <c r="O82" s="223"/>
      <c r="P82" s="223"/>
      <c r="Q82" s="223"/>
      <c r="R82" s="223"/>
      <c r="S82" s="223"/>
      <c r="T82" s="223"/>
      <c r="U82" s="223"/>
      <c r="V82" s="223"/>
      <c r="W82" s="223"/>
      <c r="X82" s="223"/>
      <c r="Y82" s="223"/>
      <c r="Z82" s="223"/>
      <c r="AA82" s="223"/>
      <c r="AB82" s="223"/>
      <c r="AC82" s="223"/>
      <c r="AD82" s="223"/>
      <c r="AE82" s="223"/>
      <c r="AF82" s="223"/>
      <c r="AG82" s="223"/>
      <c r="AH82" s="223"/>
      <c r="AI82" s="223"/>
      <c r="AJ82" s="223"/>
      <c r="AK82" s="223"/>
      <c r="AL82" s="223"/>
      <c r="AM82" s="223"/>
      <c r="AN82" s="223"/>
      <c r="AO82" s="223"/>
      <c r="AP82" s="223"/>
      <c r="AQ82" s="223"/>
      <c r="AR82" s="223"/>
      <c r="AS82" s="223"/>
      <c r="AT82" s="223"/>
      <c r="AU82" s="223"/>
      <c r="AV82" s="223"/>
      <c r="AW82" s="223"/>
      <c r="AX82" s="223"/>
      <c r="AY82" s="223"/>
      <c r="AZ82" s="223"/>
      <c r="BA82" s="223"/>
      <c r="BB82" s="223"/>
      <c r="BC82" s="223"/>
      <c r="BD82" s="223"/>
      <c r="BE82" s="223"/>
      <c r="BF82" s="223"/>
      <c r="BG82" s="223"/>
      <c r="BH82" s="223"/>
      <c r="BI82" s="223"/>
      <c r="BJ82" s="223"/>
      <c r="BK82" s="223"/>
      <c r="BL82" s="223"/>
      <c r="BM82" s="223"/>
      <c r="BN82" s="223"/>
      <c r="BO82" s="223"/>
      <c r="BP82" s="223"/>
      <c r="BQ82" s="227"/>
      <c r="BR82" s="227"/>
      <c r="BS82" s="227"/>
      <c r="BT82" s="227"/>
      <c r="BU82" s="227"/>
      <c r="BV82" s="227"/>
      <c r="BW82" s="227"/>
      <c r="BX82" s="227"/>
      <c r="BY82" s="227"/>
      <c r="BZ82" s="227"/>
      <c r="CA82" s="227"/>
      <c r="CB82" s="227"/>
      <c r="CC82" s="227"/>
      <c r="CD82" s="227"/>
      <c r="CE82" s="227"/>
      <c r="CF82" s="227"/>
      <c r="CG82" s="227"/>
      <c r="CH82" s="227"/>
      <c r="CI82" s="227"/>
      <c r="CJ82" s="227"/>
      <c r="CK82" s="227"/>
      <c r="CL82" s="227"/>
      <c r="CM82" s="227"/>
      <c r="CN82" s="227"/>
      <c r="CO82" s="227"/>
      <c r="CP82" s="227"/>
      <c r="CQ82" s="227"/>
      <c r="CR82" s="227"/>
      <c r="CS82" s="227"/>
      <c r="CT82" s="227"/>
      <c r="CU82" s="225"/>
      <c r="CV82" s="227"/>
    </row>
    <row r="83" spans="1:100" ht="20.100000000000001" customHeight="1">
      <c r="A83" s="227">
        <v>38</v>
      </c>
      <c r="B83" s="225"/>
      <c r="C83" s="227"/>
      <c r="D83" s="228" cm="1">
        <f t="array" ref="D83">IFERROR(
(SUMPRODUCT(E83:CU83*$E$6:$CU$6)/100) + (SUMPRODUCT(E83:CU83*$E$6:$CU$6*$E$3:$CU$3)/100),
0
)</f>
        <v>0</v>
      </c>
      <c r="E83" s="227"/>
      <c r="F83" s="227"/>
      <c r="G83" s="227"/>
      <c r="H83" s="227"/>
      <c r="I83" s="227"/>
      <c r="J83" s="227"/>
      <c r="K83" s="227"/>
      <c r="L83" s="227"/>
      <c r="M83" s="227"/>
      <c r="N83" s="227"/>
      <c r="O83" s="227"/>
      <c r="P83" s="227"/>
      <c r="Q83" s="227"/>
      <c r="R83" s="227"/>
      <c r="S83" s="227"/>
      <c r="T83" s="227"/>
      <c r="U83" s="22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  <c r="BQ83" s="227"/>
      <c r="BR83" s="227"/>
      <c r="BS83" s="227"/>
      <c r="BT83" s="227"/>
      <c r="BU83" s="227"/>
      <c r="BV83" s="227"/>
      <c r="BW83" s="227"/>
      <c r="BX83" s="227"/>
      <c r="BY83" s="227"/>
      <c r="BZ83" s="227"/>
      <c r="CA83" s="227"/>
      <c r="CB83" s="227"/>
      <c r="CC83" s="227"/>
      <c r="CD83" s="227"/>
      <c r="CE83" s="227"/>
      <c r="CF83" s="227"/>
      <c r="CG83" s="227"/>
      <c r="CH83" s="227"/>
      <c r="CI83" s="227"/>
      <c r="CJ83" s="227"/>
      <c r="CK83" s="227"/>
      <c r="CL83" s="227"/>
      <c r="CM83" s="227"/>
      <c r="CN83" s="227"/>
      <c r="CO83" s="227"/>
      <c r="CP83" s="227"/>
      <c r="CQ83" s="227"/>
      <c r="CR83" s="227"/>
      <c r="CS83" s="227"/>
      <c r="CT83" s="227"/>
      <c r="CU83" s="225"/>
      <c r="CV83" s="227"/>
    </row>
    <row r="84" spans="1:100" ht="20.100000000000001" customHeight="1">
      <c r="A84" s="223"/>
      <c r="B84" s="225"/>
      <c r="C84" s="227"/>
      <c r="D84" s="224"/>
      <c r="E84" s="223"/>
      <c r="F84" s="223"/>
      <c r="G84" s="223"/>
      <c r="H84" s="223"/>
      <c r="I84" s="223"/>
      <c r="J84" s="223"/>
      <c r="K84" s="223"/>
      <c r="L84" s="223"/>
      <c r="M84" s="223"/>
      <c r="N84" s="223"/>
      <c r="O84" s="223"/>
      <c r="P84" s="223"/>
      <c r="Q84" s="223"/>
      <c r="R84" s="223"/>
      <c r="S84" s="223"/>
      <c r="T84" s="223"/>
      <c r="U84" s="223"/>
      <c r="V84" s="223"/>
      <c r="W84" s="223"/>
      <c r="X84" s="223"/>
      <c r="Y84" s="223"/>
      <c r="Z84" s="223"/>
      <c r="AA84" s="223"/>
      <c r="AB84" s="223"/>
      <c r="AC84" s="223"/>
      <c r="AD84" s="223"/>
      <c r="AE84" s="223"/>
      <c r="AF84" s="223"/>
      <c r="AG84" s="223"/>
      <c r="AH84" s="223"/>
      <c r="AI84" s="223"/>
      <c r="AJ84" s="223"/>
      <c r="AK84" s="223"/>
      <c r="AL84" s="223"/>
      <c r="AM84" s="223"/>
      <c r="AN84" s="223"/>
      <c r="AO84" s="223"/>
      <c r="AP84" s="223"/>
      <c r="AQ84" s="223"/>
      <c r="AR84" s="223"/>
      <c r="AS84" s="223"/>
      <c r="AT84" s="223"/>
      <c r="AU84" s="223"/>
      <c r="AV84" s="223"/>
      <c r="AW84" s="223"/>
      <c r="AX84" s="223"/>
      <c r="AY84" s="223"/>
      <c r="AZ84" s="223"/>
      <c r="BA84" s="223"/>
      <c r="BB84" s="223"/>
      <c r="BC84" s="223"/>
      <c r="BD84" s="223"/>
      <c r="BE84" s="223"/>
      <c r="BF84" s="223"/>
      <c r="BG84" s="223"/>
      <c r="BH84" s="223"/>
      <c r="BI84" s="223"/>
      <c r="BJ84" s="223"/>
      <c r="BK84" s="223"/>
      <c r="BL84" s="223"/>
      <c r="BM84" s="223"/>
      <c r="BN84" s="223"/>
      <c r="BO84" s="223"/>
      <c r="BP84" s="223"/>
      <c r="BQ84" s="227"/>
      <c r="BR84" s="227"/>
      <c r="BS84" s="227"/>
      <c r="BT84" s="227"/>
      <c r="BU84" s="227"/>
      <c r="BV84" s="227"/>
      <c r="BW84" s="227"/>
      <c r="BX84" s="227"/>
      <c r="BY84" s="227"/>
      <c r="BZ84" s="227"/>
      <c r="CA84" s="227"/>
      <c r="CB84" s="227"/>
      <c r="CC84" s="227"/>
      <c r="CD84" s="227"/>
      <c r="CE84" s="227"/>
      <c r="CF84" s="227"/>
      <c r="CG84" s="227"/>
      <c r="CH84" s="227"/>
      <c r="CI84" s="227"/>
      <c r="CJ84" s="227"/>
      <c r="CK84" s="227"/>
      <c r="CL84" s="227"/>
      <c r="CM84" s="227"/>
      <c r="CN84" s="227"/>
      <c r="CO84" s="227"/>
      <c r="CP84" s="227"/>
      <c r="CQ84" s="227"/>
      <c r="CR84" s="227"/>
      <c r="CS84" s="227"/>
      <c r="CT84" s="227"/>
      <c r="CU84" s="225"/>
      <c r="CV84" s="227"/>
    </row>
    <row r="85" spans="1:100" ht="20.100000000000001" customHeight="1">
      <c r="A85" s="227">
        <v>39</v>
      </c>
      <c r="B85" s="225"/>
      <c r="C85" s="227"/>
      <c r="D85" s="228" cm="1">
        <f t="array" ref="D85">IFERROR(
(SUMPRODUCT(E85:CU85*$E$6:$CU$6)/100) + (SUMPRODUCT(E85:CU85*$E$6:$CU$6*$E$3:$CU$3)/100),
0
)</f>
        <v>0</v>
      </c>
      <c r="E85" s="227"/>
      <c r="F85" s="227"/>
      <c r="G85" s="227"/>
      <c r="H85" s="227"/>
      <c r="I85" s="227"/>
      <c r="J85" s="227"/>
      <c r="K85" s="227"/>
      <c r="L85" s="227"/>
      <c r="M85" s="227"/>
      <c r="N85" s="227"/>
      <c r="O85" s="227"/>
      <c r="P85" s="227"/>
      <c r="Q85" s="227"/>
      <c r="R85" s="227"/>
      <c r="S85" s="227"/>
      <c r="T85" s="227"/>
      <c r="U85" s="227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  <c r="BQ85" s="227"/>
      <c r="BR85" s="227"/>
      <c r="BS85" s="227"/>
      <c r="BT85" s="227"/>
      <c r="BU85" s="227"/>
      <c r="BV85" s="227"/>
      <c r="BW85" s="227"/>
      <c r="BX85" s="227"/>
      <c r="BY85" s="227"/>
      <c r="BZ85" s="227"/>
      <c r="CA85" s="227"/>
      <c r="CB85" s="227"/>
      <c r="CC85" s="227"/>
      <c r="CD85" s="227"/>
      <c r="CE85" s="227"/>
      <c r="CF85" s="227"/>
      <c r="CG85" s="227"/>
      <c r="CH85" s="227"/>
      <c r="CI85" s="227"/>
      <c r="CJ85" s="227"/>
      <c r="CK85" s="227"/>
      <c r="CL85" s="227"/>
      <c r="CM85" s="227"/>
      <c r="CN85" s="227"/>
      <c r="CO85" s="227"/>
      <c r="CP85" s="227"/>
      <c r="CQ85" s="227"/>
      <c r="CR85" s="227"/>
      <c r="CS85" s="227"/>
      <c r="CT85" s="227"/>
      <c r="CU85" s="225"/>
      <c r="CV85" s="227"/>
    </row>
    <row r="86" spans="1:100" ht="20.100000000000001" customHeight="1">
      <c r="A86" s="227"/>
      <c r="B86" s="225"/>
      <c r="C86" s="227"/>
      <c r="D86" s="224"/>
      <c r="E86" s="223"/>
      <c r="F86" s="223"/>
      <c r="G86" s="223"/>
      <c r="H86" s="223"/>
      <c r="I86" s="223"/>
      <c r="J86" s="223"/>
      <c r="K86" s="223"/>
      <c r="L86" s="223"/>
      <c r="M86" s="223"/>
      <c r="N86" s="223"/>
      <c r="O86" s="223"/>
      <c r="P86" s="223"/>
      <c r="Q86" s="223"/>
      <c r="R86" s="223"/>
      <c r="S86" s="223"/>
      <c r="T86" s="223"/>
      <c r="U86" s="223"/>
      <c r="V86" s="223"/>
      <c r="W86" s="223"/>
      <c r="X86" s="223"/>
      <c r="Y86" s="223"/>
      <c r="Z86" s="223"/>
      <c r="AA86" s="223"/>
      <c r="AB86" s="223"/>
      <c r="AC86" s="223"/>
      <c r="AD86" s="223"/>
      <c r="AE86" s="223"/>
      <c r="AF86" s="223"/>
      <c r="AG86" s="223"/>
      <c r="AH86" s="223"/>
      <c r="AI86" s="223"/>
      <c r="AJ86" s="223"/>
      <c r="AK86" s="223"/>
      <c r="AL86" s="223"/>
      <c r="AM86" s="223"/>
      <c r="AN86" s="223"/>
      <c r="AO86" s="223"/>
      <c r="AP86" s="223"/>
      <c r="AQ86" s="223"/>
      <c r="AR86" s="223"/>
      <c r="AS86" s="223"/>
      <c r="AT86" s="223"/>
      <c r="AU86" s="223"/>
      <c r="AV86" s="223"/>
      <c r="AW86" s="223"/>
      <c r="AX86" s="223"/>
      <c r="AY86" s="223"/>
      <c r="AZ86" s="223"/>
      <c r="BA86" s="223"/>
      <c r="BB86" s="223"/>
      <c r="BC86" s="223"/>
      <c r="BD86" s="223"/>
      <c r="BE86" s="223"/>
      <c r="BF86" s="223"/>
      <c r="BG86" s="223"/>
      <c r="BH86" s="223"/>
      <c r="BI86" s="223"/>
      <c r="BJ86" s="223"/>
      <c r="BK86" s="223"/>
      <c r="BL86" s="223"/>
      <c r="BM86" s="223"/>
      <c r="BN86" s="223"/>
      <c r="BO86" s="223"/>
      <c r="BP86" s="223"/>
      <c r="BQ86" s="227"/>
      <c r="BR86" s="227"/>
      <c r="BS86" s="227"/>
      <c r="BT86" s="227"/>
      <c r="BU86" s="227"/>
      <c r="BV86" s="227"/>
      <c r="BW86" s="227"/>
      <c r="BX86" s="227"/>
      <c r="BY86" s="227"/>
      <c r="BZ86" s="227"/>
      <c r="CA86" s="227"/>
      <c r="CB86" s="227"/>
      <c r="CC86" s="227"/>
      <c r="CD86" s="227"/>
      <c r="CE86" s="227"/>
      <c r="CF86" s="227"/>
      <c r="CG86" s="227"/>
      <c r="CH86" s="227"/>
      <c r="CI86" s="227"/>
      <c r="CJ86" s="227"/>
      <c r="CK86" s="227"/>
      <c r="CL86" s="227"/>
      <c r="CM86" s="227"/>
      <c r="CN86" s="227"/>
      <c r="CO86" s="227"/>
      <c r="CP86" s="227"/>
      <c r="CQ86" s="227"/>
      <c r="CR86" s="227"/>
      <c r="CS86" s="227"/>
      <c r="CT86" s="227"/>
      <c r="CU86" s="225"/>
      <c r="CV86" s="227"/>
    </row>
    <row r="87" spans="1:100" ht="20.100000000000001" customHeight="1">
      <c r="A87" s="227">
        <v>40</v>
      </c>
      <c r="B87" s="225"/>
      <c r="C87" s="227"/>
      <c r="D87" s="228" cm="1">
        <f t="array" ref="D87">IFERROR(
(SUMPRODUCT(E87:CU87*$E$6:$CU$6)/100) + (SUMPRODUCT(E87:CU87*$E$6:$CU$6*$E$3:$CU$3)/100),
0
)</f>
        <v>0</v>
      </c>
      <c r="E87" s="227"/>
      <c r="F87" s="227"/>
      <c r="G87" s="227"/>
      <c r="H87" s="227"/>
      <c r="I87" s="227"/>
      <c r="J87" s="227"/>
      <c r="K87" s="227"/>
      <c r="L87" s="227"/>
      <c r="M87" s="227"/>
      <c r="N87" s="227"/>
      <c r="O87" s="227"/>
      <c r="P87" s="227"/>
      <c r="Q87" s="227"/>
      <c r="R87" s="22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  <c r="BQ87" s="227"/>
      <c r="BR87" s="227"/>
      <c r="BS87" s="227"/>
      <c r="BT87" s="227"/>
      <c r="BU87" s="227"/>
      <c r="BV87" s="227"/>
      <c r="BW87" s="227"/>
      <c r="BX87" s="227"/>
      <c r="BY87" s="227"/>
      <c r="BZ87" s="227"/>
      <c r="CA87" s="227"/>
      <c r="CB87" s="227"/>
      <c r="CC87" s="227"/>
      <c r="CD87" s="227"/>
      <c r="CE87" s="227"/>
      <c r="CF87" s="227"/>
      <c r="CG87" s="227"/>
      <c r="CH87" s="227"/>
      <c r="CI87" s="227"/>
      <c r="CJ87" s="227"/>
      <c r="CK87" s="227"/>
      <c r="CL87" s="227"/>
      <c r="CM87" s="227"/>
      <c r="CN87" s="227"/>
      <c r="CO87" s="227"/>
      <c r="CP87" s="227"/>
      <c r="CQ87" s="227"/>
      <c r="CR87" s="227"/>
      <c r="CS87" s="227"/>
      <c r="CT87" s="227"/>
      <c r="CU87" s="225"/>
      <c r="CV87" s="227"/>
    </row>
    <row r="88" spans="1:100" ht="20.100000000000001" customHeight="1">
      <c r="A88" s="223"/>
      <c r="B88" s="225"/>
      <c r="C88" s="227"/>
      <c r="D88" s="224"/>
      <c r="E88" s="223"/>
      <c r="F88" s="223"/>
      <c r="G88" s="223"/>
      <c r="H88" s="223"/>
      <c r="I88" s="223"/>
      <c r="J88" s="223"/>
      <c r="K88" s="223"/>
      <c r="L88" s="223"/>
      <c r="M88" s="223"/>
      <c r="N88" s="223"/>
      <c r="O88" s="223"/>
      <c r="P88" s="223"/>
      <c r="Q88" s="223"/>
      <c r="R88" s="223"/>
      <c r="S88" s="223"/>
      <c r="T88" s="223"/>
      <c r="U88" s="223"/>
      <c r="V88" s="223"/>
      <c r="W88" s="223"/>
      <c r="X88" s="223"/>
      <c r="Y88" s="223"/>
      <c r="Z88" s="223"/>
      <c r="AA88" s="223"/>
      <c r="AB88" s="223"/>
      <c r="AC88" s="223"/>
      <c r="AD88" s="223"/>
      <c r="AE88" s="223"/>
      <c r="AF88" s="223"/>
      <c r="AG88" s="223"/>
      <c r="AH88" s="223"/>
      <c r="AI88" s="223"/>
      <c r="AJ88" s="223"/>
      <c r="AK88" s="223"/>
      <c r="AL88" s="223"/>
      <c r="AM88" s="223"/>
      <c r="AN88" s="223"/>
      <c r="AO88" s="223"/>
      <c r="AP88" s="223"/>
      <c r="AQ88" s="223"/>
      <c r="AR88" s="223"/>
      <c r="AS88" s="223"/>
      <c r="AT88" s="223"/>
      <c r="AU88" s="223"/>
      <c r="AV88" s="223"/>
      <c r="AW88" s="223"/>
      <c r="AX88" s="223"/>
      <c r="AY88" s="223"/>
      <c r="AZ88" s="223"/>
      <c r="BA88" s="223"/>
      <c r="BB88" s="223"/>
      <c r="BC88" s="223"/>
      <c r="BD88" s="223"/>
      <c r="BE88" s="223"/>
      <c r="BF88" s="223"/>
      <c r="BG88" s="223"/>
      <c r="BH88" s="223"/>
      <c r="BI88" s="223"/>
      <c r="BJ88" s="223"/>
      <c r="BK88" s="223"/>
      <c r="BL88" s="223"/>
      <c r="BM88" s="223"/>
      <c r="BN88" s="223"/>
      <c r="BO88" s="223"/>
      <c r="BP88" s="223"/>
      <c r="BQ88" s="227"/>
      <c r="BR88" s="227"/>
      <c r="BS88" s="227"/>
      <c r="BT88" s="227"/>
      <c r="BU88" s="227"/>
      <c r="BV88" s="227"/>
      <c r="BW88" s="227"/>
      <c r="BX88" s="227"/>
      <c r="BY88" s="227"/>
      <c r="BZ88" s="227"/>
      <c r="CA88" s="227"/>
      <c r="CB88" s="227"/>
      <c r="CC88" s="227"/>
      <c r="CD88" s="227"/>
      <c r="CE88" s="227"/>
      <c r="CF88" s="227"/>
      <c r="CG88" s="227"/>
      <c r="CH88" s="227"/>
      <c r="CI88" s="227"/>
      <c r="CJ88" s="227"/>
      <c r="CK88" s="227"/>
      <c r="CL88" s="227"/>
      <c r="CM88" s="227"/>
      <c r="CN88" s="227"/>
      <c r="CO88" s="227"/>
      <c r="CP88" s="227"/>
      <c r="CQ88" s="227"/>
      <c r="CR88" s="227"/>
      <c r="CS88" s="227"/>
      <c r="CT88" s="227"/>
      <c r="CU88" s="225"/>
      <c r="CV88" s="227"/>
    </row>
    <row r="89" spans="1:100" ht="20.100000000000001" customHeight="1">
      <c r="A89" s="227">
        <v>41</v>
      </c>
      <c r="B89" s="225"/>
      <c r="C89" s="227"/>
      <c r="D89" s="228" cm="1">
        <f t="array" ref="D89">IFERROR(
(SUMPRODUCT(E89:CU89*$E$6:$CU$6)/100) + (SUMPRODUCT(E89:CU89*$E$6:$CU$6*$E$3:$CU$3)/100),
0
)</f>
        <v>0</v>
      </c>
      <c r="E89" s="227"/>
      <c r="F89" s="227"/>
      <c r="G89" s="227"/>
      <c r="H89" s="227"/>
      <c r="I89" s="227"/>
      <c r="J89" s="227"/>
      <c r="K89" s="227"/>
      <c r="L89" s="227"/>
      <c r="M89" s="227"/>
      <c r="N89" s="227"/>
      <c r="O89" s="227"/>
      <c r="P89" s="227"/>
      <c r="Q89" s="227"/>
      <c r="R89" s="22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  <c r="BQ89" s="227"/>
      <c r="BR89" s="227"/>
      <c r="BS89" s="227"/>
      <c r="BT89" s="227"/>
      <c r="BU89" s="227"/>
      <c r="BV89" s="227"/>
      <c r="BW89" s="227"/>
      <c r="BX89" s="227"/>
      <c r="BY89" s="227"/>
      <c r="BZ89" s="227"/>
      <c r="CA89" s="227"/>
      <c r="CB89" s="227"/>
      <c r="CC89" s="227"/>
      <c r="CD89" s="227"/>
      <c r="CE89" s="227"/>
      <c r="CF89" s="227"/>
      <c r="CG89" s="227"/>
      <c r="CH89" s="227"/>
      <c r="CI89" s="227"/>
      <c r="CJ89" s="227"/>
      <c r="CK89" s="227"/>
      <c r="CL89" s="227"/>
      <c r="CM89" s="227"/>
      <c r="CN89" s="227"/>
      <c r="CO89" s="227"/>
      <c r="CP89" s="227"/>
      <c r="CQ89" s="227"/>
      <c r="CR89" s="227"/>
      <c r="CS89" s="227"/>
      <c r="CT89" s="227"/>
      <c r="CU89" s="225"/>
      <c r="CV89" s="227"/>
    </row>
    <row r="90" spans="1:100" ht="20.100000000000001" customHeight="1">
      <c r="A90" s="227"/>
      <c r="B90" s="225"/>
      <c r="C90" s="227"/>
      <c r="D90" s="224"/>
      <c r="E90" s="223"/>
      <c r="F90" s="223"/>
      <c r="G90" s="223"/>
      <c r="H90" s="223"/>
      <c r="I90" s="223"/>
      <c r="J90" s="223"/>
      <c r="K90" s="223"/>
      <c r="L90" s="223"/>
      <c r="M90" s="223"/>
      <c r="N90" s="223"/>
      <c r="O90" s="223"/>
      <c r="P90" s="223"/>
      <c r="Q90" s="223"/>
      <c r="R90" s="223"/>
      <c r="S90" s="223"/>
      <c r="T90" s="223"/>
      <c r="U90" s="223"/>
      <c r="V90" s="223"/>
      <c r="W90" s="223"/>
      <c r="X90" s="223"/>
      <c r="Y90" s="223"/>
      <c r="Z90" s="223"/>
      <c r="AA90" s="223"/>
      <c r="AB90" s="223"/>
      <c r="AC90" s="223"/>
      <c r="AD90" s="223"/>
      <c r="AE90" s="223"/>
      <c r="AF90" s="223"/>
      <c r="AG90" s="223"/>
      <c r="AH90" s="223"/>
      <c r="AI90" s="223"/>
      <c r="AJ90" s="223"/>
      <c r="AK90" s="223"/>
      <c r="AL90" s="223"/>
      <c r="AM90" s="223"/>
      <c r="AN90" s="223"/>
      <c r="AO90" s="223"/>
      <c r="AP90" s="223"/>
      <c r="AQ90" s="223"/>
      <c r="AR90" s="223"/>
      <c r="AS90" s="223"/>
      <c r="AT90" s="223"/>
      <c r="AU90" s="223"/>
      <c r="AV90" s="223"/>
      <c r="AW90" s="223"/>
      <c r="AX90" s="223"/>
      <c r="AY90" s="223"/>
      <c r="AZ90" s="223"/>
      <c r="BA90" s="223"/>
      <c r="BB90" s="223"/>
      <c r="BC90" s="223"/>
      <c r="BD90" s="223"/>
      <c r="BE90" s="223"/>
      <c r="BF90" s="223"/>
      <c r="BG90" s="223"/>
      <c r="BH90" s="223"/>
      <c r="BI90" s="223"/>
      <c r="BJ90" s="223"/>
      <c r="BK90" s="223"/>
      <c r="BL90" s="223"/>
      <c r="BM90" s="223"/>
      <c r="BN90" s="223"/>
      <c r="BO90" s="223"/>
      <c r="BP90" s="223"/>
      <c r="BQ90" s="227"/>
      <c r="BR90" s="227"/>
      <c r="BS90" s="227"/>
      <c r="BT90" s="227"/>
      <c r="BU90" s="227"/>
      <c r="BV90" s="227"/>
      <c r="BW90" s="227"/>
      <c r="BX90" s="227"/>
      <c r="BY90" s="227"/>
      <c r="BZ90" s="227"/>
      <c r="CA90" s="227"/>
      <c r="CB90" s="227"/>
      <c r="CC90" s="227"/>
      <c r="CD90" s="227"/>
      <c r="CE90" s="227"/>
      <c r="CF90" s="227"/>
      <c r="CG90" s="227"/>
      <c r="CH90" s="227"/>
      <c r="CI90" s="227"/>
      <c r="CJ90" s="227"/>
      <c r="CK90" s="227"/>
      <c r="CL90" s="227"/>
      <c r="CM90" s="227"/>
      <c r="CN90" s="227"/>
      <c r="CO90" s="227"/>
      <c r="CP90" s="227"/>
      <c r="CQ90" s="227"/>
      <c r="CR90" s="227"/>
      <c r="CS90" s="227"/>
      <c r="CT90" s="227"/>
      <c r="CU90" s="225"/>
      <c r="CV90" s="227"/>
    </row>
    <row r="91" spans="1:100" ht="20.100000000000001" customHeight="1">
      <c r="A91" s="227">
        <v>42</v>
      </c>
      <c r="B91" s="225"/>
      <c r="C91" s="227"/>
      <c r="D91" s="228" cm="1">
        <f t="array" ref="D91">IFERROR(
(SUMPRODUCT(E91:CU91*$E$6:$CU$6)/100) + (SUMPRODUCT(E91:CU91*$E$6:$CU$6*$E$3:$CU$3)/100),
0
)</f>
        <v>0</v>
      </c>
      <c r="E91" s="227"/>
      <c r="F91" s="227"/>
      <c r="G91" s="227"/>
      <c r="H91" s="227"/>
      <c r="I91" s="227"/>
      <c r="J91" s="227"/>
      <c r="K91" s="227"/>
      <c r="L91" s="227"/>
      <c r="M91" s="227"/>
      <c r="N91" s="227"/>
      <c r="O91" s="227"/>
      <c r="P91" s="227"/>
      <c r="Q91" s="227"/>
      <c r="R91" s="227"/>
      <c r="S91" s="227"/>
      <c r="T91" s="227"/>
      <c r="U91" s="227"/>
      <c r="V91" s="227"/>
      <c r="W91" s="227"/>
      <c r="X91" s="227"/>
      <c r="Y91" s="227"/>
      <c r="Z91" s="227"/>
      <c r="AA91" s="227"/>
      <c r="AB91" s="227"/>
      <c r="AC91" s="227"/>
      <c r="AD91" s="227"/>
      <c r="AE91" s="227"/>
      <c r="AF91" s="227"/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27"/>
      <c r="BC91" s="227"/>
      <c r="BD91" s="227"/>
      <c r="BE91" s="227"/>
      <c r="BF91" s="227"/>
      <c r="BG91" s="227"/>
      <c r="BH91" s="227"/>
      <c r="BI91" s="227"/>
      <c r="BJ91" s="227"/>
      <c r="BK91" s="227"/>
      <c r="BL91" s="227"/>
      <c r="BM91" s="227"/>
      <c r="BN91" s="227"/>
      <c r="BO91" s="227"/>
      <c r="BP91" s="227"/>
      <c r="BQ91" s="227"/>
      <c r="BR91" s="227"/>
      <c r="BS91" s="227"/>
      <c r="BT91" s="227"/>
      <c r="BU91" s="227"/>
      <c r="BV91" s="227"/>
      <c r="BW91" s="227"/>
      <c r="BX91" s="227"/>
      <c r="BY91" s="227"/>
      <c r="BZ91" s="227"/>
      <c r="CA91" s="227"/>
      <c r="CB91" s="227"/>
      <c r="CC91" s="227"/>
      <c r="CD91" s="227"/>
      <c r="CE91" s="227"/>
      <c r="CF91" s="227"/>
      <c r="CG91" s="227"/>
      <c r="CH91" s="227"/>
      <c r="CI91" s="227"/>
      <c r="CJ91" s="227"/>
      <c r="CK91" s="227"/>
      <c r="CL91" s="227"/>
      <c r="CM91" s="227"/>
      <c r="CN91" s="227"/>
      <c r="CO91" s="227"/>
      <c r="CP91" s="227"/>
      <c r="CQ91" s="227"/>
      <c r="CR91" s="227"/>
      <c r="CS91" s="227"/>
      <c r="CT91" s="227"/>
      <c r="CU91" s="225"/>
      <c r="CV91" s="227"/>
    </row>
    <row r="92" spans="1:100" ht="20.100000000000001" customHeight="1">
      <c r="A92" s="223"/>
      <c r="B92" s="225"/>
      <c r="C92" s="227"/>
      <c r="D92" s="224"/>
      <c r="E92" s="223"/>
      <c r="F92" s="223"/>
      <c r="G92" s="223"/>
      <c r="H92" s="223"/>
      <c r="I92" s="223"/>
      <c r="J92" s="223"/>
      <c r="K92" s="223"/>
      <c r="L92" s="223"/>
      <c r="M92" s="223"/>
      <c r="N92" s="223"/>
      <c r="O92" s="223"/>
      <c r="P92" s="223"/>
      <c r="Q92" s="223"/>
      <c r="R92" s="223"/>
      <c r="S92" s="223"/>
      <c r="T92" s="223"/>
      <c r="U92" s="223"/>
      <c r="V92" s="223"/>
      <c r="W92" s="223"/>
      <c r="X92" s="223"/>
      <c r="Y92" s="223"/>
      <c r="Z92" s="223"/>
      <c r="AA92" s="223"/>
      <c r="AB92" s="223"/>
      <c r="AC92" s="223"/>
      <c r="AD92" s="223"/>
      <c r="AE92" s="223"/>
      <c r="AF92" s="223"/>
      <c r="AG92" s="223"/>
      <c r="AH92" s="223"/>
      <c r="AI92" s="223"/>
      <c r="AJ92" s="223"/>
      <c r="AK92" s="223"/>
      <c r="AL92" s="223"/>
      <c r="AM92" s="223"/>
      <c r="AN92" s="223"/>
      <c r="AO92" s="223"/>
      <c r="AP92" s="223"/>
      <c r="AQ92" s="223"/>
      <c r="AR92" s="223"/>
      <c r="AS92" s="223"/>
      <c r="AT92" s="223"/>
      <c r="AU92" s="223"/>
      <c r="AV92" s="223"/>
      <c r="AW92" s="223"/>
      <c r="AX92" s="223"/>
      <c r="AY92" s="223"/>
      <c r="AZ92" s="223"/>
      <c r="BA92" s="223"/>
      <c r="BB92" s="223"/>
      <c r="BC92" s="223"/>
      <c r="BD92" s="223"/>
      <c r="BE92" s="223"/>
      <c r="BF92" s="223"/>
      <c r="BG92" s="223"/>
      <c r="BH92" s="223"/>
      <c r="BI92" s="223"/>
      <c r="BJ92" s="223"/>
      <c r="BK92" s="223"/>
      <c r="BL92" s="223"/>
      <c r="BM92" s="223"/>
      <c r="BN92" s="223"/>
      <c r="BO92" s="223"/>
      <c r="BP92" s="223"/>
      <c r="BQ92" s="227"/>
      <c r="BR92" s="227"/>
      <c r="BS92" s="227"/>
      <c r="BT92" s="227"/>
      <c r="BU92" s="227"/>
      <c r="BV92" s="227"/>
      <c r="BW92" s="227"/>
      <c r="BX92" s="227"/>
      <c r="BY92" s="227"/>
      <c r="BZ92" s="227"/>
      <c r="CA92" s="227"/>
      <c r="CB92" s="227"/>
      <c r="CC92" s="227"/>
      <c r="CD92" s="227"/>
      <c r="CE92" s="227"/>
      <c r="CF92" s="227"/>
      <c r="CG92" s="227"/>
      <c r="CH92" s="227"/>
      <c r="CI92" s="227"/>
      <c r="CJ92" s="227"/>
      <c r="CK92" s="227"/>
      <c r="CL92" s="227"/>
      <c r="CM92" s="227"/>
      <c r="CN92" s="227"/>
      <c r="CO92" s="227"/>
      <c r="CP92" s="227"/>
      <c r="CQ92" s="227"/>
      <c r="CR92" s="227"/>
      <c r="CS92" s="227"/>
      <c r="CT92" s="227"/>
      <c r="CU92" s="225"/>
      <c r="CV92" s="227"/>
    </row>
    <row r="93" spans="1:100" ht="20.100000000000001" customHeight="1">
      <c r="A93" s="227">
        <v>43</v>
      </c>
      <c r="B93" s="225"/>
      <c r="C93" s="227"/>
      <c r="D93" s="228" cm="1">
        <f t="array" ref="D93">IFERROR(
(SUMPRODUCT(E93:CU93*$E$6:$CU$6)/100) + (SUMPRODUCT(E93:CU93*$E$6:$CU$6*$E$3:$CU$3)/100),
0
)</f>
        <v>0</v>
      </c>
      <c r="E93" s="227"/>
      <c r="F93" s="227"/>
      <c r="G93" s="227"/>
      <c r="H93" s="227"/>
      <c r="I93" s="227"/>
      <c r="J93" s="227"/>
      <c r="K93" s="227"/>
      <c r="L93" s="227"/>
      <c r="M93" s="227"/>
      <c r="N93" s="227"/>
      <c r="O93" s="227"/>
      <c r="P93" s="227"/>
      <c r="Q93" s="227"/>
      <c r="R93" s="227"/>
      <c r="S93" s="227"/>
      <c r="T93" s="227"/>
      <c r="U93" s="227"/>
      <c r="V93" s="227"/>
      <c r="W93" s="227"/>
      <c r="X93" s="227"/>
      <c r="Y93" s="227"/>
      <c r="Z93" s="227"/>
      <c r="AA93" s="227"/>
      <c r="AB93" s="227"/>
      <c r="AC93" s="227"/>
      <c r="AD93" s="227"/>
      <c r="AE93" s="227"/>
      <c r="AF93" s="227"/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27"/>
      <c r="BC93" s="227"/>
      <c r="BD93" s="227"/>
      <c r="BE93" s="227"/>
      <c r="BF93" s="227"/>
      <c r="BG93" s="227"/>
      <c r="BH93" s="227"/>
      <c r="BI93" s="227"/>
      <c r="BJ93" s="227"/>
      <c r="BK93" s="227"/>
      <c r="BL93" s="227"/>
      <c r="BM93" s="227"/>
      <c r="BN93" s="227"/>
      <c r="BO93" s="227"/>
      <c r="BP93" s="227"/>
      <c r="BQ93" s="227"/>
      <c r="BR93" s="227"/>
      <c r="BS93" s="227"/>
      <c r="BT93" s="227"/>
      <c r="BU93" s="227"/>
      <c r="BV93" s="227"/>
      <c r="BW93" s="227"/>
      <c r="BX93" s="227"/>
      <c r="BY93" s="227"/>
      <c r="BZ93" s="227"/>
      <c r="CA93" s="227"/>
      <c r="CB93" s="227"/>
      <c r="CC93" s="227"/>
      <c r="CD93" s="227"/>
      <c r="CE93" s="227"/>
      <c r="CF93" s="227"/>
      <c r="CG93" s="227"/>
      <c r="CH93" s="227"/>
      <c r="CI93" s="227"/>
      <c r="CJ93" s="227"/>
      <c r="CK93" s="227"/>
      <c r="CL93" s="227"/>
      <c r="CM93" s="227"/>
      <c r="CN93" s="227"/>
      <c r="CO93" s="227"/>
      <c r="CP93" s="227"/>
      <c r="CQ93" s="227"/>
      <c r="CR93" s="227"/>
      <c r="CS93" s="227"/>
      <c r="CT93" s="227"/>
      <c r="CU93" s="225"/>
      <c r="CV93" s="227"/>
    </row>
    <row r="94" spans="1:100" ht="20.100000000000001" customHeight="1">
      <c r="A94" s="227"/>
      <c r="B94" s="225"/>
      <c r="C94" s="227"/>
      <c r="D94" s="224"/>
      <c r="E94" s="223"/>
      <c r="F94" s="223"/>
      <c r="G94" s="223"/>
      <c r="H94" s="223"/>
      <c r="I94" s="223"/>
      <c r="J94" s="223"/>
      <c r="K94" s="223"/>
      <c r="L94" s="223"/>
      <c r="M94" s="223"/>
      <c r="N94" s="223"/>
      <c r="O94" s="223"/>
      <c r="P94" s="223"/>
      <c r="Q94" s="223"/>
      <c r="R94" s="223"/>
      <c r="S94" s="223"/>
      <c r="T94" s="223"/>
      <c r="U94" s="223"/>
      <c r="V94" s="223"/>
      <c r="W94" s="223"/>
      <c r="X94" s="223"/>
      <c r="Y94" s="223"/>
      <c r="Z94" s="223"/>
      <c r="AA94" s="223"/>
      <c r="AB94" s="223"/>
      <c r="AC94" s="223"/>
      <c r="AD94" s="223"/>
      <c r="AE94" s="223"/>
      <c r="AF94" s="223"/>
      <c r="AG94" s="223"/>
      <c r="AH94" s="223"/>
      <c r="AI94" s="223"/>
      <c r="AJ94" s="223"/>
      <c r="AK94" s="223"/>
      <c r="AL94" s="223"/>
      <c r="AM94" s="223"/>
      <c r="AN94" s="223"/>
      <c r="AO94" s="223"/>
      <c r="AP94" s="223"/>
      <c r="AQ94" s="223"/>
      <c r="AR94" s="223"/>
      <c r="AS94" s="223"/>
      <c r="AT94" s="223"/>
      <c r="AU94" s="223"/>
      <c r="AV94" s="223"/>
      <c r="AW94" s="223"/>
      <c r="AX94" s="223"/>
      <c r="AY94" s="223"/>
      <c r="AZ94" s="223"/>
      <c r="BA94" s="223"/>
      <c r="BB94" s="223"/>
      <c r="BC94" s="223"/>
      <c r="BD94" s="223"/>
      <c r="BE94" s="223"/>
      <c r="BF94" s="223"/>
      <c r="BG94" s="223"/>
      <c r="BH94" s="223"/>
      <c r="BI94" s="223"/>
      <c r="BJ94" s="223"/>
      <c r="BK94" s="223"/>
      <c r="BL94" s="223"/>
      <c r="BM94" s="223"/>
      <c r="BN94" s="223"/>
      <c r="BO94" s="223"/>
      <c r="BP94" s="223"/>
      <c r="BQ94" s="227"/>
      <c r="BR94" s="227"/>
      <c r="BS94" s="227"/>
      <c r="BT94" s="227"/>
      <c r="BU94" s="227"/>
      <c r="BV94" s="227"/>
      <c r="BW94" s="227"/>
      <c r="BX94" s="227"/>
      <c r="BY94" s="227"/>
      <c r="BZ94" s="227"/>
      <c r="CA94" s="227"/>
      <c r="CB94" s="227"/>
      <c r="CC94" s="227"/>
      <c r="CD94" s="227"/>
      <c r="CE94" s="227"/>
      <c r="CF94" s="227"/>
      <c r="CG94" s="227"/>
      <c r="CH94" s="227"/>
      <c r="CI94" s="227"/>
      <c r="CJ94" s="227"/>
      <c r="CK94" s="227"/>
      <c r="CL94" s="227"/>
      <c r="CM94" s="227"/>
      <c r="CN94" s="227"/>
      <c r="CO94" s="227"/>
      <c r="CP94" s="227"/>
      <c r="CQ94" s="227"/>
      <c r="CR94" s="227"/>
      <c r="CS94" s="227"/>
      <c r="CT94" s="227"/>
      <c r="CU94" s="225"/>
      <c r="CV94" s="227"/>
    </row>
    <row r="95" spans="1:100" ht="20.100000000000001" customHeight="1">
      <c r="A95" s="227">
        <v>44</v>
      </c>
      <c r="B95" s="225"/>
      <c r="C95" s="227"/>
      <c r="D95" s="228" cm="1">
        <f t="array" ref="D95">IFERROR(
(SUMPRODUCT(E95:CU95*$E$6:$CU$6)/100) + (SUMPRODUCT(E95:CU95*$E$6:$CU$6*$E$3:$CU$3)/100),
0
)</f>
        <v>0</v>
      </c>
      <c r="E95" s="227"/>
      <c r="F95" s="227"/>
      <c r="G95" s="227"/>
      <c r="H95" s="227"/>
      <c r="I95" s="227"/>
      <c r="J95" s="227"/>
      <c r="K95" s="227"/>
      <c r="L95" s="227"/>
      <c r="M95" s="227"/>
      <c r="N95" s="227"/>
      <c r="O95" s="227"/>
      <c r="P95" s="227"/>
      <c r="Q95" s="227"/>
      <c r="R95" s="227"/>
      <c r="S95" s="227"/>
      <c r="T95" s="227"/>
      <c r="U95" s="227"/>
      <c r="V95" s="227"/>
      <c r="W95" s="227"/>
      <c r="X95" s="227"/>
      <c r="Y95" s="227"/>
      <c r="Z95" s="227"/>
      <c r="AA95" s="227"/>
      <c r="AB95" s="227"/>
      <c r="AC95" s="227"/>
      <c r="AD95" s="227"/>
      <c r="AE95" s="227"/>
      <c r="AF95" s="227"/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27"/>
      <c r="BC95" s="227"/>
      <c r="BD95" s="227"/>
      <c r="BE95" s="227"/>
      <c r="BF95" s="227"/>
      <c r="BG95" s="227"/>
      <c r="BH95" s="227"/>
      <c r="BI95" s="227"/>
      <c r="BJ95" s="227"/>
      <c r="BK95" s="227"/>
      <c r="BL95" s="227"/>
      <c r="BM95" s="227"/>
      <c r="BN95" s="227"/>
      <c r="BO95" s="227"/>
      <c r="BP95" s="227"/>
      <c r="BQ95" s="227"/>
      <c r="BR95" s="227"/>
      <c r="BS95" s="227"/>
      <c r="BT95" s="227"/>
      <c r="BU95" s="227"/>
      <c r="BV95" s="227"/>
      <c r="BW95" s="227"/>
      <c r="BX95" s="227"/>
      <c r="BY95" s="227"/>
      <c r="BZ95" s="227"/>
      <c r="CA95" s="227"/>
      <c r="CB95" s="227"/>
      <c r="CC95" s="227"/>
      <c r="CD95" s="227"/>
      <c r="CE95" s="227"/>
      <c r="CF95" s="227"/>
      <c r="CG95" s="227"/>
      <c r="CH95" s="227"/>
      <c r="CI95" s="227"/>
      <c r="CJ95" s="227"/>
      <c r="CK95" s="227"/>
      <c r="CL95" s="227"/>
      <c r="CM95" s="227"/>
      <c r="CN95" s="227"/>
      <c r="CO95" s="227"/>
      <c r="CP95" s="227"/>
      <c r="CQ95" s="227"/>
      <c r="CR95" s="227"/>
      <c r="CS95" s="227"/>
      <c r="CT95" s="227"/>
      <c r="CU95" s="225"/>
      <c r="CV95" s="227"/>
    </row>
    <row r="96" spans="1:100" ht="20.100000000000001" customHeight="1">
      <c r="A96" s="223"/>
      <c r="B96" s="225"/>
      <c r="C96" s="227"/>
      <c r="D96" s="224"/>
      <c r="E96" s="223"/>
      <c r="F96" s="223"/>
      <c r="G96" s="223"/>
      <c r="H96" s="223"/>
      <c r="I96" s="223"/>
      <c r="J96" s="223"/>
      <c r="K96" s="223"/>
      <c r="L96" s="223"/>
      <c r="M96" s="223"/>
      <c r="N96" s="223"/>
      <c r="O96" s="223"/>
      <c r="P96" s="223"/>
      <c r="Q96" s="223"/>
      <c r="R96" s="223"/>
      <c r="S96" s="223"/>
      <c r="T96" s="223"/>
      <c r="U96" s="223"/>
      <c r="V96" s="223"/>
      <c r="W96" s="223"/>
      <c r="X96" s="223"/>
      <c r="Y96" s="223"/>
      <c r="Z96" s="223"/>
      <c r="AA96" s="223"/>
      <c r="AB96" s="223"/>
      <c r="AC96" s="223"/>
      <c r="AD96" s="223"/>
      <c r="AE96" s="223"/>
      <c r="AF96" s="223"/>
      <c r="AG96" s="223"/>
      <c r="AH96" s="223"/>
      <c r="AI96" s="223"/>
      <c r="AJ96" s="223"/>
      <c r="AK96" s="223"/>
      <c r="AL96" s="223"/>
      <c r="AM96" s="223"/>
      <c r="AN96" s="223"/>
      <c r="AO96" s="223"/>
      <c r="AP96" s="223"/>
      <c r="AQ96" s="223"/>
      <c r="AR96" s="223"/>
      <c r="AS96" s="223"/>
      <c r="AT96" s="223"/>
      <c r="AU96" s="223"/>
      <c r="AV96" s="223"/>
      <c r="AW96" s="223"/>
      <c r="AX96" s="223"/>
      <c r="AY96" s="223"/>
      <c r="AZ96" s="223"/>
      <c r="BA96" s="223"/>
      <c r="BB96" s="223"/>
      <c r="BC96" s="223"/>
      <c r="BD96" s="223"/>
      <c r="BE96" s="223"/>
      <c r="BF96" s="223"/>
      <c r="BG96" s="223"/>
      <c r="BH96" s="223"/>
      <c r="BI96" s="223"/>
      <c r="BJ96" s="223"/>
      <c r="BK96" s="223"/>
      <c r="BL96" s="223"/>
      <c r="BM96" s="223"/>
      <c r="BN96" s="223"/>
      <c r="BO96" s="223"/>
      <c r="BP96" s="223"/>
      <c r="BQ96" s="227"/>
      <c r="BR96" s="227"/>
      <c r="BS96" s="227"/>
      <c r="BT96" s="227"/>
      <c r="BU96" s="227"/>
      <c r="BV96" s="227"/>
      <c r="BW96" s="227"/>
      <c r="BX96" s="227"/>
      <c r="BY96" s="227"/>
      <c r="BZ96" s="227"/>
      <c r="CA96" s="227"/>
      <c r="CB96" s="227"/>
      <c r="CC96" s="227"/>
      <c r="CD96" s="227"/>
      <c r="CE96" s="227"/>
      <c r="CF96" s="227"/>
      <c r="CG96" s="227"/>
      <c r="CH96" s="227"/>
      <c r="CI96" s="227"/>
      <c r="CJ96" s="227"/>
      <c r="CK96" s="227"/>
      <c r="CL96" s="227"/>
      <c r="CM96" s="227"/>
      <c r="CN96" s="227"/>
      <c r="CO96" s="227"/>
      <c r="CP96" s="227"/>
      <c r="CQ96" s="227"/>
      <c r="CR96" s="227"/>
      <c r="CS96" s="227"/>
      <c r="CT96" s="227"/>
      <c r="CU96" s="225"/>
      <c r="CV96" s="227"/>
    </row>
    <row r="97" spans="1:100" ht="20.100000000000001" customHeight="1">
      <c r="A97" s="227">
        <v>45</v>
      </c>
      <c r="B97" s="225"/>
      <c r="C97" s="227"/>
      <c r="D97" s="228" cm="1">
        <f t="array" ref="D97">IFERROR(
(SUMPRODUCT(E97:CU97*$E$6:$CU$6)/100) + (SUMPRODUCT(E97:CU97*$E$6:$CU$6*$E$3:$CU$3)/100),
0
)</f>
        <v>0</v>
      </c>
      <c r="E97" s="227"/>
      <c r="F97" s="227"/>
      <c r="G97" s="227"/>
      <c r="H97" s="227"/>
      <c r="I97" s="227"/>
      <c r="J97" s="227"/>
      <c r="K97" s="227"/>
      <c r="L97" s="227"/>
      <c r="M97" s="227"/>
      <c r="N97" s="227"/>
      <c r="O97" s="227"/>
      <c r="P97" s="227"/>
      <c r="Q97" s="227"/>
      <c r="R97" s="227"/>
      <c r="S97" s="227"/>
      <c r="T97" s="227"/>
      <c r="U97" s="227"/>
      <c r="V97" s="227"/>
      <c r="W97" s="227"/>
      <c r="X97" s="227"/>
      <c r="Y97" s="227"/>
      <c r="Z97" s="227"/>
      <c r="AA97" s="227"/>
      <c r="AB97" s="227"/>
      <c r="AC97" s="227"/>
      <c r="AD97" s="227"/>
      <c r="AE97" s="227"/>
      <c r="AF97" s="227"/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27"/>
      <c r="BC97" s="227"/>
      <c r="BD97" s="227"/>
      <c r="BE97" s="227"/>
      <c r="BF97" s="227"/>
      <c r="BG97" s="227"/>
      <c r="BH97" s="227"/>
      <c r="BI97" s="227"/>
      <c r="BJ97" s="227"/>
      <c r="BK97" s="227"/>
      <c r="BL97" s="227"/>
      <c r="BM97" s="227"/>
      <c r="BN97" s="227"/>
      <c r="BO97" s="227"/>
      <c r="BP97" s="227"/>
      <c r="BQ97" s="227"/>
      <c r="BR97" s="227"/>
      <c r="BS97" s="227"/>
      <c r="BT97" s="227"/>
      <c r="BU97" s="227"/>
      <c r="BV97" s="227"/>
      <c r="BW97" s="227"/>
      <c r="BX97" s="227"/>
      <c r="BY97" s="227"/>
      <c r="BZ97" s="227"/>
      <c r="CA97" s="227"/>
      <c r="CB97" s="227"/>
      <c r="CC97" s="227"/>
      <c r="CD97" s="227"/>
      <c r="CE97" s="227"/>
      <c r="CF97" s="227"/>
      <c r="CG97" s="227"/>
      <c r="CH97" s="227"/>
      <c r="CI97" s="227"/>
      <c r="CJ97" s="227"/>
      <c r="CK97" s="227"/>
      <c r="CL97" s="227"/>
      <c r="CM97" s="227"/>
      <c r="CN97" s="227"/>
      <c r="CO97" s="227"/>
      <c r="CP97" s="227"/>
      <c r="CQ97" s="227"/>
      <c r="CR97" s="227"/>
      <c r="CS97" s="227"/>
      <c r="CT97" s="227"/>
      <c r="CU97" s="225"/>
      <c r="CV97" s="227"/>
    </row>
    <row r="98" spans="1:100" ht="20.100000000000001" customHeight="1">
      <c r="A98" s="227"/>
      <c r="B98" s="225"/>
      <c r="C98" s="227"/>
      <c r="D98" s="224"/>
      <c r="E98" s="223"/>
      <c r="F98" s="223"/>
      <c r="G98" s="223"/>
      <c r="H98" s="223"/>
      <c r="I98" s="223"/>
      <c r="J98" s="223"/>
      <c r="K98" s="223"/>
      <c r="L98" s="223"/>
      <c r="M98" s="223"/>
      <c r="N98" s="223"/>
      <c r="O98" s="223"/>
      <c r="P98" s="223"/>
      <c r="Q98" s="223"/>
      <c r="R98" s="223"/>
      <c r="S98" s="223"/>
      <c r="T98" s="223"/>
      <c r="U98" s="223"/>
      <c r="V98" s="223"/>
      <c r="W98" s="223"/>
      <c r="X98" s="223"/>
      <c r="Y98" s="223"/>
      <c r="Z98" s="223"/>
      <c r="AA98" s="223"/>
      <c r="AB98" s="223"/>
      <c r="AC98" s="223"/>
      <c r="AD98" s="223"/>
      <c r="AE98" s="223"/>
      <c r="AF98" s="223"/>
      <c r="AG98" s="223"/>
      <c r="AH98" s="223"/>
      <c r="AI98" s="223"/>
      <c r="AJ98" s="223"/>
      <c r="AK98" s="223"/>
      <c r="AL98" s="223"/>
      <c r="AM98" s="223"/>
      <c r="AN98" s="223"/>
      <c r="AO98" s="223"/>
      <c r="AP98" s="223"/>
      <c r="AQ98" s="223"/>
      <c r="AR98" s="223"/>
      <c r="AS98" s="223"/>
      <c r="AT98" s="223"/>
      <c r="AU98" s="223"/>
      <c r="AV98" s="223"/>
      <c r="AW98" s="223"/>
      <c r="AX98" s="223"/>
      <c r="AY98" s="223"/>
      <c r="AZ98" s="223"/>
      <c r="BA98" s="223"/>
      <c r="BB98" s="223"/>
      <c r="BC98" s="223"/>
      <c r="BD98" s="223"/>
      <c r="BE98" s="223"/>
      <c r="BF98" s="223"/>
      <c r="BG98" s="223"/>
      <c r="BH98" s="223"/>
      <c r="BI98" s="223"/>
      <c r="BJ98" s="223"/>
      <c r="BK98" s="223"/>
      <c r="BL98" s="223"/>
      <c r="BM98" s="223"/>
      <c r="BN98" s="223"/>
      <c r="BO98" s="223"/>
      <c r="BP98" s="223"/>
      <c r="BQ98" s="227"/>
      <c r="BR98" s="227"/>
      <c r="BS98" s="227"/>
      <c r="BT98" s="227"/>
      <c r="BU98" s="227"/>
      <c r="BV98" s="227"/>
      <c r="BW98" s="227"/>
      <c r="BX98" s="227"/>
      <c r="BY98" s="227"/>
      <c r="BZ98" s="227"/>
      <c r="CA98" s="227"/>
      <c r="CB98" s="227"/>
      <c r="CC98" s="227"/>
      <c r="CD98" s="227"/>
      <c r="CE98" s="227"/>
      <c r="CF98" s="227"/>
      <c r="CG98" s="227"/>
      <c r="CH98" s="227"/>
      <c r="CI98" s="227"/>
      <c r="CJ98" s="227"/>
      <c r="CK98" s="227"/>
      <c r="CL98" s="227"/>
      <c r="CM98" s="227"/>
      <c r="CN98" s="227"/>
      <c r="CO98" s="227"/>
      <c r="CP98" s="227"/>
      <c r="CQ98" s="227"/>
      <c r="CR98" s="227"/>
      <c r="CS98" s="227"/>
      <c r="CT98" s="227"/>
      <c r="CU98" s="225"/>
      <c r="CV98" s="227"/>
    </row>
    <row r="99" spans="1:100" ht="20.100000000000001" customHeight="1">
      <c r="A99" s="227">
        <v>46</v>
      </c>
      <c r="B99" s="225"/>
      <c r="C99" s="227"/>
      <c r="D99" s="228" cm="1">
        <f t="array" ref="D99">IFERROR(
(SUMPRODUCT(E99:CU99*$E$6:$CU$6)/100) + (SUMPRODUCT(E99:CU99*$E$6:$CU$6*$E$3:$CU$3)/100),
0
)</f>
        <v>0</v>
      </c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  <c r="U99" s="227"/>
      <c r="V99" s="227"/>
      <c r="W99" s="227"/>
      <c r="X99" s="227"/>
      <c r="Y99" s="227"/>
      <c r="Z99" s="227"/>
      <c r="AA99" s="227"/>
      <c r="AB99" s="227"/>
      <c r="AC99" s="227"/>
      <c r="AD99" s="227"/>
      <c r="AE99" s="227"/>
      <c r="AF99" s="227"/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27"/>
      <c r="BC99" s="227"/>
      <c r="BD99" s="227"/>
      <c r="BE99" s="227"/>
      <c r="BF99" s="227"/>
      <c r="BG99" s="227"/>
      <c r="BH99" s="227"/>
      <c r="BI99" s="227"/>
      <c r="BJ99" s="227"/>
      <c r="BK99" s="227"/>
      <c r="BL99" s="227"/>
      <c r="BM99" s="227"/>
      <c r="BN99" s="227"/>
      <c r="BO99" s="227"/>
      <c r="BP99" s="227"/>
      <c r="BQ99" s="227"/>
      <c r="BR99" s="227"/>
      <c r="BS99" s="227"/>
      <c r="BT99" s="227"/>
      <c r="BU99" s="227"/>
      <c r="BV99" s="227"/>
      <c r="BW99" s="227"/>
      <c r="BX99" s="227"/>
      <c r="BY99" s="227"/>
      <c r="BZ99" s="227"/>
      <c r="CA99" s="227"/>
      <c r="CB99" s="227"/>
      <c r="CC99" s="227"/>
      <c r="CD99" s="227"/>
      <c r="CE99" s="227"/>
      <c r="CF99" s="227"/>
      <c r="CG99" s="227"/>
      <c r="CH99" s="227"/>
      <c r="CI99" s="227"/>
      <c r="CJ99" s="227"/>
      <c r="CK99" s="227"/>
      <c r="CL99" s="227"/>
      <c r="CM99" s="227"/>
      <c r="CN99" s="227"/>
      <c r="CO99" s="227"/>
      <c r="CP99" s="227"/>
      <c r="CQ99" s="227"/>
      <c r="CR99" s="227"/>
      <c r="CS99" s="227"/>
      <c r="CT99" s="227"/>
      <c r="CU99" s="225"/>
      <c r="CV99" s="227"/>
    </row>
    <row r="100" spans="1:100" ht="20.100000000000001" customHeight="1">
      <c r="A100" s="223"/>
      <c r="B100" s="225"/>
      <c r="C100" s="227"/>
      <c r="D100" s="224"/>
      <c r="E100" s="223"/>
      <c r="F100" s="223"/>
      <c r="G100" s="223"/>
      <c r="H100" s="223"/>
      <c r="I100" s="223"/>
      <c r="J100" s="223"/>
      <c r="K100" s="223"/>
      <c r="L100" s="223"/>
      <c r="M100" s="223"/>
      <c r="N100" s="223"/>
      <c r="O100" s="223"/>
      <c r="P100" s="223"/>
      <c r="Q100" s="223"/>
      <c r="R100" s="223"/>
      <c r="S100" s="223"/>
      <c r="T100" s="223"/>
      <c r="U100" s="223"/>
      <c r="V100" s="223"/>
      <c r="W100" s="223"/>
      <c r="X100" s="223"/>
      <c r="Y100" s="223"/>
      <c r="Z100" s="223"/>
      <c r="AA100" s="223"/>
      <c r="AB100" s="223"/>
      <c r="AC100" s="223"/>
      <c r="AD100" s="223"/>
      <c r="AE100" s="223"/>
      <c r="AF100" s="223"/>
      <c r="AG100" s="223"/>
      <c r="AH100" s="223"/>
      <c r="AI100" s="223"/>
      <c r="AJ100" s="223"/>
      <c r="AK100" s="223"/>
      <c r="AL100" s="223"/>
      <c r="AM100" s="223"/>
      <c r="AN100" s="223"/>
      <c r="AO100" s="223"/>
      <c r="AP100" s="223"/>
      <c r="AQ100" s="223"/>
      <c r="AR100" s="223"/>
      <c r="AS100" s="223"/>
      <c r="AT100" s="223"/>
      <c r="AU100" s="223"/>
      <c r="AV100" s="223"/>
      <c r="AW100" s="223"/>
      <c r="AX100" s="223"/>
      <c r="AY100" s="223"/>
      <c r="AZ100" s="223"/>
      <c r="BA100" s="223"/>
      <c r="BB100" s="223"/>
      <c r="BC100" s="223"/>
      <c r="BD100" s="223"/>
      <c r="BE100" s="223"/>
      <c r="BF100" s="223"/>
      <c r="BG100" s="223"/>
      <c r="BH100" s="223"/>
      <c r="BI100" s="223"/>
      <c r="BJ100" s="223"/>
      <c r="BK100" s="223"/>
      <c r="BL100" s="223"/>
      <c r="BM100" s="223"/>
      <c r="BN100" s="223"/>
      <c r="BO100" s="223"/>
      <c r="BP100" s="223"/>
      <c r="BQ100" s="227"/>
      <c r="BR100" s="227"/>
      <c r="BS100" s="227"/>
      <c r="BT100" s="227"/>
      <c r="BU100" s="227"/>
      <c r="BV100" s="227"/>
      <c r="BW100" s="227"/>
      <c r="BX100" s="227"/>
      <c r="BY100" s="227"/>
      <c r="BZ100" s="227"/>
      <c r="CA100" s="227"/>
      <c r="CB100" s="227"/>
      <c r="CC100" s="227"/>
      <c r="CD100" s="227"/>
      <c r="CE100" s="227"/>
      <c r="CF100" s="227"/>
      <c r="CG100" s="227"/>
      <c r="CH100" s="227"/>
      <c r="CI100" s="227"/>
      <c r="CJ100" s="227"/>
      <c r="CK100" s="227"/>
      <c r="CL100" s="227"/>
      <c r="CM100" s="227"/>
      <c r="CN100" s="227"/>
      <c r="CO100" s="227"/>
      <c r="CP100" s="227"/>
      <c r="CQ100" s="227"/>
      <c r="CR100" s="227"/>
      <c r="CS100" s="227"/>
      <c r="CT100" s="227"/>
      <c r="CU100" s="225"/>
      <c r="CV100" s="227"/>
    </row>
    <row r="101" spans="1:100" ht="20.100000000000001" customHeight="1">
      <c r="A101" s="227">
        <v>47</v>
      </c>
      <c r="B101" s="225"/>
      <c r="C101" s="227"/>
      <c r="D101" s="228" cm="1">
        <f t="array" ref="D101">IFERROR(
(SUMPRODUCT(E101:CU101*$E$6:$CU$6)/100) + (SUMPRODUCT(E101:CU101*$E$6:$CU$6*$E$3:$CU$3)/100),
0
)</f>
        <v>0</v>
      </c>
      <c r="E101" s="227"/>
      <c r="F101" s="227"/>
      <c r="G101" s="227"/>
      <c r="H101" s="227"/>
      <c r="I101" s="227"/>
      <c r="J101" s="227"/>
      <c r="K101" s="227"/>
      <c r="L101" s="227"/>
      <c r="M101" s="227"/>
      <c r="N101" s="227"/>
      <c r="O101" s="227"/>
      <c r="P101" s="227"/>
      <c r="Q101" s="227"/>
      <c r="R101" s="227"/>
      <c r="S101" s="227"/>
      <c r="T101" s="227"/>
      <c r="U101" s="227"/>
      <c r="V101" s="227"/>
      <c r="W101" s="227"/>
      <c r="X101" s="227"/>
      <c r="Y101" s="227"/>
      <c r="Z101" s="227"/>
      <c r="AA101" s="227"/>
      <c r="AB101" s="227"/>
      <c r="AC101" s="227"/>
      <c r="AD101" s="227"/>
      <c r="AE101" s="227"/>
      <c r="AF101" s="227"/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27"/>
      <c r="BC101" s="227"/>
      <c r="BD101" s="227"/>
      <c r="BE101" s="227"/>
      <c r="BF101" s="227"/>
      <c r="BG101" s="227"/>
      <c r="BH101" s="227"/>
      <c r="BI101" s="227"/>
      <c r="BJ101" s="227"/>
      <c r="BK101" s="227"/>
      <c r="BL101" s="227"/>
      <c r="BM101" s="227"/>
      <c r="BN101" s="227"/>
      <c r="BO101" s="227"/>
      <c r="BP101" s="227"/>
      <c r="BQ101" s="227"/>
      <c r="BR101" s="227"/>
      <c r="BS101" s="227"/>
      <c r="BT101" s="227"/>
      <c r="BU101" s="227"/>
      <c r="BV101" s="227"/>
      <c r="BW101" s="227"/>
      <c r="BX101" s="227"/>
      <c r="BY101" s="227"/>
      <c r="BZ101" s="227"/>
      <c r="CA101" s="227"/>
      <c r="CB101" s="227"/>
      <c r="CC101" s="227"/>
      <c r="CD101" s="227"/>
      <c r="CE101" s="227"/>
      <c r="CF101" s="227"/>
      <c r="CG101" s="227"/>
      <c r="CH101" s="227"/>
      <c r="CI101" s="227"/>
      <c r="CJ101" s="227"/>
      <c r="CK101" s="227"/>
      <c r="CL101" s="227"/>
      <c r="CM101" s="227"/>
      <c r="CN101" s="227"/>
      <c r="CO101" s="227"/>
      <c r="CP101" s="227"/>
      <c r="CQ101" s="227"/>
      <c r="CR101" s="227"/>
      <c r="CS101" s="227"/>
      <c r="CT101" s="227"/>
      <c r="CU101" s="225"/>
      <c r="CV101" s="227"/>
    </row>
    <row r="102" spans="1:100" ht="20.100000000000001" customHeight="1">
      <c r="A102" s="227"/>
      <c r="B102" s="225"/>
      <c r="C102" s="227"/>
      <c r="D102" s="224"/>
      <c r="E102" s="223"/>
      <c r="F102" s="223"/>
      <c r="G102" s="223"/>
      <c r="H102" s="223"/>
      <c r="I102" s="223"/>
      <c r="J102" s="223"/>
      <c r="K102" s="223"/>
      <c r="L102" s="223"/>
      <c r="M102" s="223"/>
      <c r="N102" s="223"/>
      <c r="O102" s="223"/>
      <c r="P102" s="223"/>
      <c r="Q102" s="223"/>
      <c r="R102" s="223"/>
      <c r="S102" s="223"/>
      <c r="T102" s="223"/>
      <c r="U102" s="223"/>
      <c r="V102" s="223"/>
      <c r="W102" s="223"/>
      <c r="X102" s="223"/>
      <c r="Y102" s="223"/>
      <c r="Z102" s="223"/>
      <c r="AA102" s="223"/>
      <c r="AB102" s="223"/>
      <c r="AC102" s="223"/>
      <c r="AD102" s="223"/>
      <c r="AE102" s="223"/>
      <c r="AF102" s="223"/>
      <c r="AG102" s="223"/>
      <c r="AH102" s="223"/>
      <c r="AI102" s="223"/>
      <c r="AJ102" s="223"/>
      <c r="AK102" s="223"/>
      <c r="AL102" s="223"/>
      <c r="AM102" s="223"/>
      <c r="AN102" s="223"/>
      <c r="AO102" s="223"/>
      <c r="AP102" s="223"/>
      <c r="AQ102" s="223"/>
      <c r="AR102" s="223"/>
      <c r="AS102" s="223"/>
      <c r="AT102" s="223"/>
      <c r="AU102" s="223"/>
      <c r="AV102" s="223"/>
      <c r="AW102" s="223"/>
      <c r="AX102" s="223"/>
      <c r="AY102" s="223"/>
      <c r="AZ102" s="223"/>
      <c r="BA102" s="223"/>
      <c r="BB102" s="223"/>
      <c r="BC102" s="223"/>
      <c r="BD102" s="223"/>
      <c r="BE102" s="223"/>
      <c r="BF102" s="223"/>
      <c r="BG102" s="223"/>
      <c r="BH102" s="223"/>
      <c r="BI102" s="223"/>
      <c r="BJ102" s="223"/>
      <c r="BK102" s="223"/>
      <c r="BL102" s="223"/>
      <c r="BM102" s="223"/>
      <c r="BN102" s="223"/>
      <c r="BO102" s="223"/>
      <c r="BP102" s="223"/>
      <c r="BQ102" s="227"/>
      <c r="BR102" s="227"/>
      <c r="BS102" s="227"/>
      <c r="BT102" s="227"/>
      <c r="BU102" s="227"/>
      <c r="BV102" s="227"/>
      <c r="BW102" s="227"/>
      <c r="BX102" s="227"/>
      <c r="BY102" s="227"/>
      <c r="BZ102" s="227"/>
      <c r="CA102" s="227"/>
      <c r="CB102" s="227"/>
      <c r="CC102" s="227"/>
      <c r="CD102" s="227"/>
      <c r="CE102" s="227"/>
      <c r="CF102" s="227"/>
      <c r="CG102" s="227"/>
      <c r="CH102" s="227"/>
      <c r="CI102" s="227"/>
      <c r="CJ102" s="227"/>
      <c r="CK102" s="227"/>
      <c r="CL102" s="227"/>
      <c r="CM102" s="227"/>
      <c r="CN102" s="227"/>
      <c r="CO102" s="227"/>
      <c r="CP102" s="227"/>
      <c r="CQ102" s="227"/>
      <c r="CR102" s="227"/>
      <c r="CS102" s="227"/>
      <c r="CT102" s="227"/>
      <c r="CU102" s="225"/>
      <c r="CV102" s="227"/>
    </row>
    <row r="103" spans="1:100" ht="20.100000000000001" customHeight="1">
      <c r="A103" s="227">
        <v>48</v>
      </c>
      <c r="B103" s="225"/>
      <c r="C103" s="227"/>
      <c r="D103" s="228" cm="1">
        <f t="array" ref="D103">IFERROR(
(SUMPRODUCT(E103:CU103*$E$6:$CU$6)/100) + (SUMPRODUCT(E103:CU103*$E$6:$CU$6*$E$3:$CU$3)/100),
0
)</f>
        <v>0</v>
      </c>
      <c r="E103" s="227"/>
      <c r="F103" s="227"/>
      <c r="G103" s="227"/>
      <c r="H103" s="227"/>
      <c r="I103" s="227"/>
      <c r="J103" s="227"/>
      <c r="K103" s="227"/>
      <c r="L103" s="227"/>
      <c r="M103" s="227"/>
      <c r="N103" s="227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  <c r="AF103" s="227"/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27"/>
      <c r="BC103" s="227"/>
      <c r="BD103" s="227"/>
      <c r="BE103" s="227"/>
      <c r="BF103" s="227"/>
      <c r="BG103" s="227"/>
      <c r="BH103" s="227"/>
      <c r="BI103" s="227"/>
      <c r="BJ103" s="227"/>
      <c r="BK103" s="227"/>
      <c r="BL103" s="227"/>
      <c r="BM103" s="227"/>
      <c r="BN103" s="227"/>
      <c r="BO103" s="227"/>
      <c r="BP103" s="227"/>
      <c r="BQ103" s="227"/>
      <c r="BR103" s="227"/>
      <c r="BS103" s="227"/>
      <c r="BT103" s="227"/>
      <c r="BU103" s="227"/>
      <c r="BV103" s="227"/>
      <c r="BW103" s="227"/>
      <c r="BX103" s="227"/>
      <c r="BY103" s="227"/>
      <c r="BZ103" s="227"/>
      <c r="CA103" s="227"/>
      <c r="CB103" s="227"/>
      <c r="CC103" s="227"/>
      <c r="CD103" s="227"/>
      <c r="CE103" s="227"/>
      <c r="CF103" s="227"/>
      <c r="CG103" s="227"/>
      <c r="CH103" s="227"/>
      <c r="CI103" s="227"/>
      <c r="CJ103" s="227"/>
      <c r="CK103" s="227"/>
      <c r="CL103" s="227"/>
      <c r="CM103" s="227"/>
      <c r="CN103" s="227"/>
      <c r="CO103" s="227"/>
      <c r="CP103" s="227"/>
      <c r="CQ103" s="227"/>
      <c r="CR103" s="227"/>
      <c r="CS103" s="227"/>
      <c r="CT103" s="227"/>
      <c r="CU103" s="225"/>
      <c r="CV103" s="227"/>
    </row>
    <row r="104" spans="1:100" ht="20.100000000000001" customHeight="1">
      <c r="A104" s="223"/>
      <c r="B104" s="225"/>
      <c r="C104" s="227"/>
      <c r="D104" s="224"/>
      <c r="E104" s="223"/>
      <c r="F104" s="223"/>
      <c r="G104" s="223"/>
      <c r="H104" s="223"/>
      <c r="I104" s="223"/>
      <c r="J104" s="223"/>
      <c r="K104" s="223"/>
      <c r="L104" s="223"/>
      <c r="M104" s="223"/>
      <c r="N104" s="223"/>
      <c r="O104" s="223"/>
      <c r="P104" s="223"/>
      <c r="Q104" s="223"/>
      <c r="R104" s="223"/>
      <c r="S104" s="223"/>
      <c r="T104" s="223"/>
      <c r="U104" s="223"/>
      <c r="V104" s="223"/>
      <c r="W104" s="223"/>
      <c r="X104" s="223"/>
      <c r="Y104" s="223"/>
      <c r="Z104" s="223"/>
      <c r="AA104" s="223"/>
      <c r="AB104" s="223"/>
      <c r="AC104" s="223"/>
      <c r="AD104" s="223"/>
      <c r="AE104" s="223"/>
      <c r="AF104" s="223"/>
      <c r="AG104" s="223"/>
      <c r="AH104" s="223"/>
      <c r="AI104" s="223"/>
      <c r="AJ104" s="223"/>
      <c r="AK104" s="223"/>
      <c r="AL104" s="223"/>
      <c r="AM104" s="223"/>
      <c r="AN104" s="223"/>
      <c r="AO104" s="223"/>
      <c r="AP104" s="223"/>
      <c r="AQ104" s="223"/>
      <c r="AR104" s="223"/>
      <c r="AS104" s="223"/>
      <c r="AT104" s="223"/>
      <c r="AU104" s="223"/>
      <c r="AV104" s="223"/>
      <c r="AW104" s="223"/>
      <c r="AX104" s="223"/>
      <c r="AY104" s="223"/>
      <c r="AZ104" s="223"/>
      <c r="BA104" s="223"/>
      <c r="BB104" s="223"/>
      <c r="BC104" s="223"/>
      <c r="BD104" s="223"/>
      <c r="BE104" s="223"/>
      <c r="BF104" s="223"/>
      <c r="BG104" s="223"/>
      <c r="BH104" s="223"/>
      <c r="BI104" s="223"/>
      <c r="BJ104" s="223"/>
      <c r="BK104" s="223"/>
      <c r="BL104" s="223"/>
      <c r="BM104" s="223"/>
      <c r="BN104" s="223"/>
      <c r="BO104" s="223"/>
      <c r="BP104" s="223"/>
      <c r="BQ104" s="227"/>
      <c r="BR104" s="227"/>
      <c r="BS104" s="227"/>
      <c r="BT104" s="227"/>
      <c r="BU104" s="227"/>
      <c r="BV104" s="227"/>
      <c r="BW104" s="227"/>
      <c r="BX104" s="227"/>
      <c r="BY104" s="227"/>
      <c r="BZ104" s="227"/>
      <c r="CA104" s="227"/>
      <c r="CB104" s="227"/>
      <c r="CC104" s="227"/>
      <c r="CD104" s="227"/>
      <c r="CE104" s="227"/>
      <c r="CF104" s="227"/>
      <c r="CG104" s="227"/>
      <c r="CH104" s="227"/>
      <c r="CI104" s="227"/>
      <c r="CJ104" s="227"/>
      <c r="CK104" s="227"/>
      <c r="CL104" s="227"/>
      <c r="CM104" s="227"/>
      <c r="CN104" s="227"/>
      <c r="CO104" s="227"/>
      <c r="CP104" s="227"/>
      <c r="CQ104" s="227"/>
      <c r="CR104" s="227"/>
      <c r="CS104" s="227"/>
      <c r="CT104" s="227"/>
      <c r="CU104" s="225"/>
      <c r="CV104" s="227"/>
    </row>
    <row r="105" spans="1:100" ht="20.100000000000001" customHeight="1">
      <c r="A105" s="227">
        <v>49</v>
      </c>
      <c r="B105" s="225"/>
      <c r="C105" s="227"/>
      <c r="D105" s="228" cm="1">
        <f t="array" ref="D105">IFERROR(
(SUMPRODUCT(E105:CU105*$E$6:$CU$6)/100) + (SUMPRODUCT(E105:CU105*$E$6:$CU$6*$E$3:$CU$3)/100),
0
)</f>
        <v>0</v>
      </c>
      <c r="E105" s="227"/>
      <c r="F105" s="227"/>
      <c r="G105" s="227"/>
      <c r="H105" s="227"/>
      <c r="I105" s="227"/>
      <c r="J105" s="227"/>
      <c r="K105" s="227"/>
      <c r="L105" s="227"/>
      <c r="M105" s="227"/>
      <c r="N105" s="227"/>
      <c r="O105" s="227"/>
      <c r="P105" s="227"/>
      <c r="Q105" s="227"/>
      <c r="R105" s="227"/>
      <c r="S105" s="227"/>
      <c r="T105" s="227"/>
      <c r="U105" s="227"/>
      <c r="V105" s="227"/>
      <c r="W105" s="227"/>
      <c r="X105" s="227"/>
      <c r="Y105" s="227"/>
      <c r="Z105" s="227"/>
      <c r="AA105" s="227"/>
      <c r="AB105" s="227"/>
      <c r="AC105" s="227"/>
      <c r="AD105" s="227"/>
      <c r="AE105" s="227"/>
      <c r="AF105" s="227"/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27"/>
      <c r="BC105" s="227"/>
      <c r="BD105" s="227"/>
      <c r="BE105" s="227"/>
      <c r="BF105" s="227"/>
      <c r="BG105" s="227"/>
      <c r="BH105" s="227"/>
      <c r="BI105" s="227"/>
      <c r="BJ105" s="227"/>
      <c r="BK105" s="227"/>
      <c r="BL105" s="227"/>
      <c r="BM105" s="227"/>
      <c r="BN105" s="227"/>
      <c r="BO105" s="227"/>
      <c r="BP105" s="227"/>
      <c r="BQ105" s="227"/>
      <c r="BR105" s="227"/>
      <c r="BS105" s="227"/>
      <c r="BT105" s="227"/>
      <c r="BU105" s="227"/>
      <c r="BV105" s="227"/>
      <c r="BW105" s="227"/>
      <c r="BX105" s="227"/>
      <c r="BY105" s="227"/>
      <c r="BZ105" s="227"/>
      <c r="CA105" s="227"/>
      <c r="CB105" s="227"/>
      <c r="CC105" s="227"/>
      <c r="CD105" s="227"/>
      <c r="CE105" s="227"/>
      <c r="CF105" s="227"/>
      <c r="CG105" s="227"/>
      <c r="CH105" s="227"/>
      <c r="CI105" s="227"/>
      <c r="CJ105" s="227"/>
      <c r="CK105" s="227"/>
      <c r="CL105" s="227"/>
      <c r="CM105" s="227"/>
      <c r="CN105" s="227"/>
      <c r="CO105" s="227"/>
      <c r="CP105" s="227"/>
      <c r="CQ105" s="227"/>
      <c r="CR105" s="227"/>
      <c r="CS105" s="227"/>
      <c r="CT105" s="227"/>
      <c r="CU105" s="225"/>
      <c r="CV105" s="227"/>
    </row>
    <row r="106" spans="1:100" ht="20.100000000000001" customHeight="1">
      <c r="A106" s="227"/>
      <c r="B106" s="225"/>
      <c r="C106" s="227"/>
      <c r="D106" s="224"/>
      <c r="E106" s="223"/>
      <c r="F106" s="223"/>
      <c r="G106" s="223"/>
      <c r="H106" s="223"/>
      <c r="I106" s="223"/>
      <c r="J106" s="223"/>
      <c r="K106" s="223"/>
      <c r="L106" s="223"/>
      <c r="M106" s="223"/>
      <c r="N106" s="223"/>
      <c r="O106" s="223"/>
      <c r="P106" s="223"/>
      <c r="Q106" s="223"/>
      <c r="R106" s="223"/>
      <c r="S106" s="223"/>
      <c r="T106" s="223"/>
      <c r="U106" s="223"/>
      <c r="V106" s="223"/>
      <c r="W106" s="223"/>
      <c r="X106" s="223"/>
      <c r="Y106" s="223"/>
      <c r="Z106" s="223"/>
      <c r="AA106" s="223"/>
      <c r="AB106" s="223"/>
      <c r="AC106" s="223"/>
      <c r="AD106" s="223"/>
      <c r="AE106" s="223"/>
      <c r="AF106" s="223"/>
      <c r="AG106" s="223"/>
      <c r="AH106" s="223"/>
      <c r="AI106" s="223"/>
      <c r="AJ106" s="223"/>
      <c r="AK106" s="223"/>
      <c r="AL106" s="223"/>
      <c r="AM106" s="223"/>
      <c r="AN106" s="223"/>
      <c r="AO106" s="223"/>
      <c r="AP106" s="223"/>
      <c r="AQ106" s="223"/>
      <c r="AR106" s="223"/>
      <c r="AS106" s="223"/>
      <c r="AT106" s="223"/>
      <c r="AU106" s="223"/>
      <c r="AV106" s="223"/>
      <c r="AW106" s="223"/>
      <c r="AX106" s="223"/>
      <c r="AY106" s="223"/>
      <c r="AZ106" s="223"/>
      <c r="BA106" s="223"/>
      <c r="BB106" s="223"/>
      <c r="BC106" s="223"/>
      <c r="BD106" s="223"/>
      <c r="BE106" s="223"/>
      <c r="BF106" s="223"/>
      <c r="BG106" s="223"/>
      <c r="BH106" s="223"/>
      <c r="BI106" s="223"/>
      <c r="BJ106" s="223"/>
      <c r="BK106" s="223"/>
      <c r="BL106" s="223"/>
      <c r="BM106" s="223"/>
      <c r="BN106" s="223"/>
      <c r="BO106" s="223"/>
      <c r="BP106" s="223"/>
      <c r="BQ106" s="227"/>
      <c r="BR106" s="227"/>
      <c r="BS106" s="227"/>
      <c r="BT106" s="227"/>
      <c r="BU106" s="227"/>
      <c r="BV106" s="227"/>
      <c r="BW106" s="227"/>
      <c r="BX106" s="227"/>
      <c r="BY106" s="227"/>
      <c r="BZ106" s="227"/>
      <c r="CA106" s="227"/>
      <c r="CB106" s="227"/>
      <c r="CC106" s="227"/>
      <c r="CD106" s="227"/>
      <c r="CE106" s="227"/>
      <c r="CF106" s="227"/>
      <c r="CG106" s="227"/>
      <c r="CH106" s="227"/>
      <c r="CI106" s="227"/>
      <c r="CJ106" s="227"/>
      <c r="CK106" s="227"/>
      <c r="CL106" s="227"/>
      <c r="CM106" s="227"/>
      <c r="CN106" s="227"/>
      <c r="CO106" s="227"/>
      <c r="CP106" s="227"/>
      <c r="CQ106" s="227"/>
      <c r="CR106" s="227"/>
      <c r="CS106" s="227"/>
      <c r="CT106" s="227"/>
      <c r="CU106" s="225"/>
      <c r="CV106" s="227"/>
    </row>
    <row r="107" spans="1:100" ht="20.100000000000001" customHeight="1">
      <c r="A107" s="227">
        <v>50</v>
      </c>
      <c r="B107" s="225"/>
      <c r="C107" s="227"/>
      <c r="D107" s="228" cm="1">
        <f t="array" ref="D107">IFERROR(
(SUMPRODUCT(E107:CU107*$E$6:$CU$6)/100) + (SUMPRODUCT(E107:CU107*$E$6:$CU$6*$E$3:$CU$3)/100),
0
)</f>
        <v>0</v>
      </c>
      <c r="E107" s="227"/>
      <c r="F107" s="227"/>
      <c r="G107" s="227"/>
      <c r="H107" s="227"/>
      <c r="I107" s="227"/>
      <c r="J107" s="227"/>
      <c r="K107" s="227"/>
      <c r="L107" s="227"/>
      <c r="M107" s="227"/>
      <c r="N107" s="227"/>
      <c r="O107" s="227"/>
      <c r="P107" s="227"/>
      <c r="Q107" s="227"/>
      <c r="R107" s="227"/>
      <c r="S107" s="227"/>
      <c r="T107" s="227"/>
      <c r="U107" s="227"/>
      <c r="V107" s="227"/>
      <c r="W107" s="227"/>
      <c r="X107" s="227"/>
      <c r="Y107" s="227"/>
      <c r="Z107" s="227"/>
      <c r="AA107" s="227"/>
      <c r="AB107" s="227"/>
      <c r="AC107" s="227"/>
      <c r="AD107" s="227"/>
      <c r="AE107" s="227"/>
      <c r="AF107" s="227"/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27"/>
      <c r="BC107" s="227"/>
      <c r="BD107" s="227"/>
      <c r="BE107" s="227"/>
      <c r="BF107" s="227"/>
      <c r="BG107" s="227"/>
      <c r="BH107" s="227"/>
      <c r="BI107" s="227"/>
      <c r="BJ107" s="227"/>
      <c r="BK107" s="227"/>
      <c r="BL107" s="227"/>
      <c r="BM107" s="227"/>
      <c r="BN107" s="227"/>
      <c r="BO107" s="227"/>
      <c r="BP107" s="227"/>
      <c r="BQ107" s="227"/>
      <c r="BR107" s="227"/>
      <c r="BS107" s="227"/>
      <c r="BT107" s="227"/>
      <c r="BU107" s="227"/>
      <c r="BV107" s="227"/>
      <c r="BW107" s="227"/>
      <c r="BX107" s="227"/>
      <c r="BY107" s="227"/>
      <c r="BZ107" s="227"/>
      <c r="CA107" s="227"/>
      <c r="CB107" s="227"/>
      <c r="CC107" s="227"/>
      <c r="CD107" s="227"/>
      <c r="CE107" s="227"/>
      <c r="CF107" s="227"/>
      <c r="CG107" s="227"/>
      <c r="CH107" s="227"/>
      <c r="CI107" s="227"/>
      <c r="CJ107" s="227"/>
      <c r="CK107" s="227"/>
      <c r="CL107" s="227"/>
      <c r="CM107" s="227"/>
      <c r="CN107" s="227"/>
      <c r="CO107" s="227"/>
      <c r="CP107" s="227"/>
      <c r="CQ107" s="227"/>
      <c r="CR107" s="227"/>
      <c r="CS107" s="227"/>
      <c r="CT107" s="227"/>
      <c r="CU107" s="225"/>
      <c r="CV107" s="227"/>
    </row>
    <row r="108" spans="1:100" ht="20.100000000000001" customHeight="1">
      <c r="A108" s="223"/>
      <c r="B108" s="225"/>
      <c r="C108" s="227"/>
      <c r="D108" s="224"/>
      <c r="E108" s="223"/>
      <c r="F108" s="223"/>
      <c r="G108" s="223"/>
      <c r="H108" s="223"/>
      <c r="I108" s="223"/>
      <c r="J108" s="223"/>
      <c r="K108" s="223"/>
      <c r="L108" s="223"/>
      <c r="M108" s="223"/>
      <c r="N108" s="223"/>
      <c r="O108" s="223"/>
      <c r="P108" s="223"/>
      <c r="Q108" s="223"/>
      <c r="R108" s="223"/>
      <c r="S108" s="223"/>
      <c r="T108" s="223"/>
      <c r="U108" s="223"/>
      <c r="V108" s="223"/>
      <c r="W108" s="223"/>
      <c r="X108" s="223"/>
      <c r="Y108" s="223"/>
      <c r="Z108" s="223"/>
      <c r="AA108" s="223"/>
      <c r="AB108" s="223"/>
      <c r="AC108" s="223"/>
      <c r="AD108" s="223"/>
      <c r="AE108" s="223"/>
      <c r="AF108" s="223"/>
      <c r="AG108" s="223"/>
      <c r="AH108" s="223"/>
      <c r="AI108" s="223"/>
      <c r="AJ108" s="223"/>
      <c r="AK108" s="223"/>
      <c r="AL108" s="223"/>
      <c r="AM108" s="223"/>
      <c r="AN108" s="223"/>
      <c r="AO108" s="223"/>
      <c r="AP108" s="223"/>
      <c r="AQ108" s="223"/>
      <c r="AR108" s="223"/>
      <c r="AS108" s="223"/>
      <c r="AT108" s="223"/>
      <c r="AU108" s="223"/>
      <c r="AV108" s="223"/>
      <c r="AW108" s="223"/>
      <c r="AX108" s="223"/>
      <c r="AY108" s="223"/>
      <c r="AZ108" s="223"/>
      <c r="BA108" s="223"/>
      <c r="BB108" s="223"/>
      <c r="BC108" s="223"/>
      <c r="BD108" s="223"/>
      <c r="BE108" s="223"/>
      <c r="BF108" s="223"/>
      <c r="BG108" s="223"/>
      <c r="BH108" s="223"/>
      <c r="BI108" s="223"/>
      <c r="BJ108" s="223"/>
      <c r="BK108" s="223"/>
      <c r="BL108" s="223"/>
      <c r="BM108" s="223"/>
      <c r="BN108" s="223"/>
      <c r="BO108" s="223"/>
      <c r="BP108" s="223"/>
      <c r="BQ108" s="227"/>
      <c r="BR108" s="227"/>
      <c r="BS108" s="227"/>
      <c r="BT108" s="227"/>
      <c r="BU108" s="227"/>
      <c r="BV108" s="227"/>
      <c r="BW108" s="227"/>
      <c r="BX108" s="227"/>
      <c r="BY108" s="227"/>
      <c r="BZ108" s="227"/>
      <c r="CA108" s="227"/>
      <c r="CB108" s="227"/>
      <c r="CC108" s="227"/>
      <c r="CD108" s="227"/>
      <c r="CE108" s="227"/>
      <c r="CF108" s="227"/>
      <c r="CG108" s="227"/>
      <c r="CH108" s="227"/>
      <c r="CI108" s="227"/>
      <c r="CJ108" s="227"/>
      <c r="CK108" s="227"/>
      <c r="CL108" s="227"/>
      <c r="CM108" s="227"/>
      <c r="CN108" s="227"/>
      <c r="CO108" s="227"/>
      <c r="CP108" s="227"/>
      <c r="CQ108" s="227"/>
      <c r="CR108" s="227"/>
      <c r="CS108" s="227"/>
      <c r="CT108" s="227"/>
      <c r="CU108" s="225"/>
      <c r="CV108" s="227"/>
    </row>
    <row r="109" spans="1:100" ht="20.100000000000001" customHeight="1">
      <c r="A109" s="227">
        <v>51</v>
      </c>
      <c r="B109" s="225"/>
      <c r="C109" s="227"/>
      <c r="D109" s="228" cm="1">
        <f t="array" ref="D109">IFERROR(
(SUMPRODUCT(E109:CU109*$E$6:$CU$6)/100) + (SUMPRODUCT(E109:CU109*$E$6:$CU$6*$E$3:$CU$3)/100),
0
)</f>
        <v>0</v>
      </c>
      <c r="E109" s="227"/>
      <c r="F109" s="227"/>
      <c r="G109" s="227"/>
      <c r="H109" s="227"/>
      <c r="I109" s="227"/>
      <c r="J109" s="227"/>
      <c r="K109" s="227"/>
      <c r="L109" s="227"/>
      <c r="M109" s="227"/>
      <c r="N109" s="227"/>
      <c r="O109" s="227"/>
      <c r="P109" s="227"/>
      <c r="Q109" s="227"/>
      <c r="R109" s="227"/>
      <c r="S109" s="227"/>
      <c r="T109" s="227"/>
      <c r="U109" s="227"/>
      <c r="V109" s="227"/>
      <c r="W109" s="227"/>
      <c r="X109" s="227"/>
      <c r="Y109" s="227"/>
      <c r="Z109" s="227"/>
      <c r="AA109" s="227"/>
      <c r="AB109" s="227"/>
      <c r="AC109" s="227"/>
      <c r="AD109" s="227"/>
      <c r="AE109" s="227"/>
      <c r="AF109" s="227"/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27"/>
      <c r="BC109" s="227"/>
      <c r="BD109" s="227"/>
      <c r="BE109" s="227"/>
      <c r="BF109" s="227"/>
      <c r="BG109" s="227"/>
      <c r="BH109" s="227"/>
      <c r="BI109" s="227"/>
      <c r="BJ109" s="227"/>
      <c r="BK109" s="227"/>
      <c r="BL109" s="227"/>
      <c r="BM109" s="227"/>
      <c r="BN109" s="227"/>
      <c r="BO109" s="227"/>
      <c r="BP109" s="227"/>
      <c r="BQ109" s="227"/>
      <c r="BR109" s="227"/>
      <c r="BS109" s="227"/>
      <c r="BT109" s="227"/>
      <c r="BU109" s="227"/>
      <c r="BV109" s="227"/>
      <c r="BW109" s="227"/>
      <c r="BX109" s="227"/>
      <c r="BY109" s="227"/>
      <c r="BZ109" s="227"/>
      <c r="CA109" s="227"/>
      <c r="CB109" s="227"/>
      <c r="CC109" s="227"/>
      <c r="CD109" s="227"/>
      <c r="CE109" s="227"/>
      <c r="CF109" s="227"/>
      <c r="CG109" s="227"/>
      <c r="CH109" s="227"/>
      <c r="CI109" s="227"/>
      <c r="CJ109" s="227"/>
      <c r="CK109" s="227"/>
      <c r="CL109" s="227"/>
      <c r="CM109" s="227"/>
      <c r="CN109" s="227"/>
      <c r="CO109" s="227"/>
      <c r="CP109" s="227"/>
      <c r="CQ109" s="227"/>
      <c r="CR109" s="227"/>
      <c r="CS109" s="227"/>
      <c r="CT109" s="227"/>
      <c r="CU109" s="225"/>
      <c r="CV109" s="227"/>
    </row>
    <row r="110" spans="1:100" ht="20.100000000000001" customHeight="1">
      <c r="A110" s="227"/>
      <c r="B110" s="225"/>
      <c r="C110" s="227"/>
      <c r="D110" s="224"/>
      <c r="E110" s="223"/>
      <c r="F110" s="223"/>
      <c r="G110" s="223"/>
      <c r="H110" s="223"/>
      <c r="I110" s="223"/>
      <c r="J110" s="223"/>
      <c r="K110" s="223"/>
      <c r="L110" s="223"/>
      <c r="M110" s="223"/>
      <c r="N110" s="223"/>
      <c r="O110" s="223"/>
      <c r="P110" s="223"/>
      <c r="Q110" s="223"/>
      <c r="R110" s="223"/>
      <c r="S110" s="223"/>
      <c r="T110" s="223"/>
      <c r="U110" s="223"/>
      <c r="V110" s="223"/>
      <c r="W110" s="223"/>
      <c r="X110" s="223"/>
      <c r="Y110" s="223"/>
      <c r="Z110" s="223"/>
      <c r="AA110" s="223"/>
      <c r="AB110" s="223"/>
      <c r="AC110" s="223"/>
      <c r="AD110" s="223"/>
      <c r="AE110" s="223"/>
      <c r="AF110" s="223"/>
      <c r="AG110" s="223"/>
      <c r="AH110" s="223"/>
      <c r="AI110" s="223"/>
      <c r="AJ110" s="223"/>
      <c r="AK110" s="223"/>
      <c r="AL110" s="223"/>
      <c r="AM110" s="223"/>
      <c r="AN110" s="223"/>
      <c r="AO110" s="223"/>
      <c r="AP110" s="223"/>
      <c r="AQ110" s="223"/>
      <c r="AR110" s="223"/>
      <c r="AS110" s="223"/>
      <c r="AT110" s="223"/>
      <c r="AU110" s="223"/>
      <c r="AV110" s="223"/>
      <c r="AW110" s="223"/>
      <c r="AX110" s="223"/>
      <c r="AY110" s="223"/>
      <c r="AZ110" s="223"/>
      <c r="BA110" s="223"/>
      <c r="BB110" s="223"/>
      <c r="BC110" s="223"/>
      <c r="BD110" s="223"/>
      <c r="BE110" s="223"/>
      <c r="BF110" s="223"/>
      <c r="BG110" s="223"/>
      <c r="BH110" s="223"/>
      <c r="BI110" s="223"/>
      <c r="BJ110" s="223"/>
      <c r="BK110" s="223"/>
      <c r="BL110" s="223"/>
      <c r="BM110" s="223"/>
      <c r="BN110" s="223"/>
      <c r="BO110" s="223"/>
      <c r="BP110" s="223"/>
      <c r="BQ110" s="227"/>
      <c r="BR110" s="227"/>
      <c r="BS110" s="227"/>
      <c r="BT110" s="227"/>
      <c r="BU110" s="227"/>
      <c r="BV110" s="227"/>
      <c r="BW110" s="227"/>
      <c r="BX110" s="227"/>
      <c r="BY110" s="227"/>
      <c r="BZ110" s="227"/>
      <c r="CA110" s="227"/>
      <c r="CB110" s="227"/>
      <c r="CC110" s="227"/>
      <c r="CD110" s="227"/>
      <c r="CE110" s="227"/>
      <c r="CF110" s="227"/>
      <c r="CG110" s="227"/>
      <c r="CH110" s="227"/>
      <c r="CI110" s="227"/>
      <c r="CJ110" s="227"/>
      <c r="CK110" s="227"/>
      <c r="CL110" s="227"/>
      <c r="CM110" s="227"/>
      <c r="CN110" s="227"/>
      <c r="CO110" s="227"/>
      <c r="CP110" s="227"/>
      <c r="CQ110" s="227"/>
      <c r="CR110" s="227"/>
      <c r="CS110" s="227"/>
      <c r="CT110" s="227"/>
      <c r="CU110" s="225"/>
      <c r="CV110" s="227"/>
    </row>
    <row r="111" spans="1:100" ht="20.100000000000001" customHeight="1">
      <c r="A111" s="227">
        <v>52</v>
      </c>
      <c r="B111" s="225"/>
      <c r="C111" s="227"/>
      <c r="D111" s="228" cm="1">
        <f t="array" ref="D111">IFERROR(
(SUMPRODUCT(E111:CU111*$E$6:$CU$6)/100) + (SUMPRODUCT(E111:CU111*$E$6:$CU$6*$E$3:$CU$3)/100),
0
)</f>
        <v>0</v>
      </c>
      <c r="E111" s="227"/>
      <c r="F111" s="227"/>
      <c r="G111" s="227"/>
      <c r="H111" s="227"/>
      <c r="I111" s="227"/>
      <c r="J111" s="227"/>
      <c r="K111" s="227"/>
      <c r="L111" s="227"/>
      <c r="M111" s="227"/>
      <c r="N111" s="227"/>
      <c r="O111" s="227"/>
      <c r="P111" s="227"/>
      <c r="Q111" s="227"/>
      <c r="R111" s="227"/>
      <c r="S111" s="227"/>
      <c r="T111" s="227"/>
      <c r="U111" s="227"/>
      <c r="V111" s="227"/>
      <c r="W111" s="227"/>
      <c r="X111" s="227"/>
      <c r="Y111" s="227"/>
      <c r="Z111" s="227"/>
      <c r="AA111" s="227"/>
      <c r="AB111" s="227"/>
      <c r="AC111" s="227"/>
      <c r="AD111" s="227"/>
      <c r="AE111" s="227"/>
      <c r="AF111" s="227"/>
      <c r="AG111" s="227"/>
      <c r="AH111" s="227"/>
      <c r="AI111" s="227"/>
      <c r="AJ111" s="227"/>
      <c r="AK111" s="227"/>
      <c r="AL111" s="227"/>
      <c r="AM111" s="227"/>
      <c r="AN111" s="227"/>
      <c r="AO111" s="227"/>
      <c r="AP111" s="227"/>
      <c r="AQ111" s="227"/>
      <c r="AR111" s="227"/>
      <c r="AS111" s="227"/>
      <c r="AT111" s="227"/>
      <c r="AU111" s="227"/>
      <c r="AV111" s="227"/>
      <c r="AW111" s="227"/>
      <c r="AX111" s="227"/>
      <c r="AY111" s="227"/>
      <c r="AZ111" s="227"/>
      <c r="BA111" s="227"/>
      <c r="BB111" s="227"/>
      <c r="BC111" s="227"/>
      <c r="BD111" s="227"/>
      <c r="BE111" s="227"/>
      <c r="BF111" s="227"/>
      <c r="BG111" s="227"/>
      <c r="BH111" s="227"/>
      <c r="BI111" s="227"/>
      <c r="BJ111" s="227"/>
      <c r="BK111" s="227"/>
      <c r="BL111" s="227"/>
      <c r="BM111" s="227"/>
      <c r="BN111" s="227"/>
      <c r="BO111" s="227"/>
      <c r="BP111" s="227"/>
      <c r="BQ111" s="227"/>
      <c r="BR111" s="227"/>
      <c r="BS111" s="227"/>
      <c r="BT111" s="227"/>
      <c r="BU111" s="227"/>
      <c r="BV111" s="227"/>
      <c r="BW111" s="227"/>
      <c r="BX111" s="227"/>
      <c r="BY111" s="227"/>
      <c r="BZ111" s="227"/>
      <c r="CA111" s="227"/>
      <c r="CB111" s="227"/>
      <c r="CC111" s="227"/>
      <c r="CD111" s="227"/>
      <c r="CE111" s="227"/>
      <c r="CF111" s="227"/>
      <c r="CG111" s="227"/>
      <c r="CH111" s="227"/>
      <c r="CI111" s="227"/>
      <c r="CJ111" s="227"/>
      <c r="CK111" s="227"/>
      <c r="CL111" s="227"/>
      <c r="CM111" s="227"/>
      <c r="CN111" s="227"/>
      <c r="CO111" s="227"/>
      <c r="CP111" s="227"/>
      <c r="CQ111" s="227"/>
      <c r="CR111" s="227"/>
      <c r="CS111" s="227"/>
      <c r="CT111" s="227"/>
      <c r="CU111" s="225"/>
      <c r="CV111" s="227"/>
    </row>
    <row r="112" spans="1:100" ht="20.100000000000001" customHeight="1">
      <c r="A112" s="223"/>
      <c r="B112" s="225"/>
      <c r="C112" s="227"/>
      <c r="D112" s="224"/>
      <c r="E112" s="223"/>
      <c r="F112" s="223"/>
      <c r="G112" s="223"/>
      <c r="H112" s="223"/>
      <c r="I112" s="223"/>
      <c r="J112" s="223"/>
      <c r="K112" s="223"/>
      <c r="L112" s="223"/>
      <c r="M112" s="223"/>
      <c r="N112" s="223"/>
      <c r="O112" s="223"/>
      <c r="P112" s="223"/>
      <c r="Q112" s="223"/>
      <c r="R112" s="223"/>
      <c r="S112" s="223"/>
      <c r="T112" s="223"/>
      <c r="U112" s="223"/>
      <c r="V112" s="223"/>
      <c r="W112" s="223"/>
      <c r="X112" s="223"/>
      <c r="Y112" s="223"/>
      <c r="Z112" s="223"/>
      <c r="AA112" s="223"/>
      <c r="AB112" s="223"/>
      <c r="AC112" s="223"/>
      <c r="AD112" s="223"/>
      <c r="AE112" s="223"/>
      <c r="AF112" s="223"/>
      <c r="AG112" s="223"/>
      <c r="AH112" s="223"/>
      <c r="AI112" s="223"/>
      <c r="AJ112" s="223"/>
      <c r="AK112" s="223"/>
      <c r="AL112" s="223"/>
      <c r="AM112" s="223"/>
      <c r="AN112" s="223"/>
      <c r="AO112" s="223"/>
      <c r="AP112" s="223"/>
      <c r="AQ112" s="223"/>
      <c r="AR112" s="223"/>
      <c r="AS112" s="223"/>
      <c r="AT112" s="223"/>
      <c r="AU112" s="223"/>
      <c r="AV112" s="223"/>
      <c r="AW112" s="223"/>
      <c r="AX112" s="223"/>
      <c r="AY112" s="223"/>
      <c r="AZ112" s="223"/>
      <c r="BA112" s="223"/>
      <c r="BB112" s="223"/>
      <c r="BC112" s="223"/>
      <c r="BD112" s="223"/>
      <c r="BE112" s="223"/>
      <c r="BF112" s="223"/>
      <c r="BG112" s="223"/>
      <c r="BH112" s="223"/>
      <c r="BI112" s="223"/>
      <c r="BJ112" s="223"/>
      <c r="BK112" s="223"/>
      <c r="BL112" s="223"/>
      <c r="BM112" s="223"/>
      <c r="BN112" s="223"/>
      <c r="BO112" s="223"/>
      <c r="BP112" s="223"/>
      <c r="BQ112" s="227"/>
      <c r="BR112" s="227"/>
      <c r="BS112" s="227"/>
      <c r="BT112" s="227"/>
      <c r="BU112" s="227"/>
      <c r="BV112" s="227"/>
      <c r="BW112" s="227"/>
      <c r="BX112" s="227"/>
      <c r="BY112" s="227"/>
      <c r="BZ112" s="227"/>
      <c r="CA112" s="227"/>
      <c r="CB112" s="227"/>
      <c r="CC112" s="227"/>
      <c r="CD112" s="227"/>
      <c r="CE112" s="227"/>
      <c r="CF112" s="227"/>
      <c r="CG112" s="227"/>
      <c r="CH112" s="227"/>
      <c r="CI112" s="227"/>
      <c r="CJ112" s="227"/>
      <c r="CK112" s="227"/>
      <c r="CL112" s="227"/>
      <c r="CM112" s="227"/>
      <c r="CN112" s="227"/>
      <c r="CO112" s="227"/>
      <c r="CP112" s="227"/>
      <c r="CQ112" s="227"/>
      <c r="CR112" s="227"/>
      <c r="CS112" s="227"/>
      <c r="CT112" s="227"/>
      <c r="CU112" s="225"/>
      <c r="CV112" s="227"/>
    </row>
    <row r="113" spans="1:100" ht="20.100000000000001" customHeight="1">
      <c r="A113" s="227">
        <v>53</v>
      </c>
      <c r="B113" s="225"/>
      <c r="C113" s="227"/>
      <c r="D113" s="228" cm="1">
        <f t="array" ref="D113">IFERROR(
(SUMPRODUCT(E113:CU113*$E$6:$CU$6)/100) + (SUMPRODUCT(E113:CU113*$E$6:$CU$6*$E$3:$CU$3)/100),
0
)</f>
        <v>0</v>
      </c>
      <c r="E113" s="227"/>
      <c r="F113" s="227"/>
      <c r="G113" s="227"/>
      <c r="H113" s="227"/>
      <c r="I113" s="227"/>
      <c r="J113" s="227"/>
      <c r="K113" s="227"/>
      <c r="L113" s="227"/>
      <c r="M113" s="227"/>
      <c r="N113" s="227"/>
      <c r="O113" s="227"/>
      <c r="P113" s="227"/>
      <c r="Q113" s="227"/>
      <c r="R113" s="227"/>
      <c r="S113" s="227"/>
      <c r="T113" s="227"/>
      <c r="U113" s="227"/>
      <c r="V113" s="227"/>
      <c r="W113" s="227"/>
      <c r="X113" s="227"/>
      <c r="Y113" s="227"/>
      <c r="Z113" s="227"/>
      <c r="AA113" s="227"/>
      <c r="AB113" s="227"/>
      <c r="AC113" s="227"/>
      <c r="AD113" s="227"/>
      <c r="AE113" s="227"/>
      <c r="AF113" s="227"/>
      <c r="AG113" s="227"/>
      <c r="AH113" s="227"/>
      <c r="AI113" s="227"/>
      <c r="AJ113" s="227"/>
      <c r="AK113" s="227"/>
      <c r="AL113" s="227"/>
      <c r="AM113" s="227"/>
      <c r="AN113" s="227"/>
      <c r="AO113" s="227"/>
      <c r="AP113" s="227"/>
      <c r="AQ113" s="227"/>
      <c r="AR113" s="227"/>
      <c r="AS113" s="227"/>
      <c r="AT113" s="227"/>
      <c r="AU113" s="227"/>
      <c r="AV113" s="227"/>
      <c r="AW113" s="227"/>
      <c r="AX113" s="227"/>
      <c r="AY113" s="227"/>
      <c r="AZ113" s="227"/>
      <c r="BA113" s="227"/>
      <c r="BB113" s="227"/>
      <c r="BC113" s="227"/>
      <c r="BD113" s="227"/>
      <c r="BE113" s="227"/>
      <c r="BF113" s="227"/>
      <c r="BG113" s="227"/>
      <c r="BH113" s="227"/>
      <c r="BI113" s="227"/>
      <c r="BJ113" s="227"/>
      <c r="BK113" s="227"/>
      <c r="BL113" s="227"/>
      <c r="BM113" s="227"/>
      <c r="BN113" s="227"/>
      <c r="BO113" s="227"/>
      <c r="BP113" s="227"/>
      <c r="BQ113" s="227"/>
      <c r="BR113" s="227"/>
      <c r="BS113" s="227"/>
      <c r="BT113" s="227"/>
      <c r="BU113" s="227"/>
      <c r="BV113" s="227"/>
      <c r="BW113" s="227"/>
      <c r="BX113" s="227"/>
      <c r="BY113" s="227"/>
      <c r="BZ113" s="227"/>
      <c r="CA113" s="227"/>
      <c r="CB113" s="227"/>
      <c r="CC113" s="227"/>
      <c r="CD113" s="227"/>
      <c r="CE113" s="227"/>
      <c r="CF113" s="227"/>
      <c r="CG113" s="227"/>
      <c r="CH113" s="227"/>
      <c r="CI113" s="227"/>
      <c r="CJ113" s="227"/>
      <c r="CK113" s="227"/>
      <c r="CL113" s="227"/>
      <c r="CM113" s="227"/>
      <c r="CN113" s="227"/>
      <c r="CO113" s="227"/>
      <c r="CP113" s="227"/>
      <c r="CQ113" s="227"/>
      <c r="CR113" s="227"/>
      <c r="CS113" s="227"/>
      <c r="CT113" s="227"/>
      <c r="CU113" s="225"/>
      <c r="CV113" s="227"/>
    </row>
    <row r="114" spans="1:100" ht="20.100000000000001" customHeight="1">
      <c r="A114" s="227"/>
      <c r="B114" s="225"/>
      <c r="C114" s="227"/>
      <c r="D114" s="224"/>
      <c r="E114" s="223"/>
      <c r="F114" s="223"/>
      <c r="G114" s="223"/>
      <c r="H114" s="223"/>
      <c r="I114" s="223"/>
      <c r="J114" s="223"/>
      <c r="K114" s="223"/>
      <c r="L114" s="223"/>
      <c r="M114" s="223"/>
      <c r="N114" s="223"/>
      <c r="O114" s="223"/>
      <c r="P114" s="223"/>
      <c r="Q114" s="223"/>
      <c r="R114" s="223"/>
      <c r="S114" s="223"/>
      <c r="T114" s="223"/>
      <c r="U114" s="223"/>
      <c r="V114" s="223"/>
      <c r="W114" s="223"/>
      <c r="X114" s="223"/>
      <c r="Y114" s="223"/>
      <c r="Z114" s="223"/>
      <c r="AA114" s="223"/>
      <c r="AB114" s="223"/>
      <c r="AC114" s="223"/>
      <c r="AD114" s="223"/>
      <c r="AE114" s="223"/>
      <c r="AF114" s="223"/>
      <c r="AG114" s="223"/>
      <c r="AH114" s="223"/>
      <c r="AI114" s="223"/>
      <c r="AJ114" s="223"/>
      <c r="AK114" s="223"/>
      <c r="AL114" s="223"/>
      <c r="AM114" s="223"/>
      <c r="AN114" s="223"/>
      <c r="AO114" s="223"/>
      <c r="AP114" s="223"/>
      <c r="AQ114" s="223"/>
      <c r="AR114" s="223"/>
      <c r="AS114" s="223"/>
      <c r="AT114" s="223"/>
      <c r="AU114" s="223"/>
      <c r="AV114" s="223"/>
      <c r="AW114" s="223"/>
      <c r="AX114" s="223"/>
      <c r="AY114" s="223"/>
      <c r="AZ114" s="223"/>
      <c r="BA114" s="223"/>
      <c r="BB114" s="223"/>
      <c r="BC114" s="223"/>
      <c r="BD114" s="223"/>
      <c r="BE114" s="223"/>
      <c r="BF114" s="223"/>
      <c r="BG114" s="223"/>
      <c r="BH114" s="223"/>
      <c r="BI114" s="223"/>
      <c r="BJ114" s="223"/>
      <c r="BK114" s="223"/>
      <c r="BL114" s="223"/>
      <c r="BM114" s="223"/>
      <c r="BN114" s="223"/>
      <c r="BO114" s="223"/>
      <c r="BP114" s="223"/>
      <c r="BQ114" s="227"/>
      <c r="BR114" s="227"/>
      <c r="BS114" s="227"/>
      <c r="BT114" s="227"/>
      <c r="BU114" s="227"/>
      <c r="BV114" s="227"/>
      <c r="BW114" s="227"/>
      <c r="BX114" s="227"/>
      <c r="BY114" s="227"/>
      <c r="BZ114" s="227"/>
      <c r="CA114" s="227"/>
      <c r="CB114" s="227"/>
      <c r="CC114" s="227"/>
      <c r="CD114" s="227"/>
      <c r="CE114" s="227"/>
      <c r="CF114" s="227"/>
      <c r="CG114" s="227"/>
      <c r="CH114" s="227"/>
      <c r="CI114" s="227"/>
      <c r="CJ114" s="227"/>
      <c r="CK114" s="227"/>
      <c r="CL114" s="227"/>
      <c r="CM114" s="227"/>
      <c r="CN114" s="227"/>
      <c r="CO114" s="227"/>
      <c r="CP114" s="227"/>
      <c r="CQ114" s="227"/>
      <c r="CR114" s="227"/>
      <c r="CS114" s="227"/>
      <c r="CT114" s="227"/>
      <c r="CU114" s="225"/>
      <c r="CV114" s="227"/>
    </row>
    <row r="115" spans="1:100" ht="20.100000000000001" customHeight="1">
      <c r="A115" s="227">
        <v>54</v>
      </c>
      <c r="B115" s="225"/>
      <c r="C115" s="227"/>
      <c r="D115" s="228" cm="1">
        <f t="array" ref="D115">IFERROR(
(SUMPRODUCT(E115:CU115*$E$6:$CU$6)/100) + (SUMPRODUCT(E115:CU115*$E$6:$CU$6*$E$3:$CU$3)/100),
0
)</f>
        <v>0</v>
      </c>
      <c r="E115" s="227"/>
      <c r="F115" s="227"/>
      <c r="G115" s="227"/>
      <c r="H115" s="227"/>
      <c r="I115" s="227"/>
      <c r="J115" s="227"/>
      <c r="K115" s="227"/>
      <c r="L115" s="227"/>
      <c r="M115" s="227"/>
      <c r="N115" s="227"/>
      <c r="O115" s="227"/>
      <c r="P115" s="227"/>
      <c r="Q115" s="227"/>
      <c r="R115" s="227"/>
      <c r="S115" s="227"/>
      <c r="T115" s="227"/>
      <c r="U115" s="227"/>
      <c r="V115" s="227"/>
      <c r="W115" s="227"/>
      <c r="X115" s="227"/>
      <c r="Y115" s="227"/>
      <c r="Z115" s="227"/>
      <c r="AA115" s="227"/>
      <c r="AB115" s="227"/>
      <c r="AC115" s="227"/>
      <c r="AD115" s="227"/>
      <c r="AE115" s="227"/>
      <c r="AF115" s="227"/>
      <c r="AG115" s="227"/>
      <c r="AH115" s="227"/>
      <c r="AI115" s="227"/>
      <c r="AJ115" s="227"/>
      <c r="AK115" s="227"/>
      <c r="AL115" s="227"/>
      <c r="AM115" s="227"/>
      <c r="AN115" s="227"/>
      <c r="AO115" s="227"/>
      <c r="AP115" s="227"/>
      <c r="AQ115" s="227"/>
      <c r="AR115" s="227"/>
      <c r="AS115" s="227"/>
      <c r="AT115" s="227"/>
      <c r="AU115" s="227"/>
      <c r="AV115" s="227"/>
      <c r="AW115" s="227"/>
      <c r="AX115" s="227"/>
      <c r="AY115" s="227"/>
      <c r="AZ115" s="227"/>
      <c r="BA115" s="227"/>
      <c r="BB115" s="227"/>
      <c r="BC115" s="227"/>
      <c r="BD115" s="227"/>
      <c r="BE115" s="227"/>
      <c r="BF115" s="227"/>
      <c r="BG115" s="227"/>
      <c r="BH115" s="227"/>
      <c r="BI115" s="227"/>
      <c r="BJ115" s="227"/>
      <c r="BK115" s="227"/>
      <c r="BL115" s="227"/>
      <c r="BM115" s="227"/>
      <c r="BN115" s="227"/>
      <c r="BO115" s="227"/>
      <c r="BP115" s="227"/>
      <c r="BQ115" s="227"/>
      <c r="BR115" s="227"/>
      <c r="BS115" s="227"/>
      <c r="BT115" s="227"/>
      <c r="BU115" s="227"/>
      <c r="BV115" s="227"/>
      <c r="BW115" s="227"/>
      <c r="BX115" s="227"/>
      <c r="BY115" s="227"/>
      <c r="BZ115" s="227"/>
      <c r="CA115" s="227"/>
      <c r="CB115" s="227"/>
      <c r="CC115" s="227"/>
      <c r="CD115" s="227"/>
      <c r="CE115" s="227"/>
      <c r="CF115" s="227"/>
      <c r="CG115" s="227"/>
      <c r="CH115" s="227"/>
      <c r="CI115" s="227"/>
      <c r="CJ115" s="227"/>
      <c r="CK115" s="227"/>
      <c r="CL115" s="227"/>
      <c r="CM115" s="227"/>
      <c r="CN115" s="227"/>
      <c r="CO115" s="227"/>
      <c r="CP115" s="227"/>
      <c r="CQ115" s="227"/>
      <c r="CR115" s="227"/>
      <c r="CS115" s="227"/>
      <c r="CT115" s="227"/>
      <c r="CU115" s="225"/>
      <c r="CV115" s="227"/>
    </row>
    <row r="116" spans="1:100" ht="20.100000000000001" customHeight="1">
      <c r="A116" s="223"/>
      <c r="B116" s="225"/>
      <c r="C116" s="227"/>
      <c r="D116" s="224"/>
      <c r="E116" s="223"/>
      <c r="F116" s="223"/>
      <c r="G116" s="223"/>
      <c r="H116" s="223"/>
      <c r="I116" s="223"/>
      <c r="J116" s="223"/>
      <c r="K116" s="223"/>
      <c r="L116" s="223"/>
      <c r="M116" s="223"/>
      <c r="N116" s="223"/>
      <c r="O116" s="223"/>
      <c r="P116" s="223"/>
      <c r="Q116" s="223"/>
      <c r="R116" s="223"/>
      <c r="S116" s="223"/>
      <c r="T116" s="223"/>
      <c r="U116" s="223"/>
      <c r="V116" s="223"/>
      <c r="W116" s="223"/>
      <c r="X116" s="223"/>
      <c r="Y116" s="223"/>
      <c r="Z116" s="223"/>
      <c r="AA116" s="223"/>
      <c r="AB116" s="223"/>
      <c r="AC116" s="223"/>
      <c r="AD116" s="223"/>
      <c r="AE116" s="223"/>
      <c r="AF116" s="223"/>
      <c r="AG116" s="223"/>
      <c r="AH116" s="223"/>
      <c r="AI116" s="223"/>
      <c r="AJ116" s="223"/>
      <c r="AK116" s="223"/>
      <c r="AL116" s="223"/>
      <c r="AM116" s="223"/>
      <c r="AN116" s="223"/>
      <c r="AO116" s="223"/>
      <c r="AP116" s="223"/>
      <c r="AQ116" s="223"/>
      <c r="AR116" s="223"/>
      <c r="AS116" s="223"/>
      <c r="AT116" s="223"/>
      <c r="AU116" s="223"/>
      <c r="AV116" s="223"/>
      <c r="AW116" s="223"/>
      <c r="AX116" s="223"/>
      <c r="AY116" s="223"/>
      <c r="AZ116" s="223"/>
      <c r="BA116" s="223"/>
      <c r="BB116" s="223"/>
      <c r="BC116" s="223"/>
      <c r="BD116" s="223"/>
      <c r="BE116" s="223"/>
      <c r="BF116" s="223"/>
      <c r="BG116" s="223"/>
      <c r="BH116" s="223"/>
      <c r="BI116" s="223"/>
      <c r="BJ116" s="223"/>
      <c r="BK116" s="223"/>
      <c r="BL116" s="223"/>
      <c r="BM116" s="223"/>
      <c r="BN116" s="223"/>
      <c r="BO116" s="223"/>
      <c r="BP116" s="223"/>
      <c r="BQ116" s="227"/>
      <c r="BR116" s="227"/>
      <c r="BS116" s="227"/>
      <c r="BT116" s="227"/>
      <c r="BU116" s="227"/>
      <c r="BV116" s="227"/>
      <c r="BW116" s="227"/>
      <c r="BX116" s="227"/>
      <c r="BY116" s="227"/>
      <c r="BZ116" s="227"/>
      <c r="CA116" s="227"/>
      <c r="CB116" s="227"/>
      <c r="CC116" s="227"/>
      <c r="CD116" s="227"/>
      <c r="CE116" s="227"/>
      <c r="CF116" s="227"/>
      <c r="CG116" s="227"/>
      <c r="CH116" s="227"/>
      <c r="CI116" s="227"/>
      <c r="CJ116" s="227"/>
      <c r="CK116" s="227"/>
      <c r="CL116" s="227"/>
      <c r="CM116" s="227"/>
      <c r="CN116" s="227"/>
      <c r="CO116" s="227"/>
      <c r="CP116" s="227"/>
      <c r="CQ116" s="227"/>
      <c r="CR116" s="227"/>
      <c r="CS116" s="227"/>
      <c r="CT116" s="227"/>
      <c r="CU116" s="225"/>
      <c r="CV116" s="227"/>
    </row>
    <row r="117" spans="1:100" ht="20.100000000000001" customHeight="1">
      <c r="A117" s="227">
        <v>55</v>
      </c>
      <c r="B117" s="225"/>
      <c r="C117" s="227"/>
      <c r="D117" s="228" cm="1">
        <f t="array" ref="D117">IFERROR(
(SUMPRODUCT(E117:CU117*$E$6:$CU$6)/100) + (SUMPRODUCT(E117:CU117*$E$6:$CU$6*$E$3:$CU$3)/100),
0
)</f>
        <v>0</v>
      </c>
      <c r="E117" s="227"/>
      <c r="F117" s="227"/>
      <c r="G117" s="227"/>
      <c r="H117" s="227"/>
      <c r="I117" s="227"/>
      <c r="J117" s="227"/>
      <c r="K117" s="227"/>
      <c r="L117" s="227"/>
      <c r="M117" s="227"/>
      <c r="N117" s="227"/>
      <c r="O117" s="227"/>
      <c r="P117" s="227"/>
      <c r="Q117" s="227"/>
      <c r="R117" s="227"/>
      <c r="S117" s="227"/>
      <c r="T117" s="227"/>
      <c r="U117" s="227"/>
      <c r="V117" s="227"/>
      <c r="W117" s="227"/>
      <c r="X117" s="227"/>
      <c r="Y117" s="227"/>
      <c r="Z117" s="227"/>
      <c r="AA117" s="227"/>
      <c r="AB117" s="227"/>
      <c r="AC117" s="227"/>
      <c r="AD117" s="227"/>
      <c r="AE117" s="227"/>
      <c r="AF117" s="227"/>
      <c r="AG117" s="227"/>
      <c r="AH117" s="227"/>
      <c r="AI117" s="227"/>
      <c r="AJ117" s="227"/>
      <c r="AK117" s="227"/>
      <c r="AL117" s="227"/>
      <c r="AM117" s="227"/>
      <c r="AN117" s="227"/>
      <c r="AO117" s="227"/>
      <c r="AP117" s="227"/>
      <c r="AQ117" s="227"/>
      <c r="AR117" s="227"/>
      <c r="AS117" s="227"/>
      <c r="AT117" s="227"/>
      <c r="AU117" s="227"/>
      <c r="AV117" s="227"/>
      <c r="AW117" s="227"/>
      <c r="AX117" s="227"/>
      <c r="AY117" s="227"/>
      <c r="AZ117" s="227"/>
      <c r="BA117" s="227"/>
      <c r="BB117" s="227"/>
      <c r="BC117" s="227"/>
      <c r="BD117" s="227"/>
      <c r="BE117" s="227"/>
      <c r="BF117" s="227"/>
      <c r="BG117" s="227"/>
      <c r="BH117" s="227"/>
      <c r="BI117" s="227"/>
      <c r="BJ117" s="227"/>
      <c r="BK117" s="227"/>
      <c r="BL117" s="227"/>
      <c r="BM117" s="227"/>
      <c r="BN117" s="227"/>
      <c r="BO117" s="227"/>
      <c r="BP117" s="227"/>
      <c r="BQ117" s="227"/>
      <c r="BR117" s="227"/>
      <c r="BS117" s="227"/>
      <c r="BT117" s="227"/>
      <c r="BU117" s="227"/>
      <c r="BV117" s="227"/>
      <c r="BW117" s="227"/>
      <c r="BX117" s="227"/>
      <c r="BY117" s="227"/>
      <c r="BZ117" s="227"/>
      <c r="CA117" s="227"/>
      <c r="CB117" s="227"/>
      <c r="CC117" s="227"/>
      <c r="CD117" s="227"/>
      <c r="CE117" s="227"/>
      <c r="CF117" s="227"/>
      <c r="CG117" s="227"/>
      <c r="CH117" s="227"/>
      <c r="CI117" s="227"/>
      <c r="CJ117" s="227"/>
      <c r="CK117" s="227"/>
      <c r="CL117" s="227"/>
      <c r="CM117" s="227"/>
      <c r="CN117" s="227"/>
      <c r="CO117" s="227"/>
      <c r="CP117" s="227"/>
      <c r="CQ117" s="227"/>
      <c r="CR117" s="227"/>
      <c r="CS117" s="227"/>
      <c r="CT117" s="227"/>
      <c r="CU117" s="225"/>
      <c r="CV117" s="227"/>
    </row>
    <row r="118" spans="1:100" ht="20.100000000000001" customHeight="1">
      <c r="A118" s="227"/>
      <c r="B118" s="225"/>
      <c r="C118" s="227"/>
      <c r="D118" s="224"/>
      <c r="E118" s="223"/>
      <c r="F118" s="223"/>
      <c r="G118" s="223"/>
      <c r="H118" s="223"/>
      <c r="I118" s="223"/>
      <c r="J118" s="223"/>
      <c r="K118" s="223"/>
      <c r="L118" s="223"/>
      <c r="M118" s="223"/>
      <c r="N118" s="223"/>
      <c r="O118" s="223"/>
      <c r="P118" s="223"/>
      <c r="Q118" s="223"/>
      <c r="R118" s="223"/>
      <c r="S118" s="223"/>
      <c r="T118" s="223"/>
      <c r="U118" s="223"/>
      <c r="V118" s="223"/>
      <c r="W118" s="223"/>
      <c r="X118" s="223"/>
      <c r="Y118" s="223"/>
      <c r="Z118" s="223"/>
      <c r="AA118" s="223"/>
      <c r="AB118" s="223"/>
      <c r="AC118" s="223"/>
      <c r="AD118" s="223"/>
      <c r="AE118" s="223"/>
      <c r="AF118" s="223"/>
      <c r="AG118" s="223"/>
      <c r="AH118" s="223"/>
      <c r="AI118" s="223"/>
      <c r="AJ118" s="223"/>
      <c r="AK118" s="223"/>
      <c r="AL118" s="223"/>
      <c r="AM118" s="223"/>
      <c r="AN118" s="223"/>
      <c r="AO118" s="223"/>
      <c r="AP118" s="223"/>
      <c r="AQ118" s="223"/>
      <c r="AR118" s="223"/>
      <c r="AS118" s="223"/>
      <c r="AT118" s="223"/>
      <c r="AU118" s="223"/>
      <c r="AV118" s="223"/>
      <c r="AW118" s="223"/>
      <c r="AX118" s="223"/>
      <c r="AY118" s="223"/>
      <c r="AZ118" s="223"/>
      <c r="BA118" s="223"/>
      <c r="BB118" s="223"/>
      <c r="BC118" s="223"/>
      <c r="BD118" s="223"/>
      <c r="BE118" s="223"/>
      <c r="BF118" s="223"/>
      <c r="BG118" s="223"/>
      <c r="BH118" s="223"/>
      <c r="BI118" s="223"/>
      <c r="BJ118" s="223"/>
      <c r="BK118" s="223"/>
      <c r="BL118" s="223"/>
      <c r="BM118" s="223"/>
      <c r="BN118" s="223"/>
      <c r="BO118" s="223"/>
      <c r="BP118" s="223"/>
      <c r="BQ118" s="227"/>
      <c r="BR118" s="227"/>
      <c r="BS118" s="227"/>
      <c r="BT118" s="227"/>
      <c r="BU118" s="227"/>
      <c r="BV118" s="227"/>
      <c r="BW118" s="227"/>
      <c r="BX118" s="227"/>
      <c r="BY118" s="227"/>
      <c r="BZ118" s="227"/>
      <c r="CA118" s="227"/>
      <c r="CB118" s="227"/>
      <c r="CC118" s="227"/>
      <c r="CD118" s="227"/>
      <c r="CE118" s="227"/>
      <c r="CF118" s="227"/>
      <c r="CG118" s="227"/>
      <c r="CH118" s="227"/>
      <c r="CI118" s="227"/>
      <c r="CJ118" s="227"/>
      <c r="CK118" s="227"/>
      <c r="CL118" s="227"/>
      <c r="CM118" s="227"/>
      <c r="CN118" s="227"/>
      <c r="CO118" s="227"/>
      <c r="CP118" s="227"/>
      <c r="CQ118" s="227"/>
      <c r="CR118" s="227"/>
      <c r="CS118" s="227"/>
      <c r="CT118" s="227"/>
      <c r="CU118" s="225"/>
      <c r="CV118" s="227"/>
    </row>
    <row r="119" spans="1:100" ht="20.100000000000001" customHeight="1">
      <c r="A119" s="227">
        <v>56</v>
      </c>
      <c r="B119" s="225"/>
      <c r="C119" s="227"/>
      <c r="D119" s="228" cm="1">
        <f t="array" ref="D119">IFERROR(
(SUMPRODUCT(E119:CU119*$E$6:$CU$6)/100) + (SUMPRODUCT(E119:CU119*$E$6:$CU$6*$E$3:$CU$3)/100),
0
)</f>
        <v>0</v>
      </c>
      <c r="E119" s="227"/>
      <c r="F119" s="227"/>
      <c r="G119" s="227"/>
      <c r="H119" s="227"/>
      <c r="I119" s="227"/>
      <c r="J119" s="227"/>
      <c r="K119" s="227"/>
      <c r="L119" s="227"/>
      <c r="M119" s="227"/>
      <c r="N119" s="227"/>
      <c r="O119" s="227"/>
      <c r="P119" s="227"/>
      <c r="Q119" s="227"/>
      <c r="R119" s="227"/>
      <c r="S119" s="227"/>
      <c r="T119" s="227"/>
      <c r="U119" s="227"/>
      <c r="V119" s="227"/>
      <c r="W119" s="227"/>
      <c r="X119" s="227"/>
      <c r="Y119" s="227"/>
      <c r="Z119" s="227"/>
      <c r="AA119" s="227"/>
      <c r="AB119" s="227"/>
      <c r="AC119" s="227"/>
      <c r="AD119" s="227"/>
      <c r="AE119" s="227"/>
      <c r="AF119" s="227"/>
      <c r="AG119" s="227"/>
      <c r="AH119" s="227"/>
      <c r="AI119" s="227"/>
      <c r="AJ119" s="227"/>
      <c r="AK119" s="227"/>
      <c r="AL119" s="227"/>
      <c r="AM119" s="227"/>
      <c r="AN119" s="227"/>
      <c r="AO119" s="227"/>
      <c r="AP119" s="227"/>
      <c r="AQ119" s="227"/>
      <c r="AR119" s="227"/>
      <c r="AS119" s="227"/>
      <c r="AT119" s="227"/>
      <c r="AU119" s="227"/>
      <c r="AV119" s="227"/>
      <c r="AW119" s="227"/>
      <c r="AX119" s="227"/>
      <c r="AY119" s="227"/>
      <c r="AZ119" s="227"/>
      <c r="BA119" s="227"/>
      <c r="BB119" s="227"/>
      <c r="BC119" s="227"/>
      <c r="BD119" s="227"/>
      <c r="BE119" s="227"/>
      <c r="BF119" s="227"/>
      <c r="BG119" s="227"/>
      <c r="BH119" s="227"/>
      <c r="BI119" s="227"/>
      <c r="BJ119" s="227"/>
      <c r="BK119" s="227"/>
      <c r="BL119" s="227"/>
      <c r="BM119" s="227"/>
      <c r="BN119" s="227"/>
      <c r="BO119" s="227"/>
      <c r="BP119" s="227"/>
      <c r="BQ119" s="227"/>
      <c r="BR119" s="227"/>
      <c r="BS119" s="227"/>
      <c r="BT119" s="227"/>
      <c r="BU119" s="227"/>
      <c r="BV119" s="227"/>
      <c r="BW119" s="227"/>
      <c r="BX119" s="227"/>
      <c r="BY119" s="227"/>
      <c r="BZ119" s="227"/>
      <c r="CA119" s="227"/>
      <c r="CB119" s="227"/>
      <c r="CC119" s="227"/>
      <c r="CD119" s="227"/>
      <c r="CE119" s="227"/>
      <c r="CF119" s="227"/>
      <c r="CG119" s="227"/>
      <c r="CH119" s="227"/>
      <c r="CI119" s="227"/>
      <c r="CJ119" s="227"/>
      <c r="CK119" s="227"/>
      <c r="CL119" s="227"/>
      <c r="CM119" s="227"/>
      <c r="CN119" s="227"/>
      <c r="CO119" s="227"/>
      <c r="CP119" s="227"/>
      <c r="CQ119" s="227"/>
      <c r="CR119" s="227"/>
      <c r="CS119" s="227"/>
      <c r="CT119" s="227"/>
      <c r="CU119" s="225"/>
      <c r="CV119" s="227"/>
    </row>
    <row r="120" spans="1:100" ht="20.100000000000001" customHeight="1">
      <c r="A120" s="223"/>
      <c r="B120" s="225"/>
      <c r="C120" s="227"/>
      <c r="D120" s="224"/>
      <c r="E120" s="223"/>
      <c r="F120" s="223"/>
      <c r="G120" s="223"/>
      <c r="H120" s="223"/>
      <c r="I120" s="223"/>
      <c r="J120" s="223"/>
      <c r="K120" s="223"/>
      <c r="L120" s="223"/>
      <c r="M120" s="223"/>
      <c r="N120" s="223"/>
      <c r="O120" s="223"/>
      <c r="P120" s="223"/>
      <c r="Q120" s="223"/>
      <c r="R120" s="223"/>
      <c r="S120" s="223"/>
      <c r="T120" s="223"/>
      <c r="U120" s="223"/>
      <c r="V120" s="223"/>
      <c r="W120" s="223"/>
      <c r="X120" s="223"/>
      <c r="Y120" s="223"/>
      <c r="Z120" s="223"/>
      <c r="AA120" s="223"/>
      <c r="AB120" s="223"/>
      <c r="AC120" s="223"/>
      <c r="AD120" s="223"/>
      <c r="AE120" s="223"/>
      <c r="AF120" s="223"/>
      <c r="AG120" s="223"/>
      <c r="AH120" s="223"/>
      <c r="AI120" s="223"/>
      <c r="AJ120" s="223"/>
      <c r="AK120" s="223"/>
      <c r="AL120" s="223"/>
      <c r="AM120" s="223"/>
      <c r="AN120" s="223"/>
      <c r="AO120" s="223"/>
      <c r="AP120" s="223"/>
      <c r="AQ120" s="223"/>
      <c r="AR120" s="223"/>
      <c r="AS120" s="223"/>
      <c r="AT120" s="223"/>
      <c r="AU120" s="223"/>
      <c r="AV120" s="223"/>
      <c r="AW120" s="223"/>
      <c r="AX120" s="223"/>
      <c r="AY120" s="223"/>
      <c r="AZ120" s="223"/>
      <c r="BA120" s="223"/>
      <c r="BB120" s="223"/>
      <c r="BC120" s="223"/>
      <c r="BD120" s="223"/>
      <c r="BE120" s="223"/>
      <c r="BF120" s="223"/>
      <c r="BG120" s="223"/>
      <c r="BH120" s="223"/>
      <c r="BI120" s="223"/>
      <c r="BJ120" s="223"/>
      <c r="BK120" s="223"/>
      <c r="BL120" s="223"/>
      <c r="BM120" s="223"/>
      <c r="BN120" s="223"/>
      <c r="BO120" s="223"/>
      <c r="BP120" s="223"/>
      <c r="BQ120" s="227"/>
      <c r="BR120" s="227"/>
      <c r="BS120" s="227"/>
      <c r="BT120" s="227"/>
      <c r="BU120" s="227"/>
      <c r="BV120" s="227"/>
      <c r="BW120" s="227"/>
      <c r="BX120" s="227"/>
      <c r="BY120" s="227"/>
      <c r="BZ120" s="227"/>
      <c r="CA120" s="227"/>
      <c r="CB120" s="227"/>
      <c r="CC120" s="227"/>
      <c r="CD120" s="227"/>
      <c r="CE120" s="227"/>
      <c r="CF120" s="227"/>
      <c r="CG120" s="227"/>
      <c r="CH120" s="227"/>
      <c r="CI120" s="227"/>
      <c r="CJ120" s="227"/>
      <c r="CK120" s="227"/>
      <c r="CL120" s="227"/>
      <c r="CM120" s="227"/>
      <c r="CN120" s="227"/>
      <c r="CO120" s="227"/>
      <c r="CP120" s="227"/>
      <c r="CQ120" s="227"/>
      <c r="CR120" s="227"/>
      <c r="CS120" s="227"/>
      <c r="CT120" s="227"/>
      <c r="CU120" s="225"/>
      <c r="CV120" s="227"/>
    </row>
    <row r="121" spans="1:100" ht="20.100000000000001" customHeight="1">
      <c r="A121" s="227">
        <v>57</v>
      </c>
      <c r="B121" s="225"/>
      <c r="C121" s="227"/>
      <c r="D121" s="228" cm="1">
        <f t="array" ref="D121">IFERROR(
(SUMPRODUCT(E121:CU121*$E$6:$CU$6)/100) + (SUMPRODUCT(E121:CU121*$E$6:$CU$6*$E$3:$CU$3)/100),
0
)</f>
        <v>0</v>
      </c>
      <c r="E121" s="227"/>
      <c r="F121" s="227"/>
      <c r="G121" s="227"/>
      <c r="H121" s="227"/>
      <c r="I121" s="227"/>
      <c r="J121" s="227"/>
      <c r="K121" s="227"/>
      <c r="L121" s="227"/>
      <c r="M121" s="227"/>
      <c r="N121" s="227"/>
      <c r="O121" s="227"/>
      <c r="P121" s="227"/>
      <c r="Q121" s="227"/>
      <c r="R121" s="227"/>
      <c r="S121" s="227"/>
      <c r="T121" s="227"/>
      <c r="U121" s="227"/>
      <c r="V121" s="227"/>
      <c r="W121" s="227"/>
      <c r="X121" s="227"/>
      <c r="Y121" s="227"/>
      <c r="Z121" s="227"/>
      <c r="AA121" s="227"/>
      <c r="AB121" s="227"/>
      <c r="AC121" s="227"/>
      <c r="AD121" s="227"/>
      <c r="AE121" s="227"/>
      <c r="AF121" s="227"/>
      <c r="AG121" s="227"/>
      <c r="AH121" s="227"/>
      <c r="AI121" s="227"/>
      <c r="AJ121" s="227"/>
      <c r="AK121" s="227"/>
      <c r="AL121" s="227"/>
      <c r="AM121" s="227"/>
      <c r="AN121" s="227"/>
      <c r="AO121" s="227"/>
      <c r="AP121" s="227"/>
      <c r="AQ121" s="227"/>
      <c r="AR121" s="227"/>
      <c r="AS121" s="227"/>
      <c r="AT121" s="227"/>
      <c r="AU121" s="227"/>
      <c r="AV121" s="227"/>
      <c r="AW121" s="227"/>
      <c r="AX121" s="227"/>
      <c r="AY121" s="227"/>
      <c r="AZ121" s="227"/>
      <c r="BA121" s="227"/>
      <c r="BB121" s="227"/>
      <c r="BC121" s="227"/>
      <c r="BD121" s="227"/>
      <c r="BE121" s="227"/>
      <c r="BF121" s="227"/>
      <c r="BG121" s="227"/>
      <c r="BH121" s="227"/>
      <c r="BI121" s="227"/>
      <c r="BJ121" s="227"/>
      <c r="BK121" s="227"/>
      <c r="BL121" s="227"/>
      <c r="BM121" s="227"/>
      <c r="BN121" s="227"/>
      <c r="BO121" s="227"/>
      <c r="BP121" s="227"/>
      <c r="BQ121" s="227"/>
      <c r="BR121" s="227"/>
      <c r="BS121" s="227"/>
      <c r="BT121" s="227"/>
      <c r="BU121" s="227"/>
      <c r="BV121" s="227"/>
      <c r="BW121" s="227"/>
      <c r="BX121" s="227"/>
      <c r="BY121" s="227"/>
      <c r="BZ121" s="227"/>
      <c r="CA121" s="227"/>
      <c r="CB121" s="227"/>
      <c r="CC121" s="227"/>
      <c r="CD121" s="227"/>
      <c r="CE121" s="227"/>
      <c r="CF121" s="227"/>
      <c r="CG121" s="227"/>
      <c r="CH121" s="227"/>
      <c r="CI121" s="227"/>
      <c r="CJ121" s="227"/>
      <c r="CK121" s="227"/>
      <c r="CL121" s="227"/>
      <c r="CM121" s="227"/>
      <c r="CN121" s="227"/>
      <c r="CO121" s="227"/>
      <c r="CP121" s="227"/>
      <c r="CQ121" s="227"/>
      <c r="CR121" s="227"/>
      <c r="CS121" s="227"/>
      <c r="CT121" s="227"/>
      <c r="CU121" s="225"/>
      <c r="CV121" s="227"/>
    </row>
    <row r="122" spans="1:100" ht="20.100000000000001" customHeight="1">
      <c r="A122" s="227"/>
      <c r="B122" s="225"/>
      <c r="C122" s="227"/>
      <c r="D122" s="224"/>
      <c r="E122" s="223"/>
      <c r="F122" s="223"/>
      <c r="G122" s="223"/>
      <c r="H122" s="223"/>
      <c r="I122" s="223"/>
      <c r="J122" s="223"/>
      <c r="K122" s="223"/>
      <c r="L122" s="223"/>
      <c r="M122" s="223"/>
      <c r="N122" s="223"/>
      <c r="O122" s="223"/>
      <c r="P122" s="223"/>
      <c r="Q122" s="223"/>
      <c r="R122" s="223"/>
      <c r="S122" s="223"/>
      <c r="T122" s="223"/>
      <c r="U122" s="223"/>
      <c r="V122" s="223"/>
      <c r="W122" s="223"/>
      <c r="X122" s="223"/>
      <c r="Y122" s="223"/>
      <c r="Z122" s="223"/>
      <c r="AA122" s="223"/>
      <c r="AB122" s="223"/>
      <c r="AC122" s="223"/>
      <c r="AD122" s="223"/>
      <c r="AE122" s="223"/>
      <c r="AF122" s="223"/>
      <c r="AG122" s="223"/>
      <c r="AH122" s="223"/>
      <c r="AI122" s="223"/>
      <c r="AJ122" s="223"/>
      <c r="AK122" s="223"/>
      <c r="AL122" s="223"/>
      <c r="AM122" s="223"/>
      <c r="AN122" s="223"/>
      <c r="AO122" s="223"/>
      <c r="AP122" s="223"/>
      <c r="AQ122" s="223"/>
      <c r="AR122" s="223"/>
      <c r="AS122" s="223"/>
      <c r="AT122" s="223"/>
      <c r="AU122" s="223"/>
      <c r="AV122" s="223"/>
      <c r="AW122" s="223"/>
      <c r="AX122" s="223"/>
      <c r="AY122" s="223"/>
      <c r="AZ122" s="223"/>
      <c r="BA122" s="223"/>
      <c r="BB122" s="223"/>
      <c r="BC122" s="223"/>
      <c r="BD122" s="223"/>
      <c r="BE122" s="223"/>
      <c r="BF122" s="223"/>
      <c r="BG122" s="223"/>
      <c r="BH122" s="223"/>
      <c r="BI122" s="223"/>
      <c r="BJ122" s="223"/>
      <c r="BK122" s="223"/>
      <c r="BL122" s="223"/>
      <c r="BM122" s="223"/>
      <c r="BN122" s="223"/>
      <c r="BO122" s="223"/>
      <c r="BP122" s="223"/>
      <c r="BQ122" s="227"/>
      <c r="BR122" s="227"/>
      <c r="BS122" s="227"/>
      <c r="BT122" s="227"/>
      <c r="BU122" s="227"/>
      <c r="BV122" s="227"/>
      <c r="BW122" s="227"/>
      <c r="BX122" s="227"/>
      <c r="BY122" s="227"/>
      <c r="BZ122" s="227"/>
      <c r="CA122" s="227"/>
      <c r="CB122" s="227"/>
      <c r="CC122" s="227"/>
      <c r="CD122" s="227"/>
      <c r="CE122" s="227"/>
      <c r="CF122" s="227"/>
      <c r="CG122" s="227"/>
      <c r="CH122" s="227"/>
      <c r="CI122" s="227"/>
      <c r="CJ122" s="227"/>
      <c r="CK122" s="227"/>
      <c r="CL122" s="227"/>
      <c r="CM122" s="227"/>
      <c r="CN122" s="227"/>
      <c r="CO122" s="227"/>
      <c r="CP122" s="227"/>
      <c r="CQ122" s="227"/>
      <c r="CR122" s="227"/>
      <c r="CS122" s="227"/>
      <c r="CT122" s="227"/>
      <c r="CU122" s="225"/>
      <c r="CV122" s="227"/>
    </row>
    <row r="123" spans="1:100" ht="20.100000000000001" customHeight="1">
      <c r="A123" s="227">
        <v>58</v>
      </c>
      <c r="B123" s="225"/>
      <c r="C123" s="227"/>
      <c r="D123" s="228" cm="1">
        <f t="array" ref="D123">IFERROR(
(SUMPRODUCT(E123:CU123*$E$6:$CU$6)/100) + (SUMPRODUCT(E123:CU123*$E$6:$CU$6*$E$3:$CU$3)/100),
0
)</f>
        <v>0</v>
      </c>
      <c r="E123" s="227"/>
      <c r="F123" s="227"/>
      <c r="G123" s="227"/>
      <c r="H123" s="227"/>
      <c r="I123" s="227"/>
      <c r="J123" s="227"/>
      <c r="K123" s="227"/>
      <c r="L123" s="227"/>
      <c r="M123" s="227"/>
      <c r="N123" s="227"/>
      <c r="O123" s="227"/>
      <c r="P123" s="227"/>
      <c r="Q123" s="227"/>
      <c r="R123" s="227"/>
      <c r="S123" s="227"/>
      <c r="T123" s="227"/>
      <c r="U123" s="227"/>
      <c r="V123" s="227"/>
      <c r="W123" s="227"/>
      <c r="X123" s="227"/>
      <c r="Y123" s="227"/>
      <c r="Z123" s="227"/>
      <c r="AA123" s="227"/>
      <c r="AB123" s="227"/>
      <c r="AC123" s="227"/>
      <c r="AD123" s="227"/>
      <c r="AE123" s="227"/>
      <c r="AF123" s="227"/>
      <c r="AG123" s="227"/>
      <c r="AH123" s="227"/>
      <c r="AI123" s="227"/>
      <c r="AJ123" s="227"/>
      <c r="AK123" s="227"/>
      <c r="AL123" s="227"/>
      <c r="AM123" s="227"/>
      <c r="AN123" s="227"/>
      <c r="AO123" s="227"/>
      <c r="AP123" s="227"/>
      <c r="AQ123" s="227"/>
      <c r="AR123" s="227"/>
      <c r="AS123" s="227"/>
      <c r="AT123" s="227"/>
      <c r="AU123" s="227"/>
      <c r="AV123" s="227"/>
      <c r="AW123" s="227"/>
      <c r="AX123" s="227"/>
      <c r="AY123" s="227"/>
      <c r="AZ123" s="227"/>
      <c r="BA123" s="227"/>
      <c r="BB123" s="227"/>
      <c r="BC123" s="227"/>
      <c r="BD123" s="227"/>
      <c r="BE123" s="227"/>
      <c r="BF123" s="227"/>
      <c r="BG123" s="227"/>
      <c r="BH123" s="227"/>
      <c r="BI123" s="227"/>
      <c r="BJ123" s="227"/>
      <c r="BK123" s="227"/>
      <c r="BL123" s="227"/>
      <c r="BM123" s="227"/>
      <c r="BN123" s="227"/>
      <c r="BO123" s="227"/>
      <c r="BP123" s="227"/>
      <c r="BQ123" s="227"/>
      <c r="BR123" s="227"/>
      <c r="BS123" s="227"/>
      <c r="BT123" s="227"/>
      <c r="BU123" s="227"/>
      <c r="BV123" s="227"/>
      <c r="BW123" s="227"/>
      <c r="BX123" s="227"/>
      <c r="BY123" s="227"/>
      <c r="BZ123" s="227"/>
      <c r="CA123" s="227"/>
      <c r="CB123" s="227"/>
      <c r="CC123" s="227"/>
      <c r="CD123" s="227"/>
      <c r="CE123" s="227"/>
      <c r="CF123" s="227"/>
      <c r="CG123" s="227"/>
      <c r="CH123" s="227"/>
      <c r="CI123" s="227"/>
      <c r="CJ123" s="227"/>
      <c r="CK123" s="227"/>
      <c r="CL123" s="227"/>
      <c r="CM123" s="227"/>
      <c r="CN123" s="227"/>
      <c r="CO123" s="227"/>
      <c r="CP123" s="227"/>
      <c r="CQ123" s="227"/>
      <c r="CR123" s="227"/>
      <c r="CS123" s="227"/>
      <c r="CT123" s="227"/>
      <c r="CU123" s="225"/>
      <c r="CV123" s="227"/>
    </row>
    <row r="124" spans="1:100" ht="20.100000000000001" customHeight="1">
      <c r="A124" s="223"/>
      <c r="B124" s="225"/>
      <c r="C124" s="227"/>
      <c r="D124" s="224"/>
      <c r="E124" s="223"/>
      <c r="F124" s="223"/>
      <c r="G124" s="223"/>
      <c r="H124" s="223"/>
      <c r="I124" s="223"/>
      <c r="J124" s="223"/>
      <c r="K124" s="223"/>
      <c r="L124" s="223"/>
      <c r="M124" s="223"/>
      <c r="N124" s="223"/>
      <c r="O124" s="223"/>
      <c r="P124" s="223"/>
      <c r="Q124" s="223"/>
      <c r="R124" s="223"/>
      <c r="S124" s="223"/>
      <c r="T124" s="223"/>
      <c r="U124" s="223"/>
      <c r="V124" s="223"/>
      <c r="W124" s="223"/>
      <c r="X124" s="223"/>
      <c r="Y124" s="223"/>
      <c r="Z124" s="223"/>
      <c r="AA124" s="223"/>
      <c r="AB124" s="223"/>
      <c r="AC124" s="223"/>
      <c r="AD124" s="223"/>
      <c r="AE124" s="223"/>
      <c r="AF124" s="223"/>
      <c r="AG124" s="223"/>
      <c r="AH124" s="223"/>
      <c r="AI124" s="223"/>
      <c r="AJ124" s="223"/>
      <c r="AK124" s="223"/>
      <c r="AL124" s="223"/>
      <c r="AM124" s="223"/>
      <c r="AN124" s="223"/>
      <c r="AO124" s="223"/>
      <c r="AP124" s="223"/>
      <c r="AQ124" s="223"/>
      <c r="AR124" s="223"/>
      <c r="AS124" s="223"/>
      <c r="AT124" s="223"/>
      <c r="AU124" s="223"/>
      <c r="AV124" s="223"/>
      <c r="AW124" s="223"/>
      <c r="AX124" s="223"/>
      <c r="AY124" s="223"/>
      <c r="AZ124" s="223"/>
      <c r="BA124" s="223"/>
      <c r="BB124" s="223"/>
      <c r="BC124" s="223"/>
      <c r="BD124" s="223"/>
      <c r="BE124" s="223"/>
      <c r="BF124" s="223"/>
      <c r="BG124" s="223"/>
      <c r="BH124" s="223"/>
      <c r="BI124" s="223"/>
      <c r="BJ124" s="223"/>
      <c r="BK124" s="223"/>
      <c r="BL124" s="223"/>
      <c r="BM124" s="223"/>
      <c r="BN124" s="223"/>
      <c r="BO124" s="223"/>
      <c r="BP124" s="223"/>
      <c r="BQ124" s="227"/>
      <c r="BR124" s="227"/>
      <c r="BS124" s="227"/>
      <c r="BT124" s="227"/>
      <c r="BU124" s="227"/>
      <c r="BV124" s="227"/>
      <c r="BW124" s="227"/>
      <c r="BX124" s="227"/>
      <c r="BY124" s="227"/>
      <c r="BZ124" s="227"/>
      <c r="CA124" s="227"/>
      <c r="CB124" s="227"/>
      <c r="CC124" s="227"/>
      <c r="CD124" s="227"/>
      <c r="CE124" s="227"/>
      <c r="CF124" s="227"/>
      <c r="CG124" s="227"/>
      <c r="CH124" s="227"/>
      <c r="CI124" s="227"/>
      <c r="CJ124" s="227"/>
      <c r="CK124" s="227"/>
      <c r="CL124" s="227"/>
      <c r="CM124" s="227"/>
      <c r="CN124" s="227"/>
      <c r="CO124" s="227"/>
      <c r="CP124" s="227"/>
      <c r="CQ124" s="227"/>
      <c r="CR124" s="227"/>
      <c r="CS124" s="227"/>
      <c r="CT124" s="227"/>
      <c r="CU124" s="225"/>
      <c r="CV124" s="227"/>
    </row>
    <row r="125" spans="1:100" ht="20.100000000000001" customHeight="1">
      <c r="A125" s="227">
        <v>59</v>
      </c>
      <c r="B125" s="225"/>
      <c r="C125" s="227"/>
      <c r="D125" s="228" cm="1">
        <f t="array" ref="D125">IFERROR(
(SUMPRODUCT(E125:CU125*$E$6:$CU$6)/100) + (SUMPRODUCT(E125:CU125*$E$6:$CU$6*$E$3:$CU$3)/100),
0
)</f>
        <v>0</v>
      </c>
      <c r="E125" s="227"/>
      <c r="F125" s="227"/>
      <c r="G125" s="227"/>
      <c r="H125" s="227"/>
      <c r="I125" s="227"/>
      <c r="J125" s="227"/>
      <c r="K125" s="227"/>
      <c r="L125" s="227"/>
      <c r="M125" s="227"/>
      <c r="N125" s="227"/>
      <c r="O125" s="227"/>
      <c r="P125" s="227"/>
      <c r="Q125" s="227"/>
      <c r="R125" s="227"/>
      <c r="S125" s="227"/>
      <c r="T125" s="227"/>
      <c r="U125" s="227"/>
      <c r="V125" s="227"/>
      <c r="W125" s="227"/>
      <c r="X125" s="227"/>
      <c r="Y125" s="227"/>
      <c r="Z125" s="227"/>
      <c r="AA125" s="227"/>
      <c r="AB125" s="227"/>
      <c r="AC125" s="227"/>
      <c r="AD125" s="227"/>
      <c r="AE125" s="227"/>
      <c r="AF125" s="227"/>
      <c r="AG125" s="227"/>
      <c r="AH125" s="227"/>
      <c r="AI125" s="227"/>
      <c r="AJ125" s="227"/>
      <c r="AK125" s="227"/>
      <c r="AL125" s="227"/>
      <c r="AM125" s="227"/>
      <c r="AN125" s="227"/>
      <c r="AO125" s="227"/>
      <c r="AP125" s="227"/>
      <c r="AQ125" s="227"/>
      <c r="AR125" s="227"/>
      <c r="AS125" s="227"/>
      <c r="AT125" s="227"/>
      <c r="AU125" s="227"/>
      <c r="AV125" s="227"/>
      <c r="AW125" s="227"/>
      <c r="AX125" s="227"/>
      <c r="AY125" s="227"/>
      <c r="AZ125" s="227"/>
      <c r="BA125" s="227"/>
      <c r="BB125" s="227"/>
      <c r="BC125" s="227"/>
      <c r="BD125" s="227"/>
      <c r="BE125" s="227"/>
      <c r="BF125" s="227"/>
      <c r="BG125" s="227"/>
      <c r="BH125" s="227"/>
      <c r="BI125" s="227"/>
      <c r="BJ125" s="227"/>
      <c r="BK125" s="227"/>
      <c r="BL125" s="227"/>
      <c r="BM125" s="227"/>
      <c r="BN125" s="227"/>
      <c r="BO125" s="227"/>
      <c r="BP125" s="227"/>
      <c r="BQ125" s="227"/>
      <c r="BR125" s="227"/>
      <c r="BS125" s="227"/>
      <c r="BT125" s="227"/>
      <c r="BU125" s="227"/>
      <c r="BV125" s="227"/>
      <c r="BW125" s="227"/>
      <c r="BX125" s="227"/>
      <c r="BY125" s="227"/>
      <c r="BZ125" s="227"/>
      <c r="CA125" s="227"/>
      <c r="CB125" s="227"/>
      <c r="CC125" s="227"/>
      <c r="CD125" s="227"/>
      <c r="CE125" s="227"/>
      <c r="CF125" s="227"/>
      <c r="CG125" s="227"/>
      <c r="CH125" s="227"/>
      <c r="CI125" s="227"/>
      <c r="CJ125" s="227"/>
      <c r="CK125" s="227"/>
      <c r="CL125" s="227"/>
      <c r="CM125" s="227"/>
      <c r="CN125" s="227"/>
      <c r="CO125" s="227"/>
      <c r="CP125" s="227"/>
      <c r="CQ125" s="227"/>
      <c r="CR125" s="227"/>
      <c r="CS125" s="227"/>
      <c r="CT125" s="227"/>
      <c r="CU125" s="225"/>
      <c r="CV125" s="227"/>
    </row>
    <row r="126" spans="1:100" ht="20.100000000000001" customHeight="1">
      <c r="A126" s="227"/>
      <c r="B126" s="225"/>
      <c r="C126" s="227"/>
      <c r="D126" s="224"/>
      <c r="E126" s="223"/>
      <c r="F126" s="223"/>
      <c r="G126" s="223"/>
      <c r="H126" s="223"/>
      <c r="I126" s="223"/>
      <c r="J126" s="223"/>
      <c r="K126" s="223"/>
      <c r="L126" s="223"/>
      <c r="M126" s="223"/>
      <c r="N126" s="223"/>
      <c r="O126" s="223"/>
      <c r="P126" s="223"/>
      <c r="Q126" s="223"/>
      <c r="R126" s="223"/>
      <c r="S126" s="223"/>
      <c r="T126" s="223"/>
      <c r="U126" s="223"/>
      <c r="V126" s="223"/>
      <c r="W126" s="223"/>
      <c r="X126" s="223"/>
      <c r="Y126" s="223"/>
      <c r="Z126" s="223"/>
      <c r="AA126" s="223"/>
      <c r="AB126" s="223"/>
      <c r="AC126" s="223"/>
      <c r="AD126" s="223"/>
      <c r="AE126" s="223"/>
      <c r="AF126" s="223"/>
      <c r="AG126" s="223"/>
      <c r="AH126" s="223"/>
      <c r="AI126" s="223"/>
      <c r="AJ126" s="223"/>
      <c r="AK126" s="223"/>
      <c r="AL126" s="223"/>
      <c r="AM126" s="223"/>
      <c r="AN126" s="223"/>
      <c r="AO126" s="223"/>
      <c r="AP126" s="223"/>
      <c r="AQ126" s="223"/>
      <c r="AR126" s="223"/>
      <c r="AS126" s="223"/>
      <c r="AT126" s="223"/>
      <c r="AU126" s="223"/>
      <c r="AV126" s="223"/>
      <c r="AW126" s="223"/>
      <c r="AX126" s="223"/>
      <c r="AY126" s="223"/>
      <c r="AZ126" s="223"/>
      <c r="BA126" s="223"/>
      <c r="BB126" s="223"/>
      <c r="BC126" s="223"/>
      <c r="BD126" s="223"/>
      <c r="BE126" s="223"/>
      <c r="BF126" s="223"/>
      <c r="BG126" s="223"/>
      <c r="BH126" s="223"/>
      <c r="BI126" s="223"/>
      <c r="BJ126" s="223"/>
      <c r="BK126" s="223"/>
      <c r="BL126" s="223"/>
      <c r="BM126" s="223"/>
      <c r="BN126" s="223"/>
      <c r="BO126" s="223"/>
      <c r="BP126" s="223"/>
      <c r="BQ126" s="227"/>
      <c r="BR126" s="227"/>
      <c r="BS126" s="227"/>
      <c r="BT126" s="227"/>
      <c r="BU126" s="227"/>
      <c r="BV126" s="227"/>
      <c r="BW126" s="227"/>
      <c r="BX126" s="227"/>
      <c r="BY126" s="227"/>
      <c r="BZ126" s="227"/>
      <c r="CA126" s="227"/>
      <c r="CB126" s="227"/>
      <c r="CC126" s="227"/>
      <c r="CD126" s="227"/>
      <c r="CE126" s="227"/>
      <c r="CF126" s="227"/>
      <c r="CG126" s="227"/>
      <c r="CH126" s="227"/>
      <c r="CI126" s="227"/>
      <c r="CJ126" s="227"/>
      <c r="CK126" s="227"/>
      <c r="CL126" s="227"/>
      <c r="CM126" s="227"/>
      <c r="CN126" s="227"/>
      <c r="CO126" s="227"/>
      <c r="CP126" s="227"/>
      <c r="CQ126" s="227"/>
      <c r="CR126" s="227"/>
      <c r="CS126" s="227"/>
      <c r="CT126" s="227"/>
      <c r="CU126" s="225"/>
      <c r="CV126" s="227"/>
    </row>
    <row r="127" spans="1:100" ht="20.100000000000001" customHeight="1">
      <c r="A127" s="227">
        <v>60</v>
      </c>
      <c r="B127" s="225"/>
      <c r="C127" s="227"/>
      <c r="D127" s="228" cm="1">
        <f t="array" ref="D127">IFERROR(
(SUMPRODUCT(E127:CU127*$E$6:$CU$6)/100) + (SUMPRODUCT(E127:CU127*$E$6:$CU$6*$E$3:$CU$3)/100),
0
)</f>
        <v>0</v>
      </c>
      <c r="E127" s="227"/>
      <c r="F127" s="227"/>
      <c r="G127" s="227"/>
      <c r="H127" s="227"/>
      <c r="I127" s="227"/>
      <c r="J127" s="227"/>
      <c r="K127" s="227"/>
      <c r="L127" s="227"/>
      <c r="M127" s="227"/>
      <c r="N127" s="227"/>
      <c r="O127" s="227"/>
      <c r="P127" s="227"/>
      <c r="Q127" s="227"/>
      <c r="R127" s="227"/>
      <c r="S127" s="227"/>
      <c r="T127" s="227"/>
      <c r="U127" s="227"/>
      <c r="V127" s="227"/>
      <c r="W127" s="227"/>
      <c r="X127" s="227"/>
      <c r="Y127" s="227"/>
      <c r="Z127" s="227"/>
      <c r="AA127" s="227"/>
      <c r="AB127" s="227"/>
      <c r="AC127" s="227"/>
      <c r="AD127" s="227"/>
      <c r="AE127" s="227"/>
      <c r="AF127" s="227"/>
      <c r="AG127" s="227"/>
      <c r="AH127" s="227"/>
      <c r="AI127" s="227"/>
      <c r="AJ127" s="227"/>
      <c r="AK127" s="227"/>
      <c r="AL127" s="227"/>
      <c r="AM127" s="227"/>
      <c r="AN127" s="227"/>
      <c r="AO127" s="227"/>
      <c r="AP127" s="227"/>
      <c r="AQ127" s="227"/>
      <c r="AR127" s="227"/>
      <c r="AS127" s="227"/>
      <c r="AT127" s="227"/>
      <c r="AU127" s="227"/>
      <c r="AV127" s="227"/>
      <c r="AW127" s="227"/>
      <c r="AX127" s="227"/>
      <c r="AY127" s="227"/>
      <c r="AZ127" s="227"/>
      <c r="BA127" s="227"/>
      <c r="BB127" s="227"/>
      <c r="BC127" s="227"/>
      <c r="BD127" s="227"/>
      <c r="BE127" s="227"/>
      <c r="BF127" s="227"/>
      <c r="BG127" s="227"/>
      <c r="BH127" s="227"/>
      <c r="BI127" s="227"/>
      <c r="BJ127" s="227"/>
      <c r="BK127" s="227"/>
      <c r="BL127" s="227"/>
      <c r="BM127" s="227"/>
      <c r="BN127" s="227"/>
      <c r="BO127" s="227"/>
      <c r="BP127" s="227"/>
      <c r="BQ127" s="227"/>
      <c r="BR127" s="227"/>
      <c r="BS127" s="227"/>
      <c r="BT127" s="227"/>
      <c r="BU127" s="227"/>
      <c r="BV127" s="227"/>
      <c r="BW127" s="227"/>
      <c r="BX127" s="227"/>
      <c r="BY127" s="227"/>
      <c r="BZ127" s="227"/>
      <c r="CA127" s="227"/>
      <c r="CB127" s="227"/>
      <c r="CC127" s="227"/>
      <c r="CD127" s="227"/>
      <c r="CE127" s="227"/>
      <c r="CF127" s="227"/>
      <c r="CG127" s="227"/>
      <c r="CH127" s="227"/>
      <c r="CI127" s="227"/>
      <c r="CJ127" s="227"/>
      <c r="CK127" s="227"/>
      <c r="CL127" s="227"/>
      <c r="CM127" s="227"/>
      <c r="CN127" s="227"/>
      <c r="CO127" s="227"/>
      <c r="CP127" s="227"/>
      <c r="CQ127" s="227"/>
      <c r="CR127" s="227"/>
      <c r="CS127" s="227"/>
      <c r="CT127" s="227"/>
      <c r="CU127" s="225"/>
      <c r="CV127" s="227"/>
    </row>
    <row r="128" spans="1:100" ht="20.100000000000001" customHeight="1">
      <c r="A128" s="223"/>
      <c r="B128" s="225"/>
      <c r="C128" s="227"/>
      <c r="D128" s="224"/>
      <c r="E128" s="223"/>
      <c r="F128" s="223"/>
      <c r="G128" s="223"/>
      <c r="H128" s="223"/>
      <c r="I128" s="223"/>
      <c r="J128" s="223"/>
      <c r="K128" s="223"/>
      <c r="L128" s="223"/>
      <c r="M128" s="223"/>
      <c r="N128" s="223"/>
      <c r="O128" s="223"/>
      <c r="P128" s="223"/>
      <c r="Q128" s="223"/>
      <c r="R128" s="223"/>
      <c r="S128" s="223"/>
      <c r="T128" s="223"/>
      <c r="U128" s="223"/>
      <c r="V128" s="223"/>
      <c r="W128" s="223"/>
      <c r="X128" s="223"/>
      <c r="Y128" s="223"/>
      <c r="Z128" s="223"/>
      <c r="AA128" s="223"/>
      <c r="AB128" s="223"/>
      <c r="AC128" s="223"/>
      <c r="AD128" s="223"/>
      <c r="AE128" s="223"/>
      <c r="AF128" s="223"/>
      <c r="AG128" s="223"/>
      <c r="AH128" s="223"/>
      <c r="AI128" s="223"/>
      <c r="AJ128" s="223"/>
      <c r="AK128" s="223"/>
      <c r="AL128" s="223"/>
      <c r="AM128" s="223"/>
      <c r="AN128" s="223"/>
      <c r="AO128" s="223"/>
      <c r="AP128" s="223"/>
      <c r="AQ128" s="223"/>
      <c r="AR128" s="223"/>
      <c r="AS128" s="223"/>
      <c r="AT128" s="223"/>
      <c r="AU128" s="223"/>
      <c r="AV128" s="223"/>
      <c r="AW128" s="223"/>
      <c r="AX128" s="223"/>
      <c r="AY128" s="223"/>
      <c r="AZ128" s="223"/>
      <c r="BA128" s="223"/>
      <c r="BB128" s="223"/>
      <c r="BC128" s="223"/>
      <c r="BD128" s="223"/>
      <c r="BE128" s="223"/>
      <c r="BF128" s="223"/>
      <c r="BG128" s="223"/>
      <c r="BH128" s="223"/>
      <c r="BI128" s="223"/>
      <c r="BJ128" s="223"/>
      <c r="BK128" s="223"/>
      <c r="BL128" s="223"/>
      <c r="BM128" s="223"/>
      <c r="BN128" s="223"/>
      <c r="BO128" s="223"/>
      <c r="BP128" s="223"/>
      <c r="BQ128" s="227"/>
      <c r="BR128" s="227"/>
      <c r="BS128" s="227"/>
      <c r="BT128" s="227"/>
      <c r="BU128" s="227"/>
      <c r="BV128" s="227"/>
      <c r="BW128" s="227"/>
      <c r="BX128" s="227"/>
      <c r="BY128" s="227"/>
      <c r="BZ128" s="227"/>
      <c r="CA128" s="227"/>
      <c r="CB128" s="227"/>
      <c r="CC128" s="227"/>
      <c r="CD128" s="227"/>
      <c r="CE128" s="227"/>
      <c r="CF128" s="227"/>
      <c r="CG128" s="227"/>
      <c r="CH128" s="227"/>
      <c r="CI128" s="227"/>
      <c r="CJ128" s="227"/>
      <c r="CK128" s="227"/>
      <c r="CL128" s="227"/>
      <c r="CM128" s="227"/>
      <c r="CN128" s="227"/>
      <c r="CO128" s="227"/>
      <c r="CP128" s="227"/>
      <c r="CQ128" s="227"/>
      <c r="CR128" s="227"/>
      <c r="CS128" s="227"/>
      <c r="CT128" s="227"/>
      <c r="CU128" s="225"/>
      <c r="CV128" s="227"/>
    </row>
    <row r="129" spans="1:100" ht="20.100000000000001" customHeight="1">
      <c r="A129" s="227">
        <v>61</v>
      </c>
      <c r="B129" s="225"/>
      <c r="C129" s="227"/>
      <c r="D129" s="228" cm="1">
        <f t="array" ref="D129">IFERROR(
(SUMPRODUCT(E129:CU129*$E$6:$CU$6)/100) + (SUMPRODUCT(E129:CU129*$E$6:$CU$6*$E$3:$CU$3)/100),
0
)</f>
        <v>0</v>
      </c>
      <c r="E129" s="227"/>
      <c r="F129" s="227"/>
      <c r="G129" s="227"/>
      <c r="H129" s="227"/>
      <c r="I129" s="227"/>
      <c r="J129" s="227"/>
      <c r="K129" s="227"/>
      <c r="L129" s="227"/>
      <c r="M129" s="227"/>
      <c r="N129" s="227"/>
      <c r="O129" s="227"/>
      <c r="P129" s="227"/>
      <c r="Q129" s="227"/>
      <c r="R129" s="227"/>
      <c r="S129" s="227"/>
      <c r="T129" s="227"/>
      <c r="U129" s="227"/>
      <c r="V129" s="227"/>
      <c r="W129" s="227"/>
      <c r="X129" s="227"/>
      <c r="Y129" s="227"/>
      <c r="Z129" s="227"/>
      <c r="AA129" s="227"/>
      <c r="AB129" s="227"/>
      <c r="AC129" s="227"/>
      <c r="AD129" s="227"/>
      <c r="AE129" s="227"/>
      <c r="AF129" s="227"/>
      <c r="AG129" s="227"/>
      <c r="AH129" s="227"/>
      <c r="AI129" s="227"/>
      <c r="AJ129" s="227"/>
      <c r="AK129" s="227"/>
      <c r="AL129" s="227"/>
      <c r="AM129" s="227"/>
      <c r="AN129" s="227"/>
      <c r="AO129" s="227"/>
      <c r="AP129" s="227"/>
      <c r="AQ129" s="227"/>
      <c r="AR129" s="227"/>
      <c r="AS129" s="227"/>
      <c r="AT129" s="227"/>
      <c r="AU129" s="227"/>
      <c r="AV129" s="227"/>
      <c r="AW129" s="227"/>
      <c r="AX129" s="227"/>
      <c r="AY129" s="227"/>
      <c r="AZ129" s="227"/>
      <c r="BA129" s="227"/>
      <c r="BB129" s="227"/>
      <c r="BC129" s="227"/>
      <c r="BD129" s="227"/>
      <c r="BE129" s="227"/>
      <c r="BF129" s="227"/>
      <c r="BG129" s="227"/>
      <c r="BH129" s="227"/>
      <c r="BI129" s="227"/>
      <c r="BJ129" s="227"/>
      <c r="BK129" s="227"/>
      <c r="BL129" s="227"/>
      <c r="BM129" s="227"/>
      <c r="BN129" s="227"/>
      <c r="BO129" s="227"/>
      <c r="BP129" s="227"/>
      <c r="BQ129" s="227"/>
      <c r="BR129" s="227"/>
      <c r="BS129" s="227"/>
      <c r="BT129" s="227"/>
      <c r="BU129" s="227"/>
      <c r="BV129" s="227"/>
      <c r="BW129" s="227"/>
      <c r="BX129" s="227"/>
      <c r="BY129" s="227"/>
      <c r="BZ129" s="227"/>
      <c r="CA129" s="227"/>
      <c r="CB129" s="227"/>
      <c r="CC129" s="227"/>
      <c r="CD129" s="227"/>
      <c r="CE129" s="227"/>
      <c r="CF129" s="227"/>
      <c r="CG129" s="227"/>
      <c r="CH129" s="227"/>
      <c r="CI129" s="227"/>
      <c r="CJ129" s="227"/>
      <c r="CK129" s="227"/>
      <c r="CL129" s="227"/>
      <c r="CM129" s="227"/>
      <c r="CN129" s="227"/>
      <c r="CO129" s="227"/>
      <c r="CP129" s="227"/>
      <c r="CQ129" s="227"/>
      <c r="CR129" s="227"/>
      <c r="CS129" s="227"/>
      <c r="CT129" s="227"/>
      <c r="CU129" s="225"/>
      <c r="CV129" s="227"/>
    </row>
    <row r="130" spans="1:100" ht="20.100000000000001" customHeight="1">
      <c r="A130" s="227"/>
      <c r="B130" s="225"/>
      <c r="C130" s="227"/>
      <c r="D130" s="224"/>
      <c r="E130" s="223"/>
      <c r="F130" s="223"/>
      <c r="G130" s="223"/>
      <c r="H130" s="223"/>
      <c r="I130" s="223"/>
      <c r="J130" s="223"/>
      <c r="K130" s="223"/>
      <c r="L130" s="223"/>
      <c r="M130" s="223"/>
      <c r="N130" s="223"/>
      <c r="O130" s="223"/>
      <c r="P130" s="223"/>
      <c r="Q130" s="223"/>
      <c r="R130" s="223"/>
      <c r="S130" s="223"/>
      <c r="T130" s="223"/>
      <c r="U130" s="223"/>
      <c r="V130" s="223"/>
      <c r="W130" s="223"/>
      <c r="X130" s="223"/>
      <c r="Y130" s="223"/>
      <c r="Z130" s="223"/>
      <c r="AA130" s="223"/>
      <c r="AB130" s="223"/>
      <c r="AC130" s="223"/>
      <c r="AD130" s="223"/>
      <c r="AE130" s="223"/>
      <c r="AF130" s="223"/>
      <c r="AG130" s="223"/>
      <c r="AH130" s="223"/>
      <c r="AI130" s="223"/>
      <c r="AJ130" s="223"/>
      <c r="AK130" s="223"/>
      <c r="AL130" s="223"/>
      <c r="AM130" s="223"/>
      <c r="AN130" s="223"/>
      <c r="AO130" s="223"/>
      <c r="AP130" s="223"/>
      <c r="AQ130" s="223"/>
      <c r="AR130" s="223"/>
      <c r="AS130" s="223"/>
      <c r="AT130" s="223"/>
      <c r="AU130" s="223"/>
      <c r="AV130" s="223"/>
      <c r="AW130" s="223"/>
      <c r="AX130" s="223"/>
      <c r="AY130" s="223"/>
      <c r="AZ130" s="223"/>
      <c r="BA130" s="223"/>
      <c r="BB130" s="223"/>
      <c r="BC130" s="223"/>
      <c r="BD130" s="223"/>
      <c r="BE130" s="223"/>
      <c r="BF130" s="223"/>
      <c r="BG130" s="223"/>
      <c r="BH130" s="223"/>
      <c r="BI130" s="223"/>
      <c r="BJ130" s="223"/>
      <c r="BK130" s="223"/>
      <c r="BL130" s="223"/>
      <c r="BM130" s="223"/>
      <c r="BN130" s="223"/>
      <c r="BO130" s="223"/>
      <c r="BP130" s="223"/>
      <c r="BQ130" s="227"/>
      <c r="BR130" s="227"/>
      <c r="BS130" s="227"/>
      <c r="BT130" s="227"/>
      <c r="BU130" s="227"/>
      <c r="BV130" s="227"/>
      <c r="BW130" s="227"/>
      <c r="BX130" s="227"/>
      <c r="BY130" s="227"/>
      <c r="BZ130" s="227"/>
      <c r="CA130" s="227"/>
      <c r="CB130" s="227"/>
      <c r="CC130" s="227"/>
      <c r="CD130" s="227"/>
      <c r="CE130" s="227"/>
      <c r="CF130" s="227"/>
      <c r="CG130" s="227"/>
      <c r="CH130" s="227"/>
      <c r="CI130" s="227"/>
      <c r="CJ130" s="227"/>
      <c r="CK130" s="227"/>
      <c r="CL130" s="227"/>
      <c r="CM130" s="227"/>
      <c r="CN130" s="227"/>
      <c r="CO130" s="227"/>
      <c r="CP130" s="227"/>
      <c r="CQ130" s="227"/>
      <c r="CR130" s="227"/>
      <c r="CS130" s="227"/>
      <c r="CT130" s="227"/>
      <c r="CU130" s="225"/>
      <c r="CV130" s="227"/>
    </row>
    <row r="131" spans="1:100" ht="20.100000000000001" customHeight="1">
      <c r="A131" s="227">
        <v>62</v>
      </c>
      <c r="B131" s="225"/>
      <c r="C131" s="227"/>
      <c r="D131" s="228" cm="1">
        <f t="array" ref="D131">IFERROR(
(SUMPRODUCT(E131:CU131*$E$6:$CU$6)/100) + (SUMPRODUCT(E131:CU131*$E$6:$CU$6*$E$3:$CU$3)/100),
0
)</f>
        <v>0</v>
      </c>
      <c r="E131" s="227"/>
      <c r="F131" s="227"/>
      <c r="G131" s="227"/>
      <c r="H131" s="227"/>
      <c r="I131" s="227"/>
      <c r="J131" s="227"/>
      <c r="K131" s="227"/>
      <c r="L131" s="227"/>
      <c r="M131" s="227"/>
      <c r="N131" s="227"/>
      <c r="O131" s="227"/>
      <c r="P131" s="227"/>
      <c r="Q131" s="227"/>
      <c r="R131" s="227"/>
      <c r="S131" s="227"/>
      <c r="T131" s="227"/>
      <c r="U131" s="227"/>
      <c r="V131" s="227"/>
      <c r="W131" s="227"/>
      <c r="X131" s="227"/>
      <c r="Y131" s="227"/>
      <c r="Z131" s="227"/>
      <c r="AA131" s="227"/>
      <c r="AB131" s="227"/>
      <c r="AC131" s="227"/>
      <c r="AD131" s="227"/>
      <c r="AE131" s="227"/>
      <c r="AF131" s="227"/>
      <c r="AG131" s="227"/>
      <c r="AH131" s="227"/>
      <c r="AI131" s="227"/>
      <c r="AJ131" s="227"/>
      <c r="AK131" s="227"/>
      <c r="AL131" s="227"/>
      <c r="AM131" s="227"/>
      <c r="AN131" s="227"/>
      <c r="AO131" s="227"/>
      <c r="AP131" s="227"/>
      <c r="AQ131" s="227"/>
      <c r="AR131" s="227"/>
      <c r="AS131" s="227"/>
      <c r="AT131" s="227"/>
      <c r="AU131" s="227"/>
      <c r="AV131" s="227"/>
      <c r="AW131" s="227"/>
      <c r="AX131" s="227"/>
      <c r="AY131" s="227"/>
      <c r="AZ131" s="227"/>
      <c r="BA131" s="227"/>
      <c r="BB131" s="227"/>
      <c r="BC131" s="227"/>
      <c r="BD131" s="227"/>
      <c r="BE131" s="227"/>
      <c r="BF131" s="227"/>
      <c r="BG131" s="227"/>
      <c r="BH131" s="227"/>
      <c r="BI131" s="227"/>
      <c r="BJ131" s="227"/>
      <c r="BK131" s="227"/>
      <c r="BL131" s="227"/>
      <c r="BM131" s="227"/>
      <c r="BN131" s="227"/>
      <c r="BO131" s="227"/>
      <c r="BP131" s="227"/>
      <c r="BQ131" s="227"/>
      <c r="BR131" s="227"/>
      <c r="BS131" s="227"/>
      <c r="BT131" s="227"/>
      <c r="BU131" s="227"/>
      <c r="BV131" s="227"/>
      <c r="BW131" s="227"/>
      <c r="BX131" s="227"/>
      <c r="BY131" s="227"/>
      <c r="BZ131" s="227"/>
      <c r="CA131" s="227"/>
      <c r="CB131" s="227"/>
      <c r="CC131" s="227"/>
      <c r="CD131" s="227"/>
      <c r="CE131" s="227"/>
      <c r="CF131" s="227"/>
      <c r="CG131" s="227"/>
      <c r="CH131" s="227"/>
      <c r="CI131" s="227"/>
      <c r="CJ131" s="227"/>
      <c r="CK131" s="227"/>
      <c r="CL131" s="227"/>
      <c r="CM131" s="227"/>
      <c r="CN131" s="227"/>
      <c r="CO131" s="227"/>
      <c r="CP131" s="227"/>
      <c r="CQ131" s="227"/>
      <c r="CR131" s="227"/>
      <c r="CS131" s="227"/>
      <c r="CT131" s="227"/>
      <c r="CU131" s="225"/>
      <c r="CV131" s="227"/>
    </row>
    <row r="132" spans="1:100" ht="20.100000000000001" customHeight="1">
      <c r="A132" s="223"/>
      <c r="B132" s="225"/>
      <c r="C132" s="227"/>
      <c r="D132" s="224"/>
      <c r="E132" s="223"/>
      <c r="F132" s="223"/>
      <c r="G132" s="223"/>
      <c r="H132" s="223"/>
      <c r="I132" s="223"/>
      <c r="J132" s="223"/>
      <c r="K132" s="223"/>
      <c r="L132" s="223"/>
      <c r="M132" s="223"/>
      <c r="N132" s="223"/>
      <c r="O132" s="223"/>
      <c r="P132" s="223"/>
      <c r="Q132" s="223"/>
      <c r="R132" s="223"/>
      <c r="S132" s="223"/>
      <c r="T132" s="223"/>
      <c r="U132" s="223"/>
      <c r="V132" s="223"/>
      <c r="W132" s="223"/>
      <c r="X132" s="223"/>
      <c r="Y132" s="223"/>
      <c r="Z132" s="223"/>
      <c r="AA132" s="223"/>
      <c r="AB132" s="223"/>
      <c r="AC132" s="223"/>
      <c r="AD132" s="223"/>
      <c r="AE132" s="223"/>
      <c r="AF132" s="223"/>
      <c r="AG132" s="223"/>
      <c r="AH132" s="223"/>
      <c r="AI132" s="223"/>
      <c r="AJ132" s="223"/>
      <c r="AK132" s="223"/>
      <c r="AL132" s="223"/>
      <c r="AM132" s="223"/>
      <c r="AN132" s="223"/>
      <c r="AO132" s="223"/>
      <c r="AP132" s="223"/>
      <c r="AQ132" s="223"/>
      <c r="AR132" s="223"/>
      <c r="AS132" s="223"/>
      <c r="AT132" s="223"/>
      <c r="AU132" s="223"/>
      <c r="AV132" s="223"/>
      <c r="AW132" s="223"/>
      <c r="AX132" s="223"/>
      <c r="AY132" s="223"/>
      <c r="AZ132" s="223"/>
      <c r="BA132" s="223"/>
      <c r="BB132" s="223"/>
      <c r="BC132" s="223"/>
      <c r="BD132" s="223"/>
      <c r="BE132" s="223"/>
      <c r="BF132" s="223"/>
      <c r="BG132" s="223"/>
      <c r="BH132" s="223"/>
      <c r="BI132" s="223"/>
      <c r="BJ132" s="223"/>
      <c r="BK132" s="223"/>
      <c r="BL132" s="223"/>
      <c r="BM132" s="223"/>
      <c r="BN132" s="223"/>
      <c r="BO132" s="223"/>
      <c r="BP132" s="223"/>
      <c r="BQ132" s="227"/>
      <c r="BR132" s="227"/>
      <c r="BS132" s="227"/>
      <c r="BT132" s="227"/>
      <c r="BU132" s="227"/>
      <c r="BV132" s="227"/>
      <c r="BW132" s="227"/>
      <c r="BX132" s="227"/>
      <c r="BY132" s="227"/>
      <c r="BZ132" s="227"/>
      <c r="CA132" s="227"/>
      <c r="CB132" s="227"/>
      <c r="CC132" s="227"/>
      <c r="CD132" s="227"/>
      <c r="CE132" s="227"/>
      <c r="CF132" s="227"/>
      <c r="CG132" s="227"/>
      <c r="CH132" s="227"/>
      <c r="CI132" s="227"/>
      <c r="CJ132" s="227"/>
      <c r="CK132" s="227"/>
      <c r="CL132" s="227"/>
      <c r="CM132" s="227"/>
      <c r="CN132" s="227"/>
      <c r="CO132" s="227"/>
      <c r="CP132" s="227"/>
      <c r="CQ132" s="227"/>
      <c r="CR132" s="227"/>
      <c r="CS132" s="227"/>
      <c r="CT132" s="227"/>
      <c r="CU132" s="225"/>
      <c r="CV132" s="227"/>
    </row>
    <row r="133" spans="1:100" ht="20.100000000000001" customHeight="1">
      <c r="A133" s="227">
        <v>63</v>
      </c>
      <c r="B133" s="225"/>
      <c r="C133" s="227"/>
      <c r="D133" s="228" cm="1">
        <f t="array" ref="D133">IFERROR(
(SUMPRODUCT(E133:CU133*$E$6:$CU$6)/100) + (SUMPRODUCT(E133:CU133*$E$6:$CU$6*$E$3:$CU$3)/100),
0
)</f>
        <v>0</v>
      </c>
      <c r="E133" s="227"/>
      <c r="F133" s="227"/>
      <c r="G133" s="227"/>
      <c r="H133" s="227"/>
      <c r="I133" s="227"/>
      <c r="J133" s="227"/>
      <c r="K133" s="227"/>
      <c r="L133" s="227"/>
      <c r="M133" s="227"/>
      <c r="N133" s="227"/>
      <c r="O133" s="227"/>
      <c r="P133" s="227"/>
      <c r="Q133" s="227"/>
      <c r="R133" s="227"/>
      <c r="S133" s="227"/>
      <c r="T133" s="227"/>
      <c r="U133" s="227"/>
      <c r="V133" s="227"/>
      <c r="W133" s="227"/>
      <c r="X133" s="227"/>
      <c r="Y133" s="227"/>
      <c r="Z133" s="227"/>
      <c r="AA133" s="227"/>
      <c r="AB133" s="227"/>
      <c r="AC133" s="227"/>
      <c r="AD133" s="227"/>
      <c r="AE133" s="227"/>
      <c r="AF133" s="227"/>
      <c r="AG133" s="227"/>
      <c r="AH133" s="227"/>
      <c r="AI133" s="227"/>
      <c r="AJ133" s="227"/>
      <c r="AK133" s="227"/>
      <c r="AL133" s="227"/>
      <c r="AM133" s="227"/>
      <c r="AN133" s="227"/>
      <c r="AO133" s="227"/>
      <c r="AP133" s="227"/>
      <c r="AQ133" s="227"/>
      <c r="AR133" s="227"/>
      <c r="AS133" s="227"/>
      <c r="AT133" s="227"/>
      <c r="AU133" s="227"/>
      <c r="AV133" s="227"/>
      <c r="AW133" s="227"/>
      <c r="AX133" s="227"/>
      <c r="AY133" s="227"/>
      <c r="AZ133" s="227"/>
      <c r="BA133" s="227"/>
      <c r="BB133" s="227"/>
      <c r="BC133" s="227"/>
      <c r="BD133" s="227"/>
      <c r="BE133" s="227"/>
      <c r="BF133" s="227"/>
      <c r="BG133" s="227"/>
      <c r="BH133" s="227"/>
      <c r="BI133" s="227"/>
      <c r="BJ133" s="227"/>
      <c r="BK133" s="227"/>
      <c r="BL133" s="227"/>
      <c r="BM133" s="227"/>
      <c r="BN133" s="227"/>
      <c r="BO133" s="227"/>
      <c r="BP133" s="227"/>
      <c r="BQ133" s="227"/>
      <c r="BR133" s="227"/>
      <c r="BS133" s="227"/>
      <c r="BT133" s="227"/>
      <c r="BU133" s="227"/>
      <c r="BV133" s="227"/>
      <c r="BW133" s="227"/>
      <c r="BX133" s="227"/>
      <c r="BY133" s="227"/>
      <c r="BZ133" s="227"/>
      <c r="CA133" s="227"/>
      <c r="CB133" s="227"/>
      <c r="CC133" s="227"/>
      <c r="CD133" s="227"/>
      <c r="CE133" s="227"/>
      <c r="CF133" s="227"/>
      <c r="CG133" s="227"/>
      <c r="CH133" s="227"/>
      <c r="CI133" s="227"/>
      <c r="CJ133" s="227"/>
      <c r="CK133" s="227"/>
      <c r="CL133" s="227"/>
      <c r="CM133" s="227"/>
      <c r="CN133" s="227"/>
      <c r="CO133" s="227"/>
      <c r="CP133" s="227"/>
      <c r="CQ133" s="227"/>
      <c r="CR133" s="227"/>
      <c r="CS133" s="227"/>
      <c r="CT133" s="227"/>
      <c r="CU133" s="225"/>
      <c r="CV133" s="227"/>
    </row>
    <row r="134" spans="1:100" ht="20.100000000000001" customHeight="1">
      <c r="A134" s="227"/>
      <c r="B134" s="225"/>
      <c r="C134" s="227"/>
      <c r="D134" s="224"/>
      <c r="E134" s="223"/>
      <c r="F134" s="223"/>
      <c r="G134" s="223"/>
      <c r="H134" s="223"/>
      <c r="I134" s="223"/>
      <c r="J134" s="223"/>
      <c r="K134" s="223"/>
      <c r="L134" s="223"/>
      <c r="M134" s="223"/>
      <c r="N134" s="223"/>
      <c r="O134" s="223"/>
      <c r="P134" s="223"/>
      <c r="Q134" s="223"/>
      <c r="R134" s="223"/>
      <c r="S134" s="223"/>
      <c r="T134" s="223"/>
      <c r="U134" s="223"/>
      <c r="V134" s="223"/>
      <c r="W134" s="223"/>
      <c r="X134" s="223"/>
      <c r="Y134" s="223"/>
      <c r="Z134" s="223"/>
      <c r="AA134" s="223"/>
      <c r="AB134" s="223"/>
      <c r="AC134" s="223"/>
      <c r="AD134" s="223"/>
      <c r="AE134" s="223"/>
      <c r="AF134" s="223"/>
      <c r="AG134" s="223"/>
      <c r="AH134" s="223"/>
      <c r="AI134" s="223"/>
      <c r="AJ134" s="223"/>
      <c r="AK134" s="223"/>
      <c r="AL134" s="223"/>
      <c r="AM134" s="223"/>
      <c r="AN134" s="223"/>
      <c r="AO134" s="223"/>
      <c r="AP134" s="223"/>
      <c r="AQ134" s="223"/>
      <c r="AR134" s="223"/>
      <c r="AS134" s="223"/>
      <c r="AT134" s="223"/>
      <c r="AU134" s="223"/>
      <c r="AV134" s="223"/>
      <c r="AW134" s="223"/>
      <c r="AX134" s="223"/>
      <c r="AY134" s="223"/>
      <c r="AZ134" s="223"/>
      <c r="BA134" s="223"/>
      <c r="BB134" s="223"/>
      <c r="BC134" s="223"/>
      <c r="BD134" s="223"/>
      <c r="BE134" s="223"/>
      <c r="BF134" s="223"/>
      <c r="BG134" s="223"/>
      <c r="BH134" s="223"/>
      <c r="BI134" s="223"/>
      <c r="BJ134" s="223"/>
      <c r="BK134" s="223"/>
      <c r="BL134" s="223"/>
      <c r="BM134" s="223"/>
      <c r="BN134" s="223"/>
      <c r="BO134" s="223"/>
      <c r="BP134" s="223"/>
      <c r="BQ134" s="227"/>
      <c r="BR134" s="227"/>
      <c r="BS134" s="227"/>
      <c r="BT134" s="227"/>
      <c r="BU134" s="227"/>
      <c r="BV134" s="227"/>
      <c r="BW134" s="227"/>
      <c r="BX134" s="227"/>
      <c r="BY134" s="227"/>
      <c r="BZ134" s="227"/>
      <c r="CA134" s="227"/>
      <c r="CB134" s="227"/>
      <c r="CC134" s="227"/>
      <c r="CD134" s="227"/>
      <c r="CE134" s="227"/>
      <c r="CF134" s="227"/>
      <c r="CG134" s="227"/>
      <c r="CH134" s="227"/>
      <c r="CI134" s="227"/>
      <c r="CJ134" s="227"/>
      <c r="CK134" s="227"/>
      <c r="CL134" s="227"/>
      <c r="CM134" s="227"/>
      <c r="CN134" s="227"/>
      <c r="CO134" s="227"/>
      <c r="CP134" s="227"/>
      <c r="CQ134" s="227"/>
      <c r="CR134" s="227"/>
      <c r="CS134" s="227"/>
      <c r="CT134" s="227"/>
      <c r="CU134" s="225"/>
      <c r="CV134" s="227"/>
    </row>
    <row r="135" spans="1:100" ht="20.100000000000001" customHeight="1">
      <c r="A135" s="227">
        <v>64</v>
      </c>
      <c r="B135" s="225"/>
      <c r="C135" s="227"/>
      <c r="D135" s="228" cm="1">
        <f t="array" ref="D135">IFERROR(
(SUMPRODUCT(E135:CU135*$E$6:$CU$6)/100) + (SUMPRODUCT(E135:CU135*$E$6:$CU$6*$E$3:$CU$3)/100),
0
)</f>
        <v>0</v>
      </c>
      <c r="E135" s="227"/>
      <c r="F135" s="227"/>
      <c r="G135" s="227"/>
      <c r="H135" s="227"/>
      <c r="I135" s="227"/>
      <c r="J135" s="227"/>
      <c r="K135" s="227"/>
      <c r="L135" s="227"/>
      <c r="M135" s="227"/>
      <c r="N135" s="227"/>
      <c r="O135" s="227"/>
      <c r="P135" s="227"/>
      <c r="Q135" s="227"/>
      <c r="R135" s="227"/>
      <c r="S135" s="227"/>
      <c r="T135" s="227"/>
      <c r="U135" s="227"/>
      <c r="V135" s="227"/>
      <c r="W135" s="227"/>
      <c r="X135" s="227"/>
      <c r="Y135" s="227"/>
      <c r="Z135" s="227"/>
      <c r="AA135" s="227"/>
      <c r="AB135" s="227"/>
      <c r="AC135" s="227"/>
      <c r="AD135" s="227"/>
      <c r="AE135" s="227"/>
      <c r="AF135" s="227"/>
      <c r="AG135" s="227"/>
      <c r="AH135" s="227"/>
      <c r="AI135" s="227"/>
      <c r="AJ135" s="227"/>
      <c r="AK135" s="227"/>
      <c r="AL135" s="227"/>
      <c r="AM135" s="227"/>
      <c r="AN135" s="227"/>
      <c r="AO135" s="227"/>
      <c r="AP135" s="227"/>
      <c r="AQ135" s="227"/>
      <c r="AR135" s="227"/>
      <c r="AS135" s="227"/>
      <c r="AT135" s="227"/>
      <c r="AU135" s="227"/>
      <c r="AV135" s="227"/>
      <c r="AW135" s="227"/>
      <c r="AX135" s="227"/>
      <c r="AY135" s="227"/>
      <c r="AZ135" s="227"/>
      <c r="BA135" s="227"/>
      <c r="BB135" s="227"/>
      <c r="BC135" s="227"/>
      <c r="BD135" s="227"/>
      <c r="BE135" s="227"/>
      <c r="BF135" s="227"/>
      <c r="BG135" s="227"/>
      <c r="BH135" s="227"/>
      <c r="BI135" s="227"/>
      <c r="BJ135" s="227"/>
      <c r="BK135" s="227"/>
      <c r="BL135" s="227"/>
      <c r="BM135" s="227"/>
      <c r="BN135" s="227"/>
      <c r="BO135" s="227"/>
      <c r="BP135" s="227"/>
      <c r="BQ135" s="227"/>
      <c r="BR135" s="227"/>
      <c r="BS135" s="227"/>
      <c r="BT135" s="227"/>
      <c r="BU135" s="227"/>
      <c r="BV135" s="227"/>
      <c r="BW135" s="227"/>
      <c r="BX135" s="227"/>
      <c r="BY135" s="227"/>
      <c r="BZ135" s="227"/>
      <c r="CA135" s="227"/>
      <c r="CB135" s="227"/>
      <c r="CC135" s="227"/>
      <c r="CD135" s="227"/>
      <c r="CE135" s="227"/>
      <c r="CF135" s="227"/>
      <c r="CG135" s="227"/>
      <c r="CH135" s="227"/>
      <c r="CI135" s="227"/>
      <c r="CJ135" s="227"/>
      <c r="CK135" s="227"/>
      <c r="CL135" s="227"/>
      <c r="CM135" s="227"/>
      <c r="CN135" s="227"/>
      <c r="CO135" s="227"/>
      <c r="CP135" s="227"/>
      <c r="CQ135" s="227"/>
      <c r="CR135" s="227"/>
      <c r="CS135" s="227"/>
      <c r="CT135" s="227"/>
      <c r="CU135" s="225"/>
      <c r="CV135" s="227"/>
    </row>
    <row r="136" spans="1:100" ht="20.100000000000001" customHeight="1">
      <c r="A136" s="223"/>
      <c r="B136" s="225"/>
      <c r="C136" s="227"/>
      <c r="D136" s="224"/>
      <c r="E136" s="223"/>
      <c r="F136" s="223"/>
      <c r="G136" s="223"/>
      <c r="H136" s="223"/>
      <c r="I136" s="223"/>
      <c r="J136" s="223"/>
      <c r="K136" s="223"/>
      <c r="L136" s="223"/>
      <c r="M136" s="223"/>
      <c r="N136" s="223"/>
      <c r="O136" s="223"/>
      <c r="P136" s="223"/>
      <c r="Q136" s="223"/>
      <c r="R136" s="223"/>
      <c r="S136" s="223"/>
      <c r="T136" s="223"/>
      <c r="U136" s="223"/>
      <c r="V136" s="223"/>
      <c r="W136" s="223"/>
      <c r="X136" s="223"/>
      <c r="Y136" s="223"/>
      <c r="Z136" s="223"/>
      <c r="AA136" s="223"/>
      <c r="AB136" s="223"/>
      <c r="AC136" s="223"/>
      <c r="AD136" s="223"/>
      <c r="AE136" s="223"/>
      <c r="AF136" s="223"/>
      <c r="AG136" s="223"/>
      <c r="AH136" s="223"/>
      <c r="AI136" s="223"/>
      <c r="AJ136" s="223"/>
      <c r="AK136" s="223"/>
      <c r="AL136" s="223"/>
      <c r="AM136" s="223"/>
      <c r="AN136" s="223"/>
      <c r="AO136" s="223"/>
      <c r="AP136" s="223"/>
      <c r="AQ136" s="223"/>
      <c r="AR136" s="223"/>
      <c r="AS136" s="223"/>
      <c r="AT136" s="223"/>
      <c r="AU136" s="223"/>
      <c r="AV136" s="223"/>
      <c r="AW136" s="223"/>
      <c r="AX136" s="223"/>
      <c r="AY136" s="223"/>
      <c r="AZ136" s="223"/>
      <c r="BA136" s="223"/>
      <c r="BB136" s="223"/>
      <c r="BC136" s="223"/>
      <c r="BD136" s="223"/>
      <c r="BE136" s="223"/>
      <c r="BF136" s="223"/>
      <c r="BG136" s="223"/>
      <c r="BH136" s="223"/>
      <c r="BI136" s="223"/>
      <c r="BJ136" s="223"/>
      <c r="BK136" s="223"/>
      <c r="BL136" s="223"/>
      <c r="BM136" s="223"/>
      <c r="BN136" s="223"/>
      <c r="BO136" s="223"/>
      <c r="BP136" s="223"/>
      <c r="BQ136" s="227"/>
      <c r="BR136" s="227"/>
      <c r="BS136" s="227"/>
      <c r="BT136" s="227"/>
      <c r="BU136" s="227"/>
      <c r="BV136" s="227"/>
      <c r="BW136" s="227"/>
      <c r="BX136" s="227"/>
      <c r="BY136" s="227"/>
      <c r="BZ136" s="227"/>
      <c r="CA136" s="227"/>
      <c r="CB136" s="227"/>
      <c r="CC136" s="227"/>
      <c r="CD136" s="227"/>
      <c r="CE136" s="227"/>
      <c r="CF136" s="227"/>
      <c r="CG136" s="227"/>
      <c r="CH136" s="227"/>
      <c r="CI136" s="227"/>
      <c r="CJ136" s="227"/>
      <c r="CK136" s="227"/>
      <c r="CL136" s="227"/>
      <c r="CM136" s="227"/>
      <c r="CN136" s="227"/>
      <c r="CO136" s="227"/>
      <c r="CP136" s="227"/>
      <c r="CQ136" s="227"/>
      <c r="CR136" s="227"/>
      <c r="CS136" s="227"/>
      <c r="CT136" s="227"/>
      <c r="CU136" s="225"/>
      <c r="CV136" s="227"/>
    </row>
    <row r="137" spans="1:100" ht="20.100000000000001" customHeight="1">
      <c r="A137" s="227">
        <v>65</v>
      </c>
      <c r="B137" s="225"/>
      <c r="C137" s="227"/>
      <c r="D137" s="228" cm="1">
        <f t="array" ref="D137">IFERROR(
(SUMPRODUCT(E137:CU137*$E$6:$CU$6)/100) + (SUMPRODUCT(E137:CU137*$E$6:$CU$6*$E$3:$CU$3)/100),
0
)</f>
        <v>0</v>
      </c>
      <c r="E137" s="227"/>
      <c r="F137" s="227"/>
      <c r="G137" s="227"/>
      <c r="H137" s="227"/>
      <c r="I137" s="227"/>
      <c r="J137" s="227"/>
      <c r="K137" s="227"/>
      <c r="L137" s="227"/>
      <c r="M137" s="227"/>
      <c r="N137" s="227"/>
      <c r="O137" s="227"/>
      <c r="P137" s="227"/>
      <c r="Q137" s="227"/>
      <c r="R137" s="227"/>
      <c r="S137" s="227"/>
      <c r="T137" s="227"/>
      <c r="U137" s="227"/>
      <c r="V137" s="227"/>
      <c r="W137" s="227"/>
      <c r="X137" s="227"/>
      <c r="Y137" s="227"/>
      <c r="Z137" s="227"/>
      <c r="AA137" s="227"/>
      <c r="AB137" s="227"/>
      <c r="AC137" s="227"/>
      <c r="AD137" s="227"/>
      <c r="AE137" s="227"/>
      <c r="AF137" s="227"/>
      <c r="AG137" s="227"/>
      <c r="AH137" s="227"/>
      <c r="AI137" s="227"/>
      <c r="AJ137" s="227"/>
      <c r="AK137" s="227"/>
      <c r="AL137" s="227"/>
      <c r="AM137" s="227"/>
      <c r="AN137" s="227"/>
      <c r="AO137" s="227"/>
      <c r="AP137" s="227"/>
      <c r="AQ137" s="227"/>
      <c r="AR137" s="227"/>
      <c r="AS137" s="227"/>
      <c r="AT137" s="227"/>
      <c r="AU137" s="227"/>
      <c r="AV137" s="227"/>
      <c r="AW137" s="227"/>
      <c r="AX137" s="227"/>
      <c r="AY137" s="227"/>
      <c r="AZ137" s="227"/>
      <c r="BA137" s="227"/>
      <c r="BB137" s="227"/>
      <c r="BC137" s="227"/>
      <c r="BD137" s="227"/>
      <c r="BE137" s="227"/>
      <c r="BF137" s="227"/>
      <c r="BG137" s="227"/>
      <c r="BH137" s="227"/>
      <c r="BI137" s="227"/>
      <c r="BJ137" s="227"/>
      <c r="BK137" s="227"/>
      <c r="BL137" s="227"/>
      <c r="BM137" s="227"/>
      <c r="BN137" s="227"/>
      <c r="BO137" s="227"/>
      <c r="BP137" s="227"/>
      <c r="BQ137" s="227"/>
      <c r="BR137" s="227"/>
      <c r="BS137" s="227"/>
      <c r="BT137" s="227"/>
      <c r="BU137" s="227"/>
      <c r="BV137" s="227"/>
      <c r="BW137" s="227"/>
      <c r="BX137" s="227"/>
      <c r="BY137" s="227"/>
      <c r="BZ137" s="227"/>
      <c r="CA137" s="227"/>
      <c r="CB137" s="227"/>
      <c r="CC137" s="227"/>
      <c r="CD137" s="227"/>
      <c r="CE137" s="227"/>
      <c r="CF137" s="227"/>
      <c r="CG137" s="227"/>
      <c r="CH137" s="227"/>
      <c r="CI137" s="227"/>
      <c r="CJ137" s="227"/>
      <c r="CK137" s="227"/>
      <c r="CL137" s="227"/>
      <c r="CM137" s="227"/>
      <c r="CN137" s="227"/>
      <c r="CO137" s="227"/>
      <c r="CP137" s="227"/>
      <c r="CQ137" s="227"/>
      <c r="CR137" s="227"/>
      <c r="CS137" s="227"/>
      <c r="CT137" s="227"/>
      <c r="CU137" s="225"/>
      <c r="CV137" s="227"/>
    </row>
    <row r="138" spans="1:100" ht="20.100000000000001" customHeight="1">
      <c r="A138" s="227"/>
      <c r="B138" s="225"/>
      <c r="C138" s="227"/>
      <c r="D138" s="224"/>
      <c r="E138" s="223"/>
      <c r="F138" s="223"/>
      <c r="G138" s="223"/>
      <c r="H138" s="223"/>
      <c r="I138" s="223"/>
      <c r="J138" s="223"/>
      <c r="K138" s="223"/>
      <c r="L138" s="223"/>
      <c r="M138" s="223"/>
      <c r="N138" s="223"/>
      <c r="O138" s="223"/>
      <c r="P138" s="223"/>
      <c r="Q138" s="223"/>
      <c r="R138" s="223"/>
      <c r="S138" s="223"/>
      <c r="T138" s="223"/>
      <c r="U138" s="223"/>
      <c r="V138" s="223"/>
      <c r="W138" s="223"/>
      <c r="X138" s="223"/>
      <c r="Y138" s="223"/>
      <c r="Z138" s="223"/>
      <c r="AA138" s="223"/>
      <c r="AB138" s="223"/>
      <c r="AC138" s="223"/>
      <c r="AD138" s="223"/>
      <c r="AE138" s="223"/>
      <c r="AF138" s="223"/>
      <c r="AG138" s="223"/>
      <c r="AH138" s="223"/>
      <c r="AI138" s="223"/>
      <c r="AJ138" s="223"/>
      <c r="AK138" s="223"/>
      <c r="AL138" s="223"/>
      <c r="AM138" s="223"/>
      <c r="AN138" s="223"/>
      <c r="AO138" s="223"/>
      <c r="AP138" s="223"/>
      <c r="AQ138" s="223"/>
      <c r="AR138" s="223"/>
      <c r="AS138" s="223"/>
      <c r="AT138" s="223"/>
      <c r="AU138" s="223"/>
      <c r="AV138" s="223"/>
      <c r="AW138" s="223"/>
      <c r="AX138" s="223"/>
      <c r="AY138" s="223"/>
      <c r="AZ138" s="223"/>
      <c r="BA138" s="223"/>
      <c r="BB138" s="223"/>
      <c r="BC138" s="223"/>
      <c r="BD138" s="223"/>
      <c r="BE138" s="223"/>
      <c r="BF138" s="223"/>
      <c r="BG138" s="223"/>
      <c r="BH138" s="223"/>
      <c r="BI138" s="223"/>
      <c r="BJ138" s="223"/>
      <c r="BK138" s="223"/>
      <c r="BL138" s="223"/>
      <c r="BM138" s="223"/>
      <c r="BN138" s="223"/>
      <c r="BO138" s="223"/>
      <c r="BP138" s="223"/>
      <c r="BQ138" s="227"/>
      <c r="BR138" s="227"/>
      <c r="BS138" s="227"/>
      <c r="BT138" s="227"/>
      <c r="BU138" s="227"/>
      <c r="BV138" s="227"/>
      <c r="BW138" s="227"/>
      <c r="BX138" s="227"/>
      <c r="BY138" s="227"/>
      <c r="BZ138" s="227"/>
      <c r="CA138" s="227"/>
      <c r="CB138" s="227"/>
      <c r="CC138" s="227"/>
      <c r="CD138" s="227"/>
      <c r="CE138" s="227"/>
      <c r="CF138" s="227"/>
      <c r="CG138" s="227"/>
      <c r="CH138" s="227"/>
      <c r="CI138" s="227"/>
      <c r="CJ138" s="227"/>
      <c r="CK138" s="227"/>
      <c r="CL138" s="227"/>
      <c r="CM138" s="227"/>
      <c r="CN138" s="227"/>
      <c r="CO138" s="227"/>
      <c r="CP138" s="227"/>
      <c r="CQ138" s="227"/>
      <c r="CR138" s="227"/>
      <c r="CS138" s="227"/>
      <c r="CT138" s="227"/>
      <c r="CU138" s="225"/>
      <c r="CV138" s="227"/>
    </row>
    <row r="139" spans="1:100" ht="20.100000000000001" customHeight="1">
      <c r="A139" s="227">
        <v>66</v>
      </c>
      <c r="B139" s="225"/>
      <c r="C139" s="227"/>
      <c r="D139" s="228" cm="1">
        <f t="array" ref="D139">IFERROR(
(SUMPRODUCT(E139:CU139*$E$6:$CU$6)/100) + (SUMPRODUCT(E139:CU139*$E$6:$CU$6*$E$3:$CU$3)/100),
0
)</f>
        <v>0</v>
      </c>
      <c r="E139" s="227"/>
      <c r="F139" s="227"/>
      <c r="G139" s="227"/>
      <c r="H139" s="227"/>
      <c r="I139" s="227"/>
      <c r="J139" s="227"/>
      <c r="K139" s="227"/>
      <c r="L139" s="227"/>
      <c r="M139" s="227"/>
      <c r="N139" s="227"/>
      <c r="O139" s="227"/>
      <c r="P139" s="227"/>
      <c r="Q139" s="227"/>
      <c r="R139" s="227"/>
      <c r="S139" s="227"/>
      <c r="T139" s="227"/>
      <c r="U139" s="227"/>
      <c r="V139" s="227"/>
      <c r="W139" s="227"/>
      <c r="X139" s="227"/>
      <c r="Y139" s="227"/>
      <c r="Z139" s="227"/>
      <c r="AA139" s="227"/>
      <c r="AB139" s="227"/>
      <c r="AC139" s="227"/>
      <c r="AD139" s="227"/>
      <c r="AE139" s="227"/>
      <c r="AF139" s="227"/>
      <c r="AG139" s="227"/>
      <c r="AH139" s="227"/>
      <c r="AI139" s="227"/>
      <c r="AJ139" s="227"/>
      <c r="AK139" s="227"/>
      <c r="AL139" s="227"/>
      <c r="AM139" s="227"/>
      <c r="AN139" s="227"/>
      <c r="AO139" s="227"/>
      <c r="AP139" s="227"/>
      <c r="AQ139" s="227"/>
      <c r="AR139" s="227"/>
      <c r="AS139" s="227"/>
      <c r="AT139" s="227"/>
      <c r="AU139" s="227"/>
      <c r="AV139" s="227"/>
      <c r="AW139" s="227"/>
      <c r="AX139" s="227"/>
      <c r="AY139" s="227"/>
      <c r="AZ139" s="227"/>
      <c r="BA139" s="227"/>
      <c r="BB139" s="227"/>
      <c r="BC139" s="227"/>
      <c r="BD139" s="227"/>
      <c r="BE139" s="227"/>
      <c r="BF139" s="227"/>
      <c r="BG139" s="227"/>
      <c r="BH139" s="227"/>
      <c r="BI139" s="227"/>
      <c r="BJ139" s="227"/>
      <c r="BK139" s="227"/>
      <c r="BL139" s="227"/>
      <c r="BM139" s="227"/>
      <c r="BN139" s="227"/>
      <c r="BO139" s="227"/>
      <c r="BP139" s="227"/>
      <c r="BQ139" s="227"/>
      <c r="BR139" s="227"/>
      <c r="BS139" s="227"/>
      <c r="BT139" s="227"/>
      <c r="BU139" s="227"/>
      <c r="BV139" s="227"/>
      <c r="BW139" s="227"/>
      <c r="BX139" s="227"/>
      <c r="BY139" s="227"/>
      <c r="BZ139" s="227"/>
      <c r="CA139" s="227"/>
      <c r="CB139" s="227"/>
      <c r="CC139" s="227"/>
      <c r="CD139" s="227"/>
      <c r="CE139" s="227"/>
      <c r="CF139" s="227"/>
      <c r="CG139" s="227"/>
      <c r="CH139" s="227"/>
      <c r="CI139" s="227"/>
      <c r="CJ139" s="227"/>
      <c r="CK139" s="227"/>
      <c r="CL139" s="227"/>
      <c r="CM139" s="227"/>
      <c r="CN139" s="227"/>
      <c r="CO139" s="227"/>
      <c r="CP139" s="227"/>
      <c r="CQ139" s="227"/>
      <c r="CR139" s="227"/>
      <c r="CS139" s="227"/>
      <c r="CT139" s="227"/>
      <c r="CU139" s="225"/>
      <c r="CV139" s="227"/>
    </row>
    <row r="140" spans="1:100" ht="20.100000000000001" customHeight="1">
      <c r="A140" s="223"/>
      <c r="B140" s="225"/>
      <c r="C140" s="227"/>
      <c r="D140" s="224"/>
      <c r="E140" s="223"/>
      <c r="F140" s="223"/>
      <c r="G140" s="223"/>
      <c r="H140" s="223"/>
      <c r="I140" s="223"/>
      <c r="J140" s="223"/>
      <c r="K140" s="223"/>
      <c r="L140" s="223"/>
      <c r="M140" s="223"/>
      <c r="N140" s="223"/>
      <c r="O140" s="223"/>
      <c r="P140" s="223"/>
      <c r="Q140" s="223"/>
      <c r="R140" s="223"/>
      <c r="S140" s="223"/>
      <c r="T140" s="223"/>
      <c r="U140" s="223"/>
      <c r="V140" s="223"/>
      <c r="W140" s="223"/>
      <c r="X140" s="223"/>
      <c r="Y140" s="223"/>
      <c r="Z140" s="223"/>
      <c r="AA140" s="223"/>
      <c r="AB140" s="223"/>
      <c r="AC140" s="223"/>
      <c r="AD140" s="223"/>
      <c r="AE140" s="223"/>
      <c r="AF140" s="223"/>
      <c r="AG140" s="223"/>
      <c r="AH140" s="223"/>
      <c r="AI140" s="223"/>
      <c r="AJ140" s="223"/>
      <c r="AK140" s="223"/>
      <c r="AL140" s="223"/>
      <c r="AM140" s="223"/>
      <c r="AN140" s="223"/>
      <c r="AO140" s="223"/>
      <c r="AP140" s="223"/>
      <c r="AQ140" s="223"/>
      <c r="AR140" s="223"/>
      <c r="AS140" s="223"/>
      <c r="AT140" s="223"/>
      <c r="AU140" s="223"/>
      <c r="AV140" s="223"/>
      <c r="AW140" s="223"/>
      <c r="AX140" s="223"/>
      <c r="AY140" s="223"/>
      <c r="AZ140" s="223"/>
      <c r="BA140" s="223"/>
      <c r="BB140" s="223"/>
      <c r="BC140" s="223"/>
      <c r="BD140" s="223"/>
      <c r="BE140" s="223"/>
      <c r="BF140" s="223"/>
      <c r="BG140" s="223"/>
      <c r="BH140" s="223"/>
      <c r="BI140" s="223"/>
      <c r="BJ140" s="223"/>
      <c r="BK140" s="223"/>
      <c r="BL140" s="223"/>
      <c r="BM140" s="223"/>
      <c r="BN140" s="223"/>
      <c r="BO140" s="223"/>
      <c r="BP140" s="223"/>
      <c r="BQ140" s="227"/>
      <c r="BR140" s="227"/>
      <c r="BS140" s="227"/>
      <c r="BT140" s="227"/>
      <c r="BU140" s="227"/>
      <c r="BV140" s="227"/>
      <c r="BW140" s="227"/>
      <c r="BX140" s="227"/>
      <c r="BY140" s="227"/>
      <c r="BZ140" s="227"/>
      <c r="CA140" s="227"/>
      <c r="CB140" s="227"/>
      <c r="CC140" s="227"/>
      <c r="CD140" s="227"/>
      <c r="CE140" s="227"/>
      <c r="CF140" s="227"/>
      <c r="CG140" s="227"/>
      <c r="CH140" s="227"/>
      <c r="CI140" s="227"/>
      <c r="CJ140" s="227"/>
      <c r="CK140" s="227"/>
      <c r="CL140" s="227"/>
      <c r="CM140" s="227"/>
      <c r="CN140" s="227"/>
      <c r="CO140" s="227"/>
      <c r="CP140" s="227"/>
      <c r="CQ140" s="227"/>
      <c r="CR140" s="227"/>
      <c r="CS140" s="227"/>
      <c r="CT140" s="227"/>
      <c r="CU140" s="225"/>
      <c r="CV140" s="227"/>
    </row>
    <row r="141" spans="1:100" ht="20.100000000000001" customHeight="1">
      <c r="A141" s="227">
        <v>67</v>
      </c>
      <c r="B141" s="225"/>
      <c r="C141" s="227"/>
      <c r="D141" s="228" cm="1">
        <f t="array" ref="D141">IFERROR(
(SUMPRODUCT(E141:CU141*$E$6:$CU$6)/100) + (SUMPRODUCT(E141:CU141*$E$6:$CU$6*$E$3:$CU$3)/100),
0
)</f>
        <v>0</v>
      </c>
      <c r="E141" s="227"/>
      <c r="F141" s="227"/>
      <c r="G141" s="227"/>
      <c r="H141" s="227"/>
      <c r="I141" s="227"/>
      <c r="J141" s="227"/>
      <c r="K141" s="227"/>
      <c r="L141" s="227"/>
      <c r="M141" s="227"/>
      <c r="N141" s="227"/>
      <c r="O141" s="227"/>
      <c r="P141" s="227"/>
      <c r="Q141" s="227"/>
      <c r="R141" s="227"/>
      <c r="S141" s="227"/>
      <c r="T141" s="227"/>
      <c r="U141" s="227"/>
      <c r="V141" s="227"/>
      <c r="W141" s="227"/>
      <c r="X141" s="227"/>
      <c r="Y141" s="227"/>
      <c r="Z141" s="227"/>
      <c r="AA141" s="227"/>
      <c r="AB141" s="227"/>
      <c r="AC141" s="227"/>
      <c r="AD141" s="227"/>
      <c r="AE141" s="227"/>
      <c r="AF141" s="227"/>
      <c r="AG141" s="227"/>
      <c r="AH141" s="227"/>
      <c r="AI141" s="227"/>
      <c r="AJ141" s="227"/>
      <c r="AK141" s="227"/>
      <c r="AL141" s="227"/>
      <c r="AM141" s="227"/>
      <c r="AN141" s="227"/>
      <c r="AO141" s="227"/>
      <c r="AP141" s="227"/>
      <c r="AQ141" s="227"/>
      <c r="AR141" s="227"/>
      <c r="AS141" s="227"/>
      <c r="AT141" s="227"/>
      <c r="AU141" s="227"/>
      <c r="AV141" s="227"/>
      <c r="AW141" s="227"/>
      <c r="AX141" s="227"/>
      <c r="AY141" s="227"/>
      <c r="AZ141" s="227"/>
      <c r="BA141" s="227"/>
      <c r="BB141" s="227"/>
      <c r="BC141" s="227"/>
      <c r="BD141" s="227"/>
      <c r="BE141" s="227"/>
      <c r="BF141" s="227"/>
      <c r="BG141" s="227"/>
      <c r="BH141" s="227"/>
      <c r="BI141" s="227"/>
      <c r="BJ141" s="227"/>
      <c r="BK141" s="227"/>
      <c r="BL141" s="227"/>
      <c r="BM141" s="227"/>
      <c r="BN141" s="227"/>
      <c r="BO141" s="227"/>
      <c r="BP141" s="227"/>
      <c r="BQ141" s="227"/>
      <c r="BR141" s="227"/>
      <c r="BS141" s="227"/>
      <c r="BT141" s="227"/>
      <c r="BU141" s="227"/>
      <c r="BV141" s="227"/>
      <c r="BW141" s="227"/>
      <c r="BX141" s="227"/>
      <c r="BY141" s="227"/>
      <c r="BZ141" s="227"/>
      <c r="CA141" s="227"/>
      <c r="CB141" s="227"/>
      <c r="CC141" s="227"/>
      <c r="CD141" s="227"/>
      <c r="CE141" s="227"/>
      <c r="CF141" s="227"/>
      <c r="CG141" s="227"/>
      <c r="CH141" s="227"/>
      <c r="CI141" s="227"/>
      <c r="CJ141" s="227"/>
      <c r="CK141" s="227"/>
      <c r="CL141" s="227"/>
      <c r="CM141" s="227"/>
      <c r="CN141" s="227"/>
      <c r="CO141" s="227"/>
      <c r="CP141" s="227"/>
      <c r="CQ141" s="227"/>
      <c r="CR141" s="227"/>
      <c r="CS141" s="227"/>
      <c r="CT141" s="227"/>
      <c r="CU141" s="225"/>
      <c r="CV141" s="227"/>
    </row>
    <row r="142" spans="1:100" ht="20.100000000000001" customHeight="1">
      <c r="A142" s="227"/>
      <c r="B142" s="225"/>
      <c r="C142" s="227"/>
      <c r="D142" s="224"/>
      <c r="E142" s="223"/>
      <c r="F142" s="223"/>
      <c r="G142" s="223"/>
      <c r="H142" s="223"/>
      <c r="I142" s="223"/>
      <c r="J142" s="223"/>
      <c r="K142" s="223"/>
      <c r="L142" s="223"/>
      <c r="M142" s="223"/>
      <c r="N142" s="223"/>
      <c r="O142" s="223"/>
      <c r="P142" s="223"/>
      <c r="Q142" s="223"/>
      <c r="R142" s="223"/>
      <c r="S142" s="223"/>
      <c r="T142" s="223"/>
      <c r="U142" s="223"/>
      <c r="V142" s="223"/>
      <c r="W142" s="223"/>
      <c r="X142" s="223"/>
      <c r="Y142" s="223"/>
      <c r="Z142" s="223"/>
      <c r="AA142" s="223"/>
      <c r="AB142" s="223"/>
      <c r="AC142" s="223"/>
      <c r="AD142" s="223"/>
      <c r="AE142" s="223"/>
      <c r="AF142" s="223"/>
      <c r="AG142" s="223"/>
      <c r="AH142" s="223"/>
      <c r="AI142" s="223"/>
      <c r="AJ142" s="223"/>
      <c r="AK142" s="223"/>
      <c r="AL142" s="223"/>
      <c r="AM142" s="223"/>
      <c r="AN142" s="223"/>
      <c r="AO142" s="223"/>
      <c r="AP142" s="223"/>
      <c r="AQ142" s="223"/>
      <c r="AR142" s="223"/>
      <c r="AS142" s="223"/>
      <c r="AT142" s="223"/>
      <c r="AU142" s="223"/>
      <c r="AV142" s="223"/>
      <c r="AW142" s="223"/>
      <c r="AX142" s="223"/>
      <c r="AY142" s="223"/>
      <c r="AZ142" s="223"/>
      <c r="BA142" s="223"/>
      <c r="BB142" s="223"/>
      <c r="BC142" s="223"/>
      <c r="BD142" s="223"/>
      <c r="BE142" s="223"/>
      <c r="BF142" s="223"/>
      <c r="BG142" s="223"/>
      <c r="BH142" s="223"/>
      <c r="BI142" s="223"/>
      <c r="BJ142" s="223"/>
      <c r="BK142" s="223"/>
      <c r="BL142" s="223"/>
      <c r="BM142" s="223"/>
      <c r="BN142" s="223"/>
      <c r="BO142" s="223"/>
      <c r="BP142" s="223"/>
      <c r="BQ142" s="227"/>
      <c r="BR142" s="227"/>
      <c r="BS142" s="227"/>
      <c r="BT142" s="227"/>
      <c r="BU142" s="227"/>
      <c r="BV142" s="227"/>
      <c r="BW142" s="227"/>
      <c r="BX142" s="227"/>
      <c r="BY142" s="227"/>
      <c r="BZ142" s="227"/>
      <c r="CA142" s="227"/>
      <c r="CB142" s="227"/>
      <c r="CC142" s="227"/>
      <c r="CD142" s="227"/>
      <c r="CE142" s="227"/>
      <c r="CF142" s="227"/>
      <c r="CG142" s="227"/>
      <c r="CH142" s="227"/>
      <c r="CI142" s="227"/>
      <c r="CJ142" s="227"/>
      <c r="CK142" s="227"/>
      <c r="CL142" s="227"/>
      <c r="CM142" s="227"/>
      <c r="CN142" s="227"/>
      <c r="CO142" s="227"/>
      <c r="CP142" s="227"/>
      <c r="CQ142" s="227"/>
      <c r="CR142" s="227"/>
      <c r="CS142" s="227"/>
      <c r="CT142" s="227"/>
      <c r="CU142" s="225"/>
      <c r="CV142" s="227"/>
    </row>
    <row r="143" spans="1:100" ht="20.100000000000001" customHeight="1">
      <c r="A143" s="227">
        <v>68</v>
      </c>
      <c r="B143" s="225"/>
      <c r="C143" s="227"/>
      <c r="D143" s="228" cm="1">
        <f t="array" ref="D143">IFERROR(
(SUMPRODUCT(E143:CU143*$E$6:$CU$6)/100) + (SUMPRODUCT(E143:CU143*$E$6:$CU$6*$E$3:$CU$3)/100),
0
)</f>
        <v>0</v>
      </c>
      <c r="E143" s="227"/>
      <c r="F143" s="227"/>
      <c r="G143" s="227"/>
      <c r="H143" s="227"/>
      <c r="I143" s="227"/>
      <c r="J143" s="227"/>
      <c r="K143" s="227"/>
      <c r="L143" s="227"/>
      <c r="M143" s="227"/>
      <c r="N143" s="227"/>
      <c r="O143" s="227"/>
      <c r="P143" s="227"/>
      <c r="Q143" s="227"/>
      <c r="R143" s="227"/>
      <c r="S143" s="227"/>
      <c r="T143" s="227"/>
      <c r="U143" s="227"/>
      <c r="V143" s="227"/>
      <c r="W143" s="227"/>
      <c r="X143" s="227"/>
      <c r="Y143" s="227"/>
      <c r="Z143" s="227"/>
      <c r="AA143" s="227"/>
      <c r="AB143" s="227"/>
      <c r="AC143" s="227"/>
      <c r="AD143" s="227"/>
      <c r="AE143" s="227"/>
      <c r="AF143" s="227"/>
      <c r="AG143" s="227"/>
      <c r="AH143" s="227"/>
      <c r="AI143" s="227"/>
      <c r="AJ143" s="227"/>
      <c r="AK143" s="227"/>
      <c r="AL143" s="227"/>
      <c r="AM143" s="227"/>
      <c r="AN143" s="227"/>
      <c r="AO143" s="227"/>
      <c r="AP143" s="227"/>
      <c r="AQ143" s="227"/>
      <c r="AR143" s="227"/>
      <c r="AS143" s="227"/>
      <c r="AT143" s="227"/>
      <c r="AU143" s="227"/>
      <c r="AV143" s="227"/>
      <c r="AW143" s="227"/>
      <c r="AX143" s="227"/>
      <c r="AY143" s="227"/>
      <c r="AZ143" s="227"/>
      <c r="BA143" s="227"/>
      <c r="BB143" s="227"/>
      <c r="BC143" s="227"/>
      <c r="BD143" s="227"/>
      <c r="BE143" s="227"/>
      <c r="BF143" s="227"/>
      <c r="BG143" s="227"/>
      <c r="BH143" s="227"/>
      <c r="BI143" s="227"/>
      <c r="BJ143" s="227"/>
      <c r="BK143" s="227"/>
      <c r="BL143" s="227"/>
      <c r="BM143" s="227"/>
      <c r="BN143" s="227"/>
      <c r="BO143" s="227"/>
      <c r="BP143" s="227"/>
      <c r="BQ143" s="227"/>
      <c r="BR143" s="227"/>
      <c r="BS143" s="227"/>
      <c r="BT143" s="227"/>
      <c r="BU143" s="227"/>
      <c r="BV143" s="227"/>
      <c r="BW143" s="227"/>
      <c r="BX143" s="227"/>
      <c r="BY143" s="227"/>
      <c r="BZ143" s="227"/>
      <c r="CA143" s="227"/>
      <c r="CB143" s="227"/>
      <c r="CC143" s="227"/>
      <c r="CD143" s="227"/>
      <c r="CE143" s="227"/>
      <c r="CF143" s="227"/>
      <c r="CG143" s="227"/>
      <c r="CH143" s="227"/>
      <c r="CI143" s="227"/>
      <c r="CJ143" s="227"/>
      <c r="CK143" s="227"/>
      <c r="CL143" s="227"/>
      <c r="CM143" s="227"/>
      <c r="CN143" s="227"/>
      <c r="CO143" s="227"/>
      <c r="CP143" s="227"/>
      <c r="CQ143" s="227"/>
      <c r="CR143" s="227"/>
      <c r="CS143" s="227"/>
      <c r="CT143" s="227"/>
      <c r="CU143" s="225"/>
      <c r="CV143" s="227"/>
    </row>
    <row r="144" spans="1:100" ht="20.100000000000001" customHeight="1">
      <c r="A144" s="223"/>
      <c r="B144" s="225"/>
      <c r="C144" s="227"/>
      <c r="D144" s="224"/>
      <c r="E144" s="223"/>
      <c r="F144" s="223"/>
      <c r="G144" s="223"/>
      <c r="H144" s="223"/>
      <c r="I144" s="223"/>
      <c r="J144" s="223"/>
      <c r="K144" s="223"/>
      <c r="L144" s="223"/>
      <c r="M144" s="223"/>
      <c r="N144" s="223"/>
      <c r="O144" s="223"/>
      <c r="P144" s="223"/>
      <c r="Q144" s="223"/>
      <c r="R144" s="223"/>
      <c r="S144" s="223"/>
      <c r="T144" s="223"/>
      <c r="U144" s="223"/>
      <c r="V144" s="223"/>
      <c r="W144" s="223"/>
      <c r="X144" s="223"/>
      <c r="Y144" s="223"/>
      <c r="Z144" s="223"/>
      <c r="AA144" s="223"/>
      <c r="AB144" s="223"/>
      <c r="AC144" s="223"/>
      <c r="AD144" s="223"/>
      <c r="AE144" s="223"/>
      <c r="AF144" s="223"/>
      <c r="AG144" s="223"/>
      <c r="AH144" s="223"/>
      <c r="AI144" s="223"/>
      <c r="AJ144" s="223"/>
      <c r="AK144" s="223"/>
      <c r="AL144" s="223"/>
      <c r="AM144" s="223"/>
      <c r="AN144" s="223"/>
      <c r="AO144" s="223"/>
      <c r="AP144" s="223"/>
      <c r="AQ144" s="223"/>
      <c r="AR144" s="223"/>
      <c r="AS144" s="223"/>
      <c r="AT144" s="223"/>
      <c r="AU144" s="223"/>
      <c r="AV144" s="223"/>
      <c r="AW144" s="223"/>
      <c r="AX144" s="223"/>
      <c r="AY144" s="223"/>
      <c r="AZ144" s="223"/>
      <c r="BA144" s="223"/>
      <c r="BB144" s="223"/>
      <c r="BC144" s="223"/>
      <c r="BD144" s="223"/>
      <c r="BE144" s="223"/>
      <c r="BF144" s="223"/>
      <c r="BG144" s="223"/>
      <c r="BH144" s="223"/>
      <c r="BI144" s="223"/>
      <c r="BJ144" s="223"/>
      <c r="BK144" s="223"/>
      <c r="BL144" s="223"/>
      <c r="BM144" s="223"/>
      <c r="BN144" s="223"/>
      <c r="BO144" s="223"/>
      <c r="BP144" s="223"/>
      <c r="BQ144" s="227"/>
      <c r="BR144" s="227"/>
      <c r="BS144" s="227"/>
      <c r="BT144" s="227"/>
      <c r="BU144" s="227"/>
      <c r="BV144" s="227"/>
      <c r="BW144" s="227"/>
      <c r="BX144" s="227"/>
      <c r="BY144" s="227"/>
      <c r="BZ144" s="227"/>
      <c r="CA144" s="227"/>
      <c r="CB144" s="227"/>
      <c r="CC144" s="227"/>
      <c r="CD144" s="227"/>
      <c r="CE144" s="227"/>
      <c r="CF144" s="227"/>
      <c r="CG144" s="227"/>
      <c r="CH144" s="227"/>
      <c r="CI144" s="227"/>
      <c r="CJ144" s="227"/>
      <c r="CK144" s="227"/>
      <c r="CL144" s="227"/>
      <c r="CM144" s="227"/>
      <c r="CN144" s="227"/>
      <c r="CO144" s="227"/>
      <c r="CP144" s="227"/>
      <c r="CQ144" s="227"/>
      <c r="CR144" s="227"/>
      <c r="CS144" s="227"/>
      <c r="CT144" s="227"/>
      <c r="CU144" s="225"/>
      <c r="CV144" s="227"/>
    </row>
    <row r="145" spans="1:100" ht="20.100000000000001" customHeight="1">
      <c r="A145" s="227">
        <v>69</v>
      </c>
      <c r="B145" s="225"/>
      <c r="C145" s="227"/>
      <c r="D145" s="228" cm="1">
        <f t="array" ref="D145">IFERROR(
(SUMPRODUCT(E145:CU145*$E$6:$CU$6)/100) + (SUMPRODUCT(E145:CU145*$E$6:$CU$6*$E$3:$CU$3)/100),
0
)</f>
        <v>0</v>
      </c>
      <c r="E145" s="227"/>
      <c r="F145" s="227"/>
      <c r="G145" s="227"/>
      <c r="H145" s="227"/>
      <c r="I145" s="227"/>
      <c r="J145" s="227"/>
      <c r="K145" s="227"/>
      <c r="L145" s="227"/>
      <c r="M145" s="227"/>
      <c r="N145" s="227"/>
      <c r="O145" s="227"/>
      <c r="P145" s="227"/>
      <c r="Q145" s="227"/>
      <c r="R145" s="227"/>
      <c r="S145" s="227"/>
      <c r="T145" s="227"/>
      <c r="U145" s="227"/>
      <c r="V145" s="227"/>
      <c r="W145" s="227"/>
      <c r="X145" s="227"/>
      <c r="Y145" s="227"/>
      <c r="Z145" s="227"/>
      <c r="AA145" s="227"/>
      <c r="AB145" s="227"/>
      <c r="AC145" s="227"/>
      <c r="AD145" s="227"/>
      <c r="AE145" s="227"/>
      <c r="AF145" s="227"/>
      <c r="AG145" s="227"/>
      <c r="AH145" s="227"/>
      <c r="AI145" s="227"/>
      <c r="AJ145" s="227"/>
      <c r="AK145" s="227"/>
      <c r="AL145" s="227"/>
      <c r="AM145" s="227"/>
      <c r="AN145" s="227"/>
      <c r="AO145" s="227"/>
      <c r="AP145" s="227"/>
      <c r="AQ145" s="227"/>
      <c r="AR145" s="227"/>
      <c r="AS145" s="227"/>
      <c r="AT145" s="227"/>
      <c r="AU145" s="227"/>
      <c r="AV145" s="227"/>
      <c r="AW145" s="227"/>
      <c r="AX145" s="227"/>
      <c r="AY145" s="227"/>
      <c r="AZ145" s="227"/>
      <c r="BA145" s="227"/>
      <c r="BB145" s="227"/>
      <c r="BC145" s="227"/>
      <c r="BD145" s="227"/>
      <c r="BE145" s="227"/>
      <c r="BF145" s="227"/>
      <c r="BG145" s="227"/>
      <c r="BH145" s="227"/>
      <c r="BI145" s="227"/>
      <c r="BJ145" s="227"/>
      <c r="BK145" s="227"/>
      <c r="BL145" s="227"/>
      <c r="BM145" s="227"/>
      <c r="BN145" s="227"/>
      <c r="BO145" s="227"/>
      <c r="BP145" s="227"/>
      <c r="BQ145" s="227"/>
      <c r="BR145" s="227"/>
      <c r="BS145" s="227"/>
      <c r="BT145" s="227"/>
      <c r="BU145" s="227"/>
      <c r="BV145" s="227"/>
      <c r="BW145" s="227"/>
      <c r="BX145" s="227"/>
      <c r="BY145" s="227"/>
      <c r="BZ145" s="227"/>
      <c r="CA145" s="227"/>
      <c r="CB145" s="227"/>
      <c r="CC145" s="227"/>
      <c r="CD145" s="227"/>
      <c r="CE145" s="227"/>
      <c r="CF145" s="227"/>
      <c r="CG145" s="227"/>
      <c r="CH145" s="227"/>
      <c r="CI145" s="227"/>
      <c r="CJ145" s="227"/>
      <c r="CK145" s="227"/>
      <c r="CL145" s="227"/>
      <c r="CM145" s="227"/>
      <c r="CN145" s="227"/>
      <c r="CO145" s="227"/>
      <c r="CP145" s="227"/>
      <c r="CQ145" s="227"/>
      <c r="CR145" s="227"/>
      <c r="CS145" s="227"/>
      <c r="CT145" s="227"/>
      <c r="CU145" s="225"/>
      <c r="CV145" s="227"/>
    </row>
    <row r="146" spans="1:100" ht="20.100000000000001" customHeight="1">
      <c r="A146" s="227"/>
      <c r="B146" s="225"/>
      <c r="C146" s="227"/>
      <c r="D146" s="224"/>
      <c r="E146" s="223"/>
      <c r="F146" s="223"/>
      <c r="G146" s="223"/>
      <c r="H146" s="223"/>
      <c r="I146" s="223"/>
      <c r="J146" s="223"/>
      <c r="K146" s="223"/>
      <c r="L146" s="223"/>
      <c r="M146" s="223"/>
      <c r="N146" s="223"/>
      <c r="O146" s="223"/>
      <c r="P146" s="223"/>
      <c r="Q146" s="223"/>
      <c r="R146" s="223"/>
      <c r="S146" s="223"/>
      <c r="T146" s="223"/>
      <c r="U146" s="223"/>
      <c r="V146" s="223"/>
      <c r="W146" s="223"/>
      <c r="X146" s="223"/>
      <c r="Y146" s="223"/>
      <c r="Z146" s="223"/>
      <c r="AA146" s="223"/>
      <c r="AB146" s="223"/>
      <c r="AC146" s="223"/>
      <c r="AD146" s="223"/>
      <c r="AE146" s="223"/>
      <c r="AF146" s="223"/>
      <c r="AG146" s="223"/>
      <c r="AH146" s="223"/>
      <c r="AI146" s="223"/>
      <c r="AJ146" s="223"/>
      <c r="AK146" s="223"/>
      <c r="AL146" s="223"/>
      <c r="AM146" s="223"/>
      <c r="AN146" s="223"/>
      <c r="AO146" s="223"/>
      <c r="AP146" s="223"/>
      <c r="AQ146" s="223"/>
      <c r="AR146" s="223"/>
      <c r="AS146" s="223"/>
      <c r="AT146" s="223"/>
      <c r="AU146" s="223"/>
      <c r="AV146" s="223"/>
      <c r="AW146" s="223"/>
      <c r="AX146" s="223"/>
      <c r="AY146" s="223"/>
      <c r="AZ146" s="223"/>
      <c r="BA146" s="223"/>
      <c r="BB146" s="223"/>
      <c r="BC146" s="223"/>
      <c r="BD146" s="223"/>
      <c r="BE146" s="223"/>
      <c r="BF146" s="223"/>
      <c r="BG146" s="223"/>
      <c r="BH146" s="223"/>
      <c r="BI146" s="223"/>
      <c r="BJ146" s="223"/>
      <c r="BK146" s="223"/>
      <c r="BL146" s="223"/>
      <c r="BM146" s="223"/>
      <c r="BN146" s="223"/>
      <c r="BO146" s="223"/>
      <c r="BP146" s="223"/>
      <c r="BQ146" s="227"/>
      <c r="BR146" s="227"/>
      <c r="BS146" s="227"/>
      <c r="BT146" s="227"/>
      <c r="BU146" s="227"/>
      <c r="BV146" s="227"/>
      <c r="BW146" s="227"/>
      <c r="BX146" s="227"/>
      <c r="BY146" s="227"/>
      <c r="BZ146" s="227"/>
      <c r="CA146" s="227"/>
      <c r="CB146" s="227"/>
      <c r="CC146" s="227"/>
      <c r="CD146" s="227"/>
      <c r="CE146" s="227"/>
      <c r="CF146" s="227"/>
      <c r="CG146" s="227"/>
      <c r="CH146" s="227"/>
      <c r="CI146" s="227"/>
      <c r="CJ146" s="227"/>
      <c r="CK146" s="227"/>
      <c r="CL146" s="227"/>
      <c r="CM146" s="227"/>
      <c r="CN146" s="227"/>
      <c r="CO146" s="227"/>
      <c r="CP146" s="227"/>
      <c r="CQ146" s="227"/>
      <c r="CR146" s="227"/>
      <c r="CS146" s="227"/>
      <c r="CT146" s="227"/>
      <c r="CU146" s="225"/>
      <c r="CV146" s="227"/>
    </row>
    <row r="147" spans="1:100" ht="20.100000000000001" customHeight="1">
      <c r="A147" s="227">
        <v>70</v>
      </c>
      <c r="B147" s="225"/>
      <c r="C147" s="227"/>
      <c r="D147" s="228" cm="1">
        <f t="array" ref="D147">IFERROR(
(SUMPRODUCT(E147:CU147*$E$6:$CU$6)/100) + (SUMPRODUCT(E147:CU147*$E$6:$CU$6*$E$3:$CU$3)/100),
0
)</f>
        <v>0</v>
      </c>
      <c r="E147" s="227"/>
      <c r="F147" s="227"/>
      <c r="G147" s="227"/>
      <c r="H147" s="227"/>
      <c r="I147" s="227"/>
      <c r="J147" s="227"/>
      <c r="K147" s="227"/>
      <c r="L147" s="227"/>
      <c r="M147" s="227"/>
      <c r="N147" s="227"/>
      <c r="O147" s="227"/>
      <c r="P147" s="227"/>
      <c r="Q147" s="227"/>
      <c r="R147" s="227"/>
      <c r="S147" s="227"/>
      <c r="T147" s="227"/>
      <c r="U147" s="227"/>
      <c r="V147" s="227"/>
      <c r="W147" s="227"/>
      <c r="X147" s="227"/>
      <c r="Y147" s="227"/>
      <c r="Z147" s="227"/>
      <c r="AA147" s="227"/>
      <c r="AB147" s="227"/>
      <c r="AC147" s="227"/>
      <c r="AD147" s="227"/>
      <c r="AE147" s="227"/>
      <c r="AF147" s="227"/>
      <c r="AG147" s="227"/>
      <c r="AH147" s="227"/>
      <c r="AI147" s="227"/>
      <c r="AJ147" s="227"/>
      <c r="AK147" s="227"/>
      <c r="AL147" s="227"/>
      <c r="AM147" s="227"/>
      <c r="AN147" s="227"/>
      <c r="AO147" s="227"/>
      <c r="AP147" s="227"/>
      <c r="AQ147" s="227"/>
      <c r="AR147" s="227"/>
      <c r="AS147" s="227"/>
      <c r="AT147" s="227"/>
      <c r="AU147" s="227"/>
      <c r="AV147" s="227"/>
      <c r="AW147" s="227"/>
      <c r="AX147" s="227"/>
      <c r="AY147" s="227"/>
      <c r="AZ147" s="227"/>
      <c r="BA147" s="227"/>
      <c r="BB147" s="227"/>
      <c r="BC147" s="227"/>
      <c r="BD147" s="227"/>
      <c r="BE147" s="227"/>
      <c r="BF147" s="227"/>
      <c r="BG147" s="227"/>
      <c r="BH147" s="227"/>
      <c r="BI147" s="227"/>
      <c r="BJ147" s="227"/>
      <c r="BK147" s="227"/>
      <c r="BL147" s="227"/>
      <c r="BM147" s="227"/>
      <c r="BN147" s="227"/>
      <c r="BO147" s="227"/>
      <c r="BP147" s="227"/>
      <c r="BQ147" s="227"/>
      <c r="BR147" s="227"/>
      <c r="BS147" s="227"/>
      <c r="BT147" s="227"/>
      <c r="BU147" s="227"/>
      <c r="BV147" s="227"/>
      <c r="BW147" s="227"/>
      <c r="BX147" s="227"/>
      <c r="BY147" s="227"/>
      <c r="BZ147" s="227"/>
      <c r="CA147" s="227"/>
      <c r="CB147" s="227"/>
      <c r="CC147" s="227"/>
      <c r="CD147" s="227"/>
      <c r="CE147" s="227"/>
      <c r="CF147" s="227"/>
      <c r="CG147" s="227"/>
      <c r="CH147" s="227"/>
      <c r="CI147" s="227"/>
      <c r="CJ147" s="227"/>
      <c r="CK147" s="227"/>
      <c r="CL147" s="227"/>
      <c r="CM147" s="227"/>
      <c r="CN147" s="227"/>
      <c r="CO147" s="227"/>
      <c r="CP147" s="227"/>
      <c r="CQ147" s="227"/>
      <c r="CR147" s="227"/>
      <c r="CS147" s="227"/>
      <c r="CT147" s="227"/>
      <c r="CU147" s="225"/>
      <c r="CV147" s="227"/>
    </row>
    <row r="148" spans="1:100" ht="20.100000000000001" customHeight="1">
      <c r="A148" s="223"/>
      <c r="B148" s="225"/>
      <c r="C148" s="227"/>
      <c r="D148" s="224"/>
      <c r="E148" s="223"/>
      <c r="F148" s="223"/>
      <c r="G148" s="223"/>
      <c r="H148" s="223"/>
      <c r="I148" s="223"/>
      <c r="J148" s="223"/>
      <c r="K148" s="223"/>
      <c r="L148" s="223"/>
      <c r="M148" s="223"/>
      <c r="N148" s="223"/>
      <c r="O148" s="223"/>
      <c r="P148" s="223"/>
      <c r="Q148" s="223"/>
      <c r="R148" s="223"/>
      <c r="S148" s="223"/>
      <c r="T148" s="223"/>
      <c r="U148" s="223"/>
      <c r="V148" s="223"/>
      <c r="W148" s="223"/>
      <c r="X148" s="223"/>
      <c r="Y148" s="223"/>
      <c r="Z148" s="223"/>
      <c r="AA148" s="223"/>
      <c r="AB148" s="223"/>
      <c r="AC148" s="223"/>
      <c r="AD148" s="223"/>
      <c r="AE148" s="223"/>
      <c r="AF148" s="223"/>
      <c r="AG148" s="223"/>
      <c r="AH148" s="223"/>
      <c r="AI148" s="223"/>
      <c r="AJ148" s="223"/>
      <c r="AK148" s="223"/>
      <c r="AL148" s="223"/>
      <c r="AM148" s="223"/>
      <c r="AN148" s="223"/>
      <c r="AO148" s="223"/>
      <c r="AP148" s="223"/>
      <c r="AQ148" s="223"/>
      <c r="AR148" s="223"/>
      <c r="AS148" s="223"/>
      <c r="AT148" s="223"/>
      <c r="AU148" s="223"/>
      <c r="AV148" s="223"/>
      <c r="AW148" s="223"/>
      <c r="AX148" s="223"/>
      <c r="AY148" s="223"/>
      <c r="AZ148" s="223"/>
      <c r="BA148" s="223"/>
      <c r="BB148" s="223"/>
      <c r="BC148" s="223"/>
      <c r="BD148" s="223"/>
      <c r="BE148" s="223"/>
      <c r="BF148" s="223"/>
      <c r="BG148" s="223"/>
      <c r="BH148" s="223"/>
      <c r="BI148" s="223"/>
      <c r="BJ148" s="223"/>
      <c r="BK148" s="223"/>
      <c r="BL148" s="223"/>
      <c r="BM148" s="223"/>
      <c r="BN148" s="223"/>
      <c r="BO148" s="223"/>
      <c r="BP148" s="223"/>
      <c r="BQ148" s="227"/>
      <c r="BR148" s="227"/>
      <c r="BS148" s="227"/>
      <c r="BT148" s="227"/>
      <c r="BU148" s="227"/>
      <c r="BV148" s="227"/>
      <c r="BW148" s="227"/>
      <c r="BX148" s="227"/>
      <c r="BY148" s="227"/>
      <c r="BZ148" s="227"/>
      <c r="CA148" s="227"/>
      <c r="CB148" s="227"/>
      <c r="CC148" s="227"/>
      <c r="CD148" s="227"/>
      <c r="CE148" s="227"/>
      <c r="CF148" s="227"/>
      <c r="CG148" s="227"/>
      <c r="CH148" s="227"/>
      <c r="CI148" s="227"/>
      <c r="CJ148" s="227"/>
      <c r="CK148" s="227"/>
      <c r="CL148" s="227"/>
      <c r="CM148" s="227"/>
      <c r="CN148" s="227"/>
      <c r="CO148" s="227"/>
      <c r="CP148" s="227"/>
      <c r="CQ148" s="227"/>
      <c r="CR148" s="227"/>
      <c r="CS148" s="227"/>
      <c r="CT148" s="227"/>
      <c r="CU148" s="225"/>
      <c r="CV148" s="227"/>
    </row>
    <row r="149" spans="1:100" ht="20.100000000000001" customHeight="1">
      <c r="A149" s="227">
        <v>71</v>
      </c>
      <c r="B149" s="225"/>
      <c r="C149" s="227"/>
      <c r="D149" s="228" cm="1">
        <f t="array" ref="D149">IFERROR(
(SUMPRODUCT(E149:CU149*$E$6:$CU$6)/100) + (SUMPRODUCT(E149:CU149*$E$6:$CU$6*$E$3:$CU$3)/100),
0
)</f>
        <v>0</v>
      </c>
      <c r="E149" s="227"/>
      <c r="F149" s="227"/>
      <c r="G149" s="227"/>
      <c r="H149" s="227"/>
      <c r="I149" s="227"/>
      <c r="J149" s="227"/>
      <c r="K149" s="227"/>
      <c r="L149" s="227"/>
      <c r="M149" s="227"/>
      <c r="N149" s="227"/>
      <c r="O149" s="227"/>
      <c r="P149" s="227"/>
      <c r="Q149" s="227"/>
      <c r="R149" s="227"/>
      <c r="S149" s="227"/>
      <c r="T149" s="227"/>
      <c r="U149" s="227"/>
      <c r="V149" s="227"/>
      <c r="W149" s="227"/>
      <c r="X149" s="227"/>
      <c r="Y149" s="227"/>
      <c r="Z149" s="227"/>
      <c r="AA149" s="227"/>
      <c r="AB149" s="227"/>
      <c r="AC149" s="227"/>
      <c r="AD149" s="227"/>
      <c r="AE149" s="227"/>
      <c r="AF149" s="227"/>
      <c r="AG149" s="227"/>
      <c r="AH149" s="227"/>
      <c r="AI149" s="227"/>
      <c r="AJ149" s="227"/>
      <c r="AK149" s="227"/>
      <c r="AL149" s="227"/>
      <c r="AM149" s="227"/>
      <c r="AN149" s="227"/>
      <c r="AO149" s="227"/>
      <c r="AP149" s="227"/>
      <c r="AQ149" s="227"/>
      <c r="AR149" s="227"/>
      <c r="AS149" s="227"/>
      <c r="AT149" s="227"/>
      <c r="AU149" s="227"/>
      <c r="AV149" s="227"/>
      <c r="AW149" s="227"/>
      <c r="AX149" s="227"/>
      <c r="AY149" s="227"/>
      <c r="AZ149" s="227"/>
      <c r="BA149" s="227"/>
      <c r="BB149" s="227"/>
      <c r="BC149" s="227"/>
      <c r="BD149" s="227"/>
      <c r="BE149" s="227"/>
      <c r="BF149" s="227"/>
      <c r="BG149" s="227"/>
      <c r="BH149" s="227"/>
      <c r="BI149" s="227"/>
      <c r="BJ149" s="227"/>
      <c r="BK149" s="227"/>
      <c r="BL149" s="227"/>
      <c r="BM149" s="227"/>
      <c r="BN149" s="227"/>
      <c r="BO149" s="227"/>
      <c r="BP149" s="227"/>
      <c r="BQ149" s="227"/>
      <c r="BR149" s="227"/>
      <c r="BS149" s="227"/>
      <c r="BT149" s="227"/>
      <c r="BU149" s="227"/>
      <c r="BV149" s="227"/>
      <c r="BW149" s="227"/>
      <c r="BX149" s="227"/>
      <c r="BY149" s="227"/>
      <c r="BZ149" s="227"/>
      <c r="CA149" s="227"/>
      <c r="CB149" s="227"/>
      <c r="CC149" s="227"/>
      <c r="CD149" s="227"/>
      <c r="CE149" s="227"/>
      <c r="CF149" s="227"/>
      <c r="CG149" s="227"/>
      <c r="CH149" s="227"/>
      <c r="CI149" s="227"/>
      <c r="CJ149" s="227"/>
      <c r="CK149" s="227"/>
      <c r="CL149" s="227"/>
      <c r="CM149" s="227"/>
      <c r="CN149" s="227"/>
      <c r="CO149" s="227"/>
      <c r="CP149" s="227"/>
      <c r="CQ149" s="227"/>
      <c r="CR149" s="227"/>
      <c r="CS149" s="227"/>
      <c r="CT149" s="227"/>
      <c r="CU149" s="225"/>
      <c r="CV149" s="227"/>
    </row>
    <row r="150" spans="1:100" ht="20.100000000000001" customHeight="1">
      <c r="A150" s="227"/>
      <c r="B150" s="225"/>
      <c r="C150" s="227"/>
      <c r="D150" s="224"/>
      <c r="E150" s="223"/>
      <c r="F150" s="223"/>
      <c r="G150" s="223"/>
      <c r="H150" s="223"/>
      <c r="I150" s="223"/>
      <c r="J150" s="223"/>
      <c r="K150" s="223"/>
      <c r="L150" s="223"/>
      <c r="M150" s="223"/>
      <c r="N150" s="223"/>
      <c r="O150" s="223"/>
      <c r="P150" s="223"/>
      <c r="Q150" s="223"/>
      <c r="R150" s="223"/>
      <c r="S150" s="223"/>
      <c r="T150" s="223"/>
      <c r="U150" s="223"/>
      <c r="V150" s="223"/>
      <c r="W150" s="223"/>
      <c r="X150" s="223"/>
      <c r="Y150" s="223"/>
      <c r="Z150" s="223"/>
      <c r="AA150" s="223"/>
      <c r="AB150" s="223"/>
      <c r="AC150" s="223"/>
      <c r="AD150" s="223"/>
      <c r="AE150" s="223"/>
      <c r="AF150" s="223"/>
      <c r="AG150" s="223"/>
      <c r="AH150" s="223"/>
      <c r="AI150" s="223"/>
      <c r="AJ150" s="223"/>
      <c r="AK150" s="223"/>
      <c r="AL150" s="223"/>
      <c r="AM150" s="223"/>
      <c r="AN150" s="223"/>
      <c r="AO150" s="223"/>
      <c r="AP150" s="223"/>
      <c r="AQ150" s="223"/>
      <c r="AR150" s="223"/>
      <c r="AS150" s="223"/>
      <c r="AT150" s="223"/>
      <c r="AU150" s="223"/>
      <c r="AV150" s="223"/>
      <c r="AW150" s="223"/>
      <c r="AX150" s="223"/>
      <c r="AY150" s="223"/>
      <c r="AZ150" s="223"/>
      <c r="BA150" s="223"/>
      <c r="BB150" s="223"/>
      <c r="BC150" s="223"/>
      <c r="BD150" s="223"/>
      <c r="BE150" s="223"/>
      <c r="BF150" s="223"/>
      <c r="BG150" s="223"/>
      <c r="BH150" s="223"/>
      <c r="BI150" s="223"/>
      <c r="BJ150" s="223"/>
      <c r="BK150" s="223"/>
      <c r="BL150" s="223"/>
      <c r="BM150" s="223"/>
      <c r="BN150" s="223"/>
      <c r="BO150" s="223"/>
      <c r="BP150" s="223"/>
      <c r="BQ150" s="227"/>
      <c r="BR150" s="227"/>
      <c r="BS150" s="227"/>
      <c r="BT150" s="227"/>
      <c r="BU150" s="227"/>
      <c r="BV150" s="227"/>
      <c r="BW150" s="227"/>
      <c r="BX150" s="227"/>
      <c r="BY150" s="227"/>
      <c r="BZ150" s="227"/>
      <c r="CA150" s="227"/>
      <c r="CB150" s="227"/>
      <c r="CC150" s="227"/>
      <c r="CD150" s="227"/>
      <c r="CE150" s="227"/>
      <c r="CF150" s="227"/>
      <c r="CG150" s="227"/>
      <c r="CH150" s="227"/>
      <c r="CI150" s="227"/>
      <c r="CJ150" s="227"/>
      <c r="CK150" s="227"/>
      <c r="CL150" s="227"/>
      <c r="CM150" s="227"/>
      <c r="CN150" s="227"/>
      <c r="CO150" s="227"/>
      <c r="CP150" s="227"/>
      <c r="CQ150" s="227"/>
      <c r="CR150" s="227"/>
      <c r="CS150" s="227"/>
      <c r="CT150" s="227"/>
      <c r="CU150" s="225"/>
      <c r="CV150" s="227"/>
    </row>
    <row r="151" spans="1:100" ht="20.100000000000001" customHeight="1">
      <c r="A151" s="227">
        <v>72</v>
      </c>
      <c r="B151" s="225"/>
      <c r="C151" s="227"/>
      <c r="D151" s="228" cm="1">
        <f t="array" ref="D151">IFERROR(
(SUMPRODUCT(E151:CU151*$E$6:$CU$6)/100) + (SUMPRODUCT(E151:CU151*$E$6:$CU$6*$E$3:$CU$3)/100),
0
)</f>
        <v>0</v>
      </c>
      <c r="E151" s="227"/>
      <c r="F151" s="227"/>
      <c r="G151" s="227"/>
      <c r="H151" s="227"/>
      <c r="I151" s="227"/>
      <c r="J151" s="227"/>
      <c r="K151" s="227"/>
      <c r="L151" s="227"/>
      <c r="M151" s="227"/>
      <c r="N151" s="227"/>
      <c r="O151" s="227"/>
      <c r="P151" s="227"/>
      <c r="Q151" s="227"/>
      <c r="R151" s="227"/>
      <c r="S151" s="227"/>
      <c r="T151" s="227"/>
      <c r="U151" s="227"/>
      <c r="V151" s="227"/>
      <c r="W151" s="227"/>
      <c r="X151" s="227"/>
      <c r="Y151" s="227"/>
      <c r="Z151" s="227"/>
      <c r="AA151" s="227"/>
      <c r="AB151" s="227"/>
      <c r="AC151" s="227"/>
      <c r="AD151" s="227"/>
      <c r="AE151" s="227"/>
      <c r="AF151" s="227"/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27"/>
      <c r="BC151" s="227"/>
      <c r="BD151" s="227"/>
      <c r="BE151" s="227"/>
      <c r="BF151" s="227"/>
      <c r="BG151" s="227"/>
      <c r="BH151" s="227"/>
      <c r="BI151" s="227"/>
      <c r="BJ151" s="227"/>
      <c r="BK151" s="227"/>
      <c r="BL151" s="227"/>
      <c r="BM151" s="227"/>
      <c r="BN151" s="227"/>
      <c r="BO151" s="227"/>
      <c r="BP151" s="227"/>
      <c r="BQ151" s="227"/>
      <c r="BR151" s="227"/>
      <c r="BS151" s="227"/>
      <c r="BT151" s="227"/>
      <c r="BU151" s="227"/>
      <c r="BV151" s="227"/>
      <c r="BW151" s="227"/>
      <c r="BX151" s="227"/>
      <c r="BY151" s="227"/>
      <c r="BZ151" s="227"/>
      <c r="CA151" s="227"/>
      <c r="CB151" s="227"/>
      <c r="CC151" s="227"/>
      <c r="CD151" s="227"/>
      <c r="CE151" s="227"/>
      <c r="CF151" s="227"/>
      <c r="CG151" s="227"/>
      <c r="CH151" s="227"/>
      <c r="CI151" s="227"/>
      <c r="CJ151" s="227"/>
      <c r="CK151" s="227"/>
      <c r="CL151" s="227"/>
      <c r="CM151" s="227"/>
      <c r="CN151" s="227"/>
      <c r="CO151" s="227"/>
      <c r="CP151" s="227"/>
      <c r="CQ151" s="227"/>
      <c r="CR151" s="227"/>
      <c r="CS151" s="227"/>
      <c r="CT151" s="227"/>
      <c r="CU151" s="225"/>
      <c r="CV151" s="227"/>
    </row>
    <row r="152" spans="1:100" ht="20.100000000000001" customHeight="1">
      <c r="A152" s="223"/>
      <c r="B152" s="225"/>
      <c r="C152" s="227"/>
      <c r="D152" s="224"/>
      <c r="E152" s="223"/>
      <c r="F152" s="223"/>
      <c r="G152" s="223"/>
      <c r="H152" s="223"/>
      <c r="I152" s="223"/>
      <c r="J152" s="223"/>
      <c r="K152" s="223"/>
      <c r="L152" s="223"/>
      <c r="M152" s="223"/>
      <c r="N152" s="223"/>
      <c r="O152" s="223"/>
      <c r="P152" s="223"/>
      <c r="Q152" s="223"/>
      <c r="R152" s="223"/>
      <c r="S152" s="223"/>
      <c r="T152" s="223"/>
      <c r="U152" s="223"/>
      <c r="V152" s="223"/>
      <c r="W152" s="223"/>
      <c r="X152" s="223"/>
      <c r="Y152" s="223"/>
      <c r="Z152" s="223"/>
      <c r="AA152" s="223"/>
      <c r="AB152" s="223"/>
      <c r="AC152" s="223"/>
      <c r="AD152" s="223"/>
      <c r="AE152" s="223"/>
      <c r="AF152" s="223"/>
      <c r="AG152" s="223"/>
      <c r="AH152" s="223"/>
      <c r="AI152" s="223"/>
      <c r="AJ152" s="223"/>
      <c r="AK152" s="223"/>
      <c r="AL152" s="223"/>
      <c r="AM152" s="223"/>
      <c r="AN152" s="223"/>
      <c r="AO152" s="223"/>
      <c r="AP152" s="223"/>
      <c r="AQ152" s="223"/>
      <c r="AR152" s="223"/>
      <c r="AS152" s="223"/>
      <c r="AT152" s="223"/>
      <c r="AU152" s="223"/>
      <c r="AV152" s="223"/>
      <c r="AW152" s="223"/>
      <c r="AX152" s="223"/>
      <c r="AY152" s="223"/>
      <c r="AZ152" s="223"/>
      <c r="BA152" s="223"/>
      <c r="BB152" s="223"/>
      <c r="BC152" s="223"/>
      <c r="BD152" s="223"/>
      <c r="BE152" s="223"/>
      <c r="BF152" s="223"/>
      <c r="BG152" s="223"/>
      <c r="BH152" s="223"/>
      <c r="BI152" s="223"/>
      <c r="BJ152" s="223"/>
      <c r="BK152" s="223"/>
      <c r="BL152" s="223"/>
      <c r="BM152" s="223"/>
      <c r="BN152" s="223"/>
      <c r="BO152" s="223"/>
      <c r="BP152" s="223"/>
      <c r="BQ152" s="227"/>
      <c r="BR152" s="227"/>
      <c r="BS152" s="227"/>
      <c r="BT152" s="227"/>
      <c r="BU152" s="227"/>
      <c r="BV152" s="227"/>
      <c r="BW152" s="227"/>
      <c r="BX152" s="227"/>
      <c r="BY152" s="227"/>
      <c r="BZ152" s="227"/>
      <c r="CA152" s="227"/>
      <c r="CB152" s="227"/>
      <c r="CC152" s="227"/>
      <c r="CD152" s="227"/>
      <c r="CE152" s="227"/>
      <c r="CF152" s="227"/>
      <c r="CG152" s="227"/>
      <c r="CH152" s="227"/>
      <c r="CI152" s="227"/>
      <c r="CJ152" s="227"/>
      <c r="CK152" s="227"/>
      <c r="CL152" s="227"/>
      <c r="CM152" s="227"/>
      <c r="CN152" s="227"/>
      <c r="CO152" s="227"/>
      <c r="CP152" s="227"/>
      <c r="CQ152" s="227"/>
      <c r="CR152" s="227"/>
      <c r="CS152" s="227"/>
      <c r="CT152" s="227"/>
      <c r="CU152" s="225"/>
      <c r="CV152" s="227"/>
    </row>
    <row r="153" spans="1:100" ht="20.100000000000001" customHeight="1">
      <c r="A153" s="227">
        <v>73</v>
      </c>
      <c r="B153" s="225"/>
      <c r="C153" s="227"/>
      <c r="D153" s="228" cm="1">
        <f t="array" ref="D153">IFERROR(
(SUMPRODUCT(E153:CU153*$E$6:$CU$6)/100) + (SUMPRODUCT(E153:CU153*$E$6:$CU$6*$E$3:$CU$3)/100),
0
)</f>
        <v>0</v>
      </c>
      <c r="E153" s="227"/>
      <c r="F153" s="227"/>
      <c r="G153" s="227"/>
      <c r="H153" s="227"/>
      <c r="I153" s="227"/>
      <c r="J153" s="227"/>
      <c r="K153" s="227"/>
      <c r="L153" s="227"/>
      <c r="M153" s="227"/>
      <c r="N153" s="227"/>
      <c r="O153" s="227"/>
      <c r="P153" s="227"/>
      <c r="Q153" s="227"/>
      <c r="R153" s="227"/>
      <c r="S153" s="227"/>
      <c r="T153" s="227"/>
      <c r="U153" s="227"/>
      <c r="V153" s="227"/>
      <c r="W153" s="227"/>
      <c r="X153" s="227"/>
      <c r="Y153" s="227"/>
      <c r="Z153" s="227"/>
      <c r="AA153" s="227"/>
      <c r="AB153" s="227"/>
      <c r="AC153" s="227"/>
      <c r="AD153" s="227"/>
      <c r="AE153" s="227"/>
      <c r="AF153" s="227"/>
      <c r="AG153" s="227"/>
      <c r="AH153" s="227"/>
      <c r="AI153" s="227"/>
      <c r="AJ153" s="227"/>
      <c r="AK153" s="227"/>
      <c r="AL153" s="227"/>
      <c r="AM153" s="227"/>
      <c r="AN153" s="227"/>
      <c r="AO153" s="227"/>
      <c r="AP153" s="227"/>
      <c r="AQ153" s="227"/>
      <c r="AR153" s="227"/>
      <c r="AS153" s="227"/>
      <c r="AT153" s="227"/>
      <c r="AU153" s="227"/>
      <c r="AV153" s="227"/>
      <c r="AW153" s="227"/>
      <c r="AX153" s="227"/>
      <c r="AY153" s="227"/>
      <c r="AZ153" s="227"/>
      <c r="BA153" s="227"/>
      <c r="BB153" s="227"/>
      <c r="BC153" s="227"/>
      <c r="BD153" s="227"/>
      <c r="BE153" s="227"/>
      <c r="BF153" s="227"/>
      <c r="BG153" s="227"/>
      <c r="BH153" s="227"/>
      <c r="BI153" s="227"/>
      <c r="BJ153" s="227"/>
      <c r="BK153" s="227"/>
      <c r="BL153" s="227"/>
      <c r="BM153" s="227"/>
      <c r="BN153" s="227"/>
      <c r="BO153" s="227"/>
      <c r="BP153" s="227"/>
      <c r="BQ153" s="227"/>
      <c r="BR153" s="227"/>
      <c r="BS153" s="227"/>
      <c r="BT153" s="227"/>
      <c r="BU153" s="227"/>
      <c r="BV153" s="227"/>
      <c r="BW153" s="227"/>
      <c r="BX153" s="227"/>
      <c r="BY153" s="227"/>
      <c r="BZ153" s="227"/>
      <c r="CA153" s="227"/>
      <c r="CB153" s="227"/>
      <c r="CC153" s="227"/>
      <c r="CD153" s="227"/>
      <c r="CE153" s="227"/>
      <c r="CF153" s="227"/>
      <c r="CG153" s="227"/>
      <c r="CH153" s="227"/>
      <c r="CI153" s="227"/>
      <c r="CJ153" s="227"/>
      <c r="CK153" s="227"/>
      <c r="CL153" s="227"/>
      <c r="CM153" s="227"/>
      <c r="CN153" s="227"/>
      <c r="CO153" s="227"/>
      <c r="CP153" s="227"/>
      <c r="CQ153" s="227"/>
      <c r="CR153" s="227"/>
      <c r="CS153" s="227"/>
      <c r="CT153" s="227"/>
      <c r="CU153" s="225"/>
      <c r="CV153" s="227"/>
    </row>
    <row r="154" spans="1:100" ht="20.100000000000001" customHeight="1">
      <c r="A154" s="227"/>
      <c r="B154" s="225"/>
      <c r="C154" s="227"/>
      <c r="D154" s="224"/>
      <c r="E154" s="223"/>
      <c r="F154" s="223"/>
      <c r="G154" s="223"/>
      <c r="H154" s="223"/>
      <c r="I154" s="223"/>
      <c r="J154" s="223"/>
      <c r="K154" s="223"/>
      <c r="L154" s="223"/>
      <c r="M154" s="223"/>
      <c r="N154" s="223"/>
      <c r="O154" s="223"/>
      <c r="P154" s="223"/>
      <c r="Q154" s="223"/>
      <c r="R154" s="223"/>
      <c r="S154" s="223"/>
      <c r="T154" s="223"/>
      <c r="U154" s="223"/>
      <c r="V154" s="223"/>
      <c r="W154" s="223"/>
      <c r="X154" s="223"/>
      <c r="Y154" s="223"/>
      <c r="Z154" s="223"/>
      <c r="AA154" s="223"/>
      <c r="AB154" s="223"/>
      <c r="AC154" s="223"/>
      <c r="AD154" s="223"/>
      <c r="AE154" s="223"/>
      <c r="AF154" s="223"/>
      <c r="AG154" s="223"/>
      <c r="AH154" s="223"/>
      <c r="AI154" s="223"/>
      <c r="AJ154" s="223"/>
      <c r="AK154" s="223"/>
      <c r="AL154" s="223"/>
      <c r="AM154" s="223"/>
      <c r="AN154" s="223"/>
      <c r="AO154" s="223"/>
      <c r="AP154" s="223"/>
      <c r="AQ154" s="223"/>
      <c r="AR154" s="223"/>
      <c r="AS154" s="223"/>
      <c r="AT154" s="223"/>
      <c r="AU154" s="223"/>
      <c r="AV154" s="223"/>
      <c r="AW154" s="223"/>
      <c r="AX154" s="223"/>
      <c r="AY154" s="223"/>
      <c r="AZ154" s="223"/>
      <c r="BA154" s="223"/>
      <c r="BB154" s="223"/>
      <c r="BC154" s="223"/>
      <c r="BD154" s="223"/>
      <c r="BE154" s="223"/>
      <c r="BF154" s="223"/>
      <c r="BG154" s="223"/>
      <c r="BH154" s="223"/>
      <c r="BI154" s="223"/>
      <c r="BJ154" s="223"/>
      <c r="BK154" s="223"/>
      <c r="BL154" s="223"/>
      <c r="BM154" s="223"/>
      <c r="BN154" s="223"/>
      <c r="BO154" s="223"/>
      <c r="BP154" s="223"/>
      <c r="BQ154" s="227"/>
      <c r="BR154" s="227"/>
      <c r="BS154" s="227"/>
      <c r="BT154" s="227"/>
      <c r="BU154" s="227"/>
      <c r="BV154" s="227"/>
      <c r="BW154" s="227"/>
      <c r="BX154" s="227"/>
      <c r="BY154" s="227"/>
      <c r="BZ154" s="227"/>
      <c r="CA154" s="227"/>
      <c r="CB154" s="227"/>
      <c r="CC154" s="227"/>
      <c r="CD154" s="227"/>
      <c r="CE154" s="227"/>
      <c r="CF154" s="227"/>
      <c r="CG154" s="227"/>
      <c r="CH154" s="227"/>
      <c r="CI154" s="227"/>
      <c r="CJ154" s="227"/>
      <c r="CK154" s="227"/>
      <c r="CL154" s="227"/>
      <c r="CM154" s="227"/>
      <c r="CN154" s="227"/>
      <c r="CO154" s="227"/>
      <c r="CP154" s="227"/>
      <c r="CQ154" s="227"/>
      <c r="CR154" s="227"/>
      <c r="CS154" s="227"/>
      <c r="CT154" s="227"/>
      <c r="CU154" s="225"/>
      <c r="CV154" s="227"/>
    </row>
    <row r="155" spans="1:100" ht="20.100000000000001" customHeight="1">
      <c r="A155" s="227">
        <v>74</v>
      </c>
      <c r="B155" s="225"/>
      <c r="C155" s="227"/>
      <c r="D155" s="228" cm="1">
        <f t="array" ref="D155">IFERROR(
(SUMPRODUCT(E155:CU155*$E$6:$CU$6)/100) + (SUMPRODUCT(E155:CU155*$E$6:$CU$6*$E$3:$CU$3)/100),
0
)</f>
        <v>0</v>
      </c>
      <c r="E155" s="227"/>
      <c r="F155" s="227"/>
      <c r="G155" s="227"/>
      <c r="H155" s="227"/>
      <c r="I155" s="227"/>
      <c r="J155" s="227"/>
      <c r="K155" s="227"/>
      <c r="L155" s="227"/>
      <c r="M155" s="227"/>
      <c r="N155" s="227"/>
      <c r="O155" s="227"/>
      <c r="P155" s="227"/>
      <c r="Q155" s="227"/>
      <c r="R155" s="227"/>
      <c r="S155" s="227"/>
      <c r="T155" s="227"/>
      <c r="U155" s="227"/>
      <c r="V155" s="227"/>
      <c r="W155" s="227"/>
      <c r="X155" s="227"/>
      <c r="Y155" s="227"/>
      <c r="Z155" s="227"/>
      <c r="AA155" s="227"/>
      <c r="AB155" s="227"/>
      <c r="AC155" s="227"/>
      <c r="AD155" s="227"/>
      <c r="AE155" s="227"/>
      <c r="AF155" s="227"/>
      <c r="AG155" s="227"/>
      <c r="AH155" s="227"/>
      <c r="AI155" s="227"/>
      <c r="AJ155" s="227"/>
      <c r="AK155" s="227"/>
      <c r="AL155" s="227"/>
      <c r="AM155" s="227"/>
      <c r="AN155" s="227"/>
      <c r="AO155" s="227"/>
      <c r="AP155" s="227"/>
      <c r="AQ155" s="227"/>
      <c r="AR155" s="227"/>
      <c r="AS155" s="227"/>
      <c r="AT155" s="227"/>
      <c r="AU155" s="227"/>
      <c r="AV155" s="227"/>
      <c r="AW155" s="227"/>
      <c r="AX155" s="227"/>
      <c r="AY155" s="227"/>
      <c r="AZ155" s="227"/>
      <c r="BA155" s="227"/>
      <c r="BB155" s="227"/>
      <c r="BC155" s="227"/>
      <c r="BD155" s="227"/>
      <c r="BE155" s="227"/>
      <c r="BF155" s="227"/>
      <c r="BG155" s="227"/>
      <c r="BH155" s="227"/>
      <c r="BI155" s="227"/>
      <c r="BJ155" s="227"/>
      <c r="BK155" s="227"/>
      <c r="BL155" s="227"/>
      <c r="BM155" s="227"/>
      <c r="BN155" s="227"/>
      <c r="BO155" s="227"/>
      <c r="BP155" s="227"/>
      <c r="BQ155" s="227"/>
      <c r="BR155" s="227"/>
      <c r="BS155" s="227"/>
      <c r="BT155" s="227"/>
      <c r="BU155" s="227"/>
      <c r="BV155" s="227"/>
      <c r="BW155" s="227"/>
      <c r="BX155" s="227"/>
      <c r="BY155" s="227"/>
      <c r="BZ155" s="227"/>
      <c r="CA155" s="227"/>
      <c r="CB155" s="227"/>
      <c r="CC155" s="227"/>
      <c r="CD155" s="227"/>
      <c r="CE155" s="227"/>
      <c r="CF155" s="227"/>
      <c r="CG155" s="227"/>
      <c r="CH155" s="227"/>
      <c r="CI155" s="227"/>
      <c r="CJ155" s="227"/>
      <c r="CK155" s="227"/>
      <c r="CL155" s="227"/>
      <c r="CM155" s="227"/>
      <c r="CN155" s="227"/>
      <c r="CO155" s="227"/>
      <c r="CP155" s="227"/>
      <c r="CQ155" s="227"/>
      <c r="CR155" s="227"/>
      <c r="CS155" s="227"/>
      <c r="CT155" s="227"/>
      <c r="CU155" s="225"/>
      <c r="CV155" s="227"/>
    </row>
    <row r="156" spans="1:100" ht="20.100000000000001" customHeight="1">
      <c r="A156" s="223"/>
      <c r="B156" s="225"/>
      <c r="C156" s="227"/>
      <c r="D156" s="224"/>
      <c r="E156" s="223"/>
      <c r="F156" s="223"/>
      <c r="G156" s="223"/>
      <c r="H156" s="223"/>
      <c r="I156" s="223"/>
      <c r="J156" s="223"/>
      <c r="K156" s="223"/>
      <c r="L156" s="223"/>
      <c r="M156" s="223"/>
      <c r="N156" s="223"/>
      <c r="O156" s="223"/>
      <c r="P156" s="223"/>
      <c r="Q156" s="223"/>
      <c r="R156" s="223"/>
      <c r="S156" s="223"/>
      <c r="T156" s="223"/>
      <c r="U156" s="223"/>
      <c r="V156" s="223"/>
      <c r="W156" s="223"/>
      <c r="X156" s="223"/>
      <c r="Y156" s="223"/>
      <c r="Z156" s="223"/>
      <c r="AA156" s="223"/>
      <c r="AB156" s="223"/>
      <c r="AC156" s="223"/>
      <c r="AD156" s="223"/>
      <c r="AE156" s="223"/>
      <c r="AF156" s="223"/>
      <c r="AG156" s="223"/>
      <c r="AH156" s="223"/>
      <c r="AI156" s="223"/>
      <c r="AJ156" s="223"/>
      <c r="AK156" s="223"/>
      <c r="AL156" s="223"/>
      <c r="AM156" s="223"/>
      <c r="AN156" s="223"/>
      <c r="AO156" s="223"/>
      <c r="AP156" s="223"/>
      <c r="AQ156" s="223"/>
      <c r="AR156" s="223"/>
      <c r="AS156" s="223"/>
      <c r="AT156" s="223"/>
      <c r="AU156" s="223"/>
      <c r="AV156" s="223"/>
      <c r="AW156" s="223"/>
      <c r="AX156" s="223"/>
      <c r="AY156" s="223"/>
      <c r="AZ156" s="223"/>
      <c r="BA156" s="223"/>
      <c r="BB156" s="223"/>
      <c r="BC156" s="223"/>
      <c r="BD156" s="223"/>
      <c r="BE156" s="223"/>
      <c r="BF156" s="223"/>
      <c r="BG156" s="223"/>
      <c r="BH156" s="223"/>
      <c r="BI156" s="223"/>
      <c r="BJ156" s="223"/>
      <c r="BK156" s="223"/>
      <c r="BL156" s="223"/>
      <c r="BM156" s="223"/>
      <c r="BN156" s="223"/>
      <c r="BO156" s="223"/>
      <c r="BP156" s="223"/>
      <c r="BQ156" s="227"/>
      <c r="BR156" s="227"/>
      <c r="BS156" s="227"/>
      <c r="BT156" s="227"/>
      <c r="BU156" s="227"/>
      <c r="BV156" s="227"/>
      <c r="BW156" s="227"/>
      <c r="BX156" s="227"/>
      <c r="BY156" s="227"/>
      <c r="BZ156" s="227"/>
      <c r="CA156" s="227"/>
      <c r="CB156" s="227"/>
      <c r="CC156" s="227"/>
      <c r="CD156" s="227"/>
      <c r="CE156" s="227"/>
      <c r="CF156" s="227"/>
      <c r="CG156" s="227"/>
      <c r="CH156" s="227"/>
      <c r="CI156" s="227"/>
      <c r="CJ156" s="227"/>
      <c r="CK156" s="227"/>
      <c r="CL156" s="227"/>
      <c r="CM156" s="227"/>
      <c r="CN156" s="227"/>
      <c r="CO156" s="227"/>
      <c r="CP156" s="227"/>
      <c r="CQ156" s="227"/>
      <c r="CR156" s="227"/>
      <c r="CS156" s="227"/>
      <c r="CT156" s="227"/>
      <c r="CU156" s="225"/>
      <c r="CV156" s="227"/>
    </row>
    <row r="157" spans="1:100" ht="20.100000000000001" customHeight="1">
      <c r="A157" s="227">
        <v>75</v>
      </c>
      <c r="B157" s="225"/>
      <c r="C157" s="227"/>
      <c r="D157" s="228" cm="1">
        <f t="array" ref="D157">IFERROR(
(SUMPRODUCT(E157:CU157*$E$6:$CU$6)/100) + (SUMPRODUCT(E157:CU157*$E$6:$CU$6*$E$3:$CU$3)/100),
0
)</f>
        <v>0</v>
      </c>
      <c r="E157" s="227"/>
      <c r="F157" s="227"/>
      <c r="G157" s="227"/>
      <c r="H157" s="227"/>
      <c r="I157" s="227"/>
      <c r="J157" s="227"/>
      <c r="K157" s="227"/>
      <c r="L157" s="227"/>
      <c r="M157" s="227"/>
      <c r="N157" s="227"/>
      <c r="O157" s="227"/>
      <c r="P157" s="227"/>
      <c r="Q157" s="227"/>
      <c r="R157" s="227"/>
      <c r="S157" s="227"/>
      <c r="T157" s="227"/>
      <c r="U157" s="227"/>
      <c r="V157" s="227"/>
      <c r="W157" s="227"/>
      <c r="X157" s="227"/>
      <c r="Y157" s="227"/>
      <c r="Z157" s="227"/>
      <c r="AA157" s="227"/>
      <c r="AB157" s="227"/>
      <c r="AC157" s="227"/>
      <c r="AD157" s="227"/>
      <c r="AE157" s="227"/>
      <c r="AF157" s="227"/>
      <c r="AG157" s="227"/>
      <c r="AH157" s="227"/>
      <c r="AI157" s="227"/>
      <c r="AJ157" s="227"/>
      <c r="AK157" s="227"/>
      <c r="AL157" s="227"/>
      <c r="AM157" s="227"/>
      <c r="AN157" s="227"/>
      <c r="AO157" s="227"/>
      <c r="AP157" s="227"/>
      <c r="AQ157" s="227"/>
      <c r="AR157" s="227"/>
      <c r="AS157" s="227"/>
      <c r="AT157" s="227"/>
      <c r="AU157" s="227"/>
      <c r="AV157" s="227"/>
      <c r="AW157" s="227"/>
      <c r="AX157" s="227"/>
      <c r="AY157" s="227"/>
      <c r="AZ157" s="227"/>
      <c r="BA157" s="227"/>
      <c r="BB157" s="227"/>
      <c r="BC157" s="227"/>
      <c r="BD157" s="227"/>
      <c r="BE157" s="227"/>
      <c r="BF157" s="227"/>
      <c r="BG157" s="227"/>
      <c r="BH157" s="227"/>
      <c r="BI157" s="227"/>
      <c r="BJ157" s="227"/>
      <c r="BK157" s="227"/>
      <c r="BL157" s="227"/>
      <c r="BM157" s="227"/>
      <c r="BN157" s="227"/>
      <c r="BO157" s="227"/>
      <c r="BP157" s="227"/>
      <c r="BQ157" s="227"/>
      <c r="BR157" s="227"/>
      <c r="BS157" s="227"/>
      <c r="BT157" s="227"/>
      <c r="BU157" s="227"/>
      <c r="BV157" s="227"/>
      <c r="BW157" s="227"/>
      <c r="BX157" s="227"/>
      <c r="BY157" s="227"/>
      <c r="BZ157" s="227"/>
      <c r="CA157" s="227"/>
      <c r="CB157" s="227"/>
      <c r="CC157" s="227"/>
      <c r="CD157" s="227"/>
      <c r="CE157" s="227"/>
      <c r="CF157" s="227"/>
      <c r="CG157" s="227"/>
      <c r="CH157" s="227"/>
      <c r="CI157" s="227"/>
      <c r="CJ157" s="227"/>
      <c r="CK157" s="227"/>
      <c r="CL157" s="227"/>
      <c r="CM157" s="227"/>
      <c r="CN157" s="227"/>
      <c r="CO157" s="227"/>
      <c r="CP157" s="227"/>
      <c r="CQ157" s="227"/>
      <c r="CR157" s="227"/>
      <c r="CS157" s="227"/>
      <c r="CT157" s="227"/>
      <c r="CU157" s="225"/>
      <c r="CV157" s="227"/>
    </row>
    <row r="158" spans="1:100" ht="20.100000000000001" customHeight="1">
      <c r="A158" s="227"/>
      <c r="B158" s="225"/>
      <c r="C158" s="227"/>
      <c r="D158" s="224"/>
      <c r="E158" s="223"/>
      <c r="F158" s="223"/>
      <c r="G158" s="223"/>
      <c r="H158" s="223"/>
      <c r="I158" s="223"/>
      <c r="J158" s="223"/>
      <c r="K158" s="223"/>
      <c r="L158" s="223"/>
      <c r="M158" s="223"/>
      <c r="N158" s="223"/>
      <c r="O158" s="223"/>
      <c r="P158" s="223"/>
      <c r="Q158" s="223"/>
      <c r="R158" s="223"/>
      <c r="S158" s="223"/>
      <c r="T158" s="223"/>
      <c r="U158" s="223"/>
      <c r="V158" s="223"/>
      <c r="W158" s="223"/>
      <c r="X158" s="223"/>
      <c r="Y158" s="223"/>
      <c r="Z158" s="223"/>
      <c r="AA158" s="223"/>
      <c r="AB158" s="223"/>
      <c r="AC158" s="223"/>
      <c r="AD158" s="223"/>
      <c r="AE158" s="223"/>
      <c r="AF158" s="223"/>
      <c r="AG158" s="223"/>
      <c r="AH158" s="223"/>
      <c r="AI158" s="223"/>
      <c r="AJ158" s="223"/>
      <c r="AK158" s="223"/>
      <c r="AL158" s="223"/>
      <c r="AM158" s="223"/>
      <c r="AN158" s="223"/>
      <c r="AO158" s="223"/>
      <c r="AP158" s="223"/>
      <c r="AQ158" s="223"/>
      <c r="AR158" s="223"/>
      <c r="AS158" s="223"/>
      <c r="AT158" s="223"/>
      <c r="AU158" s="223"/>
      <c r="AV158" s="223"/>
      <c r="AW158" s="223"/>
      <c r="AX158" s="223"/>
      <c r="AY158" s="223"/>
      <c r="AZ158" s="223"/>
      <c r="BA158" s="223"/>
      <c r="BB158" s="223"/>
      <c r="BC158" s="223"/>
      <c r="BD158" s="223"/>
      <c r="BE158" s="223"/>
      <c r="BF158" s="223"/>
      <c r="BG158" s="223"/>
      <c r="BH158" s="223"/>
      <c r="BI158" s="223"/>
      <c r="BJ158" s="223"/>
      <c r="BK158" s="223"/>
      <c r="BL158" s="223"/>
      <c r="BM158" s="223"/>
      <c r="BN158" s="223"/>
      <c r="BO158" s="223"/>
      <c r="BP158" s="223"/>
      <c r="BQ158" s="227"/>
      <c r="BR158" s="227"/>
      <c r="BS158" s="227"/>
      <c r="BT158" s="227"/>
      <c r="BU158" s="227"/>
      <c r="BV158" s="227"/>
      <c r="BW158" s="227"/>
      <c r="BX158" s="227"/>
      <c r="BY158" s="227"/>
      <c r="BZ158" s="227"/>
      <c r="CA158" s="227"/>
      <c r="CB158" s="227"/>
      <c r="CC158" s="227"/>
      <c r="CD158" s="227"/>
      <c r="CE158" s="227"/>
      <c r="CF158" s="227"/>
      <c r="CG158" s="227"/>
      <c r="CH158" s="227"/>
      <c r="CI158" s="227"/>
      <c r="CJ158" s="227"/>
      <c r="CK158" s="227"/>
      <c r="CL158" s="227"/>
      <c r="CM158" s="227"/>
      <c r="CN158" s="227"/>
      <c r="CO158" s="227"/>
      <c r="CP158" s="227"/>
      <c r="CQ158" s="227"/>
      <c r="CR158" s="227"/>
      <c r="CS158" s="227"/>
      <c r="CT158" s="227"/>
      <c r="CU158" s="225"/>
      <c r="CV158" s="227"/>
    </row>
    <row r="159" spans="1:100" ht="20.100000000000001" customHeight="1">
      <c r="A159" s="227">
        <v>76</v>
      </c>
      <c r="B159" s="225"/>
      <c r="C159" s="227"/>
      <c r="D159" s="228" cm="1">
        <f t="array" ref="D159">IFERROR(
(SUMPRODUCT(E159:CU159*$E$6:$CU$6)/100) + (SUMPRODUCT(E159:CU159*$E$6:$CU$6*$E$3:$CU$3)/100),
0
)</f>
        <v>0</v>
      </c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7"/>
      <c r="Y159" s="227"/>
      <c r="Z159" s="227"/>
      <c r="AA159" s="227"/>
      <c r="AB159" s="227"/>
      <c r="AC159" s="227"/>
      <c r="AD159" s="227"/>
      <c r="AE159" s="227"/>
      <c r="AF159" s="227"/>
      <c r="AG159" s="227"/>
      <c r="AH159" s="227"/>
      <c r="AI159" s="227"/>
      <c r="AJ159" s="227"/>
      <c r="AK159" s="227"/>
      <c r="AL159" s="227"/>
      <c r="AM159" s="227"/>
      <c r="AN159" s="227"/>
      <c r="AO159" s="227"/>
      <c r="AP159" s="227"/>
      <c r="AQ159" s="227"/>
      <c r="AR159" s="227"/>
      <c r="AS159" s="227"/>
      <c r="AT159" s="227"/>
      <c r="AU159" s="227"/>
      <c r="AV159" s="227"/>
      <c r="AW159" s="227"/>
      <c r="AX159" s="227"/>
      <c r="AY159" s="227"/>
      <c r="AZ159" s="227"/>
      <c r="BA159" s="227"/>
      <c r="BB159" s="227"/>
      <c r="BC159" s="227"/>
      <c r="BD159" s="227"/>
      <c r="BE159" s="227"/>
      <c r="BF159" s="227"/>
      <c r="BG159" s="227"/>
      <c r="BH159" s="227"/>
      <c r="BI159" s="227"/>
      <c r="BJ159" s="227"/>
      <c r="BK159" s="227"/>
      <c r="BL159" s="227"/>
      <c r="BM159" s="227"/>
      <c r="BN159" s="227"/>
      <c r="BO159" s="227"/>
      <c r="BP159" s="227"/>
      <c r="BQ159" s="227"/>
      <c r="BR159" s="227"/>
      <c r="BS159" s="227"/>
      <c r="BT159" s="227"/>
      <c r="BU159" s="227"/>
      <c r="BV159" s="227"/>
      <c r="BW159" s="227"/>
      <c r="BX159" s="227"/>
      <c r="BY159" s="227"/>
      <c r="BZ159" s="227"/>
      <c r="CA159" s="227"/>
      <c r="CB159" s="227"/>
      <c r="CC159" s="227"/>
      <c r="CD159" s="227"/>
      <c r="CE159" s="227"/>
      <c r="CF159" s="227"/>
      <c r="CG159" s="227"/>
      <c r="CH159" s="227"/>
      <c r="CI159" s="227"/>
      <c r="CJ159" s="227"/>
      <c r="CK159" s="227"/>
      <c r="CL159" s="227"/>
      <c r="CM159" s="227"/>
      <c r="CN159" s="227"/>
      <c r="CO159" s="227"/>
      <c r="CP159" s="227"/>
      <c r="CQ159" s="227"/>
      <c r="CR159" s="227"/>
      <c r="CS159" s="227"/>
      <c r="CT159" s="227"/>
      <c r="CU159" s="225"/>
      <c r="CV159" s="227"/>
    </row>
    <row r="160" spans="1:100" ht="20.100000000000001" customHeight="1">
      <c r="A160" s="223"/>
      <c r="B160" s="225"/>
      <c r="C160" s="227"/>
      <c r="D160" s="224"/>
      <c r="E160" s="223"/>
      <c r="F160" s="223"/>
      <c r="G160" s="223"/>
      <c r="H160" s="223"/>
      <c r="I160" s="223"/>
      <c r="J160" s="223"/>
      <c r="K160" s="223"/>
      <c r="L160" s="223"/>
      <c r="M160" s="223"/>
      <c r="N160" s="223"/>
      <c r="O160" s="223"/>
      <c r="P160" s="223"/>
      <c r="Q160" s="223"/>
      <c r="R160" s="223"/>
      <c r="S160" s="223"/>
      <c r="T160" s="223"/>
      <c r="U160" s="223"/>
      <c r="V160" s="223"/>
      <c r="W160" s="223"/>
      <c r="X160" s="223"/>
      <c r="Y160" s="223"/>
      <c r="Z160" s="223"/>
      <c r="AA160" s="223"/>
      <c r="AB160" s="223"/>
      <c r="AC160" s="223"/>
      <c r="AD160" s="223"/>
      <c r="AE160" s="223"/>
      <c r="AF160" s="223"/>
      <c r="AG160" s="223"/>
      <c r="AH160" s="223"/>
      <c r="AI160" s="223"/>
      <c r="AJ160" s="223"/>
      <c r="AK160" s="223"/>
      <c r="AL160" s="223"/>
      <c r="AM160" s="223"/>
      <c r="AN160" s="223"/>
      <c r="AO160" s="223"/>
      <c r="AP160" s="223"/>
      <c r="AQ160" s="223"/>
      <c r="AR160" s="223"/>
      <c r="AS160" s="223"/>
      <c r="AT160" s="223"/>
      <c r="AU160" s="223"/>
      <c r="AV160" s="223"/>
      <c r="AW160" s="223"/>
      <c r="AX160" s="223"/>
      <c r="AY160" s="223"/>
      <c r="AZ160" s="223"/>
      <c r="BA160" s="223"/>
      <c r="BB160" s="223"/>
      <c r="BC160" s="223"/>
      <c r="BD160" s="223"/>
      <c r="BE160" s="223"/>
      <c r="BF160" s="223"/>
      <c r="BG160" s="223"/>
      <c r="BH160" s="223"/>
      <c r="BI160" s="223"/>
      <c r="BJ160" s="223"/>
      <c r="BK160" s="223"/>
      <c r="BL160" s="223"/>
      <c r="BM160" s="223"/>
      <c r="BN160" s="223"/>
      <c r="BO160" s="223"/>
      <c r="BP160" s="223"/>
      <c r="BQ160" s="227"/>
      <c r="BR160" s="227"/>
      <c r="BS160" s="227"/>
      <c r="BT160" s="227"/>
      <c r="BU160" s="227"/>
      <c r="BV160" s="227"/>
      <c r="BW160" s="227"/>
      <c r="BX160" s="227"/>
      <c r="BY160" s="227"/>
      <c r="BZ160" s="227"/>
      <c r="CA160" s="227"/>
      <c r="CB160" s="227"/>
      <c r="CC160" s="227"/>
      <c r="CD160" s="227"/>
      <c r="CE160" s="227"/>
      <c r="CF160" s="227"/>
      <c r="CG160" s="227"/>
      <c r="CH160" s="227"/>
      <c r="CI160" s="227"/>
      <c r="CJ160" s="227"/>
      <c r="CK160" s="227"/>
      <c r="CL160" s="227"/>
      <c r="CM160" s="227"/>
      <c r="CN160" s="227"/>
      <c r="CO160" s="227"/>
      <c r="CP160" s="227"/>
      <c r="CQ160" s="227"/>
      <c r="CR160" s="227"/>
      <c r="CS160" s="227"/>
      <c r="CT160" s="227"/>
      <c r="CU160" s="225"/>
      <c r="CV160" s="227"/>
    </row>
    <row r="161" spans="1:100" ht="20.100000000000001" customHeight="1">
      <c r="A161" s="227">
        <v>77</v>
      </c>
      <c r="B161" s="225"/>
      <c r="C161" s="227"/>
      <c r="D161" s="228" cm="1">
        <f t="array" ref="D161">IFERROR(
(SUMPRODUCT(E161:CU161*$E$6:$CU$6)/100) + (SUMPRODUCT(E161:CU161*$E$6:$CU$6*$E$3:$CU$3)/100),
0
)</f>
        <v>0</v>
      </c>
      <c r="E161" s="227"/>
      <c r="F161" s="227"/>
      <c r="G161" s="227"/>
      <c r="H161" s="227"/>
      <c r="I161" s="227"/>
      <c r="J161" s="227"/>
      <c r="K161" s="227"/>
      <c r="L161" s="227"/>
      <c r="M161" s="227"/>
      <c r="N161" s="227"/>
      <c r="O161" s="227"/>
      <c r="P161" s="227"/>
      <c r="Q161" s="227"/>
      <c r="R161" s="227"/>
      <c r="S161" s="227"/>
      <c r="T161" s="227"/>
      <c r="U161" s="227"/>
      <c r="V161" s="227"/>
      <c r="W161" s="227"/>
      <c r="X161" s="227"/>
      <c r="Y161" s="227"/>
      <c r="Z161" s="227"/>
      <c r="AA161" s="227"/>
      <c r="AB161" s="227"/>
      <c r="AC161" s="227"/>
      <c r="AD161" s="227"/>
      <c r="AE161" s="227"/>
      <c r="AF161" s="227"/>
      <c r="AG161" s="227"/>
      <c r="AH161" s="227"/>
      <c r="AI161" s="227"/>
      <c r="AJ161" s="227"/>
      <c r="AK161" s="227"/>
      <c r="AL161" s="227"/>
      <c r="AM161" s="227"/>
      <c r="AN161" s="227"/>
      <c r="AO161" s="227"/>
      <c r="AP161" s="227"/>
      <c r="AQ161" s="227"/>
      <c r="AR161" s="227"/>
      <c r="AS161" s="227"/>
      <c r="AT161" s="227"/>
      <c r="AU161" s="227"/>
      <c r="AV161" s="227"/>
      <c r="AW161" s="227"/>
      <c r="AX161" s="227"/>
      <c r="AY161" s="227"/>
      <c r="AZ161" s="227"/>
      <c r="BA161" s="227"/>
      <c r="BB161" s="227"/>
      <c r="BC161" s="227"/>
      <c r="BD161" s="227"/>
      <c r="BE161" s="227"/>
      <c r="BF161" s="227"/>
      <c r="BG161" s="227"/>
      <c r="BH161" s="227"/>
      <c r="BI161" s="227"/>
      <c r="BJ161" s="227"/>
      <c r="BK161" s="227"/>
      <c r="BL161" s="227"/>
      <c r="BM161" s="227"/>
      <c r="BN161" s="227"/>
      <c r="BO161" s="227"/>
      <c r="BP161" s="227"/>
      <c r="BQ161" s="227"/>
      <c r="BR161" s="227"/>
      <c r="BS161" s="227"/>
      <c r="BT161" s="227"/>
      <c r="BU161" s="227"/>
      <c r="BV161" s="227"/>
      <c r="BW161" s="227"/>
      <c r="BX161" s="227"/>
      <c r="BY161" s="227"/>
      <c r="BZ161" s="227"/>
      <c r="CA161" s="227"/>
      <c r="CB161" s="227"/>
      <c r="CC161" s="227"/>
      <c r="CD161" s="227"/>
      <c r="CE161" s="227"/>
      <c r="CF161" s="227"/>
      <c r="CG161" s="227"/>
      <c r="CH161" s="227"/>
      <c r="CI161" s="227"/>
      <c r="CJ161" s="227"/>
      <c r="CK161" s="227"/>
      <c r="CL161" s="227"/>
      <c r="CM161" s="227"/>
      <c r="CN161" s="227"/>
      <c r="CO161" s="227"/>
      <c r="CP161" s="227"/>
      <c r="CQ161" s="227"/>
      <c r="CR161" s="227"/>
      <c r="CS161" s="227"/>
      <c r="CT161" s="227"/>
      <c r="CU161" s="225"/>
      <c r="CV161" s="227"/>
    </row>
    <row r="162" spans="1:100" ht="20.100000000000001" customHeight="1">
      <c r="A162" s="227"/>
      <c r="B162" s="225"/>
      <c r="C162" s="227"/>
      <c r="D162" s="224"/>
      <c r="E162" s="223"/>
      <c r="F162" s="223"/>
      <c r="G162" s="223"/>
      <c r="H162" s="223"/>
      <c r="I162" s="223"/>
      <c r="J162" s="223"/>
      <c r="K162" s="223"/>
      <c r="L162" s="223"/>
      <c r="M162" s="223"/>
      <c r="N162" s="223"/>
      <c r="O162" s="223"/>
      <c r="P162" s="223"/>
      <c r="Q162" s="223"/>
      <c r="R162" s="223"/>
      <c r="S162" s="223"/>
      <c r="T162" s="223"/>
      <c r="U162" s="223"/>
      <c r="V162" s="223"/>
      <c r="W162" s="223"/>
      <c r="X162" s="223"/>
      <c r="Y162" s="223"/>
      <c r="Z162" s="223"/>
      <c r="AA162" s="223"/>
      <c r="AB162" s="223"/>
      <c r="AC162" s="223"/>
      <c r="AD162" s="223"/>
      <c r="AE162" s="223"/>
      <c r="AF162" s="223"/>
      <c r="AG162" s="223"/>
      <c r="AH162" s="223"/>
      <c r="AI162" s="223"/>
      <c r="AJ162" s="223"/>
      <c r="AK162" s="223"/>
      <c r="AL162" s="223"/>
      <c r="AM162" s="223"/>
      <c r="AN162" s="223"/>
      <c r="AO162" s="223"/>
      <c r="AP162" s="223"/>
      <c r="AQ162" s="223"/>
      <c r="AR162" s="223"/>
      <c r="AS162" s="223"/>
      <c r="AT162" s="223"/>
      <c r="AU162" s="223"/>
      <c r="AV162" s="223"/>
      <c r="AW162" s="223"/>
      <c r="AX162" s="223"/>
      <c r="AY162" s="223"/>
      <c r="AZ162" s="223"/>
      <c r="BA162" s="223"/>
      <c r="BB162" s="223"/>
      <c r="BC162" s="223"/>
      <c r="BD162" s="223"/>
      <c r="BE162" s="223"/>
      <c r="BF162" s="223"/>
      <c r="BG162" s="223"/>
      <c r="BH162" s="223"/>
      <c r="BI162" s="223"/>
      <c r="BJ162" s="223"/>
      <c r="BK162" s="223"/>
      <c r="BL162" s="223"/>
      <c r="BM162" s="223"/>
      <c r="BN162" s="223"/>
      <c r="BO162" s="223"/>
      <c r="BP162" s="223"/>
      <c r="BQ162" s="227"/>
      <c r="BR162" s="227"/>
      <c r="BS162" s="227"/>
      <c r="BT162" s="227"/>
      <c r="BU162" s="227"/>
      <c r="BV162" s="227"/>
      <c r="BW162" s="227"/>
      <c r="BX162" s="227"/>
      <c r="BY162" s="227"/>
      <c r="BZ162" s="227"/>
      <c r="CA162" s="227"/>
      <c r="CB162" s="227"/>
      <c r="CC162" s="227"/>
      <c r="CD162" s="227"/>
      <c r="CE162" s="227"/>
      <c r="CF162" s="227"/>
      <c r="CG162" s="227"/>
      <c r="CH162" s="227"/>
      <c r="CI162" s="227"/>
      <c r="CJ162" s="227"/>
      <c r="CK162" s="227"/>
      <c r="CL162" s="227"/>
      <c r="CM162" s="227"/>
      <c r="CN162" s="227"/>
      <c r="CO162" s="227"/>
      <c r="CP162" s="227"/>
      <c r="CQ162" s="227"/>
      <c r="CR162" s="227"/>
      <c r="CS162" s="227"/>
      <c r="CT162" s="227"/>
      <c r="CU162" s="225"/>
      <c r="CV162" s="227"/>
    </row>
    <row r="163" spans="1:100" ht="20.100000000000001" customHeight="1">
      <c r="A163" s="227">
        <v>78</v>
      </c>
      <c r="B163" s="225"/>
      <c r="C163" s="227"/>
      <c r="D163" s="228" cm="1">
        <f t="array" ref="D163">IFERROR(
(SUMPRODUCT(E163:CU163*$E$6:$CU$6)/100) + (SUMPRODUCT(E163:CU163*$E$6:$CU$6*$E$3:$CU$3)/100),
0
)</f>
        <v>0</v>
      </c>
      <c r="E163" s="227"/>
      <c r="F163" s="227"/>
      <c r="G163" s="227"/>
      <c r="H163" s="227"/>
      <c r="I163" s="227"/>
      <c r="J163" s="227"/>
      <c r="K163" s="227"/>
      <c r="L163" s="227"/>
      <c r="M163" s="227"/>
      <c r="N163" s="227"/>
      <c r="O163" s="227"/>
      <c r="P163" s="227"/>
      <c r="Q163" s="227"/>
      <c r="R163" s="227"/>
      <c r="S163" s="227"/>
      <c r="T163" s="227"/>
      <c r="U163" s="227"/>
      <c r="V163" s="227"/>
      <c r="W163" s="227"/>
      <c r="X163" s="227"/>
      <c r="Y163" s="227"/>
      <c r="Z163" s="227"/>
      <c r="AA163" s="227"/>
      <c r="AB163" s="227"/>
      <c r="AC163" s="227"/>
      <c r="AD163" s="227"/>
      <c r="AE163" s="227"/>
      <c r="AF163" s="227"/>
      <c r="AG163" s="227"/>
      <c r="AH163" s="227"/>
      <c r="AI163" s="227"/>
      <c r="AJ163" s="227"/>
      <c r="AK163" s="227"/>
      <c r="AL163" s="227"/>
      <c r="AM163" s="227"/>
      <c r="AN163" s="227"/>
      <c r="AO163" s="227"/>
      <c r="AP163" s="227"/>
      <c r="AQ163" s="227"/>
      <c r="AR163" s="227"/>
      <c r="AS163" s="227"/>
      <c r="AT163" s="227"/>
      <c r="AU163" s="227"/>
      <c r="AV163" s="227"/>
      <c r="AW163" s="227"/>
      <c r="AX163" s="227"/>
      <c r="AY163" s="227"/>
      <c r="AZ163" s="227"/>
      <c r="BA163" s="227"/>
      <c r="BB163" s="227"/>
      <c r="BC163" s="227"/>
      <c r="BD163" s="227"/>
      <c r="BE163" s="227"/>
      <c r="BF163" s="227"/>
      <c r="BG163" s="227"/>
      <c r="BH163" s="227"/>
      <c r="BI163" s="227"/>
      <c r="BJ163" s="227"/>
      <c r="BK163" s="227"/>
      <c r="BL163" s="227"/>
      <c r="BM163" s="227"/>
      <c r="BN163" s="227"/>
      <c r="BO163" s="227"/>
      <c r="BP163" s="227"/>
      <c r="BQ163" s="227"/>
      <c r="BR163" s="227"/>
      <c r="BS163" s="227"/>
      <c r="BT163" s="227"/>
      <c r="BU163" s="227"/>
      <c r="BV163" s="227"/>
      <c r="BW163" s="227"/>
      <c r="BX163" s="227"/>
      <c r="BY163" s="227"/>
      <c r="BZ163" s="227"/>
      <c r="CA163" s="227"/>
      <c r="CB163" s="227"/>
      <c r="CC163" s="227"/>
      <c r="CD163" s="227"/>
      <c r="CE163" s="227"/>
      <c r="CF163" s="227"/>
      <c r="CG163" s="227"/>
      <c r="CH163" s="227"/>
      <c r="CI163" s="227"/>
      <c r="CJ163" s="227"/>
      <c r="CK163" s="227"/>
      <c r="CL163" s="227"/>
      <c r="CM163" s="227"/>
      <c r="CN163" s="227"/>
      <c r="CO163" s="227"/>
      <c r="CP163" s="227"/>
      <c r="CQ163" s="227"/>
      <c r="CR163" s="227"/>
      <c r="CS163" s="227"/>
      <c r="CT163" s="227"/>
      <c r="CU163" s="225"/>
      <c r="CV163" s="227"/>
    </row>
    <row r="164" spans="1:100" ht="20.100000000000001" customHeight="1">
      <c r="A164" s="223"/>
      <c r="B164" s="225"/>
      <c r="C164" s="227"/>
      <c r="D164" s="224"/>
      <c r="E164" s="223"/>
      <c r="F164" s="223"/>
      <c r="G164" s="223"/>
      <c r="H164" s="223"/>
      <c r="I164" s="223"/>
      <c r="J164" s="223"/>
      <c r="K164" s="223"/>
      <c r="L164" s="223"/>
      <c r="M164" s="223"/>
      <c r="N164" s="223"/>
      <c r="O164" s="223"/>
      <c r="P164" s="223"/>
      <c r="Q164" s="223"/>
      <c r="R164" s="223"/>
      <c r="S164" s="223"/>
      <c r="T164" s="223"/>
      <c r="U164" s="223"/>
      <c r="V164" s="223"/>
      <c r="W164" s="223"/>
      <c r="X164" s="223"/>
      <c r="Y164" s="223"/>
      <c r="Z164" s="223"/>
      <c r="AA164" s="223"/>
      <c r="AB164" s="223"/>
      <c r="AC164" s="223"/>
      <c r="AD164" s="223"/>
      <c r="AE164" s="223"/>
      <c r="AF164" s="223"/>
      <c r="AG164" s="223"/>
      <c r="AH164" s="223"/>
      <c r="AI164" s="223"/>
      <c r="AJ164" s="223"/>
      <c r="AK164" s="223"/>
      <c r="AL164" s="223"/>
      <c r="AM164" s="223"/>
      <c r="AN164" s="223"/>
      <c r="AO164" s="223"/>
      <c r="AP164" s="223"/>
      <c r="AQ164" s="223"/>
      <c r="AR164" s="223"/>
      <c r="AS164" s="223"/>
      <c r="AT164" s="223"/>
      <c r="AU164" s="223"/>
      <c r="AV164" s="223"/>
      <c r="AW164" s="223"/>
      <c r="AX164" s="223"/>
      <c r="AY164" s="223"/>
      <c r="AZ164" s="223"/>
      <c r="BA164" s="223"/>
      <c r="BB164" s="223"/>
      <c r="BC164" s="223"/>
      <c r="BD164" s="223"/>
      <c r="BE164" s="223"/>
      <c r="BF164" s="223"/>
      <c r="BG164" s="223"/>
      <c r="BH164" s="223"/>
      <c r="BI164" s="223"/>
      <c r="BJ164" s="223"/>
      <c r="BK164" s="223"/>
      <c r="BL164" s="223"/>
      <c r="BM164" s="223"/>
      <c r="BN164" s="223"/>
      <c r="BO164" s="223"/>
      <c r="BP164" s="223"/>
      <c r="BQ164" s="227"/>
      <c r="BR164" s="227"/>
      <c r="BS164" s="227"/>
      <c r="BT164" s="227"/>
      <c r="BU164" s="227"/>
      <c r="BV164" s="227"/>
      <c r="BW164" s="227"/>
      <c r="BX164" s="227"/>
      <c r="BY164" s="227"/>
      <c r="BZ164" s="227"/>
      <c r="CA164" s="227"/>
      <c r="CB164" s="227"/>
      <c r="CC164" s="227"/>
      <c r="CD164" s="227"/>
      <c r="CE164" s="227"/>
      <c r="CF164" s="227"/>
      <c r="CG164" s="227"/>
      <c r="CH164" s="227"/>
      <c r="CI164" s="227"/>
      <c r="CJ164" s="227"/>
      <c r="CK164" s="227"/>
      <c r="CL164" s="227"/>
      <c r="CM164" s="227"/>
      <c r="CN164" s="227"/>
      <c r="CO164" s="227"/>
      <c r="CP164" s="227"/>
      <c r="CQ164" s="227"/>
      <c r="CR164" s="227"/>
      <c r="CS164" s="227"/>
      <c r="CT164" s="227"/>
      <c r="CU164" s="225"/>
      <c r="CV164" s="227"/>
    </row>
    <row r="165" spans="1:100" ht="20.100000000000001" customHeight="1">
      <c r="A165" s="227">
        <v>79</v>
      </c>
      <c r="B165" s="225"/>
      <c r="C165" s="227"/>
      <c r="D165" s="228" cm="1">
        <f t="array" ref="D165">IFERROR(
(SUMPRODUCT(E165:CU165*$E$6:$CU$6)/100) + (SUMPRODUCT(E165:CU165*$E$6:$CU$6*$E$3:$CU$3)/100),
0
)</f>
        <v>0</v>
      </c>
      <c r="E165" s="227"/>
      <c r="F165" s="227"/>
      <c r="G165" s="227"/>
      <c r="H165" s="227"/>
      <c r="I165" s="227"/>
      <c r="J165" s="227"/>
      <c r="K165" s="227"/>
      <c r="L165" s="227"/>
      <c r="M165" s="227"/>
      <c r="N165" s="227"/>
      <c r="O165" s="227"/>
      <c r="P165" s="227"/>
      <c r="Q165" s="227"/>
      <c r="R165" s="227"/>
      <c r="S165" s="227"/>
      <c r="T165" s="227"/>
      <c r="U165" s="227"/>
      <c r="V165" s="227"/>
      <c r="W165" s="227"/>
      <c r="X165" s="227"/>
      <c r="Y165" s="227"/>
      <c r="Z165" s="227"/>
      <c r="AA165" s="227"/>
      <c r="AB165" s="227"/>
      <c r="AC165" s="227"/>
      <c r="AD165" s="227"/>
      <c r="AE165" s="227"/>
      <c r="AF165" s="227"/>
      <c r="AG165" s="227"/>
      <c r="AH165" s="227"/>
      <c r="AI165" s="227"/>
      <c r="AJ165" s="227"/>
      <c r="AK165" s="227"/>
      <c r="AL165" s="227"/>
      <c r="AM165" s="227"/>
      <c r="AN165" s="227"/>
      <c r="AO165" s="227"/>
      <c r="AP165" s="227"/>
      <c r="AQ165" s="227"/>
      <c r="AR165" s="227"/>
      <c r="AS165" s="227"/>
      <c r="AT165" s="227"/>
      <c r="AU165" s="227"/>
      <c r="AV165" s="227"/>
      <c r="AW165" s="227"/>
      <c r="AX165" s="227"/>
      <c r="AY165" s="227"/>
      <c r="AZ165" s="227"/>
      <c r="BA165" s="227"/>
      <c r="BB165" s="227"/>
      <c r="BC165" s="227"/>
      <c r="BD165" s="227"/>
      <c r="BE165" s="227"/>
      <c r="BF165" s="227"/>
      <c r="BG165" s="227"/>
      <c r="BH165" s="227"/>
      <c r="BI165" s="227"/>
      <c r="BJ165" s="227"/>
      <c r="BK165" s="227"/>
      <c r="BL165" s="227"/>
      <c r="BM165" s="227"/>
      <c r="BN165" s="227"/>
      <c r="BO165" s="227"/>
      <c r="BP165" s="227"/>
      <c r="BQ165" s="227"/>
      <c r="BR165" s="227"/>
      <c r="BS165" s="227"/>
      <c r="BT165" s="227"/>
      <c r="BU165" s="227"/>
      <c r="BV165" s="227"/>
      <c r="BW165" s="227"/>
      <c r="BX165" s="227"/>
      <c r="BY165" s="227"/>
      <c r="BZ165" s="227"/>
      <c r="CA165" s="227"/>
      <c r="CB165" s="227"/>
      <c r="CC165" s="227"/>
      <c r="CD165" s="227"/>
      <c r="CE165" s="227"/>
      <c r="CF165" s="227"/>
      <c r="CG165" s="227"/>
      <c r="CH165" s="227"/>
      <c r="CI165" s="227"/>
      <c r="CJ165" s="227"/>
      <c r="CK165" s="227"/>
      <c r="CL165" s="227"/>
      <c r="CM165" s="227"/>
      <c r="CN165" s="227"/>
      <c r="CO165" s="227"/>
      <c r="CP165" s="227"/>
      <c r="CQ165" s="227"/>
      <c r="CR165" s="227"/>
      <c r="CS165" s="227"/>
      <c r="CT165" s="227"/>
      <c r="CU165" s="225"/>
      <c r="CV165" s="227"/>
    </row>
    <row r="166" spans="1:100" ht="20.100000000000001" customHeight="1">
      <c r="A166" s="227"/>
      <c r="B166" s="225"/>
      <c r="C166" s="227"/>
      <c r="D166" s="224"/>
      <c r="E166" s="223"/>
      <c r="F166" s="223"/>
      <c r="G166" s="223"/>
      <c r="H166" s="223"/>
      <c r="I166" s="223"/>
      <c r="J166" s="223"/>
      <c r="K166" s="223"/>
      <c r="L166" s="223"/>
      <c r="M166" s="223"/>
      <c r="N166" s="223"/>
      <c r="O166" s="223"/>
      <c r="P166" s="223"/>
      <c r="Q166" s="223"/>
      <c r="R166" s="223"/>
      <c r="S166" s="223"/>
      <c r="T166" s="223"/>
      <c r="U166" s="223"/>
      <c r="V166" s="223"/>
      <c r="W166" s="223"/>
      <c r="X166" s="223"/>
      <c r="Y166" s="223"/>
      <c r="Z166" s="223"/>
      <c r="AA166" s="223"/>
      <c r="AB166" s="223"/>
      <c r="AC166" s="223"/>
      <c r="AD166" s="223"/>
      <c r="AE166" s="223"/>
      <c r="AF166" s="223"/>
      <c r="AG166" s="223"/>
      <c r="AH166" s="223"/>
      <c r="AI166" s="223"/>
      <c r="AJ166" s="223"/>
      <c r="AK166" s="223"/>
      <c r="AL166" s="223"/>
      <c r="AM166" s="223"/>
      <c r="AN166" s="223"/>
      <c r="AO166" s="223"/>
      <c r="AP166" s="223"/>
      <c r="AQ166" s="223"/>
      <c r="AR166" s="223"/>
      <c r="AS166" s="223"/>
      <c r="AT166" s="223"/>
      <c r="AU166" s="223"/>
      <c r="AV166" s="223"/>
      <c r="AW166" s="223"/>
      <c r="AX166" s="223"/>
      <c r="AY166" s="223"/>
      <c r="AZ166" s="223"/>
      <c r="BA166" s="223"/>
      <c r="BB166" s="223"/>
      <c r="BC166" s="223"/>
      <c r="BD166" s="223"/>
      <c r="BE166" s="223"/>
      <c r="BF166" s="223"/>
      <c r="BG166" s="223"/>
      <c r="BH166" s="223"/>
      <c r="BI166" s="223"/>
      <c r="BJ166" s="223"/>
      <c r="BK166" s="223"/>
      <c r="BL166" s="223"/>
      <c r="BM166" s="223"/>
      <c r="BN166" s="223"/>
      <c r="BO166" s="223"/>
      <c r="BP166" s="223"/>
      <c r="BQ166" s="227"/>
      <c r="BR166" s="227"/>
      <c r="BS166" s="227"/>
      <c r="BT166" s="227"/>
      <c r="BU166" s="227"/>
      <c r="BV166" s="227"/>
      <c r="BW166" s="227"/>
      <c r="BX166" s="227"/>
      <c r="BY166" s="227"/>
      <c r="BZ166" s="227"/>
      <c r="CA166" s="227"/>
      <c r="CB166" s="227"/>
      <c r="CC166" s="227"/>
      <c r="CD166" s="227"/>
      <c r="CE166" s="227"/>
      <c r="CF166" s="227"/>
      <c r="CG166" s="227"/>
      <c r="CH166" s="227"/>
      <c r="CI166" s="227"/>
      <c r="CJ166" s="227"/>
      <c r="CK166" s="227"/>
      <c r="CL166" s="227"/>
      <c r="CM166" s="227"/>
      <c r="CN166" s="227"/>
      <c r="CO166" s="227"/>
      <c r="CP166" s="227"/>
      <c r="CQ166" s="227"/>
      <c r="CR166" s="227"/>
      <c r="CS166" s="227"/>
      <c r="CT166" s="227"/>
      <c r="CU166" s="225"/>
      <c r="CV166" s="227"/>
    </row>
    <row r="167" spans="1:100" ht="20.100000000000001" customHeight="1">
      <c r="A167" s="227">
        <v>80</v>
      </c>
      <c r="B167" s="225"/>
      <c r="C167" s="227"/>
      <c r="D167" s="228" cm="1">
        <f t="array" ref="D167">IFERROR(
(SUMPRODUCT(E167:CU167*$E$6:$CU$6)/100) + (SUMPRODUCT(E167:CU167*$E$6:$CU$6*$E$3:$CU$3)/100),
0
)</f>
        <v>0</v>
      </c>
      <c r="E167" s="227"/>
      <c r="F167" s="227"/>
      <c r="G167" s="227"/>
      <c r="H167" s="227"/>
      <c r="I167" s="227"/>
      <c r="J167" s="227"/>
      <c r="K167" s="227"/>
      <c r="L167" s="227"/>
      <c r="M167" s="227"/>
      <c r="N167" s="227"/>
      <c r="O167" s="227"/>
      <c r="P167" s="227"/>
      <c r="Q167" s="227"/>
      <c r="R167" s="227"/>
      <c r="S167" s="227"/>
      <c r="T167" s="227"/>
      <c r="U167" s="227"/>
      <c r="V167" s="227"/>
      <c r="W167" s="227"/>
      <c r="X167" s="227"/>
      <c r="Y167" s="227"/>
      <c r="Z167" s="227"/>
      <c r="AA167" s="227"/>
      <c r="AB167" s="227"/>
      <c r="AC167" s="227"/>
      <c r="AD167" s="227"/>
      <c r="AE167" s="227"/>
      <c r="AF167" s="227"/>
      <c r="AG167" s="227"/>
      <c r="AH167" s="227"/>
      <c r="AI167" s="227"/>
      <c r="AJ167" s="227"/>
      <c r="AK167" s="227"/>
      <c r="AL167" s="227"/>
      <c r="AM167" s="227"/>
      <c r="AN167" s="227"/>
      <c r="AO167" s="227"/>
      <c r="AP167" s="227"/>
      <c r="AQ167" s="227"/>
      <c r="AR167" s="227"/>
      <c r="AS167" s="227"/>
      <c r="AT167" s="227"/>
      <c r="AU167" s="227"/>
      <c r="AV167" s="227"/>
      <c r="AW167" s="227"/>
      <c r="AX167" s="227"/>
      <c r="AY167" s="227"/>
      <c r="AZ167" s="227"/>
      <c r="BA167" s="227"/>
      <c r="BB167" s="227"/>
      <c r="BC167" s="227"/>
      <c r="BD167" s="227"/>
      <c r="BE167" s="227"/>
      <c r="BF167" s="227"/>
      <c r="BG167" s="227"/>
      <c r="BH167" s="227"/>
      <c r="BI167" s="227"/>
      <c r="BJ167" s="227"/>
      <c r="BK167" s="227"/>
      <c r="BL167" s="227"/>
      <c r="BM167" s="227"/>
      <c r="BN167" s="227"/>
      <c r="BO167" s="227"/>
      <c r="BP167" s="227"/>
      <c r="BQ167" s="227"/>
      <c r="BR167" s="227"/>
      <c r="BS167" s="227"/>
      <c r="BT167" s="227"/>
      <c r="BU167" s="227"/>
      <c r="BV167" s="227"/>
      <c r="BW167" s="227"/>
      <c r="BX167" s="227"/>
      <c r="BY167" s="227"/>
      <c r="BZ167" s="227"/>
      <c r="CA167" s="227"/>
      <c r="CB167" s="227"/>
      <c r="CC167" s="227"/>
      <c r="CD167" s="227"/>
      <c r="CE167" s="227"/>
      <c r="CF167" s="227"/>
      <c r="CG167" s="227"/>
      <c r="CH167" s="227"/>
      <c r="CI167" s="227"/>
      <c r="CJ167" s="227"/>
      <c r="CK167" s="227"/>
      <c r="CL167" s="227"/>
      <c r="CM167" s="227"/>
      <c r="CN167" s="227"/>
      <c r="CO167" s="227"/>
      <c r="CP167" s="227"/>
      <c r="CQ167" s="227"/>
      <c r="CR167" s="227"/>
      <c r="CS167" s="227"/>
      <c r="CT167" s="227"/>
      <c r="CU167" s="225"/>
      <c r="CV167" s="227"/>
    </row>
    <row r="168" spans="1:100" ht="20.100000000000001" customHeight="1">
      <c r="A168" s="223"/>
      <c r="B168" s="225"/>
      <c r="C168" s="227"/>
      <c r="D168" s="224"/>
      <c r="E168" s="223"/>
      <c r="F168" s="223"/>
      <c r="G168" s="223"/>
      <c r="H168" s="223"/>
      <c r="I168" s="223"/>
      <c r="J168" s="223"/>
      <c r="K168" s="223"/>
      <c r="L168" s="223"/>
      <c r="M168" s="223"/>
      <c r="N168" s="223"/>
      <c r="O168" s="223"/>
      <c r="P168" s="223"/>
      <c r="Q168" s="223"/>
      <c r="R168" s="223"/>
      <c r="S168" s="223"/>
      <c r="T168" s="223"/>
      <c r="U168" s="223"/>
      <c r="V168" s="223"/>
      <c r="W168" s="223"/>
      <c r="X168" s="223"/>
      <c r="Y168" s="223"/>
      <c r="Z168" s="223"/>
      <c r="AA168" s="223"/>
      <c r="AB168" s="223"/>
      <c r="AC168" s="223"/>
      <c r="AD168" s="223"/>
      <c r="AE168" s="223"/>
      <c r="AF168" s="223"/>
      <c r="AG168" s="223"/>
      <c r="AH168" s="223"/>
      <c r="AI168" s="223"/>
      <c r="AJ168" s="223"/>
      <c r="AK168" s="223"/>
      <c r="AL168" s="223"/>
      <c r="AM168" s="223"/>
      <c r="AN168" s="223"/>
      <c r="AO168" s="223"/>
      <c r="AP168" s="223"/>
      <c r="AQ168" s="223"/>
      <c r="AR168" s="223"/>
      <c r="AS168" s="223"/>
      <c r="AT168" s="223"/>
      <c r="AU168" s="223"/>
      <c r="AV168" s="223"/>
      <c r="AW168" s="223"/>
      <c r="AX168" s="223"/>
      <c r="AY168" s="223"/>
      <c r="AZ168" s="223"/>
      <c r="BA168" s="223"/>
      <c r="BB168" s="223"/>
      <c r="BC168" s="223"/>
      <c r="BD168" s="223"/>
      <c r="BE168" s="223"/>
      <c r="BF168" s="223"/>
      <c r="BG168" s="223"/>
      <c r="BH168" s="223"/>
      <c r="BI168" s="223"/>
      <c r="BJ168" s="223"/>
      <c r="BK168" s="223"/>
      <c r="BL168" s="223"/>
      <c r="BM168" s="223"/>
      <c r="BN168" s="223"/>
      <c r="BO168" s="223"/>
      <c r="BP168" s="223"/>
      <c r="BQ168" s="227"/>
      <c r="BR168" s="227"/>
      <c r="BS168" s="227"/>
      <c r="BT168" s="227"/>
      <c r="BU168" s="227"/>
      <c r="BV168" s="227"/>
      <c r="BW168" s="227"/>
      <c r="BX168" s="227"/>
      <c r="BY168" s="227"/>
      <c r="BZ168" s="227"/>
      <c r="CA168" s="227"/>
      <c r="CB168" s="227"/>
      <c r="CC168" s="227"/>
      <c r="CD168" s="227"/>
      <c r="CE168" s="227"/>
      <c r="CF168" s="227"/>
      <c r="CG168" s="227"/>
      <c r="CH168" s="227"/>
      <c r="CI168" s="227"/>
      <c r="CJ168" s="227"/>
      <c r="CK168" s="227"/>
      <c r="CL168" s="227"/>
      <c r="CM168" s="227"/>
      <c r="CN168" s="227"/>
      <c r="CO168" s="227"/>
      <c r="CP168" s="227"/>
      <c r="CQ168" s="227"/>
      <c r="CR168" s="227"/>
      <c r="CS168" s="227"/>
      <c r="CT168" s="227"/>
      <c r="CU168" s="225"/>
      <c r="CV168" s="227"/>
    </row>
    <row r="169" spans="1:100" ht="20.100000000000001" customHeight="1">
      <c r="A169" s="227">
        <v>81</v>
      </c>
      <c r="B169" s="225"/>
      <c r="C169" s="227"/>
      <c r="D169" s="228" cm="1">
        <f t="array" ref="D169">IFERROR(
(SUMPRODUCT(E169:CU169*$E$6:$CU$6)/100) + (SUMPRODUCT(E169:CU169*$E$6:$CU$6*$E$3:$CU$3)/100),
0
)</f>
        <v>0</v>
      </c>
      <c r="E169" s="227"/>
      <c r="F169" s="227"/>
      <c r="G169" s="227"/>
      <c r="H169" s="227"/>
      <c r="I169" s="227"/>
      <c r="J169" s="227"/>
      <c r="K169" s="227"/>
      <c r="L169" s="227"/>
      <c r="M169" s="227"/>
      <c r="N169" s="227"/>
      <c r="O169" s="227"/>
      <c r="P169" s="227"/>
      <c r="Q169" s="227"/>
      <c r="R169" s="227"/>
      <c r="S169" s="227"/>
      <c r="T169" s="227"/>
      <c r="U169" s="227"/>
      <c r="V169" s="227"/>
      <c r="W169" s="227"/>
      <c r="X169" s="227"/>
      <c r="Y169" s="227"/>
      <c r="Z169" s="227"/>
      <c r="AA169" s="227"/>
      <c r="AB169" s="227"/>
      <c r="AC169" s="227"/>
      <c r="AD169" s="227"/>
      <c r="AE169" s="227"/>
      <c r="AF169" s="227"/>
      <c r="AG169" s="227"/>
      <c r="AH169" s="227"/>
      <c r="AI169" s="227"/>
      <c r="AJ169" s="227"/>
      <c r="AK169" s="227"/>
      <c r="AL169" s="227"/>
      <c r="AM169" s="227"/>
      <c r="AN169" s="227"/>
      <c r="AO169" s="227"/>
      <c r="AP169" s="227"/>
      <c r="AQ169" s="227"/>
      <c r="AR169" s="227"/>
      <c r="AS169" s="227"/>
      <c r="AT169" s="227"/>
      <c r="AU169" s="227"/>
      <c r="AV169" s="227"/>
      <c r="AW169" s="227"/>
      <c r="AX169" s="227"/>
      <c r="AY169" s="227"/>
      <c r="AZ169" s="227"/>
      <c r="BA169" s="227"/>
      <c r="BB169" s="227"/>
      <c r="BC169" s="227"/>
      <c r="BD169" s="227"/>
      <c r="BE169" s="227"/>
      <c r="BF169" s="227"/>
      <c r="BG169" s="227"/>
      <c r="BH169" s="227"/>
      <c r="BI169" s="227"/>
      <c r="BJ169" s="227"/>
      <c r="BK169" s="227"/>
      <c r="BL169" s="227"/>
      <c r="BM169" s="227"/>
      <c r="BN169" s="227"/>
      <c r="BO169" s="227"/>
      <c r="BP169" s="227"/>
      <c r="BQ169" s="227"/>
      <c r="BR169" s="227"/>
      <c r="BS169" s="227"/>
      <c r="BT169" s="227"/>
      <c r="BU169" s="227"/>
      <c r="BV169" s="227"/>
      <c r="BW169" s="227"/>
      <c r="BX169" s="227"/>
      <c r="BY169" s="227"/>
      <c r="BZ169" s="227"/>
      <c r="CA169" s="227"/>
      <c r="CB169" s="227"/>
      <c r="CC169" s="227"/>
      <c r="CD169" s="227"/>
      <c r="CE169" s="227"/>
      <c r="CF169" s="227"/>
      <c r="CG169" s="227"/>
      <c r="CH169" s="227"/>
      <c r="CI169" s="227"/>
      <c r="CJ169" s="227"/>
      <c r="CK169" s="227"/>
      <c r="CL169" s="227"/>
      <c r="CM169" s="227"/>
      <c r="CN169" s="227"/>
      <c r="CO169" s="227"/>
      <c r="CP169" s="227"/>
      <c r="CQ169" s="227"/>
      <c r="CR169" s="227"/>
      <c r="CS169" s="227"/>
      <c r="CT169" s="227"/>
      <c r="CU169" s="225"/>
      <c r="CV169" s="227"/>
    </row>
    <row r="170" spans="1:100" ht="20.100000000000001" customHeight="1">
      <c r="A170" s="227"/>
      <c r="B170" s="225"/>
      <c r="C170" s="227"/>
      <c r="D170" s="224"/>
      <c r="E170" s="223"/>
      <c r="F170" s="223"/>
      <c r="G170" s="223"/>
      <c r="H170" s="223"/>
      <c r="I170" s="223"/>
      <c r="J170" s="223"/>
      <c r="K170" s="223"/>
      <c r="L170" s="223"/>
      <c r="M170" s="223"/>
      <c r="N170" s="223"/>
      <c r="O170" s="223"/>
      <c r="P170" s="223"/>
      <c r="Q170" s="223"/>
      <c r="R170" s="223"/>
      <c r="S170" s="223"/>
      <c r="T170" s="223"/>
      <c r="U170" s="223"/>
      <c r="V170" s="223"/>
      <c r="W170" s="223"/>
      <c r="X170" s="223"/>
      <c r="Y170" s="223"/>
      <c r="Z170" s="223"/>
      <c r="AA170" s="223"/>
      <c r="AB170" s="223"/>
      <c r="AC170" s="223"/>
      <c r="AD170" s="223"/>
      <c r="AE170" s="223"/>
      <c r="AF170" s="223"/>
      <c r="AG170" s="223"/>
      <c r="AH170" s="223"/>
      <c r="AI170" s="223"/>
      <c r="AJ170" s="223"/>
      <c r="AK170" s="223"/>
      <c r="AL170" s="223"/>
      <c r="AM170" s="223"/>
      <c r="AN170" s="223"/>
      <c r="AO170" s="223"/>
      <c r="AP170" s="223"/>
      <c r="AQ170" s="223"/>
      <c r="AR170" s="223"/>
      <c r="AS170" s="223"/>
      <c r="AT170" s="223"/>
      <c r="AU170" s="223"/>
      <c r="AV170" s="223"/>
      <c r="AW170" s="223"/>
      <c r="AX170" s="223"/>
      <c r="AY170" s="223"/>
      <c r="AZ170" s="223"/>
      <c r="BA170" s="223"/>
      <c r="BB170" s="223"/>
      <c r="BC170" s="223"/>
      <c r="BD170" s="223"/>
      <c r="BE170" s="223"/>
      <c r="BF170" s="223"/>
      <c r="BG170" s="223"/>
      <c r="BH170" s="223"/>
      <c r="BI170" s="223"/>
      <c r="BJ170" s="223"/>
      <c r="BK170" s="223"/>
      <c r="BL170" s="223"/>
      <c r="BM170" s="223"/>
      <c r="BN170" s="223"/>
      <c r="BO170" s="223"/>
      <c r="BP170" s="223"/>
      <c r="BQ170" s="227"/>
      <c r="BR170" s="227"/>
      <c r="BS170" s="227"/>
      <c r="BT170" s="227"/>
      <c r="BU170" s="227"/>
      <c r="BV170" s="227"/>
      <c r="BW170" s="227"/>
      <c r="BX170" s="227"/>
      <c r="BY170" s="227"/>
      <c r="BZ170" s="227"/>
      <c r="CA170" s="227"/>
      <c r="CB170" s="227"/>
      <c r="CC170" s="227"/>
      <c r="CD170" s="227"/>
      <c r="CE170" s="227"/>
      <c r="CF170" s="227"/>
      <c r="CG170" s="227"/>
      <c r="CH170" s="227"/>
      <c r="CI170" s="227"/>
      <c r="CJ170" s="227"/>
      <c r="CK170" s="227"/>
      <c r="CL170" s="227"/>
      <c r="CM170" s="227"/>
      <c r="CN170" s="227"/>
      <c r="CO170" s="227"/>
      <c r="CP170" s="227"/>
      <c r="CQ170" s="227"/>
      <c r="CR170" s="227"/>
      <c r="CS170" s="227"/>
      <c r="CT170" s="227"/>
      <c r="CU170" s="225"/>
      <c r="CV170" s="227"/>
    </row>
    <row r="171" spans="1:100" ht="20.100000000000001" customHeight="1">
      <c r="A171" s="227">
        <v>82</v>
      </c>
      <c r="B171" s="225"/>
      <c r="C171" s="227"/>
      <c r="D171" s="228" cm="1">
        <f t="array" ref="D171">IFERROR(
(SUMPRODUCT(E171:CU171*$E$6:$CU$6)/100) + (SUMPRODUCT(E171:CU171*$E$6:$CU$6*$E$3:$CU$3)/100),
0
)</f>
        <v>0</v>
      </c>
      <c r="E171" s="227"/>
      <c r="F171" s="227"/>
      <c r="G171" s="227"/>
      <c r="H171" s="227"/>
      <c r="I171" s="227"/>
      <c r="J171" s="227"/>
      <c r="K171" s="227"/>
      <c r="L171" s="227"/>
      <c r="M171" s="227"/>
      <c r="N171" s="227"/>
      <c r="O171" s="227"/>
      <c r="P171" s="227"/>
      <c r="Q171" s="227"/>
      <c r="R171" s="227"/>
      <c r="S171" s="227"/>
      <c r="T171" s="227"/>
      <c r="U171" s="227"/>
      <c r="V171" s="227"/>
      <c r="W171" s="227"/>
      <c r="X171" s="227"/>
      <c r="Y171" s="227"/>
      <c r="Z171" s="227"/>
      <c r="AA171" s="227"/>
      <c r="AB171" s="227"/>
      <c r="AC171" s="227"/>
      <c r="AD171" s="227"/>
      <c r="AE171" s="227"/>
      <c r="AF171" s="227"/>
      <c r="AG171" s="227"/>
      <c r="AH171" s="227"/>
      <c r="AI171" s="227"/>
      <c r="AJ171" s="227"/>
      <c r="AK171" s="227"/>
      <c r="AL171" s="227"/>
      <c r="AM171" s="227"/>
      <c r="AN171" s="227"/>
      <c r="AO171" s="227"/>
      <c r="AP171" s="227"/>
      <c r="AQ171" s="227"/>
      <c r="AR171" s="227"/>
      <c r="AS171" s="227"/>
      <c r="AT171" s="227"/>
      <c r="AU171" s="227"/>
      <c r="AV171" s="227"/>
      <c r="AW171" s="227"/>
      <c r="AX171" s="227"/>
      <c r="AY171" s="227"/>
      <c r="AZ171" s="227"/>
      <c r="BA171" s="227"/>
      <c r="BB171" s="227"/>
      <c r="BC171" s="227"/>
      <c r="BD171" s="227"/>
      <c r="BE171" s="227"/>
      <c r="BF171" s="227"/>
      <c r="BG171" s="227"/>
      <c r="BH171" s="227"/>
      <c r="BI171" s="227"/>
      <c r="BJ171" s="227"/>
      <c r="BK171" s="227"/>
      <c r="BL171" s="227"/>
      <c r="BM171" s="227"/>
      <c r="BN171" s="227"/>
      <c r="BO171" s="227"/>
      <c r="BP171" s="227"/>
      <c r="BQ171" s="227"/>
      <c r="BR171" s="227"/>
      <c r="BS171" s="227"/>
      <c r="BT171" s="227"/>
      <c r="BU171" s="227"/>
      <c r="BV171" s="227"/>
      <c r="BW171" s="227"/>
      <c r="BX171" s="227"/>
      <c r="BY171" s="227"/>
      <c r="BZ171" s="227"/>
      <c r="CA171" s="227"/>
      <c r="CB171" s="227"/>
      <c r="CC171" s="227"/>
      <c r="CD171" s="227"/>
      <c r="CE171" s="227"/>
      <c r="CF171" s="227"/>
      <c r="CG171" s="227"/>
      <c r="CH171" s="227"/>
      <c r="CI171" s="227"/>
      <c r="CJ171" s="227"/>
      <c r="CK171" s="227"/>
      <c r="CL171" s="227"/>
      <c r="CM171" s="227"/>
      <c r="CN171" s="227"/>
      <c r="CO171" s="227"/>
      <c r="CP171" s="227"/>
      <c r="CQ171" s="227"/>
      <c r="CR171" s="227"/>
      <c r="CS171" s="227"/>
      <c r="CT171" s="227"/>
      <c r="CU171" s="225"/>
      <c r="CV171" s="227"/>
    </row>
    <row r="172" spans="1:100" ht="20.100000000000001" customHeight="1">
      <c r="A172" s="223"/>
      <c r="B172" s="225"/>
      <c r="C172" s="227"/>
      <c r="D172" s="224"/>
      <c r="E172" s="223"/>
      <c r="F172" s="223"/>
      <c r="G172" s="223"/>
      <c r="H172" s="223"/>
      <c r="I172" s="223"/>
      <c r="J172" s="223"/>
      <c r="K172" s="223"/>
      <c r="L172" s="223"/>
      <c r="M172" s="223"/>
      <c r="N172" s="223"/>
      <c r="O172" s="223"/>
      <c r="P172" s="223"/>
      <c r="Q172" s="223"/>
      <c r="R172" s="223"/>
      <c r="S172" s="223"/>
      <c r="T172" s="223"/>
      <c r="U172" s="223"/>
      <c r="V172" s="223"/>
      <c r="W172" s="223"/>
      <c r="X172" s="223"/>
      <c r="Y172" s="223"/>
      <c r="Z172" s="223"/>
      <c r="AA172" s="223"/>
      <c r="AB172" s="223"/>
      <c r="AC172" s="223"/>
      <c r="AD172" s="223"/>
      <c r="AE172" s="223"/>
      <c r="AF172" s="223"/>
      <c r="AG172" s="223"/>
      <c r="AH172" s="223"/>
      <c r="AI172" s="223"/>
      <c r="AJ172" s="223"/>
      <c r="AK172" s="223"/>
      <c r="AL172" s="223"/>
      <c r="AM172" s="223"/>
      <c r="AN172" s="223"/>
      <c r="AO172" s="223"/>
      <c r="AP172" s="223"/>
      <c r="AQ172" s="223"/>
      <c r="AR172" s="223"/>
      <c r="AS172" s="223"/>
      <c r="AT172" s="223"/>
      <c r="AU172" s="223"/>
      <c r="AV172" s="223"/>
      <c r="AW172" s="223"/>
      <c r="AX172" s="223"/>
      <c r="AY172" s="223"/>
      <c r="AZ172" s="223"/>
      <c r="BA172" s="223"/>
      <c r="BB172" s="223"/>
      <c r="BC172" s="223"/>
      <c r="BD172" s="223"/>
      <c r="BE172" s="223"/>
      <c r="BF172" s="223"/>
      <c r="BG172" s="223"/>
      <c r="BH172" s="223"/>
      <c r="BI172" s="223"/>
      <c r="BJ172" s="223"/>
      <c r="BK172" s="223"/>
      <c r="BL172" s="223"/>
      <c r="BM172" s="223"/>
      <c r="BN172" s="223"/>
      <c r="BO172" s="223"/>
      <c r="BP172" s="223"/>
      <c r="BQ172" s="227"/>
      <c r="BR172" s="227"/>
      <c r="BS172" s="227"/>
      <c r="BT172" s="227"/>
      <c r="BU172" s="227"/>
      <c r="BV172" s="227"/>
      <c r="BW172" s="227"/>
      <c r="BX172" s="227"/>
      <c r="BY172" s="227"/>
      <c r="BZ172" s="227"/>
      <c r="CA172" s="227"/>
      <c r="CB172" s="227"/>
      <c r="CC172" s="227"/>
      <c r="CD172" s="227"/>
      <c r="CE172" s="227"/>
      <c r="CF172" s="227"/>
      <c r="CG172" s="227"/>
      <c r="CH172" s="227"/>
      <c r="CI172" s="227"/>
      <c r="CJ172" s="227"/>
      <c r="CK172" s="227"/>
      <c r="CL172" s="227"/>
      <c r="CM172" s="227"/>
      <c r="CN172" s="227"/>
      <c r="CO172" s="227"/>
      <c r="CP172" s="227"/>
      <c r="CQ172" s="227"/>
      <c r="CR172" s="227"/>
      <c r="CS172" s="227"/>
      <c r="CT172" s="227"/>
      <c r="CU172" s="225"/>
      <c r="CV172" s="227"/>
    </row>
    <row r="173" spans="1:100" ht="20.100000000000001" customHeight="1">
      <c r="A173" s="227">
        <v>83</v>
      </c>
      <c r="B173" s="225"/>
      <c r="C173" s="227"/>
      <c r="D173" s="228" cm="1">
        <f t="array" ref="D173">IFERROR(
(SUMPRODUCT(E173:CU173*$E$6:$CU$6)/100) + (SUMPRODUCT(E173:CU173*$E$6:$CU$6*$E$3:$CU$3)/100),
0
)</f>
        <v>0</v>
      </c>
      <c r="E173" s="227"/>
      <c r="F173" s="227"/>
      <c r="G173" s="227"/>
      <c r="H173" s="227"/>
      <c r="I173" s="227"/>
      <c r="J173" s="227"/>
      <c r="K173" s="227"/>
      <c r="L173" s="227"/>
      <c r="M173" s="227"/>
      <c r="N173" s="227"/>
      <c r="O173" s="227"/>
      <c r="P173" s="227"/>
      <c r="Q173" s="227"/>
      <c r="R173" s="227"/>
      <c r="S173" s="227"/>
      <c r="T173" s="227"/>
      <c r="U173" s="227"/>
      <c r="V173" s="227"/>
      <c r="W173" s="227"/>
      <c r="X173" s="227"/>
      <c r="Y173" s="227"/>
      <c r="Z173" s="227"/>
      <c r="AA173" s="227"/>
      <c r="AB173" s="227"/>
      <c r="AC173" s="227"/>
      <c r="AD173" s="227"/>
      <c r="AE173" s="227"/>
      <c r="AF173" s="227"/>
      <c r="AG173" s="227"/>
      <c r="AH173" s="227"/>
      <c r="AI173" s="227"/>
      <c r="AJ173" s="227"/>
      <c r="AK173" s="227"/>
      <c r="AL173" s="227"/>
      <c r="AM173" s="227"/>
      <c r="AN173" s="227"/>
      <c r="AO173" s="227"/>
      <c r="AP173" s="227"/>
      <c r="AQ173" s="227"/>
      <c r="AR173" s="227"/>
      <c r="AS173" s="227"/>
      <c r="AT173" s="227"/>
      <c r="AU173" s="227"/>
      <c r="AV173" s="227"/>
      <c r="AW173" s="227"/>
      <c r="AX173" s="227"/>
      <c r="AY173" s="227"/>
      <c r="AZ173" s="227"/>
      <c r="BA173" s="227"/>
      <c r="BB173" s="227"/>
      <c r="BC173" s="227"/>
      <c r="BD173" s="227"/>
      <c r="BE173" s="227"/>
      <c r="BF173" s="227"/>
      <c r="BG173" s="227"/>
      <c r="BH173" s="227"/>
      <c r="BI173" s="227"/>
      <c r="BJ173" s="227"/>
      <c r="BK173" s="227"/>
      <c r="BL173" s="227"/>
      <c r="BM173" s="227"/>
      <c r="BN173" s="227"/>
      <c r="BO173" s="227"/>
      <c r="BP173" s="227"/>
      <c r="BQ173" s="227"/>
      <c r="BR173" s="227"/>
      <c r="BS173" s="227"/>
      <c r="BT173" s="227"/>
      <c r="BU173" s="227"/>
      <c r="BV173" s="227"/>
      <c r="BW173" s="227"/>
      <c r="BX173" s="227"/>
      <c r="BY173" s="227"/>
      <c r="BZ173" s="227"/>
      <c r="CA173" s="227"/>
      <c r="CB173" s="227"/>
      <c r="CC173" s="227"/>
      <c r="CD173" s="227"/>
      <c r="CE173" s="227"/>
      <c r="CF173" s="227"/>
      <c r="CG173" s="227"/>
      <c r="CH173" s="227"/>
      <c r="CI173" s="227"/>
      <c r="CJ173" s="227"/>
      <c r="CK173" s="227"/>
      <c r="CL173" s="227"/>
      <c r="CM173" s="227"/>
      <c r="CN173" s="227"/>
      <c r="CO173" s="227"/>
      <c r="CP173" s="227"/>
      <c r="CQ173" s="227"/>
      <c r="CR173" s="227"/>
      <c r="CS173" s="227"/>
      <c r="CT173" s="227"/>
      <c r="CU173" s="225"/>
      <c r="CV173" s="227"/>
    </row>
    <row r="174" spans="1:100" ht="20.100000000000001" customHeight="1">
      <c r="A174" s="227"/>
      <c r="B174" s="225"/>
      <c r="C174" s="227"/>
      <c r="D174" s="224"/>
      <c r="E174" s="223"/>
      <c r="F174" s="223"/>
      <c r="G174" s="223"/>
      <c r="H174" s="223"/>
      <c r="I174" s="223"/>
      <c r="J174" s="223"/>
      <c r="K174" s="223"/>
      <c r="L174" s="223"/>
      <c r="M174" s="223"/>
      <c r="N174" s="223"/>
      <c r="O174" s="223"/>
      <c r="P174" s="223"/>
      <c r="Q174" s="223"/>
      <c r="R174" s="223"/>
      <c r="S174" s="223"/>
      <c r="T174" s="223"/>
      <c r="U174" s="223"/>
      <c r="V174" s="223"/>
      <c r="W174" s="223"/>
      <c r="X174" s="223"/>
      <c r="Y174" s="223"/>
      <c r="Z174" s="223"/>
      <c r="AA174" s="223"/>
      <c r="AB174" s="223"/>
      <c r="AC174" s="223"/>
      <c r="AD174" s="223"/>
      <c r="AE174" s="223"/>
      <c r="AF174" s="223"/>
      <c r="AG174" s="223"/>
      <c r="AH174" s="223"/>
      <c r="AI174" s="223"/>
      <c r="AJ174" s="223"/>
      <c r="AK174" s="223"/>
      <c r="AL174" s="223"/>
      <c r="AM174" s="223"/>
      <c r="AN174" s="223"/>
      <c r="AO174" s="223"/>
      <c r="AP174" s="223"/>
      <c r="AQ174" s="223"/>
      <c r="AR174" s="223"/>
      <c r="AS174" s="223"/>
      <c r="AT174" s="223"/>
      <c r="AU174" s="223"/>
      <c r="AV174" s="223"/>
      <c r="AW174" s="223"/>
      <c r="AX174" s="223"/>
      <c r="AY174" s="223"/>
      <c r="AZ174" s="223"/>
      <c r="BA174" s="223"/>
      <c r="BB174" s="223"/>
      <c r="BC174" s="223"/>
      <c r="BD174" s="223"/>
      <c r="BE174" s="223"/>
      <c r="BF174" s="223"/>
      <c r="BG174" s="223"/>
      <c r="BH174" s="223"/>
      <c r="BI174" s="223"/>
      <c r="BJ174" s="223"/>
      <c r="BK174" s="223"/>
      <c r="BL174" s="223"/>
      <c r="BM174" s="223"/>
      <c r="BN174" s="223"/>
      <c r="BO174" s="223"/>
      <c r="BP174" s="223"/>
      <c r="BQ174" s="227"/>
      <c r="BR174" s="227"/>
      <c r="BS174" s="227"/>
      <c r="BT174" s="227"/>
      <c r="BU174" s="227"/>
      <c r="BV174" s="227"/>
      <c r="BW174" s="227"/>
      <c r="BX174" s="227"/>
      <c r="BY174" s="227"/>
      <c r="BZ174" s="227"/>
      <c r="CA174" s="227"/>
      <c r="CB174" s="227"/>
      <c r="CC174" s="227"/>
      <c r="CD174" s="227"/>
      <c r="CE174" s="227"/>
      <c r="CF174" s="227"/>
      <c r="CG174" s="227"/>
      <c r="CH174" s="227"/>
      <c r="CI174" s="227"/>
      <c r="CJ174" s="227"/>
      <c r="CK174" s="227"/>
      <c r="CL174" s="227"/>
      <c r="CM174" s="227"/>
      <c r="CN174" s="227"/>
      <c r="CO174" s="227"/>
      <c r="CP174" s="227"/>
      <c r="CQ174" s="227"/>
      <c r="CR174" s="227"/>
      <c r="CS174" s="227"/>
      <c r="CT174" s="227"/>
      <c r="CU174" s="225"/>
      <c r="CV174" s="227"/>
    </row>
    <row r="175" spans="1:100" ht="20.100000000000001" customHeight="1">
      <c r="A175" s="227">
        <v>84</v>
      </c>
      <c r="B175" s="225"/>
      <c r="C175" s="227"/>
      <c r="D175" s="228" cm="1">
        <f t="array" ref="D175">IFERROR(
(SUMPRODUCT(E175:CU175*$E$6:$CU$6)/100) + (SUMPRODUCT(E175:CU175*$E$6:$CU$6*$E$3:$CU$3)/100),
0
)</f>
        <v>0</v>
      </c>
      <c r="E175" s="227"/>
      <c r="F175" s="227"/>
      <c r="G175" s="227"/>
      <c r="H175" s="227"/>
      <c r="I175" s="227"/>
      <c r="J175" s="227"/>
      <c r="K175" s="227"/>
      <c r="L175" s="227"/>
      <c r="M175" s="227"/>
      <c r="N175" s="227"/>
      <c r="O175" s="227"/>
      <c r="P175" s="227"/>
      <c r="Q175" s="227"/>
      <c r="R175" s="227"/>
      <c r="S175" s="227"/>
      <c r="T175" s="227"/>
      <c r="U175" s="227"/>
      <c r="V175" s="227"/>
      <c r="W175" s="227"/>
      <c r="X175" s="227"/>
      <c r="Y175" s="227"/>
      <c r="Z175" s="227"/>
      <c r="AA175" s="227"/>
      <c r="AB175" s="227"/>
      <c r="AC175" s="227"/>
      <c r="AD175" s="227"/>
      <c r="AE175" s="227"/>
      <c r="AF175" s="227"/>
      <c r="AG175" s="227"/>
      <c r="AH175" s="227"/>
      <c r="AI175" s="227"/>
      <c r="AJ175" s="227"/>
      <c r="AK175" s="227"/>
      <c r="AL175" s="227"/>
      <c r="AM175" s="227"/>
      <c r="AN175" s="227"/>
      <c r="AO175" s="227"/>
      <c r="AP175" s="227"/>
      <c r="AQ175" s="227"/>
      <c r="AR175" s="227"/>
      <c r="AS175" s="227"/>
      <c r="AT175" s="227"/>
      <c r="AU175" s="227"/>
      <c r="AV175" s="227"/>
      <c r="AW175" s="227"/>
      <c r="AX175" s="227"/>
      <c r="AY175" s="227"/>
      <c r="AZ175" s="227"/>
      <c r="BA175" s="227"/>
      <c r="BB175" s="227"/>
      <c r="BC175" s="227"/>
      <c r="BD175" s="227"/>
      <c r="BE175" s="227"/>
      <c r="BF175" s="227"/>
      <c r="BG175" s="227"/>
      <c r="BH175" s="227"/>
      <c r="BI175" s="227"/>
      <c r="BJ175" s="227"/>
      <c r="BK175" s="227"/>
      <c r="BL175" s="227"/>
      <c r="BM175" s="227"/>
      <c r="BN175" s="227"/>
      <c r="BO175" s="227"/>
      <c r="BP175" s="227"/>
      <c r="BQ175" s="227"/>
      <c r="BR175" s="227"/>
      <c r="BS175" s="227"/>
      <c r="BT175" s="227"/>
      <c r="BU175" s="227"/>
      <c r="BV175" s="227"/>
      <c r="BW175" s="227"/>
      <c r="BX175" s="227"/>
      <c r="BY175" s="227"/>
      <c r="BZ175" s="227"/>
      <c r="CA175" s="227"/>
      <c r="CB175" s="227"/>
      <c r="CC175" s="227"/>
      <c r="CD175" s="227"/>
      <c r="CE175" s="227"/>
      <c r="CF175" s="227"/>
      <c r="CG175" s="227"/>
      <c r="CH175" s="227"/>
      <c r="CI175" s="227"/>
      <c r="CJ175" s="227"/>
      <c r="CK175" s="227"/>
      <c r="CL175" s="227"/>
      <c r="CM175" s="227"/>
      <c r="CN175" s="227"/>
      <c r="CO175" s="227"/>
      <c r="CP175" s="227"/>
      <c r="CQ175" s="227"/>
      <c r="CR175" s="227"/>
      <c r="CS175" s="227"/>
      <c r="CT175" s="227"/>
      <c r="CU175" s="225"/>
      <c r="CV175" s="227"/>
    </row>
    <row r="176" spans="1:100" ht="20.100000000000001" customHeight="1">
      <c r="A176" s="223"/>
      <c r="B176" s="225"/>
      <c r="C176" s="227"/>
      <c r="D176" s="224"/>
      <c r="E176" s="223"/>
      <c r="F176" s="223"/>
      <c r="G176" s="223"/>
      <c r="H176" s="223"/>
      <c r="I176" s="223"/>
      <c r="J176" s="223"/>
      <c r="K176" s="223"/>
      <c r="L176" s="223"/>
      <c r="M176" s="223"/>
      <c r="N176" s="223"/>
      <c r="O176" s="223"/>
      <c r="P176" s="223"/>
      <c r="Q176" s="223"/>
      <c r="R176" s="223"/>
      <c r="S176" s="223"/>
      <c r="T176" s="223"/>
      <c r="U176" s="223"/>
      <c r="V176" s="223"/>
      <c r="W176" s="223"/>
      <c r="X176" s="223"/>
      <c r="Y176" s="223"/>
      <c r="Z176" s="223"/>
      <c r="AA176" s="223"/>
      <c r="AB176" s="223"/>
      <c r="AC176" s="223"/>
      <c r="AD176" s="223"/>
      <c r="AE176" s="223"/>
      <c r="AF176" s="223"/>
      <c r="AG176" s="223"/>
      <c r="AH176" s="223"/>
      <c r="AI176" s="223"/>
      <c r="AJ176" s="223"/>
      <c r="AK176" s="223"/>
      <c r="AL176" s="223"/>
      <c r="AM176" s="223"/>
      <c r="AN176" s="223"/>
      <c r="AO176" s="223"/>
      <c r="AP176" s="223"/>
      <c r="AQ176" s="223"/>
      <c r="AR176" s="223"/>
      <c r="AS176" s="223"/>
      <c r="AT176" s="223"/>
      <c r="AU176" s="223"/>
      <c r="AV176" s="223"/>
      <c r="AW176" s="223"/>
      <c r="AX176" s="223"/>
      <c r="AY176" s="223"/>
      <c r="AZ176" s="223"/>
      <c r="BA176" s="223"/>
      <c r="BB176" s="223"/>
      <c r="BC176" s="223"/>
      <c r="BD176" s="223"/>
      <c r="BE176" s="223"/>
      <c r="BF176" s="223"/>
      <c r="BG176" s="223"/>
      <c r="BH176" s="223"/>
      <c r="BI176" s="223"/>
      <c r="BJ176" s="223"/>
      <c r="BK176" s="223"/>
      <c r="BL176" s="223"/>
      <c r="BM176" s="223"/>
      <c r="BN176" s="223"/>
      <c r="BO176" s="223"/>
      <c r="BP176" s="223"/>
      <c r="BQ176" s="227"/>
      <c r="BR176" s="227"/>
      <c r="BS176" s="227"/>
      <c r="BT176" s="227"/>
      <c r="BU176" s="227"/>
      <c r="BV176" s="227"/>
      <c r="BW176" s="227"/>
      <c r="BX176" s="227"/>
      <c r="BY176" s="227"/>
      <c r="BZ176" s="227"/>
      <c r="CA176" s="227"/>
      <c r="CB176" s="227"/>
      <c r="CC176" s="227"/>
      <c r="CD176" s="227"/>
      <c r="CE176" s="227"/>
      <c r="CF176" s="227"/>
      <c r="CG176" s="227"/>
      <c r="CH176" s="227"/>
      <c r="CI176" s="227"/>
      <c r="CJ176" s="227"/>
      <c r="CK176" s="227"/>
      <c r="CL176" s="227"/>
      <c r="CM176" s="227"/>
      <c r="CN176" s="227"/>
      <c r="CO176" s="227"/>
      <c r="CP176" s="227"/>
      <c r="CQ176" s="227"/>
      <c r="CR176" s="227"/>
      <c r="CS176" s="227"/>
      <c r="CT176" s="227"/>
      <c r="CU176" s="225"/>
      <c r="CV176" s="227"/>
    </row>
    <row r="177" spans="1:100" ht="20.100000000000001" customHeight="1">
      <c r="A177" s="227">
        <v>85</v>
      </c>
      <c r="B177" s="225"/>
      <c r="C177" s="227"/>
      <c r="D177" s="228" cm="1">
        <f t="array" ref="D177">IFERROR(
(SUMPRODUCT(E177:CU177*$E$6:$CU$6)/100) + (SUMPRODUCT(E177:CU177*$E$6:$CU$6*$E$3:$CU$3)/100),
0
)</f>
        <v>0</v>
      </c>
      <c r="E177" s="227"/>
      <c r="F177" s="227"/>
      <c r="G177" s="227"/>
      <c r="H177" s="227"/>
      <c r="I177" s="227"/>
      <c r="J177" s="227"/>
      <c r="K177" s="227"/>
      <c r="L177" s="227"/>
      <c r="M177" s="227"/>
      <c r="N177" s="227"/>
      <c r="O177" s="227"/>
      <c r="P177" s="227"/>
      <c r="Q177" s="227"/>
      <c r="R177" s="227"/>
      <c r="S177" s="227"/>
      <c r="T177" s="227"/>
      <c r="U177" s="227"/>
      <c r="V177" s="227"/>
      <c r="W177" s="227"/>
      <c r="X177" s="227"/>
      <c r="Y177" s="227"/>
      <c r="Z177" s="227"/>
      <c r="AA177" s="227"/>
      <c r="AB177" s="227"/>
      <c r="AC177" s="227"/>
      <c r="AD177" s="227"/>
      <c r="AE177" s="227"/>
      <c r="AF177" s="227"/>
      <c r="AG177" s="227"/>
      <c r="AH177" s="227"/>
      <c r="AI177" s="227"/>
      <c r="AJ177" s="227"/>
      <c r="AK177" s="227"/>
      <c r="AL177" s="227"/>
      <c r="AM177" s="227"/>
      <c r="AN177" s="227"/>
      <c r="AO177" s="227"/>
      <c r="AP177" s="227"/>
      <c r="AQ177" s="227"/>
      <c r="AR177" s="227"/>
      <c r="AS177" s="227"/>
      <c r="AT177" s="227"/>
      <c r="AU177" s="227"/>
      <c r="AV177" s="227"/>
      <c r="AW177" s="227"/>
      <c r="AX177" s="227"/>
      <c r="AY177" s="227"/>
      <c r="AZ177" s="227"/>
      <c r="BA177" s="227"/>
      <c r="BB177" s="227"/>
      <c r="BC177" s="227"/>
      <c r="BD177" s="227"/>
      <c r="BE177" s="227"/>
      <c r="BF177" s="227"/>
      <c r="BG177" s="227"/>
      <c r="BH177" s="227"/>
      <c r="BI177" s="227"/>
      <c r="BJ177" s="227"/>
      <c r="BK177" s="227"/>
      <c r="BL177" s="227"/>
      <c r="BM177" s="227"/>
      <c r="BN177" s="227"/>
      <c r="BO177" s="227"/>
      <c r="BP177" s="227"/>
      <c r="BQ177" s="227"/>
      <c r="BR177" s="227"/>
      <c r="BS177" s="227"/>
      <c r="BT177" s="227"/>
      <c r="BU177" s="227"/>
      <c r="BV177" s="227"/>
      <c r="BW177" s="227"/>
      <c r="BX177" s="227"/>
      <c r="BY177" s="227"/>
      <c r="BZ177" s="227"/>
      <c r="CA177" s="227"/>
      <c r="CB177" s="227"/>
      <c r="CC177" s="227"/>
      <c r="CD177" s="227"/>
      <c r="CE177" s="227"/>
      <c r="CF177" s="227"/>
      <c r="CG177" s="227"/>
      <c r="CH177" s="227"/>
      <c r="CI177" s="227"/>
      <c r="CJ177" s="227"/>
      <c r="CK177" s="227"/>
      <c r="CL177" s="227"/>
      <c r="CM177" s="227"/>
      <c r="CN177" s="227"/>
      <c r="CO177" s="227"/>
      <c r="CP177" s="227"/>
      <c r="CQ177" s="227"/>
      <c r="CR177" s="227"/>
      <c r="CS177" s="227"/>
      <c r="CT177" s="227"/>
      <c r="CU177" s="225"/>
      <c r="CV177" s="227"/>
    </row>
    <row r="178" spans="1:100" ht="20.100000000000001" customHeight="1">
      <c r="A178" s="227"/>
      <c r="B178" s="225"/>
      <c r="C178" s="227"/>
      <c r="D178" s="224"/>
      <c r="E178" s="223"/>
      <c r="F178" s="223"/>
      <c r="G178" s="223"/>
      <c r="H178" s="223"/>
      <c r="I178" s="223"/>
      <c r="J178" s="223"/>
      <c r="K178" s="223"/>
      <c r="L178" s="223"/>
      <c r="M178" s="223"/>
      <c r="N178" s="223"/>
      <c r="O178" s="223"/>
      <c r="P178" s="223"/>
      <c r="Q178" s="223"/>
      <c r="R178" s="223"/>
      <c r="S178" s="223"/>
      <c r="T178" s="223"/>
      <c r="U178" s="223"/>
      <c r="V178" s="223"/>
      <c r="W178" s="223"/>
      <c r="X178" s="223"/>
      <c r="Y178" s="223"/>
      <c r="Z178" s="223"/>
      <c r="AA178" s="223"/>
      <c r="AB178" s="223"/>
      <c r="AC178" s="223"/>
      <c r="AD178" s="223"/>
      <c r="AE178" s="223"/>
      <c r="AF178" s="223"/>
      <c r="AG178" s="223"/>
      <c r="AH178" s="223"/>
      <c r="AI178" s="223"/>
      <c r="AJ178" s="223"/>
      <c r="AK178" s="223"/>
      <c r="AL178" s="223"/>
      <c r="AM178" s="223"/>
      <c r="AN178" s="223"/>
      <c r="AO178" s="223"/>
      <c r="AP178" s="223"/>
      <c r="AQ178" s="223"/>
      <c r="AR178" s="223"/>
      <c r="AS178" s="223"/>
      <c r="AT178" s="223"/>
      <c r="AU178" s="223"/>
      <c r="AV178" s="223"/>
      <c r="AW178" s="223"/>
      <c r="AX178" s="223"/>
      <c r="AY178" s="223"/>
      <c r="AZ178" s="223"/>
      <c r="BA178" s="223"/>
      <c r="BB178" s="223"/>
      <c r="BC178" s="223"/>
      <c r="BD178" s="223"/>
      <c r="BE178" s="223"/>
      <c r="BF178" s="223"/>
      <c r="BG178" s="223"/>
      <c r="BH178" s="223"/>
      <c r="BI178" s="223"/>
      <c r="BJ178" s="223"/>
      <c r="BK178" s="223"/>
      <c r="BL178" s="223"/>
      <c r="BM178" s="223"/>
      <c r="BN178" s="223"/>
      <c r="BO178" s="223"/>
      <c r="BP178" s="223"/>
      <c r="BQ178" s="227"/>
      <c r="BR178" s="227"/>
      <c r="BS178" s="227"/>
      <c r="BT178" s="227"/>
      <c r="BU178" s="227"/>
      <c r="BV178" s="227"/>
      <c r="BW178" s="227"/>
      <c r="BX178" s="227"/>
      <c r="BY178" s="227"/>
      <c r="BZ178" s="227"/>
      <c r="CA178" s="227"/>
      <c r="CB178" s="227"/>
      <c r="CC178" s="227"/>
      <c r="CD178" s="227"/>
      <c r="CE178" s="227"/>
      <c r="CF178" s="227"/>
      <c r="CG178" s="227"/>
      <c r="CH178" s="227"/>
      <c r="CI178" s="227"/>
      <c r="CJ178" s="227"/>
      <c r="CK178" s="227"/>
      <c r="CL178" s="227"/>
      <c r="CM178" s="227"/>
      <c r="CN178" s="227"/>
      <c r="CO178" s="227"/>
      <c r="CP178" s="227"/>
      <c r="CQ178" s="227"/>
      <c r="CR178" s="227"/>
      <c r="CS178" s="227"/>
      <c r="CT178" s="227"/>
      <c r="CU178" s="225"/>
      <c r="CV178" s="227"/>
    </row>
    <row r="179" spans="1:100" ht="20.100000000000001" customHeight="1">
      <c r="A179" s="227">
        <v>86</v>
      </c>
      <c r="B179" s="225"/>
      <c r="C179" s="227"/>
      <c r="D179" s="228" cm="1">
        <f t="array" ref="D179">IFERROR(
(SUMPRODUCT(E179:CU179*$E$6:$CU$6)/100) + (SUMPRODUCT(E179:CU179*$E$6:$CU$6*$E$3:$CU$3)/100),
0
)</f>
        <v>0</v>
      </c>
      <c r="E179" s="227"/>
      <c r="F179" s="227"/>
      <c r="G179" s="227"/>
      <c r="H179" s="227"/>
      <c r="I179" s="227"/>
      <c r="J179" s="227"/>
      <c r="K179" s="227"/>
      <c r="L179" s="227"/>
      <c r="M179" s="227"/>
      <c r="N179" s="227"/>
      <c r="O179" s="227"/>
      <c r="P179" s="227"/>
      <c r="Q179" s="227"/>
      <c r="R179" s="227"/>
      <c r="S179" s="227"/>
      <c r="T179" s="227"/>
      <c r="U179" s="227"/>
      <c r="V179" s="227"/>
      <c r="W179" s="227"/>
      <c r="X179" s="227"/>
      <c r="Y179" s="227"/>
      <c r="Z179" s="227"/>
      <c r="AA179" s="227"/>
      <c r="AB179" s="227"/>
      <c r="AC179" s="227"/>
      <c r="AD179" s="227"/>
      <c r="AE179" s="227"/>
      <c r="AF179" s="227"/>
      <c r="AG179" s="227"/>
      <c r="AH179" s="227"/>
      <c r="AI179" s="227"/>
      <c r="AJ179" s="227"/>
      <c r="AK179" s="227"/>
      <c r="AL179" s="227"/>
      <c r="AM179" s="227"/>
      <c r="AN179" s="227"/>
      <c r="AO179" s="227"/>
      <c r="AP179" s="227"/>
      <c r="AQ179" s="227"/>
      <c r="AR179" s="227"/>
      <c r="AS179" s="227"/>
      <c r="AT179" s="227"/>
      <c r="AU179" s="227"/>
      <c r="AV179" s="227"/>
      <c r="AW179" s="227"/>
      <c r="AX179" s="227"/>
      <c r="AY179" s="227"/>
      <c r="AZ179" s="227"/>
      <c r="BA179" s="227"/>
      <c r="BB179" s="227"/>
      <c r="BC179" s="227"/>
      <c r="BD179" s="227"/>
      <c r="BE179" s="227"/>
      <c r="BF179" s="227"/>
      <c r="BG179" s="227"/>
      <c r="BH179" s="227"/>
      <c r="BI179" s="227"/>
      <c r="BJ179" s="227"/>
      <c r="BK179" s="227"/>
      <c r="BL179" s="227"/>
      <c r="BM179" s="227"/>
      <c r="BN179" s="227"/>
      <c r="BO179" s="227"/>
      <c r="BP179" s="227"/>
      <c r="BQ179" s="227"/>
      <c r="BR179" s="227"/>
      <c r="BS179" s="227"/>
      <c r="BT179" s="227"/>
      <c r="BU179" s="227"/>
      <c r="BV179" s="227"/>
      <c r="BW179" s="227"/>
      <c r="BX179" s="227"/>
      <c r="BY179" s="227"/>
      <c r="BZ179" s="227"/>
      <c r="CA179" s="227"/>
      <c r="CB179" s="227"/>
      <c r="CC179" s="227"/>
      <c r="CD179" s="227"/>
      <c r="CE179" s="227"/>
      <c r="CF179" s="227"/>
      <c r="CG179" s="227"/>
      <c r="CH179" s="227"/>
      <c r="CI179" s="227"/>
      <c r="CJ179" s="227"/>
      <c r="CK179" s="227"/>
      <c r="CL179" s="227"/>
      <c r="CM179" s="227"/>
      <c r="CN179" s="227"/>
      <c r="CO179" s="227"/>
      <c r="CP179" s="227"/>
      <c r="CQ179" s="227"/>
      <c r="CR179" s="227"/>
      <c r="CS179" s="227"/>
      <c r="CT179" s="227"/>
      <c r="CU179" s="225"/>
      <c r="CV179" s="227"/>
    </row>
    <row r="180" spans="1:100" ht="20.100000000000001" customHeight="1">
      <c r="A180" s="223"/>
      <c r="B180" s="225"/>
      <c r="C180" s="227"/>
      <c r="D180" s="224"/>
      <c r="E180" s="223"/>
      <c r="F180" s="223"/>
      <c r="G180" s="223"/>
      <c r="H180" s="223"/>
      <c r="I180" s="223"/>
      <c r="J180" s="223"/>
      <c r="K180" s="223"/>
      <c r="L180" s="223"/>
      <c r="M180" s="223"/>
      <c r="N180" s="223"/>
      <c r="O180" s="223"/>
      <c r="P180" s="223"/>
      <c r="Q180" s="223"/>
      <c r="R180" s="223"/>
      <c r="S180" s="223"/>
      <c r="T180" s="223"/>
      <c r="U180" s="223"/>
      <c r="V180" s="223"/>
      <c r="W180" s="223"/>
      <c r="X180" s="223"/>
      <c r="Y180" s="223"/>
      <c r="Z180" s="223"/>
      <c r="AA180" s="223"/>
      <c r="AB180" s="223"/>
      <c r="AC180" s="223"/>
      <c r="AD180" s="223"/>
      <c r="AE180" s="223"/>
      <c r="AF180" s="223"/>
      <c r="AG180" s="223"/>
      <c r="AH180" s="223"/>
      <c r="AI180" s="223"/>
      <c r="AJ180" s="223"/>
      <c r="AK180" s="223"/>
      <c r="AL180" s="223"/>
      <c r="AM180" s="223"/>
      <c r="AN180" s="223"/>
      <c r="AO180" s="223"/>
      <c r="AP180" s="223"/>
      <c r="AQ180" s="223"/>
      <c r="AR180" s="223"/>
      <c r="AS180" s="223"/>
      <c r="AT180" s="223"/>
      <c r="AU180" s="223"/>
      <c r="AV180" s="223"/>
      <c r="AW180" s="223"/>
      <c r="AX180" s="223"/>
      <c r="AY180" s="223"/>
      <c r="AZ180" s="223"/>
      <c r="BA180" s="223"/>
      <c r="BB180" s="223"/>
      <c r="BC180" s="223"/>
      <c r="BD180" s="223"/>
      <c r="BE180" s="223"/>
      <c r="BF180" s="223"/>
      <c r="BG180" s="223"/>
      <c r="BH180" s="223"/>
      <c r="BI180" s="223"/>
      <c r="BJ180" s="223"/>
      <c r="BK180" s="223"/>
      <c r="BL180" s="223"/>
      <c r="BM180" s="223"/>
      <c r="BN180" s="223"/>
      <c r="BO180" s="223"/>
      <c r="BP180" s="223"/>
      <c r="BQ180" s="227"/>
      <c r="BR180" s="227"/>
      <c r="BS180" s="227"/>
      <c r="BT180" s="227"/>
      <c r="BU180" s="227"/>
      <c r="BV180" s="227"/>
      <c r="BW180" s="227"/>
      <c r="BX180" s="227"/>
      <c r="BY180" s="227"/>
      <c r="BZ180" s="227"/>
      <c r="CA180" s="227"/>
      <c r="CB180" s="227"/>
      <c r="CC180" s="227"/>
      <c r="CD180" s="227"/>
      <c r="CE180" s="227"/>
      <c r="CF180" s="227"/>
      <c r="CG180" s="227"/>
      <c r="CH180" s="227"/>
      <c r="CI180" s="227"/>
      <c r="CJ180" s="227"/>
      <c r="CK180" s="227"/>
      <c r="CL180" s="227"/>
      <c r="CM180" s="227"/>
      <c r="CN180" s="227"/>
      <c r="CO180" s="227"/>
      <c r="CP180" s="227"/>
      <c r="CQ180" s="227"/>
      <c r="CR180" s="227"/>
      <c r="CS180" s="227"/>
      <c r="CT180" s="227"/>
      <c r="CU180" s="225"/>
      <c r="CV180" s="227"/>
    </row>
    <row r="181" spans="1:100" ht="20.100000000000001" customHeight="1">
      <c r="A181" s="227">
        <v>87</v>
      </c>
      <c r="B181" s="225"/>
      <c r="C181" s="227"/>
      <c r="D181" s="228" cm="1">
        <f t="array" ref="D181">IFERROR(
(SUMPRODUCT(E181:CU181*$E$6:$CU$6)/100) + (SUMPRODUCT(E181:CU181*$E$6:$CU$6*$E$3:$CU$3)/100),
0
)</f>
        <v>0</v>
      </c>
      <c r="E181" s="227"/>
      <c r="F181" s="227"/>
      <c r="G181" s="227"/>
      <c r="H181" s="227"/>
      <c r="I181" s="227"/>
      <c r="J181" s="227"/>
      <c r="K181" s="227"/>
      <c r="L181" s="227"/>
      <c r="M181" s="227"/>
      <c r="N181" s="227"/>
      <c r="O181" s="227"/>
      <c r="P181" s="227"/>
      <c r="Q181" s="227"/>
      <c r="R181" s="227"/>
      <c r="S181" s="227"/>
      <c r="T181" s="227"/>
      <c r="U181" s="227"/>
      <c r="V181" s="227"/>
      <c r="W181" s="227"/>
      <c r="X181" s="227"/>
      <c r="Y181" s="227"/>
      <c r="Z181" s="227"/>
      <c r="AA181" s="227"/>
      <c r="AB181" s="227"/>
      <c r="AC181" s="227"/>
      <c r="AD181" s="227"/>
      <c r="AE181" s="227"/>
      <c r="AF181" s="227"/>
      <c r="AG181" s="227"/>
      <c r="AH181" s="227"/>
      <c r="AI181" s="227"/>
      <c r="AJ181" s="227"/>
      <c r="AK181" s="227"/>
      <c r="AL181" s="227"/>
      <c r="AM181" s="227"/>
      <c r="AN181" s="227"/>
      <c r="AO181" s="227"/>
      <c r="AP181" s="227"/>
      <c r="AQ181" s="227"/>
      <c r="AR181" s="227"/>
      <c r="AS181" s="227"/>
      <c r="AT181" s="227"/>
      <c r="AU181" s="227"/>
      <c r="AV181" s="227"/>
      <c r="AW181" s="227"/>
      <c r="AX181" s="227"/>
      <c r="AY181" s="227"/>
      <c r="AZ181" s="227"/>
      <c r="BA181" s="227"/>
      <c r="BB181" s="227"/>
      <c r="BC181" s="227"/>
      <c r="BD181" s="227"/>
      <c r="BE181" s="227"/>
      <c r="BF181" s="227"/>
      <c r="BG181" s="227"/>
      <c r="BH181" s="227"/>
      <c r="BI181" s="227"/>
      <c r="BJ181" s="227"/>
      <c r="BK181" s="227"/>
      <c r="BL181" s="227"/>
      <c r="BM181" s="227"/>
      <c r="BN181" s="227"/>
      <c r="BO181" s="227"/>
      <c r="BP181" s="227"/>
      <c r="BQ181" s="227"/>
      <c r="BR181" s="227"/>
      <c r="BS181" s="227"/>
      <c r="BT181" s="227"/>
      <c r="BU181" s="227"/>
      <c r="BV181" s="227"/>
      <c r="BW181" s="227"/>
      <c r="BX181" s="227"/>
      <c r="BY181" s="227"/>
      <c r="BZ181" s="227"/>
      <c r="CA181" s="227"/>
      <c r="CB181" s="227"/>
      <c r="CC181" s="227"/>
      <c r="CD181" s="227"/>
      <c r="CE181" s="227"/>
      <c r="CF181" s="227"/>
      <c r="CG181" s="227"/>
      <c r="CH181" s="227"/>
      <c r="CI181" s="227"/>
      <c r="CJ181" s="227"/>
      <c r="CK181" s="227"/>
      <c r="CL181" s="227"/>
      <c r="CM181" s="227"/>
      <c r="CN181" s="227"/>
      <c r="CO181" s="227"/>
      <c r="CP181" s="227"/>
      <c r="CQ181" s="227"/>
      <c r="CR181" s="227"/>
      <c r="CS181" s="227"/>
      <c r="CT181" s="227"/>
      <c r="CU181" s="225"/>
      <c r="CV181" s="227"/>
    </row>
    <row r="182" spans="1:100" ht="20.100000000000001" customHeight="1">
      <c r="A182" s="227"/>
      <c r="B182" s="225"/>
      <c r="C182" s="227"/>
      <c r="D182" s="224"/>
      <c r="E182" s="223"/>
      <c r="F182" s="223"/>
      <c r="G182" s="223"/>
      <c r="H182" s="223"/>
      <c r="I182" s="223"/>
      <c r="J182" s="223"/>
      <c r="K182" s="223"/>
      <c r="L182" s="223"/>
      <c r="M182" s="223"/>
      <c r="N182" s="223"/>
      <c r="O182" s="223"/>
      <c r="P182" s="223"/>
      <c r="Q182" s="223"/>
      <c r="R182" s="223"/>
      <c r="S182" s="223"/>
      <c r="T182" s="223"/>
      <c r="U182" s="223"/>
      <c r="V182" s="223"/>
      <c r="W182" s="223"/>
      <c r="X182" s="223"/>
      <c r="Y182" s="223"/>
      <c r="Z182" s="223"/>
      <c r="AA182" s="223"/>
      <c r="AB182" s="223"/>
      <c r="AC182" s="223"/>
      <c r="AD182" s="223"/>
      <c r="AE182" s="223"/>
      <c r="AF182" s="223"/>
      <c r="AG182" s="223"/>
      <c r="AH182" s="223"/>
      <c r="AI182" s="223"/>
      <c r="AJ182" s="223"/>
      <c r="AK182" s="223"/>
      <c r="AL182" s="223"/>
      <c r="AM182" s="223"/>
      <c r="AN182" s="223"/>
      <c r="AO182" s="223"/>
      <c r="AP182" s="223"/>
      <c r="AQ182" s="223"/>
      <c r="AR182" s="223"/>
      <c r="AS182" s="223"/>
      <c r="AT182" s="223"/>
      <c r="AU182" s="223"/>
      <c r="AV182" s="223"/>
      <c r="AW182" s="223"/>
      <c r="AX182" s="223"/>
      <c r="AY182" s="223"/>
      <c r="AZ182" s="223"/>
      <c r="BA182" s="223"/>
      <c r="BB182" s="223"/>
      <c r="BC182" s="223"/>
      <c r="BD182" s="223"/>
      <c r="BE182" s="223"/>
      <c r="BF182" s="223"/>
      <c r="BG182" s="223"/>
      <c r="BH182" s="223"/>
      <c r="BI182" s="223"/>
      <c r="BJ182" s="223"/>
      <c r="BK182" s="223"/>
      <c r="BL182" s="223"/>
      <c r="BM182" s="223"/>
      <c r="BN182" s="223"/>
      <c r="BO182" s="223"/>
      <c r="BP182" s="223"/>
      <c r="BQ182" s="227"/>
      <c r="BR182" s="227"/>
      <c r="BS182" s="227"/>
      <c r="BT182" s="227"/>
      <c r="BU182" s="227"/>
      <c r="BV182" s="227"/>
      <c r="BW182" s="227"/>
      <c r="BX182" s="227"/>
      <c r="BY182" s="227"/>
      <c r="BZ182" s="227"/>
      <c r="CA182" s="227"/>
      <c r="CB182" s="227"/>
      <c r="CC182" s="227"/>
      <c r="CD182" s="227"/>
      <c r="CE182" s="227"/>
      <c r="CF182" s="227"/>
      <c r="CG182" s="227"/>
      <c r="CH182" s="227"/>
      <c r="CI182" s="227"/>
      <c r="CJ182" s="227"/>
      <c r="CK182" s="227"/>
      <c r="CL182" s="227"/>
      <c r="CM182" s="227"/>
      <c r="CN182" s="227"/>
      <c r="CO182" s="227"/>
      <c r="CP182" s="227"/>
      <c r="CQ182" s="227"/>
      <c r="CR182" s="227"/>
      <c r="CS182" s="227"/>
      <c r="CT182" s="227"/>
      <c r="CU182" s="225"/>
      <c r="CV182" s="227"/>
    </row>
    <row r="183" spans="1:100" ht="20.100000000000001" customHeight="1">
      <c r="A183" s="227">
        <v>88</v>
      </c>
      <c r="B183" s="225"/>
      <c r="C183" s="227"/>
      <c r="D183" s="228" cm="1">
        <f t="array" ref="D183">IFERROR(
(SUMPRODUCT(E183:CU183*$E$6:$CU$6)/100) + (SUMPRODUCT(E183:CU183*$E$6:$CU$6*$E$3:$CU$3)/100),
0
)</f>
        <v>0</v>
      </c>
      <c r="E183" s="227"/>
      <c r="F183" s="227"/>
      <c r="G183" s="227"/>
      <c r="H183" s="227"/>
      <c r="I183" s="227"/>
      <c r="J183" s="227"/>
      <c r="K183" s="227"/>
      <c r="L183" s="227"/>
      <c r="M183" s="227"/>
      <c r="N183" s="227"/>
      <c r="O183" s="227"/>
      <c r="P183" s="227"/>
      <c r="Q183" s="227"/>
      <c r="R183" s="227"/>
      <c r="S183" s="227"/>
      <c r="T183" s="227"/>
      <c r="U183" s="227"/>
      <c r="V183" s="227"/>
      <c r="W183" s="227"/>
      <c r="X183" s="227"/>
      <c r="Y183" s="227"/>
      <c r="Z183" s="227"/>
      <c r="AA183" s="227"/>
      <c r="AB183" s="227"/>
      <c r="AC183" s="227"/>
      <c r="AD183" s="227"/>
      <c r="AE183" s="227"/>
      <c r="AF183" s="227"/>
      <c r="AG183" s="227"/>
      <c r="AH183" s="227"/>
      <c r="AI183" s="227"/>
      <c r="AJ183" s="227"/>
      <c r="AK183" s="227"/>
      <c r="AL183" s="227"/>
      <c r="AM183" s="227"/>
      <c r="AN183" s="227"/>
      <c r="AO183" s="227"/>
      <c r="AP183" s="227"/>
      <c r="AQ183" s="227"/>
      <c r="AR183" s="227"/>
      <c r="AS183" s="227"/>
      <c r="AT183" s="227"/>
      <c r="AU183" s="227"/>
      <c r="AV183" s="227"/>
      <c r="AW183" s="227"/>
      <c r="AX183" s="227"/>
      <c r="AY183" s="227"/>
      <c r="AZ183" s="227"/>
      <c r="BA183" s="227"/>
      <c r="BB183" s="227"/>
      <c r="BC183" s="227"/>
      <c r="BD183" s="227"/>
      <c r="BE183" s="227"/>
      <c r="BF183" s="227"/>
      <c r="BG183" s="227"/>
      <c r="BH183" s="227"/>
      <c r="BI183" s="227"/>
      <c r="BJ183" s="227"/>
      <c r="BK183" s="227"/>
      <c r="BL183" s="227"/>
      <c r="BM183" s="227"/>
      <c r="BN183" s="227"/>
      <c r="BO183" s="227"/>
      <c r="BP183" s="227"/>
      <c r="BQ183" s="227"/>
      <c r="BR183" s="227"/>
      <c r="BS183" s="227"/>
      <c r="BT183" s="227"/>
      <c r="BU183" s="227"/>
      <c r="BV183" s="227"/>
      <c r="BW183" s="227"/>
      <c r="BX183" s="227"/>
      <c r="BY183" s="227"/>
      <c r="BZ183" s="227"/>
      <c r="CA183" s="227"/>
      <c r="CB183" s="227"/>
      <c r="CC183" s="227"/>
      <c r="CD183" s="227"/>
      <c r="CE183" s="227"/>
      <c r="CF183" s="227"/>
      <c r="CG183" s="227"/>
      <c r="CH183" s="227"/>
      <c r="CI183" s="227"/>
      <c r="CJ183" s="227"/>
      <c r="CK183" s="227"/>
      <c r="CL183" s="227"/>
      <c r="CM183" s="227"/>
      <c r="CN183" s="227"/>
      <c r="CO183" s="227"/>
      <c r="CP183" s="227"/>
      <c r="CQ183" s="227"/>
      <c r="CR183" s="227"/>
      <c r="CS183" s="227"/>
      <c r="CT183" s="227"/>
      <c r="CU183" s="225"/>
      <c r="CV183" s="227"/>
    </row>
    <row r="184" spans="1:100" ht="20.100000000000001" customHeight="1">
      <c r="A184" s="223"/>
      <c r="B184" s="225"/>
      <c r="C184" s="227"/>
      <c r="D184" s="224"/>
      <c r="E184" s="223"/>
      <c r="F184" s="223"/>
      <c r="G184" s="223"/>
      <c r="H184" s="223"/>
      <c r="I184" s="223"/>
      <c r="J184" s="223"/>
      <c r="K184" s="223"/>
      <c r="L184" s="223"/>
      <c r="M184" s="223"/>
      <c r="N184" s="223"/>
      <c r="O184" s="223"/>
      <c r="P184" s="223"/>
      <c r="Q184" s="223"/>
      <c r="R184" s="223"/>
      <c r="S184" s="223"/>
      <c r="T184" s="223"/>
      <c r="U184" s="223"/>
      <c r="V184" s="223"/>
      <c r="W184" s="223"/>
      <c r="X184" s="223"/>
      <c r="Y184" s="223"/>
      <c r="Z184" s="223"/>
      <c r="AA184" s="223"/>
      <c r="AB184" s="223"/>
      <c r="AC184" s="223"/>
      <c r="AD184" s="223"/>
      <c r="AE184" s="223"/>
      <c r="AF184" s="223"/>
      <c r="AG184" s="223"/>
      <c r="AH184" s="223"/>
      <c r="AI184" s="223"/>
      <c r="AJ184" s="223"/>
      <c r="AK184" s="223"/>
      <c r="AL184" s="223"/>
      <c r="AM184" s="223"/>
      <c r="AN184" s="223"/>
      <c r="AO184" s="223"/>
      <c r="AP184" s="223"/>
      <c r="AQ184" s="223"/>
      <c r="AR184" s="223"/>
      <c r="AS184" s="223"/>
      <c r="AT184" s="223"/>
      <c r="AU184" s="223"/>
      <c r="AV184" s="223"/>
      <c r="AW184" s="223"/>
      <c r="AX184" s="223"/>
      <c r="AY184" s="223"/>
      <c r="AZ184" s="223"/>
      <c r="BA184" s="223"/>
      <c r="BB184" s="223"/>
      <c r="BC184" s="223"/>
      <c r="BD184" s="223"/>
      <c r="BE184" s="223"/>
      <c r="BF184" s="223"/>
      <c r="BG184" s="223"/>
      <c r="BH184" s="223"/>
      <c r="BI184" s="223"/>
      <c r="BJ184" s="223"/>
      <c r="BK184" s="223"/>
      <c r="BL184" s="223"/>
      <c r="BM184" s="223"/>
      <c r="BN184" s="223"/>
      <c r="BO184" s="223"/>
      <c r="BP184" s="223"/>
      <c r="BQ184" s="227"/>
      <c r="BR184" s="227"/>
      <c r="BS184" s="227"/>
      <c r="BT184" s="227"/>
      <c r="BU184" s="227"/>
      <c r="BV184" s="227"/>
      <c r="BW184" s="227"/>
      <c r="BX184" s="227"/>
      <c r="BY184" s="227"/>
      <c r="BZ184" s="227"/>
      <c r="CA184" s="227"/>
      <c r="CB184" s="227"/>
      <c r="CC184" s="227"/>
      <c r="CD184" s="227"/>
      <c r="CE184" s="227"/>
      <c r="CF184" s="227"/>
      <c r="CG184" s="227"/>
      <c r="CH184" s="227"/>
      <c r="CI184" s="227"/>
      <c r="CJ184" s="227"/>
      <c r="CK184" s="227"/>
      <c r="CL184" s="227"/>
      <c r="CM184" s="227"/>
      <c r="CN184" s="227"/>
      <c r="CO184" s="227"/>
      <c r="CP184" s="227"/>
      <c r="CQ184" s="227"/>
      <c r="CR184" s="227"/>
      <c r="CS184" s="227"/>
      <c r="CT184" s="227"/>
      <c r="CU184" s="225"/>
      <c r="CV184" s="227"/>
    </row>
    <row r="185" spans="1:100" ht="20.100000000000001" customHeight="1">
      <c r="A185" s="227">
        <v>89</v>
      </c>
      <c r="B185" s="225"/>
      <c r="C185" s="227"/>
      <c r="D185" s="228" cm="1">
        <f t="array" ref="D185">IFERROR(
(SUMPRODUCT(E185:CU185*$E$6:$CU$6)/100) + (SUMPRODUCT(E185:CU185*$E$6:$CU$6*$E$3:$CU$3)/100),
0
)</f>
        <v>0</v>
      </c>
      <c r="E185" s="227"/>
      <c r="F185" s="227"/>
      <c r="G185" s="227"/>
      <c r="H185" s="227"/>
      <c r="I185" s="227"/>
      <c r="J185" s="227"/>
      <c r="K185" s="227"/>
      <c r="L185" s="227"/>
      <c r="M185" s="227"/>
      <c r="N185" s="227"/>
      <c r="O185" s="227"/>
      <c r="P185" s="227"/>
      <c r="Q185" s="227"/>
      <c r="R185" s="227"/>
      <c r="S185" s="227"/>
      <c r="T185" s="227"/>
      <c r="U185" s="227"/>
      <c r="V185" s="227"/>
      <c r="W185" s="227"/>
      <c r="X185" s="227"/>
      <c r="Y185" s="227"/>
      <c r="Z185" s="227"/>
      <c r="AA185" s="227"/>
      <c r="AB185" s="227"/>
      <c r="AC185" s="227"/>
      <c r="AD185" s="227"/>
      <c r="AE185" s="227"/>
      <c r="AF185" s="227"/>
      <c r="AG185" s="227"/>
      <c r="AH185" s="227"/>
      <c r="AI185" s="227"/>
      <c r="AJ185" s="227"/>
      <c r="AK185" s="227"/>
      <c r="AL185" s="227"/>
      <c r="AM185" s="227"/>
      <c r="AN185" s="227"/>
      <c r="AO185" s="227"/>
      <c r="AP185" s="227"/>
      <c r="AQ185" s="227"/>
      <c r="AR185" s="227"/>
      <c r="AS185" s="227"/>
      <c r="AT185" s="227"/>
      <c r="AU185" s="227"/>
      <c r="AV185" s="227"/>
      <c r="AW185" s="227"/>
      <c r="AX185" s="227"/>
      <c r="AY185" s="227"/>
      <c r="AZ185" s="227"/>
      <c r="BA185" s="227"/>
      <c r="BB185" s="227"/>
      <c r="BC185" s="227"/>
      <c r="BD185" s="227"/>
      <c r="BE185" s="227"/>
      <c r="BF185" s="227"/>
      <c r="BG185" s="227"/>
      <c r="BH185" s="227"/>
      <c r="BI185" s="227"/>
      <c r="BJ185" s="227"/>
      <c r="BK185" s="227"/>
      <c r="BL185" s="227"/>
      <c r="BM185" s="227"/>
      <c r="BN185" s="227"/>
      <c r="BO185" s="227"/>
      <c r="BP185" s="227"/>
      <c r="BQ185" s="227"/>
      <c r="BR185" s="227"/>
      <c r="BS185" s="227"/>
      <c r="BT185" s="227"/>
      <c r="BU185" s="227"/>
      <c r="BV185" s="227"/>
      <c r="BW185" s="227"/>
      <c r="BX185" s="227"/>
      <c r="BY185" s="227"/>
      <c r="BZ185" s="227"/>
      <c r="CA185" s="227"/>
      <c r="CB185" s="227"/>
      <c r="CC185" s="227"/>
      <c r="CD185" s="227"/>
      <c r="CE185" s="227"/>
      <c r="CF185" s="227"/>
      <c r="CG185" s="227"/>
      <c r="CH185" s="227"/>
      <c r="CI185" s="227"/>
      <c r="CJ185" s="227"/>
      <c r="CK185" s="227"/>
      <c r="CL185" s="227"/>
      <c r="CM185" s="227"/>
      <c r="CN185" s="227"/>
      <c r="CO185" s="227"/>
      <c r="CP185" s="227"/>
      <c r="CQ185" s="227"/>
      <c r="CR185" s="227"/>
      <c r="CS185" s="227"/>
      <c r="CT185" s="227"/>
      <c r="CU185" s="225"/>
      <c r="CV185" s="227"/>
    </row>
    <row r="186" spans="1:100" ht="20.100000000000001" customHeight="1">
      <c r="A186" s="227"/>
      <c r="B186" s="225"/>
      <c r="C186" s="227"/>
      <c r="D186" s="224"/>
      <c r="E186" s="223"/>
      <c r="F186" s="223"/>
      <c r="G186" s="223"/>
      <c r="H186" s="223"/>
      <c r="I186" s="223"/>
      <c r="J186" s="223"/>
      <c r="K186" s="223"/>
      <c r="L186" s="223"/>
      <c r="M186" s="223"/>
      <c r="N186" s="223"/>
      <c r="O186" s="223"/>
      <c r="P186" s="223"/>
      <c r="Q186" s="223"/>
      <c r="R186" s="223"/>
      <c r="S186" s="223"/>
      <c r="T186" s="223"/>
      <c r="U186" s="223"/>
      <c r="V186" s="223"/>
      <c r="W186" s="223"/>
      <c r="X186" s="223"/>
      <c r="Y186" s="223"/>
      <c r="Z186" s="223"/>
      <c r="AA186" s="223"/>
      <c r="AB186" s="223"/>
      <c r="AC186" s="223"/>
      <c r="AD186" s="223"/>
      <c r="AE186" s="223"/>
      <c r="AF186" s="223"/>
      <c r="AG186" s="223"/>
      <c r="AH186" s="223"/>
      <c r="AI186" s="223"/>
      <c r="AJ186" s="223"/>
      <c r="AK186" s="223"/>
      <c r="AL186" s="223"/>
      <c r="AM186" s="223"/>
      <c r="AN186" s="223"/>
      <c r="AO186" s="223"/>
      <c r="AP186" s="223"/>
      <c r="AQ186" s="223"/>
      <c r="AR186" s="223"/>
      <c r="AS186" s="223"/>
      <c r="AT186" s="223"/>
      <c r="AU186" s="223"/>
      <c r="AV186" s="223"/>
      <c r="AW186" s="223"/>
      <c r="AX186" s="223"/>
      <c r="AY186" s="223"/>
      <c r="AZ186" s="223"/>
      <c r="BA186" s="223"/>
      <c r="BB186" s="223"/>
      <c r="BC186" s="223"/>
      <c r="BD186" s="223"/>
      <c r="BE186" s="223"/>
      <c r="BF186" s="223"/>
      <c r="BG186" s="223"/>
      <c r="BH186" s="223"/>
      <c r="BI186" s="223"/>
      <c r="BJ186" s="223"/>
      <c r="BK186" s="223"/>
      <c r="BL186" s="223"/>
      <c r="BM186" s="223"/>
      <c r="BN186" s="223"/>
      <c r="BO186" s="223"/>
      <c r="BP186" s="223"/>
      <c r="BQ186" s="227"/>
      <c r="BR186" s="227"/>
      <c r="BS186" s="227"/>
      <c r="BT186" s="227"/>
      <c r="BU186" s="227"/>
      <c r="BV186" s="227"/>
      <c r="BW186" s="227"/>
      <c r="BX186" s="227"/>
      <c r="BY186" s="227"/>
      <c r="BZ186" s="227"/>
      <c r="CA186" s="227"/>
      <c r="CB186" s="227"/>
      <c r="CC186" s="227"/>
      <c r="CD186" s="227"/>
      <c r="CE186" s="227"/>
      <c r="CF186" s="227"/>
      <c r="CG186" s="227"/>
      <c r="CH186" s="227"/>
      <c r="CI186" s="227"/>
      <c r="CJ186" s="227"/>
      <c r="CK186" s="227"/>
      <c r="CL186" s="227"/>
      <c r="CM186" s="227"/>
      <c r="CN186" s="227"/>
      <c r="CO186" s="227"/>
      <c r="CP186" s="227"/>
      <c r="CQ186" s="227"/>
      <c r="CR186" s="227"/>
      <c r="CS186" s="227"/>
      <c r="CT186" s="227"/>
      <c r="CU186" s="225"/>
      <c r="CV186" s="227"/>
    </row>
    <row r="187" spans="1:100" ht="20.100000000000001" customHeight="1">
      <c r="A187" s="227">
        <v>90</v>
      </c>
      <c r="B187" s="225"/>
      <c r="C187" s="227"/>
      <c r="D187" s="228" cm="1">
        <f t="array" ref="D187">IFERROR(
(SUMPRODUCT(E187:CU187*$E$6:$CU$6)/100) + (SUMPRODUCT(E187:CU187*$E$6:$CU$6*$E$3:$CU$3)/100),
0
)</f>
        <v>0</v>
      </c>
      <c r="E187" s="227"/>
      <c r="F187" s="227"/>
      <c r="G187" s="227"/>
      <c r="H187" s="227"/>
      <c r="I187" s="227"/>
      <c r="J187" s="227"/>
      <c r="K187" s="227"/>
      <c r="L187" s="227"/>
      <c r="M187" s="227"/>
      <c r="N187" s="227"/>
      <c r="O187" s="227"/>
      <c r="P187" s="227"/>
      <c r="Q187" s="227"/>
      <c r="R187" s="227"/>
      <c r="S187" s="227"/>
      <c r="T187" s="227"/>
      <c r="U187" s="227"/>
      <c r="V187" s="227"/>
      <c r="W187" s="227"/>
      <c r="X187" s="227"/>
      <c r="Y187" s="227"/>
      <c r="Z187" s="227"/>
      <c r="AA187" s="227"/>
      <c r="AB187" s="227"/>
      <c r="AC187" s="227"/>
      <c r="AD187" s="227"/>
      <c r="AE187" s="227"/>
      <c r="AF187" s="227"/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27"/>
      <c r="BC187" s="227"/>
      <c r="BD187" s="227"/>
      <c r="BE187" s="227"/>
      <c r="BF187" s="227"/>
      <c r="BG187" s="227"/>
      <c r="BH187" s="227"/>
      <c r="BI187" s="227"/>
      <c r="BJ187" s="227"/>
      <c r="BK187" s="227"/>
      <c r="BL187" s="227"/>
      <c r="BM187" s="227"/>
      <c r="BN187" s="227"/>
      <c r="BO187" s="227"/>
      <c r="BP187" s="227"/>
      <c r="BQ187" s="227"/>
      <c r="BR187" s="227"/>
      <c r="BS187" s="227"/>
      <c r="BT187" s="227"/>
      <c r="BU187" s="227"/>
      <c r="BV187" s="227"/>
      <c r="BW187" s="227"/>
      <c r="BX187" s="227"/>
      <c r="BY187" s="227"/>
      <c r="BZ187" s="227"/>
      <c r="CA187" s="227"/>
      <c r="CB187" s="227"/>
      <c r="CC187" s="227"/>
      <c r="CD187" s="227"/>
      <c r="CE187" s="227"/>
      <c r="CF187" s="227"/>
      <c r="CG187" s="227"/>
      <c r="CH187" s="227"/>
      <c r="CI187" s="227"/>
      <c r="CJ187" s="227"/>
      <c r="CK187" s="227"/>
      <c r="CL187" s="227"/>
      <c r="CM187" s="227"/>
      <c r="CN187" s="227"/>
      <c r="CO187" s="227"/>
      <c r="CP187" s="227"/>
      <c r="CQ187" s="227"/>
      <c r="CR187" s="227"/>
      <c r="CS187" s="227"/>
      <c r="CT187" s="227"/>
      <c r="CU187" s="225"/>
      <c r="CV187" s="227"/>
    </row>
    <row r="188" spans="1:100" ht="20.100000000000001" customHeight="1">
      <c r="A188" s="223"/>
      <c r="B188" s="225"/>
      <c r="C188" s="227"/>
      <c r="D188" s="224"/>
      <c r="E188" s="223"/>
      <c r="F188" s="223"/>
      <c r="G188" s="223"/>
      <c r="H188" s="223"/>
      <c r="I188" s="223"/>
      <c r="J188" s="223"/>
      <c r="K188" s="223"/>
      <c r="L188" s="223"/>
      <c r="M188" s="223"/>
      <c r="N188" s="223"/>
      <c r="O188" s="223"/>
      <c r="P188" s="223"/>
      <c r="Q188" s="223"/>
      <c r="R188" s="223"/>
      <c r="S188" s="223"/>
      <c r="T188" s="223"/>
      <c r="U188" s="223"/>
      <c r="V188" s="223"/>
      <c r="W188" s="223"/>
      <c r="X188" s="223"/>
      <c r="Y188" s="223"/>
      <c r="Z188" s="223"/>
      <c r="AA188" s="223"/>
      <c r="AB188" s="223"/>
      <c r="AC188" s="223"/>
      <c r="AD188" s="223"/>
      <c r="AE188" s="223"/>
      <c r="AF188" s="223"/>
      <c r="AG188" s="223"/>
      <c r="AH188" s="223"/>
      <c r="AI188" s="223"/>
      <c r="AJ188" s="223"/>
      <c r="AK188" s="223"/>
      <c r="AL188" s="223"/>
      <c r="AM188" s="223"/>
      <c r="AN188" s="223"/>
      <c r="AO188" s="223"/>
      <c r="AP188" s="223"/>
      <c r="AQ188" s="223"/>
      <c r="AR188" s="223"/>
      <c r="AS188" s="223"/>
      <c r="AT188" s="223"/>
      <c r="AU188" s="223"/>
      <c r="AV188" s="223"/>
      <c r="AW188" s="223"/>
      <c r="AX188" s="223"/>
      <c r="AY188" s="223"/>
      <c r="AZ188" s="223"/>
      <c r="BA188" s="223"/>
      <c r="BB188" s="223"/>
      <c r="BC188" s="223"/>
      <c r="BD188" s="223"/>
      <c r="BE188" s="223"/>
      <c r="BF188" s="223"/>
      <c r="BG188" s="223"/>
      <c r="BH188" s="223"/>
      <c r="BI188" s="223"/>
      <c r="BJ188" s="223"/>
      <c r="BK188" s="223"/>
      <c r="BL188" s="223"/>
      <c r="BM188" s="223"/>
      <c r="BN188" s="223"/>
      <c r="BO188" s="223"/>
      <c r="BP188" s="223"/>
      <c r="BQ188" s="227"/>
      <c r="BR188" s="227"/>
      <c r="BS188" s="227"/>
      <c r="BT188" s="227"/>
      <c r="BU188" s="227"/>
      <c r="BV188" s="227"/>
      <c r="BW188" s="227"/>
      <c r="BX188" s="227"/>
      <c r="BY188" s="227"/>
      <c r="BZ188" s="227"/>
      <c r="CA188" s="227"/>
      <c r="CB188" s="227"/>
      <c r="CC188" s="227"/>
      <c r="CD188" s="227"/>
      <c r="CE188" s="227"/>
      <c r="CF188" s="227"/>
      <c r="CG188" s="227"/>
      <c r="CH188" s="227"/>
      <c r="CI188" s="227"/>
      <c r="CJ188" s="227"/>
      <c r="CK188" s="227"/>
      <c r="CL188" s="227"/>
      <c r="CM188" s="227"/>
      <c r="CN188" s="227"/>
      <c r="CO188" s="227"/>
      <c r="CP188" s="227"/>
      <c r="CQ188" s="227"/>
      <c r="CR188" s="227"/>
      <c r="CS188" s="227"/>
      <c r="CT188" s="227"/>
      <c r="CU188" s="225"/>
      <c r="CV188" s="227"/>
    </row>
    <row r="189" spans="1:100" ht="20.100000000000001" customHeight="1">
      <c r="A189" s="227">
        <v>91</v>
      </c>
      <c r="B189" s="225"/>
      <c r="C189" s="227"/>
      <c r="D189" s="228" cm="1">
        <f t="array" ref="D189">IFERROR(
(SUMPRODUCT(E189:CU189*$E$6:$CU$6)/100) + (SUMPRODUCT(E189:CU189*$E$6:$CU$6*$E$3:$CU$3)/100),
0
)</f>
        <v>0</v>
      </c>
      <c r="E189" s="227"/>
      <c r="F189" s="227"/>
      <c r="G189" s="227"/>
      <c r="H189" s="227"/>
      <c r="I189" s="227"/>
      <c r="J189" s="227"/>
      <c r="K189" s="227"/>
      <c r="L189" s="227"/>
      <c r="M189" s="227"/>
      <c r="N189" s="227"/>
      <c r="O189" s="227"/>
      <c r="P189" s="227"/>
      <c r="Q189" s="227"/>
      <c r="R189" s="227"/>
      <c r="S189" s="227"/>
      <c r="T189" s="227"/>
      <c r="U189" s="227"/>
      <c r="V189" s="227"/>
      <c r="W189" s="227"/>
      <c r="X189" s="227"/>
      <c r="Y189" s="227"/>
      <c r="Z189" s="227"/>
      <c r="AA189" s="227"/>
      <c r="AB189" s="227"/>
      <c r="AC189" s="227"/>
      <c r="AD189" s="227"/>
      <c r="AE189" s="227"/>
      <c r="AF189" s="227"/>
      <c r="AG189" s="227"/>
      <c r="AH189" s="227"/>
      <c r="AI189" s="227"/>
      <c r="AJ189" s="227"/>
      <c r="AK189" s="227"/>
      <c r="AL189" s="227"/>
      <c r="AM189" s="227"/>
      <c r="AN189" s="227"/>
      <c r="AO189" s="227"/>
      <c r="AP189" s="227"/>
      <c r="AQ189" s="227"/>
      <c r="AR189" s="227"/>
      <c r="AS189" s="227"/>
      <c r="AT189" s="227"/>
      <c r="AU189" s="227"/>
      <c r="AV189" s="227"/>
      <c r="AW189" s="227"/>
      <c r="AX189" s="227"/>
      <c r="AY189" s="227"/>
      <c r="AZ189" s="227"/>
      <c r="BA189" s="227"/>
      <c r="BB189" s="227"/>
      <c r="BC189" s="227"/>
      <c r="BD189" s="227"/>
      <c r="BE189" s="227"/>
      <c r="BF189" s="227"/>
      <c r="BG189" s="227"/>
      <c r="BH189" s="227"/>
      <c r="BI189" s="227"/>
      <c r="BJ189" s="227"/>
      <c r="BK189" s="227"/>
      <c r="BL189" s="227"/>
      <c r="BM189" s="227"/>
      <c r="BN189" s="227"/>
      <c r="BO189" s="227"/>
      <c r="BP189" s="227"/>
      <c r="BQ189" s="227"/>
      <c r="BR189" s="227"/>
      <c r="BS189" s="227"/>
      <c r="BT189" s="227"/>
      <c r="BU189" s="227"/>
      <c r="BV189" s="227"/>
      <c r="BW189" s="227"/>
      <c r="BX189" s="227"/>
      <c r="BY189" s="227"/>
      <c r="BZ189" s="227"/>
      <c r="CA189" s="227"/>
      <c r="CB189" s="227"/>
      <c r="CC189" s="227"/>
      <c r="CD189" s="227"/>
      <c r="CE189" s="227"/>
      <c r="CF189" s="227"/>
      <c r="CG189" s="227"/>
      <c r="CH189" s="227"/>
      <c r="CI189" s="227"/>
      <c r="CJ189" s="227"/>
      <c r="CK189" s="227"/>
      <c r="CL189" s="227"/>
      <c r="CM189" s="227"/>
      <c r="CN189" s="227"/>
      <c r="CO189" s="227"/>
      <c r="CP189" s="227"/>
      <c r="CQ189" s="227"/>
      <c r="CR189" s="227"/>
      <c r="CS189" s="227"/>
      <c r="CT189" s="227"/>
      <c r="CU189" s="225"/>
      <c r="CV189" s="227"/>
    </row>
    <row r="190" spans="1:100" ht="20.100000000000001" customHeight="1">
      <c r="A190" s="227"/>
      <c r="B190" s="225"/>
      <c r="C190" s="227"/>
      <c r="D190" s="224"/>
      <c r="E190" s="223"/>
      <c r="F190" s="223"/>
      <c r="G190" s="223"/>
      <c r="H190" s="223"/>
      <c r="I190" s="223"/>
      <c r="J190" s="223"/>
      <c r="K190" s="223"/>
      <c r="L190" s="223"/>
      <c r="M190" s="223"/>
      <c r="N190" s="223"/>
      <c r="O190" s="223"/>
      <c r="P190" s="223"/>
      <c r="Q190" s="223"/>
      <c r="R190" s="223"/>
      <c r="S190" s="223"/>
      <c r="T190" s="223"/>
      <c r="U190" s="223"/>
      <c r="V190" s="223"/>
      <c r="W190" s="223"/>
      <c r="X190" s="223"/>
      <c r="Y190" s="223"/>
      <c r="Z190" s="223"/>
      <c r="AA190" s="223"/>
      <c r="AB190" s="223"/>
      <c r="AC190" s="223"/>
      <c r="AD190" s="223"/>
      <c r="AE190" s="223"/>
      <c r="AF190" s="223"/>
      <c r="AG190" s="223"/>
      <c r="AH190" s="223"/>
      <c r="AI190" s="223"/>
      <c r="AJ190" s="223"/>
      <c r="AK190" s="223"/>
      <c r="AL190" s="223"/>
      <c r="AM190" s="223"/>
      <c r="AN190" s="223"/>
      <c r="AO190" s="223"/>
      <c r="AP190" s="223"/>
      <c r="AQ190" s="223"/>
      <c r="AR190" s="223"/>
      <c r="AS190" s="223"/>
      <c r="AT190" s="223"/>
      <c r="AU190" s="223"/>
      <c r="AV190" s="223"/>
      <c r="AW190" s="223"/>
      <c r="AX190" s="223"/>
      <c r="AY190" s="223"/>
      <c r="AZ190" s="223"/>
      <c r="BA190" s="223"/>
      <c r="BB190" s="223"/>
      <c r="BC190" s="223"/>
      <c r="BD190" s="223"/>
      <c r="BE190" s="223"/>
      <c r="BF190" s="223"/>
      <c r="BG190" s="223"/>
      <c r="BH190" s="223"/>
      <c r="BI190" s="223"/>
      <c r="BJ190" s="223"/>
      <c r="BK190" s="223"/>
      <c r="BL190" s="223"/>
      <c r="BM190" s="223"/>
      <c r="BN190" s="223"/>
      <c r="BO190" s="223"/>
      <c r="BP190" s="223"/>
      <c r="BQ190" s="227"/>
      <c r="BR190" s="227"/>
      <c r="BS190" s="227"/>
      <c r="BT190" s="227"/>
      <c r="BU190" s="227"/>
      <c r="BV190" s="227"/>
      <c r="BW190" s="227"/>
      <c r="BX190" s="227"/>
      <c r="BY190" s="227"/>
      <c r="BZ190" s="227"/>
      <c r="CA190" s="227"/>
      <c r="CB190" s="227"/>
      <c r="CC190" s="227"/>
      <c r="CD190" s="227"/>
      <c r="CE190" s="227"/>
      <c r="CF190" s="227"/>
      <c r="CG190" s="227"/>
      <c r="CH190" s="227"/>
      <c r="CI190" s="227"/>
      <c r="CJ190" s="227"/>
      <c r="CK190" s="227"/>
      <c r="CL190" s="227"/>
      <c r="CM190" s="227"/>
      <c r="CN190" s="227"/>
      <c r="CO190" s="227"/>
      <c r="CP190" s="227"/>
      <c r="CQ190" s="227"/>
      <c r="CR190" s="227"/>
      <c r="CS190" s="227"/>
      <c r="CT190" s="227"/>
      <c r="CU190" s="225"/>
      <c r="CV190" s="227"/>
    </row>
    <row r="191" spans="1:100" ht="20.100000000000001" customHeight="1">
      <c r="A191" s="227">
        <v>92</v>
      </c>
      <c r="B191" s="225"/>
      <c r="C191" s="227"/>
      <c r="D191" s="228" cm="1">
        <f t="array" ref="D191">IFERROR(
(SUMPRODUCT(E191:CU191*$E$6:$CU$6)/100) + (SUMPRODUCT(E191:CU191*$E$6:$CU$6*$E$3:$CU$3)/100),
0
)</f>
        <v>0</v>
      </c>
      <c r="E191" s="227"/>
      <c r="F191" s="227"/>
      <c r="G191" s="227"/>
      <c r="H191" s="227"/>
      <c r="I191" s="227"/>
      <c r="J191" s="227"/>
      <c r="K191" s="227"/>
      <c r="L191" s="227"/>
      <c r="M191" s="227"/>
      <c r="N191" s="227"/>
      <c r="O191" s="227"/>
      <c r="P191" s="227"/>
      <c r="Q191" s="227"/>
      <c r="R191" s="227"/>
      <c r="S191" s="227"/>
      <c r="T191" s="227"/>
      <c r="U191" s="227"/>
      <c r="V191" s="227"/>
      <c r="W191" s="227"/>
      <c r="X191" s="227"/>
      <c r="Y191" s="227"/>
      <c r="Z191" s="227"/>
      <c r="AA191" s="227"/>
      <c r="AB191" s="227"/>
      <c r="AC191" s="227"/>
      <c r="AD191" s="227"/>
      <c r="AE191" s="227"/>
      <c r="AF191" s="227"/>
      <c r="AG191" s="227"/>
      <c r="AH191" s="227"/>
      <c r="AI191" s="227"/>
      <c r="AJ191" s="227"/>
      <c r="AK191" s="227"/>
      <c r="AL191" s="227"/>
      <c r="AM191" s="227"/>
      <c r="AN191" s="227"/>
      <c r="AO191" s="227"/>
      <c r="AP191" s="227"/>
      <c r="AQ191" s="227"/>
      <c r="AR191" s="227"/>
      <c r="AS191" s="227"/>
      <c r="AT191" s="227"/>
      <c r="AU191" s="227"/>
      <c r="AV191" s="227"/>
      <c r="AW191" s="227"/>
      <c r="AX191" s="227"/>
      <c r="AY191" s="227"/>
      <c r="AZ191" s="227"/>
      <c r="BA191" s="227"/>
      <c r="BB191" s="227"/>
      <c r="BC191" s="227"/>
      <c r="BD191" s="227"/>
      <c r="BE191" s="227"/>
      <c r="BF191" s="227"/>
      <c r="BG191" s="227"/>
      <c r="BH191" s="227"/>
      <c r="BI191" s="227"/>
      <c r="BJ191" s="227"/>
      <c r="BK191" s="227"/>
      <c r="BL191" s="227"/>
      <c r="BM191" s="227"/>
      <c r="BN191" s="227"/>
      <c r="BO191" s="227"/>
      <c r="BP191" s="227"/>
      <c r="BQ191" s="227"/>
      <c r="BR191" s="227"/>
      <c r="BS191" s="227"/>
      <c r="BT191" s="227"/>
      <c r="BU191" s="227"/>
      <c r="BV191" s="227"/>
      <c r="BW191" s="227"/>
      <c r="BX191" s="227"/>
      <c r="BY191" s="227"/>
      <c r="BZ191" s="227"/>
      <c r="CA191" s="227"/>
      <c r="CB191" s="227"/>
      <c r="CC191" s="227"/>
      <c r="CD191" s="227"/>
      <c r="CE191" s="227"/>
      <c r="CF191" s="227"/>
      <c r="CG191" s="227"/>
      <c r="CH191" s="227"/>
      <c r="CI191" s="227"/>
      <c r="CJ191" s="227"/>
      <c r="CK191" s="227"/>
      <c r="CL191" s="227"/>
      <c r="CM191" s="227"/>
      <c r="CN191" s="227"/>
      <c r="CO191" s="227"/>
      <c r="CP191" s="227"/>
      <c r="CQ191" s="227"/>
      <c r="CR191" s="227"/>
      <c r="CS191" s="227"/>
      <c r="CT191" s="227"/>
      <c r="CU191" s="225"/>
      <c r="CV191" s="227"/>
    </row>
    <row r="192" spans="1:100" ht="20.100000000000001" customHeight="1">
      <c r="A192" s="223"/>
      <c r="B192" s="225"/>
      <c r="C192" s="227"/>
      <c r="D192" s="224"/>
      <c r="E192" s="223"/>
      <c r="F192" s="223"/>
      <c r="G192" s="223"/>
      <c r="H192" s="223"/>
      <c r="I192" s="223"/>
      <c r="J192" s="223"/>
      <c r="K192" s="223"/>
      <c r="L192" s="223"/>
      <c r="M192" s="223"/>
      <c r="N192" s="223"/>
      <c r="O192" s="223"/>
      <c r="P192" s="223"/>
      <c r="Q192" s="223"/>
      <c r="R192" s="223"/>
      <c r="S192" s="223"/>
      <c r="T192" s="223"/>
      <c r="U192" s="223"/>
      <c r="V192" s="223"/>
      <c r="W192" s="223"/>
      <c r="X192" s="223"/>
      <c r="Y192" s="223"/>
      <c r="Z192" s="223"/>
      <c r="AA192" s="223"/>
      <c r="AB192" s="223"/>
      <c r="AC192" s="223"/>
      <c r="AD192" s="223"/>
      <c r="AE192" s="223"/>
      <c r="AF192" s="223"/>
      <c r="AG192" s="223"/>
      <c r="AH192" s="223"/>
      <c r="AI192" s="223"/>
      <c r="AJ192" s="223"/>
      <c r="AK192" s="223"/>
      <c r="AL192" s="223"/>
      <c r="AM192" s="223"/>
      <c r="AN192" s="223"/>
      <c r="AO192" s="223"/>
      <c r="AP192" s="223"/>
      <c r="AQ192" s="223"/>
      <c r="AR192" s="223"/>
      <c r="AS192" s="223"/>
      <c r="AT192" s="223"/>
      <c r="AU192" s="223"/>
      <c r="AV192" s="223"/>
      <c r="AW192" s="223"/>
      <c r="AX192" s="223"/>
      <c r="AY192" s="223"/>
      <c r="AZ192" s="223"/>
      <c r="BA192" s="223"/>
      <c r="BB192" s="223"/>
      <c r="BC192" s="223"/>
      <c r="BD192" s="223"/>
      <c r="BE192" s="223"/>
      <c r="BF192" s="223"/>
      <c r="BG192" s="223"/>
      <c r="BH192" s="223"/>
      <c r="BI192" s="223"/>
      <c r="BJ192" s="223"/>
      <c r="BK192" s="223"/>
      <c r="BL192" s="223"/>
      <c r="BM192" s="223"/>
      <c r="BN192" s="223"/>
      <c r="BO192" s="223"/>
      <c r="BP192" s="223"/>
      <c r="BQ192" s="227"/>
      <c r="BR192" s="227"/>
      <c r="BS192" s="227"/>
      <c r="BT192" s="227"/>
      <c r="BU192" s="227"/>
      <c r="BV192" s="227"/>
      <c r="BW192" s="227"/>
      <c r="BX192" s="227"/>
      <c r="BY192" s="227"/>
      <c r="BZ192" s="227"/>
      <c r="CA192" s="227"/>
      <c r="CB192" s="227"/>
      <c r="CC192" s="227"/>
      <c r="CD192" s="227"/>
      <c r="CE192" s="227"/>
      <c r="CF192" s="227"/>
      <c r="CG192" s="227"/>
      <c r="CH192" s="227"/>
      <c r="CI192" s="227"/>
      <c r="CJ192" s="227"/>
      <c r="CK192" s="227"/>
      <c r="CL192" s="227"/>
      <c r="CM192" s="227"/>
      <c r="CN192" s="227"/>
      <c r="CO192" s="227"/>
      <c r="CP192" s="227"/>
      <c r="CQ192" s="227"/>
      <c r="CR192" s="227"/>
      <c r="CS192" s="227"/>
      <c r="CT192" s="227"/>
      <c r="CU192" s="225"/>
      <c r="CV192" s="227"/>
    </row>
    <row r="193" spans="1:100" ht="20.100000000000001" customHeight="1">
      <c r="A193" s="227">
        <v>93</v>
      </c>
      <c r="B193" s="225"/>
      <c r="C193" s="227"/>
      <c r="D193" s="228" cm="1">
        <f t="array" ref="D193">IFERROR(
(SUMPRODUCT(E193:CU193*$E$6:$CU$6)/100) + (SUMPRODUCT(E193:CU193*$E$6:$CU$6*$E$3:$CU$3)/100),
0
)</f>
        <v>0</v>
      </c>
      <c r="E193" s="227"/>
      <c r="F193" s="227"/>
      <c r="G193" s="227"/>
      <c r="H193" s="227"/>
      <c r="I193" s="227"/>
      <c r="J193" s="227"/>
      <c r="K193" s="227"/>
      <c r="L193" s="227"/>
      <c r="M193" s="227"/>
      <c r="N193" s="227"/>
      <c r="O193" s="227"/>
      <c r="P193" s="227"/>
      <c r="Q193" s="227"/>
      <c r="R193" s="227"/>
      <c r="S193" s="227"/>
      <c r="T193" s="227"/>
      <c r="U193" s="227"/>
      <c r="V193" s="227"/>
      <c r="W193" s="227"/>
      <c r="X193" s="227"/>
      <c r="Y193" s="227"/>
      <c r="Z193" s="227"/>
      <c r="AA193" s="227"/>
      <c r="AB193" s="227"/>
      <c r="AC193" s="227"/>
      <c r="AD193" s="227"/>
      <c r="AE193" s="227"/>
      <c r="AF193" s="227"/>
      <c r="AG193" s="227"/>
      <c r="AH193" s="227"/>
      <c r="AI193" s="227"/>
      <c r="AJ193" s="227"/>
      <c r="AK193" s="227"/>
      <c r="AL193" s="227"/>
      <c r="AM193" s="227"/>
      <c r="AN193" s="227"/>
      <c r="AO193" s="227"/>
      <c r="AP193" s="227"/>
      <c r="AQ193" s="227"/>
      <c r="AR193" s="227"/>
      <c r="AS193" s="227"/>
      <c r="AT193" s="227"/>
      <c r="AU193" s="227"/>
      <c r="AV193" s="227"/>
      <c r="AW193" s="227"/>
      <c r="AX193" s="227"/>
      <c r="AY193" s="227"/>
      <c r="AZ193" s="227"/>
      <c r="BA193" s="227"/>
      <c r="BB193" s="227"/>
      <c r="BC193" s="227"/>
      <c r="BD193" s="227"/>
      <c r="BE193" s="227"/>
      <c r="BF193" s="227"/>
      <c r="BG193" s="227"/>
      <c r="BH193" s="227"/>
      <c r="BI193" s="227"/>
      <c r="BJ193" s="227"/>
      <c r="BK193" s="227"/>
      <c r="BL193" s="227"/>
      <c r="BM193" s="227"/>
      <c r="BN193" s="227"/>
      <c r="BO193" s="227"/>
      <c r="BP193" s="227"/>
      <c r="BQ193" s="227"/>
      <c r="BR193" s="227"/>
      <c r="BS193" s="227"/>
      <c r="BT193" s="227"/>
      <c r="BU193" s="227"/>
      <c r="BV193" s="227"/>
      <c r="BW193" s="227"/>
      <c r="BX193" s="227"/>
      <c r="BY193" s="227"/>
      <c r="BZ193" s="227"/>
      <c r="CA193" s="227"/>
      <c r="CB193" s="227"/>
      <c r="CC193" s="227"/>
      <c r="CD193" s="227"/>
      <c r="CE193" s="227"/>
      <c r="CF193" s="227"/>
      <c r="CG193" s="227"/>
      <c r="CH193" s="227"/>
      <c r="CI193" s="227"/>
      <c r="CJ193" s="227"/>
      <c r="CK193" s="227"/>
      <c r="CL193" s="227"/>
      <c r="CM193" s="227"/>
      <c r="CN193" s="227"/>
      <c r="CO193" s="227"/>
      <c r="CP193" s="227"/>
      <c r="CQ193" s="227"/>
      <c r="CR193" s="227"/>
      <c r="CS193" s="227"/>
      <c r="CT193" s="227"/>
      <c r="CU193" s="225"/>
      <c r="CV193" s="227"/>
    </row>
    <row r="194" spans="1:100" ht="20.100000000000001" customHeight="1">
      <c r="A194" s="227"/>
      <c r="B194" s="225"/>
      <c r="C194" s="227"/>
      <c r="D194" s="224"/>
      <c r="E194" s="223"/>
      <c r="F194" s="223"/>
      <c r="G194" s="223"/>
      <c r="H194" s="223"/>
      <c r="I194" s="223"/>
      <c r="J194" s="223"/>
      <c r="K194" s="223"/>
      <c r="L194" s="223"/>
      <c r="M194" s="223"/>
      <c r="N194" s="223"/>
      <c r="O194" s="223"/>
      <c r="P194" s="223"/>
      <c r="Q194" s="223"/>
      <c r="R194" s="223"/>
      <c r="S194" s="223"/>
      <c r="T194" s="223"/>
      <c r="U194" s="223"/>
      <c r="V194" s="223"/>
      <c r="W194" s="223"/>
      <c r="X194" s="223"/>
      <c r="Y194" s="223"/>
      <c r="Z194" s="223"/>
      <c r="AA194" s="223"/>
      <c r="AB194" s="223"/>
      <c r="AC194" s="223"/>
      <c r="AD194" s="223"/>
      <c r="AE194" s="223"/>
      <c r="AF194" s="223"/>
      <c r="AG194" s="223"/>
      <c r="AH194" s="223"/>
      <c r="AI194" s="223"/>
      <c r="AJ194" s="223"/>
      <c r="AK194" s="223"/>
      <c r="AL194" s="223"/>
      <c r="AM194" s="223"/>
      <c r="AN194" s="223"/>
      <c r="AO194" s="223"/>
      <c r="AP194" s="223"/>
      <c r="AQ194" s="223"/>
      <c r="AR194" s="223"/>
      <c r="AS194" s="223"/>
      <c r="AT194" s="223"/>
      <c r="AU194" s="223"/>
      <c r="AV194" s="223"/>
      <c r="AW194" s="223"/>
      <c r="AX194" s="223"/>
      <c r="AY194" s="223"/>
      <c r="AZ194" s="223"/>
      <c r="BA194" s="223"/>
      <c r="BB194" s="223"/>
      <c r="BC194" s="223"/>
      <c r="BD194" s="223"/>
      <c r="BE194" s="223"/>
      <c r="BF194" s="223"/>
      <c r="BG194" s="223"/>
      <c r="BH194" s="223"/>
      <c r="BI194" s="223"/>
      <c r="BJ194" s="223"/>
      <c r="BK194" s="223"/>
      <c r="BL194" s="223"/>
      <c r="BM194" s="223"/>
      <c r="BN194" s="223"/>
      <c r="BO194" s="223"/>
      <c r="BP194" s="223"/>
      <c r="BQ194" s="227"/>
      <c r="BR194" s="227"/>
      <c r="BS194" s="227"/>
      <c r="BT194" s="227"/>
      <c r="BU194" s="227"/>
      <c r="BV194" s="227"/>
      <c r="BW194" s="227"/>
      <c r="BX194" s="227"/>
      <c r="BY194" s="227"/>
      <c r="BZ194" s="227"/>
      <c r="CA194" s="227"/>
      <c r="CB194" s="227"/>
      <c r="CC194" s="227"/>
      <c r="CD194" s="227"/>
      <c r="CE194" s="227"/>
      <c r="CF194" s="227"/>
      <c r="CG194" s="227"/>
      <c r="CH194" s="227"/>
      <c r="CI194" s="227"/>
      <c r="CJ194" s="227"/>
      <c r="CK194" s="227"/>
      <c r="CL194" s="227"/>
      <c r="CM194" s="227"/>
      <c r="CN194" s="227"/>
      <c r="CO194" s="227"/>
      <c r="CP194" s="227"/>
      <c r="CQ194" s="227"/>
      <c r="CR194" s="227"/>
      <c r="CS194" s="227"/>
      <c r="CT194" s="227"/>
      <c r="CU194" s="225"/>
      <c r="CV194" s="227"/>
    </row>
    <row r="195" spans="1:100" ht="20.100000000000001" customHeight="1">
      <c r="A195" s="227">
        <v>94</v>
      </c>
      <c r="B195" s="225"/>
      <c r="C195" s="227"/>
      <c r="D195" s="228" cm="1">
        <f t="array" ref="D195">IFERROR(
(SUMPRODUCT(E195:CU195*$E$6:$CU$6)/100) + (SUMPRODUCT(E195:CU195*$E$6:$CU$6*$E$3:$CU$3)/100),
0
)</f>
        <v>0</v>
      </c>
      <c r="E195" s="227"/>
      <c r="F195" s="227"/>
      <c r="G195" s="227"/>
      <c r="H195" s="227"/>
      <c r="I195" s="227"/>
      <c r="J195" s="227"/>
      <c r="K195" s="227"/>
      <c r="L195" s="227"/>
      <c r="M195" s="227"/>
      <c r="N195" s="227"/>
      <c r="O195" s="227"/>
      <c r="P195" s="227"/>
      <c r="Q195" s="227"/>
      <c r="R195" s="227"/>
      <c r="S195" s="227"/>
      <c r="T195" s="227"/>
      <c r="U195" s="227"/>
      <c r="V195" s="227"/>
      <c r="W195" s="227"/>
      <c r="X195" s="227"/>
      <c r="Y195" s="227"/>
      <c r="Z195" s="227"/>
      <c r="AA195" s="227"/>
      <c r="AB195" s="227"/>
      <c r="AC195" s="227"/>
      <c r="AD195" s="227"/>
      <c r="AE195" s="227"/>
      <c r="AF195" s="227"/>
      <c r="AG195" s="227"/>
      <c r="AH195" s="227"/>
      <c r="AI195" s="227"/>
      <c r="AJ195" s="227"/>
      <c r="AK195" s="227"/>
      <c r="AL195" s="227"/>
      <c r="AM195" s="227"/>
      <c r="AN195" s="227"/>
      <c r="AO195" s="227"/>
      <c r="AP195" s="227"/>
      <c r="AQ195" s="227"/>
      <c r="AR195" s="227"/>
      <c r="AS195" s="227"/>
      <c r="AT195" s="227"/>
      <c r="AU195" s="227"/>
      <c r="AV195" s="227"/>
      <c r="AW195" s="227"/>
      <c r="AX195" s="227"/>
      <c r="AY195" s="227"/>
      <c r="AZ195" s="227"/>
      <c r="BA195" s="227"/>
      <c r="BB195" s="227"/>
      <c r="BC195" s="227"/>
      <c r="BD195" s="227"/>
      <c r="BE195" s="227"/>
      <c r="BF195" s="227"/>
      <c r="BG195" s="227"/>
      <c r="BH195" s="227"/>
      <c r="BI195" s="227"/>
      <c r="BJ195" s="227"/>
      <c r="BK195" s="227"/>
      <c r="BL195" s="227"/>
      <c r="BM195" s="227"/>
      <c r="BN195" s="227"/>
      <c r="BO195" s="227"/>
      <c r="BP195" s="227"/>
      <c r="BQ195" s="227"/>
      <c r="BR195" s="227"/>
      <c r="BS195" s="227"/>
      <c r="BT195" s="227"/>
      <c r="BU195" s="227"/>
      <c r="BV195" s="227"/>
      <c r="BW195" s="227"/>
      <c r="BX195" s="227"/>
      <c r="BY195" s="227"/>
      <c r="BZ195" s="227"/>
      <c r="CA195" s="227"/>
      <c r="CB195" s="227"/>
      <c r="CC195" s="227"/>
      <c r="CD195" s="227"/>
      <c r="CE195" s="227"/>
      <c r="CF195" s="227"/>
      <c r="CG195" s="227"/>
      <c r="CH195" s="227"/>
      <c r="CI195" s="227"/>
      <c r="CJ195" s="227"/>
      <c r="CK195" s="227"/>
      <c r="CL195" s="227"/>
      <c r="CM195" s="227"/>
      <c r="CN195" s="227"/>
      <c r="CO195" s="227"/>
      <c r="CP195" s="227"/>
      <c r="CQ195" s="227"/>
      <c r="CR195" s="227"/>
      <c r="CS195" s="227"/>
      <c r="CT195" s="227"/>
      <c r="CU195" s="225"/>
      <c r="CV195" s="227"/>
    </row>
    <row r="196" spans="1:100" ht="20.100000000000001" customHeight="1">
      <c r="A196" s="223"/>
      <c r="B196" s="225"/>
      <c r="C196" s="227"/>
      <c r="D196" s="224"/>
      <c r="E196" s="223"/>
      <c r="F196" s="223"/>
      <c r="G196" s="223"/>
      <c r="H196" s="223"/>
      <c r="I196" s="223"/>
      <c r="J196" s="223"/>
      <c r="K196" s="223"/>
      <c r="L196" s="223"/>
      <c r="M196" s="223"/>
      <c r="N196" s="223"/>
      <c r="O196" s="223"/>
      <c r="P196" s="223"/>
      <c r="Q196" s="223"/>
      <c r="R196" s="223"/>
      <c r="S196" s="223"/>
      <c r="T196" s="223"/>
      <c r="U196" s="223"/>
      <c r="V196" s="223"/>
      <c r="W196" s="223"/>
      <c r="X196" s="223"/>
      <c r="Y196" s="223"/>
      <c r="Z196" s="223"/>
      <c r="AA196" s="223"/>
      <c r="AB196" s="223"/>
      <c r="AC196" s="223"/>
      <c r="AD196" s="223"/>
      <c r="AE196" s="223"/>
      <c r="AF196" s="223"/>
      <c r="AG196" s="223"/>
      <c r="AH196" s="223"/>
      <c r="AI196" s="223"/>
      <c r="AJ196" s="223"/>
      <c r="AK196" s="223"/>
      <c r="AL196" s="223"/>
      <c r="AM196" s="223"/>
      <c r="AN196" s="223"/>
      <c r="AO196" s="223"/>
      <c r="AP196" s="223"/>
      <c r="AQ196" s="223"/>
      <c r="AR196" s="223"/>
      <c r="AS196" s="223"/>
      <c r="AT196" s="223"/>
      <c r="AU196" s="223"/>
      <c r="AV196" s="223"/>
      <c r="AW196" s="223"/>
      <c r="AX196" s="223"/>
      <c r="AY196" s="223"/>
      <c r="AZ196" s="223"/>
      <c r="BA196" s="223"/>
      <c r="BB196" s="223"/>
      <c r="BC196" s="223"/>
      <c r="BD196" s="223"/>
      <c r="BE196" s="223"/>
      <c r="BF196" s="223"/>
      <c r="BG196" s="223"/>
      <c r="BH196" s="223"/>
      <c r="BI196" s="223"/>
      <c r="BJ196" s="223"/>
      <c r="BK196" s="223"/>
      <c r="BL196" s="223"/>
      <c r="BM196" s="223"/>
      <c r="BN196" s="223"/>
      <c r="BO196" s="223"/>
      <c r="BP196" s="223"/>
      <c r="BQ196" s="227"/>
      <c r="BR196" s="227"/>
      <c r="BS196" s="227"/>
      <c r="BT196" s="227"/>
      <c r="BU196" s="227"/>
      <c r="BV196" s="227"/>
      <c r="BW196" s="227"/>
      <c r="BX196" s="227"/>
      <c r="BY196" s="227"/>
      <c r="BZ196" s="227"/>
      <c r="CA196" s="227"/>
      <c r="CB196" s="227"/>
      <c r="CC196" s="227"/>
      <c r="CD196" s="227"/>
      <c r="CE196" s="227"/>
      <c r="CF196" s="227"/>
      <c r="CG196" s="227"/>
      <c r="CH196" s="227"/>
      <c r="CI196" s="227"/>
      <c r="CJ196" s="227"/>
      <c r="CK196" s="227"/>
      <c r="CL196" s="227"/>
      <c r="CM196" s="227"/>
      <c r="CN196" s="227"/>
      <c r="CO196" s="227"/>
      <c r="CP196" s="227"/>
      <c r="CQ196" s="227"/>
      <c r="CR196" s="227"/>
      <c r="CS196" s="227"/>
      <c r="CT196" s="227"/>
      <c r="CU196" s="225"/>
      <c r="CV196" s="227"/>
    </row>
    <row r="197" spans="1:100" ht="20.100000000000001" customHeight="1">
      <c r="A197" s="227">
        <v>95</v>
      </c>
      <c r="B197" s="225"/>
      <c r="C197" s="227"/>
      <c r="D197" s="228" cm="1">
        <f t="array" ref="D197">IFERROR(
(SUMPRODUCT(E197:CU197*$E$6:$CU$6)/100) + (SUMPRODUCT(E197:CU197*$E$6:$CU$6*$E$3:$CU$3)/100),
0
)</f>
        <v>0</v>
      </c>
      <c r="E197" s="227"/>
      <c r="F197" s="227"/>
      <c r="G197" s="227"/>
      <c r="H197" s="227"/>
      <c r="I197" s="227"/>
      <c r="J197" s="227"/>
      <c r="K197" s="227"/>
      <c r="L197" s="227"/>
      <c r="M197" s="227"/>
      <c r="N197" s="227"/>
      <c r="O197" s="227"/>
      <c r="P197" s="227"/>
      <c r="Q197" s="227"/>
      <c r="R197" s="227"/>
      <c r="S197" s="227"/>
      <c r="T197" s="227"/>
      <c r="U197" s="227"/>
      <c r="V197" s="227"/>
      <c r="W197" s="227"/>
      <c r="X197" s="227"/>
      <c r="Y197" s="227"/>
      <c r="Z197" s="227"/>
      <c r="AA197" s="227"/>
      <c r="AB197" s="227"/>
      <c r="AC197" s="227"/>
      <c r="AD197" s="227"/>
      <c r="AE197" s="227"/>
      <c r="AF197" s="227"/>
      <c r="AG197" s="227"/>
      <c r="AH197" s="227"/>
      <c r="AI197" s="227"/>
      <c r="AJ197" s="227"/>
      <c r="AK197" s="227"/>
      <c r="AL197" s="227"/>
      <c r="AM197" s="227"/>
      <c r="AN197" s="227"/>
      <c r="AO197" s="227"/>
      <c r="AP197" s="227"/>
      <c r="AQ197" s="227"/>
      <c r="AR197" s="227"/>
      <c r="AS197" s="227"/>
      <c r="AT197" s="227"/>
      <c r="AU197" s="227"/>
      <c r="AV197" s="227"/>
      <c r="AW197" s="227"/>
      <c r="AX197" s="227"/>
      <c r="AY197" s="227"/>
      <c r="AZ197" s="227"/>
      <c r="BA197" s="227"/>
      <c r="BB197" s="227"/>
      <c r="BC197" s="227"/>
      <c r="BD197" s="227"/>
      <c r="BE197" s="227"/>
      <c r="BF197" s="227"/>
      <c r="BG197" s="227"/>
      <c r="BH197" s="227"/>
      <c r="BI197" s="227"/>
      <c r="BJ197" s="227"/>
      <c r="BK197" s="227"/>
      <c r="BL197" s="227"/>
      <c r="BM197" s="227"/>
      <c r="BN197" s="227"/>
      <c r="BO197" s="227"/>
      <c r="BP197" s="227"/>
      <c r="BQ197" s="227"/>
      <c r="BR197" s="227"/>
      <c r="BS197" s="227"/>
      <c r="BT197" s="227"/>
      <c r="BU197" s="227"/>
      <c r="BV197" s="227"/>
      <c r="BW197" s="227"/>
      <c r="BX197" s="227"/>
      <c r="BY197" s="227"/>
      <c r="BZ197" s="227"/>
      <c r="CA197" s="227"/>
      <c r="CB197" s="227"/>
      <c r="CC197" s="227"/>
      <c r="CD197" s="227"/>
      <c r="CE197" s="227"/>
      <c r="CF197" s="227"/>
      <c r="CG197" s="227"/>
      <c r="CH197" s="227"/>
      <c r="CI197" s="227"/>
      <c r="CJ197" s="227"/>
      <c r="CK197" s="227"/>
      <c r="CL197" s="227"/>
      <c r="CM197" s="227"/>
      <c r="CN197" s="227"/>
      <c r="CO197" s="227"/>
      <c r="CP197" s="227"/>
      <c r="CQ197" s="227"/>
      <c r="CR197" s="227"/>
      <c r="CS197" s="227"/>
      <c r="CT197" s="227"/>
      <c r="CU197" s="225"/>
      <c r="CV197" s="227"/>
    </row>
    <row r="198" spans="1:100" ht="20.100000000000001" customHeight="1">
      <c r="A198" s="227"/>
      <c r="B198" s="225"/>
      <c r="C198" s="227"/>
      <c r="D198" s="224"/>
      <c r="E198" s="223"/>
      <c r="F198" s="223"/>
      <c r="G198" s="223"/>
      <c r="H198" s="223"/>
      <c r="I198" s="223"/>
      <c r="J198" s="223"/>
      <c r="K198" s="223"/>
      <c r="L198" s="223"/>
      <c r="M198" s="223"/>
      <c r="N198" s="223"/>
      <c r="O198" s="223"/>
      <c r="P198" s="223"/>
      <c r="Q198" s="223"/>
      <c r="R198" s="223"/>
      <c r="S198" s="223"/>
      <c r="T198" s="223"/>
      <c r="U198" s="223"/>
      <c r="V198" s="223"/>
      <c r="W198" s="223"/>
      <c r="X198" s="223"/>
      <c r="Y198" s="223"/>
      <c r="Z198" s="223"/>
      <c r="AA198" s="223"/>
      <c r="AB198" s="223"/>
      <c r="AC198" s="223"/>
      <c r="AD198" s="223"/>
      <c r="AE198" s="223"/>
      <c r="AF198" s="223"/>
      <c r="AG198" s="223"/>
      <c r="AH198" s="223"/>
      <c r="AI198" s="223"/>
      <c r="AJ198" s="223"/>
      <c r="AK198" s="223"/>
      <c r="AL198" s="223"/>
      <c r="AM198" s="223"/>
      <c r="AN198" s="223"/>
      <c r="AO198" s="223"/>
      <c r="AP198" s="223"/>
      <c r="AQ198" s="223"/>
      <c r="AR198" s="223"/>
      <c r="AS198" s="223"/>
      <c r="AT198" s="223"/>
      <c r="AU198" s="223"/>
      <c r="AV198" s="223"/>
      <c r="AW198" s="223"/>
      <c r="AX198" s="223"/>
      <c r="AY198" s="223"/>
      <c r="AZ198" s="223"/>
      <c r="BA198" s="223"/>
      <c r="BB198" s="223"/>
      <c r="BC198" s="223"/>
      <c r="BD198" s="223"/>
      <c r="BE198" s="223"/>
      <c r="BF198" s="223"/>
      <c r="BG198" s="223"/>
      <c r="BH198" s="223"/>
      <c r="BI198" s="223"/>
      <c r="BJ198" s="223"/>
      <c r="BK198" s="223"/>
      <c r="BL198" s="223"/>
      <c r="BM198" s="223"/>
      <c r="BN198" s="223"/>
      <c r="BO198" s="223"/>
      <c r="BP198" s="223"/>
      <c r="BQ198" s="227"/>
      <c r="BR198" s="227"/>
      <c r="BS198" s="227"/>
      <c r="BT198" s="227"/>
      <c r="BU198" s="227"/>
      <c r="BV198" s="227"/>
      <c r="BW198" s="227"/>
      <c r="BX198" s="227"/>
      <c r="BY198" s="227"/>
      <c r="BZ198" s="227"/>
      <c r="CA198" s="227"/>
      <c r="CB198" s="227"/>
      <c r="CC198" s="227"/>
      <c r="CD198" s="227"/>
      <c r="CE198" s="227"/>
      <c r="CF198" s="227"/>
      <c r="CG198" s="227"/>
      <c r="CH198" s="227"/>
      <c r="CI198" s="227"/>
      <c r="CJ198" s="227"/>
      <c r="CK198" s="227"/>
      <c r="CL198" s="227"/>
      <c r="CM198" s="227"/>
      <c r="CN198" s="227"/>
      <c r="CO198" s="227"/>
      <c r="CP198" s="227"/>
      <c r="CQ198" s="227"/>
      <c r="CR198" s="227"/>
      <c r="CS198" s="227"/>
      <c r="CT198" s="227"/>
      <c r="CU198" s="225"/>
      <c r="CV198" s="227"/>
    </row>
    <row r="199" spans="1:100" ht="20.100000000000001" customHeight="1">
      <c r="A199" s="227">
        <v>96</v>
      </c>
      <c r="B199" s="225"/>
      <c r="C199" s="227"/>
      <c r="D199" s="228" cm="1">
        <f t="array" ref="D199">IFERROR(
(SUMPRODUCT(E199:CU199*$E$6:$CU$6)/100) + (SUMPRODUCT(E199:CU199*$E$6:$CU$6*$E$3:$CU$3)/100),
0
)</f>
        <v>0</v>
      </c>
      <c r="E199" s="227"/>
      <c r="F199" s="227"/>
      <c r="G199" s="227"/>
      <c r="H199" s="227"/>
      <c r="I199" s="227"/>
      <c r="J199" s="227"/>
      <c r="K199" s="227"/>
      <c r="L199" s="227"/>
      <c r="M199" s="227"/>
      <c r="N199" s="227"/>
      <c r="O199" s="227"/>
      <c r="P199" s="227"/>
      <c r="Q199" s="227"/>
      <c r="R199" s="227"/>
      <c r="S199" s="227"/>
      <c r="T199" s="227"/>
      <c r="U199" s="227"/>
      <c r="V199" s="227"/>
      <c r="W199" s="227"/>
      <c r="X199" s="227"/>
      <c r="Y199" s="227"/>
      <c r="Z199" s="227"/>
      <c r="AA199" s="227"/>
      <c r="AB199" s="227"/>
      <c r="AC199" s="227"/>
      <c r="AD199" s="227"/>
      <c r="AE199" s="227"/>
      <c r="AF199" s="227"/>
      <c r="AG199" s="227"/>
      <c r="AH199" s="227"/>
      <c r="AI199" s="227"/>
      <c r="AJ199" s="227"/>
      <c r="AK199" s="227"/>
      <c r="AL199" s="227"/>
      <c r="AM199" s="227"/>
      <c r="AN199" s="227"/>
      <c r="AO199" s="227"/>
      <c r="AP199" s="227"/>
      <c r="AQ199" s="227"/>
      <c r="AR199" s="227"/>
      <c r="AS199" s="227"/>
      <c r="AT199" s="227"/>
      <c r="AU199" s="227"/>
      <c r="AV199" s="227"/>
      <c r="AW199" s="227"/>
      <c r="AX199" s="227"/>
      <c r="AY199" s="227"/>
      <c r="AZ199" s="227"/>
      <c r="BA199" s="227"/>
      <c r="BB199" s="227"/>
      <c r="BC199" s="227"/>
      <c r="BD199" s="227"/>
      <c r="BE199" s="227"/>
      <c r="BF199" s="227"/>
      <c r="BG199" s="227"/>
      <c r="BH199" s="227"/>
      <c r="BI199" s="227"/>
      <c r="BJ199" s="227"/>
      <c r="BK199" s="227"/>
      <c r="BL199" s="227"/>
      <c r="BM199" s="227"/>
      <c r="BN199" s="227"/>
      <c r="BO199" s="227"/>
      <c r="BP199" s="227"/>
      <c r="BQ199" s="227"/>
      <c r="BR199" s="227"/>
      <c r="BS199" s="227"/>
      <c r="BT199" s="227"/>
      <c r="BU199" s="227"/>
      <c r="BV199" s="227"/>
      <c r="BW199" s="227"/>
      <c r="BX199" s="227"/>
      <c r="BY199" s="227"/>
      <c r="BZ199" s="227"/>
      <c r="CA199" s="227"/>
      <c r="CB199" s="227"/>
      <c r="CC199" s="227"/>
      <c r="CD199" s="227"/>
      <c r="CE199" s="227"/>
      <c r="CF199" s="227"/>
      <c r="CG199" s="227"/>
      <c r="CH199" s="227"/>
      <c r="CI199" s="227"/>
      <c r="CJ199" s="227"/>
      <c r="CK199" s="227"/>
      <c r="CL199" s="227"/>
      <c r="CM199" s="227"/>
      <c r="CN199" s="227"/>
      <c r="CO199" s="227"/>
      <c r="CP199" s="227"/>
      <c r="CQ199" s="227"/>
      <c r="CR199" s="227"/>
      <c r="CS199" s="227"/>
      <c r="CT199" s="227"/>
      <c r="CU199" s="225"/>
      <c r="CV199" s="227"/>
    </row>
    <row r="200" spans="1:100" ht="20.100000000000001" customHeight="1">
      <c r="A200" s="223"/>
      <c r="B200" s="225"/>
      <c r="C200" s="227"/>
      <c r="D200" s="224"/>
      <c r="E200" s="223"/>
      <c r="F200" s="223"/>
      <c r="G200" s="223"/>
      <c r="H200" s="223"/>
      <c r="I200" s="223"/>
      <c r="J200" s="223"/>
      <c r="K200" s="223"/>
      <c r="L200" s="223"/>
      <c r="M200" s="223"/>
      <c r="N200" s="223"/>
      <c r="O200" s="223"/>
      <c r="P200" s="223"/>
      <c r="Q200" s="223"/>
      <c r="R200" s="223"/>
      <c r="S200" s="223"/>
      <c r="T200" s="223"/>
      <c r="U200" s="223"/>
      <c r="V200" s="223"/>
      <c r="W200" s="223"/>
      <c r="X200" s="223"/>
      <c r="Y200" s="223"/>
      <c r="Z200" s="223"/>
      <c r="AA200" s="223"/>
      <c r="AB200" s="223"/>
      <c r="AC200" s="223"/>
      <c r="AD200" s="223"/>
      <c r="AE200" s="223"/>
      <c r="AF200" s="223"/>
      <c r="AG200" s="223"/>
      <c r="AH200" s="223"/>
      <c r="AI200" s="223"/>
      <c r="AJ200" s="223"/>
      <c r="AK200" s="223"/>
      <c r="AL200" s="223"/>
      <c r="AM200" s="223"/>
      <c r="AN200" s="223"/>
      <c r="AO200" s="223"/>
      <c r="AP200" s="223"/>
      <c r="AQ200" s="223"/>
      <c r="AR200" s="223"/>
      <c r="AS200" s="223"/>
      <c r="AT200" s="223"/>
      <c r="AU200" s="223"/>
      <c r="AV200" s="223"/>
      <c r="AW200" s="223"/>
      <c r="AX200" s="223"/>
      <c r="AY200" s="223"/>
      <c r="AZ200" s="223"/>
      <c r="BA200" s="223"/>
      <c r="BB200" s="223"/>
      <c r="BC200" s="223"/>
      <c r="BD200" s="223"/>
      <c r="BE200" s="223"/>
      <c r="BF200" s="223"/>
      <c r="BG200" s="223"/>
      <c r="BH200" s="223"/>
      <c r="BI200" s="223"/>
      <c r="BJ200" s="223"/>
      <c r="BK200" s="223"/>
      <c r="BL200" s="223"/>
      <c r="BM200" s="223"/>
      <c r="BN200" s="223"/>
      <c r="BO200" s="223"/>
      <c r="BP200" s="223"/>
      <c r="BQ200" s="227"/>
      <c r="BR200" s="227"/>
      <c r="BS200" s="227"/>
      <c r="BT200" s="227"/>
      <c r="BU200" s="227"/>
      <c r="BV200" s="227"/>
      <c r="BW200" s="227"/>
      <c r="BX200" s="227"/>
      <c r="BY200" s="227"/>
      <c r="BZ200" s="227"/>
      <c r="CA200" s="227"/>
      <c r="CB200" s="227"/>
      <c r="CC200" s="227"/>
      <c r="CD200" s="227"/>
      <c r="CE200" s="227"/>
      <c r="CF200" s="227"/>
      <c r="CG200" s="227"/>
      <c r="CH200" s="227"/>
      <c r="CI200" s="227"/>
      <c r="CJ200" s="227"/>
      <c r="CK200" s="227"/>
      <c r="CL200" s="227"/>
      <c r="CM200" s="227"/>
      <c r="CN200" s="227"/>
      <c r="CO200" s="227"/>
      <c r="CP200" s="227"/>
      <c r="CQ200" s="227"/>
      <c r="CR200" s="227"/>
      <c r="CS200" s="227"/>
      <c r="CT200" s="227"/>
      <c r="CU200" s="225"/>
      <c r="CV200" s="227"/>
    </row>
    <row r="201" spans="1:100" ht="20.100000000000001" customHeight="1">
      <c r="A201" s="227">
        <v>97</v>
      </c>
      <c r="B201" s="225"/>
      <c r="C201" s="227"/>
      <c r="D201" s="228" cm="1">
        <f t="array" ref="D201">IFERROR(
(SUMPRODUCT(E201:CU201*$E$6:$CU$6)/100) + (SUMPRODUCT(E201:CU201*$E$6:$CU$6*$E$3:$CU$3)/100),
0
)</f>
        <v>0</v>
      </c>
      <c r="E201" s="227"/>
      <c r="F201" s="227"/>
      <c r="G201" s="227"/>
      <c r="H201" s="227"/>
      <c r="I201" s="227"/>
      <c r="J201" s="227"/>
      <c r="K201" s="227"/>
      <c r="L201" s="227"/>
      <c r="M201" s="227"/>
      <c r="N201" s="227"/>
      <c r="O201" s="227"/>
      <c r="P201" s="227"/>
      <c r="Q201" s="227"/>
      <c r="R201" s="227"/>
      <c r="S201" s="227"/>
      <c r="T201" s="227"/>
      <c r="U201" s="227"/>
      <c r="V201" s="227"/>
      <c r="W201" s="227"/>
      <c r="X201" s="227"/>
      <c r="Y201" s="227"/>
      <c r="Z201" s="227"/>
      <c r="AA201" s="227"/>
      <c r="AB201" s="227"/>
      <c r="AC201" s="227"/>
      <c r="AD201" s="227"/>
      <c r="AE201" s="227"/>
      <c r="AF201" s="227"/>
      <c r="AG201" s="227"/>
      <c r="AH201" s="227"/>
      <c r="AI201" s="227"/>
      <c r="AJ201" s="227"/>
      <c r="AK201" s="227"/>
      <c r="AL201" s="227"/>
      <c r="AM201" s="227"/>
      <c r="AN201" s="227"/>
      <c r="AO201" s="227"/>
      <c r="AP201" s="227"/>
      <c r="AQ201" s="227"/>
      <c r="AR201" s="227"/>
      <c r="AS201" s="227"/>
      <c r="AT201" s="227"/>
      <c r="AU201" s="227"/>
      <c r="AV201" s="227"/>
      <c r="AW201" s="227"/>
      <c r="AX201" s="227"/>
      <c r="AY201" s="227"/>
      <c r="AZ201" s="227"/>
      <c r="BA201" s="227"/>
      <c r="BB201" s="227"/>
      <c r="BC201" s="227"/>
      <c r="BD201" s="227"/>
      <c r="BE201" s="227"/>
      <c r="BF201" s="227"/>
      <c r="BG201" s="227"/>
      <c r="BH201" s="227"/>
      <c r="BI201" s="227"/>
      <c r="BJ201" s="227"/>
      <c r="BK201" s="227"/>
      <c r="BL201" s="227"/>
      <c r="BM201" s="227"/>
      <c r="BN201" s="227"/>
      <c r="BO201" s="227"/>
      <c r="BP201" s="227"/>
      <c r="BQ201" s="227"/>
      <c r="BR201" s="227"/>
      <c r="BS201" s="227"/>
      <c r="BT201" s="227"/>
      <c r="BU201" s="227"/>
      <c r="BV201" s="227"/>
      <c r="BW201" s="227"/>
      <c r="BX201" s="227"/>
      <c r="BY201" s="227"/>
      <c r="BZ201" s="227"/>
      <c r="CA201" s="227"/>
      <c r="CB201" s="227"/>
      <c r="CC201" s="227"/>
      <c r="CD201" s="227"/>
      <c r="CE201" s="227"/>
      <c r="CF201" s="227"/>
      <c r="CG201" s="227"/>
      <c r="CH201" s="227"/>
      <c r="CI201" s="227"/>
      <c r="CJ201" s="227"/>
      <c r="CK201" s="227"/>
      <c r="CL201" s="227"/>
      <c r="CM201" s="227"/>
      <c r="CN201" s="227"/>
      <c r="CO201" s="227"/>
      <c r="CP201" s="227"/>
      <c r="CQ201" s="227"/>
      <c r="CR201" s="227"/>
      <c r="CS201" s="227"/>
      <c r="CT201" s="227"/>
      <c r="CU201" s="225"/>
      <c r="CV201" s="227"/>
    </row>
    <row r="202" spans="1:100" ht="20.100000000000001" customHeight="1">
      <c r="A202" s="227"/>
      <c r="B202" s="225"/>
      <c r="C202" s="227"/>
      <c r="D202" s="224"/>
      <c r="E202" s="223"/>
      <c r="F202" s="223"/>
      <c r="G202" s="223"/>
      <c r="H202" s="223"/>
      <c r="I202" s="223"/>
      <c r="J202" s="223"/>
      <c r="K202" s="223"/>
      <c r="L202" s="223"/>
      <c r="M202" s="223"/>
      <c r="N202" s="223"/>
      <c r="O202" s="223"/>
      <c r="P202" s="223"/>
      <c r="Q202" s="223"/>
      <c r="R202" s="223"/>
      <c r="S202" s="223"/>
      <c r="T202" s="223"/>
      <c r="U202" s="223"/>
      <c r="V202" s="223"/>
      <c r="W202" s="223"/>
      <c r="X202" s="223"/>
      <c r="Y202" s="223"/>
      <c r="Z202" s="223"/>
      <c r="AA202" s="223"/>
      <c r="AB202" s="223"/>
      <c r="AC202" s="223"/>
      <c r="AD202" s="223"/>
      <c r="AE202" s="223"/>
      <c r="AF202" s="223"/>
      <c r="AG202" s="223"/>
      <c r="AH202" s="223"/>
      <c r="AI202" s="223"/>
      <c r="AJ202" s="223"/>
      <c r="AK202" s="223"/>
      <c r="AL202" s="223"/>
      <c r="AM202" s="223"/>
      <c r="AN202" s="223"/>
      <c r="AO202" s="223"/>
      <c r="AP202" s="223"/>
      <c r="AQ202" s="223"/>
      <c r="AR202" s="223"/>
      <c r="AS202" s="223"/>
      <c r="AT202" s="223"/>
      <c r="AU202" s="223"/>
      <c r="AV202" s="223"/>
      <c r="AW202" s="223"/>
      <c r="AX202" s="223"/>
      <c r="AY202" s="223"/>
      <c r="AZ202" s="223"/>
      <c r="BA202" s="223"/>
      <c r="BB202" s="223"/>
      <c r="BC202" s="223"/>
      <c r="BD202" s="223"/>
      <c r="BE202" s="223"/>
      <c r="BF202" s="223"/>
      <c r="BG202" s="223"/>
      <c r="BH202" s="223"/>
      <c r="BI202" s="223"/>
      <c r="BJ202" s="223"/>
      <c r="BK202" s="223"/>
      <c r="BL202" s="223"/>
      <c r="BM202" s="223"/>
      <c r="BN202" s="223"/>
      <c r="BO202" s="223"/>
      <c r="BP202" s="223"/>
      <c r="BQ202" s="227"/>
      <c r="BR202" s="227"/>
      <c r="BS202" s="227"/>
      <c r="BT202" s="227"/>
      <c r="BU202" s="227"/>
      <c r="BV202" s="227"/>
      <c r="BW202" s="227"/>
      <c r="BX202" s="227"/>
      <c r="BY202" s="227"/>
      <c r="BZ202" s="227"/>
      <c r="CA202" s="227"/>
      <c r="CB202" s="227"/>
      <c r="CC202" s="227"/>
      <c r="CD202" s="227"/>
      <c r="CE202" s="227"/>
      <c r="CF202" s="227"/>
      <c r="CG202" s="227"/>
      <c r="CH202" s="227"/>
      <c r="CI202" s="227"/>
      <c r="CJ202" s="227"/>
      <c r="CK202" s="227"/>
      <c r="CL202" s="227"/>
      <c r="CM202" s="227"/>
      <c r="CN202" s="227"/>
      <c r="CO202" s="227"/>
      <c r="CP202" s="227"/>
      <c r="CQ202" s="227"/>
      <c r="CR202" s="227"/>
      <c r="CS202" s="227"/>
      <c r="CT202" s="227"/>
      <c r="CU202" s="225"/>
      <c r="CV202" s="227"/>
    </row>
    <row r="203" spans="1:100" ht="20.100000000000001" customHeight="1">
      <c r="A203" s="227">
        <v>98</v>
      </c>
      <c r="B203" s="225"/>
      <c r="C203" s="227"/>
      <c r="D203" s="228" cm="1">
        <f t="array" ref="D203">IFERROR(
(SUMPRODUCT(E203:CU203*$E$6:$CU$6)/100) + (SUMPRODUCT(E203:CU203*$E$6:$CU$6*$E$3:$CU$3)/100),
0
)</f>
        <v>0</v>
      </c>
      <c r="E203" s="227"/>
      <c r="F203" s="227"/>
      <c r="G203" s="227"/>
      <c r="H203" s="227"/>
      <c r="I203" s="227"/>
      <c r="J203" s="227"/>
      <c r="K203" s="227"/>
      <c r="L203" s="227"/>
      <c r="M203" s="227"/>
      <c r="N203" s="227"/>
      <c r="O203" s="227"/>
      <c r="P203" s="227"/>
      <c r="Q203" s="227"/>
      <c r="R203" s="227"/>
      <c r="S203" s="227"/>
      <c r="T203" s="227"/>
      <c r="U203" s="227"/>
      <c r="V203" s="227"/>
      <c r="W203" s="227"/>
      <c r="X203" s="227"/>
      <c r="Y203" s="227"/>
      <c r="Z203" s="227"/>
      <c r="AA203" s="227"/>
      <c r="AB203" s="227"/>
      <c r="AC203" s="227"/>
      <c r="AD203" s="227"/>
      <c r="AE203" s="227"/>
      <c r="AF203" s="227"/>
      <c r="AG203" s="227"/>
      <c r="AH203" s="227"/>
      <c r="AI203" s="227"/>
      <c r="AJ203" s="227"/>
      <c r="AK203" s="227"/>
      <c r="AL203" s="227"/>
      <c r="AM203" s="227"/>
      <c r="AN203" s="227"/>
      <c r="AO203" s="227"/>
      <c r="AP203" s="227"/>
      <c r="AQ203" s="227"/>
      <c r="AR203" s="227"/>
      <c r="AS203" s="227"/>
      <c r="AT203" s="227"/>
      <c r="AU203" s="227"/>
      <c r="AV203" s="227"/>
      <c r="AW203" s="227"/>
      <c r="AX203" s="227"/>
      <c r="AY203" s="227"/>
      <c r="AZ203" s="227"/>
      <c r="BA203" s="227"/>
      <c r="BB203" s="227"/>
      <c r="BC203" s="227"/>
      <c r="BD203" s="227"/>
      <c r="BE203" s="227"/>
      <c r="BF203" s="227"/>
      <c r="BG203" s="227"/>
      <c r="BH203" s="227"/>
      <c r="BI203" s="227"/>
      <c r="BJ203" s="227"/>
      <c r="BK203" s="227"/>
      <c r="BL203" s="227"/>
      <c r="BM203" s="227"/>
      <c r="BN203" s="227"/>
      <c r="BO203" s="227"/>
      <c r="BP203" s="227"/>
      <c r="BQ203" s="227"/>
      <c r="BR203" s="227"/>
      <c r="BS203" s="227"/>
      <c r="BT203" s="227"/>
      <c r="BU203" s="227"/>
      <c r="BV203" s="227"/>
      <c r="BW203" s="227"/>
      <c r="BX203" s="227"/>
      <c r="BY203" s="227"/>
      <c r="BZ203" s="227"/>
      <c r="CA203" s="227"/>
      <c r="CB203" s="227"/>
      <c r="CC203" s="227"/>
      <c r="CD203" s="227"/>
      <c r="CE203" s="227"/>
      <c r="CF203" s="227"/>
      <c r="CG203" s="227"/>
      <c r="CH203" s="227"/>
      <c r="CI203" s="227"/>
      <c r="CJ203" s="227"/>
      <c r="CK203" s="227"/>
      <c r="CL203" s="227"/>
      <c r="CM203" s="227"/>
      <c r="CN203" s="227"/>
      <c r="CO203" s="227"/>
      <c r="CP203" s="227"/>
      <c r="CQ203" s="227"/>
      <c r="CR203" s="227"/>
      <c r="CS203" s="227"/>
      <c r="CT203" s="227"/>
      <c r="CU203" s="225"/>
      <c r="CV203" s="227"/>
    </row>
    <row r="204" spans="1:100" ht="20.100000000000001" customHeight="1">
      <c r="A204" s="223"/>
      <c r="B204" s="225"/>
      <c r="C204" s="227"/>
      <c r="D204" s="224"/>
      <c r="E204" s="223"/>
      <c r="F204" s="223"/>
      <c r="G204" s="223"/>
      <c r="H204" s="223"/>
      <c r="I204" s="223"/>
      <c r="J204" s="223"/>
      <c r="K204" s="223"/>
      <c r="L204" s="223"/>
      <c r="M204" s="223"/>
      <c r="N204" s="223"/>
      <c r="O204" s="223"/>
      <c r="P204" s="223"/>
      <c r="Q204" s="223"/>
      <c r="R204" s="223"/>
      <c r="S204" s="223"/>
      <c r="T204" s="223"/>
      <c r="U204" s="223"/>
      <c r="V204" s="223"/>
      <c r="W204" s="223"/>
      <c r="X204" s="223"/>
      <c r="Y204" s="223"/>
      <c r="Z204" s="223"/>
      <c r="AA204" s="223"/>
      <c r="AB204" s="223"/>
      <c r="AC204" s="223"/>
      <c r="AD204" s="223"/>
      <c r="AE204" s="223"/>
      <c r="AF204" s="223"/>
      <c r="AG204" s="223"/>
      <c r="AH204" s="223"/>
      <c r="AI204" s="223"/>
      <c r="AJ204" s="223"/>
      <c r="AK204" s="223"/>
      <c r="AL204" s="223"/>
      <c r="AM204" s="223"/>
      <c r="AN204" s="223"/>
      <c r="AO204" s="223"/>
      <c r="AP204" s="223"/>
      <c r="AQ204" s="223"/>
      <c r="AR204" s="223"/>
      <c r="AS204" s="223"/>
      <c r="AT204" s="223"/>
      <c r="AU204" s="223"/>
      <c r="AV204" s="223"/>
      <c r="AW204" s="223"/>
      <c r="AX204" s="223"/>
      <c r="AY204" s="223"/>
      <c r="AZ204" s="223"/>
      <c r="BA204" s="223"/>
      <c r="BB204" s="223"/>
      <c r="BC204" s="223"/>
      <c r="BD204" s="223"/>
      <c r="BE204" s="223"/>
      <c r="BF204" s="223"/>
      <c r="BG204" s="223"/>
      <c r="BH204" s="223"/>
      <c r="BI204" s="223"/>
      <c r="BJ204" s="223"/>
      <c r="BK204" s="223"/>
      <c r="BL204" s="223"/>
      <c r="BM204" s="223"/>
      <c r="BN204" s="223"/>
      <c r="BO204" s="223"/>
      <c r="BP204" s="223"/>
      <c r="BQ204" s="227"/>
      <c r="BR204" s="227"/>
      <c r="BS204" s="227"/>
      <c r="BT204" s="227"/>
      <c r="BU204" s="227"/>
      <c r="BV204" s="227"/>
      <c r="BW204" s="227"/>
      <c r="BX204" s="227"/>
      <c r="BY204" s="227"/>
      <c r="BZ204" s="227"/>
      <c r="CA204" s="227"/>
      <c r="CB204" s="227"/>
      <c r="CC204" s="227"/>
      <c r="CD204" s="227"/>
      <c r="CE204" s="227"/>
      <c r="CF204" s="227"/>
      <c r="CG204" s="227"/>
      <c r="CH204" s="227"/>
      <c r="CI204" s="227"/>
      <c r="CJ204" s="227"/>
      <c r="CK204" s="227"/>
      <c r="CL204" s="227"/>
      <c r="CM204" s="227"/>
      <c r="CN204" s="227"/>
      <c r="CO204" s="227"/>
      <c r="CP204" s="227"/>
      <c r="CQ204" s="227"/>
      <c r="CR204" s="227"/>
      <c r="CS204" s="227"/>
      <c r="CT204" s="227"/>
      <c r="CU204" s="225"/>
      <c r="CV204" s="227"/>
    </row>
    <row r="205" spans="1:100" ht="20.100000000000001" customHeight="1">
      <c r="A205" s="227">
        <v>99</v>
      </c>
      <c r="B205" s="225"/>
      <c r="C205" s="227"/>
      <c r="D205" s="228" cm="1">
        <f t="array" ref="D205">IFERROR(
(SUMPRODUCT(E205:CU205*$E$6:$CU$6)/100) + (SUMPRODUCT(E205:CU205*$E$6:$CU$6*$E$3:$CU$3)/100),
0
)</f>
        <v>0</v>
      </c>
      <c r="E205" s="227"/>
      <c r="F205" s="227"/>
      <c r="G205" s="227"/>
      <c r="H205" s="227"/>
      <c r="I205" s="227"/>
      <c r="J205" s="227"/>
      <c r="K205" s="227"/>
      <c r="L205" s="227"/>
      <c r="M205" s="227"/>
      <c r="N205" s="227"/>
      <c r="O205" s="227"/>
      <c r="P205" s="227"/>
      <c r="Q205" s="227"/>
      <c r="R205" s="227"/>
      <c r="S205" s="227"/>
      <c r="T205" s="227"/>
      <c r="U205" s="227"/>
      <c r="V205" s="227"/>
      <c r="W205" s="227"/>
      <c r="X205" s="227"/>
      <c r="Y205" s="227"/>
      <c r="Z205" s="227"/>
      <c r="AA205" s="227"/>
      <c r="AB205" s="227"/>
      <c r="AC205" s="227"/>
      <c r="AD205" s="227"/>
      <c r="AE205" s="227"/>
      <c r="AF205" s="227"/>
      <c r="AG205" s="227"/>
      <c r="AH205" s="227"/>
      <c r="AI205" s="227"/>
      <c r="AJ205" s="227"/>
      <c r="AK205" s="227"/>
      <c r="AL205" s="227"/>
      <c r="AM205" s="227"/>
      <c r="AN205" s="227"/>
      <c r="AO205" s="227"/>
      <c r="AP205" s="227"/>
      <c r="AQ205" s="227"/>
      <c r="AR205" s="227"/>
      <c r="AS205" s="227"/>
      <c r="AT205" s="227"/>
      <c r="AU205" s="227"/>
      <c r="AV205" s="227"/>
      <c r="AW205" s="227"/>
      <c r="AX205" s="227"/>
      <c r="AY205" s="227"/>
      <c r="AZ205" s="227"/>
      <c r="BA205" s="227"/>
      <c r="BB205" s="227"/>
      <c r="BC205" s="227"/>
      <c r="BD205" s="227"/>
      <c r="BE205" s="227"/>
      <c r="BF205" s="227"/>
      <c r="BG205" s="227"/>
      <c r="BH205" s="227"/>
      <c r="BI205" s="227"/>
      <c r="BJ205" s="227"/>
      <c r="BK205" s="227"/>
      <c r="BL205" s="227"/>
      <c r="BM205" s="227"/>
      <c r="BN205" s="227"/>
      <c r="BO205" s="227"/>
      <c r="BP205" s="227"/>
      <c r="BQ205" s="227"/>
      <c r="BR205" s="227"/>
      <c r="BS205" s="227"/>
      <c r="BT205" s="227"/>
      <c r="BU205" s="227"/>
      <c r="BV205" s="227"/>
      <c r="BW205" s="227"/>
      <c r="BX205" s="227"/>
      <c r="BY205" s="227"/>
      <c r="BZ205" s="227"/>
      <c r="CA205" s="227"/>
      <c r="CB205" s="227"/>
      <c r="CC205" s="227"/>
      <c r="CD205" s="227"/>
      <c r="CE205" s="227"/>
      <c r="CF205" s="227"/>
      <c r="CG205" s="227"/>
      <c r="CH205" s="227"/>
      <c r="CI205" s="227"/>
      <c r="CJ205" s="227"/>
      <c r="CK205" s="227"/>
      <c r="CL205" s="227"/>
      <c r="CM205" s="227"/>
      <c r="CN205" s="227"/>
      <c r="CO205" s="227"/>
      <c r="CP205" s="227"/>
      <c r="CQ205" s="227"/>
      <c r="CR205" s="227"/>
      <c r="CS205" s="227"/>
      <c r="CT205" s="227"/>
      <c r="CU205" s="225"/>
      <c r="CV205" s="227"/>
    </row>
    <row r="206" spans="1:100" ht="20.100000000000001" customHeight="1">
      <c r="A206" s="227"/>
      <c r="B206" s="225"/>
      <c r="C206" s="227"/>
      <c r="D206" s="224"/>
      <c r="E206" s="223"/>
      <c r="F206" s="223"/>
      <c r="G206" s="223"/>
      <c r="H206" s="223"/>
      <c r="I206" s="223"/>
      <c r="J206" s="223"/>
      <c r="K206" s="223"/>
      <c r="L206" s="223"/>
      <c r="M206" s="223"/>
      <c r="N206" s="223"/>
      <c r="O206" s="223"/>
      <c r="P206" s="223"/>
      <c r="Q206" s="223"/>
      <c r="R206" s="223"/>
      <c r="S206" s="223"/>
      <c r="T206" s="223"/>
      <c r="U206" s="223"/>
      <c r="V206" s="223"/>
      <c r="W206" s="223"/>
      <c r="X206" s="223"/>
      <c r="Y206" s="223"/>
      <c r="Z206" s="223"/>
      <c r="AA206" s="223"/>
      <c r="AB206" s="223"/>
      <c r="AC206" s="223"/>
      <c r="AD206" s="223"/>
      <c r="AE206" s="223"/>
      <c r="AF206" s="223"/>
      <c r="AG206" s="223"/>
      <c r="AH206" s="223"/>
      <c r="AI206" s="223"/>
      <c r="AJ206" s="223"/>
      <c r="AK206" s="223"/>
      <c r="AL206" s="223"/>
      <c r="AM206" s="223"/>
      <c r="AN206" s="223"/>
      <c r="AO206" s="223"/>
      <c r="AP206" s="223"/>
      <c r="AQ206" s="223"/>
      <c r="AR206" s="223"/>
      <c r="AS206" s="223"/>
      <c r="AT206" s="223"/>
      <c r="AU206" s="223"/>
      <c r="AV206" s="223"/>
      <c r="AW206" s="223"/>
      <c r="AX206" s="223"/>
      <c r="AY206" s="223"/>
      <c r="AZ206" s="223"/>
      <c r="BA206" s="223"/>
      <c r="BB206" s="223"/>
      <c r="BC206" s="223"/>
      <c r="BD206" s="223"/>
      <c r="BE206" s="223"/>
      <c r="BF206" s="223"/>
      <c r="BG206" s="223"/>
      <c r="BH206" s="223"/>
      <c r="BI206" s="223"/>
      <c r="BJ206" s="223"/>
      <c r="BK206" s="223"/>
      <c r="BL206" s="223"/>
      <c r="BM206" s="223"/>
      <c r="BN206" s="223"/>
      <c r="BO206" s="223"/>
      <c r="BP206" s="223"/>
      <c r="BQ206" s="227"/>
      <c r="BR206" s="227"/>
      <c r="BS206" s="227"/>
      <c r="BT206" s="227"/>
      <c r="BU206" s="227"/>
      <c r="BV206" s="227"/>
      <c r="BW206" s="227"/>
      <c r="BX206" s="227"/>
      <c r="BY206" s="227"/>
      <c r="BZ206" s="227"/>
      <c r="CA206" s="227"/>
      <c r="CB206" s="227"/>
      <c r="CC206" s="227"/>
      <c r="CD206" s="227"/>
      <c r="CE206" s="227"/>
      <c r="CF206" s="227"/>
      <c r="CG206" s="227"/>
      <c r="CH206" s="227"/>
      <c r="CI206" s="227"/>
      <c r="CJ206" s="227"/>
      <c r="CK206" s="227"/>
      <c r="CL206" s="227"/>
      <c r="CM206" s="227"/>
      <c r="CN206" s="227"/>
      <c r="CO206" s="227"/>
      <c r="CP206" s="227"/>
      <c r="CQ206" s="227"/>
      <c r="CR206" s="227"/>
      <c r="CS206" s="227"/>
      <c r="CT206" s="227"/>
      <c r="CU206" s="225"/>
      <c r="CV206" s="227"/>
    </row>
    <row r="207" spans="1:100" ht="20.100000000000001" customHeight="1">
      <c r="A207" s="227">
        <v>100</v>
      </c>
      <c r="B207" s="225"/>
      <c r="C207" s="227"/>
      <c r="D207" s="228" cm="1">
        <f t="array" ref="D207">IFERROR(
(SUMPRODUCT(E207:CU207*$E$6:$CU$6)/100) + (SUMPRODUCT(E207:CU207*$E$6:$CU$6*$E$3:$CU$3)/100),
0
)</f>
        <v>0</v>
      </c>
      <c r="E207" s="227"/>
      <c r="F207" s="227"/>
      <c r="G207" s="227"/>
      <c r="H207" s="227"/>
      <c r="I207" s="227"/>
      <c r="J207" s="227"/>
      <c r="K207" s="227"/>
      <c r="L207" s="227"/>
      <c r="M207" s="227"/>
      <c r="N207" s="227"/>
      <c r="O207" s="227"/>
      <c r="P207" s="227"/>
      <c r="Q207" s="227"/>
      <c r="R207" s="227"/>
      <c r="S207" s="227"/>
      <c r="T207" s="227"/>
      <c r="U207" s="227"/>
      <c r="V207" s="227"/>
      <c r="W207" s="227"/>
      <c r="X207" s="227"/>
      <c r="Y207" s="227"/>
      <c r="Z207" s="227"/>
      <c r="AA207" s="227"/>
      <c r="AB207" s="227"/>
      <c r="AC207" s="227"/>
      <c r="AD207" s="227"/>
      <c r="AE207" s="227"/>
      <c r="AF207" s="227"/>
      <c r="AG207" s="227"/>
      <c r="AH207" s="227"/>
      <c r="AI207" s="227"/>
      <c r="AJ207" s="227"/>
      <c r="AK207" s="227"/>
      <c r="AL207" s="227"/>
      <c r="AM207" s="227"/>
      <c r="AN207" s="227"/>
      <c r="AO207" s="227"/>
      <c r="AP207" s="227"/>
      <c r="AQ207" s="227"/>
      <c r="AR207" s="227"/>
      <c r="AS207" s="227"/>
      <c r="AT207" s="227"/>
      <c r="AU207" s="227"/>
      <c r="AV207" s="227"/>
      <c r="AW207" s="227"/>
      <c r="AX207" s="227"/>
      <c r="AY207" s="227"/>
      <c r="AZ207" s="227"/>
      <c r="BA207" s="227"/>
      <c r="BB207" s="227"/>
      <c r="BC207" s="227"/>
      <c r="BD207" s="227"/>
      <c r="BE207" s="227"/>
      <c r="BF207" s="227"/>
      <c r="BG207" s="227"/>
      <c r="BH207" s="227"/>
      <c r="BI207" s="227"/>
      <c r="BJ207" s="227"/>
      <c r="BK207" s="227"/>
      <c r="BL207" s="227"/>
      <c r="BM207" s="227"/>
      <c r="BN207" s="227"/>
      <c r="BO207" s="227"/>
      <c r="BP207" s="227"/>
      <c r="BQ207" s="227"/>
      <c r="BR207" s="227"/>
      <c r="BS207" s="227"/>
      <c r="BT207" s="227"/>
      <c r="BU207" s="227"/>
      <c r="BV207" s="227"/>
      <c r="BW207" s="227"/>
      <c r="BX207" s="227"/>
      <c r="BY207" s="227"/>
      <c r="BZ207" s="227"/>
      <c r="CA207" s="227"/>
      <c r="CB207" s="227"/>
      <c r="CC207" s="227"/>
      <c r="CD207" s="227"/>
      <c r="CE207" s="227"/>
      <c r="CF207" s="227"/>
      <c r="CG207" s="227"/>
      <c r="CH207" s="227"/>
      <c r="CI207" s="227"/>
      <c r="CJ207" s="227"/>
      <c r="CK207" s="227"/>
      <c r="CL207" s="227"/>
      <c r="CM207" s="227"/>
      <c r="CN207" s="227"/>
      <c r="CO207" s="227"/>
      <c r="CP207" s="227"/>
      <c r="CQ207" s="227"/>
      <c r="CR207" s="227"/>
      <c r="CS207" s="227"/>
      <c r="CT207" s="227"/>
      <c r="CU207" s="225"/>
      <c r="CV207" s="227"/>
    </row>
    <row r="208" spans="1:100" ht="20.100000000000001" customHeight="1">
      <c r="A208" s="223"/>
      <c r="B208" s="225"/>
      <c r="C208" s="227"/>
      <c r="D208" s="224"/>
      <c r="E208" s="223"/>
      <c r="F208" s="223"/>
      <c r="G208" s="223"/>
      <c r="H208" s="223"/>
      <c r="I208" s="223"/>
      <c r="J208" s="223"/>
      <c r="K208" s="223"/>
      <c r="L208" s="223"/>
      <c r="M208" s="223"/>
      <c r="N208" s="223"/>
      <c r="O208" s="223"/>
      <c r="P208" s="223"/>
      <c r="Q208" s="223"/>
      <c r="R208" s="223"/>
      <c r="S208" s="223"/>
      <c r="T208" s="223"/>
      <c r="U208" s="223"/>
      <c r="V208" s="223"/>
      <c r="W208" s="223"/>
      <c r="X208" s="223"/>
      <c r="Y208" s="223"/>
      <c r="Z208" s="223"/>
      <c r="AA208" s="223"/>
      <c r="AB208" s="223"/>
      <c r="AC208" s="223"/>
      <c r="AD208" s="223"/>
      <c r="AE208" s="223"/>
      <c r="AF208" s="223"/>
      <c r="AG208" s="223"/>
      <c r="AH208" s="223"/>
      <c r="AI208" s="223"/>
      <c r="AJ208" s="223"/>
      <c r="AK208" s="223"/>
      <c r="AL208" s="223"/>
      <c r="AM208" s="223"/>
      <c r="AN208" s="223"/>
      <c r="AO208" s="223"/>
      <c r="AP208" s="223"/>
      <c r="AQ208" s="223"/>
      <c r="AR208" s="223"/>
      <c r="AS208" s="223"/>
      <c r="AT208" s="223"/>
      <c r="AU208" s="223"/>
      <c r="AV208" s="223"/>
      <c r="AW208" s="223"/>
      <c r="AX208" s="223"/>
      <c r="AY208" s="223"/>
      <c r="AZ208" s="223"/>
      <c r="BA208" s="223"/>
      <c r="BB208" s="223"/>
      <c r="BC208" s="223"/>
      <c r="BD208" s="223"/>
      <c r="BE208" s="223"/>
      <c r="BF208" s="223"/>
      <c r="BG208" s="223"/>
      <c r="BH208" s="223"/>
      <c r="BI208" s="223"/>
      <c r="BJ208" s="223"/>
      <c r="BK208" s="223"/>
      <c r="BL208" s="223"/>
      <c r="BM208" s="223"/>
      <c r="BN208" s="223"/>
      <c r="BO208" s="223"/>
      <c r="BP208" s="223"/>
      <c r="BQ208" s="227"/>
      <c r="BR208" s="227"/>
      <c r="BS208" s="227"/>
      <c r="BT208" s="227"/>
      <c r="BU208" s="227"/>
      <c r="BV208" s="227"/>
      <c r="BW208" s="227"/>
      <c r="BX208" s="227"/>
      <c r="BY208" s="227"/>
      <c r="BZ208" s="227"/>
      <c r="CA208" s="227"/>
      <c r="CB208" s="227"/>
      <c r="CC208" s="227"/>
      <c r="CD208" s="227"/>
      <c r="CE208" s="227"/>
      <c r="CF208" s="227"/>
      <c r="CG208" s="227"/>
      <c r="CH208" s="227"/>
      <c r="CI208" s="227"/>
      <c r="CJ208" s="227"/>
      <c r="CK208" s="227"/>
      <c r="CL208" s="227"/>
      <c r="CM208" s="227"/>
      <c r="CN208" s="227"/>
      <c r="CO208" s="227"/>
      <c r="CP208" s="227"/>
      <c r="CQ208" s="227"/>
      <c r="CR208" s="227"/>
      <c r="CS208" s="227"/>
      <c r="CT208" s="227"/>
      <c r="CU208" s="225"/>
      <c r="CV208" s="227"/>
    </row>
    <row r="209" spans="1:100" ht="20.100000000000001" customHeight="1">
      <c r="A209" s="227">
        <v>101</v>
      </c>
      <c r="B209" s="225"/>
      <c r="C209" s="227"/>
      <c r="D209" s="228" cm="1">
        <f t="array" ref="D209">IFERROR(
(SUMPRODUCT(E209:CU209*$E$6:$CU$6)/100) + (SUMPRODUCT(E209:CU209*$E$6:$CU$6*$E$3:$CU$3)/100),
0
)</f>
        <v>0</v>
      </c>
      <c r="E209" s="227"/>
      <c r="F209" s="227"/>
      <c r="G209" s="227"/>
      <c r="H209" s="227"/>
      <c r="I209" s="227"/>
      <c r="J209" s="227"/>
      <c r="K209" s="227"/>
      <c r="L209" s="227"/>
      <c r="M209" s="227"/>
      <c r="N209" s="227"/>
      <c r="O209" s="227"/>
      <c r="P209" s="227"/>
      <c r="Q209" s="227"/>
      <c r="R209" s="227"/>
      <c r="S209" s="227"/>
      <c r="T209" s="227"/>
      <c r="U209" s="227"/>
      <c r="V209" s="227"/>
      <c r="W209" s="227"/>
      <c r="X209" s="227"/>
      <c r="Y209" s="227"/>
      <c r="Z209" s="227"/>
      <c r="AA209" s="227"/>
      <c r="AB209" s="227"/>
      <c r="AC209" s="227"/>
      <c r="AD209" s="227"/>
      <c r="AE209" s="227"/>
      <c r="AF209" s="227"/>
      <c r="AG209" s="227"/>
      <c r="AH209" s="227"/>
      <c r="AI209" s="227"/>
      <c r="AJ209" s="227"/>
      <c r="AK209" s="227"/>
      <c r="AL209" s="227"/>
      <c r="AM209" s="227"/>
      <c r="AN209" s="227"/>
      <c r="AO209" s="227"/>
      <c r="AP209" s="227"/>
      <c r="AQ209" s="227"/>
      <c r="AR209" s="227"/>
      <c r="AS209" s="227"/>
      <c r="AT209" s="227"/>
      <c r="AU209" s="227"/>
      <c r="AV209" s="227"/>
      <c r="AW209" s="227"/>
      <c r="AX209" s="227"/>
      <c r="AY209" s="227"/>
      <c r="AZ209" s="227"/>
      <c r="BA209" s="227"/>
      <c r="BB209" s="227"/>
      <c r="BC209" s="227"/>
      <c r="BD209" s="227"/>
      <c r="BE209" s="227"/>
      <c r="BF209" s="227"/>
      <c r="BG209" s="227"/>
      <c r="BH209" s="227"/>
      <c r="BI209" s="227"/>
      <c r="BJ209" s="227"/>
      <c r="BK209" s="227"/>
      <c r="BL209" s="227"/>
      <c r="BM209" s="227"/>
      <c r="BN209" s="227"/>
      <c r="BO209" s="227"/>
      <c r="BP209" s="227"/>
      <c r="BQ209" s="227"/>
      <c r="BR209" s="227"/>
      <c r="BS209" s="227"/>
      <c r="BT209" s="227"/>
      <c r="BU209" s="227"/>
      <c r="BV209" s="227"/>
      <c r="BW209" s="227"/>
      <c r="BX209" s="227"/>
      <c r="BY209" s="227"/>
      <c r="BZ209" s="227"/>
      <c r="CA209" s="227"/>
      <c r="CB209" s="227"/>
      <c r="CC209" s="227"/>
      <c r="CD209" s="227"/>
      <c r="CE209" s="227"/>
      <c r="CF209" s="227"/>
      <c r="CG209" s="227"/>
      <c r="CH209" s="227"/>
      <c r="CI209" s="227"/>
      <c r="CJ209" s="227"/>
      <c r="CK209" s="227"/>
      <c r="CL209" s="227"/>
      <c r="CM209" s="227"/>
      <c r="CN209" s="227"/>
      <c r="CO209" s="227"/>
      <c r="CP209" s="227"/>
      <c r="CQ209" s="227"/>
      <c r="CR209" s="227"/>
      <c r="CS209" s="227"/>
      <c r="CT209" s="227"/>
      <c r="CU209" s="225"/>
      <c r="CV209" s="227"/>
    </row>
    <row r="210" spans="1:100" ht="20.100000000000001" customHeight="1">
      <c r="A210" s="227"/>
      <c r="B210" s="225"/>
      <c r="C210" s="227"/>
      <c r="D210" s="224"/>
      <c r="E210" s="223"/>
      <c r="F210" s="223"/>
      <c r="G210" s="223"/>
      <c r="H210" s="223"/>
      <c r="I210" s="223"/>
      <c r="J210" s="223"/>
      <c r="K210" s="223"/>
      <c r="L210" s="223"/>
      <c r="M210" s="223"/>
      <c r="N210" s="223"/>
      <c r="O210" s="223"/>
      <c r="P210" s="223"/>
      <c r="Q210" s="223"/>
      <c r="R210" s="223"/>
      <c r="S210" s="223"/>
      <c r="T210" s="223"/>
      <c r="U210" s="223"/>
      <c r="V210" s="223"/>
      <c r="W210" s="223"/>
      <c r="X210" s="223"/>
      <c r="Y210" s="223"/>
      <c r="Z210" s="223"/>
      <c r="AA210" s="223"/>
      <c r="AB210" s="223"/>
      <c r="AC210" s="223"/>
      <c r="AD210" s="223"/>
      <c r="AE210" s="223"/>
      <c r="AF210" s="223"/>
      <c r="AG210" s="223"/>
      <c r="AH210" s="223"/>
      <c r="AI210" s="223"/>
      <c r="AJ210" s="223"/>
      <c r="AK210" s="223"/>
      <c r="AL210" s="223"/>
      <c r="AM210" s="223"/>
      <c r="AN210" s="223"/>
      <c r="AO210" s="223"/>
      <c r="AP210" s="223"/>
      <c r="AQ210" s="223"/>
      <c r="AR210" s="223"/>
      <c r="AS210" s="223"/>
      <c r="AT210" s="223"/>
      <c r="AU210" s="223"/>
      <c r="AV210" s="223"/>
      <c r="AW210" s="223"/>
      <c r="AX210" s="223"/>
      <c r="AY210" s="223"/>
      <c r="AZ210" s="223"/>
      <c r="BA210" s="223"/>
      <c r="BB210" s="223"/>
      <c r="BC210" s="223"/>
      <c r="BD210" s="223"/>
      <c r="BE210" s="223"/>
      <c r="BF210" s="223"/>
      <c r="BG210" s="223"/>
      <c r="BH210" s="223"/>
      <c r="BI210" s="223"/>
      <c r="BJ210" s="223"/>
      <c r="BK210" s="223"/>
      <c r="BL210" s="223"/>
      <c r="BM210" s="223"/>
      <c r="BN210" s="223"/>
      <c r="BO210" s="223"/>
      <c r="BP210" s="223"/>
      <c r="BQ210" s="227"/>
      <c r="BR210" s="227"/>
      <c r="BS210" s="227"/>
      <c r="BT210" s="227"/>
      <c r="BU210" s="227"/>
      <c r="BV210" s="227"/>
      <c r="BW210" s="227"/>
      <c r="BX210" s="227"/>
      <c r="BY210" s="227"/>
      <c r="BZ210" s="227"/>
      <c r="CA210" s="227"/>
      <c r="CB210" s="227"/>
      <c r="CC210" s="227"/>
      <c r="CD210" s="227"/>
      <c r="CE210" s="227"/>
      <c r="CF210" s="227"/>
      <c r="CG210" s="227"/>
      <c r="CH210" s="227"/>
      <c r="CI210" s="227"/>
      <c r="CJ210" s="227"/>
      <c r="CK210" s="227"/>
      <c r="CL210" s="227"/>
      <c r="CM210" s="227"/>
      <c r="CN210" s="227"/>
      <c r="CO210" s="227"/>
      <c r="CP210" s="227"/>
      <c r="CQ210" s="227"/>
      <c r="CR210" s="227"/>
      <c r="CS210" s="227"/>
      <c r="CT210" s="227"/>
      <c r="CU210" s="225"/>
      <c r="CV210" s="227"/>
    </row>
    <row r="211" spans="1:100" ht="20.100000000000001" customHeight="1">
      <c r="A211" s="227">
        <v>102</v>
      </c>
      <c r="B211" s="225"/>
      <c r="C211" s="227"/>
      <c r="D211" s="228" cm="1">
        <f t="array" ref="D211">IFERROR(
(SUMPRODUCT(E211:CU211*$E$6:$CU$6)/100) + (SUMPRODUCT(E211:CU211*$E$6:$CU$6*$E$3:$CU$3)/100),
0
)</f>
        <v>0</v>
      </c>
      <c r="E211" s="227"/>
      <c r="F211" s="227"/>
      <c r="G211" s="227"/>
      <c r="H211" s="227"/>
      <c r="I211" s="227"/>
      <c r="J211" s="227"/>
      <c r="K211" s="227"/>
      <c r="L211" s="227"/>
      <c r="M211" s="227"/>
      <c r="N211" s="227"/>
      <c r="O211" s="227"/>
      <c r="P211" s="227"/>
      <c r="Q211" s="227"/>
      <c r="R211" s="227"/>
      <c r="S211" s="227"/>
      <c r="T211" s="227"/>
      <c r="U211" s="227"/>
      <c r="V211" s="227"/>
      <c r="W211" s="227"/>
      <c r="X211" s="227"/>
      <c r="Y211" s="227"/>
      <c r="Z211" s="227"/>
      <c r="AA211" s="227"/>
      <c r="AB211" s="227"/>
      <c r="AC211" s="227"/>
      <c r="AD211" s="227"/>
      <c r="AE211" s="227"/>
      <c r="AF211" s="227"/>
      <c r="AG211" s="227"/>
      <c r="AH211" s="227"/>
      <c r="AI211" s="227"/>
      <c r="AJ211" s="227"/>
      <c r="AK211" s="227"/>
      <c r="AL211" s="227"/>
      <c r="AM211" s="227"/>
      <c r="AN211" s="227"/>
      <c r="AO211" s="227"/>
      <c r="AP211" s="227"/>
      <c r="AQ211" s="227"/>
      <c r="AR211" s="227"/>
      <c r="AS211" s="227"/>
      <c r="AT211" s="227"/>
      <c r="AU211" s="227"/>
      <c r="AV211" s="227"/>
      <c r="AW211" s="227"/>
      <c r="AX211" s="227"/>
      <c r="AY211" s="227"/>
      <c r="AZ211" s="227"/>
      <c r="BA211" s="227"/>
      <c r="BB211" s="227"/>
      <c r="BC211" s="227"/>
      <c r="BD211" s="227"/>
      <c r="BE211" s="227"/>
      <c r="BF211" s="227"/>
      <c r="BG211" s="227"/>
      <c r="BH211" s="227"/>
      <c r="BI211" s="227"/>
      <c r="BJ211" s="227"/>
      <c r="BK211" s="227"/>
      <c r="BL211" s="227"/>
      <c r="BM211" s="227"/>
      <c r="BN211" s="227"/>
      <c r="BO211" s="227"/>
      <c r="BP211" s="227"/>
      <c r="BQ211" s="227"/>
      <c r="BR211" s="227"/>
      <c r="BS211" s="227"/>
      <c r="BT211" s="227"/>
      <c r="BU211" s="227"/>
      <c r="BV211" s="227"/>
      <c r="BW211" s="227"/>
      <c r="BX211" s="227"/>
      <c r="BY211" s="227"/>
      <c r="BZ211" s="227"/>
      <c r="CA211" s="227"/>
      <c r="CB211" s="227"/>
      <c r="CC211" s="227"/>
      <c r="CD211" s="227"/>
      <c r="CE211" s="227"/>
      <c r="CF211" s="227"/>
      <c r="CG211" s="227"/>
      <c r="CH211" s="227"/>
      <c r="CI211" s="227"/>
      <c r="CJ211" s="227"/>
      <c r="CK211" s="227"/>
      <c r="CL211" s="227"/>
      <c r="CM211" s="227"/>
      <c r="CN211" s="227"/>
      <c r="CO211" s="227"/>
      <c r="CP211" s="227"/>
      <c r="CQ211" s="227"/>
      <c r="CR211" s="227"/>
      <c r="CS211" s="227"/>
      <c r="CT211" s="227"/>
      <c r="CU211" s="225"/>
      <c r="CV211" s="227"/>
    </row>
    <row r="212" spans="1:100" ht="20.100000000000001" customHeight="1">
      <c r="A212" s="223"/>
      <c r="B212" s="225"/>
      <c r="C212" s="227"/>
      <c r="D212" s="224"/>
      <c r="E212" s="223"/>
      <c r="F212" s="223"/>
      <c r="G212" s="223"/>
      <c r="H212" s="223"/>
      <c r="I212" s="223"/>
      <c r="J212" s="223"/>
      <c r="K212" s="223"/>
      <c r="L212" s="223"/>
      <c r="M212" s="223"/>
      <c r="N212" s="223"/>
      <c r="O212" s="223"/>
      <c r="P212" s="223"/>
      <c r="Q212" s="223"/>
      <c r="R212" s="223"/>
      <c r="S212" s="223"/>
      <c r="T212" s="223"/>
      <c r="U212" s="223"/>
      <c r="V212" s="223"/>
      <c r="W212" s="223"/>
      <c r="X212" s="223"/>
      <c r="Y212" s="223"/>
      <c r="Z212" s="223"/>
      <c r="AA212" s="223"/>
      <c r="AB212" s="223"/>
      <c r="AC212" s="223"/>
      <c r="AD212" s="223"/>
      <c r="AE212" s="223"/>
      <c r="AF212" s="223"/>
      <c r="AG212" s="223"/>
      <c r="AH212" s="223"/>
      <c r="AI212" s="223"/>
      <c r="AJ212" s="223"/>
      <c r="AK212" s="223"/>
      <c r="AL212" s="223"/>
      <c r="AM212" s="223"/>
      <c r="AN212" s="223"/>
      <c r="AO212" s="223"/>
      <c r="AP212" s="223"/>
      <c r="AQ212" s="223"/>
      <c r="AR212" s="223"/>
      <c r="AS212" s="223"/>
      <c r="AT212" s="223"/>
      <c r="AU212" s="223"/>
      <c r="AV212" s="223"/>
      <c r="AW212" s="223"/>
      <c r="AX212" s="223"/>
      <c r="AY212" s="223"/>
      <c r="AZ212" s="223"/>
      <c r="BA212" s="223"/>
      <c r="BB212" s="223"/>
      <c r="BC212" s="223"/>
      <c r="BD212" s="223"/>
      <c r="BE212" s="223"/>
      <c r="BF212" s="223"/>
      <c r="BG212" s="223"/>
      <c r="BH212" s="223"/>
      <c r="BI212" s="223"/>
      <c r="BJ212" s="223"/>
      <c r="BK212" s="223"/>
      <c r="BL212" s="223"/>
      <c r="BM212" s="223"/>
      <c r="BN212" s="223"/>
      <c r="BO212" s="223"/>
      <c r="BP212" s="223"/>
      <c r="BQ212" s="227"/>
      <c r="BR212" s="227"/>
      <c r="BS212" s="227"/>
      <c r="BT212" s="227"/>
      <c r="BU212" s="227"/>
      <c r="BV212" s="227"/>
      <c r="BW212" s="227"/>
      <c r="BX212" s="227"/>
      <c r="BY212" s="227"/>
      <c r="BZ212" s="227"/>
      <c r="CA212" s="227"/>
      <c r="CB212" s="227"/>
      <c r="CC212" s="227"/>
      <c r="CD212" s="227"/>
      <c r="CE212" s="227"/>
      <c r="CF212" s="227"/>
      <c r="CG212" s="227"/>
      <c r="CH212" s="227"/>
      <c r="CI212" s="227"/>
      <c r="CJ212" s="227"/>
      <c r="CK212" s="227"/>
      <c r="CL212" s="227"/>
      <c r="CM212" s="227"/>
      <c r="CN212" s="227"/>
      <c r="CO212" s="227"/>
      <c r="CP212" s="227"/>
      <c r="CQ212" s="227"/>
      <c r="CR212" s="227"/>
      <c r="CS212" s="227"/>
      <c r="CT212" s="227"/>
      <c r="CU212" s="225"/>
      <c r="CV212" s="227"/>
    </row>
    <row r="213" spans="1:100" ht="20.100000000000001" customHeight="1">
      <c r="A213" s="227">
        <v>103</v>
      </c>
      <c r="B213" s="225"/>
      <c r="C213" s="227"/>
      <c r="D213" s="228" cm="1">
        <f t="array" ref="D213">IFERROR(
(SUMPRODUCT(E213:CU213*$E$6:$CU$6)/100) + (SUMPRODUCT(E213:CU213*$E$6:$CU$6*$E$3:$CU$3)/100),
0
)</f>
        <v>0</v>
      </c>
      <c r="E213" s="227"/>
      <c r="F213" s="227"/>
      <c r="G213" s="227"/>
      <c r="H213" s="227"/>
      <c r="I213" s="227"/>
      <c r="J213" s="227"/>
      <c r="K213" s="227"/>
      <c r="L213" s="227"/>
      <c r="M213" s="227"/>
      <c r="N213" s="227"/>
      <c r="O213" s="227"/>
      <c r="P213" s="227"/>
      <c r="Q213" s="227"/>
      <c r="R213" s="227"/>
      <c r="S213" s="227"/>
      <c r="T213" s="227"/>
      <c r="U213" s="227"/>
      <c r="V213" s="227"/>
      <c r="W213" s="227"/>
      <c r="X213" s="227"/>
      <c r="Y213" s="227"/>
      <c r="Z213" s="227"/>
      <c r="AA213" s="227"/>
      <c r="AB213" s="227"/>
      <c r="AC213" s="227"/>
      <c r="AD213" s="227"/>
      <c r="AE213" s="227"/>
      <c r="AF213" s="227"/>
      <c r="AG213" s="227"/>
      <c r="AH213" s="227"/>
      <c r="AI213" s="227"/>
      <c r="AJ213" s="227"/>
      <c r="AK213" s="227"/>
      <c r="AL213" s="227"/>
      <c r="AM213" s="227"/>
      <c r="AN213" s="227"/>
      <c r="AO213" s="227"/>
      <c r="AP213" s="227"/>
      <c r="AQ213" s="227"/>
      <c r="AR213" s="227"/>
      <c r="AS213" s="227"/>
      <c r="AT213" s="227"/>
      <c r="AU213" s="227"/>
      <c r="AV213" s="227"/>
      <c r="AW213" s="227"/>
      <c r="AX213" s="227"/>
      <c r="AY213" s="227"/>
      <c r="AZ213" s="227"/>
      <c r="BA213" s="227"/>
      <c r="BB213" s="227"/>
      <c r="BC213" s="227"/>
      <c r="BD213" s="227"/>
      <c r="BE213" s="227"/>
      <c r="BF213" s="227"/>
      <c r="BG213" s="227"/>
      <c r="BH213" s="227"/>
      <c r="BI213" s="227"/>
      <c r="BJ213" s="227"/>
      <c r="BK213" s="227"/>
      <c r="BL213" s="227"/>
      <c r="BM213" s="227"/>
      <c r="BN213" s="227"/>
      <c r="BO213" s="227"/>
      <c r="BP213" s="227"/>
      <c r="BQ213" s="227"/>
      <c r="BR213" s="227"/>
      <c r="BS213" s="227"/>
      <c r="BT213" s="227"/>
      <c r="BU213" s="227"/>
      <c r="BV213" s="227"/>
      <c r="BW213" s="227"/>
      <c r="BX213" s="227"/>
      <c r="BY213" s="227"/>
      <c r="BZ213" s="227"/>
      <c r="CA213" s="227"/>
      <c r="CB213" s="227"/>
      <c r="CC213" s="227"/>
      <c r="CD213" s="227"/>
      <c r="CE213" s="227"/>
      <c r="CF213" s="227"/>
      <c r="CG213" s="227"/>
      <c r="CH213" s="227"/>
      <c r="CI213" s="227"/>
      <c r="CJ213" s="227"/>
      <c r="CK213" s="227"/>
      <c r="CL213" s="227"/>
      <c r="CM213" s="227"/>
      <c r="CN213" s="227"/>
      <c r="CO213" s="227"/>
      <c r="CP213" s="227"/>
      <c r="CQ213" s="227"/>
      <c r="CR213" s="227"/>
      <c r="CS213" s="227"/>
      <c r="CT213" s="227"/>
      <c r="CU213" s="225"/>
      <c r="CV213" s="227"/>
    </row>
    <row r="214" spans="1:100" ht="20.100000000000001" customHeight="1">
      <c r="A214" s="227"/>
      <c r="B214" s="225"/>
      <c r="C214" s="227"/>
      <c r="D214" s="224"/>
      <c r="E214" s="223"/>
      <c r="F214" s="223"/>
      <c r="G214" s="223"/>
      <c r="H214" s="223"/>
      <c r="I214" s="223"/>
      <c r="J214" s="223"/>
      <c r="K214" s="223"/>
      <c r="L214" s="223"/>
      <c r="M214" s="223"/>
      <c r="N214" s="223"/>
      <c r="O214" s="223"/>
      <c r="P214" s="223"/>
      <c r="Q214" s="223"/>
      <c r="R214" s="223"/>
      <c r="S214" s="223"/>
      <c r="T214" s="223"/>
      <c r="U214" s="223"/>
      <c r="V214" s="223"/>
      <c r="W214" s="223"/>
      <c r="X214" s="223"/>
      <c r="Y214" s="223"/>
      <c r="Z214" s="223"/>
      <c r="AA214" s="223"/>
      <c r="AB214" s="223"/>
      <c r="AC214" s="223"/>
      <c r="AD214" s="223"/>
      <c r="AE214" s="223"/>
      <c r="AF214" s="223"/>
      <c r="AG214" s="223"/>
      <c r="AH214" s="223"/>
      <c r="AI214" s="223"/>
      <c r="AJ214" s="223"/>
      <c r="AK214" s="223"/>
      <c r="AL214" s="223"/>
      <c r="AM214" s="223"/>
      <c r="AN214" s="223"/>
      <c r="AO214" s="223"/>
      <c r="AP214" s="223"/>
      <c r="AQ214" s="223"/>
      <c r="AR214" s="223"/>
      <c r="AS214" s="223"/>
      <c r="AT214" s="223"/>
      <c r="AU214" s="223"/>
      <c r="AV214" s="223"/>
      <c r="AW214" s="223"/>
      <c r="AX214" s="223"/>
      <c r="AY214" s="223"/>
      <c r="AZ214" s="223"/>
      <c r="BA214" s="223"/>
      <c r="BB214" s="223"/>
      <c r="BC214" s="223"/>
      <c r="BD214" s="223"/>
      <c r="BE214" s="223"/>
      <c r="BF214" s="223"/>
      <c r="BG214" s="223"/>
      <c r="BH214" s="223"/>
      <c r="BI214" s="223"/>
      <c r="BJ214" s="223"/>
      <c r="BK214" s="223"/>
      <c r="BL214" s="223"/>
      <c r="BM214" s="223"/>
      <c r="BN214" s="223"/>
      <c r="BO214" s="223"/>
      <c r="BP214" s="223"/>
      <c r="BQ214" s="227"/>
      <c r="BR214" s="227"/>
      <c r="BS214" s="227"/>
      <c r="BT214" s="227"/>
      <c r="BU214" s="227"/>
      <c r="BV214" s="227"/>
      <c r="BW214" s="227"/>
      <c r="BX214" s="227"/>
      <c r="BY214" s="227"/>
      <c r="BZ214" s="227"/>
      <c r="CA214" s="227"/>
      <c r="CB214" s="227"/>
      <c r="CC214" s="227"/>
      <c r="CD214" s="227"/>
      <c r="CE214" s="227"/>
      <c r="CF214" s="227"/>
      <c r="CG214" s="227"/>
      <c r="CH214" s="227"/>
      <c r="CI214" s="227"/>
      <c r="CJ214" s="227"/>
      <c r="CK214" s="227"/>
      <c r="CL214" s="227"/>
      <c r="CM214" s="227"/>
      <c r="CN214" s="227"/>
      <c r="CO214" s="227"/>
      <c r="CP214" s="227"/>
      <c r="CQ214" s="227"/>
      <c r="CR214" s="227"/>
      <c r="CS214" s="227"/>
      <c r="CT214" s="227"/>
      <c r="CU214" s="225"/>
      <c r="CV214" s="227"/>
    </row>
    <row r="215" spans="1:100" ht="20.100000000000001" customHeight="1">
      <c r="A215" s="227">
        <v>104</v>
      </c>
      <c r="B215" s="225"/>
      <c r="C215" s="227"/>
      <c r="D215" s="228" cm="1">
        <f t="array" ref="D215">IFERROR(
(SUMPRODUCT(E215:CU215*$E$6:$CU$6)/100) + (SUMPRODUCT(E215:CU215*$E$6:$CU$6*$E$3:$CU$3)/100),
0
)</f>
        <v>0</v>
      </c>
      <c r="E215" s="227"/>
      <c r="F215" s="227"/>
      <c r="G215" s="227"/>
      <c r="H215" s="227"/>
      <c r="I215" s="227"/>
      <c r="J215" s="227"/>
      <c r="K215" s="227"/>
      <c r="L215" s="227"/>
      <c r="M215" s="227"/>
      <c r="N215" s="227"/>
      <c r="O215" s="227"/>
      <c r="P215" s="227"/>
      <c r="Q215" s="227"/>
      <c r="R215" s="227"/>
      <c r="S215" s="227"/>
      <c r="T215" s="227"/>
      <c r="U215" s="227"/>
      <c r="V215" s="227"/>
      <c r="W215" s="227"/>
      <c r="X215" s="227"/>
      <c r="Y215" s="227"/>
      <c r="Z215" s="227"/>
      <c r="AA215" s="227"/>
      <c r="AB215" s="227"/>
      <c r="AC215" s="227"/>
      <c r="AD215" s="227"/>
      <c r="AE215" s="227"/>
      <c r="AF215" s="227"/>
      <c r="AG215" s="227"/>
      <c r="AH215" s="227"/>
      <c r="AI215" s="227"/>
      <c r="AJ215" s="227"/>
      <c r="AK215" s="227"/>
      <c r="AL215" s="227"/>
      <c r="AM215" s="227"/>
      <c r="AN215" s="227"/>
      <c r="AO215" s="227"/>
      <c r="AP215" s="227"/>
      <c r="AQ215" s="227"/>
      <c r="AR215" s="227"/>
      <c r="AS215" s="227"/>
      <c r="AT215" s="227"/>
      <c r="AU215" s="227"/>
      <c r="AV215" s="227"/>
      <c r="AW215" s="227"/>
      <c r="AX215" s="227"/>
      <c r="AY215" s="227"/>
      <c r="AZ215" s="227"/>
      <c r="BA215" s="227"/>
      <c r="BB215" s="227"/>
      <c r="BC215" s="227"/>
      <c r="BD215" s="227"/>
      <c r="BE215" s="227"/>
      <c r="BF215" s="227"/>
      <c r="BG215" s="227"/>
      <c r="BH215" s="227"/>
      <c r="BI215" s="227"/>
      <c r="BJ215" s="227"/>
      <c r="BK215" s="227"/>
      <c r="BL215" s="227"/>
      <c r="BM215" s="227"/>
      <c r="BN215" s="227"/>
      <c r="BO215" s="227"/>
      <c r="BP215" s="227"/>
      <c r="BQ215" s="227"/>
      <c r="BR215" s="227"/>
      <c r="BS215" s="227"/>
      <c r="BT215" s="227"/>
      <c r="BU215" s="227"/>
      <c r="BV215" s="227"/>
      <c r="BW215" s="227"/>
      <c r="BX215" s="227"/>
      <c r="BY215" s="227"/>
      <c r="BZ215" s="227"/>
      <c r="CA215" s="227"/>
      <c r="CB215" s="227"/>
      <c r="CC215" s="227"/>
      <c r="CD215" s="227"/>
      <c r="CE215" s="227"/>
      <c r="CF215" s="227"/>
      <c r="CG215" s="227"/>
      <c r="CH215" s="227"/>
      <c r="CI215" s="227"/>
      <c r="CJ215" s="227"/>
      <c r="CK215" s="227"/>
      <c r="CL215" s="227"/>
      <c r="CM215" s="227"/>
      <c r="CN215" s="227"/>
      <c r="CO215" s="227"/>
      <c r="CP215" s="227"/>
      <c r="CQ215" s="227"/>
      <c r="CR215" s="227"/>
      <c r="CS215" s="227"/>
      <c r="CT215" s="227"/>
      <c r="CU215" s="225"/>
      <c r="CV215" s="227"/>
    </row>
    <row r="216" spans="1:100" ht="20.100000000000001" customHeight="1">
      <c r="A216" s="223"/>
      <c r="B216" s="225"/>
      <c r="C216" s="227"/>
      <c r="D216" s="224"/>
      <c r="E216" s="223"/>
      <c r="F216" s="223"/>
      <c r="G216" s="223"/>
      <c r="H216" s="223"/>
      <c r="I216" s="223"/>
      <c r="J216" s="223"/>
      <c r="K216" s="223"/>
      <c r="L216" s="223"/>
      <c r="M216" s="223"/>
      <c r="N216" s="223"/>
      <c r="O216" s="223"/>
      <c r="P216" s="223"/>
      <c r="Q216" s="223"/>
      <c r="R216" s="223"/>
      <c r="S216" s="223"/>
      <c r="T216" s="223"/>
      <c r="U216" s="223"/>
      <c r="V216" s="223"/>
      <c r="W216" s="223"/>
      <c r="X216" s="223"/>
      <c r="Y216" s="223"/>
      <c r="Z216" s="223"/>
      <c r="AA216" s="223"/>
      <c r="AB216" s="223"/>
      <c r="AC216" s="223"/>
      <c r="AD216" s="223"/>
      <c r="AE216" s="223"/>
      <c r="AF216" s="223"/>
      <c r="AG216" s="223"/>
      <c r="AH216" s="223"/>
      <c r="AI216" s="223"/>
      <c r="AJ216" s="223"/>
      <c r="AK216" s="223"/>
      <c r="AL216" s="223"/>
      <c r="AM216" s="223"/>
      <c r="AN216" s="223"/>
      <c r="AO216" s="223"/>
      <c r="AP216" s="223"/>
      <c r="AQ216" s="223"/>
      <c r="AR216" s="223"/>
      <c r="AS216" s="223"/>
      <c r="AT216" s="223"/>
      <c r="AU216" s="223"/>
      <c r="AV216" s="223"/>
      <c r="AW216" s="223"/>
      <c r="AX216" s="223"/>
      <c r="AY216" s="223"/>
      <c r="AZ216" s="223"/>
      <c r="BA216" s="223"/>
      <c r="BB216" s="223"/>
      <c r="BC216" s="223"/>
      <c r="BD216" s="223"/>
      <c r="BE216" s="223"/>
      <c r="BF216" s="223"/>
      <c r="BG216" s="223"/>
      <c r="BH216" s="223"/>
      <c r="BI216" s="223"/>
      <c r="BJ216" s="223"/>
      <c r="BK216" s="223"/>
      <c r="BL216" s="223"/>
      <c r="BM216" s="223"/>
      <c r="BN216" s="223"/>
      <c r="BO216" s="223"/>
      <c r="BP216" s="223"/>
      <c r="BQ216" s="227"/>
      <c r="BR216" s="227"/>
      <c r="BS216" s="227"/>
      <c r="BT216" s="227"/>
      <c r="BU216" s="227"/>
      <c r="BV216" s="227"/>
      <c r="BW216" s="227"/>
      <c r="BX216" s="227"/>
      <c r="BY216" s="227"/>
      <c r="BZ216" s="227"/>
      <c r="CA216" s="227"/>
      <c r="CB216" s="227"/>
      <c r="CC216" s="227"/>
      <c r="CD216" s="227"/>
      <c r="CE216" s="227"/>
      <c r="CF216" s="227"/>
      <c r="CG216" s="227"/>
      <c r="CH216" s="227"/>
      <c r="CI216" s="227"/>
      <c r="CJ216" s="227"/>
      <c r="CK216" s="227"/>
      <c r="CL216" s="227"/>
      <c r="CM216" s="227"/>
      <c r="CN216" s="227"/>
      <c r="CO216" s="227"/>
      <c r="CP216" s="227"/>
      <c r="CQ216" s="227"/>
      <c r="CR216" s="227"/>
      <c r="CS216" s="227"/>
      <c r="CT216" s="227"/>
      <c r="CU216" s="225"/>
      <c r="CV216" s="227"/>
    </row>
    <row r="217" spans="1:100" ht="20.100000000000001" customHeight="1">
      <c r="A217" s="227">
        <v>105</v>
      </c>
      <c r="B217" s="225"/>
      <c r="C217" s="227"/>
      <c r="D217" s="228" cm="1">
        <f t="array" ref="D217">IFERROR(
(SUMPRODUCT(E217:CU217*$E$6:$CU$6)/100) + (SUMPRODUCT(E217:CU217*$E$6:$CU$6*$E$3:$CU$3)/100),
0
)</f>
        <v>0</v>
      </c>
      <c r="E217" s="227"/>
      <c r="F217" s="227"/>
      <c r="G217" s="227"/>
      <c r="H217" s="227"/>
      <c r="I217" s="227"/>
      <c r="J217" s="227"/>
      <c r="K217" s="227"/>
      <c r="L217" s="227"/>
      <c r="M217" s="227"/>
      <c r="N217" s="227"/>
      <c r="O217" s="227"/>
      <c r="P217" s="227"/>
      <c r="Q217" s="227"/>
      <c r="R217" s="227"/>
      <c r="S217" s="227"/>
      <c r="T217" s="227"/>
      <c r="U217" s="227"/>
      <c r="V217" s="227"/>
      <c r="W217" s="227"/>
      <c r="X217" s="227"/>
      <c r="Y217" s="227"/>
      <c r="Z217" s="227"/>
      <c r="AA217" s="227"/>
      <c r="AB217" s="227"/>
      <c r="AC217" s="227"/>
      <c r="AD217" s="227"/>
      <c r="AE217" s="227"/>
      <c r="AF217" s="227"/>
      <c r="AG217" s="227"/>
      <c r="AH217" s="227"/>
      <c r="AI217" s="227"/>
      <c r="AJ217" s="227"/>
      <c r="AK217" s="227"/>
      <c r="AL217" s="227"/>
      <c r="AM217" s="227"/>
      <c r="AN217" s="227"/>
      <c r="AO217" s="227"/>
      <c r="AP217" s="227"/>
      <c r="AQ217" s="227"/>
      <c r="AR217" s="227"/>
      <c r="AS217" s="227"/>
      <c r="AT217" s="227"/>
      <c r="AU217" s="227"/>
      <c r="AV217" s="227"/>
      <c r="AW217" s="227"/>
      <c r="AX217" s="227"/>
      <c r="AY217" s="227"/>
      <c r="AZ217" s="227"/>
      <c r="BA217" s="227"/>
      <c r="BB217" s="227"/>
      <c r="BC217" s="227"/>
      <c r="BD217" s="227"/>
      <c r="BE217" s="227"/>
      <c r="BF217" s="227"/>
      <c r="BG217" s="227"/>
      <c r="BH217" s="227"/>
      <c r="BI217" s="227"/>
      <c r="BJ217" s="227"/>
      <c r="BK217" s="227"/>
      <c r="BL217" s="227"/>
      <c r="BM217" s="227"/>
      <c r="BN217" s="227"/>
      <c r="BO217" s="227"/>
      <c r="BP217" s="227"/>
      <c r="BQ217" s="227"/>
      <c r="BR217" s="227"/>
      <c r="BS217" s="227"/>
      <c r="BT217" s="227"/>
      <c r="BU217" s="227"/>
      <c r="BV217" s="227"/>
      <c r="BW217" s="227"/>
      <c r="BX217" s="227"/>
      <c r="BY217" s="227"/>
      <c r="BZ217" s="227"/>
      <c r="CA217" s="227"/>
      <c r="CB217" s="227"/>
      <c r="CC217" s="227"/>
      <c r="CD217" s="227"/>
      <c r="CE217" s="227"/>
      <c r="CF217" s="227"/>
      <c r="CG217" s="227"/>
      <c r="CH217" s="227"/>
      <c r="CI217" s="227"/>
      <c r="CJ217" s="227"/>
      <c r="CK217" s="227"/>
      <c r="CL217" s="227"/>
      <c r="CM217" s="227"/>
      <c r="CN217" s="227"/>
      <c r="CO217" s="227"/>
      <c r="CP217" s="227"/>
      <c r="CQ217" s="227"/>
      <c r="CR217" s="227"/>
      <c r="CS217" s="227"/>
      <c r="CT217" s="227"/>
      <c r="CU217" s="225"/>
      <c r="CV217" s="227"/>
    </row>
    <row r="218" spans="1:100" ht="20.100000000000001" customHeight="1">
      <c r="A218" s="227"/>
      <c r="B218" s="225"/>
      <c r="C218" s="227"/>
      <c r="D218" s="224"/>
      <c r="E218" s="223"/>
      <c r="F218" s="223"/>
      <c r="G218" s="223"/>
      <c r="H218" s="223"/>
      <c r="I218" s="223"/>
      <c r="J218" s="223"/>
      <c r="K218" s="223"/>
      <c r="L218" s="223"/>
      <c r="M218" s="223"/>
      <c r="N218" s="223"/>
      <c r="O218" s="223"/>
      <c r="P218" s="223"/>
      <c r="Q218" s="223"/>
      <c r="R218" s="223"/>
      <c r="S218" s="223"/>
      <c r="T218" s="223"/>
      <c r="U218" s="223"/>
      <c r="V218" s="223"/>
      <c r="W218" s="223"/>
      <c r="X218" s="223"/>
      <c r="Y218" s="223"/>
      <c r="Z218" s="223"/>
      <c r="AA218" s="223"/>
      <c r="AB218" s="223"/>
      <c r="AC218" s="223"/>
      <c r="AD218" s="223"/>
      <c r="AE218" s="223"/>
      <c r="AF218" s="223"/>
      <c r="AG218" s="223"/>
      <c r="AH218" s="223"/>
      <c r="AI218" s="223"/>
      <c r="AJ218" s="223"/>
      <c r="AK218" s="223"/>
      <c r="AL218" s="223"/>
      <c r="AM218" s="223"/>
      <c r="AN218" s="223"/>
      <c r="AO218" s="223"/>
      <c r="AP218" s="223"/>
      <c r="AQ218" s="223"/>
      <c r="AR218" s="223"/>
      <c r="AS218" s="223"/>
      <c r="AT218" s="223"/>
      <c r="AU218" s="223"/>
      <c r="AV218" s="223"/>
      <c r="AW218" s="223"/>
      <c r="AX218" s="223"/>
      <c r="AY218" s="223"/>
      <c r="AZ218" s="223"/>
      <c r="BA218" s="223"/>
      <c r="BB218" s="223"/>
      <c r="BC218" s="223"/>
      <c r="BD218" s="223"/>
      <c r="BE218" s="223"/>
      <c r="BF218" s="223"/>
      <c r="BG218" s="223"/>
      <c r="BH218" s="223"/>
      <c r="BI218" s="223"/>
      <c r="BJ218" s="223"/>
      <c r="BK218" s="223"/>
      <c r="BL218" s="223"/>
      <c r="BM218" s="223"/>
      <c r="BN218" s="223"/>
      <c r="BO218" s="223"/>
      <c r="BP218" s="223"/>
      <c r="BQ218" s="227"/>
      <c r="BR218" s="227"/>
      <c r="BS218" s="227"/>
      <c r="BT218" s="227"/>
      <c r="BU218" s="227"/>
      <c r="BV218" s="227"/>
      <c r="BW218" s="227"/>
      <c r="BX218" s="227"/>
      <c r="BY218" s="227"/>
      <c r="BZ218" s="227"/>
      <c r="CA218" s="227"/>
      <c r="CB218" s="227"/>
      <c r="CC218" s="227"/>
      <c r="CD218" s="227"/>
      <c r="CE218" s="227"/>
      <c r="CF218" s="227"/>
      <c r="CG218" s="227"/>
      <c r="CH218" s="227"/>
      <c r="CI218" s="227"/>
      <c r="CJ218" s="227"/>
      <c r="CK218" s="227"/>
      <c r="CL218" s="227"/>
      <c r="CM218" s="227"/>
      <c r="CN218" s="227"/>
      <c r="CO218" s="227"/>
      <c r="CP218" s="227"/>
      <c r="CQ218" s="227"/>
      <c r="CR218" s="227"/>
      <c r="CS218" s="227"/>
      <c r="CT218" s="227"/>
      <c r="CU218" s="225"/>
      <c r="CV218" s="227"/>
    </row>
    <row r="219" spans="1:100" ht="20.100000000000001" customHeight="1">
      <c r="A219" s="227">
        <v>106</v>
      </c>
      <c r="B219" s="225"/>
      <c r="C219" s="227"/>
      <c r="D219" s="228" cm="1">
        <f t="array" ref="D219">IFERROR(
(SUMPRODUCT(E219:CU219*$E$6:$CU$6)/100) + (SUMPRODUCT(E219:CU219*$E$6:$CU$6*$E$3:$CU$3)/100),
0
)</f>
        <v>0</v>
      </c>
      <c r="E219" s="227"/>
      <c r="F219" s="227"/>
      <c r="G219" s="227"/>
      <c r="H219" s="227"/>
      <c r="I219" s="227"/>
      <c r="J219" s="227"/>
      <c r="K219" s="227"/>
      <c r="L219" s="227"/>
      <c r="M219" s="227"/>
      <c r="N219" s="227"/>
      <c r="O219" s="227"/>
      <c r="P219" s="227"/>
      <c r="Q219" s="227"/>
      <c r="R219" s="227"/>
      <c r="S219" s="227"/>
      <c r="T219" s="227"/>
      <c r="U219" s="227"/>
      <c r="V219" s="227"/>
      <c r="W219" s="227"/>
      <c r="X219" s="227"/>
      <c r="Y219" s="227"/>
      <c r="Z219" s="227"/>
      <c r="AA219" s="227"/>
      <c r="AB219" s="227"/>
      <c r="AC219" s="227"/>
      <c r="AD219" s="227"/>
      <c r="AE219" s="227"/>
      <c r="AF219" s="227"/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27"/>
      <c r="BC219" s="227"/>
      <c r="BD219" s="227"/>
      <c r="BE219" s="227"/>
      <c r="BF219" s="227"/>
      <c r="BG219" s="227"/>
      <c r="BH219" s="227"/>
      <c r="BI219" s="227"/>
      <c r="BJ219" s="227"/>
      <c r="BK219" s="227"/>
      <c r="BL219" s="227"/>
      <c r="BM219" s="227"/>
      <c r="BN219" s="227"/>
      <c r="BO219" s="227"/>
      <c r="BP219" s="227"/>
      <c r="BQ219" s="227"/>
      <c r="BR219" s="227"/>
      <c r="BS219" s="227"/>
      <c r="BT219" s="227"/>
      <c r="BU219" s="227"/>
      <c r="BV219" s="227"/>
      <c r="BW219" s="227"/>
      <c r="BX219" s="227"/>
      <c r="BY219" s="227"/>
      <c r="BZ219" s="227"/>
      <c r="CA219" s="227"/>
      <c r="CB219" s="227"/>
      <c r="CC219" s="227"/>
      <c r="CD219" s="227"/>
      <c r="CE219" s="227"/>
      <c r="CF219" s="227"/>
      <c r="CG219" s="227"/>
      <c r="CH219" s="227"/>
      <c r="CI219" s="227"/>
      <c r="CJ219" s="227"/>
      <c r="CK219" s="227"/>
      <c r="CL219" s="227"/>
      <c r="CM219" s="227"/>
      <c r="CN219" s="227"/>
      <c r="CO219" s="227"/>
      <c r="CP219" s="227"/>
      <c r="CQ219" s="227"/>
      <c r="CR219" s="227"/>
      <c r="CS219" s="227"/>
      <c r="CT219" s="227"/>
      <c r="CU219" s="225"/>
      <c r="CV219" s="227"/>
    </row>
    <row r="220" spans="1:100" ht="20.100000000000001" customHeight="1">
      <c r="A220" s="223"/>
      <c r="B220" s="225"/>
      <c r="C220" s="227"/>
      <c r="D220" s="224"/>
      <c r="E220" s="223"/>
      <c r="F220" s="223"/>
      <c r="G220" s="223"/>
      <c r="H220" s="223"/>
      <c r="I220" s="223"/>
      <c r="J220" s="223"/>
      <c r="K220" s="223"/>
      <c r="L220" s="223"/>
      <c r="M220" s="223"/>
      <c r="N220" s="223"/>
      <c r="O220" s="223"/>
      <c r="P220" s="223"/>
      <c r="Q220" s="223"/>
      <c r="R220" s="223"/>
      <c r="S220" s="223"/>
      <c r="T220" s="223"/>
      <c r="U220" s="223"/>
      <c r="V220" s="223"/>
      <c r="W220" s="223"/>
      <c r="X220" s="223"/>
      <c r="Y220" s="223"/>
      <c r="Z220" s="223"/>
      <c r="AA220" s="223"/>
      <c r="AB220" s="223"/>
      <c r="AC220" s="223"/>
      <c r="AD220" s="223"/>
      <c r="AE220" s="223"/>
      <c r="AF220" s="223"/>
      <c r="AG220" s="223"/>
      <c r="AH220" s="223"/>
      <c r="AI220" s="223"/>
      <c r="AJ220" s="223"/>
      <c r="AK220" s="223"/>
      <c r="AL220" s="223"/>
      <c r="AM220" s="223"/>
      <c r="AN220" s="223"/>
      <c r="AO220" s="223"/>
      <c r="AP220" s="223"/>
      <c r="AQ220" s="223"/>
      <c r="AR220" s="223"/>
      <c r="AS220" s="223"/>
      <c r="AT220" s="223"/>
      <c r="AU220" s="223"/>
      <c r="AV220" s="223"/>
      <c r="AW220" s="223"/>
      <c r="AX220" s="223"/>
      <c r="AY220" s="223"/>
      <c r="AZ220" s="223"/>
      <c r="BA220" s="223"/>
      <c r="BB220" s="223"/>
      <c r="BC220" s="223"/>
      <c r="BD220" s="223"/>
      <c r="BE220" s="223"/>
      <c r="BF220" s="223"/>
      <c r="BG220" s="223"/>
      <c r="BH220" s="223"/>
      <c r="BI220" s="223"/>
      <c r="BJ220" s="223"/>
      <c r="BK220" s="223"/>
      <c r="BL220" s="223"/>
      <c r="BM220" s="223"/>
      <c r="BN220" s="223"/>
      <c r="BO220" s="223"/>
      <c r="BP220" s="223"/>
      <c r="BQ220" s="227"/>
      <c r="BR220" s="227"/>
      <c r="BS220" s="227"/>
      <c r="BT220" s="227"/>
      <c r="BU220" s="227"/>
      <c r="BV220" s="227"/>
      <c r="BW220" s="227"/>
      <c r="BX220" s="227"/>
      <c r="BY220" s="227"/>
      <c r="BZ220" s="227"/>
      <c r="CA220" s="227"/>
      <c r="CB220" s="227"/>
      <c r="CC220" s="227"/>
      <c r="CD220" s="227"/>
      <c r="CE220" s="227"/>
      <c r="CF220" s="227"/>
      <c r="CG220" s="227"/>
      <c r="CH220" s="227"/>
      <c r="CI220" s="227"/>
      <c r="CJ220" s="227"/>
      <c r="CK220" s="227"/>
      <c r="CL220" s="227"/>
      <c r="CM220" s="227"/>
      <c r="CN220" s="227"/>
      <c r="CO220" s="227"/>
      <c r="CP220" s="227"/>
      <c r="CQ220" s="227"/>
      <c r="CR220" s="227"/>
      <c r="CS220" s="227"/>
      <c r="CT220" s="227"/>
      <c r="CU220" s="225"/>
      <c r="CV220" s="227"/>
    </row>
    <row r="221" spans="1:100" ht="20.100000000000001" customHeight="1">
      <c r="A221" s="227">
        <v>107</v>
      </c>
      <c r="B221" s="225"/>
      <c r="C221" s="227"/>
      <c r="D221" s="228" cm="1">
        <f t="array" ref="D221">IFERROR(
(SUMPRODUCT(E221:CU221*$E$6:$CU$6)/100) + (SUMPRODUCT(E221:CU221*$E$6:$CU$6*$E$3:$CU$3)/100),
0
)</f>
        <v>0</v>
      </c>
      <c r="E221" s="227"/>
      <c r="F221" s="227"/>
      <c r="G221" s="227"/>
      <c r="H221" s="227"/>
      <c r="I221" s="227"/>
      <c r="J221" s="227"/>
      <c r="K221" s="227"/>
      <c r="L221" s="227"/>
      <c r="M221" s="227"/>
      <c r="N221" s="227"/>
      <c r="O221" s="227"/>
      <c r="P221" s="227"/>
      <c r="Q221" s="227"/>
      <c r="R221" s="227"/>
      <c r="S221" s="227"/>
      <c r="T221" s="227"/>
      <c r="U221" s="227"/>
      <c r="V221" s="227"/>
      <c r="W221" s="227"/>
      <c r="X221" s="227"/>
      <c r="Y221" s="227"/>
      <c r="Z221" s="227"/>
      <c r="AA221" s="227"/>
      <c r="AB221" s="227"/>
      <c r="AC221" s="227"/>
      <c r="AD221" s="227"/>
      <c r="AE221" s="227"/>
      <c r="AF221" s="227"/>
      <c r="AG221" s="227"/>
      <c r="AH221" s="227"/>
      <c r="AI221" s="227"/>
      <c r="AJ221" s="227"/>
      <c r="AK221" s="227"/>
      <c r="AL221" s="227"/>
      <c r="AM221" s="227"/>
      <c r="AN221" s="227"/>
      <c r="AO221" s="227"/>
      <c r="AP221" s="227"/>
      <c r="AQ221" s="227"/>
      <c r="AR221" s="227"/>
      <c r="AS221" s="227"/>
      <c r="AT221" s="227"/>
      <c r="AU221" s="227"/>
      <c r="AV221" s="227"/>
      <c r="AW221" s="227"/>
      <c r="AX221" s="227"/>
      <c r="AY221" s="227"/>
      <c r="AZ221" s="227"/>
      <c r="BA221" s="227"/>
      <c r="BB221" s="227"/>
      <c r="BC221" s="227"/>
      <c r="BD221" s="227"/>
      <c r="BE221" s="227"/>
      <c r="BF221" s="227"/>
      <c r="BG221" s="227"/>
      <c r="BH221" s="227"/>
      <c r="BI221" s="227"/>
      <c r="BJ221" s="227"/>
      <c r="BK221" s="227"/>
      <c r="BL221" s="227"/>
      <c r="BM221" s="227"/>
      <c r="BN221" s="227"/>
      <c r="BO221" s="227"/>
      <c r="BP221" s="227"/>
      <c r="BQ221" s="227"/>
      <c r="BR221" s="227"/>
      <c r="BS221" s="227"/>
      <c r="BT221" s="227"/>
      <c r="BU221" s="227"/>
      <c r="BV221" s="227"/>
      <c r="BW221" s="227"/>
      <c r="BX221" s="227"/>
      <c r="BY221" s="227"/>
      <c r="BZ221" s="227"/>
      <c r="CA221" s="227"/>
      <c r="CB221" s="227"/>
      <c r="CC221" s="227"/>
      <c r="CD221" s="227"/>
      <c r="CE221" s="227"/>
      <c r="CF221" s="227"/>
      <c r="CG221" s="227"/>
      <c r="CH221" s="227"/>
      <c r="CI221" s="227"/>
      <c r="CJ221" s="227"/>
      <c r="CK221" s="227"/>
      <c r="CL221" s="227"/>
      <c r="CM221" s="227"/>
      <c r="CN221" s="227"/>
      <c r="CO221" s="227"/>
      <c r="CP221" s="227"/>
      <c r="CQ221" s="227"/>
      <c r="CR221" s="227"/>
      <c r="CS221" s="227"/>
      <c r="CT221" s="227"/>
      <c r="CU221" s="225"/>
      <c r="CV221" s="227"/>
    </row>
    <row r="222" spans="1:100" ht="20.100000000000001" customHeight="1">
      <c r="A222" s="227"/>
      <c r="B222" s="225"/>
      <c r="C222" s="227"/>
      <c r="D222" s="224"/>
      <c r="E222" s="223"/>
      <c r="F222" s="223"/>
      <c r="G222" s="223"/>
      <c r="H222" s="223"/>
      <c r="I222" s="223"/>
      <c r="J222" s="223"/>
      <c r="K222" s="223"/>
      <c r="L222" s="223"/>
      <c r="M222" s="223"/>
      <c r="N222" s="223"/>
      <c r="O222" s="223"/>
      <c r="P222" s="223"/>
      <c r="Q222" s="223"/>
      <c r="R222" s="223"/>
      <c r="S222" s="223"/>
      <c r="T222" s="223"/>
      <c r="U222" s="223"/>
      <c r="V222" s="223"/>
      <c r="W222" s="223"/>
      <c r="X222" s="223"/>
      <c r="Y222" s="223"/>
      <c r="Z222" s="223"/>
      <c r="AA222" s="223"/>
      <c r="AB222" s="223"/>
      <c r="AC222" s="223"/>
      <c r="AD222" s="223"/>
      <c r="AE222" s="223"/>
      <c r="AF222" s="223"/>
      <c r="AG222" s="223"/>
      <c r="AH222" s="223"/>
      <c r="AI222" s="223"/>
      <c r="AJ222" s="223"/>
      <c r="AK222" s="223"/>
      <c r="AL222" s="223"/>
      <c r="AM222" s="223"/>
      <c r="AN222" s="223"/>
      <c r="AO222" s="223"/>
      <c r="AP222" s="223"/>
      <c r="AQ222" s="223"/>
      <c r="AR222" s="223"/>
      <c r="AS222" s="223"/>
      <c r="AT222" s="223"/>
      <c r="AU222" s="223"/>
      <c r="AV222" s="223"/>
      <c r="AW222" s="223"/>
      <c r="AX222" s="223"/>
      <c r="AY222" s="223"/>
      <c r="AZ222" s="223"/>
      <c r="BA222" s="223"/>
      <c r="BB222" s="223"/>
      <c r="BC222" s="223"/>
      <c r="BD222" s="223"/>
      <c r="BE222" s="223"/>
      <c r="BF222" s="223"/>
      <c r="BG222" s="223"/>
      <c r="BH222" s="223"/>
      <c r="BI222" s="223"/>
      <c r="BJ222" s="223"/>
      <c r="BK222" s="223"/>
      <c r="BL222" s="223"/>
      <c r="BM222" s="223"/>
      <c r="BN222" s="223"/>
      <c r="BO222" s="223"/>
      <c r="BP222" s="223"/>
      <c r="BQ222" s="227"/>
      <c r="BR222" s="227"/>
      <c r="BS222" s="227"/>
      <c r="BT222" s="227"/>
      <c r="BU222" s="227"/>
      <c r="BV222" s="227"/>
      <c r="BW222" s="227"/>
      <c r="BX222" s="227"/>
      <c r="BY222" s="227"/>
      <c r="BZ222" s="227"/>
      <c r="CA222" s="227"/>
      <c r="CB222" s="227"/>
      <c r="CC222" s="227"/>
      <c r="CD222" s="227"/>
      <c r="CE222" s="227"/>
      <c r="CF222" s="227"/>
      <c r="CG222" s="227"/>
      <c r="CH222" s="227"/>
      <c r="CI222" s="227"/>
      <c r="CJ222" s="227"/>
      <c r="CK222" s="227"/>
      <c r="CL222" s="227"/>
      <c r="CM222" s="227"/>
      <c r="CN222" s="227"/>
      <c r="CO222" s="227"/>
      <c r="CP222" s="227"/>
      <c r="CQ222" s="227"/>
      <c r="CR222" s="227"/>
      <c r="CS222" s="227"/>
      <c r="CT222" s="227"/>
      <c r="CU222" s="225"/>
      <c r="CV222" s="227"/>
    </row>
    <row r="223" spans="1:100" ht="20.100000000000001" customHeight="1">
      <c r="A223" s="227">
        <v>108</v>
      </c>
      <c r="B223" s="225"/>
      <c r="C223" s="227"/>
      <c r="D223" s="228" cm="1">
        <f t="array" ref="D223">IFERROR(
(SUMPRODUCT(E223:CU223*$E$6:$CU$6)/100) + (SUMPRODUCT(E223:CU223*$E$6:$CU$6*$E$3:$CU$3)/100),
0
)</f>
        <v>0</v>
      </c>
      <c r="E223" s="227"/>
      <c r="F223" s="227"/>
      <c r="G223" s="227"/>
      <c r="H223" s="227"/>
      <c r="I223" s="227"/>
      <c r="J223" s="227"/>
      <c r="K223" s="227"/>
      <c r="L223" s="227"/>
      <c r="M223" s="227"/>
      <c r="N223" s="227"/>
      <c r="O223" s="227"/>
      <c r="P223" s="227"/>
      <c r="Q223" s="227"/>
      <c r="R223" s="227"/>
      <c r="S223" s="227"/>
      <c r="T223" s="227"/>
      <c r="U223" s="227"/>
      <c r="V223" s="227"/>
      <c r="W223" s="227"/>
      <c r="X223" s="227"/>
      <c r="Y223" s="227"/>
      <c r="Z223" s="227"/>
      <c r="AA223" s="227"/>
      <c r="AB223" s="227"/>
      <c r="AC223" s="227"/>
      <c r="AD223" s="227"/>
      <c r="AE223" s="227"/>
      <c r="AF223" s="227"/>
      <c r="AG223" s="227"/>
      <c r="AH223" s="227"/>
      <c r="AI223" s="227"/>
      <c r="AJ223" s="227"/>
      <c r="AK223" s="227"/>
      <c r="AL223" s="227"/>
      <c r="AM223" s="227"/>
      <c r="AN223" s="227"/>
      <c r="AO223" s="227"/>
      <c r="AP223" s="227"/>
      <c r="AQ223" s="227"/>
      <c r="AR223" s="227"/>
      <c r="AS223" s="227"/>
      <c r="AT223" s="227"/>
      <c r="AU223" s="227"/>
      <c r="AV223" s="227"/>
      <c r="AW223" s="227"/>
      <c r="AX223" s="227"/>
      <c r="AY223" s="227"/>
      <c r="AZ223" s="227"/>
      <c r="BA223" s="227"/>
      <c r="BB223" s="227"/>
      <c r="BC223" s="227"/>
      <c r="BD223" s="227"/>
      <c r="BE223" s="227"/>
      <c r="BF223" s="227"/>
      <c r="BG223" s="227"/>
      <c r="BH223" s="227"/>
      <c r="BI223" s="227"/>
      <c r="BJ223" s="227"/>
      <c r="BK223" s="227"/>
      <c r="BL223" s="227"/>
      <c r="BM223" s="227"/>
      <c r="BN223" s="227"/>
      <c r="BO223" s="227"/>
      <c r="BP223" s="227"/>
      <c r="BQ223" s="227"/>
      <c r="BR223" s="227"/>
      <c r="BS223" s="227"/>
      <c r="BT223" s="227"/>
      <c r="BU223" s="227"/>
      <c r="BV223" s="227"/>
      <c r="BW223" s="227"/>
      <c r="BX223" s="227"/>
      <c r="BY223" s="227"/>
      <c r="BZ223" s="227"/>
      <c r="CA223" s="227"/>
      <c r="CB223" s="227"/>
      <c r="CC223" s="227"/>
      <c r="CD223" s="227"/>
      <c r="CE223" s="227"/>
      <c r="CF223" s="227"/>
      <c r="CG223" s="227"/>
      <c r="CH223" s="227"/>
      <c r="CI223" s="227"/>
      <c r="CJ223" s="227"/>
      <c r="CK223" s="227"/>
      <c r="CL223" s="227"/>
      <c r="CM223" s="227"/>
      <c r="CN223" s="227"/>
      <c r="CO223" s="227"/>
      <c r="CP223" s="227"/>
      <c r="CQ223" s="227"/>
      <c r="CR223" s="227"/>
      <c r="CS223" s="227"/>
      <c r="CT223" s="227"/>
      <c r="CU223" s="225"/>
      <c r="CV223" s="227"/>
    </row>
    <row r="224" spans="1:100" ht="20.100000000000001" customHeight="1">
      <c r="A224" s="223"/>
      <c r="B224" s="225"/>
      <c r="C224" s="227"/>
      <c r="D224" s="224"/>
      <c r="E224" s="223"/>
      <c r="F224" s="223"/>
      <c r="G224" s="223"/>
      <c r="H224" s="223"/>
      <c r="I224" s="223"/>
      <c r="J224" s="223"/>
      <c r="K224" s="223"/>
      <c r="L224" s="223"/>
      <c r="M224" s="223"/>
      <c r="N224" s="223"/>
      <c r="O224" s="223"/>
      <c r="P224" s="223"/>
      <c r="Q224" s="223"/>
      <c r="R224" s="223"/>
      <c r="S224" s="223"/>
      <c r="T224" s="223"/>
      <c r="U224" s="223"/>
      <c r="V224" s="223"/>
      <c r="W224" s="223"/>
      <c r="X224" s="223"/>
      <c r="Y224" s="223"/>
      <c r="Z224" s="223"/>
      <c r="AA224" s="223"/>
      <c r="AB224" s="223"/>
      <c r="AC224" s="223"/>
      <c r="AD224" s="223"/>
      <c r="AE224" s="223"/>
      <c r="AF224" s="223"/>
      <c r="AG224" s="223"/>
      <c r="AH224" s="223"/>
      <c r="AI224" s="223"/>
      <c r="AJ224" s="223"/>
      <c r="AK224" s="223"/>
      <c r="AL224" s="223"/>
      <c r="AM224" s="223"/>
      <c r="AN224" s="223"/>
      <c r="AO224" s="223"/>
      <c r="AP224" s="223"/>
      <c r="AQ224" s="223"/>
      <c r="AR224" s="223"/>
      <c r="AS224" s="223"/>
      <c r="AT224" s="223"/>
      <c r="AU224" s="223"/>
      <c r="AV224" s="223"/>
      <c r="AW224" s="223"/>
      <c r="AX224" s="223"/>
      <c r="AY224" s="223"/>
      <c r="AZ224" s="223"/>
      <c r="BA224" s="223"/>
      <c r="BB224" s="223"/>
      <c r="BC224" s="223"/>
      <c r="BD224" s="223"/>
      <c r="BE224" s="223"/>
      <c r="BF224" s="223"/>
      <c r="BG224" s="223"/>
      <c r="BH224" s="223"/>
      <c r="BI224" s="223"/>
      <c r="BJ224" s="223"/>
      <c r="BK224" s="223"/>
      <c r="BL224" s="223"/>
      <c r="BM224" s="223"/>
      <c r="BN224" s="223"/>
      <c r="BO224" s="223"/>
      <c r="BP224" s="223"/>
      <c r="BQ224" s="227"/>
      <c r="BR224" s="227"/>
      <c r="BS224" s="227"/>
      <c r="BT224" s="227"/>
      <c r="BU224" s="227"/>
      <c r="BV224" s="227"/>
      <c r="BW224" s="227"/>
      <c r="BX224" s="227"/>
      <c r="BY224" s="227"/>
      <c r="BZ224" s="227"/>
      <c r="CA224" s="227"/>
      <c r="CB224" s="227"/>
      <c r="CC224" s="227"/>
      <c r="CD224" s="227"/>
      <c r="CE224" s="227"/>
      <c r="CF224" s="227"/>
      <c r="CG224" s="227"/>
      <c r="CH224" s="227"/>
      <c r="CI224" s="227"/>
      <c r="CJ224" s="227"/>
      <c r="CK224" s="227"/>
      <c r="CL224" s="227"/>
      <c r="CM224" s="227"/>
      <c r="CN224" s="227"/>
      <c r="CO224" s="227"/>
      <c r="CP224" s="227"/>
      <c r="CQ224" s="227"/>
      <c r="CR224" s="227"/>
      <c r="CS224" s="227"/>
      <c r="CT224" s="227"/>
      <c r="CU224" s="225"/>
      <c r="CV224" s="227"/>
    </row>
    <row r="225" spans="1:100" ht="20.100000000000001" customHeight="1">
      <c r="A225" s="227">
        <v>109</v>
      </c>
      <c r="B225" s="225"/>
      <c r="C225" s="227"/>
      <c r="D225" s="228" cm="1">
        <f t="array" ref="D225">IFERROR(
(SUMPRODUCT(E225:CU225*$E$6:$CU$6)/100) + (SUMPRODUCT(E225:CU225*$E$6:$CU$6*$E$3:$CU$3)/100),
0
)</f>
        <v>0</v>
      </c>
      <c r="E225" s="227"/>
      <c r="F225" s="227"/>
      <c r="G225" s="227"/>
      <c r="H225" s="227"/>
      <c r="I225" s="227"/>
      <c r="J225" s="227"/>
      <c r="K225" s="227"/>
      <c r="L225" s="227"/>
      <c r="M225" s="227"/>
      <c r="N225" s="227"/>
      <c r="O225" s="227"/>
      <c r="P225" s="227"/>
      <c r="Q225" s="227"/>
      <c r="R225" s="227"/>
      <c r="S225" s="227"/>
      <c r="T225" s="227"/>
      <c r="U225" s="227"/>
      <c r="V225" s="227"/>
      <c r="W225" s="227"/>
      <c r="X225" s="227"/>
      <c r="Y225" s="227"/>
      <c r="Z225" s="227"/>
      <c r="AA225" s="227"/>
      <c r="AB225" s="227"/>
      <c r="AC225" s="227"/>
      <c r="AD225" s="227"/>
      <c r="AE225" s="227"/>
      <c r="AF225" s="227"/>
      <c r="AG225" s="227"/>
      <c r="AH225" s="227"/>
      <c r="AI225" s="227"/>
      <c r="AJ225" s="227"/>
      <c r="AK225" s="227"/>
      <c r="AL225" s="227"/>
      <c r="AM225" s="227"/>
      <c r="AN225" s="227"/>
      <c r="AO225" s="227"/>
      <c r="AP225" s="227"/>
      <c r="AQ225" s="227"/>
      <c r="AR225" s="227"/>
      <c r="AS225" s="227"/>
      <c r="AT225" s="227"/>
      <c r="AU225" s="227"/>
      <c r="AV225" s="227"/>
      <c r="AW225" s="227"/>
      <c r="AX225" s="227"/>
      <c r="AY225" s="227"/>
      <c r="AZ225" s="227"/>
      <c r="BA225" s="227"/>
      <c r="BB225" s="227"/>
      <c r="BC225" s="227"/>
      <c r="BD225" s="227"/>
      <c r="BE225" s="227"/>
      <c r="BF225" s="227"/>
      <c r="BG225" s="227"/>
      <c r="BH225" s="227"/>
      <c r="BI225" s="227"/>
      <c r="BJ225" s="227"/>
      <c r="BK225" s="227"/>
      <c r="BL225" s="227"/>
      <c r="BM225" s="227"/>
      <c r="BN225" s="227"/>
      <c r="BO225" s="227"/>
      <c r="BP225" s="227"/>
      <c r="BQ225" s="227"/>
      <c r="BR225" s="227"/>
      <c r="BS225" s="227"/>
      <c r="BT225" s="227"/>
      <c r="BU225" s="227"/>
      <c r="BV225" s="227"/>
      <c r="BW225" s="227"/>
      <c r="BX225" s="227"/>
      <c r="BY225" s="227"/>
      <c r="BZ225" s="227"/>
      <c r="CA225" s="227"/>
      <c r="CB225" s="227"/>
      <c r="CC225" s="227"/>
      <c r="CD225" s="227"/>
      <c r="CE225" s="227"/>
      <c r="CF225" s="227"/>
      <c r="CG225" s="227"/>
      <c r="CH225" s="227"/>
      <c r="CI225" s="227"/>
      <c r="CJ225" s="227"/>
      <c r="CK225" s="227"/>
      <c r="CL225" s="227"/>
      <c r="CM225" s="227"/>
      <c r="CN225" s="227"/>
      <c r="CO225" s="227"/>
      <c r="CP225" s="227"/>
      <c r="CQ225" s="227"/>
      <c r="CR225" s="227"/>
      <c r="CS225" s="227"/>
      <c r="CT225" s="227"/>
      <c r="CU225" s="225"/>
      <c r="CV225" s="227"/>
    </row>
    <row r="226" spans="1:100" ht="20.100000000000001" customHeight="1">
      <c r="A226" s="227"/>
      <c r="B226" s="225"/>
      <c r="C226" s="227"/>
      <c r="D226" s="224"/>
      <c r="E226" s="223"/>
      <c r="F226" s="223"/>
      <c r="G226" s="223"/>
      <c r="H226" s="223"/>
      <c r="I226" s="223"/>
      <c r="J226" s="223"/>
      <c r="K226" s="223"/>
      <c r="L226" s="223"/>
      <c r="M226" s="223"/>
      <c r="N226" s="223"/>
      <c r="O226" s="223"/>
      <c r="P226" s="223"/>
      <c r="Q226" s="223"/>
      <c r="R226" s="223"/>
      <c r="S226" s="223"/>
      <c r="T226" s="223"/>
      <c r="U226" s="223"/>
      <c r="V226" s="223"/>
      <c r="W226" s="223"/>
      <c r="X226" s="223"/>
      <c r="Y226" s="223"/>
      <c r="Z226" s="223"/>
      <c r="AA226" s="223"/>
      <c r="AB226" s="223"/>
      <c r="AC226" s="223"/>
      <c r="AD226" s="223"/>
      <c r="AE226" s="223"/>
      <c r="AF226" s="223"/>
      <c r="AG226" s="223"/>
      <c r="AH226" s="223"/>
      <c r="AI226" s="223"/>
      <c r="AJ226" s="223"/>
      <c r="AK226" s="223"/>
      <c r="AL226" s="223"/>
      <c r="AM226" s="223"/>
      <c r="AN226" s="223"/>
      <c r="AO226" s="223"/>
      <c r="AP226" s="223"/>
      <c r="AQ226" s="223"/>
      <c r="AR226" s="223"/>
      <c r="AS226" s="223"/>
      <c r="AT226" s="223"/>
      <c r="AU226" s="223"/>
      <c r="AV226" s="223"/>
      <c r="AW226" s="223"/>
      <c r="AX226" s="223"/>
      <c r="AY226" s="223"/>
      <c r="AZ226" s="223"/>
      <c r="BA226" s="223"/>
      <c r="BB226" s="223"/>
      <c r="BC226" s="223"/>
      <c r="BD226" s="223"/>
      <c r="BE226" s="223"/>
      <c r="BF226" s="223"/>
      <c r="BG226" s="223"/>
      <c r="BH226" s="223"/>
      <c r="BI226" s="223"/>
      <c r="BJ226" s="223"/>
      <c r="BK226" s="223"/>
      <c r="BL226" s="223"/>
      <c r="BM226" s="223"/>
      <c r="BN226" s="223"/>
      <c r="BO226" s="223"/>
      <c r="BP226" s="223"/>
      <c r="BQ226" s="227"/>
      <c r="BR226" s="227"/>
      <c r="BS226" s="227"/>
      <c r="BT226" s="227"/>
      <c r="BU226" s="227"/>
      <c r="BV226" s="227"/>
      <c r="BW226" s="227"/>
      <c r="BX226" s="227"/>
      <c r="BY226" s="227"/>
      <c r="BZ226" s="227"/>
      <c r="CA226" s="227"/>
      <c r="CB226" s="227"/>
      <c r="CC226" s="227"/>
      <c r="CD226" s="227"/>
      <c r="CE226" s="227"/>
      <c r="CF226" s="227"/>
      <c r="CG226" s="227"/>
      <c r="CH226" s="227"/>
      <c r="CI226" s="227"/>
      <c r="CJ226" s="227"/>
      <c r="CK226" s="227"/>
      <c r="CL226" s="227"/>
      <c r="CM226" s="227"/>
      <c r="CN226" s="227"/>
      <c r="CO226" s="227"/>
      <c r="CP226" s="227"/>
      <c r="CQ226" s="227"/>
      <c r="CR226" s="227"/>
      <c r="CS226" s="227"/>
      <c r="CT226" s="227"/>
      <c r="CU226" s="225"/>
      <c r="CV226" s="227"/>
    </row>
    <row r="227" spans="1:100" ht="20.100000000000001" customHeight="1">
      <c r="A227" s="227">
        <v>110</v>
      </c>
      <c r="B227" s="225"/>
      <c r="C227" s="227"/>
      <c r="D227" s="228" cm="1">
        <f t="array" ref="D227">IFERROR(
(SUMPRODUCT(E227:CU227*$E$6:$CU$6)/100) + (SUMPRODUCT(E227:CU227*$E$6:$CU$6*$E$3:$CU$3)/100),
0
)</f>
        <v>0</v>
      </c>
      <c r="E227" s="227"/>
      <c r="F227" s="227"/>
      <c r="G227" s="227"/>
      <c r="H227" s="227"/>
      <c r="I227" s="227"/>
      <c r="J227" s="227"/>
      <c r="K227" s="227"/>
      <c r="L227" s="227"/>
      <c r="M227" s="227"/>
      <c r="N227" s="227"/>
      <c r="O227" s="227"/>
      <c r="P227" s="227"/>
      <c r="Q227" s="227"/>
      <c r="R227" s="227"/>
      <c r="S227" s="227"/>
      <c r="T227" s="227"/>
      <c r="U227" s="227"/>
      <c r="V227" s="227"/>
      <c r="W227" s="227"/>
      <c r="X227" s="227"/>
      <c r="Y227" s="227"/>
      <c r="Z227" s="227"/>
      <c r="AA227" s="227"/>
      <c r="AB227" s="227"/>
      <c r="AC227" s="227"/>
      <c r="AD227" s="227"/>
      <c r="AE227" s="227"/>
      <c r="AF227" s="227"/>
      <c r="AG227" s="227"/>
      <c r="AH227" s="227"/>
      <c r="AI227" s="227"/>
      <c r="AJ227" s="227"/>
      <c r="AK227" s="227"/>
      <c r="AL227" s="227"/>
      <c r="AM227" s="227"/>
      <c r="AN227" s="227"/>
      <c r="AO227" s="227"/>
      <c r="AP227" s="227"/>
      <c r="AQ227" s="227"/>
      <c r="AR227" s="227"/>
      <c r="AS227" s="227"/>
      <c r="AT227" s="227"/>
      <c r="AU227" s="227"/>
      <c r="AV227" s="227"/>
      <c r="AW227" s="227"/>
      <c r="AX227" s="227"/>
      <c r="AY227" s="227"/>
      <c r="AZ227" s="227"/>
      <c r="BA227" s="227"/>
      <c r="BB227" s="227"/>
      <c r="BC227" s="227"/>
      <c r="BD227" s="227"/>
      <c r="BE227" s="227"/>
      <c r="BF227" s="227"/>
      <c r="BG227" s="227"/>
      <c r="BH227" s="227"/>
      <c r="BI227" s="227"/>
      <c r="BJ227" s="227"/>
      <c r="BK227" s="227"/>
      <c r="BL227" s="227"/>
      <c r="BM227" s="227"/>
      <c r="BN227" s="227"/>
      <c r="BO227" s="227"/>
      <c r="BP227" s="227"/>
      <c r="BQ227" s="227"/>
      <c r="BR227" s="227"/>
      <c r="BS227" s="227"/>
      <c r="BT227" s="227"/>
      <c r="BU227" s="227"/>
      <c r="BV227" s="227"/>
      <c r="BW227" s="227"/>
      <c r="BX227" s="227"/>
      <c r="BY227" s="227"/>
      <c r="BZ227" s="227"/>
      <c r="CA227" s="227"/>
      <c r="CB227" s="227"/>
      <c r="CC227" s="227"/>
      <c r="CD227" s="227"/>
      <c r="CE227" s="227"/>
      <c r="CF227" s="227"/>
      <c r="CG227" s="227"/>
      <c r="CH227" s="227"/>
      <c r="CI227" s="227"/>
      <c r="CJ227" s="227"/>
      <c r="CK227" s="227"/>
      <c r="CL227" s="227"/>
      <c r="CM227" s="227"/>
      <c r="CN227" s="227"/>
      <c r="CO227" s="227"/>
      <c r="CP227" s="227"/>
      <c r="CQ227" s="227"/>
      <c r="CR227" s="227"/>
      <c r="CS227" s="227"/>
      <c r="CT227" s="227"/>
      <c r="CU227" s="225"/>
      <c r="CV227" s="227"/>
    </row>
    <row r="228" spans="1:100" ht="20.100000000000001" customHeight="1">
      <c r="A228" s="223"/>
      <c r="B228" s="225"/>
      <c r="C228" s="227"/>
      <c r="D228" s="224"/>
      <c r="E228" s="223"/>
      <c r="F228" s="223"/>
      <c r="G228" s="223"/>
      <c r="H228" s="223"/>
      <c r="I228" s="223"/>
      <c r="J228" s="223"/>
      <c r="K228" s="223"/>
      <c r="L228" s="223"/>
      <c r="M228" s="223"/>
      <c r="N228" s="223"/>
      <c r="O228" s="223"/>
      <c r="P228" s="223"/>
      <c r="Q228" s="223"/>
      <c r="R228" s="223"/>
      <c r="S228" s="223"/>
      <c r="T228" s="223"/>
      <c r="U228" s="223"/>
      <c r="V228" s="223"/>
      <c r="W228" s="223"/>
      <c r="X228" s="223"/>
      <c r="Y228" s="223"/>
      <c r="Z228" s="223"/>
      <c r="AA228" s="223"/>
      <c r="AB228" s="223"/>
      <c r="AC228" s="223"/>
      <c r="AD228" s="223"/>
      <c r="AE228" s="223"/>
      <c r="AF228" s="223"/>
      <c r="AG228" s="223"/>
      <c r="AH228" s="223"/>
      <c r="AI228" s="223"/>
      <c r="AJ228" s="223"/>
      <c r="AK228" s="223"/>
      <c r="AL228" s="223"/>
      <c r="AM228" s="223"/>
      <c r="AN228" s="223"/>
      <c r="AO228" s="223"/>
      <c r="AP228" s="223"/>
      <c r="AQ228" s="223"/>
      <c r="AR228" s="223"/>
      <c r="AS228" s="223"/>
      <c r="AT228" s="223"/>
      <c r="AU228" s="223"/>
      <c r="AV228" s="223"/>
      <c r="AW228" s="223"/>
      <c r="AX228" s="223"/>
      <c r="AY228" s="223"/>
      <c r="AZ228" s="223"/>
      <c r="BA228" s="223"/>
      <c r="BB228" s="223"/>
      <c r="BC228" s="223"/>
      <c r="BD228" s="223"/>
      <c r="BE228" s="223"/>
      <c r="BF228" s="223"/>
      <c r="BG228" s="223"/>
      <c r="BH228" s="223"/>
      <c r="BI228" s="223"/>
      <c r="BJ228" s="223"/>
      <c r="BK228" s="223"/>
      <c r="BL228" s="223"/>
      <c r="BM228" s="223"/>
      <c r="BN228" s="223"/>
      <c r="BO228" s="223"/>
      <c r="BP228" s="223"/>
      <c r="BQ228" s="227"/>
      <c r="BR228" s="227"/>
      <c r="BS228" s="227"/>
      <c r="BT228" s="227"/>
      <c r="BU228" s="227"/>
      <c r="BV228" s="227"/>
      <c r="BW228" s="227"/>
      <c r="BX228" s="227"/>
      <c r="BY228" s="227"/>
      <c r="BZ228" s="227"/>
      <c r="CA228" s="227"/>
      <c r="CB228" s="227"/>
      <c r="CC228" s="227"/>
      <c r="CD228" s="227"/>
      <c r="CE228" s="227"/>
      <c r="CF228" s="227"/>
      <c r="CG228" s="227"/>
      <c r="CH228" s="227"/>
      <c r="CI228" s="227"/>
      <c r="CJ228" s="227"/>
      <c r="CK228" s="227"/>
      <c r="CL228" s="227"/>
      <c r="CM228" s="227"/>
      <c r="CN228" s="227"/>
      <c r="CO228" s="227"/>
      <c r="CP228" s="227"/>
      <c r="CQ228" s="227"/>
      <c r="CR228" s="227"/>
      <c r="CS228" s="227"/>
      <c r="CT228" s="227"/>
      <c r="CU228" s="225"/>
      <c r="CV228" s="227"/>
    </row>
    <row r="229" spans="1:100" ht="20.100000000000001" customHeight="1">
      <c r="A229" s="227">
        <v>111</v>
      </c>
      <c r="B229" s="225"/>
      <c r="C229" s="227"/>
      <c r="D229" s="228" cm="1">
        <f t="array" ref="D229">IFERROR(
(SUMPRODUCT(E229:CU229*$E$6:$CU$6)/100) + (SUMPRODUCT(E229:CU229*$E$6:$CU$6*$E$3:$CU$3)/100),
0
)</f>
        <v>0</v>
      </c>
      <c r="E229" s="227"/>
      <c r="F229" s="227"/>
      <c r="G229" s="227"/>
      <c r="H229" s="227"/>
      <c r="I229" s="227"/>
      <c r="J229" s="227"/>
      <c r="K229" s="227"/>
      <c r="L229" s="227"/>
      <c r="M229" s="227"/>
      <c r="N229" s="227"/>
      <c r="O229" s="227"/>
      <c r="P229" s="227"/>
      <c r="Q229" s="227"/>
      <c r="R229" s="227"/>
      <c r="S229" s="227"/>
      <c r="T229" s="227"/>
      <c r="U229" s="227"/>
      <c r="V229" s="227"/>
      <c r="W229" s="227"/>
      <c r="X229" s="227"/>
      <c r="Y229" s="227"/>
      <c r="Z229" s="227"/>
      <c r="AA229" s="227"/>
      <c r="AB229" s="227"/>
      <c r="AC229" s="227"/>
      <c r="AD229" s="227"/>
      <c r="AE229" s="227"/>
      <c r="AF229" s="227"/>
      <c r="AG229" s="227"/>
      <c r="AH229" s="227"/>
      <c r="AI229" s="227"/>
      <c r="AJ229" s="227"/>
      <c r="AK229" s="227"/>
      <c r="AL229" s="227"/>
      <c r="AM229" s="227"/>
      <c r="AN229" s="227"/>
      <c r="AO229" s="227"/>
      <c r="AP229" s="227"/>
      <c r="AQ229" s="227"/>
      <c r="AR229" s="227"/>
      <c r="AS229" s="227"/>
      <c r="AT229" s="227"/>
      <c r="AU229" s="227"/>
      <c r="AV229" s="227"/>
      <c r="AW229" s="227"/>
      <c r="AX229" s="227"/>
      <c r="AY229" s="227"/>
      <c r="AZ229" s="227"/>
      <c r="BA229" s="227"/>
      <c r="BB229" s="227"/>
      <c r="BC229" s="227"/>
      <c r="BD229" s="227"/>
      <c r="BE229" s="227"/>
      <c r="BF229" s="227"/>
      <c r="BG229" s="227"/>
      <c r="BH229" s="227"/>
      <c r="BI229" s="227"/>
      <c r="BJ229" s="227"/>
      <c r="BK229" s="227"/>
      <c r="BL229" s="227"/>
      <c r="BM229" s="227"/>
      <c r="BN229" s="227"/>
      <c r="BO229" s="227"/>
      <c r="BP229" s="227"/>
      <c r="BQ229" s="227"/>
      <c r="BR229" s="227"/>
      <c r="BS229" s="227"/>
      <c r="BT229" s="227"/>
      <c r="BU229" s="227"/>
      <c r="BV229" s="227"/>
      <c r="BW229" s="227"/>
      <c r="BX229" s="227"/>
      <c r="BY229" s="227"/>
      <c r="BZ229" s="227"/>
      <c r="CA229" s="227"/>
      <c r="CB229" s="227"/>
      <c r="CC229" s="227"/>
      <c r="CD229" s="227"/>
      <c r="CE229" s="227"/>
      <c r="CF229" s="227"/>
      <c r="CG229" s="227"/>
      <c r="CH229" s="227"/>
      <c r="CI229" s="227"/>
      <c r="CJ229" s="227"/>
      <c r="CK229" s="227"/>
      <c r="CL229" s="227"/>
      <c r="CM229" s="227"/>
      <c r="CN229" s="227"/>
      <c r="CO229" s="227"/>
      <c r="CP229" s="227"/>
      <c r="CQ229" s="227"/>
      <c r="CR229" s="227"/>
      <c r="CS229" s="227"/>
      <c r="CT229" s="227"/>
      <c r="CU229" s="225"/>
      <c r="CV229" s="227"/>
    </row>
    <row r="230" spans="1:100" ht="20.100000000000001" customHeight="1">
      <c r="A230" s="227"/>
      <c r="B230" s="225"/>
      <c r="C230" s="227"/>
      <c r="D230" s="224"/>
      <c r="E230" s="223"/>
      <c r="F230" s="223"/>
      <c r="G230" s="223"/>
      <c r="H230" s="223"/>
      <c r="I230" s="223"/>
      <c r="J230" s="223"/>
      <c r="K230" s="223"/>
      <c r="L230" s="223"/>
      <c r="M230" s="223"/>
      <c r="N230" s="223"/>
      <c r="O230" s="223"/>
      <c r="P230" s="223"/>
      <c r="Q230" s="223"/>
      <c r="R230" s="223"/>
      <c r="S230" s="223"/>
      <c r="T230" s="223"/>
      <c r="U230" s="223"/>
      <c r="V230" s="223"/>
      <c r="W230" s="223"/>
      <c r="X230" s="223"/>
      <c r="Y230" s="223"/>
      <c r="Z230" s="223"/>
      <c r="AA230" s="223"/>
      <c r="AB230" s="223"/>
      <c r="AC230" s="223"/>
      <c r="AD230" s="223"/>
      <c r="AE230" s="223"/>
      <c r="AF230" s="223"/>
      <c r="AG230" s="223"/>
      <c r="AH230" s="223"/>
      <c r="AI230" s="223"/>
      <c r="AJ230" s="223"/>
      <c r="AK230" s="223"/>
      <c r="AL230" s="223"/>
      <c r="AM230" s="223"/>
      <c r="AN230" s="223"/>
      <c r="AO230" s="223"/>
      <c r="AP230" s="223"/>
      <c r="AQ230" s="223"/>
      <c r="AR230" s="223"/>
      <c r="AS230" s="223"/>
      <c r="AT230" s="223"/>
      <c r="AU230" s="223"/>
      <c r="AV230" s="223"/>
      <c r="AW230" s="223"/>
      <c r="AX230" s="223"/>
      <c r="AY230" s="223"/>
      <c r="AZ230" s="223"/>
      <c r="BA230" s="223"/>
      <c r="BB230" s="223"/>
      <c r="BC230" s="223"/>
      <c r="BD230" s="223"/>
      <c r="BE230" s="223"/>
      <c r="BF230" s="223"/>
      <c r="BG230" s="223"/>
      <c r="BH230" s="223"/>
      <c r="BI230" s="223"/>
      <c r="BJ230" s="223"/>
      <c r="BK230" s="223"/>
      <c r="BL230" s="223"/>
      <c r="BM230" s="223"/>
      <c r="BN230" s="223"/>
      <c r="BO230" s="223"/>
      <c r="BP230" s="223"/>
      <c r="BQ230" s="227"/>
      <c r="BR230" s="227"/>
      <c r="BS230" s="227"/>
      <c r="BT230" s="227"/>
      <c r="BU230" s="227"/>
      <c r="BV230" s="227"/>
      <c r="BW230" s="227"/>
      <c r="BX230" s="227"/>
      <c r="BY230" s="227"/>
      <c r="BZ230" s="227"/>
      <c r="CA230" s="227"/>
      <c r="CB230" s="227"/>
      <c r="CC230" s="227"/>
      <c r="CD230" s="227"/>
      <c r="CE230" s="227"/>
      <c r="CF230" s="227"/>
      <c r="CG230" s="227"/>
      <c r="CH230" s="227"/>
      <c r="CI230" s="227"/>
      <c r="CJ230" s="227"/>
      <c r="CK230" s="227"/>
      <c r="CL230" s="227"/>
      <c r="CM230" s="227"/>
      <c r="CN230" s="227"/>
      <c r="CO230" s="227"/>
      <c r="CP230" s="227"/>
      <c r="CQ230" s="227"/>
      <c r="CR230" s="227"/>
      <c r="CS230" s="227"/>
      <c r="CT230" s="227"/>
      <c r="CU230" s="225"/>
      <c r="CV230" s="227"/>
    </row>
    <row r="231" spans="1:100" ht="20.100000000000001" customHeight="1">
      <c r="A231" s="227">
        <v>112</v>
      </c>
      <c r="B231" s="225"/>
      <c r="C231" s="227"/>
      <c r="D231" s="228" cm="1">
        <f t="array" ref="D231">IFERROR(
(SUMPRODUCT(E231:CU231*$E$6:$CU$6)/100) + (SUMPRODUCT(E231:CU231*$E$6:$CU$6*$E$3:$CU$3)/100),
0
)</f>
        <v>0</v>
      </c>
      <c r="E231" s="227"/>
      <c r="F231" s="227"/>
      <c r="G231" s="227"/>
      <c r="H231" s="227"/>
      <c r="I231" s="227"/>
      <c r="J231" s="227"/>
      <c r="K231" s="227"/>
      <c r="L231" s="227"/>
      <c r="M231" s="227"/>
      <c r="N231" s="227"/>
      <c r="O231" s="227"/>
      <c r="P231" s="227"/>
      <c r="Q231" s="227"/>
      <c r="R231" s="227"/>
      <c r="S231" s="227"/>
      <c r="T231" s="227"/>
      <c r="U231" s="227"/>
      <c r="V231" s="227"/>
      <c r="W231" s="227"/>
      <c r="X231" s="227"/>
      <c r="Y231" s="227"/>
      <c r="Z231" s="227"/>
      <c r="AA231" s="227"/>
      <c r="AB231" s="227"/>
      <c r="AC231" s="227"/>
      <c r="AD231" s="227"/>
      <c r="AE231" s="227"/>
      <c r="AF231" s="227"/>
      <c r="AG231" s="227"/>
      <c r="AH231" s="227"/>
      <c r="AI231" s="227"/>
      <c r="AJ231" s="227"/>
      <c r="AK231" s="227"/>
      <c r="AL231" s="227"/>
      <c r="AM231" s="227"/>
      <c r="AN231" s="227"/>
      <c r="AO231" s="227"/>
      <c r="AP231" s="227"/>
      <c r="AQ231" s="227"/>
      <c r="AR231" s="227"/>
      <c r="AS231" s="227"/>
      <c r="AT231" s="227"/>
      <c r="AU231" s="227"/>
      <c r="AV231" s="227"/>
      <c r="AW231" s="227"/>
      <c r="AX231" s="227"/>
      <c r="AY231" s="227"/>
      <c r="AZ231" s="227"/>
      <c r="BA231" s="227"/>
      <c r="BB231" s="227"/>
      <c r="BC231" s="227"/>
      <c r="BD231" s="227"/>
      <c r="BE231" s="227"/>
      <c r="BF231" s="227"/>
      <c r="BG231" s="227"/>
      <c r="BH231" s="227"/>
      <c r="BI231" s="227"/>
      <c r="BJ231" s="227"/>
      <c r="BK231" s="227"/>
      <c r="BL231" s="227"/>
      <c r="BM231" s="227"/>
      <c r="BN231" s="227"/>
      <c r="BO231" s="227"/>
      <c r="BP231" s="227"/>
      <c r="BQ231" s="227"/>
      <c r="BR231" s="227"/>
      <c r="BS231" s="227"/>
      <c r="BT231" s="227"/>
      <c r="BU231" s="227"/>
      <c r="BV231" s="227"/>
      <c r="BW231" s="227"/>
      <c r="BX231" s="227"/>
      <c r="BY231" s="227"/>
      <c r="BZ231" s="227"/>
      <c r="CA231" s="227"/>
      <c r="CB231" s="227"/>
      <c r="CC231" s="227"/>
      <c r="CD231" s="227"/>
      <c r="CE231" s="227"/>
      <c r="CF231" s="227"/>
      <c r="CG231" s="227"/>
      <c r="CH231" s="227"/>
      <c r="CI231" s="227"/>
      <c r="CJ231" s="227"/>
      <c r="CK231" s="227"/>
      <c r="CL231" s="227"/>
      <c r="CM231" s="227"/>
      <c r="CN231" s="227"/>
      <c r="CO231" s="227"/>
      <c r="CP231" s="227"/>
      <c r="CQ231" s="227"/>
      <c r="CR231" s="227"/>
      <c r="CS231" s="227"/>
      <c r="CT231" s="227"/>
      <c r="CU231" s="225"/>
      <c r="CV231" s="227"/>
    </row>
    <row r="232" spans="1:100" ht="20.100000000000001" customHeight="1">
      <c r="A232" s="223"/>
      <c r="B232" s="225"/>
      <c r="C232" s="227"/>
      <c r="D232" s="224"/>
      <c r="E232" s="223"/>
      <c r="F232" s="223"/>
      <c r="G232" s="223"/>
      <c r="H232" s="223"/>
      <c r="I232" s="223"/>
      <c r="J232" s="223"/>
      <c r="K232" s="223"/>
      <c r="L232" s="223"/>
      <c r="M232" s="223"/>
      <c r="N232" s="223"/>
      <c r="O232" s="223"/>
      <c r="P232" s="223"/>
      <c r="Q232" s="223"/>
      <c r="R232" s="223"/>
      <c r="S232" s="223"/>
      <c r="T232" s="223"/>
      <c r="U232" s="223"/>
      <c r="V232" s="223"/>
      <c r="W232" s="223"/>
      <c r="X232" s="223"/>
      <c r="Y232" s="223"/>
      <c r="Z232" s="223"/>
      <c r="AA232" s="223"/>
      <c r="AB232" s="223"/>
      <c r="AC232" s="223"/>
      <c r="AD232" s="223"/>
      <c r="AE232" s="223"/>
      <c r="AF232" s="223"/>
      <c r="AG232" s="223"/>
      <c r="AH232" s="223"/>
      <c r="AI232" s="223"/>
      <c r="AJ232" s="223"/>
      <c r="AK232" s="223"/>
      <c r="AL232" s="223"/>
      <c r="AM232" s="223"/>
      <c r="AN232" s="223"/>
      <c r="AO232" s="223"/>
      <c r="AP232" s="223"/>
      <c r="AQ232" s="223"/>
      <c r="AR232" s="223"/>
      <c r="AS232" s="223"/>
      <c r="AT232" s="223"/>
      <c r="AU232" s="223"/>
      <c r="AV232" s="223"/>
      <c r="AW232" s="223"/>
      <c r="AX232" s="223"/>
      <c r="AY232" s="223"/>
      <c r="AZ232" s="223"/>
      <c r="BA232" s="223"/>
      <c r="BB232" s="223"/>
      <c r="BC232" s="223"/>
      <c r="BD232" s="223"/>
      <c r="BE232" s="223"/>
      <c r="BF232" s="223"/>
      <c r="BG232" s="223"/>
      <c r="BH232" s="223"/>
      <c r="BI232" s="223"/>
      <c r="BJ232" s="223"/>
      <c r="BK232" s="223"/>
      <c r="BL232" s="223"/>
      <c r="BM232" s="223"/>
      <c r="BN232" s="223"/>
      <c r="BO232" s="223"/>
      <c r="BP232" s="223"/>
      <c r="BQ232" s="227"/>
      <c r="BR232" s="227"/>
      <c r="BS232" s="227"/>
      <c r="BT232" s="227"/>
      <c r="BU232" s="227"/>
      <c r="BV232" s="227"/>
      <c r="BW232" s="227"/>
      <c r="BX232" s="227"/>
      <c r="BY232" s="227"/>
      <c r="BZ232" s="227"/>
      <c r="CA232" s="227"/>
      <c r="CB232" s="227"/>
      <c r="CC232" s="227"/>
      <c r="CD232" s="227"/>
      <c r="CE232" s="227"/>
      <c r="CF232" s="227"/>
      <c r="CG232" s="227"/>
      <c r="CH232" s="227"/>
      <c r="CI232" s="227"/>
      <c r="CJ232" s="227"/>
      <c r="CK232" s="227"/>
      <c r="CL232" s="227"/>
      <c r="CM232" s="227"/>
      <c r="CN232" s="227"/>
      <c r="CO232" s="227"/>
      <c r="CP232" s="227"/>
      <c r="CQ232" s="227"/>
      <c r="CR232" s="227"/>
      <c r="CS232" s="227"/>
      <c r="CT232" s="227"/>
      <c r="CU232" s="225"/>
      <c r="CV232" s="227"/>
    </row>
    <row r="233" spans="1:100" ht="20.100000000000001" customHeight="1">
      <c r="A233" s="227">
        <v>113</v>
      </c>
      <c r="B233" s="225"/>
      <c r="C233" s="227"/>
      <c r="D233" s="228" cm="1">
        <f t="array" ref="D233">IFERROR(
(SUMPRODUCT(E233:CU233*$E$6:$CU$6)/100) + (SUMPRODUCT(E233:CU233*$E$6:$CU$6*$E$3:$CU$3)/100),
0
)</f>
        <v>0</v>
      </c>
      <c r="E233" s="227"/>
      <c r="F233" s="227"/>
      <c r="G233" s="227"/>
      <c r="H233" s="227"/>
      <c r="I233" s="227"/>
      <c r="J233" s="227"/>
      <c r="K233" s="227"/>
      <c r="L233" s="227"/>
      <c r="M233" s="227"/>
      <c r="N233" s="227"/>
      <c r="O233" s="227"/>
      <c r="P233" s="227"/>
      <c r="Q233" s="227"/>
      <c r="R233" s="227"/>
      <c r="S233" s="227"/>
      <c r="T233" s="227"/>
      <c r="U233" s="227"/>
      <c r="V233" s="227"/>
      <c r="W233" s="227"/>
      <c r="X233" s="227"/>
      <c r="Y233" s="227"/>
      <c r="Z233" s="227"/>
      <c r="AA233" s="227"/>
      <c r="AB233" s="227"/>
      <c r="AC233" s="227"/>
      <c r="AD233" s="227"/>
      <c r="AE233" s="227"/>
      <c r="AF233" s="227"/>
      <c r="AG233" s="227"/>
      <c r="AH233" s="227"/>
      <c r="AI233" s="227"/>
      <c r="AJ233" s="227"/>
      <c r="AK233" s="227"/>
      <c r="AL233" s="227"/>
      <c r="AM233" s="227"/>
      <c r="AN233" s="227"/>
      <c r="AO233" s="227"/>
      <c r="AP233" s="227"/>
      <c r="AQ233" s="227"/>
      <c r="AR233" s="227"/>
      <c r="AS233" s="227"/>
      <c r="AT233" s="227"/>
      <c r="AU233" s="227"/>
      <c r="AV233" s="227"/>
      <c r="AW233" s="227"/>
      <c r="AX233" s="227"/>
      <c r="AY233" s="227"/>
      <c r="AZ233" s="227"/>
      <c r="BA233" s="227"/>
      <c r="BB233" s="227"/>
      <c r="BC233" s="227"/>
      <c r="BD233" s="227"/>
      <c r="BE233" s="227"/>
      <c r="BF233" s="227"/>
      <c r="BG233" s="227"/>
      <c r="BH233" s="227"/>
      <c r="BI233" s="227"/>
      <c r="BJ233" s="227"/>
      <c r="BK233" s="227"/>
      <c r="BL233" s="227"/>
      <c r="BM233" s="227"/>
      <c r="BN233" s="227"/>
      <c r="BO233" s="227"/>
      <c r="BP233" s="227"/>
      <c r="BQ233" s="227"/>
      <c r="BR233" s="227"/>
      <c r="BS233" s="227"/>
      <c r="BT233" s="227"/>
      <c r="BU233" s="227"/>
      <c r="BV233" s="227"/>
      <c r="BW233" s="227"/>
      <c r="BX233" s="227"/>
      <c r="BY233" s="227"/>
      <c r="BZ233" s="227"/>
      <c r="CA233" s="227"/>
      <c r="CB233" s="227"/>
      <c r="CC233" s="227"/>
      <c r="CD233" s="227"/>
      <c r="CE233" s="227"/>
      <c r="CF233" s="227"/>
      <c r="CG233" s="227"/>
      <c r="CH233" s="227"/>
      <c r="CI233" s="227"/>
      <c r="CJ233" s="227"/>
      <c r="CK233" s="227"/>
      <c r="CL233" s="227"/>
      <c r="CM233" s="227"/>
      <c r="CN233" s="227"/>
      <c r="CO233" s="227"/>
      <c r="CP233" s="227"/>
      <c r="CQ233" s="227"/>
      <c r="CR233" s="227"/>
      <c r="CS233" s="227"/>
      <c r="CT233" s="227"/>
      <c r="CU233" s="225"/>
      <c r="CV233" s="227"/>
    </row>
    <row r="234" spans="1:100" ht="20.100000000000001" customHeight="1">
      <c r="A234" s="227"/>
      <c r="B234" s="225"/>
      <c r="C234" s="227"/>
      <c r="D234" s="224"/>
      <c r="E234" s="223"/>
      <c r="F234" s="223"/>
      <c r="G234" s="223"/>
      <c r="H234" s="223"/>
      <c r="I234" s="223"/>
      <c r="J234" s="223"/>
      <c r="K234" s="223"/>
      <c r="L234" s="223"/>
      <c r="M234" s="223"/>
      <c r="N234" s="223"/>
      <c r="O234" s="223"/>
      <c r="P234" s="223"/>
      <c r="Q234" s="223"/>
      <c r="R234" s="223"/>
      <c r="S234" s="223"/>
      <c r="T234" s="223"/>
      <c r="U234" s="223"/>
      <c r="V234" s="223"/>
      <c r="W234" s="223"/>
      <c r="X234" s="223"/>
      <c r="Y234" s="223"/>
      <c r="Z234" s="223"/>
      <c r="AA234" s="223"/>
      <c r="AB234" s="223"/>
      <c r="AC234" s="223"/>
      <c r="AD234" s="223"/>
      <c r="AE234" s="223"/>
      <c r="AF234" s="223"/>
      <c r="AG234" s="223"/>
      <c r="AH234" s="223"/>
      <c r="AI234" s="223"/>
      <c r="AJ234" s="223"/>
      <c r="AK234" s="223"/>
      <c r="AL234" s="223"/>
      <c r="AM234" s="223"/>
      <c r="AN234" s="223"/>
      <c r="AO234" s="223"/>
      <c r="AP234" s="223"/>
      <c r="AQ234" s="223"/>
      <c r="AR234" s="223"/>
      <c r="AS234" s="223"/>
      <c r="AT234" s="223"/>
      <c r="AU234" s="223"/>
      <c r="AV234" s="223"/>
      <c r="AW234" s="223"/>
      <c r="AX234" s="223"/>
      <c r="AY234" s="223"/>
      <c r="AZ234" s="223"/>
      <c r="BA234" s="223"/>
      <c r="BB234" s="223"/>
      <c r="BC234" s="223"/>
      <c r="BD234" s="223"/>
      <c r="BE234" s="223"/>
      <c r="BF234" s="223"/>
      <c r="BG234" s="223"/>
      <c r="BH234" s="223"/>
      <c r="BI234" s="223"/>
      <c r="BJ234" s="223"/>
      <c r="BK234" s="223"/>
      <c r="BL234" s="223"/>
      <c r="BM234" s="223"/>
      <c r="BN234" s="223"/>
      <c r="BO234" s="223"/>
      <c r="BP234" s="223"/>
      <c r="BQ234" s="227"/>
      <c r="BR234" s="227"/>
      <c r="BS234" s="227"/>
      <c r="BT234" s="227"/>
      <c r="BU234" s="227"/>
      <c r="BV234" s="227"/>
      <c r="BW234" s="227"/>
      <c r="BX234" s="227"/>
      <c r="BY234" s="227"/>
      <c r="BZ234" s="227"/>
      <c r="CA234" s="227"/>
      <c r="CB234" s="227"/>
      <c r="CC234" s="227"/>
      <c r="CD234" s="227"/>
      <c r="CE234" s="227"/>
      <c r="CF234" s="227"/>
      <c r="CG234" s="227"/>
      <c r="CH234" s="227"/>
      <c r="CI234" s="227"/>
      <c r="CJ234" s="227"/>
      <c r="CK234" s="227"/>
      <c r="CL234" s="227"/>
      <c r="CM234" s="227"/>
      <c r="CN234" s="227"/>
      <c r="CO234" s="227"/>
      <c r="CP234" s="227"/>
      <c r="CQ234" s="227"/>
      <c r="CR234" s="227"/>
      <c r="CS234" s="227"/>
      <c r="CT234" s="227"/>
      <c r="CU234" s="225"/>
      <c r="CV234" s="227"/>
    </row>
    <row r="235" spans="1:100" ht="20.100000000000001" customHeight="1">
      <c r="A235" s="227">
        <v>114</v>
      </c>
      <c r="B235" s="225"/>
      <c r="C235" s="227"/>
      <c r="D235" s="228" cm="1">
        <f t="array" ref="D235">IFERROR(
(SUMPRODUCT(E235:CU235*$E$6:$CU$6)/100) + (SUMPRODUCT(E235:CU235*$E$6:$CU$6*$E$3:$CU$3)/100),
0
)</f>
        <v>0</v>
      </c>
      <c r="E235" s="227"/>
      <c r="F235" s="227"/>
      <c r="G235" s="227"/>
      <c r="H235" s="227"/>
      <c r="I235" s="227"/>
      <c r="J235" s="227"/>
      <c r="K235" s="227"/>
      <c r="L235" s="227"/>
      <c r="M235" s="227"/>
      <c r="N235" s="227"/>
      <c r="O235" s="227"/>
      <c r="P235" s="227"/>
      <c r="Q235" s="227"/>
      <c r="R235" s="227"/>
      <c r="S235" s="227"/>
      <c r="T235" s="227"/>
      <c r="U235" s="227"/>
      <c r="V235" s="227"/>
      <c r="W235" s="227"/>
      <c r="X235" s="227"/>
      <c r="Y235" s="227"/>
      <c r="Z235" s="227"/>
      <c r="AA235" s="227"/>
      <c r="AB235" s="227"/>
      <c r="AC235" s="227"/>
      <c r="AD235" s="227"/>
      <c r="AE235" s="227"/>
      <c r="AF235" s="227"/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27"/>
      <c r="BC235" s="227"/>
      <c r="BD235" s="227"/>
      <c r="BE235" s="227"/>
      <c r="BF235" s="227"/>
      <c r="BG235" s="227"/>
      <c r="BH235" s="227"/>
      <c r="BI235" s="227"/>
      <c r="BJ235" s="227"/>
      <c r="BK235" s="227"/>
      <c r="BL235" s="227"/>
      <c r="BM235" s="227"/>
      <c r="BN235" s="227"/>
      <c r="BO235" s="227"/>
      <c r="BP235" s="227"/>
      <c r="BQ235" s="227"/>
      <c r="BR235" s="227"/>
      <c r="BS235" s="227"/>
      <c r="BT235" s="227"/>
      <c r="BU235" s="227"/>
      <c r="BV235" s="227"/>
      <c r="BW235" s="227"/>
      <c r="BX235" s="227"/>
      <c r="BY235" s="227"/>
      <c r="BZ235" s="227"/>
      <c r="CA235" s="227"/>
      <c r="CB235" s="227"/>
      <c r="CC235" s="227"/>
      <c r="CD235" s="227"/>
      <c r="CE235" s="227"/>
      <c r="CF235" s="227"/>
      <c r="CG235" s="227"/>
      <c r="CH235" s="227"/>
      <c r="CI235" s="227"/>
      <c r="CJ235" s="227"/>
      <c r="CK235" s="227"/>
      <c r="CL235" s="227"/>
      <c r="CM235" s="227"/>
      <c r="CN235" s="227"/>
      <c r="CO235" s="227"/>
      <c r="CP235" s="227"/>
      <c r="CQ235" s="227"/>
      <c r="CR235" s="227"/>
      <c r="CS235" s="227"/>
      <c r="CT235" s="227"/>
      <c r="CU235" s="225"/>
      <c r="CV235" s="227"/>
    </row>
    <row r="236" spans="1:100" ht="20.100000000000001" customHeight="1">
      <c r="A236" s="223"/>
      <c r="B236" s="225"/>
      <c r="C236" s="227"/>
      <c r="D236" s="224"/>
      <c r="E236" s="223"/>
      <c r="F236" s="223"/>
      <c r="G236" s="223"/>
      <c r="H236" s="223"/>
      <c r="I236" s="223"/>
      <c r="J236" s="223"/>
      <c r="K236" s="223"/>
      <c r="L236" s="223"/>
      <c r="M236" s="223"/>
      <c r="N236" s="223"/>
      <c r="O236" s="223"/>
      <c r="P236" s="223"/>
      <c r="Q236" s="223"/>
      <c r="R236" s="223"/>
      <c r="S236" s="223"/>
      <c r="T236" s="223"/>
      <c r="U236" s="223"/>
      <c r="V236" s="223"/>
      <c r="W236" s="223"/>
      <c r="X236" s="223"/>
      <c r="Y236" s="223"/>
      <c r="Z236" s="223"/>
      <c r="AA236" s="223"/>
      <c r="AB236" s="223"/>
      <c r="AC236" s="223"/>
      <c r="AD236" s="223"/>
      <c r="AE236" s="223"/>
      <c r="AF236" s="223"/>
      <c r="AG236" s="223"/>
      <c r="AH236" s="223"/>
      <c r="AI236" s="223"/>
      <c r="AJ236" s="223"/>
      <c r="AK236" s="223"/>
      <c r="AL236" s="223"/>
      <c r="AM236" s="223"/>
      <c r="AN236" s="223"/>
      <c r="AO236" s="223"/>
      <c r="AP236" s="223"/>
      <c r="AQ236" s="223"/>
      <c r="AR236" s="223"/>
      <c r="AS236" s="223"/>
      <c r="AT236" s="223"/>
      <c r="AU236" s="223"/>
      <c r="AV236" s="223"/>
      <c r="AW236" s="223"/>
      <c r="AX236" s="223"/>
      <c r="AY236" s="223"/>
      <c r="AZ236" s="223"/>
      <c r="BA236" s="223"/>
      <c r="BB236" s="223"/>
      <c r="BC236" s="223"/>
      <c r="BD236" s="223"/>
      <c r="BE236" s="223"/>
      <c r="BF236" s="223"/>
      <c r="BG236" s="223"/>
      <c r="BH236" s="223"/>
      <c r="BI236" s="223"/>
      <c r="BJ236" s="223"/>
      <c r="BK236" s="223"/>
      <c r="BL236" s="223"/>
      <c r="BM236" s="223"/>
      <c r="BN236" s="223"/>
      <c r="BO236" s="223"/>
      <c r="BP236" s="223"/>
      <c r="BQ236" s="227"/>
      <c r="BR236" s="227"/>
      <c r="BS236" s="227"/>
      <c r="BT236" s="227"/>
      <c r="BU236" s="227"/>
      <c r="BV236" s="227"/>
      <c r="BW236" s="227"/>
      <c r="BX236" s="227"/>
      <c r="BY236" s="227"/>
      <c r="BZ236" s="227"/>
      <c r="CA236" s="227"/>
      <c r="CB236" s="227"/>
      <c r="CC236" s="227"/>
      <c r="CD236" s="227"/>
      <c r="CE236" s="227"/>
      <c r="CF236" s="227"/>
      <c r="CG236" s="227"/>
      <c r="CH236" s="227"/>
      <c r="CI236" s="227"/>
      <c r="CJ236" s="227"/>
      <c r="CK236" s="227"/>
      <c r="CL236" s="227"/>
      <c r="CM236" s="227"/>
      <c r="CN236" s="227"/>
      <c r="CO236" s="227"/>
      <c r="CP236" s="227"/>
      <c r="CQ236" s="227"/>
      <c r="CR236" s="227"/>
      <c r="CS236" s="227"/>
      <c r="CT236" s="227"/>
      <c r="CU236" s="225"/>
      <c r="CV236" s="227"/>
    </row>
    <row r="237" spans="1:100" ht="20.100000000000001" customHeight="1">
      <c r="A237" s="227">
        <v>115</v>
      </c>
      <c r="B237" s="225"/>
      <c r="C237" s="227"/>
      <c r="D237" s="228" cm="1">
        <f t="array" ref="D237">IFERROR(
(SUMPRODUCT(E237:CU237*$E$6:$CU$6)/100) + (SUMPRODUCT(E237:CU237*$E$6:$CU$6*$E$3:$CU$3)/100),
0
)</f>
        <v>0</v>
      </c>
      <c r="E237" s="227"/>
      <c r="F237" s="227"/>
      <c r="G237" s="227"/>
      <c r="H237" s="227"/>
      <c r="I237" s="227"/>
      <c r="J237" s="227"/>
      <c r="K237" s="227"/>
      <c r="L237" s="227"/>
      <c r="M237" s="227"/>
      <c r="N237" s="227"/>
      <c r="O237" s="227"/>
      <c r="P237" s="227"/>
      <c r="Q237" s="227"/>
      <c r="R237" s="227"/>
      <c r="S237" s="227"/>
      <c r="T237" s="227"/>
      <c r="U237" s="227"/>
      <c r="V237" s="227"/>
      <c r="W237" s="227"/>
      <c r="X237" s="227"/>
      <c r="Y237" s="227"/>
      <c r="Z237" s="227"/>
      <c r="AA237" s="227"/>
      <c r="AB237" s="227"/>
      <c r="AC237" s="227"/>
      <c r="AD237" s="227"/>
      <c r="AE237" s="227"/>
      <c r="AF237" s="227"/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27"/>
      <c r="BC237" s="227"/>
      <c r="BD237" s="227"/>
      <c r="BE237" s="227"/>
      <c r="BF237" s="227"/>
      <c r="BG237" s="227"/>
      <c r="BH237" s="227"/>
      <c r="BI237" s="227"/>
      <c r="BJ237" s="227"/>
      <c r="BK237" s="227"/>
      <c r="BL237" s="227"/>
      <c r="BM237" s="227"/>
      <c r="BN237" s="227"/>
      <c r="BO237" s="227"/>
      <c r="BP237" s="227"/>
      <c r="BQ237" s="227"/>
      <c r="BR237" s="227"/>
      <c r="BS237" s="227"/>
      <c r="BT237" s="227"/>
      <c r="BU237" s="227"/>
      <c r="BV237" s="227"/>
      <c r="BW237" s="227"/>
      <c r="BX237" s="227"/>
      <c r="BY237" s="227"/>
      <c r="BZ237" s="227"/>
      <c r="CA237" s="227"/>
      <c r="CB237" s="227"/>
      <c r="CC237" s="227"/>
      <c r="CD237" s="227"/>
      <c r="CE237" s="227"/>
      <c r="CF237" s="227"/>
      <c r="CG237" s="227"/>
      <c r="CH237" s="227"/>
      <c r="CI237" s="227"/>
      <c r="CJ237" s="227"/>
      <c r="CK237" s="227"/>
      <c r="CL237" s="227"/>
      <c r="CM237" s="227"/>
      <c r="CN237" s="227"/>
      <c r="CO237" s="227"/>
      <c r="CP237" s="227"/>
      <c r="CQ237" s="227"/>
      <c r="CR237" s="227"/>
      <c r="CS237" s="227"/>
      <c r="CT237" s="227"/>
      <c r="CU237" s="225"/>
      <c r="CV237" s="227"/>
    </row>
    <row r="238" spans="1:100" ht="20.100000000000001" customHeight="1">
      <c r="A238" s="227"/>
      <c r="B238" s="225"/>
      <c r="C238" s="227"/>
      <c r="D238" s="224"/>
      <c r="E238" s="223"/>
      <c r="F238" s="223"/>
      <c r="G238" s="223"/>
      <c r="H238" s="223"/>
      <c r="I238" s="223"/>
      <c r="J238" s="223"/>
      <c r="K238" s="223"/>
      <c r="L238" s="223"/>
      <c r="M238" s="223"/>
      <c r="N238" s="223"/>
      <c r="O238" s="223"/>
      <c r="P238" s="223"/>
      <c r="Q238" s="223"/>
      <c r="R238" s="223"/>
      <c r="S238" s="223"/>
      <c r="T238" s="223"/>
      <c r="U238" s="223"/>
      <c r="V238" s="223"/>
      <c r="W238" s="223"/>
      <c r="X238" s="223"/>
      <c r="Y238" s="223"/>
      <c r="Z238" s="223"/>
      <c r="AA238" s="223"/>
      <c r="AB238" s="223"/>
      <c r="AC238" s="223"/>
      <c r="AD238" s="223"/>
      <c r="AE238" s="223"/>
      <c r="AF238" s="223"/>
      <c r="AG238" s="223"/>
      <c r="AH238" s="223"/>
      <c r="AI238" s="223"/>
      <c r="AJ238" s="223"/>
      <c r="AK238" s="223"/>
      <c r="AL238" s="223"/>
      <c r="AM238" s="223"/>
      <c r="AN238" s="223"/>
      <c r="AO238" s="223"/>
      <c r="AP238" s="223"/>
      <c r="AQ238" s="223"/>
      <c r="AR238" s="223"/>
      <c r="AS238" s="223"/>
      <c r="AT238" s="223"/>
      <c r="AU238" s="223"/>
      <c r="AV238" s="223"/>
      <c r="AW238" s="223"/>
      <c r="AX238" s="223"/>
      <c r="AY238" s="223"/>
      <c r="AZ238" s="223"/>
      <c r="BA238" s="223"/>
      <c r="BB238" s="223"/>
      <c r="BC238" s="223"/>
      <c r="BD238" s="223"/>
      <c r="BE238" s="223"/>
      <c r="BF238" s="223"/>
      <c r="BG238" s="223"/>
      <c r="BH238" s="223"/>
      <c r="BI238" s="223"/>
      <c r="BJ238" s="223"/>
      <c r="BK238" s="223"/>
      <c r="BL238" s="223"/>
      <c r="BM238" s="223"/>
      <c r="BN238" s="223"/>
      <c r="BO238" s="223"/>
      <c r="BP238" s="223"/>
      <c r="BQ238" s="227"/>
      <c r="BR238" s="227"/>
      <c r="BS238" s="227"/>
      <c r="BT238" s="227"/>
      <c r="BU238" s="227"/>
      <c r="BV238" s="227"/>
      <c r="BW238" s="227"/>
      <c r="BX238" s="227"/>
      <c r="BY238" s="227"/>
      <c r="BZ238" s="227"/>
      <c r="CA238" s="227"/>
      <c r="CB238" s="227"/>
      <c r="CC238" s="227"/>
      <c r="CD238" s="227"/>
      <c r="CE238" s="227"/>
      <c r="CF238" s="227"/>
      <c r="CG238" s="227"/>
      <c r="CH238" s="227"/>
      <c r="CI238" s="227"/>
      <c r="CJ238" s="227"/>
      <c r="CK238" s="227"/>
      <c r="CL238" s="227"/>
      <c r="CM238" s="227"/>
      <c r="CN238" s="227"/>
      <c r="CO238" s="227"/>
      <c r="CP238" s="227"/>
      <c r="CQ238" s="227"/>
      <c r="CR238" s="227"/>
      <c r="CS238" s="227"/>
      <c r="CT238" s="227"/>
      <c r="CU238" s="225"/>
      <c r="CV238" s="227"/>
    </row>
    <row r="239" spans="1:100" ht="20.100000000000001" customHeight="1">
      <c r="A239" s="227">
        <v>116</v>
      </c>
      <c r="B239" s="225"/>
      <c r="C239" s="227"/>
      <c r="D239" s="228" cm="1">
        <f t="array" ref="D239">IFERROR(
(SUMPRODUCT(E239:CU239*$E$6:$CU$6)/100) + (SUMPRODUCT(E239:CU239*$E$6:$CU$6*$E$3:$CU$3)/100),
0
)</f>
        <v>0</v>
      </c>
      <c r="E239" s="227"/>
      <c r="F239" s="227"/>
      <c r="G239" s="227"/>
      <c r="H239" s="227"/>
      <c r="I239" s="227"/>
      <c r="J239" s="227"/>
      <c r="K239" s="227"/>
      <c r="L239" s="227"/>
      <c r="M239" s="227"/>
      <c r="N239" s="227"/>
      <c r="O239" s="227"/>
      <c r="P239" s="227"/>
      <c r="Q239" s="227"/>
      <c r="R239" s="227"/>
      <c r="S239" s="227"/>
      <c r="T239" s="227"/>
      <c r="U239" s="227"/>
      <c r="V239" s="227"/>
      <c r="W239" s="227"/>
      <c r="X239" s="227"/>
      <c r="Y239" s="227"/>
      <c r="Z239" s="227"/>
      <c r="AA239" s="227"/>
      <c r="AB239" s="227"/>
      <c r="AC239" s="227"/>
      <c r="AD239" s="227"/>
      <c r="AE239" s="227"/>
      <c r="AF239" s="227"/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27"/>
      <c r="BC239" s="227"/>
      <c r="BD239" s="227"/>
      <c r="BE239" s="227"/>
      <c r="BF239" s="227"/>
      <c r="BG239" s="227"/>
      <c r="BH239" s="227"/>
      <c r="BI239" s="227"/>
      <c r="BJ239" s="227"/>
      <c r="BK239" s="227"/>
      <c r="BL239" s="227"/>
      <c r="BM239" s="227"/>
      <c r="BN239" s="227"/>
      <c r="BO239" s="227"/>
      <c r="BP239" s="227"/>
      <c r="BQ239" s="227"/>
      <c r="BR239" s="227"/>
      <c r="BS239" s="227"/>
      <c r="BT239" s="227"/>
      <c r="BU239" s="227"/>
      <c r="BV239" s="227"/>
      <c r="BW239" s="227"/>
      <c r="BX239" s="227"/>
      <c r="BY239" s="227"/>
      <c r="BZ239" s="227"/>
      <c r="CA239" s="227"/>
      <c r="CB239" s="227"/>
      <c r="CC239" s="227"/>
      <c r="CD239" s="227"/>
      <c r="CE239" s="227"/>
      <c r="CF239" s="227"/>
      <c r="CG239" s="227"/>
      <c r="CH239" s="227"/>
      <c r="CI239" s="227"/>
      <c r="CJ239" s="227"/>
      <c r="CK239" s="227"/>
      <c r="CL239" s="227"/>
      <c r="CM239" s="227"/>
      <c r="CN239" s="227"/>
      <c r="CO239" s="227"/>
      <c r="CP239" s="227"/>
      <c r="CQ239" s="227"/>
      <c r="CR239" s="227"/>
      <c r="CS239" s="227"/>
      <c r="CT239" s="227"/>
      <c r="CU239" s="225"/>
      <c r="CV239" s="227"/>
    </row>
    <row r="240" spans="1:100" ht="20.100000000000001" customHeight="1">
      <c r="A240" s="223"/>
      <c r="B240" s="225"/>
      <c r="C240" s="227"/>
      <c r="D240" s="224"/>
      <c r="E240" s="223"/>
      <c r="F240" s="223"/>
      <c r="G240" s="223"/>
      <c r="H240" s="223"/>
      <c r="I240" s="223"/>
      <c r="J240" s="223"/>
      <c r="K240" s="223"/>
      <c r="L240" s="223"/>
      <c r="M240" s="223"/>
      <c r="N240" s="223"/>
      <c r="O240" s="223"/>
      <c r="P240" s="223"/>
      <c r="Q240" s="223"/>
      <c r="R240" s="223"/>
      <c r="S240" s="223"/>
      <c r="T240" s="223"/>
      <c r="U240" s="223"/>
      <c r="V240" s="223"/>
      <c r="W240" s="223"/>
      <c r="X240" s="223"/>
      <c r="Y240" s="223"/>
      <c r="Z240" s="223"/>
      <c r="AA240" s="223"/>
      <c r="AB240" s="223"/>
      <c r="AC240" s="223"/>
      <c r="AD240" s="223"/>
      <c r="AE240" s="223"/>
      <c r="AF240" s="223"/>
      <c r="AG240" s="223"/>
      <c r="AH240" s="223"/>
      <c r="AI240" s="223"/>
      <c r="AJ240" s="223"/>
      <c r="AK240" s="223"/>
      <c r="AL240" s="223"/>
      <c r="AM240" s="223"/>
      <c r="AN240" s="223"/>
      <c r="AO240" s="223"/>
      <c r="AP240" s="223"/>
      <c r="AQ240" s="223"/>
      <c r="AR240" s="223"/>
      <c r="AS240" s="223"/>
      <c r="AT240" s="223"/>
      <c r="AU240" s="223"/>
      <c r="AV240" s="223"/>
      <c r="AW240" s="223"/>
      <c r="AX240" s="223"/>
      <c r="AY240" s="223"/>
      <c r="AZ240" s="223"/>
      <c r="BA240" s="223"/>
      <c r="BB240" s="223"/>
      <c r="BC240" s="223"/>
      <c r="BD240" s="223"/>
      <c r="BE240" s="223"/>
      <c r="BF240" s="223"/>
      <c r="BG240" s="223"/>
      <c r="BH240" s="223"/>
      <c r="BI240" s="223"/>
      <c r="BJ240" s="223"/>
      <c r="BK240" s="223"/>
      <c r="BL240" s="223"/>
      <c r="BM240" s="223"/>
      <c r="BN240" s="223"/>
      <c r="BO240" s="223"/>
      <c r="BP240" s="223"/>
      <c r="BQ240" s="227"/>
      <c r="BR240" s="227"/>
      <c r="BS240" s="227"/>
      <c r="BT240" s="227"/>
      <c r="BU240" s="227"/>
      <c r="BV240" s="227"/>
      <c r="BW240" s="227"/>
      <c r="BX240" s="227"/>
      <c r="BY240" s="227"/>
      <c r="BZ240" s="227"/>
      <c r="CA240" s="227"/>
      <c r="CB240" s="227"/>
      <c r="CC240" s="227"/>
      <c r="CD240" s="227"/>
      <c r="CE240" s="227"/>
      <c r="CF240" s="227"/>
      <c r="CG240" s="227"/>
      <c r="CH240" s="227"/>
      <c r="CI240" s="227"/>
      <c r="CJ240" s="227"/>
      <c r="CK240" s="227"/>
      <c r="CL240" s="227"/>
      <c r="CM240" s="227"/>
      <c r="CN240" s="227"/>
      <c r="CO240" s="227"/>
      <c r="CP240" s="227"/>
      <c r="CQ240" s="227"/>
      <c r="CR240" s="227"/>
      <c r="CS240" s="227"/>
      <c r="CT240" s="227"/>
      <c r="CU240" s="225"/>
      <c r="CV240" s="227"/>
    </row>
    <row r="241" spans="1:100" ht="20.100000000000001" customHeight="1">
      <c r="A241" s="227">
        <v>117</v>
      </c>
      <c r="B241" s="225"/>
      <c r="C241" s="227"/>
      <c r="D241" s="228" cm="1">
        <f t="array" ref="D241">IFERROR(
(SUMPRODUCT(E241:CU241*$E$6:$CU$6)/100) + (SUMPRODUCT(E241:CU241*$E$6:$CU$6*$E$3:$CU$3)/100),
0
)</f>
        <v>0</v>
      </c>
      <c r="E241" s="227"/>
      <c r="F241" s="227"/>
      <c r="G241" s="227"/>
      <c r="H241" s="227"/>
      <c r="I241" s="227"/>
      <c r="J241" s="227"/>
      <c r="K241" s="227"/>
      <c r="L241" s="227"/>
      <c r="M241" s="227"/>
      <c r="N241" s="227"/>
      <c r="O241" s="227"/>
      <c r="P241" s="227"/>
      <c r="Q241" s="227"/>
      <c r="R241" s="227"/>
      <c r="S241" s="227"/>
      <c r="T241" s="227"/>
      <c r="U241" s="227"/>
      <c r="V241" s="227"/>
      <c r="W241" s="227"/>
      <c r="X241" s="227"/>
      <c r="Y241" s="227"/>
      <c r="Z241" s="227"/>
      <c r="AA241" s="227"/>
      <c r="AB241" s="227"/>
      <c r="AC241" s="227"/>
      <c r="AD241" s="227"/>
      <c r="AE241" s="227"/>
      <c r="AF241" s="227"/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27"/>
      <c r="BC241" s="227"/>
      <c r="BD241" s="227"/>
      <c r="BE241" s="227"/>
      <c r="BF241" s="227"/>
      <c r="BG241" s="227"/>
      <c r="BH241" s="227"/>
      <c r="BI241" s="227"/>
      <c r="BJ241" s="227"/>
      <c r="BK241" s="227"/>
      <c r="BL241" s="227"/>
      <c r="BM241" s="227"/>
      <c r="BN241" s="227"/>
      <c r="BO241" s="227"/>
      <c r="BP241" s="227"/>
      <c r="BQ241" s="227"/>
      <c r="BR241" s="227"/>
      <c r="BS241" s="227"/>
      <c r="BT241" s="227"/>
      <c r="BU241" s="227"/>
      <c r="BV241" s="227"/>
      <c r="BW241" s="227"/>
      <c r="BX241" s="227"/>
      <c r="BY241" s="227"/>
      <c r="BZ241" s="227"/>
      <c r="CA241" s="227"/>
      <c r="CB241" s="227"/>
      <c r="CC241" s="227"/>
      <c r="CD241" s="227"/>
      <c r="CE241" s="227"/>
      <c r="CF241" s="227"/>
      <c r="CG241" s="227"/>
      <c r="CH241" s="227"/>
      <c r="CI241" s="227"/>
      <c r="CJ241" s="227"/>
      <c r="CK241" s="227"/>
      <c r="CL241" s="227"/>
      <c r="CM241" s="227"/>
      <c r="CN241" s="227"/>
      <c r="CO241" s="227"/>
      <c r="CP241" s="227"/>
      <c r="CQ241" s="227"/>
      <c r="CR241" s="227"/>
      <c r="CS241" s="227"/>
      <c r="CT241" s="227"/>
      <c r="CU241" s="225"/>
      <c r="CV241" s="227"/>
    </row>
    <row r="242" spans="1:100" ht="20.100000000000001" customHeight="1">
      <c r="A242" s="227"/>
      <c r="B242" s="225"/>
      <c r="C242" s="227"/>
      <c r="D242" s="224"/>
      <c r="E242" s="223"/>
      <c r="F242" s="223"/>
      <c r="G242" s="223"/>
      <c r="H242" s="223"/>
      <c r="I242" s="223"/>
      <c r="J242" s="223"/>
      <c r="K242" s="223"/>
      <c r="L242" s="223"/>
      <c r="M242" s="223"/>
      <c r="N242" s="223"/>
      <c r="O242" s="223"/>
      <c r="P242" s="223"/>
      <c r="Q242" s="223"/>
      <c r="R242" s="223"/>
      <c r="S242" s="223"/>
      <c r="T242" s="223"/>
      <c r="U242" s="223"/>
      <c r="V242" s="223"/>
      <c r="W242" s="223"/>
      <c r="X242" s="223"/>
      <c r="Y242" s="223"/>
      <c r="Z242" s="223"/>
      <c r="AA242" s="223"/>
      <c r="AB242" s="223"/>
      <c r="AC242" s="223"/>
      <c r="AD242" s="223"/>
      <c r="AE242" s="223"/>
      <c r="AF242" s="223"/>
      <c r="AG242" s="223"/>
      <c r="AH242" s="223"/>
      <c r="AI242" s="223"/>
      <c r="AJ242" s="223"/>
      <c r="AK242" s="223"/>
      <c r="AL242" s="223"/>
      <c r="AM242" s="223"/>
      <c r="AN242" s="223"/>
      <c r="AO242" s="223"/>
      <c r="AP242" s="223"/>
      <c r="AQ242" s="223"/>
      <c r="AR242" s="223"/>
      <c r="AS242" s="223"/>
      <c r="AT242" s="223"/>
      <c r="AU242" s="223"/>
      <c r="AV242" s="223"/>
      <c r="AW242" s="223"/>
      <c r="AX242" s="223"/>
      <c r="AY242" s="223"/>
      <c r="AZ242" s="223"/>
      <c r="BA242" s="223"/>
      <c r="BB242" s="223"/>
      <c r="BC242" s="223"/>
      <c r="BD242" s="223"/>
      <c r="BE242" s="223"/>
      <c r="BF242" s="223"/>
      <c r="BG242" s="223"/>
      <c r="BH242" s="223"/>
      <c r="BI242" s="223"/>
      <c r="BJ242" s="223"/>
      <c r="BK242" s="223"/>
      <c r="BL242" s="223"/>
      <c r="BM242" s="223"/>
      <c r="BN242" s="223"/>
      <c r="BO242" s="223"/>
      <c r="BP242" s="223"/>
      <c r="BQ242" s="227"/>
      <c r="BR242" s="227"/>
      <c r="BS242" s="227"/>
      <c r="BT242" s="227"/>
      <c r="BU242" s="227"/>
      <c r="BV242" s="227"/>
      <c r="BW242" s="227"/>
      <c r="BX242" s="227"/>
      <c r="BY242" s="227"/>
      <c r="BZ242" s="227"/>
      <c r="CA242" s="227"/>
      <c r="CB242" s="227"/>
      <c r="CC242" s="227"/>
      <c r="CD242" s="227"/>
      <c r="CE242" s="227"/>
      <c r="CF242" s="227"/>
      <c r="CG242" s="227"/>
      <c r="CH242" s="227"/>
      <c r="CI242" s="227"/>
      <c r="CJ242" s="227"/>
      <c r="CK242" s="227"/>
      <c r="CL242" s="227"/>
      <c r="CM242" s="227"/>
      <c r="CN242" s="227"/>
      <c r="CO242" s="227"/>
      <c r="CP242" s="227"/>
      <c r="CQ242" s="227"/>
      <c r="CR242" s="227"/>
      <c r="CS242" s="227"/>
      <c r="CT242" s="227"/>
      <c r="CU242" s="225"/>
      <c r="CV242" s="227"/>
    </row>
    <row r="243" spans="1:100" ht="20.100000000000001" customHeight="1">
      <c r="A243" s="227">
        <v>118</v>
      </c>
      <c r="B243" s="225"/>
      <c r="C243" s="227"/>
      <c r="D243" s="228" cm="1">
        <f t="array" ref="D243">IFERROR(
(SUMPRODUCT(E243:CU243*$E$6:$CU$6)/100) + (SUMPRODUCT(E243:CU243*$E$6:$CU$6*$E$3:$CU$3)/100),
0
)</f>
        <v>0</v>
      </c>
      <c r="E243" s="227"/>
      <c r="F243" s="227"/>
      <c r="G243" s="227"/>
      <c r="H243" s="227"/>
      <c r="I243" s="227"/>
      <c r="J243" s="227"/>
      <c r="K243" s="227"/>
      <c r="L243" s="227"/>
      <c r="M243" s="227"/>
      <c r="N243" s="227"/>
      <c r="O243" s="227"/>
      <c r="P243" s="227"/>
      <c r="Q243" s="227"/>
      <c r="R243" s="227"/>
      <c r="S243" s="227"/>
      <c r="T243" s="227"/>
      <c r="U243" s="227"/>
      <c r="V243" s="227"/>
      <c r="W243" s="227"/>
      <c r="X243" s="227"/>
      <c r="Y243" s="227"/>
      <c r="Z243" s="227"/>
      <c r="AA243" s="227"/>
      <c r="AB243" s="227"/>
      <c r="AC243" s="227"/>
      <c r="AD243" s="227"/>
      <c r="AE243" s="227"/>
      <c r="AF243" s="227"/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27"/>
      <c r="BC243" s="227"/>
      <c r="BD243" s="227"/>
      <c r="BE243" s="227"/>
      <c r="BF243" s="227"/>
      <c r="BG243" s="227"/>
      <c r="BH243" s="227"/>
      <c r="BI243" s="227"/>
      <c r="BJ243" s="227"/>
      <c r="BK243" s="227"/>
      <c r="BL243" s="227"/>
      <c r="BM243" s="227"/>
      <c r="BN243" s="227"/>
      <c r="BO243" s="227"/>
      <c r="BP243" s="227"/>
      <c r="BQ243" s="227"/>
      <c r="BR243" s="227"/>
      <c r="BS243" s="227"/>
      <c r="BT243" s="227"/>
      <c r="BU243" s="227"/>
      <c r="BV243" s="227"/>
      <c r="BW243" s="227"/>
      <c r="BX243" s="227"/>
      <c r="BY243" s="227"/>
      <c r="BZ243" s="227"/>
      <c r="CA243" s="227"/>
      <c r="CB243" s="227"/>
      <c r="CC243" s="227"/>
      <c r="CD243" s="227"/>
      <c r="CE243" s="227"/>
      <c r="CF243" s="227"/>
      <c r="CG243" s="227"/>
      <c r="CH243" s="227"/>
      <c r="CI243" s="227"/>
      <c r="CJ243" s="227"/>
      <c r="CK243" s="227"/>
      <c r="CL243" s="227"/>
      <c r="CM243" s="227"/>
      <c r="CN243" s="227"/>
      <c r="CO243" s="227"/>
      <c r="CP243" s="227"/>
      <c r="CQ243" s="227"/>
      <c r="CR243" s="227"/>
      <c r="CS243" s="227"/>
      <c r="CT243" s="227"/>
      <c r="CU243" s="225"/>
      <c r="CV243" s="227"/>
    </row>
    <row r="244" spans="1:100" ht="20.100000000000001" customHeight="1">
      <c r="A244" s="223"/>
      <c r="B244" s="225"/>
      <c r="C244" s="227"/>
      <c r="D244" s="224"/>
      <c r="E244" s="223"/>
      <c r="F244" s="223"/>
      <c r="G244" s="223"/>
      <c r="H244" s="223"/>
      <c r="I244" s="223"/>
      <c r="J244" s="223"/>
      <c r="K244" s="223"/>
      <c r="L244" s="223"/>
      <c r="M244" s="223"/>
      <c r="N244" s="223"/>
      <c r="O244" s="223"/>
      <c r="P244" s="223"/>
      <c r="Q244" s="223"/>
      <c r="R244" s="223"/>
      <c r="S244" s="223"/>
      <c r="T244" s="223"/>
      <c r="U244" s="223"/>
      <c r="V244" s="223"/>
      <c r="W244" s="223"/>
      <c r="X244" s="223"/>
      <c r="Y244" s="223"/>
      <c r="Z244" s="223"/>
      <c r="AA244" s="223"/>
      <c r="AB244" s="223"/>
      <c r="AC244" s="223"/>
      <c r="AD244" s="223"/>
      <c r="AE244" s="223"/>
      <c r="AF244" s="223"/>
      <c r="AG244" s="223"/>
      <c r="AH244" s="223"/>
      <c r="AI244" s="223"/>
      <c r="AJ244" s="223"/>
      <c r="AK244" s="223"/>
      <c r="AL244" s="223"/>
      <c r="AM244" s="223"/>
      <c r="AN244" s="223"/>
      <c r="AO244" s="223"/>
      <c r="AP244" s="223"/>
      <c r="AQ244" s="223"/>
      <c r="AR244" s="223"/>
      <c r="AS244" s="223"/>
      <c r="AT244" s="223"/>
      <c r="AU244" s="223"/>
      <c r="AV244" s="223"/>
      <c r="AW244" s="223"/>
      <c r="AX244" s="223"/>
      <c r="AY244" s="223"/>
      <c r="AZ244" s="223"/>
      <c r="BA244" s="223"/>
      <c r="BB244" s="223"/>
      <c r="BC244" s="223"/>
      <c r="BD244" s="223"/>
      <c r="BE244" s="223"/>
      <c r="BF244" s="223"/>
      <c r="BG244" s="223"/>
      <c r="BH244" s="223"/>
      <c r="BI244" s="223"/>
      <c r="BJ244" s="223"/>
      <c r="BK244" s="223"/>
      <c r="BL244" s="223"/>
      <c r="BM244" s="223"/>
      <c r="BN244" s="223"/>
      <c r="BO244" s="223"/>
      <c r="BP244" s="223"/>
      <c r="BQ244" s="227"/>
      <c r="BR244" s="227"/>
      <c r="BS244" s="227"/>
      <c r="BT244" s="227"/>
      <c r="BU244" s="227"/>
      <c r="BV244" s="227"/>
      <c r="BW244" s="227"/>
      <c r="BX244" s="227"/>
      <c r="BY244" s="227"/>
      <c r="BZ244" s="227"/>
      <c r="CA244" s="227"/>
      <c r="CB244" s="227"/>
      <c r="CC244" s="227"/>
      <c r="CD244" s="227"/>
      <c r="CE244" s="227"/>
      <c r="CF244" s="227"/>
      <c r="CG244" s="227"/>
      <c r="CH244" s="227"/>
      <c r="CI244" s="227"/>
      <c r="CJ244" s="227"/>
      <c r="CK244" s="227"/>
      <c r="CL244" s="227"/>
      <c r="CM244" s="227"/>
      <c r="CN244" s="227"/>
      <c r="CO244" s="227"/>
      <c r="CP244" s="227"/>
      <c r="CQ244" s="227"/>
      <c r="CR244" s="227"/>
      <c r="CS244" s="227"/>
      <c r="CT244" s="227"/>
      <c r="CU244" s="225"/>
      <c r="CV244" s="227"/>
    </row>
    <row r="245" spans="1:100" ht="20.100000000000001" customHeight="1">
      <c r="A245" s="227">
        <v>119</v>
      </c>
      <c r="B245" s="225"/>
      <c r="C245" s="227"/>
      <c r="D245" s="228" cm="1">
        <f t="array" ref="D245">IFERROR(
(SUMPRODUCT(E245:CU245*$E$6:$CU$6)/100) + (SUMPRODUCT(E245:CU245*$E$6:$CU$6*$E$3:$CU$3)/100),
0
)</f>
        <v>0</v>
      </c>
      <c r="E245" s="227"/>
      <c r="F245" s="227"/>
      <c r="G245" s="227"/>
      <c r="H245" s="227"/>
      <c r="I245" s="227"/>
      <c r="J245" s="227"/>
      <c r="K245" s="227"/>
      <c r="L245" s="227"/>
      <c r="M245" s="227"/>
      <c r="N245" s="227"/>
      <c r="O245" s="227"/>
      <c r="P245" s="227"/>
      <c r="Q245" s="227"/>
      <c r="R245" s="227"/>
      <c r="S245" s="227"/>
      <c r="T245" s="227"/>
      <c r="U245" s="227"/>
      <c r="V245" s="227"/>
      <c r="W245" s="227"/>
      <c r="X245" s="227"/>
      <c r="Y245" s="227"/>
      <c r="Z245" s="227"/>
      <c r="AA245" s="227"/>
      <c r="AB245" s="227"/>
      <c r="AC245" s="227"/>
      <c r="AD245" s="227"/>
      <c r="AE245" s="227"/>
      <c r="AF245" s="227"/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27"/>
      <c r="BC245" s="227"/>
      <c r="BD245" s="227"/>
      <c r="BE245" s="227"/>
      <c r="BF245" s="227"/>
      <c r="BG245" s="227"/>
      <c r="BH245" s="227"/>
      <c r="BI245" s="227"/>
      <c r="BJ245" s="227"/>
      <c r="BK245" s="227"/>
      <c r="BL245" s="227"/>
      <c r="BM245" s="227"/>
      <c r="BN245" s="227"/>
      <c r="BO245" s="227"/>
      <c r="BP245" s="227"/>
      <c r="BQ245" s="227"/>
      <c r="BR245" s="227"/>
      <c r="BS245" s="227"/>
      <c r="BT245" s="227"/>
      <c r="BU245" s="227"/>
      <c r="BV245" s="227"/>
      <c r="BW245" s="227"/>
      <c r="BX245" s="227"/>
      <c r="BY245" s="227"/>
      <c r="BZ245" s="227"/>
      <c r="CA245" s="227"/>
      <c r="CB245" s="227"/>
      <c r="CC245" s="227"/>
      <c r="CD245" s="227"/>
      <c r="CE245" s="227"/>
      <c r="CF245" s="227"/>
      <c r="CG245" s="227"/>
      <c r="CH245" s="227"/>
      <c r="CI245" s="227"/>
      <c r="CJ245" s="227"/>
      <c r="CK245" s="227"/>
      <c r="CL245" s="227"/>
      <c r="CM245" s="227"/>
      <c r="CN245" s="227"/>
      <c r="CO245" s="227"/>
      <c r="CP245" s="227"/>
      <c r="CQ245" s="227"/>
      <c r="CR245" s="227"/>
      <c r="CS245" s="227"/>
      <c r="CT245" s="227"/>
      <c r="CU245" s="225"/>
      <c r="CV245" s="227"/>
    </row>
    <row r="246" spans="1:100" ht="20.100000000000001" customHeight="1">
      <c r="A246" s="227"/>
      <c r="B246" s="225"/>
      <c r="C246" s="227"/>
      <c r="D246" s="224"/>
      <c r="E246" s="223"/>
      <c r="F246" s="223"/>
      <c r="G246" s="223"/>
      <c r="H246" s="223"/>
      <c r="I246" s="223"/>
      <c r="J246" s="223"/>
      <c r="K246" s="223"/>
      <c r="L246" s="223"/>
      <c r="M246" s="223"/>
      <c r="N246" s="223"/>
      <c r="O246" s="223"/>
      <c r="P246" s="223"/>
      <c r="Q246" s="223"/>
      <c r="R246" s="223"/>
      <c r="S246" s="223"/>
      <c r="T246" s="223"/>
      <c r="U246" s="223"/>
      <c r="V246" s="223"/>
      <c r="W246" s="223"/>
      <c r="X246" s="223"/>
      <c r="Y246" s="223"/>
      <c r="Z246" s="223"/>
      <c r="AA246" s="223"/>
      <c r="AB246" s="223"/>
      <c r="AC246" s="223"/>
      <c r="AD246" s="223"/>
      <c r="AE246" s="223"/>
      <c r="AF246" s="223"/>
      <c r="AG246" s="223"/>
      <c r="AH246" s="223"/>
      <c r="AI246" s="223"/>
      <c r="AJ246" s="223"/>
      <c r="AK246" s="223"/>
      <c r="AL246" s="223"/>
      <c r="AM246" s="223"/>
      <c r="AN246" s="223"/>
      <c r="AO246" s="223"/>
      <c r="AP246" s="223"/>
      <c r="AQ246" s="223"/>
      <c r="AR246" s="223"/>
      <c r="AS246" s="223"/>
      <c r="AT246" s="223"/>
      <c r="AU246" s="223"/>
      <c r="AV246" s="223"/>
      <c r="AW246" s="223"/>
      <c r="AX246" s="223"/>
      <c r="AY246" s="223"/>
      <c r="AZ246" s="223"/>
      <c r="BA246" s="223"/>
      <c r="BB246" s="223"/>
      <c r="BC246" s="223"/>
      <c r="BD246" s="223"/>
      <c r="BE246" s="223"/>
      <c r="BF246" s="223"/>
      <c r="BG246" s="223"/>
      <c r="BH246" s="223"/>
      <c r="BI246" s="223"/>
      <c r="BJ246" s="223"/>
      <c r="BK246" s="223"/>
      <c r="BL246" s="223"/>
      <c r="BM246" s="223"/>
      <c r="BN246" s="223"/>
      <c r="BO246" s="223"/>
      <c r="BP246" s="223"/>
      <c r="BQ246" s="227"/>
      <c r="BR246" s="227"/>
      <c r="BS246" s="227"/>
      <c r="BT246" s="227"/>
      <c r="BU246" s="227"/>
      <c r="BV246" s="227"/>
      <c r="BW246" s="227"/>
      <c r="BX246" s="227"/>
      <c r="BY246" s="227"/>
      <c r="BZ246" s="227"/>
      <c r="CA246" s="227"/>
      <c r="CB246" s="227"/>
      <c r="CC246" s="227"/>
      <c r="CD246" s="227"/>
      <c r="CE246" s="227"/>
      <c r="CF246" s="227"/>
      <c r="CG246" s="227"/>
      <c r="CH246" s="227"/>
      <c r="CI246" s="227"/>
      <c r="CJ246" s="227"/>
      <c r="CK246" s="227"/>
      <c r="CL246" s="227"/>
      <c r="CM246" s="227"/>
      <c r="CN246" s="227"/>
      <c r="CO246" s="227"/>
      <c r="CP246" s="227"/>
      <c r="CQ246" s="227"/>
      <c r="CR246" s="227"/>
      <c r="CS246" s="227"/>
      <c r="CT246" s="227"/>
      <c r="CU246" s="225"/>
      <c r="CV246" s="227"/>
    </row>
    <row r="247" spans="1:100" ht="20.100000000000001" customHeight="1">
      <c r="A247" s="227">
        <v>120</v>
      </c>
      <c r="B247" s="225"/>
      <c r="C247" s="227"/>
      <c r="D247" s="228" cm="1">
        <f t="array" ref="D247">IFERROR(
(SUMPRODUCT(E247:CU247*$E$6:$CU$6)/100) + (SUMPRODUCT(E247:CU247*$E$6:$CU$6*$E$3:$CU$3)/100),
0
)</f>
        <v>0</v>
      </c>
      <c r="E247" s="227"/>
      <c r="F247" s="227"/>
      <c r="G247" s="227"/>
      <c r="H247" s="227"/>
      <c r="I247" s="227"/>
      <c r="J247" s="227"/>
      <c r="K247" s="227"/>
      <c r="L247" s="227"/>
      <c r="M247" s="227"/>
      <c r="N247" s="227"/>
      <c r="O247" s="227"/>
      <c r="P247" s="227"/>
      <c r="Q247" s="227"/>
      <c r="R247" s="227"/>
      <c r="S247" s="227"/>
      <c r="T247" s="227"/>
      <c r="U247" s="227"/>
      <c r="V247" s="227"/>
      <c r="W247" s="227"/>
      <c r="X247" s="227"/>
      <c r="Y247" s="227"/>
      <c r="Z247" s="227"/>
      <c r="AA247" s="227"/>
      <c r="AB247" s="227"/>
      <c r="AC247" s="227"/>
      <c r="AD247" s="227"/>
      <c r="AE247" s="227"/>
      <c r="AF247" s="227"/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27"/>
      <c r="BC247" s="227"/>
      <c r="BD247" s="227"/>
      <c r="BE247" s="227"/>
      <c r="BF247" s="227"/>
      <c r="BG247" s="227"/>
      <c r="BH247" s="227"/>
      <c r="BI247" s="227"/>
      <c r="BJ247" s="227"/>
      <c r="BK247" s="227"/>
      <c r="BL247" s="227"/>
      <c r="BM247" s="227"/>
      <c r="BN247" s="227"/>
      <c r="BO247" s="227"/>
      <c r="BP247" s="227"/>
      <c r="BQ247" s="227"/>
      <c r="BR247" s="227"/>
      <c r="BS247" s="227"/>
      <c r="BT247" s="227"/>
      <c r="BU247" s="227"/>
      <c r="BV247" s="227"/>
      <c r="BW247" s="227"/>
      <c r="BX247" s="227"/>
      <c r="BY247" s="227"/>
      <c r="BZ247" s="227"/>
      <c r="CA247" s="227"/>
      <c r="CB247" s="227"/>
      <c r="CC247" s="227"/>
      <c r="CD247" s="227"/>
      <c r="CE247" s="227"/>
      <c r="CF247" s="227"/>
      <c r="CG247" s="227"/>
      <c r="CH247" s="227"/>
      <c r="CI247" s="227"/>
      <c r="CJ247" s="227"/>
      <c r="CK247" s="227"/>
      <c r="CL247" s="227"/>
      <c r="CM247" s="227"/>
      <c r="CN247" s="227"/>
      <c r="CO247" s="227"/>
      <c r="CP247" s="227"/>
      <c r="CQ247" s="227"/>
      <c r="CR247" s="227"/>
      <c r="CS247" s="227"/>
      <c r="CT247" s="227"/>
      <c r="CU247" s="225"/>
      <c r="CV247" s="227"/>
    </row>
    <row r="248" spans="1:100" ht="20.100000000000001" customHeight="1">
      <c r="A248" s="223"/>
      <c r="B248" s="225"/>
      <c r="C248" s="227"/>
      <c r="D248" s="224"/>
      <c r="E248" s="223"/>
      <c r="F248" s="223"/>
      <c r="G248" s="223"/>
      <c r="H248" s="223"/>
      <c r="I248" s="223"/>
      <c r="J248" s="223"/>
      <c r="K248" s="223"/>
      <c r="L248" s="223"/>
      <c r="M248" s="223"/>
      <c r="N248" s="223"/>
      <c r="O248" s="223"/>
      <c r="P248" s="223"/>
      <c r="Q248" s="223"/>
      <c r="R248" s="223"/>
      <c r="S248" s="223"/>
      <c r="T248" s="223"/>
      <c r="U248" s="223"/>
      <c r="V248" s="223"/>
      <c r="W248" s="223"/>
      <c r="X248" s="223"/>
      <c r="Y248" s="223"/>
      <c r="Z248" s="223"/>
      <c r="AA248" s="223"/>
      <c r="AB248" s="223"/>
      <c r="AC248" s="223"/>
      <c r="AD248" s="223"/>
      <c r="AE248" s="223"/>
      <c r="AF248" s="223"/>
      <c r="AG248" s="223"/>
      <c r="AH248" s="223"/>
      <c r="AI248" s="223"/>
      <c r="AJ248" s="223"/>
      <c r="AK248" s="223"/>
      <c r="AL248" s="223"/>
      <c r="AM248" s="223"/>
      <c r="AN248" s="223"/>
      <c r="AO248" s="223"/>
      <c r="AP248" s="223"/>
      <c r="AQ248" s="223"/>
      <c r="AR248" s="223"/>
      <c r="AS248" s="223"/>
      <c r="AT248" s="223"/>
      <c r="AU248" s="223"/>
      <c r="AV248" s="223"/>
      <c r="AW248" s="223"/>
      <c r="AX248" s="223"/>
      <c r="AY248" s="223"/>
      <c r="AZ248" s="223"/>
      <c r="BA248" s="223"/>
      <c r="BB248" s="223"/>
      <c r="BC248" s="223"/>
      <c r="BD248" s="223"/>
      <c r="BE248" s="223"/>
      <c r="BF248" s="223"/>
      <c r="BG248" s="223"/>
      <c r="BH248" s="223"/>
      <c r="BI248" s="223"/>
      <c r="BJ248" s="223"/>
      <c r="BK248" s="223"/>
      <c r="BL248" s="223"/>
      <c r="BM248" s="223"/>
      <c r="BN248" s="223"/>
      <c r="BO248" s="223"/>
      <c r="BP248" s="223"/>
      <c r="BQ248" s="227"/>
      <c r="BR248" s="227"/>
      <c r="BS248" s="227"/>
      <c r="BT248" s="227"/>
      <c r="BU248" s="227"/>
      <c r="BV248" s="227"/>
      <c r="BW248" s="227"/>
      <c r="BX248" s="227"/>
      <c r="BY248" s="227"/>
      <c r="BZ248" s="227"/>
      <c r="CA248" s="227"/>
      <c r="CB248" s="227"/>
      <c r="CC248" s="227"/>
      <c r="CD248" s="227"/>
      <c r="CE248" s="227"/>
      <c r="CF248" s="227"/>
      <c r="CG248" s="227"/>
      <c r="CH248" s="227"/>
      <c r="CI248" s="227"/>
      <c r="CJ248" s="227"/>
      <c r="CK248" s="227"/>
      <c r="CL248" s="227"/>
      <c r="CM248" s="227"/>
      <c r="CN248" s="227"/>
      <c r="CO248" s="227"/>
      <c r="CP248" s="227"/>
      <c r="CQ248" s="227"/>
      <c r="CR248" s="227"/>
      <c r="CS248" s="227"/>
      <c r="CT248" s="227"/>
      <c r="CU248" s="225"/>
      <c r="CV248" s="227"/>
    </row>
    <row r="249" spans="1:100" ht="20.100000000000001" customHeight="1">
      <c r="A249" s="227">
        <v>121</v>
      </c>
      <c r="B249" s="225"/>
      <c r="C249" s="227"/>
      <c r="D249" s="228" cm="1">
        <f t="array" ref="D249">IFERROR(
(SUMPRODUCT(E249:CU249*$E$6:$CU$6)/100) + (SUMPRODUCT(E249:CU249*$E$6:$CU$6*$E$3:$CU$3)/100),
0
)</f>
        <v>0</v>
      </c>
      <c r="E249" s="227"/>
      <c r="F249" s="227"/>
      <c r="G249" s="227"/>
      <c r="H249" s="227"/>
      <c r="I249" s="227"/>
      <c r="J249" s="227"/>
      <c r="K249" s="227"/>
      <c r="L249" s="227"/>
      <c r="M249" s="227"/>
      <c r="N249" s="227"/>
      <c r="O249" s="227"/>
      <c r="P249" s="227"/>
      <c r="Q249" s="227"/>
      <c r="R249" s="227"/>
      <c r="S249" s="227"/>
      <c r="T249" s="227"/>
      <c r="U249" s="227"/>
      <c r="V249" s="227"/>
      <c r="W249" s="227"/>
      <c r="X249" s="227"/>
      <c r="Y249" s="227"/>
      <c r="Z249" s="227"/>
      <c r="AA249" s="227"/>
      <c r="AB249" s="227"/>
      <c r="AC249" s="227"/>
      <c r="AD249" s="227"/>
      <c r="AE249" s="227"/>
      <c r="AF249" s="227"/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27"/>
      <c r="BC249" s="227"/>
      <c r="BD249" s="227"/>
      <c r="BE249" s="227"/>
      <c r="BF249" s="227"/>
      <c r="BG249" s="227"/>
      <c r="BH249" s="227"/>
      <c r="BI249" s="227"/>
      <c r="BJ249" s="227"/>
      <c r="BK249" s="227"/>
      <c r="BL249" s="227"/>
      <c r="BM249" s="227"/>
      <c r="BN249" s="227"/>
      <c r="BO249" s="227"/>
      <c r="BP249" s="227"/>
      <c r="BQ249" s="227"/>
      <c r="BR249" s="227"/>
      <c r="BS249" s="227"/>
      <c r="BT249" s="227"/>
      <c r="BU249" s="227"/>
      <c r="BV249" s="227"/>
      <c r="BW249" s="227"/>
      <c r="BX249" s="227"/>
      <c r="BY249" s="227"/>
      <c r="BZ249" s="227"/>
      <c r="CA249" s="227"/>
      <c r="CB249" s="227"/>
      <c r="CC249" s="227"/>
      <c r="CD249" s="227"/>
      <c r="CE249" s="227"/>
      <c r="CF249" s="227"/>
      <c r="CG249" s="227"/>
      <c r="CH249" s="227"/>
      <c r="CI249" s="227"/>
      <c r="CJ249" s="227"/>
      <c r="CK249" s="227"/>
      <c r="CL249" s="227"/>
      <c r="CM249" s="227"/>
      <c r="CN249" s="227"/>
      <c r="CO249" s="227"/>
      <c r="CP249" s="227"/>
      <c r="CQ249" s="227"/>
      <c r="CR249" s="227"/>
      <c r="CS249" s="227"/>
      <c r="CT249" s="227"/>
      <c r="CU249" s="225"/>
      <c r="CV249" s="227"/>
    </row>
    <row r="250" spans="1:100" ht="20.100000000000001" customHeight="1">
      <c r="A250" s="227"/>
      <c r="B250" s="225"/>
      <c r="C250" s="227"/>
      <c r="D250" s="224"/>
      <c r="E250" s="223"/>
      <c r="F250" s="223"/>
      <c r="G250" s="223"/>
      <c r="H250" s="223"/>
      <c r="I250" s="223"/>
      <c r="J250" s="223"/>
      <c r="K250" s="223"/>
      <c r="L250" s="223"/>
      <c r="M250" s="223"/>
      <c r="N250" s="223"/>
      <c r="O250" s="223"/>
      <c r="P250" s="223"/>
      <c r="Q250" s="223"/>
      <c r="R250" s="223"/>
      <c r="S250" s="223"/>
      <c r="T250" s="223"/>
      <c r="U250" s="223"/>
      <c r="V250" s="223"/>
      <c r="W250" s="223"/>
      <c r="X250" s="223"/>
      <c r="Y250" s="223"/>
      <c r="Z250" s="223"/>
      <c r="AA250" s="223"/>
      <c r="AB250" s="223"/>
      <c r="AC250" s="223"/>
      <c r="AD250" s="223"/>
      <c r="AE250" s="223"/>
      <c r="AF250" s="223"/>
      <c r="AG250" s="223"/>
      <c r="AH250" s="223"/>
      <c r="AI250" s="223"/>
      <c r="AJ250" s="223"/>
      <c r="AK250" s="223"/>
      <c r="AL250" s="223"/>
      <c r="AM250" s="223"/>
      <c r="AN250" s="223"/>
      <c r="AO250" s="223"/>
      <c r="AP250" s="223"/>
      <c r="AQ250" s="223"/>
      <c r="AR250" s="223"/>
      <c r="AS250" s="223"/>
      <c r="AT250" s="223"/>
      <c r="AU250" s="223"/>
      <c r="AV250" s="223"/>
      <c r="AW250" s="223"/>
      <c r="AX250" s="223"/>
      <c r="AY250" s="223"/>
      <c r="AZ250" s="223"/>
      <c r="BA250" s="223"/>
      <c r="BB250" s="223"/>
      <c r="BC250" s="223"/>
      <c r="BD250" s="223"/>
      <c r="BE250" s="223"/>
      <c r="BF250" s="223"/>
      <c r="BG250" s="223"/>
      <c r="BH250" s="223"/>
      <c r="BI250" s="223"/>
      <c r="BJ250" s="223"/>
      <c r="BK250" s="223"/>
      <c r="BL250" s="223"/>
      <c r="BM250" s="223"/>
      <c r="BN250" s="223"/>
      <c r="BO250" s="223"/>
      <c r="BP250" s="223"/>
      <c r="BQ250" s="227"/>
      <c r="BR250" s="227"/>
      <c r="BS250" s="227"/>
      <c r="BT250" s="227"/>
      <c r="BU250" s="227"/>
      <c r="BV250" s="227"/>
      <c r="BW250" s="227"/>
      <c r="BX250" s="227"/>
      <c r="BY250" s="227"/>
      <c r="BZ250" s="227"/>
      <c r="CA250" s="227"/>
      <c r="CB250" s="227"/>
      <c r="CC250" s="227"/>
      <c r="CD250" s="227"/>
      <c r="CE250" s="227"/>
      <c r="CF250" s="227"/>
      <c r="CG250" s="227"/>
      <c r="CH250" s="227"/>
      <c r="CI250" s="227"/>
      <c r="CJ250" s="227"/>
      <c r="CK250" s="227"/>
      <c r="CL250" s="227"/>
      <c r="CM250" s="227"/>
      <c r="CN250" s="227"/>
      <c r="CO250" s="227"/>
      <c r="CP250" s="227"/>
      <c r="CQ250" s="227"/>
      <c r="CR250" s="227"/>
      <c r="CS250" s="227"/>
      <c r="CT250" s="227"/>
      <c r="CU250" s="225"/>
      <c r="CV250" s="227"/>
    </row>
    <row r="251" spans="1:100" ht="20.100000000000001" customHeight="1">
      <c r="A251" s="227">
        <v>122</v>
      </c>
      <c r="B251" s="225"/>
      <c r="C251" s="227"/>
      <c r="D251" s="228" cm="1">
        <f t="array" ref="D251">IFERROR(
(SUMPRODUCT(E251:CU251*$E$6:$CU$6)/100) + (SUMPRODUCT(E251:CU251*$E$6:$CU$6*$E$3:$CU$3)/100),
0
)</f>
        <v>0</v>
      </c>
      <c r="E251" s="227"/>
      <c r="F251" s="227"/>
      <c r="G251" s="227"/>
      <c r="H251" s="227"/>
      <c r="I251" s="227"/>
      <c r="J251" s="227"/>
      <c r="K251" s="227"/>
      <c r="L251" s="227"/>
      <c r="M251" s="227"/>
      <c r="N251" s="227"/>
      <c r="O251" s="227"/>
      <c r="P251" s="227"/>
      <c r="Q251" s="227"/>
      <c r="R251" s="227"/>
      <c r="S251" s="227"/>
      <c r="T251" s="227"/>
      <c r="U251" s="227"/>
      <c r="V251" s="227"/>
      <c r="W251" s="227"/>
      <c r="X251" s="227"/>
      <c r="Y251" s="227"/>
      <c r="Z251" s="227"/>
      <c r="AA251" s="227"/>
      <c r="AB251" s="227"/>
      <c r="AC251" s="227"/>
      <c r="AD251" s="227"/>
      <c r="AE251" s="227"/>
      <c r="AF251" s="227"/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27"/>
      <c r="BC251" s="227"/>
      <c r="BD251" s="227"/>
      <c r="BE251" s="227"/>
      <c r="BF251" s="227"/>
      <c r="BG251" s="227"/>
      <c r="BH251" s="227"/>
      <c r="BI251" s="227"/>
      <c r="BJ251" s="227"/>
      <c r="BK251" s="227"/>
      <c r="BL251" s="227"/>
      <c r="BM251" s="227"/>
      <c r="BN251" s="227"/>
      <c r="BO251" s="227"/>
      <c r="BP251" s="227"/>
      <c r="BQ251" s="227"/>
      <c r="BR251" s="227"/>
      <c r="BS251" s="227"/>
      <c r="BT251" s="227"/>
      <c r="BU251" s="227"/>
      <c r="BV251" s="227"/>
      <c r="BW251" s="227"/>
      <c r="BX251" s="227"/>
      <c r="BY251" s="227"/>
      <c r="BZ251" s="227"/>
      <c r="CA251" s="227"/>
      <c r="CB251" s="227"/>
      <c r="CC251" s="227"/>
      <c r="CD251" s="227"/>
      <c r="CE251" s="227"/>
      <c r="CF251" s="227"/>
      <c r="CG251" s="227"/>
      <c r="CH251" s="227"/>
      <c r="CI251" s="227"/>
      <c r="CJ251" s="227"/>
      <c r="CK251" s="227"/>
      <c r="CL251" s="227"/>
      <c r="CM251" s="227"/>
      <c r="CN251" s="227"/>
      <c r="CO251" s="227"/>
      <c r="CP251" s="227"/>
      <c r="CQ251" s="227"/>
      <c r="CR251" s="227"/>
      <c r="CS251" s="227"/>
      <c r="CT251" s="227"/>
      <c r="CU251" s="225"/>
      <c r="CV251" s="227"/>
    </row>
    <row r="252" spans="1:100" ht="20.100000000000001" customHeight="1">
      <c r="A252" s="223"/>
      <c r="B252" s="225"/>
      <c r="C252" s="227"/>
      <c r="D252" s="224"/>
      <c r="E252" s="223"/>
      <c r="F252" s="223"/>
      <c r="G252" s="223"/>
      <c r="H252" s="223"/>
      <c r="I252" s="223"/>
      <c r="J252" s="223"/>
      <c r="K252" s="223"/>
      <c r="L252" s="223"/>
      <c r="M252" s="223"/>
      <c r="N252" s="223"/>
      <c r="O252" s="223"/>
      <c r="P252" s="223"/>
      <c r="Q252" s="223"/>
      <c r="R252" s="223"/>
      <c r="S252" s="223"/>
      <c r="T252" s="223"/>
      <c r="U252" s="223"/>
      <c r="V252" s="223"/>
      <c r="W252" s="223"/>
      <c r="X252" s="223"/>
      <c r="Y252" s="223"/>
      <c r="Z252" s="223"/>
      <c r="AA252" s="223"/>
      <c r="AB252" s="223"/>
      <c r="AC252" s="223"/>
      <c r="AD252" s="223"/>
      <c r="AE252" s="223"/>
      <c r="AF252" s="223"/>
      <c r="AG252" s="223"/>
      <c r="AH252" s="223"/>
      <c r="AI252" s="223"/>
      <c r="AJ252" s="223"/>
      <c r="AK252" s="223"/>
      <c r="AL252" s="223"/>
      <c r="AM252" s="223"/>
      <c r="AN252" s="223"/>
      <c r="AO252" s="223"/>
      <c r="AP252" s="223"/>
      <c r="AQ252" s="223"/>
      <c r="AR252" s="223"/>
      <c r="AS252" s="223"/>
      <c r="AT252" s="223"/>
      <c r="AU252" s="223"/>
      <c r="AV252" s="223"/>
      <c r="AW252" s="223"/>
      <c r="AX252" s="223"/>
      <c r="AY252" s="223"/>
      <c r="AZ252" s="223"/>
      <c r="BA252" s="223"/>
      <c r="BB252" s="223"/>
      <c r="BC252" s="223"/>
      <c r="BD252" s="223"/>
      <c r="BE252" s="223"/>
      <c r="BF252" s="223"/>
      <c r="BG252" s="223"/>
      <c r="BH252" s="223"/>
      <c r="BI252" s="223"/>
      <c r="BJ252" s="223"/>
      <c r="BK252" s="223"/>
      <c r="BL252" s="223"/>
      <c r="BM252" s="223"/>
      <c r="BN252" s="223"/>
      <c r="BO252" s="223"/>
      <c r="BP252" s="223"/>
      <c r="BQ252" s="227"/>
      <c r="BR252" s="227"/>
      <c r="BS252" s="227"/>
      <c r="BT252" s="227"/>
      <c r="BU252" s="227"/>
      <c r="BV252" s="227"/>
      <c r="BW252" s="227"/>
      <c r="BX252" s="227"/>
      <c r="BY252" s="227"/>
      <c r="BZ252" s="227"/>
      <c r="CA252" s="227"/>
      <c r="CB252" s="227"/>
      <c r="CC252" s="227"/>
      <c r="CD252" s="227"/>
      <c r="CE252" s="227"/>
      <c r="CF252" s="227"/>
      <c r="CG252" s="227"/>
      <c r="CH252" s="227"/>
      <c r="CI252" s="227"/>
      <c r="CJ252" s="227"/>
      <c r="CK252" s="227"/>
      <c r="CL252" s="227"/>
      <c r="CM252" s="227"/>
      <c r="CN252" s="227"/>
      <c r="CO252" s="227"/>
      <c r="CP252" s="227"/>
      <c r="CQ252" s="227"/>
      <c r="CR252" s="227"/>
      <c r="CS252" s="227"/>
      <c r="CT252" s="227"/>
      <c r="CU252" s="225"/>
      <c r="CV252" s="227"/>
    </row>
    <row r="253" spans="1:100" ht="20.100000000000001" customHeight="1">
      <c r="A253" s="227">
        <v>123</v>
      </c>
      <c r="B253" s="225"/>
      <c r="C253" s="227"/>
      <c r="D253" s="228" cm="1">
        <f t="array" ref="D253">IFERROR(
(SUMPRODUCT(E253:CU253*$E$6:$CU$6)/100) + (SUMPRODUCT(E253:CU253*$E$6:$CU$6*$E$3:$CU$3)/100),
0
)</f>
        <v>0</v>
      </c>
      <c r="E253" s="227"/>
      <c r="F253" s="227"/>
      <c r="G253" s="227"/>
      <c r="H253" s="227"/>
      <c r="I253" s="227"/>
      <c r="J253" s="227"/>
      <c r="K253" s="227"/>
      <c r="L253" s="227"/>
      <c r="M253" s="227"/>
      <c r="N253" s="227"/>
      <c r="O253" s="227"/>
      <c r="P253" s="227"/>
      <c r="Q253" s="227"/>
      <c r="R253" s="227"/>
      <c r="S253" s="227"/>
      <c r="T253" s="227"/>
      <c r="U253" s="227"/>
      <c r="V253" s="227"/>
      <c r="W253" s="227"/>
      <c r="X253" s="227"/>
      <c r="Y253" s="227"/>
      <c r="Z253" s="227"/>
      <c r="AA253" s="227"/>
      <c r="AB253" s="227"/>
      <c r="AC253" s="227"/>
      <c r="AD253" s="227"/>
      <c r="AE253" s="227"/>
      <c r="AF253" s="227"/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27"/>
      <c r="BC253" s="227"/>
      <c r="BD253" s="227"/>
      <c r="BE253" s="227"/>
      <c r="BF253" s="227"/>
      <c r="BG253" s="227"/>
      <c r="BH253" s="227"/>
      <c r="BI253" s="227"/>
      <c r="BJ253" s="227"/>
      <c r="BK253" s="227"/>
      <c r="BL253" s="227"/>
      <c r="BM253" s="227"/>
      <c r="BN253" s="227"/>
      <c r="BO253" s="227"/>
      <c r="BP253" s="227"/>
      <c r="BQ253" s="227"/>
      <c r="BR253" s="227"/>
      <c r="BS253" s="227"/>
      <c r="BT253" s="227"/>
      <c r="BU253" s="227"/>
      <c r="BV253" s="227"/>
      <c r="BW253" s="227"/>
      <c r="BX253" s="227"/>
      <c r="BY253" s="227"/>
      <c r="BZ253" s="227"/>
      <c r="CA253" s="227"/>
      <c r="CB253" s="227"/>
      <c r="CC253" s="227"/>
      <c r="CD253" s="227"/>
      <c r="CE253" s="227"/>
      <c r="CF253" s="227"/>
      <c r="CG253" s="227"/>
      <c r="CH253" s="227"/>
      <c r="CI253" s="227"/>
      <c r="CJ253" s="227"/>
      <c r="CK253" s="227"/>
      <c r="CL253" s="227"/>
      <c r="CM253" s="227"/>
      <c r="CN253" s="227"/>
      <c r="CO253" s="227"/>
      <c r="CP253" s="227"/>
      <c r="CQ253" s="227"/>
      <c r="CR253" s="227"/>
      <c r="CS253" s="227"/>
      <c r="CT253" s="227"/>
      <c r="CU253" s="225"/>
      <c r="CV253" s="227"/>
    </row>
    <row r="254" spans="1:100" ht="20.100000000000001" customHeight="1">
      <c r="A254" s="227"/>
      <c r="B254" s="225"/>
      <c r="C254" s="227"/>
      <c r="D254" s="224"/>
      <c r="E254" s="223"/>
      <c r="F254" s="223"/>
      <c r="G254" s="223"/>
      <c r="H254" s="223"/>
      <c r="I254" s="223"/>
      <c r="J254" s="223"/>
      <c r="K254" s="223"/>
      <c r="L254" s="223"/>
      <c r="M254" s="223"/>
      <c r="N254" s="223"/>
      <c r="O254" s="223"/>
      <c r="P254" s="223"/>
      <c r="Q254" s="223"/>
      <c r="R254" s="223"/>
      <c r="S254" s="223"/>
      <c r="T254" s="223"/>
      <c r="U254" s="223"/>
      <c r="V254" s="223"/>
      <c r="W254" s="223"/>
      <c r="X254" s="223"/>
      <c r="Y254" s="223"/>
      <c r="Z254" s="223"/>
      <c r="AA254" s="223"/>
      <c r="AB254" s="223"/>
      <c r="AC254" s="223"/>
      <c r="AD254" s="223"/>
      <c r="AE254" s="223"/>
      <c r="AF254" s="223"/>
      <c r="AG254" s="223"/>
      <c r="AH254" s="223"/>
      <c r="AI254" s="223"/>
      <c r="AJ254" s="223"/>
      <c r="AK254" s="223"/>
      <c r="AL254" s="223"/>
      <c r="AM254" s="223"/>
      <c r="AN254" s="223"/>
      <c r="AO254" s="223"/>
      <c r="AP254" s="223"/>
      <c r="AQ254" s="223"/>
      <c r="AR254" s="223"/>
      <c r="AS254" s="223"/>
      <c r="AT254" s="223"/>
      <c r="AU254" s="223"/>
      <c r="AV254" s="223"/>
      <c r="AW254" s="223"/>
      <c r="AX254" s="223"/>
      <c r="AY254" s="223"/>
      <c r="AZ254" s="223"/>
      <c r="BA254" s="223"/>
      <c r="BB254" s="223"/>
      <c r="BC254" s="223"/>
      <c r="BD254" s="223"/>
      <c r="BE254" s="223"/>
      <c r="BF254" s="223"/>
      <c r="BG254" s="223"/>
      <c r="BH254" s="223"/>
      <c r="BI254" s="223"/>
      <c r="BJ254" s="223"/>
      <c r="BK254" s="223"/>
      <c r="BL254" s="223"/>
      <c r="BM254" s="223"/>
      <c r="BN254" s="223"/>
      <c r="BO254" s="223"/>
      <c r="BP254" s="223"/>
      <c r="BQ254" s="227"/>
      <c r="BR254" s="227"/>
      <c r="BS254" s="227"/>
      <c r="BT254" s="227"/>
      <c r="BU254" s="227"/>
      <c r="BV254" s="227"/>
      <c r="BW254" s="227"/>
      <c r="BX254" s="227"/>
      <c r="BY254" s="227"/>
      <c r="BZ254" s="227"/>
      <c r="CA254" s="227"/>
      <c r="CB254" s="227"/>
      <c r="CC254" s="227"/>
      <c r="CD254" s="227"/>
      <c r="CE254" s="227"/>
      <c r="CF254" s="227"/>
      <c r="CG254" s="227"/>
      <c r="CH254" s="227"/>
      <c r="CI254" s="227"/>
      <c r="CJ254" s="227"/>
      <c r="CK254" s="227"/>
      <c r="CL254" s="227"/>
      <c r="CM254" s="227"/>
      <c r="CN254" s="227"/>
      <c r="CO254" s="227"/>
      <c r="CP254" s="227"/>
      <c r="CQ254" s="227"/>
      <c r="CR254" s="227"/>
      <c r="CS254" s="227"/>
      <c r="CT254" s="227"/>
      <c r="CU254" s="225"/>
      <c r="CV254" s="227"/>
    </row>
    <row r="255" spans="1:100" ht="20.100000000000001" customHeight="1">
      <c r="A255" s="227">
        <v>124</v>
      </c>
      <c r="B255" s="225"/>
      <c r="C255" s="227"/>
      <c r="D255" s="228" cm="1">
        <f t="array" ref="D255">IFERROR(
(SUMPRODUCT(E255:CU255*$E$6:$CU$6)/100) + (SUMPRODUCT(E255:CU255*$E$6:$CU$6*$E$3:$CU$3)/100),
0
)</f>
        <v>0</v>
      </c>
      <c r="E255" s="227"/>
      <c r="F255" s="227"/>
      <c r="G255" s="227"/>
      <c r="H255" s="227"/>
      <c r="I255" s="227"/>
      <c r="J255" s="227"/>
      <c r="K255" s="227"/>
      <c r="L255" s="227"/>
      <c r="M255" s="227"/>
      <c r="N255" s="227"/>
      <c r="O255" s="227"/>
      <c r="P255" s="227"/>
      <c r="Q255" s="227"/>
      <c r="R255" s="227"/>
      <c r="S255" s="227"/>
      <c r="T255" s="227"/>
      <c r="U255" s="227"/>
      <c r="V255" s="227"/>
      <c r="W255" s="227"/>
      <c r="X255" s="227"/>
      <c r="Y255" s="227"/>
      <c r="Z255" s="227"/>
      <c r="AA255" s="227"/>
      <c r="AB255" s="227"/>
      <c r="AC255" s="227"/>
      <c r="AD255" s="227"/>
      <c r="AE255" s="227"/>
      <c r="AF255" s="227"/>
      <c r="AG255" s="227"/>
      <c r="AH255" s="227"/>
      <c r="AI255" s="227"/>
      <c r="AJ255" s="227"/>
      <c r="AK255" s="227"/>
      <c r="AL255" s="227"/>
      <c r="AM255" s="227"/>
      <c r="AN255" s="227"/>
      <c r="AO255" s="227"/>
      <c r="AP255" s="227"/>
      <c r="AQ255" s="227"/>
      <c r="AR255" s="227"/>
      <c r="AS255" s="227"/>
      <c r="AT255" s="227"/>
      <c r="AU255" s="227"/>
      <c r="AV255" s="227"/>
      <c r="AW255" s="227"/>
      <c r="AX255" s="227"/>
      <c r="AY255" s="227"/>
      <c r="AZ255" s="227"/>
      <c r="BA255" s="227"/>
      <c r="BB255" s="227"/>
      <c r="BC255" s="227"/>
      <c r="BD255" s="227"/>
      <c r="BE255" s="227"/>
      <c r="BF255" s="227"/>
      <c r="BG255" s="227"/>
      <c r="BH255" s="227"/>
      <c r="BI255" s="227"/>
      <c r="BJ255" s="227"/>
      <c r="BK255" s="227"/>
      <c r="BL255" s="227"/>
      <c r="BM255" s="227"/>
      <c r="BN255" s="227"/>
      <c r="BO255" s="227"/>
      <c r="BP255" s="227"/>
      <c r="BQ255" s="227"/>
      <c r="BR255" s="227"/>
      <c r="BS255" s="227"/>
      <c r="BT255" s="227"/>
      <c r="BU255" s="227"/>
      <c r="BV255" s="227"/>
      <c r="BW255" s="227"/>
      <c r="BX255" s="227"/>
      <c r="BY255" s="227"/>
      <c r="BZ255" s="227"/>
      <c r="CA255" s="227"/>
      <c r="CB255" s="227"/>
      <c r="CC255" s="227"/>
      <c r="CD255" s="227"/>
      <c r="CE255" s="227"/>
      <c r="CF255" s="227"/>
      <c r="CG255" s="227"/>
      <c r="CH255" s="227"/>
      <c r="CI255" s="227"/>
      <c r="CJ255" s="227"/>
      <c r="CK255" s="227"/>
      <c r="CL255" s="227"/>
      <c r="CM255" s="227"/>
      <c r="CN255" s="227"/>
      <c r="CO255" s="227"/>
      <c r="CP255" s="227"/>
      <c r="CQ255" s="227"/>
      <c r="CR255" s="227"/>
      <c r="CS255" s="227"/>
      <c r="CT255" s="227"/>
      <c r="CU255" s="225"/>
      <c r="CV255" s="227"/>
    </row>
    <row r="256" spans="1:100" ht="20.100000000000001" customHeight="1">
      <c r="A256" s="223"/>
      <c r="B256" s="225"/>
      <c r="C256" s="227"/>
      <c r="D256" s="224"/>
      <c r="E256" s="223"/>
      <c r="F256" s="223"/>
      <c r="G256" s="223"/>
      <c r="H256" s="223"/>
      <c r="I256" s="223"/>
      <c r="J256" s="223"/>
      <c r="K256" s="223"/>
      <c r="L256" s="223"/>
      <c r="M256" s="223"/>
      <c r="N256" s="223"/>
      <c r="O256" s="223"/>
      <c r="P256" s="223"/>
      <c r="Q256" s="223"/>
      <c r="R256" s="223"/>
      <c r="S256" s="223"/>
      <c r="T256" s="223"/>
      <c r="U256" s="223"/>
      <c r="V256" s="223"/>
      <c r="W256" s="223"/>
      <c r="X256" s="223"/>
      <c r="Y256" s="223"/>
      <c r="Z256" s="223"/>
      <c r="AA256" s="223"/>
      <c r="AB256" s="223"/>
      <c r="AC256" s="223"/>
      <c r="AD256" s="223"/>
      <c r="AE256" s="223"/>
      <c r="AF256" s="223"/>
      <c r="AG256" s="223"/>
      <c r="AH256" s="223"/>
      <c r="AI256" s="223"/>
      <c r="AJ256" s="223"/>
      <c r="AK256" s="223"/>
      <c r="AL256" s="223"/>
      <c r="AM256" s="223"/>
      <c r="AN256" s="223"/>
      <c r="AO256" s="223"/>
      <c r="AP256" s="223"/>
      <c r="AQ256" s="223"/>
      <c r="AR256" s="223"/>
      <c r="AS256" s="223"/>
      <c r="AT256" s="223"/>
      <c r="AU256" s="223"/>
      <c r="AV256" s="223"/>
      <c r="AW256" s="223"/>
      <c r="AX256" s="223"/>
      <c r="AY256" s="223"/>
      <c r="AZ256" s="223"/>
      <c r="BA256" s="223"/>
      <c r="BB256" s="223"/>
      <c r="BC256" s="223"/>
      <c r="BD256" s="223"/>
      <c r="BE256" s="223"/>
      <c r="BF256" s="223"/>
      <c r="BG256" s="223"/>
      <c r="BH256" s="223"/>
      <c r="BI256" s="223"/>
      <c r="BJ256" s="223"/>
      <c r="BK256" s="223"/>
      <c r="BL256" s="223"/>
      <c r="BM256" s="223"/>
      <c r="BN256" s="223"/>
      <c r="BO256" s="223"/>
      <c r="BP256" s="223"/>
      <c r="BQ256" s="227"/>
      <c r="BR256" s="227"/>
      <c r="BS256" s="227"/>
      <c r="BT256" s="227"/>
      <c r="BU256" s="227"/>
      <c r="BV256" s="227"/>
      <c r="BW256" s="227"/>
      <c r="BX256" s="227"/>
      <c r="BY256" s="227"/>
      <c r="BZ256" s="227"/>
      <c r="CA256" s="227"/>
      <c r="CB256" s="227"/>
      <c r="CC256" s="227"/>
      <c r="CD256" s="227"/>
      <c r="CE256" s="227"/>
      <c r="CF256" s="227"/>
      <c r="CG256" s="227"/>
      <c r="CH256" s="227"/>
      <c r="CI256" s="227"/>
      <c r="CJ256" s="227"/>
      <c r="CK256" s="227"/>
      <c r="CL256" s="227"/>
      <c r="CM256" s="227"/>
      <c r="CN256" s="227"/>
      <c r="CO256" s="227"/>
      <c r="CP256" s="227"/>
      <c r="CQ256" s="227"/>
      <c r="CR256" s="227"/>
      <c r="CS256" s="227"/>
      <c r="CT256" s="227"/>
      <c r="CU256" s="225"/>
      <c r="CV256" s="227"/>
    </row>
    <row r="257" spans="1:100" ht="20.100000000000001" customHeight="1">
      <c r="A257" s="227">
        <v>125</v>
      </c>
      <c r="B257" s="225"/>
      <c r="C257" s="227"/>
      <c r="D257" s="228" cm="1">
        <f t="array" ref="D257">IFERROR(
(SUMPRODUCT(E257:CU257*$E$6:$CU$6)/100) + (SUMPRODUCT(E257:CU257*$E$6:$CU$6*$E$3:$CU$3)/100),
0
)</f>
        <v>0</v>
      </c>
      <c r="E257" s="227"/>
      <c r="F257" s="227"/>
      <c r="G257" s="227"/>
      <c r="H257" s="227"/>
      <c r="I257" s="227"/>
      <c r="J257" s="227"/>
      <c r="K257" s="227"/>
      <c r="L257" s="227"/>
      <c r="M257" s="227"/>
      <c r="N257" s="227"/>
      <c r="O257" s="227"/>
      <c r="P257" s="227"/>
      <c r="Q257" s="227"/>
      <c r="R257" s="227"/>
      <c r="S257" s="227"/>
      <c r="T257" s="227"/>
      <c r="U257" s="227"/>
      <c r="V257" s="227"/>
      <c r="W257" s="227"/>
      <c r="X257" s="227"/>
      <c r="Y257" s="227"/>
      <c r="Z257" s="227"/>
      <c r="AA257" s="227"/>
      <c r="AB257" s="227"/>
      <c r="AC257" s="227"/>
      <c r="AD257" s="227"/>
      <c r="AE257" s="227"/>
      <c r="AF257" s="227"/>
      <c r="AG257" s="227"/>
      <c r="AH257" s="227"/>
      <c r="AI257" s="227"/>
      <c r="AJ257" s="227"/>
      <c r="AK257" s="227"/>
      <c r="AL257" s="227"/>
      <c r="AM257" s="227"/>
      <c r="AN257" s="227"/>
      <c r="AO257" s="227"/>
      <c r="AP257" s="227"/>
      <c r="AQ257" s="227"/>
      <c r="AR257" s="227"/>
      <c r="AS257" s="227"/>
      <c r="AT257" s="227"/>
      <c r="AU257" s="227"/>
      <c r="AV257" s="227"/>
      <c r="AW257" s="227"/>
      <c r="AX257" s="227"/>
      <c r="AY257" s="227"/>
      <c r="AZ257" s="227"/>
      <c r="BA257" s="227"/>
      <c r="BB257" s="227"/>
      <c r="BC257" s="227"/>
      <c r="BD257" s="227"/>
      <c r="BE257" s="227"/>
      <c r="BF257" s="227"/>
      <c r="BG257" s="227"/>
      <c r="BH257" s="227"/>
      <c r="BI257" s="227"/>
      <c r="BJ257" s="227"/>
      <c r="BK257" s="227"/>
      <c r="BL257" s="227"/>
      <c r="BM257" s="227"/>
      <c r="BN257" s="227"/>
      <c r="BO257" s="227"/>
      <c r="BP257" s="227"/>
      <c r="BQ257" s="227"/>
      <c r="BR257" s="227"/>
      <c r="BS257" s="227"/>
      <c r="BT257" s="227"/>
      <c r="BU257" s="227"/>
      <c r="BV257" s="227"/>
      <c r="BW257" s="227"/>
      <c r="BX257" s="227"/>
      <c r="BY257" s="227"/>
      <c r="BZ257" s="227"/>
      <c r="CA257" s="227"/>
      <c r="CB257" s="227"/>
      <c r="CC257" s="227"/>
      <c r="CD257" s="227"/>
      <c r="CE257" s="227"/>
      <c r="CF257" s="227"/>
      <c r="CG257" s="227"/>
      <c r="CH257" s="227"/>
      <c r="CI257" s="227"/>
      <c r="CJ257" s="227"/>
      <c r="CK257" s="227"/>
      <c r="CL257" s="227"/>
      <c r="CM257" s="227"/>
      <c r="CN257" s="227"/>
      <c r="CO257" s="227"/>
      <c r="CP257" s="227"/>
      <c r="CQ257" s="227"/>
      <c r="CR257" s="227"/>
      <c r="CS257" s="227"/>
      <c r="CT257" s="227"/>
      <c r="CU257" s="225"/>
      <c r="CV257" s="227"/>
    </row>
    <row r="258" spans="1:100" ht="20.100000000000001" customHeight="1">
      <c r="A258" s="227"/>
      <c r="B258" s="225"/>
      <c r="C258" s="227"/>
      <c r="D258" s="224"/>
      <c r="E258" s="223"/>
      <c r="F258" s="223"/>
      <c r="G258" s="223"/>
      <c r="H258" s="223"/>
      <c r="I258" s="223"/>
      <c r="J258" s="223"/>
      <c r="K258" s="223"/>
      <c r="L258" s="223"/>
      <c r="M258" s="223"/>
      <c r="N258" s="223"/>
      <c r="O258" s="223"/>
      <c r="P258" s="223"/>
      <c r="Q258" s="223"/>
      <c r="R258" s="223"/>
      <c r="S258" s="223"/>
      <c r="T258" s="223"/>
      <c r="U258" s="223"/>
      <c r="V258" s="223"/>
      <c r="W258" s="223"/>
      <c r="X258" s="223"/>
      <c r="Y258" s="223"/>
      <c r="Z258" s="223"/>
      <c r="AA258" s="223"/>
      <c r="AB258" s="223"/>
      <c r="AC258" s="223"/>
      <c r="AD258" s="223"/>
      <c r="AE258" s="223"/>
      <c r="AF258" s="223"/>
      <c r="AG258" s="223"/>
      <c r="AH258" s="223"/>
      <c r="AI258" s="223"/>
      <c r="AJ258" s="223"/>
      <c r="AK258" s="223"/>
      <c r="AL258" s="223"/>
      <c r="AM258" s="223"/>
      <c r="AN258" s="223"/>
      <c r="AO258" s="223"/>
      <c r="AP258" s="223"/>
      <c r="AQ258" s="223"/>
      <c r="AR258" s="223"/>
      <c r="AS258" s="223"/>
      <c r="AT258" s="223"/>
      <c r="AU258" s="223"/>
      <c r="AV258" s="223"/>
      <c r="AW258" s="223"/>
      <c r="AX258" s="223"/>
      <c r="AY258" s="223"/>
      <c r="AZ258" s="223"/>
      <c r="BA258" s="223"/>
      <c r="BB258" s="223"/>
      <c r="BC258" s="223"/>
      <c r="BD258" s="223"/>
      <c r="BE258" s="223"/>
      <c r="BF258" s="223"/>
      <c r="BG258" s="223"/>
      <c r="BH258" s="223"/>
      <c r="BI258" s="223"/>
      <c r="BJ258" s="223"/>
      <c r="BK258" s="223"/>
      <c r="BL258" s="223"/>
      <c r="BM258" s="223"/>
      <c r="BN258" s="223"/>
      <c r="BO258" s="223"/>
      <c r="BP258" s="223"/>
      <c r="BQ258" s="227"/>
      <c r="BR258" s="227"/>
      <c r="BS258" s="227"/>
      <c r="BT258" s="227"/>
      <c r="BU258" s="227"/>
      <c r="BV258" s="227"/>
      <c r="BW258" s="227"/>
      <c r="BX258" s="227"/>
      <c r="BY258" s="227"/>
      <c r="BZ258" s="227"/>
      <c r="CA258" s="227"/>
      <c r="CB258" s="227"/>
      <c r="CC258" s="227"/>
      <c r="CD258" s="227"/>
      <c r="CE258" s="227"/>
      <c r="CF258" s="227"/>
      <c r="CG258" s="227"/>
      <c r="CH258" s="227"/>
      <c r="CI258" s="227"/>
      <c r="CJ258" s="227"/>
      <c r="CK258" s="227"/>
      <c r="CL258" s="227"/>
      <c r="CM258" s="227"/>
      <c r="CN258" s="227"/>
      <c r="CO258" s="227"/>
      <c r="CP258" s="227"/>
      <c r="CQ258" s="227"/>
      <c r="CR258" s="227"/>
      <c r="CS258" s="227"/>
      <c r="CT258" s="227"/>
      <c r="CU258" s="225"/>
      <c r="CV258" s="227"/>
    </row>
    <row r="259" spans="1:100" ht="20.100000000000001" customHeight="1">
      <c r="A259" s="227">
        <v>126</v>
      </c>
      <c r="B259" s="225"/>
      <c r="C259" s="227"/>
      <c r="D259" s="228" cm="1">
        <f t="array" ref="D259">IFERROR(
(SUMPRODUCT(E259:CU259*$E$6:$CU$6)/100) + (SUMPRODUCT(E259:CU259*$E$6:$CU$6*$E$3:$CU$3)/100),
0
)</f>
        <v>0</v>
      </c>
      <c r="E259" s="227"/>
      <c r="F259" s="227"/>
      <c r="G259" s="227"/>
      <c r="H259" s="227"/>
      <c r="I259" s="227"/>
      <c r="J259" s="227"/>
      <c r="K259" s="227"/>
      <c r="L259" s="227"/>
      <c r="M259" s="227"/>
      <c r="N259" s="227"/>
      <c r="O259" s="227"/>
      <c r="P259" s="227"/>
      <c r="Q259" s="227"/>
      <c r="R259" s="227"/>
      <c r="S259" s="227"/>
      <c r="T259" s="227"/>
      <c r="U259" s="227"/>
      <c r="V259" s="227"/>
      <c r="W259" s="227"/>
      <c r="X259" s="227"/>
      <c r="Y259" s="227"/>
      <c r="Z259" s="227"/>
      <c r="AA259" s="227"/>
      <c r="AB259" s="227"/>
      <c r="AC259" s="227"/>
      <c r="AD259" s="227"/>
      <c r="AE259" s="227"/>
      <c r="AF259" s="227"/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27"/>
      <c r="BC259" s="227"/>
      <c r="BD259" s="227"/>
      <c r="BE259" s="227"/>
      <c r="BF259" s="227"/>
      <c r="BG259" s="227"/>
      <c r="BH259" s="227"/>
      <c r="BI259" s="227"/>
      <c r="BJ259" s="227"/>
      <c r="BK259" s="227"/>
      <c r="BL259" s="227"/>
      <c r="BM259" s="227"/>
      <c r="BN259" s="227"/>
      <c r="BO259" s="227"/>
      <c r="BP259" s="227"/>
      <c r="BQ259" s="227"/>
      <c r="BR259" s="227"/>
      <c r="BS259" s="227"/>
      <c r="BT259" s="227"/>
      <c r="BU259" s="227"/>
      <c r="BV259" s="227"/>
      <c r="BW259" s="227"/>
      <c r="BX259" s="227"/>
      <c r="BY259" s="227"/>
      <c r="BZ259" s="227"/>
      <c r="CA259" s="227"/>
      <c r="CB259" s="227"/>
      <c r="CC259" s="227"/>
      <c r="CD259" s="227"/>
      <c r="CE259" s="227"/>
      <c r="CF259" s="227"/>
      <c r="CG259" s="227"/>
      <c r="CH259" s="227"/>
      <c r="CI259" s="227"/>
      <c r="CJ259" s="227"/>
      <c r="CK259" s="227"/>
      <c r="CL259" s="227"/>
      <c r="CM259" s="227"/>
      <c r="CN259" s="227"/>
      <c r="CO259" s="227"/>
      <c r="CP259" s="227"/>
      <c r="CQ259" s="227"/>
      <c r="CR259" s="227"/>
      <c r="CS259" s="227"/>
      <c r="CT259" s="227"/>
      <c r="CU259" s="225"/>
      <c r="CV259" s="227"/>
    </row>
    <row r="260" spans="1:100" ht="20.100000000000001" customHeight="1">
      <c r="A260" s="223"/>
      <c r="B260" s="225"/>
      <c r="C260" s="227"/>
      <c r="D260" s="224"/>
      <c r="E260" s="223"/>
      <c r="F260" s="223"/>
      <c r="G260" s="223"/>
      <c r="H260" s="223"/>
      <c r="I260" s="223"/>
      <c r="J260" s="223"/>
      <c r="K260" s="223"/>
      <c r="L260" s="223"/>
      <c r="M260" s="223"/>
      <c r="N260" s="223"/>
      <c r="O260" s="223"/>
      <c r="P260" s="223"/>
      <c r="Q260" s="223"/>
      <c r="R260" s="223"/>
      <c r="S260" s="223"/>
      <c r="T260" s="223"/>
      <c r="U260" s="223"/>
      <c r="V260" s="223"/>
      <c r="W260" s="223"/>
      <c r="X260" s="223"/>
      <c r="Y260" s="223"/>
      <c r="Z260" s="223"/>
      <c r="AA260" s="223"/>
      <c r="AB260" s="223"/>
      <c r="AC260" s="223"/>
      <c r="AD260" s="223"/>
      <c r="AE260" s="223"/>
      <c r="AF260" s="223"/>
      <c r="AG260" s="223"/>
      <c r="AH260" s="223"/>
      <c r="AI260" s="223"/>
      <c r="AJ260" s="223"/>
      <c r="AK260" s="223"/>
      <c r="AL260" s="223"/>
      <c r="AM260" s="223"/>
      <c r="AN260" s="223"/>
      <c r="AO260" s="223"/>
      <c r="AP260" s="223"/>
      <c r="AQ260" s="223"/>
      <c r="AR260" s="223"/>
      <c r="AS260" s="223"/>
      <c r="AT260" s="223"/>
      <c r="AU260" s="223"/>
      <c r="AV260" s="223"/>
      <c r="AW260" s="223"/>
      <c r="AX260" s="223"/>
      <c r="AY260" s="223"/>
      <c r="AZ260" s="223"/>
      <c r="BA260" s="223"/>
      <c r="BB260" s="223"/>
      <c r="BC260" s="223"/>
      <c r="BD260" s="223"/>
      <c r="BE260" s="223"/>
      <c r="BF260" s="223"/>
      <c r="BG260" s="223"/>
      <c r="BH260" s="223"/>
      <c r="BI260" s="223"/>
      <c r="BJ260" s="223"/>
      <c r="BK260" s="223"/>
      <c r="BL260" s="223"/>
      <c r="BM260" s="223"/>
      <c r="BN260" s="223"/>
      <c r="BO260" s="223"/>
      <c r="BP260" s="223"/>
      <c r="BQ260" s="227"/>
      <c r="BR260" s="227"/>
      <c r="BS260" s="227"/>
      <c r="BT260" s="227"/>
      <c r="BU260" s="227"/>
      <c r="BV260" s="227"/>
      <c r="BW260" s="227"/>
      <c r="BX260" s="227"/>
      <c r="BY260" s="227"/>
      <c r="BZ260" s="227"/>
      <c r="CA260" s="227"/>
      <c r="CB260" s="227"/>
      <c r="CC260" s="227"/>
      <c r="CD260" s="227"/>
      <c r="CE260" s="227"/>
      <c r="CF260" s="227"/>
      <c r="CG260" s="227"/>
      <c r="CH260" s="227"/>
      <c r="CI260" s="227"/>
      <c r="CJ260" s="227"/>
      <c r="CK260" s="227"/>
      <c r="CL260" s="227"/>
      <c r="CM260" s="227"/>
      <c r="CN260" s="227"/>
      <c r="CO260" s="227"/>
      <c r="CP260" s="227"/>
      <c r="CQ260" s="227"/>
      <c r="CR260" s="227"/>
      <c r="CS260" s="227"/>
      <c r="CT260" s="227"/>
      <c r="CU260" s="225"/>
      <c r="CV260" s="227"/>
    </row>
    <row r="261" spans="1:100" ht="20.100000000000001" customHeight="1">
      <c r="A261" s="227">
        <v>127</v>
      </c>
      <c r="B261" s="225"/>
      <c r="C261" s="227"/>
      <c r="D261" s="228" cm="1">
        <f t="array" ref="D261">IFERROR(
(SUMPRODUCT(E261:CU261*$E$6:$CU$6)/100) + (SUMPRODUCT(E261:CU261*$E$6:$CU$6*$E$3:$CU$3)/100),
0
)</f>
        <v>0</v>
      </c>
      <c r="E261" s="227"/>
      <c r="F261" s="227"/>
      <c r="G261" s="227"/>
      <c r="H261" s="227"/>
      <c r="I261" s="227"/>
      <c r="J261" s="227"/>
      <c r="K261" s="227"/>
      <c r="L261" s="227"/>
      <c r="M261" s="227"/>
      <c r="N261" s="227"/>
      <c r="O261" s="227"/>
      <c r="P261" s="227"/>
      <c r="Q261" s="227"/>
      <c r="R261" s="227"/>
      <c r="S261" s="227"/>
      <c r="T261" s="227"/>
      <c r="U261" s="227"/>
      <c r="V261" s="227"/>
      <c r="W261" s="227"/>
      <c r="X261" s="227"/>
      <c r="Y261" s="227"/>
      <c r="Z261" s="227"/>
      <c r="AA261" s="227"/>
      <c r="AB261" s="227"/>
      <c r="AC261" s="227"/>
      <c r="AD261" s="227"/>
      <c r="AE261" s="227"/>
      <c r="AF261" s="227"/>
      <c r="AG261" s="227"/>
      <c r="AH261" s="227"/>
      <c r="AI261" s="227"/>
      <c r="AJ261" s="227"/>
      <c r="AK261" s="227"/>
      <c r="AL261" s="227"/>
      <c r="AM261" s="227"/>
      <c r="AN261" s="227"/>
      <c r="AO261" s="227"/>
      <c r="AP261" s="227"/>
      <c r="AQ261" s="227"/>
      <c r="AR261" s="227"/>
      <c r="AS261" s="227"/>
      <c r="AT261" s="227"/>
      <c r="AU261" s="227"/>
      <c r="AV261" s="227"/>
      <c r="AW261" s="227"/>
      <c r="AX261" s="227"/>
      <c r="AY261" s="227"/>
      <c r="AZ261" s="227"/>
      <c r="BA261" s="227"/>
      <c r="BB261" s="227"/>
      <c r="BC261" s="227"/>
      <c r="BD261" s="227"/>
      <c r="BE261" s="227"/>
      <c r="BF261" s="227"/>
      <c r="BG261" s="227"/>
      <c r="BH261" s="227"/>
      <c r="BI261" s="227"/>
      <c r="BJ261" s="227"/>
      <c r="BK261" s="227"/>
      <c r="BL261" s="227"/>
      <c r="BM261" s="227"/>
      <c r="BN261" s="227"/>
      <c r="BO261" s="227"/>
      <c r="BP261" s="227"/>
      <c r="BQ261" s="227"/>
      <c r="BR261" s="227"/>
      <c r="BS261" s="227"/>
      <c r="BT261" s="227"/>
      <c r="BU261" s="227"/>
      <c r="BV261" s="227"/>
      <c r="BW261" s="227"/>
      <c r="BX261" s="227"/>
      <c r="BY261" s="227"/>
      <c r="BZ261" s="227"/>
      <c r="CA261" s="227"/>
      <c r="CB261" s="227"/>
      <c r="CC261" s="227"/>
      <c r="CD261" s="227"/>
      <c r="CE261" s="227"/>
      <c r="CF261" s="227"/>
      <c r="CG261" s="227"/>
      <c r="CH261" s="227"/>
      <c r="CI261" s="227"/>
      <c r="CJ261" s="227"/>
      <c r="CK261" s="227"/>
      <c r="CL261" s="227"/>
      <c r="CM261" s="227"/>
      <c r="CN261" s="227"/>
      <c r="CO261" s="227"/>
      <c r="CP261" s="227"/>
      <c r="CQ261" s="227"/>
      <c r="CR261" s="227"/>
      <c r="CS261" s="227"/>
      <c r="CT261" s="227"/>
      <c r="CU261" s="225"/>
      <c r="CV261" s="227"/>
    </row>
    <row r="262" spans="1:100" ht="20.100000000000001" customHeight="1">
      <c r="A262" s="227"/>
      <c r="B262" s="225"/>
      <c r="C262" s="227"/>
      <c r="D262" s="224"/>
      <c r="E262" s="223"/>
      <c r="F262" s="223"/>
      <c r="G262" s="223"/>
      <c r="H262" s="223"/>
      <c r="I262" s="223"/>
      <c r="J262" s="223"/>
      <c r="K262" s="223"/>
      <c r="L262" s="223"/>
      <c r="M262" s="223"/>
      <c r="N262" s="223"/>
      <c r="O262" s="223"/>
      <c r="P262" s="223"/>
      <c r="Q262" s="223"/>
      <c r="R262" s="223"/>
      <c r="S262" s="223"/>
      <c r="T262" s="223"/>
      <c r="U262" s="223"/>
      <c r="V262" s="223"/>
      <c r="W262" s="223"/>
      <c r="X262" s="223"/>
      <c r="Y262" s="223"/>
      <c r="Z262" s="223"/>
      <c r="AA262" s="223"/>
      <c r="AB262" s="223"/>
      <c r="AC262" s="223"/>
      <c r="AD262" s="223"/>
      <c r="AE262" s="223"/>
      <c r="AF262" s="223"/>
      <c r="AG262" s="223"/>
      <c r="AH262" s="223"/>
      <c r="AI262" s="223"/>
      <c r="AJ262" s="223"/>
      <c r="AK262" s="223"/>
      <c r="AL262" s="223"/>
      <c r="AM262" s="223"/>
      <c r="AN262" s="223"/>
      <c r="AO262" s="223"/>
      <c r="AP262" s="223"/>
      <c r="AQ262" s="223"/>
      <c r="AR262" s="223"/>
      <c r="AS262" s="223"/>
      <c r="AT262" s="223"/>
      <c r="AU262" s="223"/>
      <c r="AV262" s="223"/>
      <c r="AW262" s="223"/>
      <c r="AX262" s="223"/>
      <c r="AY262" s="223"/>
      <c r="AZ262" s="223"/>
      <c r="BA262" s="223"/>
      <c r="BB262" s="223"/>
      <c r="BC262" s="223"/>
      <c r="BD262" s="223"/>
      <c r="BE262" s="223"/>
      <c r="BF262" s="223"/>
      <c r="BG262" s="223"/>
      <c r="BH262" s="223"/>
      <c r="BI262" s="223"/>
      <c r="BJ262" s="223"/>
      <c r="BK262" s="223"/>
      <c r="BL262" s="223"/>
      <c r="BM262" s="223"/>
      <c r="BN262" s="223"/>
      <c r="BO262" s="223"/>
      <c r="BP262" s="223"/>
      <c r="BQ262" s="227"/>
      <c r="BR262" s="227"/>
      <c r="BS262" s="227"/>
      <c r="BT262" s="227"/>
      <c r="BU262" s="227"/>
      <c r="BV262" s="227"/>
      <c r="BW262" s="227"/>
      <c r="BX262" s="227"/>
      <c r="BY262" s="227"/>
      <c r="BZ262" s="227"/>
      <c r="CA262" s="227"/>
      <c r="CB262" s="227"/>
      <c r="CC262" s="227"/>
      <c r="CD262" s="227"/>
      <c r="CE262" s="227"/>
      <c r="CF262" s="227"/>
      <c r="CG262" s="227"/>
      <c r="CH262" s="227"/>
      <c r="CI262" s="227"/>
      <c r="CJ262" s="227"/>
      <c r="CK262" s="227"/>
      <c r="CL262" s="227"/>
      <c r="CM262" s="227"/>
      <c r="CN262" s="227"/>
      <c r="CO262" s="227"/>
      <c r="CP262" s="227"/>
      <c r="CQ262" s="227"/>
      <c r="CR262" s="227"/>
      <c r="CS262" s="227"/>
      <c r="CT262" s="227"/>
      <c r="CU262" s="225"/>
      <c r="CV262" s="227"/>
    </row>
    <row r="263" spans="1:100" ht="20.100000000000001" customHeight="1">
      <c r="A263" s="227">
        <v>128</v>
      </c>
      <c r="B263" s="225"/>
      <c r="C263" s="227"/>
      <c r="D263" s="228" cm="1">
        <f t="array" ref="D263">IFERROR(
(SUMPRODUCT(E263:CU263*$E$6:$CU$6)/100) + (SUMPRODUCT(E263:CU263*$E$6:$CU$6*$E$3:$CU$3)/100),
0
)</f>
        <v>0</v>
      </c>
      <c r="E263" s="227"/>
      <c r="F263" s="227"/>
      <c r="G263" s="227"/>
      <c r="H263" s="227"/>
      <c r="I263" s="227"/>
      <c r="J263" s="227"/>
      <c r="K263" s="227"/>
      <c r="L263" s="227"/>
      <c r="M263" s="227"/>
      <c r="N263" s="227"/>
      <c r="O263" s="227"/>
      <c r="P263" s="227"/>
      <c r="Q263" s="227"/>
      <c r="R263" s="227"/>
      <c r="S263" s="227"/>
      <c r="T263" s="227"/>
      <c r="U263" s="227"/>
      <c r="V263" s="227"/>
      <c r="W263" s="227"/>
      <c r="X263" s="227"/>
      <c r="Y263" s="227"/>
      <c r="Z263" s="227"/>
      <c r="AA263" s="227"/>
      <c r="AB263" s="227"/>
      <c r="AC263" s="227"/>
      <c r="AD263" s="227"/>
      <c r="AE263" s="227"/>
      <c r="AF263" s="227"/>
      <c r="AG263" s="227"/>
      <c r="AH263" s="227"/>
      <c r="AI263" s="227"/>
      <c r="AJ263" s="227"/>
      <c r="AK263" s="227"/>
      <c r="AL263" s="227"/>
      <c r="AM263" s="227"/>
      <c r="AN263" s="227"/>
      <c r="AO263" s="227"/>
      <c r="AP263" s="227"/>
      <c r="AQ263" s="227"/>
      <c r="AR263" s="227"/>
      <c r="AS263" s="227"/>
      <c r="AT263" s="227"/>
      <c r="AU263" s="227"/>
      <c r="AV263" s="227"/>
      <c r="AW263" s="227"/>
      <c r="AX263" s="227"/>
      <c r="AY263" s="227"/>
      <c r="AZ263" s="227"/>
      <c r="BA263" s="227"/>
      <c r="BB263" s="227"/>
      <c r="BC263" s="227"/>
      <c r="BD263" s="227"/>
      <c r="BE263" s="227"/>
      <c r="BF263" s="227"/>
      <c r="BG263" s="227"/>
      <c r="BH263" s="227"/>
      <c r="BI263" s="227"/>
      <c r="BJ263" s="227"/>
      <c r="BK263" s="227"/>
      <c r="BL263" s="227"/>
      <c r="BM263" s="227"/>
      <c r="BN263" s="227"/>
      <c r="BO263" s="227"/>
      <c r="BP263" s="227"/>
      <c r="BQ263" s="227"/>
      <c r="BR263" s="227"/>
      <c r="BS263" s="227"/>
      <c r="BT263" s="227"/>
      <c r="BU263" s="227"/>
      <c r="BV263" s="227"/>
      <c r="BW263" s="227"/>
      <c r="BX263" s="227"/>
      <c r="BY263" s="227"/>
      <c r="BZ263" s="227"/>
      <c r="CA263" s="227"/>
      <c r="CB263" s="227"/>
      <c r="CC263" s="227"/>
      <c r="CD263" s="227"/>
      <c r="CE263" s="227"/>
      <c r="CF263" s="227"/>
      <c r="CG263" s="227"/>
      <c r="CH263" s="227"/>
      <c r="CI263" s="227"/>
      <c r="CJ263" s="227"/>
      <c r="CK263" s="227"/>
      <c r="CL263" s="227"/>
      <c r="CM263" s="227"/>
      <c r="CN263" s="227"/>
      <c r="CO263" s="227"/>
      <c r="CP263" s="227"/>
      <c r="CQ263" s="227"/>
      <c r="CR263" s="227"/>
      <c r="CS263" s="227"/>
      <c r="CT263" s="227"/>
      <c r="CU263" s="225"/>
      <c r="CV263" s="227"/>
    </row>
    <row r="264" spans="1:100" ht="20.100000000000001" customHeight="1">
      <c r="A264" s="223"/>
      <c r="B264" s="225"/>
      <c r="C264" s="227"/>
      <c r="D264" s="224"/>
      <c r="E264" s="223"/>
      <c r="F264" s="223"/>
      <c r="G264" s="223"/>
      <c r="H264" s="223"/>
      <c r="I264" s="223"/>
      <c r="J264" s="223"/>
      <c r="K264" s="223"/>
      <c r="L264" s="223"/>
      <c r="M264" s="223"/>
      <c r="N264" s="223"/>
      <c r="O264" s="223"/>
      <c r="P264" s="223"/>
      <c r="Q264" s="223"/>
      <c r="R264" s="223"/>
      <c r="S264" s="223"/>
      <c r="T264" s="223"/>
      <c r="U264" s="223"/>
      <c r="V264" s="223"/>
      <c r="W264" s="223"/>
      <c r="X264" s="223"/>
      <c r="Y264" s="223"/>
      <c r="Z264" s="223"/>
      <c r="AA264" s="223"/>
      <c r="AB264" s="223"/>
      <c r="AC264" s="223"/>
      <c r="AD264" s="223"/>
      <c r="AE264" s="223"/>
      <c r="AF264" s="223"/>
      <c r="AG264" s="223"/>
      <c r="AH264" s="223"/>
      <c r="AI264" s="223"/>
      <c r="AJ264" s="223"/>
      <c r="AK264" s="223"/>
      <c r="AL264" s="223"/>
      <c r="AM264" s="223"/>
      <c r="AN264" s="223"/>
      <c r="AO264" s="223"/>
      <c r="AP264" s="223"/>
      <c r="AQ264" s="223"/>
      <c r="AR264" s="223"/>
      <c r="AS264" s="223"/>
      <c r="AT264" s="223"/>
      <c r="AU264" s="223"/>
      <c r="AV264" s="223"/>
      <c r="AW264" s="223"/>
      <c r="AX264" s="223"/>
      <c r="AY264" s="223"/>
      <c r="AZ264" s="223"/>
      <c r="BA264" s="223"/>
      <c r="BB264" s="223"/>
      <c r="BC264" s="223"/>
      <c r="BD264" s="223"/>
      <c r="BE264" s="223"/>
      <c r="BF264" s="223"/>
      <c r="BG264" s="223"/>
      <c r="BH264" s="223"/>
      <c r="BI264" s="223"/>
      <c r="BJ264" s="223"/>
      <c r="BK264" s="223"/>
      <c r="BL264" s="223"/>
      <c r="BM264" s="223"/>
      <c r="BN264" s="223"/>
      <c r="BO264" s="223"/>
      <c r="BP264" s="223"/>
      <c r="BQ264" s="227"/>
      <c r="BR264" s="227"/>
      <c r="BS264" s="227"/>
      <c r="BT264" s="227"/>
      <c r="BU264" s="227"/>
      <c r="BV264" s="227"/>
      <c r="BW264" s="227"/>
      <c r="BX264" s="227"/>
      <c r="BY264" s="227"/>
      <c r="BZ264" s="227"/>
      <c r="CA264" s="227"/>
      <c r="CB264" s="227"/>
      <c r="CC264" s="227"/>
      <c r="CD264" s="227"/>
      <c r="CE264" s="227"/>
      <c r="CF264" s="227"/>
      <c r="CG264" s="227"/>
      <c r="CH264" s="227"/>
      <c r="CI264" s="227"/>
      <c r="CJ264" s="227"/>
      <c r="CK264" s="227"/>
      <c r="CL264" s="227"/>
      <c r="CM264" s="227"/>
      <c r="CN264" s="227"/>
      <c r="CO264" s="227"/>
      <c r="CP264" s="227"/>
      <c r="CQ264" s="227"/>
      <c r="CR264" s="227"/>
      <c r="CS264" s="227"/>
      <c r="CT264" s="227"/>
      <c r="CU264" s="225"/>
      <c r="CV264" s="227"/>
    </row>
    <row r="265" spans="1:100" ht="20.100000000000001" customHeight="1">
      <c r="A265" s="227">
        <v>129</v>
      </c>
      <c r="B265" s="225"/>
      <c r="C265" s="227"/>
      <c r="D265" s="228" cm="1">
        <f t="array" ref="D265">IFERROR(
(SUMPRODUCT(E265:CU265*$E$6:$CU$6)/100) + (SUMPRODUCT(E265:CU265*$E$6:$CU$6*$E$3:$CU$3)/100),
0
)</f>
        <v>0</v>
      </c>
      <c r="E265" s="227"/>
      <c r="F265" s="227"/>
      <c r="G265" s="227"/>
      <c r="H265" s="227"/>
      <c r="I265" s="227"/>
      <c r="J265" s="227"/>
      <c r="K265" s="227"/>
      <c r="L265" s="227"/>
      <c r="M265" s="227"/>
      <c r="N265" s="227"/>
      <c r="O265" s="227"/>
      <c r="P265" s="227"/>
      <c r="Q265" s="227"/>
      <c r="R265" s="227"/>
      <c r="S265" s="227"/>
      <c r="T265" s="227"/>
      <c r="U265" s="227"/>
      <c r="V265" s="227"/>
      <c r="W265" s="227"/>
      <c r="X265" s="227"/>
      <c r="Y265" s="227"/>
      <c r="Z265" s="227"/>
      <c r="AA265" s="227"/>
      <c r="AB265" s="227"/>
      <c r="AC265" s="227"/>
      <c r="AD265" s="227"/>
      <c r="AE265" s="227"/>
      <c r="AF265" s="227"/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27"/>
      <c r="BC265" s="227"/>
      <c r="BD265" s="227"/>
      <c r="BE265" s="227"/>
      <c r="BF265" s="227"/>
      <c r="BG265" s="227"/>
      <c r="BH265" s="227"/>
      <c r="BI265" s="227"/>
      <c r="BJ265" s="227"/>
      <c r="BK265" s="227"/>
      <c r="BL265" s="227"/>
      <c r="BM265" s="227"/>
      <c r="BN265" s="227"/>
      <c r="BO265" s="227"/>
      <c r="BP265" s="227"/>
      <c r="BQ265" s="227"/>
      <c r="BR265" s="227"/>
      <c r="BS265" s="227"/>
      <c r="BT265" s="227"/>
      <c r="BU265" s="227"/>
      <c r="BV265" s="227"/>
      <c r="BW265" s="227"/>
      <c r="BX265" s="227"/>
      <c r="BY265" s="227"/>
      <c r="BZ265" s="227"/>
      <c r="CA265" s="227"/>
      <c r="CB265" s="227"/>
      <c r="CC265" s="227"/>
      <c r="CD265" s="227"/>
      <c r="CE265" s="227"/>
      <c r="CF265" s="227"/>
      <c r="CG265" s="227"/>
      <c r="CH265" s="227"/>
      <c r="CI265" s="227"/>
      <c r="CJ265" s="227"/>
      <c r="CK265" s="227"/>
      <c r="CL265" s="227"/>
      <c r="CM265" s="227"/>
      <c r="CN265" s="227"/>
      <c r="CO265" s="227"/>
      <c r="CP265" s="227"/>
      <c r="CQ265" s="227"/>
      <c r="CR265" s="227"/>
      <c r="CS265" s="227"/>
      <c r="CT265" s="227"/>
      <c r="CU265" s="225"/>
      <c r="CV265" s="227"/>
    </row>
    <row r="266" spans="1:100" ht="20.100000000000001" customHeight="1">
      <c r="A266" s="227"/>
      <c r="B266" s="225"/>
      <c r="C266" s="227"/>
      <c r="D266" s="224"/>
      <c r="E266" s="223"/>
      <c r="F266" s="223"/>
      <c r="G266" s="223"/>
      <c r="H266" s="223"/>
      <c r="I266" s="223"/>
      <c r="J266" s="223"/>
      <c r="K266" s="223"/>
      <c r="L266" s="223"/>
      <c r="M266" s="223"/>
      <c r="N266" s="223"/>
      <c r="O266" s="223"/>
      <c r="P266" s="223"/>
      <c r="Q266" s="223"/>
      <c r="R266" s="223"/>
      <c r="S266" s="223"/>
      <c r="T266" s="223"/>
      <c r="U266" s="223"/>
      <c r="V266" s="223"/>
      <c r="W266" s="223"/>
      <c r="X266" s="223"/>
      <c r="Y266" s="223"/>
      <c r="Z266" s="223"/>
      <c r="AA266" s="223"/>
      <c r="AB266" s="223"/>
      <c r="AC266" s="223"/>
      <c r="AD266" s="223"/>
      <c r="AE266" s="223"/>
      <c r="AF266" s="223"/>
      <c r="AG266" s="223"/>
      <c r="AH266" s="223"/>
      <c r="AI266" s="223"/>
      <c r="AJ266" s="223"/>
      <c r="AK266" s="223"/>
      <c r="AL266" s="223"/>
      <c r="AM266" s="223"/>
      <c r="AN266" s="223"/>
      <c r="AO266" s="223"/>
      <c r="AP266" s="223"/>
      <c r="AQ266" s="223"/>
      <c r="AR266" s="223"/>
      <c r="AS266" s="223"/>
      <c r="AT266" s="223"/>
      <c r="AU266" s="223"/>
      <c r="AV266" s="223"/>
      <c r="AW266" s="223"/>
      <c r="AX266" s="223"/>
      <c r="AY266" s="223"/>
      <c r="AZ266" s="223"/>
      <c r="BA266" s="223"/>
      <c r="BB266" s="223"/>
      <c r="BC266" s="223"/>
      <c r="BD266" s="223"/>
      <c r="BE266" s="223"/>
      <c r="BF266" s="223"/>
      <c r="BG266" s="223"/>
      <c r="BH266" s="223"/>
      <c r="BI266" s="223"/>
      <c r="BJ266" s="223"/>
      <c r="BK266" s="223"/>
      <c r="BL266" s="223"/>
      <c r="BM266" s="223"/>
      <c r="BN266" s="223"/>
      <c r="BO266" s="223"/>
      <c r="BP266" s="223"/>
      <c r="BQ266" s="227"/>
      <c r="BR266" s="227"/>
      <c r="BS266" s="227"/>
      <c r="BT266" s="227"/>
      <c r="BU266" s="227"/>
      <c r="BV266" s="227"/>
      <c r="BW266" s="227"/>
      <c r="BX266" s="227"/>
      <c r="BY266" s="227"/>
      <c r="BZ266" s="227"/>
      <c r="CA266" s="227"/>
      <c r="CB266" s="227"/>
      <c r="CC266" s="227"/>
      <c r="CD266" s="227"/>
      <c r="CE266" s="227"/>
      <c r="CF266" s="227"/>
      <c r="CG266" s="227"/>
      <c r="CH266" s="227"/>
      <c r="CI266" s="227"/>
      <c r="CJ266" s="227"/>
      <c r="CK266" s="227"/>
      <c r="CL266" s="227"/>
      <c r="CM266" s="227"/>
      <c r="CN266" s="227"/>
      <c r="CO266" s="227"/>
      <c r="CP266" s="227"/>
      <c r="CQ266" s="227"/>
      <c r="CR266" s="227"/>
      <c r="CS266" s="227"/>
      <c r="CT266" s="227"/>
      <c r="CU266" s="225"/>
      <c r="CV266" s="227"/>
    </row>
    <row r="267" spans="1:100" ht="20.100000000000001" customHeight="1">
      <c r="A267" s="227">
        <v>130</v>
      </c>
      <c r="B267" s="225"/>
      <c r="C267" s="227"/>
      <c r="D267" s="228" cm="1">
        <f t="array" ref="D267">IFERROR(
(SUMPRODUCT(E267:CU267*$E$6:$CU$6)/100) + (SUMPRODUCT(E267:CU267*$E$6:$CU$6*$E$3:$CU$3)/100),
0
)</f>
        <v>0</v>
      </c>
      <c r="E267" s="227"/>
      <c r="F267" s="227"/>
      <c r="G267" s="227"/>
      <c r="H267" s="227"/>
      <c r="I267" s="227"/>
      <c r="J267" s="227"/>
      <c r="K267" s="227"/>
      <c r="L267" s="227"/>
      <c r="M267" s="227"/>
      <c r="N267" s="227"/>
      <c r="O267" s="227"/>
      <c r="P267" s="227"/>
      <c r="Q267" s="227"/>
      <c r="R267" s="227"/>
      <c r="S267" s="227"/>
      <c r="T267" s="227"/>
      <c r="U267" s="227"/>
      <c r="V267" s="227"/>
      <c r="W267" s="227"/>
      <c r="X267" s="227"/>
      <c r="Y267" s="227"/>
      <c r="Z267" s="227"/>
      <c r="AA267" s="227"/>
      <c r="AB267" s="227"/>
      <c r="AC267" s="227"/>
      <c r="AD267" s="227"/>
      <c r="AE267" s="227"/>
      <c r="AF267" s="227"/>
      <c r="AG267" s="227"/>
      <c r="AH267" s="227"/>
      <c r="AI267" s="227"/>
      <c r="AJ267" s="227"/>
      <c r="AK267" s="227"/>
      <c r="AL267" s="227"/>
      <c r="AM267" s="227"/>
      <c r="AN267" s="227"/>
      <c r="AO267" s="227"/>
      <c r="AP267" s="227"/>
      <c r="AQ267" s="227"/>
      <c r="AR267" s="227"/>
      <c r="AS267" s="227"/>
      <c r="AT267" s="227"/>
      <c r="AU267" s="227"/>
      <c r="AV267" s="227"/>
      <c r="AW267" s="227"/>
      <c r="AX267" s="227"/>
      <c r="AY267" s="227"/>
      <c r="AZ267" s="227"/>
      <c r="BA267" s="227"/>
      <c r="BB267" s="227"/>
      <c r="BC267" s="227"/>
      <c r="BD267" s="227"/>
      <c r="BE267" s="227"/>
      <c r="BF267" s="227"/>
      <c r="BG267" s="227"/>
      <c r="BH267" s="227"/>
      <c r="BI267" s="227"/>
      <c r="BJ267" s="227"/>
      <c r="BK267" s="227"/>
      <c r="BL267" s="227"/>
      <c r="BM267" s="227"/>
      <c r="BN267" s="227"/>
      <c r="BO267" s="227"/>
      <c r="BP267" s="227"/>
      <c r="BQ267" s="227"/>
      <c r="BR267" s="227"/>
      <c r="BS267" s="227"/>
      <c r="BT267" s="227"/>
      <c r="BU267" s="227"/>
      <c r="BV267" s="227"/>
      <c r="BW267" s="227"/>
      <c r="BX267" s="227"/>
      <c r="BY267" s="227"/>
      <c r="BZ267" s="227"/>
      <c r="CA267" s="227"/>
      <c r="CB267" s="227"/>
      <c r="CC267" s="227"/>
      <c r="CD267" s="227"/>
      <c r="CE267" s="227"/>
      <c r="CF267" s="227"/>
      <c r="CG267" s="227"/>
      <c r="CH267" s="227"/>
      <c r="CI267" s="227"/>
      <c r="CJ267" s="227"/>
      <c r="CK267" s="227"/>
      <c r="CL267" s="227"/>
      <c r="CM267" s="227"/>
      <c r="CN267" s="227"/>
      <c r="CO267" s="227"/>
      <c r="CP267" s="227"/>
      <c r="CQ267" s="227"/>
      <c r="CR267" s="227"/>
      <c r="CS267" s="227"/>
      <c r="CT267" s="227"/>
      <c r="CU267" s="225"/>
      <c r="CV267" s="227"/>
    </row>
    <row r="268" spans="1:100" ht="20.100000000000001" customHeight="1">
      <c r="A268" s="223"/>
      <c r="B268" s="225"/>
      <c r="C268" s="227"/>
      <c r="D268" s="224"/>
      <c r="E268" s="223"/>
      <c r="F268" s="223"/>
      <c r="G268" s="223"/>
      <c r="H268" s="223"/>
      <c r="I268" s="223"/>
      <c r="J268" s="223"/>
      <c r="K268" s="223"/>
      <c r="L268" s="223"/>
      <c r="M268" s="223"/>
      <c r="N268" s="223"/>
      <c r="O268" s="223"/>
      <c r="P268" s="223"/>
      <c r="Q268" s="223"/>
      <c r="R268" s="223"/>
      <c r="S268" s="223"/>
      <c r="T268" s="223"/>
      <c r="U268" s="223"/>
      <c r="V268" s="223"/>
      <c r="W268" s="223"/>
      <c r="X268" s="223"/>
      <c r="Y268" s="223"/>
      <c r="Z268" s="223"/>
      <c r="AA268" s="223"/>
      <c r="AB268" s="223"/>
      <c r="AC268" s="223"/>
      <c r="AD268" s="223"/>
      <c r="AE268" s="223"/>
      <c r="AF268" s="223"/>
      <c r="AG268" s="223"/>
      <c r="AH268" s="223"/>
      <c r="AI268" s="223"/>
      <c r="AJ268" s="223"/>
      <c r="AK268" s="223"/>
      <c r="AL268" s="223"/>
      <c r="AM268" s="223"/>
      <c r="AN268" s="223"/>
      <c r="AO268" s="223"/>
      <c r="AP268" s="223"/>
      <c r="AQ268" s="223"/>
      <c r="AR268" s="223"/>
      <c r="AS268" s="223"/>
      <c r="AT268" s="223"/>
      <c r="AU268" s="223"/>
      <c r="AV268" s="223"/>
      <c r="AW268" s="223"/>
      <c r="AX268" s="223"/>
      <c r="AY268" s="223"/>
      <c r="AZ268" s="223"/>
      <c r="BA268" s="223"/>
      <c r="BB268" s="223"/>
      <c r="BC268" s="223"/>
      <c r="BD268" s="223"/>
      <c r="BE268" s="223"/>
      <c r="BF268" s="223"/>
      <c r="BG268" s="223"/>
      <c r="BH268" s="223"/>
      <c r="BI268" s="223"/>
      <c r="BJ268" s="223"/>
      <c r="BK268" s="223"/>
      <c r="BL268" s="223"/>
      <c r="BM268" s="223"/>
      <c r="BN268" s="223"/>
      <c r="BO268" s="223"/>
      <c r="BP268" s="223"/>
      <c r="BQ268" s="227"/>
      <c r="BR268" s="227"/>
      <c r="BS268" s="227"/>
      <c r="BT268" s="227"/>
      <c r="BU268" s="227"/>
      <c r="BV268" s="227"/>
      <c r="BW268" s="227"/>
      <c r="BX268" s="227"/>
      <c r="BY268" s="227"/>
      <c r="BZ268" s="227"/>
      <c r="CA268" s="227"/>
      <c r="CB268" s="227"/>
      <c r="CC268" s="227"/>
      <c r="CD268" s="227"/>
      <c r="CE268" s="227"/>
      <c r="CF268" s="227"/>
      <c r="CG268" s="227"/>
      <c r="CH268" s="227"/>
      <c r="CI268" s="227"/>
      <c r="CJ268" s="227"/>
      <c r="CK268" s="227"/>
      <c r="CL268" s="227"/>
      <c r="CM268" s="227"/>
      <c r="CN268" s="227"/>
      <c r="CO268" s="227"/>
      <c r="CP268" s="227"/>
      <c r="CQ268" s="227"/>
      <c r="CR268" s="227"/>
      <c r="CS268" s="227"/>
      <c r="CT268" s="227"/>
      <c r="CU268" s="225"/>
      <c r="CV268" s="227"/>
    </row>
    <row r="269" spans="1:100" ht="20.100000000000001" customHeight="1">
      <c r="A269" s="227">
        <v>131</v>
      </c>
      <c r="B269" s="225"/>
      <c r="C269" s="227"/>
      <c r="D269" s="228" cm="1">
        <f t="array" ref="D269">IFERROR(
(SUMPRODUCT(E269:CU269*$E$6:$CU$6)/100) + (SUMPRODUCT(E269:CU269*$E$6:$CU$6*$E$3:$CU$3)/100),
0
)</f>
        <v>0</v>
      </c>
      <c r="E269" s="227"/>
      <c r="F269" s="227"/>
      <c r="G269" s="227"/>
      <c r="H269" s="227"/>
      <c r="I269" s="227"/>
      <c r="J269" s="227"/>
      <c r="K269" s="227"/>
      <c r="L269" s="227"/>
      <c r="M269" s="227"/>
      <c r="N269" s="227"/>
      <c r="O269" s="227"/>
      <c r="P269" s="227"/>
      <c r="Q269" s="227"/>
      <c r="R269" s="227"/>
      <c r="S269" s="227"/>
      <c r="T269" s="227"/>
      <c r="U269" s="227"/>
      <c r="V269" s="227"/>
      <c r="W269" s="227"/>
      <c r="X269" s="227"/>
      <c r="Y269" s="227"/>
      <c r="Z269" s="227"/>
      <c r="AA269" s="227"/>
      <c r="AB269" s="227"/>
      <c r="AC269" s="227"/>
      <c r="AD269" s="227"/>
      <c r="AE269" s="227"/>
      <c r="AF269" s="227"/>
      <c r="AG269" s="227"/>
      <c r="AH269" s="227"/>
      <c r="AI269" s="227"/>
      <c r="AJ269" s="227"/>
      <c r="AK269" s="227"/>
      <c r="AL269" s="227"/>
      <c r="AM269" s="227"/>
      <c r="AN269" s="227"/>
      <c r="AO269" s="227"/>
      <c r="AP269" s="227"/>
      <c r="AQ269" s="227"/>
      <c r="AR269" s="227"/>
      <c r="AS269" s="227"/>
      <c r="AT269" s="227"/>
      <c r="AU269" s="227"/>
      <c r="AV269" s="227"/>
      <c r="AW269" s="227"/>
      <c r="AX269" s="227"/>
      <c r="AY269" s="227"/>
      <c r="AZ269" s="227"/>
      <c r="BA269" s="227"/>
      <c r="BB269" s="227"/>
      <c r="BC269" s="227"/>
      <c r="BD269" s="227"/>
      <c r="BE269" s="227"/>
      <c r="BF269" s="227"/>
      <c r="BG269" s="227"/>
      <c r="BH269" s="227"/>
      <c r="BI269" s="227"/>
      <c r="BJ269" s="227"/>
      <c r="BK269" s="227"/>
      <c r="BL269" s="227"/>
      <c r="BM269" s="227"/>
      <c r="BN269" s="227"/>
      <c r="BO269" s="227"/>
      <c r="BP269" s="227"/>
      <c r="BQ269" s="227"/>
      <c r="BR269" s="227"/>
      <c r="BS269" s="227"/>
      <c r="BT269" s="227"/>
      <c r="BU269" s="227"/>
      <c r="BV269" s="227"/>
      <c r="BW269" s="227"/>
      <c r="BX269" s="227"/>
      <c r="BY269" s="227"/>
      <c r="BZ269" s="227"/>
      <c r="CA269" s="227"/>
      <c r="CB269" s="227"/>
      <c r="CC269" s="227"/>
      <c r="CD269" s="227"/>
      <c r="CE269" s="227"/>
      <c r="CF269" s="227"/>
      <c r="CG269" s="227"/>
      <c r="CH269" s="227"/>
      <c r="CI269" s="227"/>
      <c r="CJ269" s="227"/>
      <c r="CK269" s="227"/>
      <c r="CL269" s="227"/>
      <c r="CM269" s="227"/>
      <c r="CN269" s="227"/>
      <c r="CO269" s="227"/>
      <c r="CP269" s="227"/>
      <c r="CQ269" s="227"/>
      <c r="CR269" s="227"/>
      <c r="CS269" s="227"/>
      <c r="CT269" s="227"/>
      <c r="CU269" s="225"/>
      <c r="CV269" s="227"/>
    </row>
    <row r="270" spans="1:100" ht="20.100000000000001" customHeight="1">
      <c r="A270" s="227"/>
      <c r="B270" s="225"/>
      <c r="C270" s="227"/>
      <c r="D270" s="224"/>
      <c r="E270" s="223"/>
      <c r="F270" s="223"/>
      <c r="G270" s="223"/>
      <c r="H270" s="223"/>
      <c r="I270" s="223"/>
      <c r="J270" s="223"/>
      <c r="K270" s="223"/>
      <c r="L270" s="223"/>
      <c r="M270" s="223"/>
      <c r="N270" s="223"/>
      <c r="O270" s="223"/>
      <c r="P270" s="223"/>
      <c r="Q270" s="223"/>
      <c r="R270" s="223"/>
      <c r="S270" s="223"/>
      <c r="T270" s="223"/>
      <c r="U270" s="223"/>
      <c r="V270" s="223"/>
      <c r="W270" s="223"/>
      <c r="X270" s="223"/>
      <c r="Y270" s="223"/>
      <c r="Z270" s="223"/>
      <c r="AA270" s="223"/>
      <c r="AB270" s="223"/>
      <c r="AC270" s="223"/>
      <c r="AD270" s="223"/>
      <c r="AE270" s="223"/>
      <c r="AF270" s="223"/>
      <c r="AG270" s="223"/>
      <c r="AH270" s="223"/>
      <c r="AI270" s="223"/>
      <c r="AJ270" s="223"/>
      <c r="AK270" s="223"/>
      <c r="AL270" s="223"/>
      <c r="AM270" s="223"/>
      <c r="AN270" s="223"/>
      <c r="AO270" s="223"/>
      <c r="AP270" s="223"/>
      <c r="AQ270" s="223"/>
      <c r="AR270" s="223"/>
      <c r="AS270" s="223"/>
      <c r="AT270" s="223"/>
      <c r="AU270" s="223"/>
      <c r="AV270" s="223"/>
      <c r="AW270" s="223"/>
      <c r="AX270" s="223"/>
      <c r="AY270" s="223"/>
      <c r="AZ270" s="223"/>
      <c r="BA270" s="223"/>
      <c r="BB270" s="223"/>
      <c r="BC270" s="223"/>
      <c r="BD270" s="223"/>
      <c r="BE270" s="223"/>
      <c r="BF270" s="223"/>
      <c r="BG270" s="223"/>
      <c r="BH270" s="223"/>
      <c r="BI270" s="223"/>
      <c r="BJ270" s="223"/>
      <c r="BK270" s="223"/>
      <c r="BL270" s="223"/>
      <c r="BM270" s="223"/>
      <c r="BN270" s="223"/>
      <c r="BO270" s="223"/>
      <c r="BP270" s="223"/>
      <c r="BQ270" s="227"/>
      <c r="BR270" s="227"/>
      <c r="BS270" s="227"/>
      <c r="BT270" s="227"/>
      <c r="BU270" s="227"/>
      <c r="BV270" s="227"/>
      <c r="BW270" s="227"/>
      <c r="BX270" s="227"/>
      <c r="BY270" s="227"/>
      <c r="BZ270" s="227"/>
      <c r="CA270" s="227"/>
      <c r="CB270" s="227"/>
      <c r="CC270" s="227"/>
      <c r="CD270" s="227"/>
      <c r="CE270" s="227"/>
      <c r="CF270" s="227"/>
      <c r="CG270" s="227"/>
      <c r="CH270" s="227"/>
      <c r="CI270" s="227"/>
      <c r="CJ270" s="227"/>
      <c r="CK270" s="227"/>
      <c r="CL270" s="227"/>
      <c r="CM270" s="227"/>
      <c r="CN270" s="227"/>
      <c r="CO270" s="227"/>
      <c r="CP270" s="227"/>
      <c r="CQ270" s="227"/>
      <c r="CR270" s="227"/>
      <c r="CS270" s="227"/>
      <c r="CT270" s="227"/>
      <c r="CU270" s="225"/>
      <c r="CV270" s="227"/>
    </row>
    <row r="271" spans="1:100" ht="20.100000000000001" customHeight="1">
      <c r="A271" s="227">
        <v>132</v>
      </c>
      <c r="B271" s="225"/>
      <c r="C271" s="227"/>
      <c r="D271" s="228" cm="1">
        <f t="array" ref="D271">IFERROR(
(SUMPRODUCT(E271:CU271*$E$6:$CU$6)/100) + (SUMPRODUCT(E271:CU271*$E$6:$CU$6*$E$3:$CU$3)/100),
0
)</f>
        <v>0</v>
      </c>
      <c r="E271" s="227"/>
      <c r="F271" s="227"/>
      <c r="G271" s="227"/>
      <c r="H271" s="227"/>
      <c r="I271" s="227"/>
      <c r="J271" s="227"/>
      <c r="K271" s="227"/>
      <c r="L271" s="227"/>
      <c r="M271" s="227"/>
      <c r="N271" s="227"/>
      <c r="O271" s="227"/>
      <c r="P271" s="227"/>
      <c r="Q271" s="227"/>
      <c r="R271" s="227"/>
      <c r="S271" s="227"/>
      <c r="T271" s="227"/>
      <c r="U271" s="227"/>
      <c r="V271" s="227"/>
      <c r="W271" s="227"/>
      <c r="X271" s="227"/>
      <c r="Y271" s="227"/>
      <c r="Z271" s="227"/>
      <c r="AA271" s="227"/>
      <c r="AB271" s="227"/>
      <c r="AC271" s="227"/>
      <c r="AD271" s="227"/>
      <c r="AE271" s="227"/>
      <c r="AF271" s="227"/>
      <c r="AG271" s="227"/>
      <c r="AH271" s="227"/>
      <c r="AI271" s="227"/>
      <c r="AJ271" s="227"/>
      <c r="AK271" s="227"/>
      <c r="AL271" s="227"/>
      <c r="AM271" s="227"/>
      <c r="AN271" s="227"/>
      <c r="AO271" s="227"/>
      <c r="AP271" s="227"/>
      <c r="AQ271" s="227"/>
      <c r="AR271" s="227"/>
      <c r="AS271" s="227"/>
      <c r="AT271" s="227"/>
      <c r="AU271" s="227"/>
      <c r="AV271" s="227"/>
      <c r="AW271" s="227"/>
      <c r="AX271" s="227"/>
      <c r="AY271" s="227"/>
      <c r="AZ271" s="227"/>
      <c r="BA271" s="227"/>
      <c r="BB271" s="227"/>
      <c r="BC271" s="227"/>
      <c r="BD271" s="227"/>
      <c r="BE271" s="227"/>
      <c r="BF271" s="227"/>
      <c r="BG271" s="227"/>
      <c r="BH271" s="227"/>
      <c r="BI271" s="227"/>
      <c r="BJ271" s="227"/>
      <c r="BK271" s="227"/>
      <c r="BL271" s="227"/>
      <c r="BM271" s="227"/>
      <c r="BN271" s="227"/>
      <c r="BO271" s="227"/>
      <c r="BP271" s="227"/>
      <c r="BQ271" s="227"/>
      <c r="BR271" s="227"/>
      <c r="BS271" s="227"/>
      <c r="BT271" s="227"/>
      <c r="BU271" s="227"/>
      <c r="BV271" s="227"/>
      <c r="BW271" s="227"/>
      <c r="BX271" s="227"/>
      <c r="BY271" s="227"/>
      <c r="BZ271" s="227"/>
      <c r="CA271" s="227"/>
      <c r="CB271" s="227"/>
      <c r="CC271" s="227"/>
      <c r="CD271" s="227"/>
      <c r="CE271" s="227"/>
      <c r="CF271" s="227"/>
      <c r="CG271" s="227"/>
      <c r="CH271" s="227"/>
      <c r="CI271" s="227"/>
      <c r="CJ271" s="227"/>
      <c r="CK271" s="227"/>
      <c r="CL271" s="227"/>
      <c r="CM271" s="227"/>
      <c r="CN271" s="227"/>
      <c r="CO271" s="227"/>
      <c r="CP271" s="227"/>
      <c r="CQ271" s="227"/>
      <c r="CR271" s="227"/>
      <c r="CS271" s="227"/>
      <c r="CT271" s="227"/>
      <c r="CU271" s="225"/>
      <c r="CV271" s="227"/>
    </row>
    <row r="272" spans="1:100" ht="20.100000000000001" customHeight="1">
      <c r="A272" s="223"/>
      <c r="B272" s="225"/>
      <c r="C272" s="227"/>
      <c r="D272" s="224"/>
      <c r="E272" s="223"/>
      <c r="F272" s="223"/>
      <c r="G272" s="223"/>
      <c r="H272" s="223"/>
      <c r="I272" s="223"/>
      <c r="J272" s="223"/>
      <c r="K272" s="223"/>
      <c r="L272" s="223"/>
      <c r="M272" s="223"/>
      <c r="N272" s="223"/>
      <c r="O272" s="223"/>
      <c r="P272" s="223"/>
      <c r="Q272" s="223"/>
      <c r="R272" s="223"/>
      <c r="S272" s="223"/>
      <c r="T272" s="223"/>
      <c r="U272" s="223"/>
      <c r="V272" s="223"/>
      <c r="W272" s="223"/>
      <c r="X272" s="223"/>
      <c r="Y272" s="223"/>
      <c r="Z272" s="223"/>
      <c r="AA272" s="223"/>
      <c r="AB272" s="223"/>
      <c r="AC272" s="223"/>
      <c r="AD272" s="223"/>
      <c r="AE272" s="223"/>
      <c r="AF272" s="223"/>
      <c r="AG272" s="223"/>
      <c r="AH272" s="223"/>
      <c r="AI272" s="223"/>
      <c r="AJ272" s="223"/>
      <c r="AK272" s="223"/>
      <c r="AL272" s="223"/>
      <c r="AM272" s="223"/>
      <c r="AN272" s="223"/>
      <c r="AO272" s="223"/>
      <c r="AP272" s="223"/>
      <c r="AQ272" s="223"/>
      <c r="AR272" s="223"/>
      <c r="AS272" s="223"/>
      <c r="AT272" s="223"/>
      <c r="AU272" s="223"/>
      <c r="AV272" s="223"/>
      <c r="AW272" s="223"/>
      <c r="AX272" s="223"/>
      <c r="AY272" s="223"/>
      <c r="AZ272" s="223"/>
      <c r="BA272" s="223"/>
      <c r="BB272" s="223"/>
      <c r="BC272" s="223"/>
      <c r="BD272" s="223"/>
      <c r="BE272" s="223"/>
      <c r="BF272" s="223"/>
      <c r="BG272" s="223"/>
      <c r="BH272" s="223"/>
      <c r="BI272" s="223"/>
      <c r="BJ272" s="223"/>
      <c r="BK272" s="223"/>
      <c r="BL272" s="223"/>
      <c r="BM272" s="223"/>
      <c r="BN272" s="223"/>
      <c r="BO272" s="223"/>
      <c r="BP272" s="223"/>
      <c r="BQ272" s="227"/>
      <c r="BR272" s="227"/>
      <c r="BS272" s="227"/>
      <c r="BT272" s="227"/>
      <c r="BU272" s="227"/>
      <c r="BV272" s="227"/>
      <c r="BW272" s="227"/>
      <c r="BX272" s="227"/>
      <c r="BY272" s="227"/>
      <c r="BZ272" s="227"/>
      <c r="CA272" s="227"/>
      <c r="CB272" s="227"/>
      <c r="CC272" s="227"/>
      <c r="CD272" s="227"/>
      <c r="CE272" s="227"/>
      <c r="CF272" s="227"/>
      <c r="CG272" s="227"/>
      <c r="CH272" s="227"/>
      <c r="CI272" s="227"/>
      <c r="CJ272" s="227"/>
      <c r="CK272" s="227"/>
      <c r="CL272" s="227"/>
      <c r="CM272" s="227"/>
      <c r="CN272" s="227"/>
      <c r="CO272" s="227"/>
      <c r="CP272" s="227"/>
      <c r="CQ272" s="227"/>
      <c r="CR272" s="227"/>
      <c r="CS272" s="227"/>
      <c r="CT272" s="227"/>
      <c r="CU272" s="225"/>
      <c r="CV272" s="227"/>
    </row>
    <row r="273" spans="1:100" ht="20.100000000000001" customHeight="1">
      <c r="A273" s="227">
        <v>133</v>
      </c>
      <c r="B273" s="225"/>
      <c r="C273" s="227"/>
      <c r="D273" s="228" cm="1">
        <f t="array" ref="D273">IFERROR(
(SUMPRODUCT(E273:CU273*$E$6:$CU$6)/100) + (SUMPRODUCT(E273:CU273*$E$6:$CU$6*$E$3:$CU$3)/100),
0
)</f>
        <v>0</v>
      </c>
      <c r="E273" s="227"/>
      <c r="F273" s="227"/>
      <c r="G273" s="227"/>
      <c r="H273" s="227"/>
      <c r="I273" s="227"/>
      <c r="J273" s="227"/>
      <c r="K273" s="227"/>
      <c r="L273" s="227"/>
      <c r="M273" s="227"/>
      <c r="N273" s="227"/>
      <c r="O273" s="227"/>
      <c r="P273" s="227"/>
      <c r="Q273" s="227"/>
      <c r="R273" s="227"/>
      <c r="S273" s="227"/>
      <c r="T273" s="227"/>
      <c r="U273" s="227"/>
      <c r="V273" s="227"/>
      <c r="W273" s="227"/>
      <c r="X273" s="227"/>
      <c r="Y273" s="227"/>
      <c r="Z273" s="227"/>
      <c r="AA273" s="227"/>
      <c r="AB273" s="227"/>
      <c r="AC273" s="227"/>
      <c r="AD273" s="227"/>
      <c r="AE273" s="227"/>
      <c r="AF273" s="227"/>
      <c r="AG273" s="227"/>
      <c r="AH273" s="227"/>
      <c r="AI273" s="227"/>
      <c r="AJ273" s="227"/>
      <c r="AK273" s="227"/>
      <c r="AL273" s="227"/>
      <c r="AM273" s="227"/>
      <c r="AN273" s="227"/>
      <c r="AO273" s="227"/>
      <c r="AP273" s="227"/>
      <c r="AQ273" s="227"/>
      <c r="AR273" s="227"/>
      <c r="AS273" s="227"/>
      <c r="AT273" s="227"/>
      <c r="AU273" s="227"/>
      <c r="AV273" s="227"/>
      <c r="AW273" s="227"/>
      <c r="AX273" s="227"/>
      <c r="AY273" s="227"/>
      <c r="AZ273" s="227"/>
      <c r="BA273" s="227"/>
      <c r="BB273" s="227"/>
      <c r="BC273" s="227"/>
      <c r="BD273" s="227"/>
      <c r="BE273" s="227"/>
      <c r="BF273" s="227"/>
      <c r="BG273" s="227"/>
      <c r="BH273" s="227"/>
      <c r="BI273" s="227"/>
      <c r="BJ273" s="227"/>
      <c r="BK273" s="227"/>
      <c r="BL273" s="227"/>
      <c r="BM273" s="227"/>
      <c r="BN273" s="227"/>
      <c r="BO273" s="227"/>
      <c r="BP273" s="227"/>
      <c r="BQ273" s="227"/>
      <c r="BR273" s="227"/>
      <c r="BS273" s="227"/>
      <c r="BT273" s="227"/>
      <c r="BU273" s="227"/>
      <c r="BV273" s="227"/>
      <c r="BW273" s="227"/>
      <c r="BX273" s="227"/>
      <c r="BY273" s="227"/>
      <c r="BZ273" s="227"/>
      <c r="CA273" s="227"/>
      <c r="CB273" s="227"/>
      <c r="CC273" s="227"/>
      <c r="CD273" s="227"/>
      <c r="CE273" s="227"/>
      <c r="CF273" s="227"/>
      <c r="CG273" s="227"/>
      <c r="CH273" s="227"/>
      <c r="CI273" s="227"/>
      <c r="CJ273" s="227"/>
      <c r="CK273" s="227"/>
      <c r="CL273" s="227"/>
      <c r="CM273" s="227"/>
      <c r="CN273" s="227"/>
      <c r="CO273" s="227"/>
      <c r="CP273" s="227"/>
      <c r="CQ273" s="227"/>
      <c r="CR273" s="227"/>
      <c r="CS273" s="227"/>
      <c r="CT273" s="227"/>
      <c r="CU273" s="225"/>
      <c r="CV273" s="227"/>
    </row>
    <row r="274" spans="1:100" ht="20.100000000000001" customHeight="1">
      <c r="A274" s="227"/>
      <c r="B274" s="225"/>
      <c r="C274" s="227"/>
      <c r="D274" s="224"/>
      <c r="E274" s="223"/>
      <c r="F274" s="223"/>
      <c r="G274" s="223"/>
      <c r="H274" s="223"/>
      <c r="I274" s="223"/>
      <c r="J274" s="223"/>
      <c r="K274" s="223"/>
      <c r="L274" s="223"/>
      <c r="M274" s="223"/>
      <c r="N274" s="223"/>
      <c r="O274" s="223"/>
      <c r="P274" s="223"/>
      <c r="Q274" s="223"/>
      <c r="R274" s="223"/>
      <c r="S274" s="223"/>
      <c r="T274" s="223"/>
      <c r="U274" s="223"/>
      <c r="V274" s="223"/>
      <c r="W274" s="223"/>
      <c r="X274" s="223"/>
      <c r="Y274" s="223"/>
      <c r="Z274" s="223"/>
      <c r="AA274" s="223"/>
      <c r="AB274" s="223"/>
      <c r="AC274" s="223"/>
      <c r="AD274" s="223"/>
      <c r="AE274" s="223"/>
      <c r="AF274" s="223"/>
      <c r="AG274" s="223"/>
      <c r="AH274" s="223"/>
      <c r="AI274" s="223"/>
      <c r="AJ274" s="223"/>
      <c r="AK274" s="223"/>
      <c r="AL274" s="223"/>
      <c r="AM274" s="223"/>
      <c r="AN274" s="223"/>
      <c r="AO274" s="223"/>
      <c r="AP274" s="223"/>
      <c r="AQ274" s="223"/>
      <c r="AR274" s="223"/>
      <c r="AS274" s="223"/>
      <c r="AT274" s="223"/>
      <c r="AU274" s="223"/>
      <c r="AV274" s="223"/>
      <c r="AW274" s="223"/>
      <c r="AX274" s="223"/>
      <c r="AY274" s="223"/>
      <c r="AZ274" s="223"/>
      <c r="BA274" s="223"/>
      <c r="BB274" s="223"/>
      <c r="BC274" s="223"/>
      <c r="BD274" s="223"/>
      <c r="BE274" s="223"/>
      <c r="BF274" s="223"/>
      <c r="BG274" s="223"/>
      <c r="BH274" s="223"/>
      <c r="BI274" s="223"/>
      <c r="BJ274" s="223"/>
      <c r="BK274" s="223"/>
      <c r="BL274" s="223"/>
      <c r="BM274" s="223"/>
      <c r="BN274" s="223"/>
      <c r="BO274" s="223"/>
      <c r="BP274" s="223"/>
      <c r="BQ274" s="227"/>
      <c r="BR274" s="227"/>
      <c r="BS274" s="227"/>
      <c r="BT274" s="227"/>
      <c r="BU274" s="227"/>
      <c r="BV274" s="227"/>
      <c r="BW274" s="227"/>
      <c r="BX274" s="227"/>
      <c r="BY274" s="227"/>
      <c r="BZ274" s="227"/>
      <c r="CA274" s="227"/>
      <c r="CB274" s="227"/>
      <c r="CC274" s="227"/>
      <c r="CD274" s="227"/>
      <c r="CE274" s="227"/>
      <c r="CF274" s="227"/>
      <c r="CG274" s="227"/>
      <c r="CH274" s="227"/>
      <c r="CI274" s="227"/>
      <c r="CJ274" s="227"/>
      <c r="CK274" s="227"/>
      <c r="CL274" s="227"/>
      <c r="CM274" s="227"/>
      <c r="CN274" s="227"/>
      <c r="CO274" s="227"/>
      <c r="CP274" s="227"/>
      <c r="CQ274" s="227"/>
      <c r="CR274" s="227"/>
      <c r="CS274" s="227"/>
      <c r="CT274" s="227"/>
      <c r="CU274" s="225"/>
      <c r="CV274" s="227"/>
    </row>
    <row r="275" spans="1:100" ht="20.100000000000001" customHeight="1">
      <c r="A275" s="227">
        <v>134</v>
      </c>
      <c r="B275" s="225"/>
      <c r="C275" s="227"/>
      <c r="D275" s="228" cm="1">
        <f t="array" ref="D275">IFERROR(
(SUMPRODUCT(E275:CU275*$E$6:$CU$6)/100) + (SUMPRODUCT(E275:CU275*$E$6:$CU$6*$E$3:$CU$3)/100),
0
)</f>
        <v>0</v>
      </c>
      <c r="E275" s="227"/>
      <c r="F275" s="227"/>
      <c r="G275" s="227"/>
      <c r="H275" s="227"/>
      <c r="I275" s="227"/>
      <c r="J275" s="227"/>
      <c r="K275" s="227"/>
      <c r="L275" s="227"/>
      <c r="M275" s="227"/>
      <c r="N275" s="227"/>
      <c r="O275" s="227"/>
      <c r="P275" s="227"/>
      <c r="Q275" s="227"/>
      <c r="R275" s="227"/>
      <c r="S275" s="227"/>
      <c r="T275" s="227"/>
      <c r="U275" s="227"/>
      <c r="V275" s="227"/>
      <c r="W275" s="227"/>
      <c r="X275" s="227"/>
      <c r="Y275" s="227"/>
      <c r="Z275" s="227"/>
      <c r="AA275" s="227"/>
      <c r="AB275" s="227"/>
      <c r="AC275" s="227"/>
      <c r="AD275" s="227"/>
      <c r="AE275" s="227"/>
      <c r="AF275" s="227"/>
      <c r="AG275" s="227"/>
      <c r="AH275" s="227"/>
      <c r="AI275" s="227"/>
      <c r="AJ275" s="227"/>
      <c r="AK275" s="227"/>
      <c r="AL275" s="227"/>
      <c r="AM275" s="227"/>
      <c r="AN275" s="227"/>
      <c r="AO275" s="227"/>
      <c r="AP275" s="227"/>
      <c r="AQ275" s="227"/>
      <c r="AR275" s="227"/>
      <c r="AS275" s="227"/>
      <c r="AT275" s="227"/>
      <c r="AU275" s="227"/>
      <c r="AV275" s="227"/>
      <c r="AW275" s="227"/>
      <c r="AX275" s="227"/>
      <c r="AY275" s="227"/>
      <c r="AZ275" s="227"/>
      <c r="BA275" s="227"/>
      <c r="BB275" s="227"/>
      <c r="BC275" s="227"/>
      <c r="BD275" s="227"/>
      <c r="BE275" s="227"/>
      <c r="BF275" s="227"/>
      <c r="BG275" s="227"/>
      <c r="BH275" s="227"/>
      <c r="BI275" s="227"/>
      <c r="BJ275" s="227"/>
      <c r="BK275" s="227"/>
      <c r="BL275" s="227"/>
      <c r="BM275" s="227"/>
      <c r="BN275" s="227"/>
      <c r="BO275" s="227"/>
      <c r="BP275" s="227"/>
      <c r="BQ275" s="227"/>
      <c r="BR275" s="227"/>
      <c r="BS275" s="227"/>
      <c r="BT275" s="227"/>
      <c r="BU275" s="227"/>
      <c r="BV275" s="227"/>
      <c r="BW275" s="227"/>
      <c r="BX275" s="227"/>
      <c r="BY275" s="227"/>
      <c r="BZ275" s="227"/>
      <c r="CA275" s="227"/>
      <c r="CB275" s="227"/>
      <c r="CC275" s="227"/>
      <c r="CD275" s="227"/>
      <c r="CE275" s="227"/>
      <c r="CF275" s="227"/>
      <c r="CG275" s="227"/>
      <c r="CH275" s="227"/>
      <c r="CI275" s="227"/>
      <c r="CJ275" s="227"/>
      <c r="CK275" s="227"/>
      <c r="CL275" s="227"/>
      <c r="CM275" s="227"/>
      <c r="CN275" s="227"/>
      <c r="CO275" s="227"/>
      <c r="CP275" s="227"/>
      <c r="CQ275" s="227"/>
      <c r="CR275" s="227"/>
      <c r="CS275" s="227"/>
      <c r="CT275" s="227"/>
      <c r="CU275" s="225"/>
      <c r="CV275" s="227"/>
    </row>
    <row r="276" spans="1:100" ht="20.100000000000001" customHeight="1">
      <c r="A276" s="223"/>
      <c r="B276" s="225"/>
      <c r="C276" s="227"/>
      <c r="D276" s="224"/>
      <c r="E276" s="223"/>
      <c r="F276" s="223"/>
      <c r="G276" s="223"/>
      <c r="H276" s="223"/>
      <c r="I276" s="223"/>
      <c r="J276" s="223"/>
      <c r="K276" s="223"/>
      <c r="L276" s="223"/>
      <c r="M276" s="223"/>
      <c r="N276" s="223"/>
      <c r="O276" s="223"/>
      <c r="P276" s="223"/>
      <c r="Q276" s="223"/>
      <c r="R276" s="223"/>
      <c r="S276" s="223"/>
      <c r="T276" s="223"/>
      <c r="U276" s="223"/>
      <c r="V276" s="223"/>
      <c r="W276" s="223"/>
      <c r="X276" s="223"/>
      <c r="Y276" s="223"/>
      <c r="Z276" s="223"/>
      <c r="AA276" s="223"/>
      <c r="AB276" s="223"/>
      <c r="AC276" s="223"/>
      <c r="AD276" s="223"/>
      <c r="AE276" s="223"/>
      <c r="AF276" s="223"/>
      <c r="AG276" s="223"/>
      <c r="AH276" s="223"/>
      <c r="AI276" s="223"/>
      <c r="AJ276" s="223"/>
      <c r="AK276" s="223"/>
      <c r="AL276" s="223"/>
      <c r="AM276" s="223"/>
      <c r="AN276" s="223"/>
      <c r="AO276" s="223"/>
      <c r="AP276" s="223"/>
      <c r="AQ276" s="223"/>
      <c r="AR276" s="223"/>
      <c r="AS276" s="223"/>
      <c r="AT276" s="223"/>
      <c r="AU276" s="223"/>
      <c r="AV276" s="223"/>
      <c r="AW276" s="223"/>
      <c r="AX276" s="223"/>
      <c r="AY276" s="223"/>
      <c r="AZ276" s="223"/>
      <c r="BA276" s="223"/>
      <c r="BB276" s="223"/>
      <c r="BC276" s="223"/>
      <c r="BD276" s="223"/>
      <c r="BE276" s="223"/>
      <c r="BF276" s="223"/>
      <c r="BG276" s="223"/>
      <c r="BH276" s="223"/>
      <c r="BI276" s="223"/>
      <c r="BJ276" s="223"/>
      <c r="BK276" s="223"/>
      <c r="BL276" s="223"/>
      <c r="BM276" s="223"/>
      <c r="BN276" s="223"/>
      <c r="BO276" s="223"/>
      <c r="BP276" s="223"/>
      <c r="BQ276" s="227"/>
      <c r="BR276" s="227"/>
      <c r="BS276" s="227"/>
      <c r="BT276" s="227"/>
      <c r="BU276" s="227"/>
      <c r="BV276" s="227"/>
      <c r="BW276" s="227"/>
      <c r="BX276" s="227"/>
      <c r="BY276" s="227"/>
      <c r="BZ276" s="227"/>
      <c r="CA276" s="227"/>
      <c r="CB276" s="227"/>
      <c r="CC276" s="227"/>
      <c r="CD276" s="227"/>
      <c r="CE276" s="227"/>
      <c r="CF276" s="227"/>
      <c r="CG276" s="227"/>
      <c r="CH276" s="227"/>
      <c r="CI276" s="227"/>
      <c r="CJ276" s="227"/>
      <c r="CK276" s="227"/>
      <c r="CL276" s="227"/>
      <c r="CM276" s="227"/>
      <c r="CN276" s="227"/>
      <c r="CO276" s="227"/>
      <c r="CP276" s="227"/>
      <c r="CQ276" s="227"/>
      <c r="CR276" s="227"/>
      <c r="CS276" s="227"/>
      <c r="CT276" s="227"/>
      <c r="CU276" s="225"/>
      <c r="CV276" s="227"/>
    </row>
    <row r="277" spans="1:100" ht="20.100000000000001" customHeight="1">
      <c r="A277" s="227">
        <v>135</v>
      </c>
      <c r="B277" s="225"/>
      <c r="C277" s="227"/>
      <c r="D277" s="228" cm="1">
        <f t="array" ref="D277">IFERROR(
(SUMPRODUCT(E277:CU277*$E$6:$CU$6)/100) + (SUMPRODUCT(E277:CU277*$E$6:$CU$6*$E$3:$CU$3)/100),
0
)</f>
        <v>0</v>
      </c>
      <c r="E277" s="227"/>
      <c r="F277" s="227"/>
      <c r="G277" s="227"/>
      <c r="H277" s="227"/>
      <c r="I277" s="227"/>
      <c r="J277" s="227"/>
      <c r="K277" s="227"/>
      <c r="L277" s="227"/>
      <c r="M277" s="227"/>
      <c r="N277" s="227"/>
      <c r="O277" s="227"/>
      <c r="P277" s="227"/>
      <c r="Q277" s="227"/>
      <c r="R277" s="227"/>
      <c r="S277" s="227"/>
      <c r="T277" s="227"/>
      <c r="U277" s="227"/>
      <c r="V277" s="227"/>
      <c r="W277" s="227"/>
      <c r="X277" s="227"/>
      <c r="Y277" s="227"/>
      <c r="Z277" s="227"/>
      <c r="AA277" s="227"/>
      <c r="AB277" s="227"/>
      <c r="AC277" s="227"/>
      <c r="AD277" s="227"/>
      <c r="AE277" s="227"/>
      <c r="AF277" s="227"/>
      <c r="AG277" s="227"/>
      <c r="AH277" s="227"/>
      <c r="AI277" s="227"/>
      <c r="AJ277" s="227"/>
      <c r="AK277" s="227"/>
      <c r="AL277" s="227"/>
      <c r="AM277" s="227"/>
      <c r="AN277" s="227"/>
      <c r="AO277" s="227"/>
      <c r="AP277" s="227"/>
      <c r="AQ277" s="227"/>
      <c r="AR277" s="227"/>
      <c r="AS277" s="227"/>
      <c r="AT277" s="227"/>
      <c r="AU277" s="227"/>
      <c r="AV277" s="227"/>
      <c r="AW277" s="227"/>
      <c r="AX277" s="227"/>
      <c r="AY277" s="227"/>
      <c r="AZ277" s="227"/>
      <c r="BA277" s="227"/>
      <c r="BB277" s="227"/>
      <c r="BC277" s="227"/>
      <c r="BD277" s="227"/>
      <c r="BE277" s="227"/>
      <c r="BF277" s="227"/>
      <c r="BG277" s="227"/>
      <c r="BH277" s="227"/>
      <c r="BI277" s="227"/>
      <c r="BJ277" s="227"/>
      <c r="BK277" s="227"/>
      <c r="BL277" s="227"/>
      <c r="BM277" s="227"/>
      <c r="BN277" s="227"/>
      <c r="BO277" s="227"/>
      <c r="BP277" s="227"/>
      <c r="BQ277" s="227"/>
      <c r="BR277" s="227"/>
      <c r="BS277" s="227"/>
      <c r="BT277" s="227"/>
      <c r="BU277" s="227"/>
      <c r="BV277" s="227"/>
      <c r="BW277" s="227"/>
      <c r="BX277" s="227"/>
      <c r="BY277" s="227"/>
      <c r="BZ277" s="227"/>
      <c r="CA277" s="227"/>
      <c r="CB277" s="227"/>
      <c r="CC277" s="227"/>
      <c r="CD277" s="227"/>
      <c r="CE277" s="227"/>
      <c r="CF277" s="227"/>
      <c r="CG277" s="227"/>
      <c r="CH277" s="227"/>
      <c r="CI277" s="227"/>
      <c r="CJ277" s="227"/>
      <c r="CK277" s="227"/>
      <c r="CL277" s="227"/>
      <c r="CM277" s="227"/>
      <c r="CN277" s="227"/>
      <c r="CO277" s="227"/>
      <c r="CP277" s="227"/>
      <c r="CQ277" s="227"/>
      <c r="CR277" s="227"/>
      <c r="CS277" s="227"/>
      <c r="CT277" s="227"/>
      <c r="CU277" s="225"/>
      <c r="CV277" s="227"/>
    </row>
    <row r="278" spans="1:100" ht="20.100000000000001" customHeight="1">
      <c r="A278" s="227"/>
      <c r="B278" s="225"/>
      <c r="C278" s="227"/>
      <c r="D278" s="224"/>
      <c r="E278" s="223"/>
      <c r="F278" s="223"/>
      <c r="G278" s="223"/>
      <c r="H278" s="223"/>
      <c r="I278" s="223"/>
      <c r="J278" s="223"/>
      <c r="K278" s="223"/>
      <c r="L278" s="223"/>
      <c r="M278" s="223"/>
      <c r="N278" s="223"/>
      <c r="O278" s="223"/>
      <c r="P278" s="223"/>
      <c r="Q278" s="223"/>
      <c r="R278" s="223"/>
      <c r="S278" s="223"/>
      <c r="T278" s="223"/>
      <c r="U278" s="223"/>
      <c r="V278" s="223"/>
      <c r="W278" s="223"/>
      <c r="X278" s="223"/>
      <c r="Y278" s="223"/>
      <c r="Z278" s="223"/>
      <c r="AA278" s="223"/>
      <c r="AB278" s="223"/>
      <c r="AC278" s="223"/>
      <c r="AD278" s="223"/>
      <c r="AE278" s="223"/>
      <c r="AF278" s="223"/>
      <c r="AG278" s="223"/>
      <c r="AH278" s="223"/>
      <c r="AI278" s="223"/>
      <c r="AJ278" s="223"/>
      <c r="AK278" s="223"/>
      <c r="AL278" s="223"/>
      <c r="AM278" s="223"/>
      <c r="AN278" s="223"/>
      <c r="AO278" s="223"/>
      <c r="AP278" s="223"/>
      <c r="AQ278" s="223"/>
      <c r="AR278" s="223"/>
      <c r="AS278" s="223"/>
      <c r="AT278" s="223"/>
      <c r="AU278" s="223"/>
      <c r="AV278" s="223"/>
      <c r="AW278" s="223"/>
      <c r="AX278" s="223"/>
      <c r="AY278" s="223"/>
      <c r="AZ278" s="223"/>
      <c r="BA278" s="223"/>
      <c r="BB278" s="223"/>
      <c r="BC278" s="223"/>
      <c r="BD278" s="223"/>
      <c r="BE278" s="223"/>
      <c r="BF278" s="223"/>
      <c r="BG278" s="223"/>
      <c r="BH278" s="223"/>
      <c r="BI278" s="223"/>
      <c r="BJ278" s="223"/>
      <c r="BK278" s="223"/>
      <c r="BL278" s="223"/>
      <c r="BM278" s="223"/>
      <c r="BN278" s="223"/>
      <c r="BO278" s="223"/>
      <c r="BP278" s="223"/>
      <c r="BQ278" s="227"/>
      <c r="BR278" s="227"/>
      <c r="BS278" s="227"/>
      <c r="BT278" s="227"/>
      <c r="BU278" s="227"/>
      <c r="BV278" s="227"/>
      <c r="BW278" s="227"/>
      <c r="BX278" s="227"/>
      <c r="BY278" s="227"/>
      <c r="BZ278" s="227"/>
      <c r="CA278" s="227"/>
      <c r="CB278" s="227"/>
      <c r="CC278" s="227"/>
      <c r="CD278" s="227"/>
      <c r="CE278" s="227"/>
      <c r="CF278" s="227"/>
      <c r="CG278" s="227"/>
      <c r="CH278" s="227"/>
      <c r="CI278" s="227"/>
      <c r="CJ278" s="227"/>
      <c r="CK278" s="227"/>
      <c r="CL278" s="227"/>
      <c r="CM278" s="227"/>
      <c r="CN278" s="227"/>
      <c r="CO278" s="227"/>
      <c r="CP278" s="227"/>
      <c r="CQ278" s="227"/>
      <c r="CR278" s="227"/>
      <c r="CS278" s="227"/>
      <c r="CT278" s="227"/>
      <c r="CU278" s="225"/>
      <c r="CV278" s="227"/>
    </row>
    <row r="279" spans="1:100" ht="20.100000000000001" customHeight="1">
      <c r="A279" s="227">
        <v>136</v>
      </c>
      <c r="B279" s="225"/>
      <c r="C279" s="227"/>
      <c r="D279" s="228" cm="1">
        <f t="array" ref="D279">IFERROR(
(SUMPRODUCT(E279:CU279*$E$6:$CU$6)/100) + (SUMPRODUCT(E279:CU279*$E$6:$CU$6*$E$3:$CU$3)/100),
0
)</f>
        <v>0</v>
      </c>
      <c r="E279" s="227"/>
      <c r="F279" s="227"/>
      <c r="G279" s="227"/>
      <c r="H279" s="227"/>
      <c r="I279" s="227"/>
      <c r="J279" s="227"/>
      <c r="K279" s="227"/>
      <c r="L279" s="227"/>
      <c r="M279" s="227"/>
      <c r="N279" s="227"/>
      <c r="O279" s="227"/>
      <c r="P279" s="227"/>
      <c r="Q279" s="227"/>
      <c r="R279" s="227"/>
      <c r="S279" s="227"/>
      <c r="T279" s="227"/>
      <c r="U279" s="227"/>
      <c r="V279" s="227"/>
      <c r="W279" s="227"/>
      <c r="X279" s="227"/>
      <c r="Y279" s="227"/>
      <c r="Z279" s="227"/>
      <c r="AA279" s="227"/>
      <c r="AB279" s="227"/>
      <c r="AC279" s="227"/>
      <c r="AD279" s="227"/>
      <c r="AE279" s="227"/>
      <c r="AF279" s="227"/>
      <c r="AG279" s="227"/>
      <c r="AH279" s="227"/>
      <c r="AI279" s="227"/>
      <c r="AJ279" s="227"/>
      <c r="AK279" s="227"/>
      <c r="AL279" s="227"/>
      <c r="AM279" s="227"/>
      <c r="AN279" s="227"/>
      <c r="AO279" s="227"/>
      <c r="AP279" s="227"/>
      <c r="AQ279" s="227"/>
      <c r="AR279" s="227"/>
      <c r="AS279" s="227"/>
      <c r="AT279" s="227"/>
      <c r="AU279" s="227"/>
      <c r="AV279" s="227"/>
      <c r="AW279" s="227"/>
      <c r="AX279" s="227"/>
      <c r="AY279" s="227"/>
      <c r="AZ279" s="227"/>
      <c r="BA279" s="227"/>
      <c r="BB279" s="227"/>
      <c r="BC279" s="227"/>
      <c r="BD279" s="227"/>
      <c r="BE279" s="227"/>
      <c r="BF279" s="227"/>
      <c r="BG279" s="227"/>
      <c r="BH279" s="227"/>
      <c r="BI279" s="227"/>
      <c r="BJ279" s="227"/>
      <c r="BK279" s="227"/>
      <c r="BL279" s="227"/>
      <c r="BM279" s="227"/>
      <c r="BN279" s="227"/>
      <c r="BO279" s="227"/>
      <c r="BP279" s="227"/>
      <c r="BQ279" s="227"/>
      <c r="BR279" s="227"/>
      <c r="BS279" s="227"/>
      <c r="BT279" s="227"/>
      <c r="BU279" s="227"/>
      <c r="BV279" s="227"/>
      <c r="BW279" s="227"/>
      <c r="BX279" s="227"/>
      <c r="BY279" s="227"/>
      <c r="BZ279" s="227"/>
      <c r="CA279" s="227"/>
      <c r="CB279" s="227"/>
      <c r="CC279" s="227"/>
      <c r="CD279" s="227"/>
      <c r="CE279" s="227"/>
      <c r="CF279" s="227"/>
      <c r="CG279" s="227"/>
      <c r="CH279" s="227"/>
      <c r="CI279" s="227"/>
      <c r="CJ279" s="227"/>
      <c r="CK279" s="227"/>
      <c r="CL279" s="227"/>
      <c r="CM279" s="227"/>
      <c r="CN279" s="227"/>
      <c r="CO279" s="227"/>
      <c r="CP279" s="227"/>
      <c r="CQ279" s="227"/>
      <c r="CR279" s="227"/>
      <c r="CS279" s="227"/>
      <c r="CT279" s="227"/>
      <c r="CU279" s="225"/>
      <c r="CV279" s="227"/>
    </row>
    <row r="280" spans="1:100" ht="20.100000000000001" customHeight="1">
      <c r="A280" s="223"/>
      <c r="B280" s="225"/>
      <c r="C280" s="227"/>
      <c r="D280" s="224"/>
      <c r="E280" s="223"/>
      <c r="F280" s="223"/>
      <c r="G280" s="223"/>
      <c r="H280" s="223"/>
      <c r="I280" s="223"/>
      <c r="J280" s="223"/>
      <c r="K280" s="223"/>
      <c r="L280" s="223"/>
      <c r="M280" s="223"/>
      <c r="N280" s="223"/>
      <c r="O280" s="223"/>
      <c r="P280" s="223"/>
      <c r="Q280" s="223"/>
      <c r="R280" s="223"/>
      <c r="S280" s="223"/>
      <c r="T280" s="223"/>
      <c r="U280" s="223"/>
      <c r="V280" s="223"/>
      <c r="W280" s="223"/>
      <c r="X280" s="223"/>
      <c r="Y280" s="223"/>
      <c r="Z280" s="223"/>
      <c r="AA280" s="223"/>
      <c r="AB280" s="223"/>
      <c r="AC280" s="223"/>
      <c r="AD280" s="223"/>
      <c r="AE280" s="223"/>
      <c r="AF280" s="223"/>
      <c r="AG280" s="223"/>
      <c r="AH280" s="223"/>
      <c r="AI280" s="223"/>
      <c r="AJ280" s="223"/>
      <c r="AK280" s="223"/>
      <c r="AL280" s="223"/>
      <c r="AM280" s="223"/>
      <c r="AN280" s="223"/>
      <c r="AO280" s="223"/>
      <c r="AP280" s="223"/>
      <c r="AQ280" s="223"/>
      <c r="AR280" s="223"/>
      <c r="AS280" s="223"/>
      <c r="AT280" s="223"/>
      <c r="AU280" s="223"/>
      <c r="AV280" s="223"/>
      <c r="AW280" s="223"/>
      <c r="AX280" s="223"/>
      <c r="AY280" s="223"/>
      <c r="AZ280" s="223"/>
      <c r="BA280" s="223"/>
      <c r="BB280" s="223"/>
      <c r="BC280" s="223"/>
      <c r="BD280" s="223"/>
      <c r="BE280" s="223"/>
      <c r="BF280" s="223"/>
      <c r="BG280" s="223"/>
      <c r="BH280" s="223"/>
      <c r="BI280" s="223"/>
      <c r="BJ280" s="223"/>
      <c r="BK280" s="223"/>
      <c r="BL280" s="223"/>
      <c r="BM280" s="223"/>
      <c r="BN280" s="223"/>
      <c r="BO280" s="223"/>
      <c r="BP280" s="223"/>
      <c r="BQ280" s="227"/>
      <c r="BR280" s="227"/>
      <c r="BS280" s="227"/>
      <c r="BT280" s="227"/>
      <c r="BU280" s="227"/>
      <c r="BV280" s="227"/>
      <c r="BW280" s="227"/>
      <c r="BX280" s="227"/>
      <c r="BY280" s="227"/>
      <c r="BZ280" s="227"/>
      <c r="CA280" s="227"/>
      <c r="CB280" s="227"/>
      <c r="CC280" s="227"/>
      <c r="CD280" s="227"/>
      <c r="CE280" s="227"/>
      <c r="CF280" s="227"/>
      <c r="CG280" s="227"/>
      <c r="CH280" s="227"/>
      <c r="CI280" s="227"/>
      <c r="CJ280" s="227"/>
      <c r="CK280" s="227"/>
      <c r="CL280" s="227"/>
      <c r="CM280" s="227"/>
      <c r="CN280" s="227"/>
      <c r="CO280" s="227"/>
      <c r="CP280" s="227"/>
      <c r="CQ280" s="227"/>
      <c r="CR280" s="227"/>
      <c r="CS280" s="227"/>
      <c r="CT280" s="227"/>
      <c r="CU280" s="225"/>
      <c r="CV280" s="227"/>
    </row>
    <row r="281" spans="1:100" ht="20.100000000000001" customHeight="1">
      <c r="A281" s="227">
        <v>137</v>
      </c>
      <c r="B281" s="225"/>
      <c r="C281" s="227"/>
      <c r="D281" s="228" cm="1">
        <f t="array" ref="D281">IFERROR(
(SUMPRODUCT(E281:CU281*$E$6:$CU$6)/100) + (SUMPRODUCT(E281:CU281*$E$6:$CU$6*$E$3:$CU$3)/100),
0
)</f>
        <v>0</v>
      </c>
      <c r="E281" s="227"/>
      <c r="F281" s="227"/>
      <c r="G281" s="227"/>
      <c r="H281" s="227"/>
      <c r="I281" s="227"/>
      <c r="J281" s="227"/>
      <c r="K281" s="227"/>
      <c r="L281" s="227"/>
      <c r="M281" s="227"/>
      <c r="N281" s="227"/>
      <c r="O281" s="227"/>
      <c r="P281" s="227"/>
      <c r="Q281" s="227"/>
      <c r="R281" s="227"/>
      <c r="S281" s="227"/>
      <c r="T281" s="227"/>
      <c r="U281" s="227"/>
      <c r="V281" s="227"/>
      <c r="W281" s="227"/>
      <c r="X281" s="227"/>
      <c r="Y281" s="227"/>
      <c r="Z281" s="227"/>
      <c r="AA281" s="227"/>
      <c r="AB281" s="227"/>
      <c r="AC281" s="227"/>
      <c r="AD281" s="227"/>
      <c r="AE281" s="227"/>
      <c r="AF281" s="227"/>
      <c r="AG281" s="227"/>
      <c r="AH281" s="227"/>
      <c r="AI281" s="227"/>
      <c r="AJ281" s="227"/>
      <c r="AK281" s="227"/>
      <c r="AL281" s="227"/>
      <c r="AM281" s="227"/>
      <c r="AN281" s="227"/>
      <c r="AO281" s="227"/>
      <c r="AP281" s="227"/>
      <c r="AQ281" s="227"/>
      <c r="AR281" s="227"/>
      <c r="AS281" s="227"/>
      <c r="AT281" s="227"/>
      <c r="AU281" s="227"/>
      <c r="AV281" s="227"/>
      <c r="AW281" s="227"/>
      <c r="AX281" s="227"/>
      <c r="AY281" s="227"/>
      <c r="AZ281" s="227"/>
      <c r="BA281" s="227"/>
      <c r="BB281" s="227"/>
      <c r="BC281" s="227"/>
      <c r="BD281" s="227"/>
      <c r="BE281" s="227"/>
      <c r="BF281" s="227"/>
      <c r="BG281" s="227"/>
      <c r="BH281" s="227"/>
      <c r="BI281" s="227"/>
      <c r="BJ281" s="227"/>
      <c r="BK281" s="227"/>
      <c r="BL281" s="227"/>
      <c r="BM281" s="227"/>
      <c r="BN281" s="227"/>
      <c r="BO281" s="227"/>
      <c r="BP281" s="227"/>
      <c r="BQ281" s="227"/>
      <c r="BR281" s="227"/>
      <c r="BS281" s="227"/>
      <c r="BT281" s="227"/>
      <c r="BU281" s="227"/>
      <c r="BV281" s="227"/>
      <c r="BW281" s="227"/>
      <c r="BX281" s="227"/>
      <c r="BY281" s="227"/>
      <c r="BZ281" s="227"/>
      <c r="CA281" s="227"/>
      <c r="CB281" s="227"/>
      <c r="CC281" s="227"/>
      <c r="CD281" s="227"/>
      <c r="CE281" s="227"/>
      <c r="CF281" s="227"/>
      <c r="CG281" s="227"/>
      <c r="CH281" s="227"/>
      <c r="CI281" s="227"/>
      <c r="CJ281" s="227"/>
      <c r="CK281" s="227"/>
      <c r="CL281" s="227"/>
      <c r="CM281" s="227"/>
      <c r="CN281" s="227"/>
      <c r="CO281" s="227"/>
      <c r="CP281" s="227"/>
      <c r="CQ281" s="227"/>
      <c r="CR281" s="227"/>
      <c r="CS281" s="227"/>
      <c r="CT281" s="227"/>
      <c r="CU281" s="225"/>
      <c r="CV281" s="227"/>
    </row>
    <row r="282" spans="1:100" ht="20.100000000000001" customHeight="1">
      <c r="A282" s="227"/>
      <c r="B282" s="225"/>
      <c r="C282" s="227"/>
      <c r="D282" s="224"/>
      <c r="E282" s="223"/>
      <c r="F282" s="223"/>
      <c r="G282" s="223"/>
      <c r="H282" s="223"/>
      <c r="I282" s="223"/>
      <c r="J282" s="223"/>
      <c r="K282" s="223"/>
      <c r="L282" s="223"/>
      <c r="M282" s="223"/>
      <c r="N282" s="223"/>
      <c r="O282" s="223"/>
      <c r="P282" s="223"/>
      <c r="Q282" s="223"/>
      <c r="R282" s="223"/>
      <c r="S282" s="223"/>
      <c r="T282" s="223"/>
      <c r="U282" s="223"/>
      <c r="V282" s="223"/>
      <c r="W282" s="223"/>
      <c r="X282" s="223"/>
      <c r="Y282" s="223"/>
      <c r="Z282" s="223"/>
      <c r="AA282" s="223"/>
      <c r="AB282" s="223"/>
      <c r="AC282" s="223"/>
      <c r="AD282" s="223"/>
      <c r="AE282" s="223"/>
      <c r="AF282" s="223"/>
      <c r="AG282" s="223"/>
      <c r="AH282" s="223"/>
      <c r="AI282" s="223"/>
      <c r="AJ282" s="223"/>
      <c r="AK282" s="223"/>
      <c r="AL282" s="223"/>
      <c r="AM282" s="223"/>
      <c r="AN282" s="223"/>
      <c r="AO282" s="223"/>
      <c r="AP282" s="223"/>
      <c r="AQ282" s="223"/>
      <c r="AR282" s="223"/>
      <c r="AS282" s="223"/>
      <c r="AT282" s="223"/>
      <c r="AU282" s="223"/>
      <c r="AV282" s="223"/>
      <c r="AW282" s="223"/>
      <c r="AX282" s="223"/>
      <c r="AY282" s="223"/>
      <c r="AZ282" s="223"/>
      <c r="BA282" s="223"/>
      <c r="BB282" s="223"/>
      <c r="BC282" s="223"/>
      <c r="BD282" s="223"/>
      <c r="BE282" s="223"/>
      <c r="BF282" s="223"/>
      <c r="BG282" s="223"/>
      <c r="BH282" s="223"/>
      <c r="BI282" s="223"/>
      <c r="BJ282" s="223"/>
      <c r="BK282" s="223"/>
      <c r="BL282" s="223"/>
      <c r="BM282" s="223"/>
      <c r="BN282" s="223"/>
      <c r="BO282" s="223"/>
      <c r="BP282" s="223"/>
      <c r="BQ282" s="227"/>
      <c r="BR282" s="227"/>
      <c r="BS282" s="227"/>
      <c r="BT282" s="227"/>
      <c r="BU282" s="227"/>
      <c r="BV282" s="227"/>
      <c r="BW282" s="227"/>
      <c r="BX282" s="227"/>
      <c r="BY282" s="227"/>
      <c r="BZ282" s="227"/>
      <c r="CA282" s="227"/>
      <c r="CB282" s="227"/>
      <c r="CC282" s="227"/>
      <c r="CD282" s="227"/>
      <c r="CE282" s="227"/>
      <c r="CF282" s="227"/>
      <c r="CG282" s="227"/>
      <c r="CH282" s="227"/>
      <c r="CI282" s="227"/>
      <c r="CJ282" s="227"/>
      <c r="CK282" s="227"/>
      <c r="CL282" s="227"/>
      <c r="CM282" s="227"/>
      <c r="CN282" s="227"/>
      <c r="CO282" s="227"/>
      <c r="CP282" s="227"/>
      <c r="CQ282" s="227"/>
      <c r="CR282" s="227"/>
      <c r="CS282" s="227"/>
      <c r="CT282" s="227"/>
      <c r="CU282" s="225"/>
      <c r="CV282" s="227"/>
    </row>
    <row r="283" spans="1:100" ht="20.100000000000001" customHeight="1">
      <c r="A283" s="227">
        <v>138</v>
      </c>
      <c r="B283" s="225"/>
      <c r="C283" s="227"/>
      <c r="D283" s="228" cm="1">
        <f t="array" ref="D283">IFERROR(
(SUMPRODUCT(E283:CU283*$E$6:$CU$6)/100) + (SUMPRODUCT(E283:CU283*$E$6:$CU$6*$E$3:$CU$3)/100),
0
)</f>
        <v>0</v>
      </c>
      <c r="E283" s="227"/>
      <c r="F283" s="227"/>
      <c r="G283" s="227"/>
      <c r="H283" s="227"/>
      <c r="I283" s="227"/>
      <c r="J283" s="227"/>
      <c r="K283" s="227"/>
      <c r="L283" s="227"/>
      <c r="M283" s="227"/>
      <c r="N283" s="227"/>
      <c r="O283" s="227"/>
      <c r="P283" s="227"/>
      <c r="Q283" s="227"/>
      <c r="R283" s="227"/>
      <c r="S283" s="227"/>
      <c r="T283" s="227"/>
      <c r="U283" s="227"/>
      <c r="V283" s="227"/>
      <c r="W283" s="227"/>
      <c r="X283" s="227"/>
      <c r="Y283" s="227"/>
      <c r="Z283" s="227"/>
      <c r="AA283" s="227"/>
      <c r="AB283" s="227"/>
      <c r="AC283" s="227"/>
      <c r="AD283" s="227"/>
      <c r="AE283" s="227"/>
      <c r="AF283" s="227"/>
      <c r="AG283" s="227"/>
      <c r="AH283" s="227"/>
      <c r="AI283" s="227"/>
      <c r="AJ283" s="227"/>
      <c r="AK283" s="227"/>
      <c r="AL283" s="227"/>
      <c r="AM283" s="227"/>
      <c r="AN283" s="227"/>
      <c r="AO283" s="227"/>
      <c r="AP283" s="227"/>
      <c r="AQ283" s="227"/>
      <c r="AR283" s="227"/>
      <c r="AS283" s="227"/>
      <c r="AT283" s="227"/>
      <c r="AU283" s="227"/>
      <c r="AV283" s="227"/>
      <c r="AW283" s="227"/>
      <c r="AX283" s="227"/>
      <c r="AY283" s="227"/>
      <c r="AZ283" s="227"/>
      <c r="BA283" s="227"/>
      <c r="BB283" s="227"/>
      <c r="BC283" s="227"/>
      <c r="BD283" s="227"/>
      <c r="BE283" s="227"/>
      <c r="BF283" s="227"/>
      <c r="BG283" s="227"/>
      <c r="BH283" s="227"/>
      <c r="BI283" s="227"/>
      <c r="BJ283" s="227"/>
      <c r="BK283" s="227"/>
      <c r="BL283" s="227"/>
      <c r="BM283" s="227"/>
      <c r="BN283" s="227"/>
      <c r="BO283" s="227"/>
      <c r="BP283" s="227"/>
      <c r="BQ283" s="227"/>
      <c r="BR283" s="227"/>
      <c r="BS283" s="227"/>
      <c r="BT283" s="227"/>
      <c r="BU283" s="227"/>
      <c r="BV283" s="227"/>
      <c r="BW283" s="227"/>
      <c r="BX283" s="227"/>
      <c r="BY283" s="227"/>
      <c r="BZ283" s="227"/>
      <c r="CA283" s="227"/>
      <c r="CB283" s="227"/>
      <c r="CC283" s="227"/>
      <c r="CD283" s="227"/>
      <c r="CE283" s="227"/>
      <c r="CF283" s="227"/>
      <c r="CG283" s="227"/>
      <c r="CH283" s="227"/>
      <c r="CI283" s="227"/>
      <c r="CJ283" s="227"/>
      <c r="CK283" s="227"/>
      <c r="CL283" s="227"/>
      <c r="CM283" s="227"/>
      <c r="CN283" s="227"/>
      <c r="CO283" s="227"/>
      <c r="CP283" s="227"/>
      <c r="CQ283" s="227"/>
      <c r="CR283" s="227"/>
      <c r="CS283" s="227"/>
      <c r="CT283" s="227"/>
      <c r="CU283" s="225"/>
      <c r="CV283" s="227"/>
    </row>
    <row r="284" spans="1:100" ht="20.100000000000001" customHeight="1">
      <c r="A284" s="223"/>
      <c r="B284" s="225"/>
      <c r="C284" s="227"/>
      <c r="D284" s="224"/>
      <c r="E284" s="223"/>
      <c r="F284" s="223"/>
      <c r="G284" s="223"/>
      <c r="H284" s="223"/>
      <c r="I284" s="223"/>
      <c r="J284" s="223"/>
      <c r="K284" s="223"/>
      <c r="L284" s="223"/>
      <c r="M284" s="223"/>
      <c r="N284" s="223"/>
      <c r="O284" s="223"/>
      <c r="P284" s="223"/>
      <c r="Q284" s="223"/>
      <c r="R284" s="223"/>
      <c r="S284" s="223"/>
      <c r="T284" s="223"/>
      <c r="U284" s="223"/>
      <c r="V284" s="223"/>
      <c r="W284" s="223"/>
      <c r="X284" s="223"/>
      <c r="Y284" s="223"/>
      <c r="Z284" s="223"/>
      <c r="AA284" s="223"/>
      <c r="AB284" s="223"/>
      <c r="AC284" s="223"/>
      <c r="AD284" s="223"/>
      <c r="AE284" s="223"/>
      <c r="AF284" s="223"/>
      <c r="AG284" s="223"/>
      <c r="AH284" s="223"/>
      <c r="AI284" s="223"/>
      <c r="AJ284" s="223"/>
      <c r="AK284" s="223"/>
      <c r="AL284" s="223"/>
      <c r="AM284" s="223"/>
      <c r="AN284" s="223"/>
      <c r="AO284" s="223"/>
      <c r="AP284" s="223"/>
      <c r="AQ284" s="223"/>
      <c r="AR284" s="223"/>
      <c r="AS284" s="223"/>
      <c r="AT284" s="223"/>
      <c r="AU284" s="223"/>
      <c r="AV284" s="223"/>
      <c r="AW284" s="223"/>
      <c r="AX284" s="223"/>
      <c r="AY284" s="223"/>
      <c r="AZ284" s="223"/>
      <c r="BA284" s="223"/>
      <c r="BB284" s="223"/>
      <c r="BC284" s="223"/>
      <c r="BD284" s="223"/>
      <c r="BE284" s="223"/>
      <c r="BF284" s="223"/>
      <c r="BG284" s="223"/>
      <c r="BH284" s="223"/>
      <c r="BI284" s="223"/>
      <c r="BJ284" s="223"/>
      <c r="BK284" s="223"/>
      <c r="BL284" s="223"/>
      <c r="BM284" s="223"/>
      <c r="BN284" s="223"/>
      <c r="BO284" s="223"/>
      <c r="BP284" s="223"/>
      <c r="BQ284" s="227"/>
      <c r="BR284" s="227"/>
      <c r="BS284" s="227"/>
      <c r="BT284" s="227"/>
      <c r="BU284" s="227"/>
      <c r="BV284" s="227"/>
      <c r="BW284" s="227"/>
      <c r="BX284" s="227"/>
      <c r="BY284" s="227"/>
      <c r="BZ284" s="227"/>
      <c r="CA284" s="227"/>
      <c r="CB284" s="227"/>
      <c r="CC284" s="227"/>
      <c r="CD284" s="227"/>
      <c r="CE284" s="227"/>
      <c r="CF284" s="227"/>
      <c r="CG284" s="227"/>
      <c r="CH284" s="227"/>
      <c r="CI284" s="227"/>
      <c r="CJ284" s="227"/>
      <c r="CK284" s="227"/>
      <c r="CL284" s="227"/>
      <c r="CM284" s="227"/>
      <c r="CN284" s="227"/>
      <c r="CO284" s="227"/>
      <c r="CP284" s="227"/>
      <c r="CQ284" s="227"/>
      <c r="CR284" s="227"/>
      <c r="CS284" s="227"/>
      <c r="CT284" s="227"/>
      <c r="CU284" s="225"/>
      <c r="CV284" s="227"/>
    </row>
    <row r="285" spans="1:100" ht="20.100000000000001" customHeight="1">
      <c r="A285" s="227">
        <v>139</v>
      </c>
      <c r="B285" s="225"/>
      <c r="C285" s="227"/>
      <c r="D285" s="228" cm="1">
        <f t="array" ref="D285">IFERROR(
(SUMPRODUCT(E285:CU285*$E$6:$CU$6)/100) + (SUMPRODUCT(E285:CU285*$E$6:$CU$6*$E$3:$CU$3)/100),
0
)</f>
        <v>0</v>
      </c>
      <c r="E285" s="227"/>
      <c r="F285" s="227"/>
      <c r="G285" s="227"/>
      <c r="H285" s="227"/>
      <c r="I285" s="227"/>
      <c r="J285" s="227"/>
      <c r="K285" s="227"/>
      <c r="L285" s="227"/>
      <c r="M285" s="227"/>
      <c r="N285" s="227"/>
      <c r="O285" s="227"/>
      <c r="P285" s="227"/>
      <c r="Q285" s="227"/>
      <c r="R285" s="227"/>
      <c r="S285" s="227"/>
      <c r="T285" s="227"/>
      <c r="U285" s="227"/>
      <c r="V285" s="227"/>
      <c r="W285" s="227"/>
      <c r="X285" s="227"/>
      <c r="Y285" s="227"/>
      <c r="Z285" s="227"/>
      <c r="AA285" s="227"/>
      <c r="AB285" s="227"/>
      <c r="AC285" s="227"/>
      <c r="AD285" s="227"/>
      <c r="AE285" s="227"/>
      <c r="AF285" s="227"/>
      <c r="AG285" s="227"/>
      <c r="AH285" s="227"/>
      <c r="AI285" s="227"/>
      <c r="AJ285" s="227"/>
      <c r="AK285" s="227"/>
      <c r="AL285" s="227"/>
      <c r="AM285" s="227"/>
      <c r="AN285" s="227"/>
      <c r="AO285" s="227"/>
      <c r="AP285" s="227"/>
      <c r="AQ285" s="227"/>
      <c r="AR285" s="227"/>
      <c r="AS285" s="227"/>
      <c r="AT285" s="227"/>
      <c r="AU285" s="227"/>
      <c r="AV285" s="227"/>
      <c r="AW285" s="227"/>
      <c r="AX285" s="227"/>
      <c r="AY285" s="227"/>
      <c r="AZ285" s="227"/>
      <c r="BA285" s="227"/>
      <c r="BB285" s="227"/>
      <c r="BC285" s="227"/>
      <c r="BD285" s="227"/>
      <c r="BE285" s="227"/>
      <c r="BF285" s="227"/>
      <c r="BG285" s="227"/>
      <c r="BH285" s="227"/>
      <c r="BI285" s="227"/>
      <c r="BJ285" s="227"/>
      <c r="BK285" s="227"/>
      <c r="BL285" s="227"/>
      <c r="BM285" s="227"/>
      <c r="BN285" s="227"/>
      <c r="BO285" s="227"/>
      <c r="BP285" s="227"/>
      <c r="BQ285" s="227"/>
      <c r="BR285" s="227"/>
      <c r="BS285" s="227"/>
      <c r="BT285" s="227"/>
      <c r="BU285" s="227"/>
      <c r="BV285" s="227"/>
      <c r="BW285" s="227"/>
      <c r="BX285" s="227"/>
      <c r="BY285" s="227"/>
      <c r="BZ285" s="227"/>
      <c r="CA285" s="227"/>
      <c r="CB285" s="227"/>
      <c r="CC285" s="227"/>
      <c r="CD285" s="227"/>
      <c r="CE285" s="227"/>
      <c r="CF285" s="227"/>
      <c r="CG285" s="227"/>
      <c r="CH285" s="227"/>
      <c r="CI285" s="227"/>
      <c r="CJ285" s="227"/>
      <c r="CK285" s="227"/>
      <c r="CL285" s="227"/>
      <c r="CM285" s="227"/>
      <c r="CN285" s="227"/>
      <c r="CO285" s="227"/>
      <c r="CP285" s="227"/>
      <c r="CQ285" s="227"/>
      <c r="CR285" s="227"/>
      <c r="CS285" s="227"/>
      <c r="CT285" s="227"/>
      <c r="CU285" s="225"/>
      <c r="CV285" s="227"/>
    </row>
    <row r="286" spans="1:100" ht="20.100000000000001" customHeight="1">
      <c r="A286" s="227"/>
      <c r="B286" s="225"/>
      <c r="C286" s="227"/>
      <c r="D286" s="224"/>
      <c r="E286" s="223"/>
      <c r="F286" s="223"/>
      <c r="G286" s="223"/>
      <c r="H286" s="223"/>
      <c r="I286" s="223"/>
      <c r="J286" s="223"/>
      <c r="K286" s="223"/>
      <c r="L286" s="223"/>
      <c r="M286" s="223"/>
      <c r="N286" s="223"/>
      <c r="O286" s="223"/>
      <c r="P286" s="223"/>
      <c r="Q286" s="223"/>
      <c r="R286" s="223"/>
      <c r="S286" s="223"/>
      <c r="T286" s="223"/>
      <c r="U286" s="223"/>
      <c r="V286" s="223"/>
      <c r="W286" s="223"/>
      <c r="X286" s="223"/>
      <c r="Y286" s="223"/>
      <c r="Z286" s="223"/>
      <c r="AA286" s="223"/>
      <c r="AB286" s="223"/>
      <c r="AC286" s="223"/>
      <c r="AD286" s="223"/>
      <c r="AE286" s="223"/>
      <c r="AF286" s="223"/>
      <c r="AG286" s="223"/>
      <c r="AH286" s="223"/>
      <c r="AI286" s="223"/>
      <c r="AJ286" s="223"/>
      <c r="AK286" s="223"/>
      <c r="AL286" s="223"/>
      <c r="AM286" s="223"/>
      <c r="AN286" s="223"/>
      <c r="AO286" s="223"/>
      <c r="AP286" s="223"/>
      <c r="AQ286" s="223"/>
      <c r="AR286" s="223"/>
      <c r="AS286" s="223"/>
      <c r="AT286" s="223"/>
      <c r="AU286" s="223"/>
      <c r="AV286" s="223"/>
      <c r="AW286" s="223"/>
      <c r="AX286" s="223"/>
      <c r="AY286" s="223"/>
      <c r="AZ286" s="223"/>
      <c r="BA286" s="223"/>
      <c r="BB286" s="223"/>
      <c r="BC286" s="223"/>
      <c r="BD286" s="223"/>
      <c r="BE286" s="223"/>
      <c r="BF286" s="223"/>
      <c r="BG286" s="223"/>
      <c r="BH286" s="223"/>
      <c r="BI286" s="223"/>
      <c r="BJ286" s="223"/>
      <c r="BK286" s="223"/>
      <c r="BL286" s="223"/>
      <c r="BM286" s="223"/>
      <c r="BN286" s="223"/>
      <c r="BO286" s="223"/>
      <c r="BP286" s="223"/>
      <c r="BQ286" s="227"/>
      <c r="BR286" s="227"/>
      <c r="BS286" s="227"/>
      <c r="BT286" s="227"/>
      <c r="BU286" s="227"/>
      <c r="BV286" s="227"/>
      <c r="BW286" s="227"/>
      <c r="BX286" s="227"/>
      <c r="BY286" s="227"/>
      <c r="BZ286" s="227"/>
      <c r="CA286" s="227"/>
      <c r="CB286" s="227"/>
      <c r="CC286" s="227"/>
      <c r="CD286" s="227"/>
      <c r="CE286" s="227"/>
      <c r="CF286" s="227"/>
      <c r="CG286" s="227"/>
      <c r="CH286" s="227"/>
      <c r="CI286" s="227"/>
      <c r="CJ286" s="227"/>
      <c r="CK286" s="227"/>
      <c r="CL286" s="227"/>
      <c r="CM286" s="227"/>
      <c r="CN286" s="227"/>
      <c r="CO286" s="227"/>
      <c r="CP286" s="227"/>
      <c r="CQ286" s="227"/>
      <c r="CR286" s="227"/>
      <c r="CS286" s="227"/>
      <c r="CT286" s="227"/>
      <c r="CU286" s="225"/>
      <c r="CV286" s="227"/>
    </row>
    <row r="287" spans="1:100" ht="20.100000000000001" customHeight="1">
      <c r="A287" s="227">
        <v>140</v>
      </c>
      <c r="B287" s="225"/>
      <c r="C287" s="227"/>
      <c r="D287" s="228" cm="1">
        <f t="array" ref="D287">IFERROR(
(SUMPRODUCT(E287:CU287*$E$6:$CU$6)/100) + (SUMPRODUCT(E287:CU287*$E$6:$CU$6*$E$3:$CU$3)/100),
0
)</f>
        <v>0</v>
      </c>
      <c r="E287" s="227"/>
      <c r="F287" s="227"/>
      <c r="G287" s="227"/>
      <c r="H287" s="227"/>
      <c r="I287" s="227"/>
      <c r="J287" s="227"/>
      <c r="K287" s="227"/>
      <c r="L287" s="227"/>
      <c r="M287" s="227"/>
      <c r="N287" s="227"/>
      <c r="O287" s="227"/>
      <c r="P287" s="227"/>
      <c r="Q287" s="227"/>
      <c r="R287" s="227"/>
      <c r="S287" s="227"/>
      <c r="T287" s="227"/>
      <c r="U287" s="227"/>
      <c r="V287" s="227"/>
      <c r="W287" s="227"/>
      <c r="X287" s="227"/>
      <c r="Y287" s="227"/>
      <c r="Z287" s="227"/>
      <c r="AA287" s="227"/>
      <c r="AB287" s="227"/>
      <c r="AC287" s="227"/>
      <c r="AD287" s="227"/>
      <c r="AE287" s="227"/>
      <c r="AF287" s="227"/>
      <c r="AG287" s="227"/>
      <c r="AH287" s="227"/>
      <c r="AI287" s="227"/>
      <c r="AJ287" s="227"/>
      <c r="AK287" s="227"/>
      <c r="AL287" s="227"/>
      <c r="AM287" s="227"/>
      <c r="AN287" s="227"/>
      <c r="AO287" s="227"/>
      <c r="AP287" s="227"/>
      <c r="AQ287" s="227"/>
      <c r="AR287" s="227"/>
      <c r="AS287" s="227"/>
      <c r="AT287" s="227"/>
      <c r="AU287" s="227"/>
      <c r="AV287" s="227"/>
      <c r="AW287" s="227"/>
      <c r="AX287" s="227"/>
      <c r="AY287" s="227"/>
      <c r="AZ287" s="227"/>
      <c r="BA287" s="227"/>
      <c r="BB287" s="227"/>
      <c r="BC287" s="227"/>
      <c r="BD287" s="227"/>
      <c r="BE287" s="227"/>
      <c r="BF287" s="227"/>
      <c r="BG287" s="227"/>
      <c r="BH287" s="227"/>
      <c r="BI287" s="227"/>
      <c r="BJ287" s="227"/>
      <c r="BK287" s="227"/>
      <c r="BL287" s="227"/>
      <c r="BM287" s="227"/>
      <c r="BN287" s="227"/>
      <c r="BO287" s="227"/>
      <c r="BP287" s="227"/>
      <c r="BQ287" s="227"/>
      <c r="BR287" s="227"/>
      <c r="BS287" s="227"/>
      <c r="BT287" s="227"/>
      <c r="BU287" s="227"/>
      <c r="BV287" s="227"/>
      <c r="BW287" s="227"/>
      <c r="BX287" s="227"/>
      <c r="BY287" s="227"/>
      <c r="BZ287" s="227"/>
      <c r="CA287" s="227"/>
      <c r="CB287" s="227"/>
      <c r="CC287" s="227"/>
      <c r="CD287" s="227"/>
      <c r="CE287" s="227"/>
      <c r="CF287" s="227"/>
      <c r="CG287" s="227"/>
      <c r="CH287" s="227"/>
      <c r="CI287" s="227"/>
      <c r="CJ287" s="227"/>
      <c r="CK287" s="227"/>
      <c r="CL287" s="227"/>
      <c r="CM287" s="227"/>
      <c r="CN287" s="227"/>
      <c r="CO287" s="227"/>
      <c r="CP287" s="227"/>
      <c r="CQ287" s="227"/>
      <c r="CR287" s="227"/>
      <c r="CS287" s="227"/>
      <c r="CT287" s="227"/>
      <c r="CU287" s="225"/>
      <c r="CV287" s="227"/>
    </row>
    <row r="288" spans="1:100" ht="20.100000000000001" customHeight="1">
      <c r="A288" s="223"/>
      <c r="B288" s="225"/>
      <c r="C288" s="227"/>
      <c r="D288" s="224"/>
      <c r="E288" s="223"/>
      <c r="F288" s="223"/>
      <c r="G288" s="223"/>
      <c r="H288" s="223"/>
      <c r="I288" s="223"/>
      <c r="J288" s="223"/>
      <c r="K288" s="223"/>
      <c r="L288" s="223"/>
      <c r="M288" s="223"/>
      <c r="N288" s="223"/>
      <c r="O288" s="223"/>
      <c r="P288" s="223"/>
      <c r="Q288" s="223"/>
      <c r="R288" s="223"/>
      <c r="S288" s="223"/>
      <c r="T288" s="223"/>
      <c r="U288" s="223"/>
      <c r="V288" s="223"/>
      <c r="W288" s="223"/>
      <c r="X288" s="223"/>
      <c r="Y288" s="223"/>
      <c r="Z288" s="223"/>
      <c r="AA288" s="223"/>
      <c r="AB288" s="223"/>
      <c r="AC288" s="223"/>
      <c r="AD288" s="223"/>
      <c r="AE288" s="223"/>
      <c r="AF288" s="223"/>
      <c r="AG288" s="223"/>
      <c r="AH288" s="223"/>
      <c r="AI288" s="223"/>
      <c r="AJ288" s="223"/>
      <c r="AK288" s="223"/>
      <c r="AL288" s="223"/>
      <c r="AM288" s="223"/>
      <c r="AN288" s="223"/>
      <c r="AO288" s="223"/>
      <c r="AP288" s="223"/>
      <c r="AQ288" s="223"/>
      <c r="AR288" s="223"/>
      <c r="AS288" s="223"/>
      <c r="AT288" s="223"/>
      <c r="AU288" s="223"/>
      <c r="AV288" s="223"/>
      <c r="AW288" s="223"/>
      <c r="AX288" s="223"/>
      <c r="AY288" s="223"/>
      <c r="AZ288" s="223"/>
      <c r="BA288" s="223"/>
      <c r="BB288" s="223"/>
      <c r="BC288" s="223"/>
      <c r="BD288" s="223"/>
      <c r="BE288" s="223"/>
      <c r="BF288" s="223"/>
      <c r="BG288" s="223"/>
      <c r="BH288" s="223"/>
      <c r="BI288" s="223"/>
      <c r="BJ288" s="223"/>
      <c r="BK288" s="223"/>
      <c r="BL288" s="223"/>
      <c r="BM288" s="223"/>
      <c r="BN288" s="223"/>
      <c r="BO288" s="223"/>
      <c r="BP288" s="223"/>
      <c r="BQ288" s="227"/>
      <c r="BR288" s="227"/>
      <c r="BS288" s="227"/>
      <c r="BT288" s="227"/>
      <c r="BU288" s="227"/>
      <c r="BV288" s="227"/>
      <c r="BW288" s="227"/>
      <c r="BX288" s="227"/>
      <c r="BY288" s="227"/>
      <c r="BZ288" s="227"/>
      <c r="CA288" s="227"/>
      <c r="CB288" s="227"/>
      <c r="CC288" s="227"/>
      <c r="CD288" s="227"/>
      <c r="CE288" s="227"/>
      <c r="CF288" s="227"/>
      <c r="CG288" s="227"/>
      <c r="CH288" s="227"/>
      <c r="CI288" s="227"/>
      <c r="CJ288" s="227"/>
      <c r="CK288" s="227"/>
      <c r="CL288" s="227"/>
      <c r="CM288" s="227"/>
      <c r="CN288" s="227"/>
      <c r="CO288" s="227"/>
      <c r="CP288" s="227"/>
      <c r="CQ288" s="227"/>
      <c r="CR288" s="227"/>
      <c r="CS288" s="227"/>
      <c r="CT288" s="227"/>
      <c r="CU288" s="225"/>
      <c r="CV288" s="227"/>
    </row>
    <row r="289" spans="1:100" ht="20.100000000000001" customHeight="1">
      <c r="A289" s="227">
        <v>141</v>
      </c>
      <c r="B289" s="225"/>
      <c r="C289" s="227"/>
      <c r="D289" s="228" cm="1">
        <f t="array" ref="D289">IFERROR(
(SUMPRODUCT(E289:CU289*$E$6:$CU$6)/100) + (SUMPRODUCT(E289:CU289*$E$6:$CU$6*$E$3:$CU$3)/100),
0
)</f>
        <v>0</v>
      </c>
      <c r="E289" s="227"/>
      <c r="F289" s="227"/>
      <c r="G289" s="227"/>
      <c r="H289" s="227"/>
      <c r="I289" s="227"/>
      <c r="J289" s="227"/>
      <c r="K289" s="227"/>
      <c r="L289" s="227"/>
      <c r="M289" s="227"/>
      <c r="N289" s="227"/>
      <c r="O289" s="227"/>
      <c r="P289" s="227"/>
      <c r="Q289" s="227"/>
      <c r="R289" s="227"/>
      <c r="S289" s="227"/>
      <c r="T289" s="227"/>
      <c r="U289" s="227"/>
      <c r="V289" s="227"/>
      <c r="W289" s="227"/>
      <c r="X289" s="227"/>
      <c r="Y289" s="227"/>
      <c r="Z289" s="227"/>
      <c r="AA289" s="227"/>
      <c r="AB289" s="227"/>
      <c r="AC289" s="227"/>
      <c r="AD289" s="227"/>
      <c r="AE289" s="227"/>
      <c r="AF289" s="227"/>
      <c r="AG289" s="227"/>
      <c r="AH289" s="227"/>
      <c r="AI289" s="227"/>
      <c r="AJ289" s="227"/>
      <c r="AK289" s="227"/>
      <c r="AL289" s="227"/>
      <c r="AM289" s="227"/>
      <c r="AN289" s="227"/>
      <c r="AO289" s="227"/>
      <c r="AP289" s="227"/>
      <c r="AQ289" s="227"/>
      <c r="AR289" s="227"/>
      <c r="AS289" s="227"/>
      <c r="AT289" s="227"/>
      <c r="AU289" s="227"/>
      <c r="AV289" s="227"/>
      <c r="AW289" s="227"/>
      <c r="AX289" s="227"/>
      <c r="AY289" s="227"/>
      <c r="AZ289" s="227"/>
      <c r="BA289" s="227"/>
      <c r="BB289" s="227"/>
      <c r="BC289" s="227"/>
      <c r="BD289" s="227"/>
      <c r="BE289" s="227"/>
      <c r="BF289" s="227"/>
      <c r="BG289" s="227"/>
      <c r="BH289" s="227"/>
      <c r="BI289" s="227"/>
      <c r="BJ289" s="227"/>
      <c r="BK289" s="227"/>
      <c r="BL289" s="227"/>
      <c r="BM289" s="227"/>
      <c r="BN289" s="227"/>
      <c r="BO289" s="227"/>
      <c r="BP289" s="227"/>
      <c r="BQ289" s="227"/>
      <c r="BR289" s="227"/>
      <c r="BS289" s="227"/>
      <c r="BT289" s="227"/>
      <c r="BU289" s="227"/>
      <c r="BV289" s="227"/>
      <c r="BW289" s="227"/>
      <c r="BX289" s="227"/>
      <c r="BY289" s="227"/>
      <c r="BZ289" s="227"/>
      <c r="CA289" s="227"/>
      <c r="CB289" s="227"/>
      <c r="CC289" s="227"/>
      <c r="CD289" s="227"/>
      <c r="CE289" s="227"/>
      <c r="CF289" s="227"/>
      <c r="CG289" s="227"/>
      <c r="CH289" s="227"/>
      <c r="CI289" s="227"/>
      <c r="CJ289" s="227"/>
      <c r="CK289" s="227"/>
      <c r="CL289" s="227"/>
      <c r="CM289" s="227"/>
      <c r="CN289" s="227"/>
      <c r="CO289" s="227"/>
      <c r="CP289" s="227"/>
      <c r="CQ289" s="227"/>
      <c r="CR289" s="227"/>
      <c r="CS289" s="227"/>
      <c r="CT289" s="227"/>
      <c r="CU289" s="225"/>
      <c r="CV289" s="227"/>
    </row>
    <row r="290" spans="1:100" ht="20.100000000000001" customHeight="1">
      <c r="A290" s="227"/>
      <c r="B290" s="225"/>
      <c r="C290" s="227"/>
      <c r="D290" s="224"/>
      <c r="E290" s="223"/>
      <c r="F290" s="223"/>
      <c r="G290" s="223"/>
      <c r="H290" s="223"/>
      <c r="I290" s="223"/>
      <c r="J290" s="223"/>
      <c r="K290" s="223"/>
      <c r="L290" s="223"/>
      <c r="M290" s="223"/>
      <c r="N290" s="223"/>
      <c r="O290" s="223"/>
      <c r="P290" s="223"/>
      <c r="Q290" s="223"/>
      <c r="R290" s="223"/>
      <c r="S290" s="223"/>
      <c r="T290" s="223"/>
      <c r="U290" s="223"/>
      <c r="V290" s="223"/>
      <c r="W290" s="223"/>
      <c r="X290" s="223"/>
      <c r="Y290" s="223"/>
      <c r="Z290" s="223"/>
      <c r="AA290" s="223"/>
      <c r="AB290" s="223"/>
      <c r="AC290" s="223"/>
      <c r="AD290" s="223"/>
      <c r="AE290" s="223"/>
      <c r="AF290" s="223"/>
      <c r="AG290" s="223"/>
      <c r="AH290" s="223"/>
      <c r="AI290" s="223"/>
      <c r="AJ290" s="223"/>
      <c r="AK290" s="223"/>
      <c r="AL290" s="223"/>
      <c r="AM290" s="223"/>
      <c r="AN290" s="223"/>
      <c r="AO290" s="223"/>
      <c r="AP290" s="223"/>
      <c r="AQ290" s="223"/>
      <c r="AR290" s="223"/>
      <c r="AS290" s="223"/>
      <c r="AT290" s="223"/>
      <c r="AU290" s="223"/>
      <c r="AV290" s="223"/>
      <c r="AW290" s="223"/>
      <c r="AX290" s="223"/>
      <c r="AY290" s="223"/>
      <c r="AZ290" s="223"/>
      <c r="BA290" s="223"/>
      <c r="BB290" s="223"/>
      <c r="BC290" s="223"/>
      <c r="BD290" s="223"/>
      <c r="BE290" s="223"/>
      <c r="BF290" s="223"/>
      <c r="BG290" s="223"/>
      <c r="BH290" s="223"/>
      <c r="BI290" s="223"/>
      <c r="BJ290" s="223"/>
      <c r="BK290" s="223"/>
      <c r="BL290" s="223"/>
      <c r="BM290" s="223"/>
      <c r="BN290" s="223"/>
      <c r="BO290" s="223"/>
      <c r="BP290" s="223"/>
      <c r="BQ290" s="227"/>
      <c r="BR290" s="227"/>
      <c r="BS290" s="227"/>
      <c r="BT290" s="227"/>
      <c r="BU290" s="227"/>
      <c r="BV290" s="227"/>
      <c r="BW290" s="227"/>
      <c r="BX290" s="227"/>
      <c r="BY290" s="227"/>
      <c r="BZ290" s="227"/>
      <c r="CA290" s="227"/>
      <c r="CB290" s="227"/>
      <c r="CC290" s="227"/>
      <c r="CD290" s="227"/>
      <c r="CE290" s="227"/>
      <c r="CF290" s="227"/>
      <c r="CG290" s="227"/>
      <c r="CH290" s="227"/>
      <c r="CI290" s="227"/>
      <c r="CJ290" s="227"/>
      <c r="CK290" s="227"/>
      <c r="CL290" s="227"/>
      <c r="CM290" s="227"/>
      <c r="CN290" s="227"/>
      <c r="CO290" s="227"/>
      <c r="CP290" s="227"/>
      <c r="CQ290" s="227"/>
      <c r="CR290" s="227"/>
      <c r="CS290" s="227"/>
      <c r="CT290" s="227"/>
      <c r="CU290" s="225"/>
      <c r="CV290" s="227"/>
    </row>
    <row r="291" spans="1:100" ht="20.100000000000001" customHeight="1">
      <c r="A291" s="227">
        <v>142</v>
      </c>
      <c r="B291" s="225"/>
      <c r="C291" s="227"/>
      <c r="D291" s="228" cm="1">
        <f t="array" ref="D291">IFERROR(
(SUMPRODUCT(E291:CU291*$E$6:$CU$6)/100) + (SUMPRODUCT(E291:CU291*$E$6:$CU$6*$E$3:$CU$3)/100),
0
)</f>
        <v>0</v>
      </c>
      <c r="E291" s="227"/>
      <c r="F291" s="227"/>
      <c r="G291" s="227"/>
      <c r="H291" s="227"/>
      <c r="I291" s="227"/>
      <c r="J291" s="227"/>
      <c r="K291" s="227"/>
      <c r="L291" s="227"/>
      <c r="M291" s="227"/>
      <c r="N291" s="227"/>
      <c r="O291" s="227"/>
      <c r="P291" s="227"/>
      <c r="Q291" s="227"/>
      <c r="R291" s="227"/>
      <c r="S291" s="227"/>
      <c r="T291" s="227"/>
      <c r="U291" s="227"/>
      <c r="V291" s="227"/>
      <c r="W291" s="227"/>
      <c r="X291" s="227"/>
      <c r="Y291" s="227"/>
      <c r="Z291" s="227"/>
      <c r="AA291" s="227"/>
      <c r="AB291" s="227"/>
      <c r="AC291" s="227"/>
      <c r="AD291" s="227"/>
      <c r="AE291" s="227"/>
      <c r="AF291" s="227"/>
      <c r="AG291" s="227"/>
      <c r="AH291" s="227"/>
      <c r="AI291" s="227"/>
      <c r="AJ291" s="227"/>
      <c r="AK291" s="227"/>
      <c r="AL291" s="227"/>
      <c r="AM291" s="227"/>
      <c r="AN291" s="227"/>
      <c r="AO291" s="227"/>
      <c r="AP291" s="227"/>
      <c r="AQ291" s="227"/>
      <c r="AR291" s="227"/>
      <c r="AS291" s="227"/>
      <c r="AT291" s="227"/>
      <c r="AU291" s="227"/>
      <c r="AV291" s="227"/>
      <c r="AW291" s="227"/>
      <c r="AX291" s="227"/>
      <c r="AY291" s="227"/>
      <c r="AZ291" s="227"/>
      <c r="BA291" s="227"/>
      <c r="BB291" s="227"/>
      <c r="BC291" s="227"/>
      <c r="BD291" s="227"/>
      <c r="BE291" s="227"/>
      <c r="BF291" s="227"/>
      <c r="BG291" s="227"/>
      <c r="BH291" s="227"/>
      <c r="BI291" s="227"/>
      <c r="BJ291" s="227"/>
      <c r="BK291" s="227"/>
      <c r="BL291" s="227"/>
      <c r="BM291" s="227"/>
      <c r="BN291" s="227"/>
      <c r="BO291" s="227"/>
      <c r="BP291" s="227"/>
      <c r="BQ291" s="227"/>
      <c r="BR291" s="227"/>
      <c r="BS291" s="227"/>
      <c r="BT291" s="227"/>
      <c r="BU291" s="227"/>
      <c r="BV291" s="227"/>
      <c r="BW291" s="227"/>
      <c r="BX291" s="227"/>
      <c r="BY291" s="227"/>
      <c r="BZ291" s="227"/>
      <c r="CA291" s="227"/>
      <c r="CB291" s="227"/>
      <c r="CC291" s="227"/>
      <c r="CD291" s="227"/>
      <c r="CE291" s="227"/>
      <c r="CF291" s="227"/>
      <c r="CG291" s="227"/>
      <c r="CH291" s="227"/>
      <c r="CI291" s="227"/>
      <c r="CJ291" s="227"/>
      <c r="CK291" s="227"/>
      <c r="CL291" s="227"/>
      <c r="CM291" s="227"/>
      <c r="CN291" s="227"/>
      <c r="CO291" s="227"/>
      <c r="CP291" s="227"/>
      <c r="CQ291" s="227"/>
      <c r="CR291" s="227"/>
      <c r="CS291" s="227"/>
      <c r="CT291" s="227"/>
      <c r="CU291" s="225"/>
      <c r="CV291" s="227"/>
    </row>
    <row r="292" spans="1:100" ht="20.100000000000001" customHeight="1">
      <c r="A292" s="223"/>
      <c r="B292" s="225"/>
      <c r="C292" s="227"/>
      <c r="D292" s="224"/>
      <c r="E292" s="223"/>
      <c r="F292" s="223"/>
      <c r="G292" s="223"/>
      <c r="H292" s="223"/>
      <c r="I292" s="223"/>
      <c r="J292" s="223"/>
      <c r="K292" s="223"/>
      <c r="L292" s="223"/>
      <c r="M292" s="223"/>
      <c r="N292" s="223"/>
      <c r="O292" s="223"/>
      <c r="P292" s="223"/>
      <c r="Q292" s="223"/>
      <c r="R292" s="223"/>
      <c r="S292" s="223"/>
      <c r="T292" s="223"/>
      <c r="U292" s="223"/>
      <c r="V292" s="223"/>
      <c r="W292" s="223"/>
      <c r="X292" s="223"/>
      <c r="Y292" s="223"/>
      <c r="Z292" s="223"/>
      <c r="AA292" s="223"/>
      <c r="AB292" s="223"/>
      <c r="AC292" s="223"/>
      <c r="AD292" s="223"/>
      <c r="AE292" s="223"/>
      <c r="AF292" s="223"/>
      <c r="AG292" s="223"/>
      <c r="AH292" s="223"/>
      <c r="AI292" s="223"/>
      <c r="AJ292" s="223"/>
      <c r="AK292" s="223"/>
      <c r="AL292" s="223"/>
      <c r="AM292" s="223"/>
      <c r="AN292" s="223"/>
      <c r="AO292" s="223"/>
      <c r="AP292" s="223"/>
      <c r="AQ292" s="223"/>
      <c r="AR292" s="223"/>
      <c r="AS292" s="223"/>
      <c r="AT292" s="223"/>
      <c r="AU292" s="223"/>
      <c r="AV292" s="223"/>
      <c r="AW292" s="223"/>
      <c r="AX292" s="223"/>
      <c r="AY292" s="223"/>
      <c r="AZ292" s="223"/>
      <c r="BA292" s="223"/>
      <c r="BB292" s="223"/>
      <c r="BC292" s="223"/>
      <c r="BD292" s="223"/>
      <c r="BE292" s="223"/>
      <c r="BF292" s="223"/>
      <c r="BG292" s="223"/>
      <c r="BH292" s="223"/>
      <c r="BI292" s="223"/>
      <c r="BJ292" s="223"/>
      <c r="BK292" s="223"/>
      <c r="BL292" s="223"/>
      <c r="BM292" s="223"/>
      <c r="BN292" s="223"/>
      <c r="BO292" s="223"/>
      <c r="BP292" s="223"/>
      <c r="BQ292" s="227"/>
      <c r="BR292" s="227"/>
      <c r="BS292" s="227"/>
      <c r="BT292" s="227"/>
      <c r="BU292" s="227"/>
      <c r="BV292" s="227"/>
      <c r="BW292" s="227"/>
      <c r="BX292" s="227"/>
      <c r="BY292" s="227"/>
      <c r="BZ292" s="227"/>
      <c r="CA292" s="227"/>
      <c r="CB292" s="227"/>
      <c r="CC292" s="227"/>
      <c r="CD292" s="227"/>
      <c r="CE292" s="227"/>
      <c r="CF292" s="227"/>
      <c r="CG292" s="227"/>
      <c r="CH292" s="227"/>
      <c r="CI292" s="227"/>
      <c r="CJ292" s="227"/>
      <c r="CK292" s="227"/>
      <c r="CL292" s="227"/>
      <c r="CM292" s="227"/>
      <c r="CN292" s="227"/>
      <c r="CO292" s="227"/>
      <c r="CP292" s="227"/>
      <c r="CQ292" s="227"/>
      <c r="CR292" s="227"/>
      <c r="CS292" s="227"/>
      <c r="CT292" s="227"/>
      <c r="CU292" s="225"/>
      <c r="CV292" s="227"/>
    </row>
    <row r="293" spans="1:100" ht="20.100000000000001" customHeight="1">
      <c r="A293" s="227">
        <v>143</v>
      </c>
      <c r="B293" s="225"/>
      <c r="C293" s="227"/>
      <c r="D293" s="228" cm="1">
        <f t="array" ref="D293">IFERROR(
(SUMPRODUCT(E293:CU293*$E$6:$CU$6)/100) + (SUMPRODUCT(E293:CU293*$E$6:$CU$6*$E$3:$CU$3)/100),
0
)</f>
        <v>0</v>
      </c>
      <c r="E293" s="227"/>
      <c r="F293" s="227"/>
      <c r="G293" s="227"/>
      <c r="H293" s="227"/>
      <c r="I293" s="227"/>
      <c r="J293" s="227"/>
      <c r="K293" s="227"/>
      <c r="L293" s="227"/>
      <c r="M293" s="227"/>
      <c r="N293" s="227"/>
      <c r="O293" s="227"/>
      <c r="P293" s="227"/>
      <c r="Q293" s="227"/>
      <c r="R293" s="227"/>
      <c r="S293" s="227"/>
      <c r="T293" s="227"/>
      <c r="U293" s="227"/>
      <c r="V293" s="227"/>
      <c r="W293" s="227"/>
      <c r="X293" s="227"/>
      <c r="Y293" s="227"/>
      <c r="Z293" s="227"/>
      <c r="AA293" s="227"/>
      <c r="AB293" s="227"/>
      <c r="AC293" s="227"/>
      <c r="AD293" s="227"/>
      <c r="AE293" s="227"/>
      <c r="AF293" s="227"/>
      <c r="AG293" s="227"/>
      <c r="AH293" s="227"/>
      <c r="AI293" s="227"/>
      <c r="AJ293" s="227"/>
      <c r="AK293" s="227"/>
      <c r="AL293" s="227"/>
      <c r="AM293" s="227"/>
      <c r="AN293" s="227"/>
      <c r="AO293" s="227"/>
      <c r="AP293" s="227"/>
      <c r="AQ293" s="227"/>
      <c r="AR293" s="227"/>
      <c r="AS293" s="227"/>
      <c r="AT293" s="227"/>
      <c r="AU293" s="227"/>
      <c r="AV293" s="227"/>
      <c r="AW293" s="227"/>
      <c r="AX293" s="227"/>
      <c r="AY293" s="227"/>
      <c r="AZ293" s="227"/>
      <c r="BA293" s="227"/>
      <c r="BB293" s="227"/>
      <c r="BC293" s="227"/>
      <c r="BD293" s="227"/>
      <c r="BE293" s="227"/>
      <c r="BF293" s="227"/>
      <c r="BG293" s="227"/>
      <c r="BH293" s="227"/>
      <c r="BI293" s="227"/>
      <c r="BJ293" s="227"/>
      <c r="BK293" s="227"/>
      <c r="BL293" s="227"/>
      <c r="BM293" s="227"/>
      <c r="BN293" s="227"/>
      <c r="BO293" s="227"/>
      <c r="BP293" s="227"/>
      <c r="BQ293" s="227"/>
      <c r="BR293" s="227"/>
      <c r="BS293" s="227"/>
      <c r="BT293" s="227"/>
      <c r="BU293" s="227"/>
      <c r="BV293" s="227"/>
      <c r="BW293" s="227"/>
      <c r="BX293" s="227"/>
      <c r="BY293" s="227"/>
      <c r="BZ293" s="227"/>
      <c r="CA293" s="227"/>
      <c r="CB293" s="227"/>
      <c r="CC293" s="227"/>
      <c r="CD293" s="227"/>
      <c r="CE293" s="227"/>
      <c r="CF293" s="227"/>
      <c r="CG293" s="227"/>
      <c r="CH293" s="227"/>
      <c r="CI293" s="227"/>
      <c r="CJ293" s="227"/>
      <c r="CK293" s="227"/>
      <c r="CL293" s="227"/>
      <c r="CM293" s="227"/>
      <c r="CN293" s="227"/>
      <c r="CO293" s="227"/>
      <c r="CP293" s="227"/>
      <c r="CQ293" s="227"/>
      <c r="CR293" s="227"/>
      <c r="CS293" s="227"/>
      <c r="CT293" s="227"/>
      <c r="CU293" s="225"/>
      <c r="CV293" s="227"/>
    </row>
    <row r="294" spans="1:100" ht="20.100000000000001" customHeight="1">
      <c r="A294" s="227"/>
      <c r="B294" s="225"/>
      <c r="C294" s="227"/>
      <c r="D294" s="224"/>
      <c r="E294" s="223"/>
      <c r="F294" s="223"/>
      <c r="G294" s="223"/>
      <c r="H294" s="223"/>
      <c r="I294" s="223"/>
      <c r="J294" s="223"/>
      <c r="K294" s="223"/>
      <c r="L294" s="223"/>
      <c r="M294" s="223"/>
      <c r="N294" s="223"/>
      <c r="O294" s="223"/>
      <c r="P294" s="223"/>
      <c r="Q294" s="223"/>
      <c r="R294" s="223"/>
      <c r="S294" s="223"/>
      <c r="T294" s="223"/>
      <c r="U294" s="223"/>
      <c r="V294" s="223"/>
      <c r="W294" s="223"/>
      <c r="X294" s="223"/>
      <c r="Y294" s="223"/>
      <c r="Z294" s="223"/>
      <c r="AA294" s="223"/>
      <c r="AB294" s="223"/>
      <c r="AC294" s="223"/>
      <c r="AD294" s="223"/>
      <c r="AE294" s="223"/>
      <c r="AF294" s="223"/>
      <c r="AG294" s="223"/>
      <c r="AH294" s="223"/>
      <c r="AI294" s="223"/>
      <c r="AJ294" s="223"/>
      <c r="AK294" s="223"/>
      <c r="AL294" s="223"/>
      <c r="AM294" s="223"/>
      <c r="AN294" s="223"/>
      <c r="AO294" s="223"/>
      <c r="AP294" s="223"/>
      <c r="AQ294" s="223"/>
      <c r="AR294" s="223"/>
      <c r="AS294" s="223"/>
      <c r="AT294" s="223"/>
      <c r="AU294" s="223"/>
      <c r="AV294" s="223"/>
      <c r="AW294" s="223"/>
      <c r="AX294" s="223"/>
      <c r="AY294" s="223"/>
      <c r="AZ294" s="223"/>
      <c r="BA294" s="223"/>
      <c r="BB294" s="223"/>
      <c r="BC294" s="223"/>
      <c r="BD294" s="223"/>
      <c r="BE294" s="223"/>
      <c r="BF294" s="223"/>
      <c r="BG294" s="223"/>
      <c r="BH294" s="223"/>
      <c r="BI294" s="223"/>
      <c r="BJ294" s="223"/>
      <c r="BK294" s="223"/>
      <c r="BL294" s="223"/>
      <c r="BM294" s="223"/>
      <c r="BN294" s="223"/>
      <c r="BO294" s="223"/>
      <c r="BP294" s="223"/>
      <c r="BQ294" s="227"/>
      <c r="BR294" s="227"/>
      <c r="BS294" s="227"/>
      <c r="BT294" s="227"/>
      <c r="BU294" s="227"/>
      <c r="BV294" s="227"/>
      <c r="BW294" s="227"/>
      <c r="BX294" s="227"/>
      <c r="BY294" s="227"/>
      <c r="BZ294" s="227"/>
      <c r="CA294" s="227"/>
      <c r="CB294" s="227"/>
      <c r="CC294" s="227"/>
      <c r="CD294" s="227"/>
      <c r="CE294" s="227"/>
      <c r="CF294" s="227"/>
      <c r="CG294" s="227"/>
      <c r="CH294" s="227"/>
      <c r="CI294" s="227"/>
      <c r="CJ294" s="227"/>
      <c r="CK294" s="227"/>
      <c r="CL294" s="227"/>
      <c r="CM294" s="227"/>
      <c r="CN294" s="227"/>
      <c r="CO294" s="227"/>
      <c r="CP294" s="227"/>
      <c r="CQ294" s="227"/>
      <c r="CR294" s="227"/>
      <c r="CS294" s="227"/>
      <c r="CT294" s="227"/>
      <c r="CU294" s="225"/>
      <c r="CV294" s="227"/>
    </row>
    <row r="295" spans="1:100" ht="20.100000000000001" customHeight="1">
      <c r="A295" s="227">
        <v>144</v>
      </c>
      <c r="B295" s="225"/>
      <c r="C295" s="227"/>
      <c r="D295" s="228" cm="1">
        <f t="array" ref="D295">IFERROR(
(SUMPRODUCT(E295:CU295*$E$6:$CU$6)/100) + (SUMPRODUCT(E295:CU295*$E$6:$CU$6*$E$3:$CU$3)/100),
0
)</f>
        <v>0</v>
      </c>
      <c r="E295" s="227"/>
      <c r="F295" s="227"/>
      <c r="G295" s="227"/>
      <c r="H295" s="227"/>
      <c r="I295" s="227"/>
      <c r="J295" s="227"/>
      <c r="K295" s="227"/>
      <c r="L295" s="227"/>
      <c r="M295" s="227"/>
      <c r="N295" s="227"/>
      <c r="O295" s="227"/>
      <c r="P295" s="227"/>
      <c r="Q295" s="227"/>
      <c r="R295" s="227"/>
      <c r="S295" s="227"/>
      <c r="T295" s="227"/>
      <c r="U295" s="227"/>
      <c r="V295" s="227"/>
      <c r="W295" s="227"/>
      <c r="X295" s="227"/>
      <c r="Y295" s="227"/>
      <c r="Z295" s="227"/>
      <c r="AA295" s="227"/>
      <c r="AB295" s="227"/>
      <c r="AC295" s="227"/>
      <c r="AD295" s="227"/>
      <c r="AE295" s="227"/>
      <c r="AF295" s="227"/>
      <c r="AG295" s="227"/>
      <c r="AH295" s="227"/>
      <c r="AI295" s="227"/>
      <c r="AJ295" s="227"/>
      <c r="AK295" s="227"/>
      <c r="AL295" s="227"/>
      <c r="AM295" s="227"/>
      <c r="AN295" s="227"/>
      <c r="AO295" s="227"/>
      <c r="AP295" s="227"/>
      <c r="AQ295" s="227"/>
      <c r="AR295" s="227"/>
      <c r="AS295" s="227"/>
      <c r="AT295" s="227"/>
      <c r="AU295" s="227"/>
      <c r="AV295" s="227"/>
      <c r="AW295" s="227"/>
      <c r="AX295" s="227"/>
      <c r="AY295" s="227"/>
      <c r="AZ295" s="227"/>
      <c r="BA295" s="227"/>
      <c r="BB295" s="227"/>
      <c r="BC295" s="227"/>
      <c r="BD295" s="227"/>
      <c r="BE295" s="227"/>
      <c r="BF295" s="227"/>
      <c r="BG295" s="227"/>
      <c r="BH295" s="227"/>
      <c r="BI295" s="227"/>
      <c r="BJ295" s="227"/>
      <c r="BK295" s="227"/>
      <c r="BL295" s="227"/>
      <c r="BM295" s="227"/>
      <c r="BN295" s="227"/>
      <c r="BO295" s="227"/>
      <c r="BP295" s="227"/>
      <c r="BQ295" s="227"/>
      <c r="BR295" s="227"/>
      <c r="BS295" s="227"/>
      <c r="BT295" s="227"/>
      <c r="BU295" s="227"/>
      <c r="BV295" s="227"/>
      <c r="BW295" s="227"/>
      <c r="BX295" s="227"/>
      <c r="BY295" s="227"/>
      <c r="BZ295" s="227"/>
      <c r="CA295" s="227"/>
      <c r="CB295" s="227"/>
      <c r="CC295" s="227"/>
      <c r="CD295" s="227"/>
      <c r="CE295" s="227"/>
      <c r="CF295" s="227"/>
      <c r="CG295" s="227"/>
      <c r="CH295" s="227"/>
      <c r="CI295" s="227"/>
      <c r="CJ295" s="227"/>
      <c r="CK295" s="227"/>
      <c r="CL295" s="227"/>
      <c r="CM295" s="227"/>
      <c r="CN295" s="227"/>
      <c r="CO295" s="227"/>
      <c r="CP295" s="227"/>
      <c r="CQ295" s="227"/>
      <c r="CR295" s="227"/>
      <c r="CS295" s="227"/>
      <c r="CT295" s="227"/>
      <c r="CU295" s="225"/>
      <c r="CV295" s="227"/>
    </row>
    <row r="296" spans="1:100" ht="20.100000000000001" customHeight="1">
      <c r="A296" s="223"/>
      <c r="B296" s="225"/>
      <c r="C296" s="227"/>
      <c r="D296" s="224"/>
      <c r="E296" s="223"/>
      <c r="F296" s="223"/>
      <c r="G296" s="223"/>
      <c r="H296" s="223"/>
      <c r="I296" s="223"/>
      <c r="J296" s="223"/>
      <c r="K296" s="223"/>
      <c r="L296" s="223"/>
      <c r="M296" s="223"/>
      <c r="N296" s="223"/>
      <c r="O296" s="223"/>
      <c r="P296" s="223"/>
      <c r="Q296" s="223"/>
      <c r="R296" s="223"/>
      <c r="S296" s="223"/>
      <c r="T296" s="223"/>
      <c r="U296" s="223"/>
      <c r="V296" s="223"/>
      <c r="W296" s="223"/>
      <c r="X296" s="223"/>
      <c r="Y296" s="223"/>
      <c r="Z296" s="223"/>
      <c r="AA296" s="223"/>
      <c r="AB296" s="223"/>
      <c r="AC296" s="223"/>
      <c r="AD296" s="223"/>
      <c r="AE296" s="223"/>
      <c r="AF296" s="223"/>
      <c r="AG296" s="223"/>
      <c r="AH296" s="223"/>
      <c r="AI296" s="223"/>
      <c r="AJ296" s="223"/>
      <c r="AK296" s="223"/>
      <c r="AL296" s="223"/>
      <c r="AM296" s="223"/>
      <c r="AN296" s="223"/>
      <c r="AO296" s="223"/>
      <c r="AP296" s="223"/>
      <c r="AQ296" s="223"/>
      <c r="AR296" s="223"/>
      <c r="AS296" s="223"/>
      <c r="AT296" s="223"/>
      <c r="AU296" s="223"/>
      <c r="AV296" s="223"/>
      <c r="AW296" s="223"/>
      <c r="AX296" s="223"/>
      <c r="AY296" s="223"/>
      <c r="AZ296" s="223"/>
      <c r="BA296" s="223"/>
      <c r="BB296" s="223"/>
      <c r="BC296" s="223"/>
      <c r="BD296" s="223"/>
      <c r="BE296" s="223"/>
      <c r="BF296" s="223"/>
      <c r="BG296" s="223"/>
      <c r="BH296" s="223"/>
      <c r="BI296" s="223"/>
      <c r="BJ296" s="223"/>
      <c r="BK296" s="223"/>
      <c r="BL296" s="223"/>
      <c r="BM296" s="223"/>
      <c r="BN296" s="223"/>
      <c r="BO296" s="223"/>
      <c r="BP296" s="223"/>
      <c r="BQ296" s="227"/>
      <c r="BR296" s="227"/>
      <c r="BS296" s="227"/>
      <c r="BT296" s="227"/>
      <c r="BU296" s="227"/>
      <c r="BV296" s="227"/>
      <c r="BW296" s="227"/>
      <c r="BX296" s="227"/>
      <c r="BY296" s="227"/>
      <c r="BZ296" s="227"/>
      <c r="CA296" s="227"/>
      <c r="CB296" s="227"/>
      <c r="CC296" s="227"/>
      <c r="CD296" s="227"/>
      <c r="CE296" s="227"/>
      <c r="CF296" s="227"/>
      <c r="CG296" s="227"/>
      <c r="CH296" s="227"/>
      <c r="CI296" s="227"/>
      <c r="CJ296" s="227"/>
      <c r="CK296" s="227"/>
      <c r="CL296" s="227"/>
      <c r="CM296" s="227"/>
      <c r="CN296" s="227"/>
      <c r="CO296" s="227"/>
      <c r="CP296" s="227"/>
      <c r="CQ296" s="227"/>
      <c r="CR296" s="227"/>
      <c r="CS296" s="227"/>
      <c r="CT296" s="227"/>
      <c r="CU296" s="225"/>
      <c r="CV296" s="227"/>
    </row>
    <row r="297" spans="1:100" ht="20.100000000000001" customHeight="1">
      <c r="A297" s="227">
        <v>145</v>
      </c>
      <c r="B297" s="225"/>
      <c r="C297" s="227"/>
      <c r="D297" s="228" cm="1">
        <f t="array" ref="D297">IFERROR(
(SUMPRODUCT(E297:CU297*$E$6:$CU$6)/100) + (SUMPRODUCT(E297:CU297*$E$6:$CU$6*$E$3:$CU$3)/100),
0
)</f>
        <v>0</v>
      </c>
      <c r="E297" s="227"/>
      <c r="F297" s="227"/>
      <c r="G297" s="227"/>
      <c r="H297" s="227"/>
      <c r="I297" s="227"/>
      <c r="J297" s="227"/>
      <c r="K297" s="227"/>
      <c r="L297" s="227"/>
      <c r="M297" s="227"/>
      <c r="N297" s="227"/>
      <c r="O297" s="227"/>
      <c r="P297" s="227"/>
      <c r="Q297" s="227"/>
      <c r="R297" s="227"/>
      <c r="S297" s="227"/>
      <c r="T297" s="227"/>
      <c r="U297" s="227"/>
      <c r="V297" s="227"/>
      <c r="W297" s="227"/>
      <c r="X297" s="227"/>
      <c r="Y297" s="227"/>
      <c r="Z297" s="227"/>
      <c r="AA297" s="227"/>
      <c r="AB297" s="227"/>
      <c r="AC297" s="227"/>
      <c r="AD297" s="227"/>
      <c r="AE297" s="227"/>
      <c r="AF297" s="227"/>
      <c r="AG297" s="227"/>
      <c r="AH297" s="227"/>
      <c r="AI297" s="227"/>
      <c r="AJ297" s="227"/>
      <c r="AK297" s="227"/>
      <c r="AL297" s="227"/>
      <c r="AM297" s="227"/>
      <c r="AN297" s="227"/>
      <c r="AO297" s="227"/>
      <c r="AP297" s="227"/>
      <c r="AQ297" s="227"/>
      <c r="AR297" s="227"/>
      <c r="AS297" s="227"/>
      <c r="AT297" s="227"/>
      <c r="AU297" s="227"/>
      <c r="AV297" s="227"/>
      <c r="AW297" s="227"/>
      <c r="AX297" s="227"/>
      <c r="AY297" s="227"/>
      <c r="AZ297" s="227"/>
      <c r="BA297" s="227"/>
      <c r="BB297" s="227"/>
      <c r="BC297" s="227"/>
      <c r="BD297" s="227"/>
      <c r="BE297" s="227"/>
      <c r="BF297" s="227"/>
      <c r="BG297" s="227"/>
      <c r="BH297" s="227"/>
      <c r="BI297" s="227"/>
      <c r="BJ297" s="227"/>
      <c r="BK297" s="227"/>
      <c r="BL297" s="227"/>
      <c r="BM297" s="227"/>
      <c r="BN297" s="227"/>
      <c r="BO297" s="227"/>
      <c r="BP297" s="227"/>
      <c r="BQ297" s="227"/>
      <c r="BR297" s="227"/>
      <c r="BS297" s="227"/>
      <c r="BT297" s="227"/>
      <c r="BU297" s="227"/>
      <c r="BV297" s="227"/>
      <c r="BW297" s="227"/>
      <c r="BX297" s="227"/>
      <c r="BY297" s="227"/>
      <c r="BZ297" s="227"/>
      <c r="CA297" s="227"/>
      <c r="CB297" s="227"/>
      <c r="CC297" s="227"/>
      <c r="CD297" s="227"/>
      <c r="CE297" s="227"/>
      <c r="CF297" s="227"/>
      <c r="CG297" s="227"/>
      <c r="CH297" s="227"/>
      <c r="CI297" s="227"/>
      <c r="CJ297" s="227"/>
      <c r="CK297" s="227"/>
      <c r="CL297" s="227"/>
      <c r="CM297" s="227"/>
      <c r="CN297" s="227"/>
      <c r="CO297" s="227"/>
      <c r="CP297" s="227"/>
      <c r="CQ297" s="227"/>
      <c r="CR297" s="227"/>
      <c r="CS297" s="227"/>
      <c r="CT297" s="227"/>
      <c r="CU297" s="225"/>
      <c r="CV297" s="227"/>
    </row>
    <row r="298" spans="1:100" ht="20.100000000000001" customHeight="1">
      <c r="A298" s="227"/>
      <c r="B298" s="225"/>
      <c r="C298" s="227"/>
      <c r="D298" s="224"/>
      <c r="E298" s="223"/>
      <c r="F298" s="223"/>
      <c r="G298" s="223"/>
      <c r="H298" s="223"/>
      <c r="I298" s="223"/>
      <c r="J298" s="223"/>
      <c r="K298" s="223"/>
      <c r="L298" s="223"/>
      <c r="M298" s="223"/>
      <c r="N298" s="223"/>
      <c r="O298" s="223"/>
      <c r="P298" s="223"/>
      <c r="Q298" s="223"/>
      <c r="R298" s="223"/>
      <c r="S298" s="223"/>
      <c r="T298" s="223"/>
      <c r="U298" s="223"/>
      <c r="V298" s="223"/>
      <c r="W298" s="223"/>
      <c r="X298" s="223"/>
      <c r="Y298" s="223"/>
      <c r="Z298" s="223"/>
      <c r="AA298" s="223"/>
      <c r="AB298" s="223"/>
      <c r="AC298" s="223"/>
      <c r="AD298" s="223"/>
      <c r="AE298" s="223"/>
      <c r="AF298" s="223"/>
      <c r="AG298" s="223"/>
      <c r="AH298" s="223"/>
      <c r="AI298" s="223"/>
      <c r="AJ298" s="223"/>
      <c r="AK298" s="223"/>
      <c r="AL298" s="223"/>
      <c r="AM298" s="223"/>
      <c r="AN298" s="223"/>
      <c r="AO298" s="223"/>
      <c r="AP298" s="223"/>
      <c r="AQ298" s="223"/>
      <c r="AR298" s="223"/>
      <c r="AS298" s="223"/>
      <c r="AT298" s="223"/>
      <c r="AU298" s="223"/>
      <c r="AV298" s="223"/>
      <c r="AW298" s="223"/>
      <c r="AX298" s="223"/>
      <c r="AY298" s="223"/>
      <c r="AZ298" s="223"/>
      <c r="BA298" s="223"/>
      <c r="BB298" s="223"/>
      <c r="BC298" s="223"/>
      <c r="BD298" s="223"/>
      <c r="BE298" s="223"/>
      <c r="BF298" s="223"/>
      <c r="BG298" s="223"/>
      <c r="BH298" s="223"/>
      <c r="BI298" s="223"/>
      <c r="BJ298" s="223"/>
      <c r="BK298" s="223"/>
      <c r="BL298" s="223"/>
      <c r="BM298" s="223"/>
      <c r="BN298" s="223"/>
      <c r="BO298" s="223"/>
      <c r="BP298" s="223"/>
      <c r="BQ298" s="227"/>
      <c r="BR298" s="227"/>
      <c r="BS298" s="227"/>
      <c r="BT298" s="227"/>
      <c r="BU298" s="227"/>
      <c r="BV298" s="227"/>
      <c r="BW298" s="227"/>
      <c r="BX298" s="227"/>
      <c r="BY298" s="227"/>
      <c r="BZ298" s="227"/>
      <c r="CA298" s="227"/>
      <c r="CB298" s="227"/>
      <c r="CC298" s="227"/>
      <c r="CD298" s="227"/>
      <c r="CE298" s="227"/>
      <c r="CF298" s="227"/>
      <c r="CG298" s="227"/>
      <c r="CH298" s="227"/>
      <c r="CI298" s="227"/>
      <c r="CJ298" s="227"/>
      <c r="CK298" s="227"/>
      <c r="CL298" s="227"/>
      <c r="CM298" s="227"/>
      <c r="CN298" s="227"/>
      <c r="CO298" s="227"/>
      <c r="CP298" s="227"/>
      <c r="CQ298" s="227"/>
      <c r="CR298" s="227"/>
      <c r="CS298" s="227"/>
      <c r="CT298" s="227"/>
      <c r="CU298" s="225"/>
      <c r="CV298" s="227"/>
    </row>
    <row r="299" spans="1:100" ht="20.100000000000001" customHeight="1">
      <c r="A299" s="227">
        <v>146</v>
      </c>
      <c r="B299" s="225"/>
      <c r="C299" s="227"/>
      <c r="D299" s="228" cm="1">
        <f t="array" ref="D299">IFERROR(
(SUMPRODUCT(E299:CU299*$E$6:$CU$6)/100) + (SUMPRODUCT(E299:CU299*$E$6:$CU$6*$E$3:$CU$3)/100),
0
)</f>
        <v>0</v>
      </c>
      <c r="E299" s="227"/>
      <c r="F299" s="227"/>
      <c r="G299" s="227"/>
      <c r="H299" s="227"/>
      <c r="I299" s="227"/>
      <c r="J299" s="227"/>
      <c r="K299" s="227"/>
      <c r="L299" s="227"/>
      <c r="M299" s="227"/>
      <c r="N299" s="227"/>
      <c r="O299" s="227"/>
      <c r="P299" s="227"/>
      <c r="Q299" s="227"/>
      <c r="R299" s="227"/>
      <c r="S299" s="227"/>
      <c r="T299" s="227"/>
      <c r="U299" s="227"/>
      <c r="V299" s="227"/>
      <c r="W299" s="227"/>
      <c r="X299" s="227"/>
      <c r="Y299" s="227"/>
      <c r="Z299" s="227"/>
      <c r="AA299" s="227"/>
      <c r="AB299" s="227"/>
      <c r="AC299" s="227"/>
      <c r="AD299" s="227"/>
      <c r="AE299" s="227"/>
      <c r="AF299" s="227"/>
      <c r="AG299" s="227"/>
      <c r="AH299" s="227"/>
      <c r="AI299" s="227"/>
      <c r="AJ299" s="227"/>
      <c r="AK299" s="227"/>
      <c r="AL299" s="227"/>
      <c r="AM299" s="227"/>
      <c r="AN299" s="227"/>
      <c r="AO299" s="227"/>
      <c r="AP299" s="227"/>
      <c r="AQ299" s="227"/>
      <c r="AR299" s="227"/>
      <c r="AS299" s="227"/>
      <c r="AT299" s="227"/>
      <c r="AU299" s="227"/>
      <c r="AV299" s="227"/>
      <c r="AW299" s="227"/>
      <c r="AX299" s="227"/>
      <c r="AY299" s="227"/>
      <c r="AZ299" s="227"/>
      <c r="BA299" s="227"/>
      <c r="BB299" s="227"/>
      <c r="BC299" s="227"/>
      <c r="BD299" s="227"/>
      <c r="BE299" s="227"/>
      <c r="BF299" s="227"/>
      <c r="BG299" s="227"/>
      <c r="BH299" s="227"/>
      <c r="BI299" s="227"/>
      <c r="BJ299" s="227"/>
      <c r="BK299" s="227"/>
      <c r="BL299" s="227"/>
      <c r="BM299" s="227"/>
      <c r="BN299" s="227"/>
      <c r="BO299" s="227"/>
      <c r="BP299" s="227"/>
      <c r="BQ299" s="227"/>
      <c r="BR299" s="227"/>
      <c r="BS299" s="227"/>
      <c r="BT299" s="227"/>
      <c r="BU299" s="227"/>
      <c r="BV299" s="227"/>
      <c r="BW299" s="227"/>
      <c r="BX299" s="227"/>
      <c r="BY299" s="227"/>
      <c r="BZ299" s="227"/>
      <c r="CA299" s="227"/>
      <c r="CB299" s="227"/>
      <c r="CC299" s="227"/>
      <c r="CD299" s="227"/>
      <c r="CE299" s="227"/>
      <c r="CF299" s="227"/>
      <c r="CG299" s="227"/>
      <c r="CH299" s="227"/>
      <c r="CI299" s="227"/>
      <c r="CJ299" s="227"/>
      <c r="CK299" s="227"/>
      <c r="CL299" s="227"/>
      <c r="CM299" s="227"/>
      <c r="CN299" s="227"/>
      <c r="CO299" s="227"/>
      <c r="CP299" s="227"/>
      <c r="CQ299" s="227"/>
      <c r="CR299" s="227"/>
      <c r="CS299" s="227"/>
      <c r="CT299" s="227"/>
      <c r="CU299" s="225"/>
      <c r="CV299" s="227"/>
    </row>
    <row r="300" spans="1:100" ht="20.100000000000001" customHeight="1">
      <c r="A300" s="223"/>
      <c r="B300" s="225"/>
      <c r="C300" s="227"/>
      <c r="D300" s="224"/>
      <c r="E300" s="223"/>
      <c r="F300" s="223"/>
      <c r="G300" s="223"/>
      <c r="H300" s="223"/>
      <c r="I300" s="223"/>
      <c r="J300" s="223"/>
      <c r="K300" s="223"/>
      <c r="L300" s="223"/>
      <c r="M300" s="223"/>
      <c r="N300" s="223"/>
      <c r="O300" s="223"/>
      <c r="P300" s="223"/>
      <c r="Q300" s="223"/>
      <c r="R300" s="223"/>
      <c r="S300" s="223"/>
      <c r="T300" s="223"/>
      <c r="U300" s="223"/>
      <c r="V300" s="223"/>
      <c r="W300" s="223"/>
      <c r="X300" s="223"/>
      <c r="Y300" s="223"/>
      <c r="Z300" s="223"/>
      <c r="AA300" s="223"/>
      <c r="AB300" s="223"/>
      <c r="AC300" s="223"/>
      <c r="AD300" s="223"/>
      <c r="AE300" s="223"/>
      <c r="AF300" s="223"/>
      <c r="AG300" s="223"/>
      <c r="AH300" s="223"/>
      <c r="AI300" s="223"/>
      <c r="AJ300" s="223"/>
      <c r="AK300" s="223"/>
      <c r="AL300" s="223"/>
      <c r="AM300" s="223"/>
      <c r="AN300" s="223"/>
      <c r="AO300" s="223"/>
      <c r="AP300" s="223"/>
      <c r="AQ300" s="223"/>
      <c r="AR300" s="223"/>
      <c r="AS300" s="223"/>
      <c r="AT300" s="223"/>
      <c r="AU300" s="223"/>
      <c r="AV300" s="223"/>
      <c r="AW300" s="223"/>
      <c r="AX300" s="223"/>
      <c r="AY300" s="223"/>
      <c r="AZ300" s="223"/>
      <c r="BA300" s="223"/>
      <c r="BB300" s="223"/>
      <c r="BC300" s="223"/>
      <c r="BD300" s="223"/>
      <c r="BE300" s="223"/>
      <c r="BF300" s="223"/>
      <c r="BG300" s="223"/>
      <c r="BH300" s="223"/>
      <c r="BI300" s="223"/>
      <c r="BJ300" s="223"/>
      <c r="BK300" s="223"/>
      <c r="BL300" s="223"/>
      <c r="BM300" s="223"/>
      <c r="BN300" s="223"/>
      <c r="BO300" s="223"/>
      <c r="BP300" s="223"/>
      <c r="BQ300" s="227"/>
      <c r="BR300" s="227"/>
      <c r="BS300" s="227"/>
      <c r="BT300" s="227"/>
      <c r="BU300" s="227"/>
      <c r="BV300" s="227"/>
      <c r="BW300" s="227"/>
      <c r="BX300" s="227"/>
      <c r="BY300" s="227"/>
      <c r="BZ300" s="227"/>
      <c r="CA300" s="227"/>
      <c r="CB300" s="227"/>
      <c r="CC300" s="227"/>
      <c r="CD300" s="227"/>
      <c r="CE300" s="227"/>
      <c r="CF300" s="227"/>
      <c r="CG300" s="227"/>
      <c r="CH300" s="227"/>
      <c r="CI300" s="227"/>
      <c r="CJ300" s="227"/>
      <c r="CK300" s="227"/>
      <c r="CL300" s="227"/>
      <c r="CM300" s="227"/>
      <c r="CN300" s="227"/>
      <c r="CO300" s="227"/>
      <c r="CP300" s="227"/>
      <c r="CQ300" s="227"/>
      <c r="CR300" s="227"/>
      <c r="CS300" s="227"/>
      <c r="CT300" s="227"/>
      <c r="CU300" s="225"/>
      <c r="CV300" s="227"/>
    </row>
    <row r="301" spans="1:100" ht="20.100000000000001" customHeight="1">
      <c r="A301" s="227">
        <v>147</v>
      </c>
      <c r="B301" s="225"/>
      <c r="C301" s="227"/>
      <c r="D301" s="228" cm="1">
        <f t="array" ref="D301">IFERROR(
(SUMPRODUCT(E301:CU301*$E$6:$CU$6)/100) + (SUMPRODUCT(E301:CU301*$E$6:$CU$6*$E$3:$CU$3)/100),
0
)</f>
        <v>0</v>
      </c>
      <c r="E301" s="227"/>
      <c r="F301" s="227"/>
      <c r="G301" s="227"/>
      <c r="H301" s="227"/>
      <c r="I301" s="227"/>
      <c r="J301" s="227"/>
      <c r="K301" s="227"/>
      <c r="L301" s="227"/>
      <c r="M301" s="227"/>
      <c r="N301" s="227"/>
      <c r="O301" s="227"/>
      <c r="P301" s="227"/>
      <c r="Q301" s="227"/>
      <c r="R301" s="227"/>
      <c r="S301" s="227"/>
      <c r="T301" s="227"/>
      <c r="U301" s="227"/>
      <c r="V301" s="227"/>
      <c r="W301" s="227"/>
      <c r="X301" s="227"/>
      <c r="Y301" s="227"/>
      <c r="Z301" s="227"/>
      <c r="AA301" s="227"/>
      <c r="AB301" s="227"/>
      <c r="AC301" s="227"/>
      <c r="AD301" s="227"/>
      <c r="AE301" s="227"/>
      <c r="AF301" s="227"/>
      <c r="AG301" s="227"/>
      <c r="AH301" s="227"/>
      <c r="AI301" s="227"/>
      <c r="AJ301" s="227"/>
      <c r="AK301" s="227"/>
      <c r="AL301" s="227"/>
      <c r="AM301" s="227"/>
      <c r="AN301" s="227"/>
      <c r="AO301" s="227"/>
      <c r="AP301" s="227"/>
      <c r="AQ301" s="227"/>
      <c r="AR301" s="227"/>
      <c r="AS301" s="227"/>
      <c r="AT301" s="227"/>
      <c r="AU301" s="227"/>
      <c r="AV301" s="227"/>
      <c r="AW301" s="227"/>
      <c r="AX301" s="227"/>
      <c r="AY301" s="227"/>
      <c r="AZ301" s="227"/>
      <c r="BA301" s="227"/>
      <c r="BB301" s="227"/>
      <c r="BC301" s="227"/>
      <c r="BD301" s="227"/>
      <c r="BE301" s="227"/>
      <c r="BF301" s="227"/>
      <c r="BG301" s="227"/>
      <c r="BH301" s="227"/>
      <c r="BI301" s="227"/>
      <c r="BJ301" s="227"/>
      <c r="BK301" s="227"/>
      <c r="BL301" s="227"/>
      <c r="BM301" s="227"/>
      <c r="BN301" s="227"/>
      <c r="BO301" s="227"/>
      <c r="BP301" s="227"/>
      <c r="BQ301" s="227"/>
      <c r="BR301" s="227"/>
      <c r="BS301" s="227"/>
      <c r="BT301" s="227"/>
      <c r="BU301" s="227"/>
      <c r="BV301" s="227"/>
      <c r="BW301" s="227"/>
      <c r="BX301" s="227"/>
      <c r="BY301" s="227"/>
      <c r="BZ301" s="227"/>
      <c r="CA301" s="227"/>
      <c r="CB301" s="227"/>
      <c r="CC301" s="227"/>
      <c r="CD301" s="227"/>
      <c r="CE301" s="227"/>
      <c r="CF301" s="227"/>
      <c r="CG301" s="227"/>
      <c r="CH301" s="227"/>
      <c r="CI301" s="227"/>
      <c r="CJ301" s="227"/>
      <c r="CK301" s="227"/>
      <c r="CL301" s="227"/>
      <c r="CM301" s="227"/>
      <c r="CN301" s="227"/>
      <c r="CO301" s="227"/>
      <c r="CP301" s="227"/>
      <c r="CQ301" s="227"/>
      <c r="CR301" s="227"/>
      <c r="CS301" s="227"/>
      <c r="CT301" s="227"/>
      <c r="CU301" s="225"/>
      <c r="CV301" s="227"/>
    </row>
    <row r="302" spans="1:100" ht="20.100000000000001" customHeight="1">
      <c r="A302" s="227"/>
      <c r="B302" s="225"/>
      <c r="C302" s="227"/>
      <c r="D302" s="224"/>
      <c r="E302" s="223"/>
      <c r="F302" s="223"/>
      <c r="G302" s="223"/>
      <c r="H302" s="223"/>
      <c r="I302" s="223"/>
      <c r="J302" s="223"/>
      <c r="K302" s="223"/>
      <c r="L302" s="223"/>
      <c r="M302" s="223"/>
      <c r="N302" s="223"/>
      <c r="O302" s="223"/>
      <c r="P302" s="223"/>
      <c r="Q302" s="223"/>
      <c r="R302" s="223"/>
      <c r="S302" s="223"/>
      <c r="T302" s="223"/>
      <c r="U302" s="223"/>
      <c r="V302" s="223"/>
      <c r="W302" s="223"/>
      <c r="X302" s="223"/>
      <c r="Y302" s="223"/>
      <c r="Z302" s="223"/>
      <c r="AA302" s="223"/>
      <c r="AB302" s="223"/>
      <c r="AC302" s="223"/>
      <c r="AD302" s="223"/>
      <c r="AE302" s="223"/>
      <c r="AF302" s="223"/>
      <c r="AG302" s="223"/>
      <c r="AH302" s="223"/>
      <c r="AI302" s="223"/>
      <c r="AJ302" s="223"/>
      <c r="AK302" s="223"/>
      <c r="AL302" s="223"/>
      <c r="AM302" s="223"/>
      <c r="AN302" s="223"/>
      <c r="AO302" s="223"/>
      <c r="AP302" s="223"/>
      <c r="AQ302" s="223"/>
      <c r="AR302" s="223"/>
      <c r="AS302" s="223"/>
      <c r="AT302" s="223"/>
      <c r="AU302" s="223"/>
      <c r="AV302" s="223"/>
      <c r="AW302" s="223"/>
      <c r="AX302" s="223"/>
      <c r="AY302" s="223"/>
      <c r="AZ302" s="223"/>
      <c r="BA302" s="223"/>
      <c r="BB302" s="223"/>
      <c r="BC302" s="223"/>
      <c r="BD302" s="223"/>
      <c r="BE302" s="223"/>
      <c r="BF302" s="223"/>
      <c r="BG302" s="223"/>
      <c r="BH302" s="223"/>
      <c r="BI302" s="223"/>
      <c r="BJ302" s="223"/>
      <c r="BK302" s="223"/>
      <c r="BL302" s="223"/>
      <c r="BM302" s="223"/>
      <c r="BN302" s="223"/>
      <c r="BO302" s="223"/>
      <c r="BP302" s="223"/>
      <c r="BQ302" s="227"/>
      <c r="BR302" s="227"/>
      <c r="BS302" s="227"/>
      <c r="BT302" s="227"/>
      <c r="BU302" s="227"/>
      <c r="BV302" s="227"/>
      <c r="BW302" s="227"/>
      <c r="BX302" s="227"/>
      <c r="BY302" s="227"/>
      <c r="BZ302" s="227"/>
      <c r="CA302" s="227"/>
      <c r="CB302" s="227"/>
      <c r="CC302" s="227"/>
      <c r="CD302" s="227"/>
      <c r="CE302" s="227"/>
      <c r="CF302" s="227"/>
      <c r="CG302" s="227"/>
      <c r="CH302" s="227"/>
      <c r="CI302" s="227"/>
      <c r="CJ302" s="227"/>
      <c r="CK302" s="227"/>
      <c r="CL302" s="227"/>
      <c r="CM302" s="227"/>
      <c r="CN302" s="227"/>
      <c r="CO302" s="227"/>
      <c r="CP302" s="227"/>
      <c r="CQ302" s="227"/>
      <c r="CR302" s="227"/>
      <c r="CS302" s="227"/>
      <c r="CT302" s="227"/>
      <c r="CU302" s="225"/>
      <c r="CV302" s="227"/>
    </row>
    <row r="303" spans="1:100" ht="20.100000000000001" customHeight="1">
      <c r="A303" s="227">
        <v>148</v>
      </c>
      <c r="B303" s="225"/>
      <c r="C303" s="227"/>
      <c r="D303" s="228" cm="1">
        <f t="array" ref="D303">IFERROR(
(SUMPRODUCT(E303:CU303*$E$6:$CU$6)/100) + (SUMPRODUCT(E303:CU303*$E$6:$CU$6*$E$3:$CU$3)/100),
0
)</f>
        <v>0</v>
      </c>
      <c r="E303" s="227"/>
      <c r="F303" s="227"/>
      <c r="G303" s="227"/>
      <c r="H303" s="227"/>
      <c r="I303" s="227"/>
      <c r="J303" s="227"/>
      <c r="K303" s="227"/>
      <c r="L303" s="227"/>
      <c r="M303" s="227"/>
      <c r="N303" s="227"/>
      <c r="O303" s="227"/>
      <c r="P303" s="227"/>
      <c r="Q303" s="227"/>
      <c r="R303" s="227"/>
      <c r="S303" s="227"/>
      <c r="T303" s="227"/>
      <c r="U303" s="227"/>
      <c r="V303" s="227"/>
      <c r="W303" s="227"/>
      <c r="X303" s="227"/>
      <c r="Y303" s="227"/>
      <c r="Z303" s="227"/>
      <c r="AA303" s="227"/>
      <c r="AB303" s="227"/>
      <c r="AC303" s="227"/>
      <c r="AD303" s="227"/>
      <c r="AE303" s="227"/>
      <c r="AF303" s="227"/>
      <c r="AG303" s="227"/>
      <c r="AH303" s="227"/>
      <c r="AI303" s="227"/>
      <c r="AJ303" s="227"/>
      <c r="AK303" s="227"/>
      <c r="AL303" s="227"/>
      <c r="AM303" s="227"/>
      <c r="AN303" s="227"/>
      <c r="AO303" s="227"/>
      <c r="AP303" s="227"/>
      <c r="AQ303" s="227"/>
      <c r="AR303" s="227"/>
      <c r="AS303" s="227"/>
      <c r="AT303" s="227"/>
      <c r="AU303" s="227"/>
      <c r="AV303" s="227"/>
      <c r="AW303" s="227"/>
      <c r="AX303" s="227"/>
      <c r="AY303" s="227"/>
      <c r="AZ303" s="227"/>
      <c r="BA303" s="227"/>
      <c r="BB303" s="227"/>
      <c r="BC303" s="227"/>
      <c r="BD303" s="227"/>
      <c r="BE303" s="227"/>
      <c r="BF303" s="227"/>
      <c r="BG303" s="227"/>
      <c r="BH303" s="227"/>
      <c r="BI303" s="227"/>
      <c r="BJ303" s="227"/>
      <c r="BK303" s="227"/>
      <c r="BL303" s="227"/>
      <c r="BM303" s="227"/>
      <c r="BN303" s="227"/>
      <c r="BO303" s="227"/>
      <c r="BP303" s="227"/>
      <c r="BQ303" s="227"/>
      <c r="BR303" s="227"/>
      <c r="BS303" s="227"/>
      <c r="BT303" s="227"/>
      <c r="BU303" s="227"/>
      <c r="BV303" s="227"/>
      <c r="BW303" s="227"/>
      <c r="BX303" s="227"/>
      <c r="BY303" s="227"/>
      <c r="BZ303" s="227"/>
      <c r="CA303" s="227"/>
      <c r="CB303" s="227"/>
      <c r="CC303" s="227"/>
      <c r="CD303" s="227"/>
      <c r="CE303" s="227"/>
      <c r="CF303" s="227"/>
      <c r="CG303" s="227"/>
      <c r="CH303" s="227"/>
      <c r="CI303" s="227"/>
      <c r="CJ303" s="227"/>
      <c r="CK303" s="227"/>
      <c r="CL303" s="227"/>
      <c r="CM303" s="227"/>
      <c r="CN303" s="227"/>
      <c r="CO303" s="227"/>
      <c r="CP303" s="227"/>
      <c r="CQ303" s="227"/>
      <c r="CR303" s="227"/>
      <c r="CS303" s="227"/>
      <c r="CT303" s="227"/>
      <c r="CU303" s="225"/>
      <c r="CV303" s="227"/>
    </row>
    <row r="304" spans="1:100" ht="20.100000000000001" customHeight="1">
      <c r="A304" s="223"/>
      <c r="B304" s="225"/>
      <c r="C304" s="227"/>
      <c r="D304" s="224"/>
      <c r="E304" s="223"/>
      <c r="F304" s="223"/>
      <c r="G304" s="223"/>
      <c r="H304" s="223"/>
      <c r="I304" s="223"/>
      <c r="J304" s="223"/>
      <c r="K304" s="223"/>
      <c r="L304" s="223"/>
      <c r="M304" s="223"/>
      <c r="N304" s="223"/>
      <c r="O304" s="223"/>
      <c r="P304" s="223"/>
      <c r="Q304" s="223"/>
      <c r="R304" s="223"/>
      <c r="S304" s="223"/>
      <c r="T304" s="223"/>
      <c r="U304" s="223"/>
      <c r="V304" s="223"/>
      <c r="W304" s="223"/>
      <c r="X304" s="223"/>
      <c r="Y304" s="223"/>
      <c r="Z304" s="223"/>
      <c r="AA304" s="223"/>
      <c r="AB304" s="223"/>
      <c r="AC304" s="223"/>
      <c r="AD304" s="223"/>
      <c r="AE304" s="223"/>
      <c r="AF304" s="223"/>
      <c r="AG304" s="223"/>
      <c r="AH304" s="223"/>
      <c r="AI304" s="223"/>
      <c r="AJ304" s="223"/>
      <c r="AK304" s="223"/>
      <c r="AL304" s="223"/>
      <c r="AM304" s="223"/>
      <c r="AN304" s="223"/>
      <c r="AO304" s="223"/>
      <c r="AP304" s="223"/>
      <c r="AQ304" s="223"/>
      <c r="AR304" s="223"/>
      <c r="AS304" s="223"/>
      <c r="AT304" s="223"/>
      <c r="AU304" s="223"/>
      <c r="AV304" s="223"/>
      <c r="AW304" s="223"/>
      <c r="AX304" s="223"/>
      <c r="AY304" s="223"/>
      <c r="AZ304" s="223"/>
      <c r="BA304" s="223"/>
      <c r="BB304" s="223"/>
      <c r="BC304" s="223"/>
      <c r="BD304" s="223"/>
      <c r="BE304" s="223"/>
      <c r="BF304" s="223"/>
      <c r="BG304" s="223"/>
      <c r="BH304" s="223"/>
      <c r="BI304" s="223"/>
      <c r="BJ304" s="223"/>
      <c r="BK304" s="223"/>
      <c r="BL304" s="223"/>
      <c r="BM304" s="223"/>
      <c r="BN304" s="223"/>
      <c r="BO304" s="223"/>
      <c r="BP304" s="223"/>
      <c r="BQ304" s="227"/>
      <c r="BR304" s="227"/>
      <c r="BS304" s="227"/>
      <c r="BT304" s="227"/>
      <c r="BU304" s="227"/>
      <c r="BV304" s="227"/>
      <c r="BW304" s="227"/>
      <c r="BX304" s="227"/>
      <c r="BY304" s="227"/>
      <c r="BZ304" s="227"/>
      <c r="CA304" s="227"/>
      <c r="CB304" s="227"/>
      <c r="CC304" s="227"/>
      <c r="CD304" s="227"/>
      <c r="CE304" s="227"/>
      <c r="CF304" s="227"/>
      <c r="CG304" s="227"/>
      <c r="CH304" s="227"/>
      <c r="CI304" s="227"/>
      <c r="CJ304" s="227"/>
      <c r="CK304" s="227"/>
      <c r="CL304" s="227"/>
      <c r="CM304" s="227"/>
      <c r="CN304" s="227"/>
      <c r="CO304" s="227"/>
      <c r="CP304" s="227"/>
      <c r="CQ304" s="227"/>
      <c r="CR304" s="227"/>
      <c r="CS304" s="227"/>
      <c r="CT304" s="227"/>
      <c r="CU304" s="225"/>
      <c r="CV304" s="227"/>
    </row>
    <row r="305" spans="1:100" ht="20.100000000000001" customHeight="1">
      <c r="A305" s="227">
        <v>149</v>
      </c>
      <c r="B305" s="225"/>
      <c r="C305" s="227"/>
      <c r="D305" s="228" cm="1">
        <f t="array" ref="D305">IFERROR(
(SUMPRODUCT(E305:CU305*$E$6:$CU$6)/100) + (SUMPRODUCT(E305:CU305*$E$6:$CU$6*$E$3:$CU$3)/100),
0
)</f>
        <v>0</v>
      </c>
      <c r="E305" s="227"/>
      <c r="F305" s="227"/>
      <c r="G305" s="227"/>
      <c r="H305" s="227"/>
      <c r="I305" s="227"/>
      <c r="J305" s="227"/>
      <c r="K305" s="227"/>
      <c r="L305" s="227"/>
      <c r="M305" s="227"/>
      <c r="N305" s="227"/>
      <c r="O305" s="227"/>
      <c r="P305" s="227"/>
      <c r="Q305" s="227"/>
      <c r="R305" s="227"/>
      <c r="S305" s="227"/>
      <c r="T305" s="227"/>
      <c r="U305" s="227"/>
      <c r="V305" s="227"/>
      <c r="W305" s="227"/>
      <c r="X305" s="227"/>
      <c r="Y305" s="227"/>
      <c r="Z305" s="227"/>
      <c r="AA305" s="227"/>
      <c r="AB305" s="227"/>
      <c r="AC305" s="227"/>
      <c r="AD305" s="227"/>
      <c r="AE305" s="227"/>
      <c r="AF305" s="227"/>
      <c r="AG305" s="227"/>
      <c r="AH305" s="227"/>
      <c r="AI305" s="227"/>
      <c r="AJ305" s="227"/>
      <c r="AK305" s="227"/>
      <c r="AL305" s="227"/>
      <c r="AM305" s="227"/>
      <c r="AN305" s="227"/>
      <c r="AO305" s="227"/>
      <c r="AP305" s="227"/>
      <c r="AQ305" s="227"/>
      <c r="AR305" s="227"/>
      <c r="AS305" s="227"/>
      <c r="AT305" s="227"/>
      <c r="AU305" s="227"/>
      <c r="AV305" s="227"/>
      <c r="AW305" s="227"/>
      <c r="AX305" s="227"/>
      <c r="AY305" s="227"/>
      <c r="AZ305" s="227"/>
      <c r="BA305" s="227"/>
      <c r="BB305" s="227"/>
      <c r="BC305" s="227"/>
      <c r="BD305" s="227"/>
      <c r="BE305" s="227"/>
      <c r="BF305" s="227"/>
      <c r="BG305" s="227"/>
      <c r="BH305" s="227"/>
      <c r="BI305" s="227"/>
      <c r="BJ305" s="227"/>
      <c r="BK305" s="227"/>
      <c r="BL305" s="227"/>
      <c r="BM305" s="227"/>
      <c r="BN305" s="227"/>
      <c r="BO305" s="227"/>
      <c r="BP305" s="227"/>
      <c r="BQ305" s="227"/>
      <c r="BR305" s="227"/>
      <c r="BS305" s="227"/>
      <c r="BT305" s="227"/>
      <c r="BU305" s="227"/>
      <c r="BV305" s="227"/>
      <c r="BW305" s="227"/>
      <c r="BX305" s="227"/>
      <c r="BY305" s="227"/>
      <c r="BZ305" s="227"/>
      <c r="CA305" s="227"/>
      <c r="CB305" s="227"/>
      <c r="CC305" s="227"/>
      <c r="CD305" s="227"/>
      <c r="CE305" s="227"/>
      <c r="CF305" s="227"/>
      <c r="CG305" s="227"/>
      <c r="CH305" s="227"/>
      <c r="CI305" s="227"/>
      <c r="CJ305" s="227"/>
      <c r="CK305" s="227"/>
      <c r="CL305" s="227"/>
      <c r="CM305" s="227"/>
      <c r="CN305" s="227"/>
      <c r="CO305" s="227"/>
      <c r="CP305" s="227"/>
      <c r="CQ305" s="227"/>
      <c r="CR305" s="227"/>
      <c r="CS305" s="227"/>
      <c r="CT305" s="227"/>
      <c r="CU305" s="225"/>
      <c r="CV305" s="227"/>
    </row>
    <row r="306" spans="1:100" ht="20.100000000000001" customHeight="1">
      <c r="A306" s="227"/>
      <c r="B306" s="225"/>
      <c r="C306" s="227"/>
      <c r="D306" s="224"/>
      <c r="E306" s="223"/>
      <c r="F306" s="223"/>
      <c r="G306" s="223"/>
      <c r="H306" s="223"/>
      <c r="I306" s="223"/>
      <c r="J306" s="223"/>
      <c r="K306" s="223"/>
      <c r="L306" s="223"/>
      <c r="M306" s="223"/>
      <c r="N306" s="223"/>
      <c r="O306" s="223"/>
      <c r="P306" s="223"/>
      <c r="Q306" s="223"/>
      <c r="R306" s="223"/>
      <c r="S306" s="223"/>
      <c r="T306" s="223"/>
      <c r="U306" s="223"/>
      <c r="V306" s="223"/>
      <c r="W306" s="223"/>
      <c r="X306" s="223"/>
      <c r="Y306" s="223"/>
      <c r="Z306" s="223"/>
      <c r="AA306" s="223"/>
      <c r="AB306" s="223"/>
      <c r="AC306" s="223"/>
      <c r="AD306" s="223"/>
      <c r="AE306" s="223"/>
      <c r="AF306" s="223"/>
      <c r="AG306" s="223"/>
      <c r="AH306" s="223"/>
      <c r="AI306" s="223"/>
      <c r="AJ306" s="223"/>
      <c r="AK306" s="223"/>
      <c r="AL306" s="223"/>
      <c r="AM306" s="223"/>
      <c r="AN306" s="223"/>
      <c r="AO306" s="223"/>
      <c r="AP306" s="223"/>
      <c r="AQ306" s="223"/>
      <c r="AR306" s="223"/>
      <c r="AS306" s="223"/>
      <c r="AT306" s="223"/>
      <c r="AU306" s="223"/>
      <c r="AV306" s="223"/>
      <c r="AW306" s="223"/>
      <c r="AX306" s="223"/>
      <c r="AY306" s="223"/>
      <c r="AZ306" s="223"/>
      <c r="BA306" s="223"/>
      <c r="BB306" s="223"/>
      <c r="BC306" s="223"/>
      <c r="BD306" s="223"/>
      <c r="BE306" s="223"/>
      <c r="BF306" s="223"/>
      <c r="BG306" s="223"/>
      <c r="BH306" s="223"/>
      <c r="BI306" s="223"/>
      <c r="BJ306" s="223"/>
      <c r="BK306" s="223"/>
      <c r="BL306" s="223"/>
      <c r="BM306" s="223"/>
      <c r="BN306" s="223"/>
      <c r="BO306" s="223"/>
      <c r="BP306" s="223"/>
      <c r="BQ306" s="227"/>
      <c r="BR306" s="227"/>
      <c r="BS306" s="227"/>
      <c r="BT306" s="227"/>
      <c r="BU306" s="227"/>
      <c r="BV306" s="227"/>
      <c r="BW306" s="227"/>
      <c r="BX306" s="227"/>
      <c r="BY306" s="227"/>
      <c r="BZ306" s="227"/>
      <c r="CA306" s="227"/>
      <c r="CB306" s="227"/>
      <c r="CC306" s="227"/>
      <c r="CD306" s="227"/>
      <c r="CE306" s="227"/>
      <c r="CF306" s="227"/>
      <c r="CG306" s="227"/>
      <c r="CH306" s="227"/>
      <c r="CI306" s="227"/>
      <c r="CJ306" s="227"/>
      <c r="CK306" s="227"/>
      <c r="CL306" s="227"/>
      <c r="CM306" s="227"/>
      <c r="CN306" s="227"/>
      <c r="CO306" s="227"/>
      <c r="CP306" s="227"/>
      <c r="CQ306" s="227"/>
      <c r="CR306" s="227"/>
      <c r="CS306" s="227"/>
      <c r="CT306" s="227"/>
      <c r="CU306" s="225"/>
      <c r="CV306" s="227"/>
    </row>
    <row r="307" spans="1:100" ht="20.100000000000001" customHeight="1">
      <c r="A307" s="227">
        <v>150</v>
      </c>
      <c r="B307" s="225"/>
      <c r="C307" s="227"/>
      <c r="D307" s="228" cm="1">
        <f t="array" ref="D307">IFERROR(
(SUMPRODUCT(E307:CU307*$E$6:$CU$6)/100) + (SUMPRODUCT(E307:CU307*$E$6:$CU$6*$E$3:$CU$3)/100),
0
)</f>
        <v>0</v>
      </c>
      <c r="E307" s="227"/>
      <c r="F307" s="227"/>
      <c r="G307" s="227"/>
      <c r="H307" s="227"/>
      <c r="I307" s="227"/>
      <c r="J307" s="227"/>
      <c r="K307" s="227"/>
      <c r="L307" s="227"/>
      <c r="M307" s="227"/>
      <c r="N307" s="227"/>
      <c r="O307" s="227"/>
      <c r="P307" s="227"/>
      <c r="Q307" s="227"/>
      <c r="R307" s="227"/>
      <c r="S307" s="227"/>
      <c r="T307" s="227"/>
      <c r="U307" s="227"/>
      <c r="V307" s="227"/>
      <c r="W307" s="227"/>
      <c r="X307" s="227"/>
      <c r="Y307" s="227"/>
      <c r="Z307" s="227"/>
      <c r="AA307" s="227"/>
      <c r="AB307" s="227"/>
      <c r="AC307" s="227"/>
      <c r="AD307" s="227"/>
      <c r="AE307" s="227"/>
      <c r="AF307" s="227"/>
      <c r="AG307" s="227"/>
      <c r="AH307" s="227"/>
      <c r="AI307" s="227"/>
      <c r="AJ307" s="227"/>
      <c r="AK307" s="227"/>
      <c r="AL307" s="227"/>
      <c r="AM307" s="227"/>
      <c r="AN307" s="227"/>
      <c r="AO307" s="227"/>
      <c r="AP307" s="227"/>
      <c r="AQ307" s="227"/>
      <c r="AR307" s="227"/>
      <c r="AS307" s="227"/>
      <c r="AT307" s="227"/>
      <c r="AU307" s="227"/>
      <c r="AV307" s="227"/>
      <c r="AW307" s="227"/>
      <c r="AX307" s="227"/>
      <c r="AY307" s="227"/>
      <c r="AZ307" s="227"/>
      <c r="BA307" s="227"/>
      <c r="BB307" s="227"/>
      <c r="BC307" s="227"/>
      <c r="BD307" s="227"/>
      <c r="BE307" s="227"/>
      <c r="BF307" s="227"/>
      <c r="BG307" s="227"/>
      <c r="BH307" s="227"/>
      <c r="BI307" s="227"/>
      <c r="BJ307" s="227"/>
      <c r="BK307" s="227"/>
      <c r="BL307" s="227"/>
      <c r="BM307" s="227"/>
      <c r="BN307" s="227"/>
      <c r="BO307" s="227"/>
      <c r="BP307" s="227"/>
      <c r="BQ307" s="227"/>
      <c r="BR307" s="227"/>
      <c r="BS307" s="227"/>
      <c r="BT307" s="227"/>
      <c r="BU307" s="227"/>
      <c r="BV307" s="227"/>
      <c r="BW307" s="227"/>
      <c r="BX307" s="227"/>
      <c r="BY307" s="227"/>
      <c r="BZ307" s="227"/>
      <c r="CA307" s="227"/>
      <c r="CB307" s="227"/>
      <c r="CC307" s="227"/>
      <c r="CD307" s="227"/>
      <c r="CE307" s="227"/>
      <c r="CF307" s="227"/>
      <c r="CG307" s="227"/>
      <c r="CH307" s="227"/>
      <c r="CI307" s="227"/>
      <c r="CJ307" s="227"/>
      <c r="CK307" s="227"/>
      <c r="CL307" s="227"/>
      <c r="CM307" s="227"/>
      <c r="CN307" s="227"/>
      <c r="CO307" s="227"/>
      <c r="CP307" s="227"/>
      <c r="CQ307" s="227"/>
      <c r="CR307" s="227"/>
      <c r="CS307" s="227"/>
      <c r="CT307" s="227"/>
      <c r="CU307" s="225"/>
      <c r="CV307" s="227"/>
    </row>
    <row r="308" spans="1:100" ht="20.100000000000001" customHeight="1">
      <c r="A308" s="223"/>
      <c r="B308" s="225"/>
      <c r="C308" s="227"/>
      <c r="D308" s="224"/>
      <c r="E308" s="223"/>
      <c r="F308" s="223"/>
      <c r="G308" s="223"/>
      <c r="H308" s="223"/>
      <c r="I308" s="223"/>
      <c r="J308" s="223"/>
      <c r="K308" s="223"/>
      <c r="L308" s="223"/>
      <c r="M308" s="223"/>
      <c r="N308" s="223"/>
      <c r="O308" s="223"/>
      <c r="P308" s="223"/>
      <c r="Q308" s="223"/>
      <c r="R308" s="223"/>
      <c r="S308" s="223"/>
      <c r="T308" s="223"/>
      <c r="U308" s="223"/>
      <c r="V308" s="223"/>
      <c r="W308" s="223"/>
      <c r="X308" s="223"/>
      <c r="Y308" s="223"/>
      <c r="Z308" s="223"/>
      <c r="AA308" s="223"/>
      <c r="AB308" s="223"/>
      <c r="AC308" s="223"/>
      <c r="AD308" s="223"/>
      <c r="AE308" s="223"/>
      <c r="AF308" s="223"/>
      <c r="AG308" s="223"/>
      <c r="AH308" s="223"/>
      <c r="AI308" s="223"/>
      <c r="AJ308" s="223"/>
      <c r="AK308" s="223"/>
      <c r="AL308" s="223"/>
      <c r="AM308" s="223"/>
      <c r="AN308" s="223"/>
      <c r="AO308" s="223"/>
      <c r="AP308" s="223"/>
      <c r="AQ308" s="223"/>
      <c r="AR308" s="223"/>
      <c r="AS308" s="223"/>
      <c r="AT308" s="223"/>
      <c r="AU308" s="223"/>
      <c r="AV308" s="223"/>
      <c r="AW308" s="223"/>
      <c r="AX308" s="223"/>
      <c r="AY308" s="223"/>
      <c r="AZ308" s="223"/>
      <c r="BA308" s="223"/>
      <c r="BB308" s="223"/>
      <c r="BC308" s="223"/>
      <c r="BD308" s="223"/>
      <c r="BE308" s="223"/>
      <c r="BF308" s="223"/>
      <c r="BG308" s="223"/>
      <c r="BH308" s="223"/>
      <c r="BI308" s="223"/>
      <c r="BJ308" s="223"/>
      <c r="BK308" s="223"/>
      <c r="BL308" s="223"/>
      <c r="BM308" s="223"/>
      <c r="BN308" s="223"/>
      <c r="BO308" s="223"/>
      <c r="BP308" s="223"/>
      <c r="BQ308" s="227"/>
      <c r="BR308" s="227"/>
      <c r="BS308" s="227"/>
      <c r="BT308" s="227"/>
      <c r="BU308" s="227"/>
      <c r="BV308" s="227"/>
      <c r="BW308" s="227"/>
      <c r="BX308" s="227"/>
      <c r="BY308" s="227"/>
      <c r="BZ308" s="227"/>
      <c r="CA308" s="227"/>
      <c r="CB308" s="227"/>
      <c r="CC308" s="227"/>
      <c r="CD308" s="227"/>
      <c r="CE308" s="227"/>
      <c r="CF308" s="227"/>
      <c r="CG308" s="227"/>
      <c r="CH308" s="227"/>
      <c r="CI308" s="227"/>
      <c r="CJ308" s="227"/>
      <c r="CK308" s="227"/>
      <c r="CL308" s="227"/>
      <c r="CM308" s="227"/>
      <c r="CN308" s="227"/>
      <c r="CO308" s="227"/>
      <c r="CP308" s="227"/>
      <c r="CQ308" s="227"/>
      <c r="CR308" s="227"/>
      <c r="CS308" s="227"/>
      <c r="CT308" s="227"/>
      <c r="CU308" s="225"/>
      <c r="CV308" s="227"/>
    </row>
    <row r="309" spans="1:100" ht="20.100000000000001" customHeight="1">
      <c r="A309" s="227">
        <v>151</v>
      </c>
      <c r="B309" s="225"/>
      <c r="C309" s="227"/>
      <c r="D309" s="228" cm="1">
        <f t="array" ref="D309">IFERROR(
(SUMPRODUCT(E309:CU309*$E$6:$CU$6)/100) + (SUMPRODUCT(E309:CU309*$E$6:$CU$6*$E$3:$CU$3)/100),
0
)</f>
        <v>0</v>
      </c>
      <c r="E309" s="227"/>
      <c r="F309" s="227"/>
      <c r="G309" s="227"/>
      <c r="H309" s="227"/>
      <c r="I309" s="227"/>
      <c r="J309" s="227"/>
      <c r="K309" s="227"/>
      <c r="L309" s="227"/>
      <c r="M309" s="227"/>
      <c r="N309" s="227"/>
      <c r="O309" s="227"/>
      <c r="P309" s="227"/>
      <c r="Q309" s="227"/>
      <c r="R309" s="227"/>
      <c r="S309" s="227"/>
      <c r="T309" s="227"/>
      <c r="U309" s="227"/>
      <c r="V309" s="227"/>
      <c r="W309" s="227"/>
      <c r="X309" s="227"/>
      <c r="Y309" s="227"/>
      <c r="Z309" s="227"/>
      <c r="AA309" s="227"/>
      <c r="AB309" s="227"/>
      <c r="AC309" s="227"/>
      <c r="AD309" s="227"/>
      <c r="AE309" s="227"/>
      <c r="AF309" s="227"/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27"/>
      <c r="BC309" s="227"/>
      <c r="BD309" s="227"/>
      <c r="BE309" s="227"/>
      <c r="BF309" s="227"/>
      <c r="BG309" s="227"/>
      <c r="BH309" s="227"/>
      <c r="BI309" s="227"/>
      <c r="BJ309" s="227"/>
      <c r="BK309" s="227"/>
      <c r="BL309" s="227"/>
      <c r="BM309" s="227"/>
      <c r="BN309" s="227"/>
      <c r="BO309" s="227"/>
      <c r="BP309" s="227"/>
      <c r="BQ309" s="227"/>
      <c r="BR309" s="227"/>
      <c r="BS309" s="227"/>
      <c r="BT309" s="227"/>
      <c r="BU309" s="227"/>
      <c r="BV309" s="227"/>
      <c r="BW309" s="227"/>
      <c r="BX309" s="227"/>
      <c r="BY309" s="227"/>
      <c r="BZ309" s="227"/>
      <c r="CA309" s="227"/>
      <c r="CB309" s="227"/>
      <c r="CC309" s="227"/>
      <c r="CD309" s="227"/>
      <c r="CE309" s="227"/>
      <c r="CF309" s="227"/>
      <c r="CG309" s="227"/>
      <c r="CH309" s="227"/>
      <c r="CI309" s="227"/>
      <c r="CJ309" s="227"/>
      <c r="CK309" s="227"/>
      <c r="CL309" s="227"/>
      <c r="CM309" s="227"/>
      <c r="CN309" s="227"/>
      <c r="CO309" s="227"/>
      <c r="CP309" s="227"/>
      <c r="CQ309" s="227"/>
      <c r="CR309" s="227"/>
      <c r="CS309" s="227"/>
      <c r="CT309" s="227"/>
      <c r="CU309" s="225"/>
      <c r="CV309" s="227"/>
    </row>
    <row r="310" spans="1:100" ht="20.100000000000001" customHeight="1">
      <c r="A310" s="227"/>
      <c r="B310" s="225"/>
      <c r="C310" s="227"/>
      <c r="D310" s="224"/>
      <c r="E310" s="223"/>
      <c r="F310" s="223"/>
      <c r="G310" s="223"/>
      <c r="H310" s="223"/>
      <c r="I310" s="223"/>
      <c r="J310" s="223"/>
      <c r="K310" s="223"/>
      <c r="L310" s="223"/>
      <c r="M310" s="223"/>
      <c r="N310" s="223"/>
      <c r="O310" s="223"/>
      <c r="P310" s="223"/>
      <c r="Q310" s="223"/>
      <c r="R310" s="223"/>
      <c r="S310" s="223"/>
      <c r="T310" s="223"/>
      <c r="U310" s="223"/>
      <c r="V310" s="223"/>
      <c r="W310" s="223"/>
      <c r="X310" s="223"/>
      <c r="Y310" s="223"/>
      <c r="Z310" s="223"/>
      <c r="AA310" s="223"/>
      <c r="AB310" s="223"/>
      <c r="AC310" s="223"/>
      <c r="AD310" s="223"/>
      <c r="AE310" s="223"/>
      <c r="AF310" s="223"/>
      <c r="AG310" s="223"/>
      <c r="AH310" s="223"/>
      <c r="AI310" s="223"/>
      <c r="AJ310" s="223"/>
      <c r="AK310" s="223"/>
      <c r="AL310" s="223"/>
      <c r="AM310" s="223"/>
      <c r="AN310" s="223"/>
      <c r="AO310" s="223"/>
      <c r="AP310" s="223"/>
      <c r="AQ310" s="223"/>
      <c r="AR310" s="223"/>
      <c r="AS310" s="223"/>
      <c r="AT310" s="223"/>
      <c r="AU310" s="223"/>
      <c r="AV310" s="223"/>
      <c r="AW310" s="223"/>
      <c r="AX310" s="223"/>
      <c r="AY310" s="223"/>
      <c r="AZ310" s="223"/>
      <c r="BA310" s="223"/>
      <c r="BB310" s="223"/>
      <c r="BC310" s="223"/>
      <c r="BD310" s="223"/>
      <c r="BE310" s="223"/>
      <c r="BF310" s="223"/>
      <c r="BG310" s="223"/>
      <c r="BH310" s="223"/>
      <c r="BI310" s="223"/>
      <c r="BJ310" s="223"/>
      <c r="BK310" s="223"/>
      <c r="BL310" s="223"/>
      <c r="BM310" s="223"/>
      <c r="BN310" s="223"/>
      <c r="BO310" s="223"/>
      <c r="BP310" s="223"/>
      <c r="BQ310" s="227"/>
      <c r="BR310" s="227"/>
      <c r="BS310" s="227"/>
      <c r="BT310" s="227"/>
      <c r="BU310" s="227"/>
      <c r="BV310" s="227"/>
      <c r="BW310" s="227"/>
      <c r="BX310" s="227"/>
      <c r="BY310" s="227"/>
      <c r="BZ310" s="227"/>
      <c r="CA310" s="227"/>
      <c r="CB310" s="227"/>
      <c r="CC310" s="227"/>
      <c r="CD310" s="227"/>
      <c r="CE310" s="227"/>
      <c r="CF310" s="227"/>
      <c r="CG310" s="227"/>
      <c r="CH310" s="227"/>
      <c r="CI310" s="227"/>
      <c r="CJ310" s="227"/>
      <c r="CK310" s="227"/>
      <c r="CL310" s="227"/>
      <c r="CM310" s="227"/>
      <c r="CN310" s="227"/>
      <c r="CO310" s="227"/>
      <c r="CP310" s="227"/>
      <c r="CQ310" s="227"/>
      <c r="CR310" s="227"/>
      <c r="CS310" s="227"/>
      <c r="CT310" s="227"/>
      <c r="CU310" s="225"/>
      <c r="CV310" s="227"/>
    </row>
    <row r="311" spans="1:100" ht="20.100000000000001" customHeight="1">
      <c r="A311" s="227">
        <v>152</v>
      </c>
      <c r="B311" s="225"/>
      <c r="C311" s="227"/>
      <c r="D311" s="228" cm="1">
        <f t="array" ref="D311">IFERROR(
(SUMPRODUCT(E311:CU311*$E$6:$CU$6)/100) + (SUMPRODUCT(E311:CU311*$E$6:$CU$6*$E$3:$CU$3)/100),
0
)</f>
        <v>0</v>
      </c>
      <c r="E311" s="227"/>
      <c r="F311" s="227"/>
      <c r="G311" s="227"/>
      <c r="H311" s="227"/>
      <c r="I311" s="227"/>
      <c r="J311" s="227"/>
      <c r="K311" s="227"/>
      <c r="L311" s="227"/>
      <c r="M311" s="227"/>
      <c r="N311" s="227"/>
      <c r="O311" s="227"/>
      <c r="P311" s="227"/>
      <c r="Q311" s="227"/>
      <c r="R311" s="227"/>
      <c r="S311" s="227"/>
      <c r="T311" s="227"/>
      <c r="U311" s="227"/>
      <c r="V311" s="227"/>
      <c r="W311" s="227"/>
      <c r="X311" s="227"/>
      <c r="Y311" s="227"/>
      <c r="Z311" s="227"/>
      <c r="AA311" s="227"/>
      <c r="AB311" s="227"/>
      <c r="AC311" s="227"/>
      <c r="AD311" s="227"/>
      <c r="AE311" s="227"/>
      <c r="AF311" s="227"/>
      <c r="AG311" s="227"/>
      <c r="AH311" s="227"/>
      <c r="AI311" s="227"/>
      <c r="AJ311" s="227"/>
      <c r="AK311" s="227"/>
      <c r="AL311" s="227"/>
      <c r="AM311" s="227"/>
      <c r="AN311" s="227"/>
      <c r="AO311" s="227"/>
      <c r="AP311" s="227"/>
      <c r="AQ311" s="227"/>
      <c r="AR311" s="227"/>
      <c r="AS311" s="227"/>
      <c r="AT311" s="227"/>
      <c r="AU311" s="227"/>
      <c r="AV311" s="227"/>
      <c r="AW311" s="227"/>
      <c r="AX311" s="227"/>
      <c r="AY311" s="227"/>
      <c r="AZ311" s="227"/>
      <c r="BA311" s="227"/>
      <c r="BB311" s="227"/>
      <c r="BC311" s="227"/>
      <c r="BD311" s="227"/>
      <c r="BE311" s="227"/>
      <c r="BF311" s="227"/>
      <c r="BG311" s="227"/>
      <c r="BH311" s="227"/>
      <c r="BI311" s="227"/>
      <c r="BJ311" s="227"/>
      <c r="BK311" s="227"/>
      <c r="BL311" s="227"/>
      <c r="BM311" s="227"/>
      <c r="BN311" s="227"/>
      <c r="BO311" s="227"/>
      <c r="BP311" s="227"/>
      <c r="BQ311" s="227"/>
      <c r="BR311" s="227"/>
      <c r="BS311" s="227"/>
      <c r="BT311" s="227"/>
      <c r="BU311" s="227"/>
      <c r="BV311" s="227"/>
      <c r="BW311" s="227"/>
      <c r="BX311" s="227"/>
      <c r="BY311" s="227"/>
      <c r="BZ311" s="227"/>
      <c r="CA311" s="227"/>
      <c r="CB311" s="227"/>
      <c r="CC311" s="227"/>
      <c r="CD311" s="227"/>
      <c r="CE311" s="227"/>
      <c r="CF311" s="227"/>
      <c r="CG311" s="227"/>
      <c r="CH311" s="227"/>
      <c r="CI311" s="227"/>
      <c r="CJ311" s="227"/>
      <c r="CK311" s="227"/>
      <c r="CL311" s="227"/>
      <c r="CM311" s="227"/>
      <c r="CN311" s="227"/>
      <c r="CO311" s="227"/>
      <c r="CP311" s="227"/>
      <c r="CQ311" s="227"/>
      <c r="CR311" s="227"/>
      <c r="CS311" s="227"/>
      <c r="CT311" s="227"/>
      <c r="CU311" s="225"/>
      <c r="CV311" s="227"/>
    </row>
    <row r="312" spans="1:100" ht="20.100000000000001" customHeight="1">
      <c r="A312" s="223"/>
      <c r="B312" s="225"/>
      <c r="C312" s="227"/>
      <c r="D312" s="224"/>
      <c r="E312" s="223"/>
      <c r="F312" s="223"/>
      <c r="G312" s="223"/>
      <c r="H312" s="223"/>
      <c r="I312" s="223"/>
      <c r="J312" s="223"/>
      <c r="K312" s="223"/>
      <c r="L312" s="223"/>
      <c r="M312" s="223"/>
      <c r="N312" s="223"/>
      <c r="O312" s="223"/>
      <c r="P312" s="223"/>
      <c r="Q312" s="223"/>
      <c r="R312" s="223"/>
      <c r="S312" s="223"/>
      <c r="T312" s="223"/>
      <c r="U312" s="223"/>
      <c r="V312" s="223"/>
      <c r="W312" s="223"/>
      <c r="X312" s="223"/>
      <c r="Y312" s="223"/>
      <c r="Z312" s="223"/>
      <c r="AA312" s="223"/>
      <c r="AB312" s="223"/>
      <c r="AC312" s="223"/>
      <c r="AD312" s="223"/>
      <c r="AE312" s="223"/>
      <c r="AF312" s="223"/>
      <c r="AG312" s="223"/>
      <c r="AH312" s="223"/>
      <c r="AI312" s="223"/>
      <c r="AJ312" s="223"/>
      <c r="AK312" s="223"/>
      <c r="AL312" s="223"/>
      <c r="AM312" s="223"/>
      <c r="AN312" s="223"/>
      <c r="AO312" s="223"/>
      <c r="AP312" s="223"/>
      <c r="AQ312" s="223"/>
      <c r="AR312" s="223"/>
      <c r="AS312" s="223"/>
      <c r="AT312" s="223"/>
      <c r="AU312" s="223"/>
      <c r="AV312" s="223"/>
      <c r="AW312" s="223"/>
      <c r="AX312" s="223"/>
      <c r="AY312" s="223"/>
      <c r="AZ312" s="223"/>
      <c r="BA312" s="223"/>
      <c r="BB312" s="223"/>
      <c r="BC312" s="223"/>
      <c r="BD312" s="223"/>
      <c r="BE312" s="223"/>
      <c r="BF312" s="223"/>
      <c r="BG312" s="223"/>
      <c r="BH312" s="223"/>
      <c r="BI312" s="223"/>
      <c r="BJ312" s="223"/>
      <c r="BK312" s="223"/>
      <c r="BL312" s="223"/>
      <c r="BM312" s="223"/>
      <c r="BN312" s="223"/>
      <c r="BO312" s="223"/>
      <c r="BP312" s="223"/>
      <c r="BQ312" s="227"/>
      <c r="BR312" s="227"/>
      <c r="BS312" s="227"/>
      <c r="BT312" s="227"/>
      <c r="BU312" s="227"/>
      <c r="BV312" s="227"/>
      <c r="BW312" s="227"/>
      <c r="BX312" s="227"/>
      <c r="BY312" s="227"/>
      <c r="BZ312" s="227"/>
      <c r="CA312" s="227"/>
      <c r="CB312" s="227"/>
      <c r="CC312" s="227"/>
      <c r="CD312" s="227"/>
      <c r="CE312" s="227"/>
      <c r="CF312" s="227"/>
      <c r="CG312" s="227"/>
      <c r="CH312" s="227"/>
      <c r="CI312" s="227"/>
      <c r="CJ312" s="227"/>
      <c r="CK312" s="227"/>
      <c r="CL312" s="227"/>
      <c r="CM312" s="227"/>
      <c r="CN312" s="227"/>
      <c r="CO312" s="227"/>
      <c r="CP312" s="227"/>
      <c r="CQ312" s="227"/>
      <c r="CR312" s="227"/>
      <c r="CS312" s="227"/>
      <c r="CT312" s="227"/>
      <c r="CU312" s="225"/>
      <c r="CV312" s="227"/>
    </row>
    <row r="313" spans="1:100" ht="20.100000000000001" customHeight="1">
      <c r="A313" s="227">
        <v>153</v>
      </c>
      <c r="B313" s="225"/>
      <c r="C313" s="227"/>
      <c r="D313" s="228" cm="1">
        <f t="array" ref="D313">IFERROR(
(SUMPRODUCT(E313:CU313*$E$6:$CU$6)/100) + (SUMPRODUCT(E313:CU313*$E$6:$CU$6*$E$3:$CU$3)/100),
0
)</f>
        <v>0</v>
      </c>
      <c r="E313" s="227"/>
      <c r="F313" s="227"/>
      <c r="G313" s="227"/>
      <c r="H313" s="227"/>
      <c r="I313" s="227"/>
      <c r="J313" s="227"/>
      <c r="K313" s="227"/>
      <c r="L313" s="227"/>
      <c r="M313" s="227"/>
      <c r="N313" s="227"/>
      <c r="O313" s="227"/>
      <c r="P313" s="227"/>
      <c r="Q313" s="227"/>
      <c r="R313" s="227"/>
      <c r="S313" s="227"/>
      <c r="T313" s="227"/>
      <c r="U313" s="227"/>
      <c r="V313" s="227"/>
      <c r="W313" s="227"/>
      <c r="X313" s="227"/>
      <c r="Y313" s="227"/>
      <c r="Z313" s="227"/>
      <c r="AA313" s="227"/>
      <c r="AB313" s="227"/>
      <c r="AC313" s="227"/>
      <c r="AD313" s="227"/>
      <c r="AE313" s="227"/>
      <c r="AF313" s="227"/>
      <c r="AG313" s="227"/>
      <c r="AH313" s="227"/>
      <c r="AI313" s="227"/>
      <c r="AJ313" s="227"/>
      <c r="AK313" s="227"/>
      <c r="AL313" s="227"/>
      <c r="AM313" s="227"/>
      <c r="AN313" s="227"/>
      <c r="AO313" s="227"/>
      <c r="AP313" s="227"/>
      <c r="AQ313" s="227"/>
      <c r="AR313" s="227"/>
      <c r="AS313" s="227"/>
      <c r="AT313" s="227"/>
      <c r="AU313" s="227"/>
      <c r="AV313" s="227"/>
      <c r="AW313" s="227"/>
      <c r="AX313" s="227"/>
      <c r="AY313" s="227"/>
      <c r="AZ313" s="227"/>
      <c r="BA313" s="227"/>
      <c r="BB313" s="227"/>
      <c r="BC313" s="227"/>
      <c r="BD313" s="227"/>
      <c r="BE313" s="227"/>
      <c r="BF313" s="227"/>
      <c r="BG313" s="227"/>
      <c r="BH313" s="227"/>
      <c r="BI313" s="227"/>
      <c r="BJ313" s="227"/>
      <c r="BK313" s="227"/>
      <c r="BL313" s="227"/>
      <c r="BM313" s="227"/>
      <c r="BN313" s="227"/>
      <c r="BO313" s="227"/>
      <c r="BP313" s="227"/>
      <c r="BQ313" s="227"/>
      <c r="BR313" s="227"/>
      <c r="BS313" s="227"/>
      <c r="BT313" s="227"/>
      <c r="BU313" s="227"/>
      <c r="BV313" s="227"/>
      <c r="BW313" s="227"/>
      <c r="BX313" s="227"/>
      <c r="BY313" s="227"/>
      <c r="BZ313" s="227"/>
      <c r="CA313" s="227"/>
      <c r="CB313" s="227"/>
      <c r="CC313" s="227"/>
      <c r="CD313" s="227"/>
      <c r="CE313" s="227"/>
      <c r="CF313" s="227"/>
      <c r="CG313" s="227"/>
      <c r="CH313" s="227"/>
      <c r="CI313" s="227"/>
      <c r="CJ313" s="227"/>
      <c r="CK313" s="227"/>
      <c r="CL313" s="227"/>
      <c r="CM313" s="227"/>
      <c r="CN313" s="227"/>
      <c r="CO313" s="227"/>
      <c r="CP313" s="227"/>
      <c r="CQ313" s="227"/>
      <c r="CR313" s="227"/>
      <c r="CS313" s="227"/>
      <c r="CT313" s="227"/>
      <c r="CU313" s="225"/>
      <c r="CV313" s="227"/>
    </row>
    <row r="314" spans="1:100" ht="20.100000000000001" customHeight="1">
      <c r="A314" s="227"/>
      <c r="B314" s="225"/>
      <c r="C314" s="227"/>
      <c r="D314" s="224"/>
      <c r="E314" s="223"/>
      <c r="F314" s="223"/>
      <c r="G314" s="223"/>
      <c r="H314" s="223"/>
      <c r="I314" s="223"/>
      <c r="J314" s="223"/>
      <c r="K314" s="223"/>
      <c r="L314" s="223"/>
      <c r="M314" s="223"/>
      <c r="N314" s="223"/>
      <c r="O314" s="223"/>
      <c r="P314" s="223"/>
      <c r="Q314" s="223"/>
      <c r="R314" s="223"/>
      <c r="S314" s="223"/>
      <c r="T314" s="223"/>
      <c r="U314" s="223"/>
      <c r="V314" s="223"/>
      <c r="W314" s="223"/>
      <c r="X314" s="223"/>
      <c r="Y314" s="223"/>
      <c r="Z314" s="223"/>
      <c r="AA314" s="223"/>
      <c r="AB314" s="223"/>
      <c r="AC314" s="223"/>
      <c r="AD314" s="223"/>
      <c r="AE314" s="223"/>
      <c r="AF314" s="223"/>
      <c r="AG314" s="223"/>
      <c r="AH314" s="223"/>
      <c r="AI314" s="223"/>
      <c r="AJ314" s="223"/>
      <c r="AK314" s="223"/>
      <c r="AL314" s="223"/>
      <c r="AM314" s="223"/>
      <c r="AN314" s="223"/>
      <c r="AO314" s="223"/>
      <c r="AP314" s="223"/>
      <c r="AQ314" s="223"/>
      <c r="AR314" s="223"/>
      <c r="AS314" s="223"/>
      <c r="AT314" s="223"/>
      <c r="AU314" s="223"/>
      <c r="AV314" s="223"/>
      <c r="AW314" s="223"/>
      <c r="AX314" s="223"/>
      <c r="AY314" s="223"/>
      <c r="AZ314" s="223"/>
      <c r="BA314" s="223"/>
      <c r="BB314" s="223"/>
      <c r="BC314" s="223"/>
      <c r="BD314" s="223"/>
      <c r="BE314" s="223"/>
      <c r="BF314" s="223"/>
      <c r="BG314" s="223"/>
      <c r="BH314" s="223"/>
      <c r="BI314" s="223"/>
      <c r="BJ314" s="223"/>
      <c r="BK314" s="223"/>
      <c r="BL314" s="223"/>
      <c r="BM314" s="223"/>
      <c r="BN314" s="223"/>
      <c r="BO314" s="223"/>
      <c r="BP314" s="223"/>
      <c r="BQ314" s="227"/>
      <c r="BR314" s="227"/>
      <c r="BS314" s="227"/>
      <c r="BT314" s="227"/>
      <c r="BU314" s="227"/>
      <c r="BV314" s="227"/>
      <c r="BW314" s="227"/>
      <c r="BX314" s="227"/>
      <c r="BY314" s="227"/>
      <c r="BZ314" s="227"/>
      <c r="CA314" s="227"/>
      <c r="CB314" s="227"/>
      <c r="CC314" s="227"/>
      <c r="CD314" s="227"/>
      <c r="CE314" s="227"/>
      <c r="CF314" s="227"/>
      <c r="CG314" s="227"/>
      <c r="CH314" s="227"/>
      <c r="CI314" s="227"/>
      <c r="CJ314" s="227"/>
      <c r="CK314" s="227"/>
      <c r="CL314" s="227"/>
      <c r="CM314" s="227"/>
      <c r="CN314" s="227"/>
      <c r="CO314" s="227"/>
      <c r="CP314" s="227"/>
      <c r="CQ314" s="227"/>
      <c r="CR314" s="227"/>
      <c r="CS314" s="227"/>
      <c r="CT314" s="227"/>
      <c r="CU314" s="225"/>
      <c r="CV314" s="227"/>
    </row>
    <row r="315" spans="1:100" ht="20.100000000000001" customHeight="1">
      <c r="A315" s="227">
        <v>154</v>
      </c>
      <c r="B315" s="225"/>
      <c r="C315" s="227"/>
      <c r="D315" s="228" cm="1">
        <f t="array" ref="D315">IFERROR(
(SUMPRODUCT(E315:CU315*$E$6:$CU$6)/100) + (SUMPRODUCT(E315:CU315*$E$6:$CU$6*$E$3:$CU$3)/100),
0
)</f>
        <v>0</v>
      </c>
      <c r="E315" s="227"/>
      <c r="F315" s="227"/>
      <c r="G315" s="227"/>
      <c r="H315" s="227"/>
      <c r="I315" s="227"/>
      <c r="J315" s="227"/>
      <c r="K315" s="227"/>
      <c r="L315" s="227"/>
      <c r="M315" s="227"/>
      <c r="N315" s="227"/>
      <c r="O315" s="227"/>
      <c r="P315" s="227"/>
      <c r="Q315" s="227"/>
      <c r="R315" s="227"/>
      <c r="S315" s="227"/>
      <c r="T315" s="227"/>
      <c r="U315" s="227"/>
      <c r="V315" s="227"/>
      <c r="W315" s="227"/>
      <c r="X315" s="227"/>
      <c r="Y315" s="227"/>
      <c r="Z315" s="227"/>
      <c r="AA315" s="227"/>
      <c r="AB315" s="227"/>
      <c r="AC315" s="227"/>
      <c r="AD315" s="227"/>
      <c r="AE315" s="227"/>
      <c r="AF315" s="227"/>
      <c r="AG315" s="227"/>
      <c r="AH315" s="227"/>
      <c r="AI315" s="227"/>
      <c r="AJ315" s="227"/>
      <c r="AK315" s="227"/>
      <c r="AL315" s="227"/>
      <c r="AM315" s="227"/>
      <c r="AN315" s="227"/>
      <c r="AO315" s="227"/>
      <c r="AP315" s="227"/>
      <c r="AQ315" s="227"/>
      <c r="AR315" s="227"/>
      <c r="AS315" s="227"/>
      <c r="AT315" s="227"/>
      <c r="AU315" s="227"/>
      <c r="AV315" s="227"/>
      <c r="AW315" s="227"/>
      <c r="AX315" s="227"/>
      <c r="AY315" s="227"/>
      <c r="AZ315" s="227"/>
      <c r="BA315" s="227"/>
      <c r="BB315" s="227"/>
      <c r="BC315" s="227"/>
      <c r="BD315" s="227"/>
      <c r="BE315" s="227"/>
      <c r="BF315" s="227"/>
      <c r="BG315" s="227"/>
      <c r="BH315" s="227"/>
      <c r="BI315" s="227"/>
      <c r="BJ315" s="227"/>
      <c r="BK315" s="227"/>
      <c r="BL315" s="227"/>
      <c r="BM315" s="227"/>
      <c r="BN315" s="227"/>
      <c r="BO315" s="227"/>
      <c r="BP315" s="227"/>
      <c r="BQ315" s="227"/>
      <c r="BR315" s="227"/>
      <c r="BS315" s="227"/>
      <c r="BT315" s="227"/>
      <c r="BU315" s="227"/>
      <c r="BV315" s="227"/>
      <c r="BW315" s="227"/>
      <c r="BX315" s="227"/>
      <c r="BY315" s="227"/>
      <c r="BZ315" s="227"/>
      <c r="CA315" s="227"/>
      <c r="CB315" s="227"/>
      <c r="CC315" s="227"/>
      <c r="CD315" s="227"/>
      <c r="CE315" s="227"/>
      <c r="CF315" s="227"/>
      <c r="CG315" s="227"/>
      <c r="CH315" s="227"/>
      <c r="CI315" s="227"/>
      <c r="CJ315" s="227"/>
      <c r="CK315" s="227"/>
      <c r="CL315" s="227"/>
      <c r="CM315" s="227"/>
      <c r="CN315" s="227"/>
      <c r="CO315" s="227"/>
      <c r="CP315" s="227"/>
      <c r="CQ315" s="227"/>
      <c r="CR315" s="227"/>
      <c r="CS315" s="227"/>
      <c r="CT315" s="227"/>
      <c r="CU315" s="225"/>
      <c r="CV315" s="227"/>
    </row>
    <row r="316" spans="1:100" ht="20.100000000000001" customHeight="1">
      <c r="A316" s="223"/>
      <c r="B316" s="225"/>
      <c r="C316" s="227"/>
      <c r="D316" s="224"/>
      <c r="E316" s="223"/>
      <c r="F316" s="223"/>
      <c r="G316" s="223"/>
      <c r="H316" s="223"/>
      <c r="I316" s="223"/>
      <c r="J316" s="223"/>
      <c r="K316" s="223"/>
      <c r="L316" s="223"/>
      <c r="M316" s="223"/>
      <c r="N316" s="223"/>
      <c r="O316" s="223"/>
      <c r="P316" s="223"/>
      <c r="Q316" s="223"/>
      <c r="R316" s="223"/>
      <c r="S316" s="223"/>
      <c r="T316" s="223"/>
      <c r="U316" s="223"/>
      <c r="V316" s="223"/>
      <c r="W316" s="223"/>
      <c r="X316" s="223"/>
      <c r="Y316" s="223"/>
      <c r="Z316" s="223"/>
      <c r="AA316" s="223"/>
      <c r="AB316" s="223"/>
      <c r="AC316" s="223"/>
      <c r="AD316" s="223"/>
      <c r="AE316" s="223"/>
      <c r="AF316" s="223"/>
      <c r="AG316" s="223"/>
      <c r="AH316" s="223"/>
      <c r="AI316" s="223"/>
      <c r="AJ316" s="223"/>
      <c r="AK316" s="223"/>
      <c r="AL316" s="223"/>
      <c r="AM316" s="223"/>
      <c r="AN316" s="223"/>
      <c r="AO316" s="223"/>
      <c r="AP316" s="223"/>
      <c r="AQ316" s="223"/>
      <c r="AR316" s="223"/>
      <c r="AS316" s="223"/>
      <c r="AT316" s="223"/>
      <c r="AU316" s="223"/>
      <c r="AV316" s="223"/>
      <c r="AW316" s="223"/>
      <c r="AX316" s="223"/>
      <c r="AY316" s="223"/>
      <c r="AZ316" s="223"/>
      <c r="BA316" s="223"/>
      <c r="BB316" s="223"/>
      <c r="BC316" s="223"/>
      <c r="BD316" s="223"/>
      <c r="BE316" s="223"/>
      <c r="BF316" s="223"/>
      <c r="BG316" s="223"/>
      <c r="BH316" s="223"/>
      <c r="BI316" s="223"/>
      <c r="BJ316" s="223"/>
      <c r="BK316" s="223"/>
      <c r="BL316" s="223"/>
      <c r="BM316" s="223"/>
      <c r="BN316" s="223"/>
      <c r="BO316" s="223"/>
      <c r="BP316" s="223"/>
      <c r="BQ316" s="227"/>
      <c r="BR316" s="227"/>
      <c r="BS316" s="227"/>
      <c r="BT316" s="227"/>
      <c r="BU316" s="227"/>
      <c r="BV316" s="227"/>
      <c r="BW316" s="227"/>
      <c r="BX316" s="227"/>
      <c r="BY316" s="227"/>
      <c r="BZ316" s="227"/>
      <c r="CA316" s="227"/>
      <c r="CB316" s="227"/>
      <c r="CC316" s="227"/>
      <c r="CD316" s="227"/>
      <c r="CE316" s="227"/>
      <c r="CF316" s="227"/>
      <c r="CG316" s="227"/>
      <c r="CH316" s="227"/>
      <c r="CI316" s="227"/>
      <c r="CJ316" s="227"/>
      <c r="CK316" s="227"/>
      <c r="CL316" s="227"/>
      <c r="CM316" s="227"/>
      <c r="CN316" s="227"/>
      <c r="CO316" s="227"/>
      <c r="CP316" s="227"/>
      <c r="CQ316" s="227"/>
      <c r="CR316" s="227"/>
      <c r="CS316" s="227"/>
      <c r="CT316" s="227"/>
      <c r="CU316" s="225"/>
      <c r="CV316" s="227"/>
    </row>
    <row r="317" spans="1:100" ht="20.100000000000001" customHeight="1">
      <c r="A317" s="227">
        <v>155</v>
      </c>
      <c r="B317" s="225"/>
      <c r="C317" s="227"/>
      <c r="D317" s="228" cm="1">
        <f t="array" ref="D317">IFERROR(
(SUMPRODUCT(E317:CU317*$E$6:$CU$6)/100) + (SUMPRODUCT(E317:CU317*$E$6:$CU$6*$E$3:$CU$3)/100),
0
)</f>
        <v>0</v>
      </c>
      <c r="E317" s="227"/>
      <c r="F317" s="227"/>
      <c r="G317" s="227"/>
      <c r="H317" s="227"/>
      <c r="I317" s="227"/>
      <c r="J317" s="227"/>
      <c r="K317" s="227"/>
      <c r="L317" s="227"/>
      <c r="M317" s="227"/>
      <c r="N317" s="227"/>
      <c r="O317" s="227"/>
      <c r="P317" s="227"/>
      <c r="Q317" s="227"/>
      <c r="R317" s="227"/>
      <c r="S317" s="227"/>
      <c r="T317" s="227"/>
      <c r="U317" s="227"/>
      <c r="V317" s="227"/>
      <c r="W317" s="227"/>
      <c r="X317" s="227"/>
      <c r="Y317" s="227"/>
      <c r="Z317" s="227"/>
      <c r="AA317" s="227"/>
      <c r="AB317" s="227"/>
      <c r="AC317" s="227"/>
      <c r="AD317" s="227"/>
      <c r="AE317" s="227"/>
      <c r="AF317" s="227"/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27"/>
      <c r="BC317" s="227"/>
      <c r="BD317" s="227"/>
      <c r="BE317" s="227"/>
      <c r="BF317" s="227"/>
      <c r="BG317" s="227"/>
      <c r="BH317" s="227"/>
      <c r="BI317" s="227"/>
      <c r="BJ317" s="227"/>
      <c r="BK317" s="227"/>
      <c r="BL317" s="227"/>
      <c r="BM317" s="227"/>
      <c r="BN317" s="227"/>
      <c r="BO317" s="227"/>
      <c r="BP317" s="227"/>
      <c r="BQ317" s="227"/>
      <c r="BR317" s="227"/>
      <c r="BS317" s="227"/>
      <c r="BT317" s="227"/>
      <c r="BU317" s="227"/>
      <c r="BV317" s="227"/>
      <c r="BW317" s="227"/>
      <c r="BX317" s="227"/>
      <c r="BY317" s="227"/>
      <c r="BZ317" s="227"/>
      <c r="CA317" s="227"/>
      <c r="CB317" s="227"/>
      <c r="CC317" s="227"/>
      <c r="CD317" s="227"/>
      <c r="CE317" s="227"/>
      <c r="CF317" s="227"/>
      <c r="CG317" s="227"/>
      <c r="CH317" s="227"/>
      <c r="CI317" s="227"/>
      <c r="CJ317" s="227"/>
      <c r="CK317" s="227"/>
      <c r="CL317" s="227"/>
      <c r="CM317" s="227"/>
      <c r="CN317" s="227"/>
      <c r="CO317" s="227"/>
      <c r="CP317" s="227"/>
      <c r="CQ317" s="227"/>
      <c r="CR317" s="227"/>
      <c r="CS317" s="227"/>
      <c r="CT317" s="227"/>
      <c r="CU317" s="225"/>
      <c r="CV317" s="227"/>
    </row>
    <row r="318" spans="1:100" ht="20.100000000000001" customHeight="1">
      <c r="A318" s="227"/>
      <c r="B318" s="225"/>
      <c r="C318" s="227"/>
      <c r="D318" s="224"/>
      <c r="E318" s="223"/>
      <c r="F318" s="223"/>
      <c r="G318" s="223"/>
      <c r="H318" s="223"/>
      <c r="I318" s="223"/>
      <c r="J318" s="223"/>
      <c r="K318" s="223"/>
      <c r="L318" s="223"/>
      <c r="M318" s="223"/>
      <c r="N318" s="223"/>
      <c r="O318" s="223"/>
      <c r="P318" s="223"/>
      <c r="Q318" s="223"/>
      <c r="R318" s="223"/>
      <c r="S318" s="223"/>
      <c r="T318" s="223"/>
      <c r="U318" s="223"/>
      <c r="V318" s="223"/>
      <c r="W318" s="223"/>
      <c r="X318" s="223"/>
      <c r="Y318" s="223"/>
      <c r="Z318" s="223"/>
      <c r="AA318" s="223"/>
      <c r="AB318" s="223"/>
      <c r="AC318" s="223"/>
      <c r="AD318" s="223"/>
      <c r="AE318" s="223"/>
      <c r="AF318" s="223"/>
      <c r="AG318" s="223"/>
      <c r="AH318" s="223"/>
      <c r="AI318" s="223"/>
      <c r="AJ318" s="223"/>
      <c r="AK318" s="223"/>
      <c r="AL318" s="223"/>
      <c r="AM318" s="223"/>
      <c r="AN318" s="223"/>
      <c r="AO318" s="223"/>
      <c r="AP318" s="223"/>
      <c r="AQ318" s="223"/>
      <c r="AR318" s="223"/>
      <c r="AS318" s="223"/>
      <c r="AT318" s="223"/>
      <c r="AU318" s="223"/>
      <c r="AV318" s="223"/>
      <c r="AW318" s="223"/>
      <c r="AX318" s="223"/>
      <c r="AY318" s="223"/>
      <c r="AZ318" s="223"/>
      <c r="BA318" s="223"/>
      <c r="BB318" s="223"/>
      <c r="BC318" s="223"/>
      <c r="BD318" s="223"/>
      <c r="BE318" s="223"/>
      <c r="BF318" s="223"/>
      <c r="BG318" s="223"/>
      <c r="BH318" s="223"/>
      <c r="BI318" s="223"/>
      <c r="BJ318" s="223"/>
      <c r="BK318" s="223"/>
      <c r="BL318" s="223"/>
      <c r="BM318" s="223"/>
      <c r="BN318" s="223"/>
      <c r="BO318" s="223"/>
      <c r="BP318" s="223"/>
      <c r="BQ318" s="227"/>
      <c r="BR318" s="227"/>
      <c r="BS318" s="227"/>
      <c r="BT318" s="227"/>
      <c r="BU318" s="227"/>
      <c r="BV318" s="227"/>
      <c r="BW318" s="227"/>
      <c r="BX318" s="227"/>
      <c r="BY318" s="227"/>
      <c r="BZ318" s="227"/>
      <c r="CA318" s="227"/>
      <c r="CB318" s="227"/>
      <c r="CC318" s="227"/>
      <c r="CD318" s="227"/>
      <c r="CE318" s="227"/>
      <c r="CF318" s="227"/>
      <c r="CG318" s="227"/>
      <c r="CH318" s="227"/>
      <c r="CI318" s="227"/>
      <c r="CJ318" s="227"/>
      <c r="CK318" s="227"/>
      <c r="CL318" s="227"/>
      <c r="CM318" s="227"/>
      <c r="CN318" s="227"/>
      <c r="CO318" s="227"/>
      <c r="CP318" s="227"/>
      <c r="CQ318" s="227"/>
      <c r="CR318" s="227"/>
      <c r="CS318" s="227"/>
      <c r="CT318" s="227"/>
      <c r="CU318" s="225"/>
      <c r="CV318" s="227"/>
    </row>
    <row r="319" spans="1:100" ht="20.100000000000001" customHeight="1">
      <c r="A319" s="227">
        <v>156</v>
      </c>
      <c r="B319" s="225"/>
      <c r="C319" s="227"/>
      <c r="D319" s="228" cm="1">
        <f t="array" ref="D319">IFERROR(
(SUMPRODUCT(E319:CU319*$E$6:$CU$6)/100) + (SUMPRODUCT(E319:CU319*$E$6:$CU$6*$E$3:$CU$3)/100),
0
)</f>
        <v>0</v>
      </c>
      <c r="E319" s="227"/>
      <c r="F319" s="227"/>
      <c r="G319" s="227"/>
      <c r="H319" s="227"/>
      <c r="I319" s="227"/>
      <c r="J319" s="227"/>
      <c r="K319" s="227"/>
      <c r="L319" s="227"/>
      <c r="M319" s="227"/>
      <c r="N319" s="227"/>
      <c r="O319" s="227"/>
      <c r="P319" s="227"/>
      <c r="Q319" s="227"/>
      <c r="R319" s="227"/>
      <c r="S319" s="227"/>
      <c r="T319" s="227"/>
      <c r="U319" s="227"/>
      <c r="V319" s="227"/>
      <c r="W319" s="227"/>
      <c r="X319" s="227"/>
      <c r="Y319" s="227"/>
      <c r="Z319" s="227"/>
      <c r="AA319" s="227"/>
      <c r="AB319" s="227"/>
      <c r="AC319" s="227"/>
      <c r="AD319" s="227"/>
      <c r="AE319" s="227"/>
      <c r="AF319" s="227"/>
      <c r="AG319" s="227"/>
      <c r="AH319" s="227"/>
      <c r="AI319" s="227"/>
      <c r="AJ319" s="227"/>
      <c r="AK319" s="227"/>
      <c r="AL319" s="227"/>
      <c r="AM319" s="227"/>
      <c r="AN319" s="227"/>
      <c r="AO319" s="227"/>
      <c r="AP319" s="227"/>
      <c r="AQ319" s="227"/>
      <c r="AR319" s="227"/>
      <c r="AS319" s="227"/>
      <c r="AT319" s="227"/>
      <c r="AU319" s="227"/>
      <c r="AV319" s="227"/>
      <c r="AW319" s="227"/>
      <c r="AX319" s="227"/>
      <c r="AY319" s="227"/>
      <c r="AZ319" s="227"/>
      <c r="BA319" s="227"/>
      <c r="BB319" s="227"/>
      <c r="BC319" s="227"/>
      <c r="BD319" s="227"/>
      <c r="BE319" s="227"/>
      <c r="BF319" s="227"/>
      <c r="BG319" s="227"/>
      <c r="BH319" s="227"/>
      <c r="BI319" s="227"/>
      <c r="BJ319" s="227"/>
      <c r="BK319" s="227"/>
      <c r="BL319" s="227"/>
      <c r="BM319" s="227"/>
      <c r="BN319" s="227"/>
      <c r="BO319" s="227"/>
      <c r="BP319" s="227"/>
      <c r="BQ319" s="227"/>
      <c r="BR319" s="227"/>
      <c r="BS319" s="227"/>
      <c r="BT319" s="227"/>
      <c r="BU319" s="227"/>
      <c r="BV319" s="227"/>
      <c r="BW319" s="227"/>
      <c r="BX319" s="227"/>
      <c r="BY319" s="227"/>
      <c r="BZ319" s="227"/>
      <c r="CA319" s="227"/>
      <c r="CB319" s="227"/>
      <c r="CC319" s="227"/>
      <c r="CD319" s="227"/>
      <c r="CE319" s="227"/>
      <c r="CF319" s="227"/>
      <c r="CG319" s="227"/>
      <c r="CH319" s="227"/>
      <c r="CI319" s="227"/>
      <c r="CJ319" s="227"/>
      <c r="CK319" s="227"/>
      <c r="CL319" s="227"/>
      <c r="CM319" s="227"/>
      <c r="CN319" s="227"/>
      <c r="CO319" s="227"/>
      <c r="CP319" s="227"/>
      <c r="CQ319" s="227"/>
      <c r="CR319" s="227"/>
      <c r="CS319" s="227"/>
      <c r="CT319" s="227"/>
      <c r="CU319" s="225"/>
      <c r="CV319" s="227"/>
    </row>
    <row r="320" spans="1:100" ht="20.100000000000001" customHeight="1">
      <c r="A320" s="223"/>
      <c r="B320" s="225"/>
      <c r="C320" s="227"/>
      <c r="D320" s="224"/>
      <c r="E320" s="223"/>
      <c r="F320" s="223"/>
      <c r="G320" s="223"/>
      <c r="H320" s="223"/>
      <c r="I320" s="223"/>
      <c r="J320" s="223"/>
      <c r="K320" s="223"/>
      <c r="L320" s="223"/>
      <c r="M320" s="223"/>
      <c r="N320" s="223"/>
      <c r="O320" s="223"/>
      <c r="P320" s="223"/>
      <c r="Q320" s="223"/>
      <c r="R320" s="223"/>
      <c r="S320" s="223"/>
      <c r="T320" s="223"/>
      <c r="U320" s="223"/>
      <c r="V320" s="223"/>
      <c r="W320" s="223"/>
      <c r="X320" s="223"/>
      <c r="Y320" s="223"/>
      <c r="Z320" s="223"/>
      <c r="AA320" s="223"/>
      <c r="AB320" s="223"/>
      <c r="AC320" s="223"/>
      <c r="AD320" s="223"/>
      <c r="AE320" s="223"/>
      <c r="AF320" s="223"/>
      <c r="AG320" s="223"/>
      <c r="AH320" s="223"/>
      <c r="AI320" s="223"/>
      <c r="AJ320" s="223"/>
      <c r="AK320" s="223"/>
      <c r="AL320" s="223"/>
      <c r="AM320" s="223"/>
      <c r="AN320" s="223"/>
      <c r="AO320" s="223"/>
      <c r="AP320" s="223"/>
      <c r="AQ320" s="223"/>
      <c r="AR320" s="223"/>
      <c r="AS320" s="223"/>
      <c r="AT320" s="223"/>
      <c r="AU320" s="223"/>
      <c r="AV320" s="223"/>
      <c r="AW320" s="223"/>
      <c r="AX320" s="223"/>
      <c r="AY320" s="223"/>
      <c r="AZ320" s="223"/>
      <c r="BA320" s="223"/>
      <c r="BB320" s="223"/>
      <c r="BC320" s="223"/>
      <c r="BD320" s="223"/>
      <c r="BE320" s="223"/>
      <c r="BF320" s="223"/>
      <c r="BG320" s="223"/>
      <c r="BH320" s="223"/>
      <c r="BI320" s="223"/>
      <c r="BJ320" s="223"/>
      <c r="BK320" s="223"/>
      <c r="BL320" s="223"/>
      <c r="BM320" s="223"/>
      <c r="BN320" s="223"/>
      <c r="BO320" s="223"/>
      <c r="BP320" s="223"/>
      <c r="BQ320" s="227"/>
      <c r="BR320" s="227"/>
      <c r="BS320" s="227"/>
      <c r="BT320" s="227"/>
      <c r="BU320" s="227"/>
      <c r="BV320" s="227"/>
      <c r="BW320" s="227"/>
      <c r="BX320" s="227"/>
      <c r="BY320" s="227"/>
      <c r="BZ320" s="227"/>
      <c r="CA320" s="227"/>
      <c r="CB320" s="227"/>
      <c r="CC320" s="227"/>
      <c r="CD320" s="227"/>
      <c r="CE320" s="227"/>
      <c r="CF320" s="227"/>
      <c r="CG320" s="227"/>
      <c r="CH320" s="227"/>
      <c r="CI320" s="227"/>
      <c r="CJ320" s="227"/>
      <c r="CK320" s="227"/>
      <c r="CL320" s="227"/>
      <c r="CM320" s="227"/>
      <c r="CN320" s="227"/>
      <c r="CO320" s="227"/>
      <c r="CP320" s="227"/>
      <c r="CQ320" s="227"/>
      <c r="CR320" s="227"/>
      <c r="CS320" s="227"/>
      <c r="CT320" s="227"/>
      <c r="CU320" s="225"/>
      <c r="CV320" s="227"/>
    </row>
    <row r="321" spans="1:100" ht="20.100000000000001" customHeight="1">
      <c r="A321" s="227">
        <v>157</v>
      </c>
      <c r="B321" s="225"/>
      <c r="C321" s="227"/>
      <c r="D321" s="228" cm="1">
        <f t="array" ref="D321">IFERROR(
(SUMPRODUCT(E321:CU321*$E$6:$CU$6)/100) + (SUMPRODUCT(E321:CU321*$E$6:$CU$6*$E$3:$CU$3)/100),
0
)</f>
        <v>0</v>
      </c>
      <c r="E321" s="227"/>
      <c r="F321" s="227"/>
      <c r="G321" s="227"/>
      <c r="H321" s="227"/>
      <c r="I321" s="227"/>
      <c r="J321" s="227"/>
      <c r="K321" s="227"/>
      <c r="L321" s="227"/>
      <c r="M321" s="227"/>
      <c r="N321" s="227"/>
      <c r="O321" s="227"/>
      <c r="P321" s="227"/>
      <c r="Q321" s="227"/>
      <c r="R321" s="227"/>
      <c r="S321" s="227"/>
      <c r="T321" s="227"/>
      <c r="U321" s="227"/>
      <c r="V321" s="227"/>
      <c r="W321" s="227"/>
      <c r="X321" s="227"/>
      <c r="Y321" s="227"/>
      <c r="Z321" s="227"/>
      <c r="AA321" s="227"/>
      <c r="AB321" s="227"/>
      <c r="AC321" s="227"/>
      <c r="AD321" s="227"/>
      <c r="AE321" s="227"/>
      <c r="AF321" s="227"/>
      <c r="AG321" s="227"/>
      <c r="AH321" s="227"/>
      <c r="AI321" s="227"/>
      <c r="AJ321" s="227"/>
      <c r="AK321" s="227"/>
      <c r="AL321" s="227"/>
      <c r="AM321" s="227"/>
      <c r="AN321" s="227"/>
      <c r="AO321" s="227"/>
      <c r="AP321" s="227"/>
      <c r="AQ321" s="227"/>
      <c r="AR321" s="227"/>
      <c r="AS321" s="227"/>
      <c r="AT321" s="227"/>
      <c r="AU321" s="227"/>
      <c r="AV321" s="227"/>
      <c r="AW321" s="227"/>
      <c r="AX321" s="227"/>
      <c r="AY321" s="227"/>
      <c r="AZ321" s="227"/>
      <c r="BA321" s="227"/>
      <c r="BB321" s="227"/>
      <c r="BC321" s="227"/>
      <c r="BD321" s="227"/>
      <c r="BE321" s="227"/>
      <c r="BF321" s="227"/>
      <c r="BG321" s="227"/>
      <c r="BH321" s="227"/>
      <c r="BI321" s="227"/>
      <c r="BJ321" s="227"/>
      <c r="BK321" s="227"/>
      <c r="BL321" s="227"/>
      <c r="BM321" s="227"/>
      <c r="BN321" s="227"/>
      <c r="BO321" s="227"/>
      <c r="BP321" s="227"/>
      <c r="BQ321" s="227"/>
      <c r="BR321" s="227"/>
      <c r="BS321" s="227"/>
      <c r="BT321" s="227"/>
      <c r="BU321" s="227"/>
      <c r="BV321" s="227"/>
      <c r="BW321" s="227"/>
      <c r="BX321" s="227"/>
      <c r="BY321" s="227"/>
      <c r="BZ321" s="227"/>
      <c r="CA321" s="227"/>
      <c r="CB321" s="227"/>
      <c r="CC321" s="227"/>
      <c r="CD321" s="227"/>
      <c r="CE321" s="227"/>
      <c r="CF321" s="227"/>
      <c r="CG321" s="227"/>
      <c r="CH321" s="227"/>
      <c r="CI321" s="227"/>
      <c r="CJ321" s="227"/>
      <c r="CK321" s="227"/>
      <c r="CL321" s="227"/>
      <c r="CM321" s="227"/>
      <c r="CN321" s="227"/>
      <c r="CO321" s="227"/>
      <c r="CP321" s="227"/>
      <c r="CQ321" s="227"/>
      <c r="CR321" s="227"/>
      <c r="CS321" s="227"/>
      <c r="CT321" s="227"/>
      <c r="CU321" s="225"/>
      <c r="CV321" s="227"/>
    </row>
    <row r="322" spans="1:100" ht="20.100000000000001" customHeight="1">
      <c r="A322" s="227"/>
      <c r="B322" s="225"/>
      <c r="C322" s="227"/>
      <c r="D322" s="224"/>
      <c r="E322" s="223"/>
      <c r="F322" s="223"/>
      <c r="G322" s="223"/>
      <c r="H322" s="223"/>
      <c r="I322" s="223"/>
      <c r="J322" s="223"/>
      <c r="K322" s="223"/>
      <c r="L322" s="223"/>
      <c r="M322" s="223"/>
      <c r="N322" s="223"/>
      <c r="O322" s="223"/>
      <c r="P322" s="223"/>
      <c r="Q322" s="223"/>
      <c r="R322" s="223"/>
      <c r="S322" s="223"/>
      <c r="T322" s="223"/>
      <c r="U322" s="223"/>
      <c r="V322" s="223"/>
      <c r="W322" s="223"/>
      <c r="X322" s="223"/>
      <c r="Y322" s="223"/>
      <c r="Z322" s="223"/>
      <c r="AA322" s="223"/>
      <c r="AB322" s="223"/>
      <c r="AC322" s="223"/>
      <c r="AD322" s="223"/>
      <c r="AE322" s="223"/>
      <c r="AF322" s="223"/>
      <c r="AG322" s="223"/>
      <c r="AH322" s="223"/>
      <c r="AI322" s="223"/>
      <c r="AJ322" s="223"/>
      <c r="AK322" s="223"/>
      <c r="AL322" s="223"/>
      <c r="AM322" s="223"/>
      <c r="AN322" s="223"/>
      <c r="AO322" s="223"/>
      <c r="AP322" s="223"/>
      <c r="AQ322" s="223"/>
      <c r="AR322" s="223"/>
      <c r="AS322" s="223"/>
      <c r="AT322" s="223"/>
      <c r="AU322" s="223"/>
      <c r="AV322" s="223"/>
      <c r="AW322" s="223"/>
      <c r="AX322" s="223"/>
      <c r="AY322" s="223"/>
      <c r="AZ322" s="223"/>
      <c r="BA322" s="223"/>
      <c r="BB322" s="223"/>
      <c r="BC322" s="223"/>
      <c r="BD322" s="223"/>
      <c r="BE322" s="223"/>
      <c r="BF322" s="223"/>
      <c r="BG322" s="223"/>
      <c r="BH322" s="223"/>
      <c r="BI322" s="223"/>
      <c r="BJ322" s="223"/>
      <c r="BK322" s="223"/>
      <c r="BL322" s="223"/>
      <c r="BM322" s="223"/>
      <c r="BN322" s="223"/>
      <c r="BO322" s="223"/>
      <c r="BP322" s="223"/>
      <c r="BQ322" s="227"/>
      <c r="BR322" s="227"/>
      <c r="BS322" s="227"/>
      <c r="BT322" s="227"/>
      <c r="BU322" s="227"/>
      <c r="BV322" s="227"/>
      <c r="BW322" s="227"/>
      <c r="BX322" s="227"/>
      <c r="BY322" s="227"/>
      <c r="BZ322" s="227"/>
      <c r="CA322" s="227"/>
      <c r="CB322" s="227"/>
      <c r="CC322" s="227"/>
      <c r="CD322" s="227"/>
      <c r="CE322" s="227"/>
      <c r="CF322" s="227"/>
      <c r="CG322" s="227"/>
      <c r="CH322" s="227"/>
      <c r="CI322" s="227"/>
      <c r="CJ322" s="227"/>
      <c r="CK322" s="227"/>
      <c r="CL322" s="227"/>
      <c r="CM322" s="227"/>
      <c r="CN322" s="227"/>
      <c r="CO322" s="227"/>
      <c r="CP322" s="227"/>
      <c r="CQ322" s="227"/>
      <c r="CR322" s="227"/>
      <c r="CS322" s="227"/>
      <c r="CT322" s="227"/>
      <c r="CU322" s="225"/>
      <c r="CV322" s="227"/>
    </row>
    <row r="323" spans="1:100" ht="20.100000000000001" customHeight="1">
      <c r="A323" s="227">
        <v>158</v>
      </c>
      <c r="B323" s="225"/>
      <c r="C323" s="227"/>
      <c r="D323" s="228" cm="1">
        <f t="array" ref="D323">IFERROR(
(SUMPRODUCT(E323:CU323*$E$6:$CU$6)/100) + (SUMPRODUCT(E323:CU323*$E$6:$CU$6*$E$3:$CU$3)/100),
0
)</f>
        <v>0</v>
      </c>
      <c r="E323" s="227"/>
      <c r="F323" s="227"/>
      <c r="G323" s="227"/>
      <c r="H323" s="227"/>
      <c r="I323" s="227"/>
      <c r="J323" s="227"/>
      <c r="K323" s="227"/>
      <c r="L323" s="227"/>
      <c r="M323" s="227"/>
      <c r="N323" s="227"/>
      <c r="O323" s="227"/>
      <c r="P323" s="227"/>
      <c r="Q323" s="227"/>
      <c r="R323" s="227"/>
      <c r="S323" s="227"/>
      <c r="T323" s="227"/>
      <c r="U323" s="227"/>
      <c r="V323" s="227"/>
      <c r="W323" s="227"/>
      <c r="X323" s="227"/>
      <c r="Y323" s="227"/>
      <c r="Z323" s="227"/>
      <c r="AA323" s="227"/>
      <c r="AB323" s="227"/>
      <c r="AC323" s="227"/>
      <c r="AD323" s="227"/>
      <c r="AE323" s="227"/>
      <c r="AF323" s="227"/>
      <c r="AG323" s="227"/>
      <c r="AH323" s="227"/>
      <c r="AI323" s="227"/>
      <c r="AJ323" s="227"/>
      <c r="AK323" s="227"/>
      <c r="AL323" s="227"/>
      <c r="AM323" s="227"/>
      <c r="AN323" s="227"/>
      <c r="AO323" s="227"/>
      <c r="AP323" s="227"/>
      <c r="AQ323" s="227"/>
      <c r="AR323" s="227"/>
      <c r="AS323" s="227"/>
      <c r="AT323" s="227"/>
      <c r="AU323" s="227"/>
      <c r="AV323" s="227"/>
      <c r="AW323" s="227"/>
      <c r="AX323" s="227"/>
      <c r="AY323" s="227"/>
      <c r="AZ323" s="227"/>
      <c r="BA323" s="227"/>
      <c r="BB323" s="227"/>
      <c r="BC323" s="227"/>
      <c r="BD323" s="227"/>
      <c r="BE323" s="227"/>
      <c r="BF323" s="227"/>
      <c r="BG323" s="227"/>
      <c r="BH323" s="227"/>
      <c r="BI323" s="227"/>
      <c r="BJ323" s="227"/>
      <c r="BK323" s="227"/>
      <c r="BL323" s="227"/>
      <c r="BM323" s="227"/>
      <c r="BN323" s="227"/>
      <c r="BO323" s="227"/>
      <c r="BP323" s="227"/>
      <c r="BQ323" s="227"/>
      <c r="BR323" s="227"/>
      <c r="BS323" s="227"/>
      <c r="BT323" s="227"/>
      <c r="BU323" s="227"/>
      <c r="BV323" s="227"/>
      <c r="BW323" s="227"/>
      <c r="BX323" s="227"/>
      <c r="BY323" s="227"/>
      <c r="BZ323" s="227"/>
      <c r="CA323" s="227"/>
      <c r="CB323" s="227"/>
      <c r="CC323" s="227"/>
      <c r="CD323" s="227"/>
      <c r="CE323" s="227"/>
      <c r="CF323" s="227"/>
      <c r="CG323" s="227"/>
      <c r="CH323" s="227"/>
      <c r="CI323" s="227"/>
      <c r="CJ323" s="227"/>
      <c r="CK323" s="227"/>
      <c r="CL323" s="227"/>
      <c r="CM323" s="227"/>
      <c r="CN323" s="227"/>
      <c r="CO323" s="227"/>
      <c r="CP323" s="227"/>
      <c r="CQ323" s="227"/>
      <c r="CR323" s="227"/>
      <c r="CS323" s="227"/>
      <c r="CT323" s="227"/>
      <c r="CU323" s="225"/>
      <c r="CV323" s="227"/>
    </row>
    <row r="324" spans="1:100" ht="20.100000000000001" customHeight="1">
      <c r="A324" s="223"/>
      <c r="B324" s="225"/>
      <c r="C324" s="227"/>
      <c r="D324" s="224"/>
      <c r="E324" s="223"/>
      <c r="F324" s="223"/>
      <c r="G324" s="223"/>
      <c r="H324" s="223"/>
      <c r="I324" s="223"/>
      <c r="J324" s="223"/>
      <c r="K324" s="223"/>
      <c r="L324" s="223"/>
      <c r="M324" s="223"/>
      <c r="N324" s="223"/>
      <c r="O324" s="223"/>
      <c r="P324" s="223"/>
      <c r="Q324" s="223"/>
      <c r="R324" s="223"/>
      <c r="S324" s="223"/>
      <c r="T324" s="223"/>
      <c r="U324" s="223"/>
      <c r="V324" s="223"/>
      <c r="W324" s="223"/>
      <c r="X324" s="223"/>
      <c r="Y324" s="223"/>
      <c r="Z324" s="223"/>
      <c r="AA324" s="223"/>
      <c r="AB324" s="223"/>
      <c r="AC324" s="223"/>
      <c r="AD324" s="223"/>
      <c r="AE324" s="223"/>
      <c r="AF324" s="223"/>
      <c r="AG324" s="223"/>
      <c r="AH324" s="223"/>
      <c r="AI324" s="223"/>
      <c r="AJ324" s="223"/>
      <c r="AK324" s="223"/>
      <c r="AL324" s="223"/>
      <c r="AM324" s="223"/>
      <c r="AN324" s="223"/>
      <c r="AO324" s="223"/>
      <c r="AP324" s="223"/>
      <c r="AQ324" s="223"/>
      <c r="AR324" s="223"/>
      <c r="AS324" s="223"/>
      <c r="AT324" s="223"/>
      <c r="AU324" s="223"/>
      <c r="AV324" s="223"/>
      <c r="AW324" s="223"/>
      <c r="AX324" s="223"/>
      <c r="AY324" s="223"/>
      <c r="AZ324" s="223"/>
      <c r="BA324" s="223"/>
      <c r="BB324" s="223"/>
      <c r="BC324" s="223"/>
      <c r="BD324" s="223"/>
      <c r="BE324" s="223"/>
      <c r="BF324" s="223"/>
      <c r="BG324" s="223"/>
      <c r="BH324" s="223"/>
      <c r="BI324" s="223"/>
      <c r="BJ324" s="223"/>
      <c r="BK324" s="223"/>
      <c r="BL324" s="223"/>
      <c r="BM324" s="223"/>
      <c r="BN324" s="223"/>
      <c r="BO324" s="223"/>
      <c r="BP324" s="223"/>
      <c r="BQ324" s="227"/>
      <c r="BR324" s="227"/>
      <c r="BS324" s="227"/>
      <c r="BT324" s="227"/>
      <c r="BU324" s="227"/>
      <c r="BV324" s="227"/>
      <c r="BW324" s="227"/>
      <c r="BX324" s="227"/>
      <c r="BY324" s="227"/>
      <c r="BZ324" s="227"/>
      <c r="CA324" s="227"/>
      <c r="CB324" s="227"/>
      <c r="CC324" s="227"/>
      <c r="CD324" s="227"/>
      <c r="CE324" s="227"/>
      <c r="CF324" s="227"/>
      <c r="CG324" s="227"/>
      <c r="CH324" s="227"/>
      <c r="CI324" s="227"/>
      <c r="CJ324" s="227"/>
      <c r="CK324" s="227"/>
      <c r="CL324" s="227"/>
      <c r="CM324" s="227"/>
      <c r="CN324" s="227"/>
      <c r="CO324" s="227"/>
      <c r="CP324" s="227"/>
      <c r="CQ324" s="227"/>
      <c r="CR324" s="227"/>
      <c r="CS324" s="227"/>
      <c r="CT324" s="227"/>
      <c r="CU324" s="225"/>
      <c r="CV324" s="227"/>
    </row>
    <row r="325" spans="1:100" ht="20.100000000000001" customHeight="1">
      <c r="A325" s="227">
        <v>159</v>
      </c>
      <c r="B325" s="225"/>
      <c r="C325" s="227"/>
      <c r="D325" s="228" cm="1">
        <f t="array" ref="D325">IFERROR(
(SUMPRODUCT(E325:CU325*$E$6:$CU$6)/100) + (SUMPRODUCT(E325:CU325*$E$6:$CU$6*$E$3:$CU$3)/100),
0
)</f>
        <v>0</v>
      </c>
      <c r="E325" s="227"/>
      <c r="F325" s="227"/>
      <c r="G325" s="227"/>
      <c r="H325" s="227"/>
      <c r="I325" s="227"/>
      <c r="J325" s="227"/>
      <c r="K325" s="227"/>
      <c r="L325" s="227"/>
      <c r="M325" s="227"/>
      <c r="N325" s="227"/>
      <c r="O325" s="227"/>
      <c r="P325" s="227"/>
      <c r="Q325" s="227"/>
      <c r="R325" s="227"/>
      <c r="S325" s="227"/>
      <c r="T325" s="227"/>
      <c r="U325" s="227"/>
      <c r="V325" s="227"/>
      <c r="W325" s="227"/>
      <c r="X325" s="227"/>
      <c r="Y325" s="227"/>
      <c r="Z325" s="227"/>
      <c r="AA325" s="227"/>
      <c r="AB325" s="227"/>
      <c r="AC325" s="227"/>
      <c r="AD325" s="227"/>
      <c r="AE325" s="227"/>
      <c r="AF325" s="227"/>
      <c r="AG325" s="227"/>
      <c r="AH325" s="227"/>
      <c r="AI325" s="227"/>
      <c r="AJ325" s="227"/>
      <c r="AK325" s="227"/>
      <c r="AL325" s="227"/>
      <c r="AM325" s="227"/>
      <c r="AN325" s="227"/>
      <c r="AO325" s="227"/>
      <c r="AP325" s="227"/>
      <c r="AQ325" s="227"/>
      <c r="AR325" s="227"/>
      <c r="AS325" s="227"/>
      <c r="AT325" s="227"/>
      <c r="AU325" s="227"/>
      <c r="AV325" s="227"/>
      <c r="AW325" s="227"/>
      <c r="AX325" s="227"/>
      <c r="AY325" s="227"/>
      <c r="AZ325" s="227"/>
      <c r="BA325" s="227"/>
      <c r="BB325" s="227"/>
      <c r="BC325" s="227"/>
      <c r="BD325" s="227"/>
      <c r="BE325" s="227"/>
      <c r="BF325" s="227"/>
      <c r="BG325" s="227"/>
      <c r="BH325" s="227"/>
      <c r="BI325" s="227"/>
      <c r="BJ325" s="227"/>
      <c r="BK325" s="227"/>
      <c r="BL325" s="227"/>
      <c r="BM325" s="227"/>
      <c r="BN325" s="227"/>
      <c r="BO325" s="227"/>
      <c r="BP325" s="227"/>
      <c r="BQ325" s="227"/>
      <c r="BR325" s="227"/>
      <c r="BS325" s="227"/>
      <c r="BT325" s="227"/>
      <c r="BU325" s="227"/>
      <c r="BV325" s="227"/>
      <c r="BW325" s="227"/>
      <c r="BX325" s="227"/>
      <c r="BY325" s="227"/>
      <c r="BZ325" s="227"/>
      <c r="CA325" s="227"/>
      <c r="CB325" s="227"/>
      <c r="CC325" s="227"/>
      <c r="CD325" s="227"/>
      <c r="CE325" s="227"/>
      <c r="CF325" s="227"/>
      <c r="CG325" s="227"/>
      <c r="CH325" s="227"/>
      <c r="CI325" s="227"/>
      <c r="CJ325" s="227"/>
      <c r="CK325" s="227"/>
      <c r="CL325" s="227"/>
      <c r="CM325" s="227"/>
      <c r="CN325" s="227"/>
      <c r="CO325" s="227"/>
      <c r="CP325" s="227"/>
      <c r="CQ325" s="227"/>
      <c r="CR325" s="227"/>
      <c r="CS325" s="227"/>
      <c r="CT325" s="227"/>
      <c r="CU325" s="225"/>
      <c r="CV325" s="227"/>
    </row>
    <row r="326" spans="1:100" ht="20.100000000000001" customHeight="1">
      <c r="A326" s="227"/>
      <c r="B326" s="225"/>
      <c r="C326" s="227"/>
      <c r="D326" s="224"/>
      <c r="E326" s="223"/>
      <c r="F326" s="223"/>
      <c r="G326" s="223"/>
      <c r="H326" s="223"/>
      <c r="I326" s="223"/>
      <c r="J326" s="223"/>
      <c r="K326" s="223"/>
      <c r="L326" s="223"/>
      <c r="M326" s="223"/>
      <c r="N326" s="223"/>
      <c r="O326" s="223"/>
      <c r="P326" s="223"/>
      <c r="Q326" s="223"/>
      <c r="R326" s="223"/>
      <c r="S326" s="223"/>
      <c r="T326" s="223"/>
      <c r="U326" s="223"/>
      <c r="V326" s="223"/>
      <c r="W326" s="223"/>
      <c r="X326" s="223"/>
      <c r="Y326" s="223"/>
      <c r="Z326" s="223"/>
      <c r="AA326" s="223"/>
      <c r="AB326" s="223"/>
      <c r="AC326" s="223"/>
      <c r="AD326" s="223"/>
      <c r="AE326" s="223"/>
      <c r="AF326" s="223"/>
      <c r="AG326" s="223"/>
      <c r="AH326" s="223"/>
      <c r="AI326" s="223"/>
      <c r="AJ326" s="223"/>
      <c r="AK326" s="223"/>
      <c r="AL326" s="223"/>
      <c r="AM326" s="223"/>
      <c r="AN326" s="223"/>
      <c r="AO326" s="223"/>
      <c r="AP326" s="223"/>
      <c r="AQ326" s="223"/>
      <c r="AR326" s="223"/>
      <c r="AS326" s="223"/>
      <c r="AT326" s="223"/>
      <c r="AU326" s="223"/>
      <c r="AV326" s="223"/>
      <c r="AW326" s="223"/>
      <c r="AX326" s="223"/>
      <c r="AY326" s="223"/>
      <c r="AZ326" s="223"/>
      <c r="BA326" s="223"/>
      <c r="BB326" s="223"/>
      <c r="BC326" s="223"/>
      <c r="BD326" s="223"/>
      <c r="BE326" s="223"/>
      <c r="BF326" s="223"/>
      <c r="BG326" s="223"/>
      <c r="BH326" s="223"/>
      <c r="BI326" s="223"/>
      <c r="BJ326" s="223"/>
      <c r="BK326" s="223"/>
      <c r="BL326" s="223"/>
      <c r="BM326" s="223"/>
      <c r="BN326" s="223"/>
      <c r="BO326" s="223"/>
      <c r="BP326" s="223"/>
      <c r="BQ326" s="227"/>
      <c r="BR326" s="227"/>
      <c r="BS326" s="227"/>
      <c r="BT326" s="227"/>
      <c r="BU326" s="227"/>
      <c r="BV326" s="227"/>
      <c r="BW326" s="227"/>
      <c r="BX326" s="227"/>
      <c r="BY326" s="227"/>
      <c r="BZ326" s="227"/>
      <c r="CA326" s="227"/>
      <c r="CB326" s="227"/>
      <c r="CC326" s="227"/>
      <c r="CD326" s="227"/>
      <c r="CE326" s="227"/>
      <c r="CF326" s="227"/>
      <c r="CG326" s="227"/>
      <c r="CH326" s="227"/>
      <c r="CI326" s="227"/>
      <c r="CJ326" s="227"/>
      <c r="CK326" s="227"/>
      <c r="CL326" s="227"/>
      <c r="CM326" s="227"/>
      <c r="CN326" s="227"/>
      <c r="CO326" s="227"/>
      <c r="CP326" s="227"/>
      <c r="CQ326" s="227"/>
      <c r="CR326" s="227"/>
      <c r="CS326" s="227"/>
      <c r="CT326" s="227"/>
      <c r="CU326" s="225"/>
      <c r="CV326" s="227"/>
    </row>
    <row r="327" spans="1:100" ht="20.100000000000001" customHeight="1">
      <c r="A327" s="227">
        <v>160</v>
      </c>
      <c r="B327" s="225"/>
      <c r="C327" s="227"/>
      <c r="D327" s="228" cm="1">
        <f t="array" ref="D327">IFERROR(
(SUMPRODUCT(E327:CU327*$E$6:$CU$6)/100) + (SUMPRODUCT(E327:CU327*$E$6:$CU$6*$E$3:$CU$3)/100),
0
)</f>
        <v>0</v>
      </c>
      <c r="E327" s="227"/>
      <c r="F327" s="227"/>
      <c r="G327" s="227"/>
      <c r="H327" s="227"/>
      <c r="I327" s="227"/>
      <c r="J327" s="227"/>
      <c r="K327" s="227"/>
      <c r="L327" s="227"/>
      <c r="M327" s="227"/>
      <c r="N327" s="227"/>
      <c r="O327" s="227"/>
      <c r="P327" s="227"/>
      <c r="Q327" s="227"/>
      <c r="R327" s="227"/>
      <c r="S327" s="227"/>
      <c r="T327" s="227"/>
      <c r="U327" s="227"/>
      <c r="V327" s="227"/>
      <c r="W327" s="227"/>
      <c r="X327" s="227"/>
      <c r="Y327" s="227"/>
      <c r="Z327" s="227"/>
      <c r="AA327" s="227"/>
      <c r="AB327" s="227"/>
      <c r="AC327" s="227"/>
      <c r="AD327" s="227"/>
      <c r="AE327" s="227"/>
      <c r="AF327" s="227"/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27"/>
      <c r="BC327" s="227"/>
      <c r="BD327" s="227"/>
      <c r="BE327" s="227"/>
      <c r="BF327" s="227"/>
      <c r="BG327" s="227"/>
      <c r="BH327" s="227"/>
      <c r="BI327" s="227"/>
      <c r="BJ327" s="227"/>
      <c r="BK327" s="227"/>
      <c r="BL327" s="227"/>
      <c r="BM327" s="227"/>
      <c r="BN327" s="227"/>
      <c r="BO327" s="227"/>
      <c r="BP327" s="227"/>
      <c r="BQ327" s="227"/>
      <c r="BR327" s="227"/>
      <c r="BS327" s="227"/>
      <c r="BT327" s="227"/>
      <c r="BU327" s="227"/>
      <c r="BV327" s="227"/>
      <c r="BW327" s="227"/>
      <c r="BX327" s="227"/>
      <c r="BY327" s="227"/>
      <c r="BZ327" s="227"/>
      <c r="CA327" s="227"/>
      <c r="CB327" s="227"/>
      <c r="CC327" s="227"/>
      <c r="CD327" s="227"/>
      <c r="CE327" s="227"/>
      <c r="CF327" s="227"/>
      <c r="CG327" s="227"/>
      <c r="CH327" s="227"/>
      <c r="CI327" s="227"/>
      <c r="CJ327" s="227"/>
      <c r="CK327" s="227"/>
      <c r="CL327" s="227"/>
      <c r="CM327" s="227"/>
      <c r="CN327" s="227"/>
      <c r="CO327" s="227"/>
      <c r="CP327" s="227"/>
      <c r="CQ327" s="227"/>
      <c r="CR327" s="227"/>
      <c r="CS327" s="227"/>
      <c r="CT327" s="227"/>
      <c r="CU327" s="225"/>
      <c r="CV327" s="227"/>
    </row>
    <row r="328" spans="1:100" ht="20.100000000000001" customHeight="1">
      <c r="A328" s="223"/>
      <c r="B328" s="225"/>
      <c r="C328" s="227"/>
      <c r="D328" s="224"/>
      <c r="E328" s="223"/>
      <c r="F328" s="223"/>
      <c r="G328" s="223"/>
      <c r="H328" s="223"/>
      <c r="I328" s="223"/>
      <c r="J328" s="223"/>
      <c r="K328" s="223"/>
      <c r="L328" s="223"/>
      <c r="M328" s="223"/>
      <c r="N328" s="223"/>
      <c r="O328" s="223"/>
      <c r="P328" s="223"/>
      <c r="Q328" s="223"/>
      <c r="R328" s="223"/>
      <c r="S328" s="223"/>
      <c r="T328" s="223"/>
      <c r="U328" s="223"/>
      <c r="V328" s="223"/>
      <c r="W328" s="223"/>
      <c r="X328" s="223"/>
      <c r="Y328" s="223"/>
      <c r="Z328" s="223"/>
      <c r="AA328" s="223"/>
      <c r="AB328" s="223"/>
      <c r="AC328" s="223"/>
      <c r="AD328" s="223"/>
      <c r="AE328" s="223"/>
      <c r="AF328" s="223"/>
      <c r="AG328" s="223"/>
      <c r="AH328" s="223"/>
      <c r="AI328" s="223"/>
      <c r="AJ328" s="223"/>
      <c r="AK328" s="223"/>
      <c r="AL328" s="223"/>
      <c r="AM328" s="223"/>
      <c r="AN328" s="223"/>
      <c r="AO328" s="223"/>
      <c r="AP328" s="223"/>
      <c r="AQ328" s="223"/>
      <c r="AR328" s="223"/>
      <c r="AS328" s="223"/>
      <c r="AT328" s="223"/>
      <c r="AU328" s="223"/>
      <c r="AV328" s="223"/>
      <c r="AW328" s="223"/>
      <c r="AX328" s="223"/>
      <c r="AY328" s="223"/>
      <c r="AZ328" s="223"/>
      <c r="BA328" s="223"/>
      <c r="BB328" s="223"/>
      <c r="BC328" s="223"/>
      <c r="BD328" s="223"/>
      <c r="BE328" s="223"/>
      <c r="BF328" s="223"/>
      <c r="BG328" s="223"/>
      <c r="BH328" s="223"/>
      <c r="BI328" s="223"/>
      <c r="BJ328" s="223"/>
      <c r="BK328" s="223"/>
      <c r="BL328" s="223"/>
      <c r="BM328" s="223"/>
      <c r="BN328" s="223"/>
      <c r="BO328" s="223"/>
      <c r="BP328" s="223"/>
      <c r="BQ328" s="227"/>
      <c r="BR328" s="227"/>
      <c r="BS328" s="227"/>
      <c r="BT328" s="227"/>
      <c r="BU328" s="227"/>
      <c r="BV328" s="227"/>
      <c r="BW328" s="227"/>
      <c r="BX328" s="227"/>
      <c r="BY328" s="227"/>
      <c r="BZ328" s="227"/>
      <c r="CA328" s="227"/>
      <c r="CB328" s="227"/>
      <c r="CC328" s="227"/>
      <c r="CD328" s="227"/>
      <c r="CE328" s="227"/>
      <c r="CF328" s="227"/>
      <c r="CG328" s="227"/>
      <c r="CH328" s="227"/>
      <c r="CI328" s="227"/>
      <c r="CJ328" s="227"/>
      <c r="CK328" s="227"/>
      <c r="CL328" s="227"/>
      <c r="CM328" s="227"/>
      <c r="CN328" s="227"/>
      <c r="CO328" s="227"/>
      <c r="CP328" s="227"/>
      <c r="CQ328" s="227"/>
      <c r="CR328" s="227"/>
      <c r="CS328" s="227"/>
      <c r="CT328" s="227"/>
      <c r="CU328" s="225"/>
      <c r="CV328" s="227"/>
    </row>
    <row r="329" spans="1:100" ht="20.100000000000001" customHeight="1">
      <c r="A329" s="227">
        <v>161</v>
      </c>
      <c r="B329" s="225"/>
      <c r="C329" s="227"/>
      <c r="D329" s="228" cm="1">
        <f t="array" ref="D329">IFERROR(
(SUMPRODUCT(E329:CU329*$E$6:$CU$6)/100) + (SUMPRODUCT(E329:CU329*$E$6:$CU$6*$E$3:$CU$3)/100),
0
)</f>
        <v>0</v>
      </c>
      <c r="E329" s="227"/>
      <c r="F329" s="227"/>
      <c r="G329" s="227"/>
      <c r="H329" s="227"/>
      <c r="I329" s="227"/>
      <c r="J329" s="227"/>
      <c r="K329" s="227"/>
      <c r="L329" s="227"/>
      <c r="M329" s="227"/>
      <c r="N329" s="227"/>
      <c r="O329" s="227"/>
      <c r="P329" s="227"/>
      <c r="Q329" s="227"/>
      <c r="R329" s="227"/>
      <c r="S329" s="227"/>
      <c r="T329" s="227"/>
      <c r="U329" s="227"/>
      <c r="V329" s="227"/>
      <c r="W329" s="227"/>
      <c r="X329" s="227"/>
      <c r="Y329" s="227"/>
      <c r="Z329" s="227"/>
      <c r="AA329" s="227"/>
      <c r="AB329" s="227"/>
      <c r="AC329" s="227"/>
      <c r="AD329" s="227"/>
      <c r="AE329" s="227"/>
      <c r="AF329" s="227"/>
      <c r="AG329" s="227"/>
      <c r="AH329" s="227"/>
      <c r="AI329" s="227"/>
      <c r="AJ329" s="227"/>
      <c r="AK329" s="227"/>
      <c r="AL329" s="227"/>
      <c r="AM329" s="227"/>
      <c r="AN329" s="227"/>
      <c r="AO329" s="227"/>
      <c r="AP329" s="227"/>
      <c r="AQ329" s="227"/>
      <c r="AR329" s="227"/>
      <c r="AS329" s="227"/>
      <c r="AT329" s="227"/>
      <c r="AU329" s="227"/>
      <c r="AV329" s="227"/>
      <c r="AW329" s="227"/>
      <c r="AX329" s="227"/>
      <c r="AY329" s="227"/>
      <c r="AZ329" s="227"/>
      <c r="BA329" s="227"/>
      <c r="BB329" s="227"/>
      <c r="BC329" s="227"/>
      <c r="BD329" s="227"/>
      <c r="BE329" s="227"/>
      <c r="BF329" s="227"/>
      <c r="BG329" s="227"/>
      <c r="BH329" s="227"/>
      <c r="BI329" s="227"/>
      <c r="BJ329" s="227"/>
      <c r="BK329" s="227"/>
      <c r="BL329" s="227"/>
      <c r="BM329" s="227"/>
      <c r="BN329" s="227"/>
      <c r="BO329" s="227"/>
      <c r="BP329" s="227"/>
      <c r="BQ329" s="227"/>
      <c r="BR329" s="227"/>
      <c r="BS329" s="227"/>
      <c r="BT329" s="227"/>
      <c r="BU329" s="227"/>
      <c r="BV329" s="227"/>
      <c r="BW329" s="227"/>
      <c r="BX329" s="227"/>
      <c r="BY329" s="227"/>
      <c r="BZ329" s="227"/>
      <c r="CA329" s="227"/>
      <c r="CB329" s="227"/>
      <c r="CC329" s="227"/>
      <c r="CD329" s="227"/>
      <c r="CE329" s="227"/>
      <c r="CF329" s="227"/>
      <c r="CG329" s="227"/>
      <c r="CH329" s="227"/>
      <c r="CI329" s="227"/>
      <c r="CJ329" s="227"/>
      <c r="CK329" s="227"/>
      <c r="CL329" s="227"/>
      <c r="CM329" s="227"/>
      <c r="CN329" s="227"/>
      <c r="CO329" s="227"/>
      <c r="CP329" s="227"/>
      <c r="CQ329" s="227"/>
      <c r="CR329" s="227"/>
      <c r="CS329" s="227"/>
      <c r="CT329" s="227"/>
      <c r="CU329" s="225"/>
      <c r="CV329" s="227"/>
    </row>
    <row r="330" spans="1:100" ht="20.100000000000001" customHeight="1">
      <c r="A330" s="227"/>
      <c r="B330" s="225"/>
      <c r="C330" s="227"/>
      <c r="D330" s="224"/>
      <c r="E330" s="223"/>
      <c r="F330" s="223"/>
      <c r="G330" s="223"/>
      <c r="H330" s="223"/>
      <c r="I330" s="223"/>
      <c r="J330" s="223"/>
      <c r="K330" s="223"/>
      <c r="L330" s="223"/>
      <c r="M330" s="223"/>
      <c r="N330" s="223"/>
      <c r="O330" s="223"/>
      <c r="P330" s="223"/>
      <c r="Q330" s="223"/>
      <c r="R330" s="223"/>
      <c r="S330" s="223"/>
      <c r="T330" s="223"/>
      <c r="U330" s="223"/>
      <c r="V330" s="223"/>
      <c r="W330" s="223"/>
      <c r="X330" s="223"/>
      <c r="Y330" s="223"/>
      <c r="Z330" s="223"/>
      <c r="AA330" s="223"/>
      <c r="AB330" s="223"/>
      <c r="AC330" s="223"/>
      <c r="AD330" s="223"/>
      <c r="AE330" s="223"/>
      <c r="AF330" s="223"/>
      <c r="AG330" s="223"/>
      <c r="AH330" s="223"/>
      <c r="AI330" s="223"/>
      <c r="AJ330" s="223"/>
      <c r="AK330" s="223"/>
      <c r="AL330" s="223"/>
      <c r="AM330" s="223"/>
      <c r="AN330" s="223"/>
      <c r="AO330" s="223"/>
      <c r="AP330" s="223"/>
      <c r="AQ330" s="223"/>
      <c r="AR330" s="223"/>
      <c r="AS330" s="223"/>
      <c r="AT330" s="223"/>
      <c r="AU330" s="223"/>
      <c r="AV330" s="223"/>
      <c r="AW330" s="223"/>
      <c r="AX330" s="223"/>
      <c r="AY330" s="223"/>
      <c r="AZ330" s="223"/>
      <c r="BA330" s="223"/>
      <c r="BB330" s="223"/>
      <c r="BC330" s="223"/>
      <c r="BD330" s="223"/>
      <c r="BE330" s="223"/>
      <c r="BF330" s="223"/>
      <c r="BG330" s="223"/>
      <c r="BH330" s="223"/>
      <c r="BI330" s="223"/>
      <c r="BJ330" s="223"/>
      <c r="BK330" s="223"/>
      <c r="BL330" s="223"/>
      <c r="BM330" s="223"/>
      <c r="BN330" s="223"/>
      <c r="BO330" s="223"/>
      <c r="BP330" s="223"/>
      <c r="BQ330" s="227"/>
      <c r="BR330" s="227"/>
      <c r="BS330" s="227"/>
      <c r="BT330" s="227"/>
      <c r="BU330" s="227"/>
      <c r="BV330" s="227"/>
      <c r="BW330" s="227"/>
      <c r="BX330" s="227"/>
      <c r="BY330" s="227"/>
      <c r="BZ330" s="227"/>
      <c r="CA330" s="227"/>
      <c r="CB330" s="227"/>
      <c r="CC330" s="227"/>
      <c r="CD330" s="227"/>
      <c r="CE330" s="227"/>
      <c r="CF330" s="227"/>
      <c r="CG330" s="227"/>
      <c r="CH330" s="227"/>
      <c r="CI330" s="227"/>
      <c r="CJ330" s="227"/>
      <c r="CK330" s="227"/>
      <c r="CL330" s="227"/>
      <c r="CM330" s="227"/>
      <c r="CN330" s="227"/>
      <c r="CO330" s="227"/>
      <c r="CP330" s="227"/>
      <c r="CQ330" s="227"/>
      <c r="CR330" s="227"/>
      <c r="CS330" s="227"/>
      <c r="CT330" s="227"/>
      <c r="CU330" s="225"/>
      <c r="CV330" s="227"/>
    </row>
    <row r="331" spans="1:100" ht="20.100000000000001" customHeight="1">
      <c r="A331" s="227">
        <v>162</v>
      </c>
      <c r="B331" s="225"/>
      <c r="C331" s="227"/>
      <c r="D331" s="228" cm="1">
        <f t="array" ref="D331">IFERROR(
(SUMPRODUCT(E331:CU331*$E$6:$CU$6)/100) + (SUMPRODUCT(E331:CU331*$E$6:$CU$6*$E$3:$CU$3)/100),
0
)</f>
        <v>0</v>
      </c>
      <c r="E331" s="227"/>
      <c r="F331" s="227"/>
      <c r="G331" s="227"/>
      <c r="H331" s="227"/>
      <c r="I331" s="227"/>
      <c r="J331" s="227"/>
      <c r="K331" s="227"/>
      <c r="L331" s="227"/>
      <c r="M331" s="227"/>
      <c r="N331" s="227"/>
      <c r="O331" s="227"/>
      <c r="P331" s="227"/>
      <c r="Q331" s="227"/>
      <c r="R331" s="227"/>
      <c r="S331" s="227"/>
      <c r="T331" s="227"/>
      <c r="U331" s="227"/>
      <c r="V331" s="227"/>
      <c r="W331" s="227"/>
      <c r="X331" s="227"/>
      <c r="Y331" s="227"/>
      <c r="Z331" s="227"/>
      <c r="AA331" s="227"/>
      <c r="AB331" s="227"/>
      <c r="AC331" s="227"/>
      <c r="AD331" s="227"/>
      <c r="AE331" s="227"/>
      <c r="AF331" s="227"/>
      <c r="AG331" s="227"/>
      <c r="AH331" s="227"/>
      <c r="AI331" s="227"/>
      <c r="AJ331" s="227"/>
      <c r="AK331" s="227"/>
      <c r="AL331" s="227"/>
      <c r="AM331" s="227"/>
      <c r="AN331" s="227"/>
      <c r="AO331" s="227"/>
      <c r="AP331" s="227"/>
      <c r="AQ331" s="227"/>
      <c r="AR331" s="227"/>
      <c r="AS331" s="227"/>
      <c r="AT331" s="227"/>
      <c r="AU331" s="227"/>
      <c r="AV331" s="227"/>
      <c r="AW331" s="227"/>
      <c r="AX331" s="227"/>
      <c r="AY331" s="227"/>
      <c r="AZ331" s="227"/>
      <c r="BA331" s="227"/>
      <c r="BB331" s="227"/>
      <c r="BC331" s="227"/>
      <c r="BD331" s="227"/>
      <c r="BE331" s="227"/>
      <c r="BF331" s="227"/>
      <c r="BG331" s="227"/>
      <c r="BH331" s="227"/>
      <c r="BI331" s="227"/>
      <c r="BJ331" s="227"/>
      <c r="BK331" s="227"/>
      <c r="BL331" s="227"/>
      <c r="BM331" s="227"/>
      <c r="BN331" s="227"/>
      <c r="BO331" s="227"/>
      <c r="BP331" s="227"/>
      <c r="BQ331" s="227"/>
      <c r="BR331" s="227"/>
      <c r="BS331" s="227"/>
      <c r="BT331" s="227"/>
      <c r="BU331" s="227"/>
      <c r="BV331" s="227"/>
      <c r="BW331" s="227"/>
      <c r="BX331" s="227"/>
      <c r="BY331" s="227"/>
      <c r="BZ331" s="227"/>
      <c r="CA331" s="227"/>
      <c r="CB331" s="227"/>
      <c r="CC331" s="227"/>
      <c r="CD331" s="227"/>
      <c r="CE331" s="227"/>
      <c r="CF331" s="227"/>
      <c r="CG331" s="227"/>
      <c r="CH331" s="227"/>
      <c r="CI331" s="227"/>
      <c r="CJ331" s="227"/>
      <c r="CK331" s="227"/>
      <c r="CL331" s="227"/>
      <c r="CM331" s="227"/>
      <c r="CN331" s="227"/>
      <c r="CO331" s="227"/>
      <c r="CP331" s="227"/>
      <c r="CQ331" s="227"/>
      <c r="CR331" s="227"/>
      <c r="CS331" s="227"/>
      <c r="CT331" s="227"/>
      <c r="CU331" s="225"/>
      <c r="CV331" s="227"/>
    </row>
    <row r="332" spans="1:100" ht="20.100000000000001" customHeight="1">
      <c r="A332" s="223"/>
      <c r="B332" s="225"/>
      <c r="C332" s="227"/>
      <c r="D332" s="224"/>
      <c r="E332" s="223"/>
      <c r="F332" s="223"/>
      <c r="G332" s="223"/>
      <c r="H332" s="223"/>
      <c r="I332" s="223"/>
      <c r="J332" s="223"/>
      <c r="K332" s="223"/>
      <c r="L332" s="223"/>
      <c r="M332" s="223"/>
      <c r="N332" s="223"/>
      <c r="O332" s="223"/>
      <c r="P332" s="223"/>
      <c r="Q332" s="223"/>
      <c r="R332" s="223"/>
      <c r="S332" s="223"/>
      <c r="T332" s="223"/>
      <c r="U332" s="223"/>
      <c r="V332" s="223"/>
      <c r="W332" s="223"/>
      <c r="X332" s="223"/>
      <c r="Y332" s="223"/>
      <c r="Z332" s="223"/>
      <c r="AA332" s="223"/>
      <c r="AB332" s="223"/>
      <c r="AC332" s="223"/>
      <c r="AD332" s="223"/>
      <c r="AE332" s="223"/>
      <c r="AF332" s="223"/>
      <c r="AG332" s="223"/>
      <c r="AH332" s="223"/>
      <c r="AI332" s="223"/>
      <c r="AJ332" s="223"/>
      <c r="AK332" s="223"/>
      <c r="AL332" s="223"/>
      <c r="AM332" s="223"/>
      <c r="AN332" s="223"/>
      <c r="AO332" s="223"/>
      <c r="AP332" s="223"/>
      <c r="AQ332" s="223"/>
      <c r="AR332" s="223"/>
      <c r="AS332" s="223"/>
      <c r="AT332" s="223"/>
      <c r="AU332" s="223"/>
      <c r="AV332" s="223"/>
      <c r="AW332" s="223"/>
      <c r="AX332" s="223"/>
      <c r="AY332" s="223"/>
      <c r="AZ332" s="223"/>
      <c r="BA332" s="223"/>
      <c r="BB332" s="223"/>
      <c r="BC332" s="223"/>
      <c r="BD332" s="223"/>
      <c r="BE332" s="223"/>
      <c r="BF332" s="223"/>
      <c r="BG332" s="223"/>
      <c r="BH332" s="223"/>
      <c r="BI332" s="223"/>
      <c r="BJ332" s="223"/>
      <c r="BK332" s="223"/>
      <c r="BL332" s="223"/>
      <c r="BM332" s="223"/>
      <c r="BN332" s="223"/>
      <c r="BO332" s="223"/>
      <c r="BP332" s="223"/>
      <c r="BQ332" s="227"/>
      <c r="BR332" s="227"/>
      <c r="BS332" s="227"/>
      <c r="BT332" s="227"/>
      <c r="BU332" s="227"/>
      <c r="BV332" s="227"/>
      <c r="BW332" s="227"/>
      <c r="BX332" s="227"/>
      <c r="BY332" s="227"/>
      <c r="BZ332" s="227"/>
      <c r="CA332" s="227"/>
      <c r="CB332" s="227"/>
      <c r="CC332" s="227"/>
      <c r="CD332" s="227"/>
      <c r="CE332" s="227"/>
      <c r="CF332" s="227"/>
      <c r="CG332" s="227"/>
      <c r="CH332" s="227"/>
      <c r="CI332" s="227"/>
      <c r="CJ332" s="227"/>
      <c r="CK332" s="227"/>
      <c r="CL332" s="227"/>
      <c r="CM332" s="227"/>
      <c r="CN332" s="227"/>
      <c r="CO332" s="227"/>
      <c r="CP332" s="227"/>
      <c r="CQ332" s="227"/>
      <c r="CR332" s="227"/>
      <c r="CS332" s="227"/>
      <c r="CT332" s="227"/>
      <c r="CU332" s="225"/>
      <c r="CV332" s="227"/>
    </row>
    <row r="333" spans="1:100" ht="20.100000000000001" customHeight="1">
      <c r="A333" s="227">
        <v>163</v>
      </c>
      <c r="B333" s="225"/>
      <c r="C333" s="227"/>
      <c r="D333" s="228" cm="1">
        <f t="array" ref="D333">IFERROR(
(SUMPRODUCT(E333:CU333*$E$6:$CU$6)/100) + (SUMPRODUCT(E333:CU333*$E$6:$CU$6*$E$3:$CU$3)/100),
0
)</f>
        <v>0</v>
      </c>
      <c r="E333" s="227"/>
      <c r="F333" s="227"/>
      <c r="G333" s="227"/>
      <c r="H333" s="227"/>
      <c r="I333" s="227"/>
      <c r="J333" s="227"/>
      <c r="K333" s="227"/>
      <c r="L333" s="227"/>
      <c r="M333" s="227"/>
      <c r="N333" s="227"/>
      <c r="O333" s="227"/>
      <c r="P333" s="227"/>
      <c r="Q333" s="227"/>
      <c r="R333" s="227"/>
      <c r="S333" s="227"/>
      <c r="T333" s="227"/>
      <c r="U333" s="227"/>
      <c r="V333" s="227"/>
      <c r="W333" s="227"/>
      <c r="X333" s="227"/>
      <c r="Y333" s="227"/>
      <c r="Z333" s="227"/>
      <c r="AA333" s="227"/>
      <c r="AB333" s="227"/>
      <c r="AC333" s="227"/>
      <c r="AD333" s="227"/>
      <c r="AE333" s="227"/>
      <c r="AF333" s="227"/>
      <c r="AG333" s="227"/>
      <c r="AH333" s="227"/>
      <c r="AI333" s="227"/>
      <c r="AJ333" s="227"/>
      <c r="AK333" s="227"/>
      <c r="AL333" s="227"/>
      <c r="AM333" s="227"/>
      <c r="AN333" s="227"/>
      <c r="AO333" s="227"/>
      <c r="AP333" s="227"/>
      <c r="AQ333" s="227"/>
      <c r="AR333" s="227"/>
      <c r="AS333" s="227"/>
      <c r="AT333" s="227"/>
      <c r="AU333" s="227"/>
      <c r="AV333" s="227"/>
      <c r="AW333" s="227"/>
      <c r="AX333" s="227"/>
      <c r="AY333" s="227"/>
      <c r="AZ333" s="227"/>
      <c r="BA333" s="227"/>
      <c r="BB333" s="227"/>
      <c r="BC333" s="227"/>
      <c r="BD333" s="227"/>
      <c r="BE333" s="227"/>
      <c r="BF333" s="227"/>
      <c r="BG333" s="227"/>
      <c r="BH333" s="227"/>
      <c r="BI333" s="227"/>
      <c r="BJ333" s="227"/>
      <c r="BK333" s="227"/>
      <c r="BL333" s="227"/>
      <c r="BM333" s="227"/>
      <c r="BN333" s="227"/>
      <c r="BO333" s="227"/>
      <c r="BP333" s="227"/>
      <c r="BQ333" s="227"/>
      <c r="BR333" s="227"/>
      <c r="BS333" s="227"/>
      <c r="BT333" s="227"/>
      <c r="BU333" s="227"/>
      <c r="BV333" s="227"/>
      <c r="BW333" s="227"/>
      <c r="BX333" s="227"/>
      <c r="BY333" s="227"/>
      <c r="BZ333" s="227"/>
      <c r="CA333" s="227"/>
      <c r="CB333" s="227"/>
      <c r="CC333" s="227"/>
      <c r="CD333" s="227"/>
      <c r="CE333" s="227"/>
      <c r="CF333" s="227"/>
      <c r="CG333" s="227"/>
      <c r="CH333" s="227"/>
      <c r="CI333" s="227"/>
      <c r="CJ333" s="227"/>
      <c r="CK333" s="227"/>
      <c r="CL333" s="227"/>
      <c r="CM333" s="227"/>
      <c r="CN333" s="227"/>
      <c r="CO333" s="227"/>
      <c r="CP333" s="227"/>
      <c r="CQ333" s="227"/>
      <c r="CR333" s="227"/>
      <c r="CS333" s="227"/>
      <c r="CT333" s="227"/>
      <c r="CU333" s="225"/>
      <c r="CV333" s="227"/>
    </row>
    <row r="334" spans="1:100" ht="20.100000000000001" customHeight="1">
      <c r="A334" s="227"/>
      <c r="B334" s="225"/>
      <c r="C334" s="227"/>
      <c r="D334" s="224"/>
      <c r="E334" s="223"/>
      <c r="F334" s="223"/>
      <c r="G334" s="223"/>
      <c r="H334" s="223"/>
      <c r="I334" s="223"/>
      <c r="J334" s="223"/>
      <c r="K334" s="223"/>
      <c r="L334" s="223"/>
      <c r="M334" s="223"/>
      <c r="N334" s="223"/>
      <c r="O334" s="223"/>
      <c r="P334" s="223"/>
      <c r="Q334" s="223"/>
      <c r="R334" s="223"/>
      <c r="S334" s="223"/>
      <c r="T334" s="223"/>
      <c r="U334" s="223"/>
      <c r="V334" s="223"/>
      <c r="W334" s="223"/>
      <c r="X334" s="223"/>
      <c r="Y334" s="223"/>
      <c r="Z334" s="223"/>
      <c r="AA334" s="223"/>
      <c r="AB334" s="223"/>
      <c r="AC334" s="223"/>
      <c r="AD334" s="223"/>
      <c r="AE334" s="223"/>
      <c r="AF334" s="223"/>
      <c r="AG334" s="223"/>
      <c r="AH334" s="223"/>
      <c r="AI334" s="223"/>
      <c r="AJ334" s="223"/>
      <c r="AK334" s="223"/>
      <c r="AL334" s="223"/>
      <c r="AM334" s="223"/>
      <c r="AN334" s="223"/>
      <c r="AO334" s="223"/>
      <c r="AP334" s="223"/>
      <c r="AQ334" s="223"/>
      <c r="AR334" s="223"/>
      <c r="AS334" s="223"/>
      <c r="AT334" s="223"/>
      <c r="AU334" s="223"/>
      <c r="AV334" s="223"/>
      <c r="AW334" s="223"/>
      <c r="AX334" s="223"/>
      <c r="AY334" s="223"/>
      <c r="AZ334" s="223"/>
      <c r="BA334" s="223"/>
      <c r="BB334" s="223"/>
      <c r="BC334" s="223"/>
      <c r="BD334" s="223"/>
      <c r="BE334" s="223"/>
      <c r="BF334" s="223"/>
      <c r="BG334" s="223"/>
      <c r="BH334" s="223"/>
      <c r="BI334" s="223"/>
      <c r="BJ334" s="223"/>
      <c r="BK334" s="223"/>
      <c r="BL334" s="223"/>
      <c r="BM334" s="223"/>
      <c r="BN334" s="223"/>
      <c r="BO334" s="223"/>
      <c r="BP334" s="223"/>
      <c r="BQ334" s="227"/>
      <c r="BR334" s="227"/>
      <c r="BS334" s="227"/>
      <c r="BT334" s="227"/>
      <c r="BU334" s="227"/>
      <c r="BV334" s="227"/>
      <c r="BW334" s="227"/>
      <c r="BX334" s="227"/>
      <c r="BY334" s="227"/>
      <c r="BZ334" s="227"/>
      <c r="CA334" s="227"/>
      <c r="CB334" s="227"/>
      <c r="CC334" s="227"/>
      <c r="CD334" s="227"/>
      <c r="CE334" s="227"/>
      <c r="CF334" s="227"/>
      <c r="CG334" s="227"/>
      <c r="CH334" s="227"/>
      <c r="CI334" s="227"/>
      <c r="CJ334" s="227"/>
      <c r="CK334" s="227"/>
      <c r="CL334" s="227"/>
      <c r="CM334" s="227"/>
      <c r="CN334" s="227"/>
      <c r="CO334" s="227"/>
      <c r="CP334" s="227"/>
      <c r="CQ334" s="227"/>
      <c r="CR334" s="227"/>
      <c r="CS334" s="227"/>
      <c r="CT334" s="227"/>
      <c r="CU334" s="225"/>
      <c r="CV334" s="227"/>
    </row>
    <row r="335" spans="1:100" ht="20.100000000000001" customHeight="1">
      <c r="A335" s="227">
        <v>164</v>
      </c>
      <c r="B335" s="225"/>
      <c r="C335" s="227"/>
      <c r="D335" s="228" cm="1">
        <f t="array" ref="D335">IFERROR(
(SUMPRODUCT(E335:CU335*$E$6:$CU$6)/100) + (SUMPRODUCT(E335:CU335*$E$6:$CU$6*$E$3:$CU$3)/100),
0
)</f>
        <v>0</v>
      </c>
      <c r="E335" s="227"/>
      <c r="F335" s="227"/>
      <c r="G335" s="227"/>
      <c r="H335" s="227"/>
      <c r="I335" s="227"/>
      <c r="J335" s="227"/>
      <c r="K335" s="227"/>
      <c r="L335" s="227"/>
      <c r="M335" s="227"/>
      <c r="N335" s="227"/>
      <c r="O335" s="227"/>
      <c r="P335" s="227"/>
      <c r="Q335" s="227"/>
      <c r="R335" s="227"/>
      <c r="S335" s="227"/>
      <c r="T335" s="227"/>
      <c r="U335" s="227"/>
      <c r="V335" s="227"/>
      <c r="W335" s="227"/>
      <c r="X335" s="227"/>
      <c r="Y335" s="227"/>
      <c r="Z335" s="227"/>
      <c r="AA335" s="227"/>
      <c r="AB335" s="227"/>
      <c r="AC335" s="227"/>
      <c r="AD335" s="227"/>
      <c r="AE335" s="227"/>
      <c r="AF335" s="227"/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27"/>
      <c r="BC335" s="227"/>
      <c r="BD335" s="227"/>
      <c r="BE335" s="227"/>
      <c r="BF335" s="227"/>
      <c r="BG335" s="227"/>
      <c r="BH335" s="227"/>
      <c r="BI335" s="227"/>
      <c r="BJ335" s="227"/>
      <c r="BK335" s="227"/>
      <c r="BL335" s="227"/>
      <c r="BM335" s="227"/>
      <c r="BN335" s="227"/>
      <c r="BO335" s="227"/>
      <c r="BP335" s="227"/>
      <c r="BQ335" s="227"/>
      <c r="BR335" s="227"/>
      <c r="BS335" s="227"/>
      <c r="BT335" s="227"/>
      <c r="BU335" s="227"/>
      <c r="BV335" s="227"/>
      <c r="BW335" s="227"/>
      <c r="BX335" s="227"/>
      <c r="BY335" s="227"/>
      <c r="BZ335" s="227"/>
      <c r="CA335" s="227"/>
      <c r="CB335" s="227"/>
      <c r="CC335" s="227"/>
      <c r="CD335" s="227"/>
      <c r="CE335" s="227"/>
      <c r="CF335" s="227"/>
      <c r="CG335" s="227"/>
      <c r="CH335" s="227"/>
      <c r="CI335" s="227"/>
      <c r="CJ335" s="227"/>
      <c r="CK335" s="227"/>
      <c r="CL335" s="227"/>
      <c r="CM335" s="227"/>
      <c r="CN335" s="227"/>
      <c r="CO335" s="227"/>
      <c r="CP335" s="227"/>
      <c r="CQ335" s="227"/>
      <c r="CR335" s="227"/>
      <c r="CS335" s="227"/>
      <c r="CT335" s="227"/>
      <c r="CU335" s="225"/>
      <c r="CV335" s="227"/>
    </row>
    <row r="336" spans="1:100" ht="20.100000000000001" customHeight="1">
      <c r="A336" s="223"/>
      <c r="B336" s="225"/>
      <c r="C336" s="227"/>
      <c r="D336" s="224"/>
      <c r="E336" s="223"/>
      <c r="F336" s="223"/>
      <c r="G336" s="223"/>
      <c r="H336" s="223"/>
      <c r="I336" s="223"/>
      <c r="J336" s="223"/>
      <c r="K336" s="223"/>
      <c r="L336" s="223"/>
      <c r="M336" s="223"/>
      <c r="N336" s="223"/>
      <c r="O336" s="223"/>
      <c r="P336" s="223"/>
      <c r="Q336" s="223"/>
      <c r="R336" s="223"/>
      <c r="S336" s="223"/>
      <c r="T336" s="223"/>
      <c r="U336" s="223"/>
      <c r="V336" s="223"/>
      <c r="W336" s="223"/>
      <c r="X336" s="223"/>
      <c r="Y336" s="223"/>
      <c r="Z336" s="223"/>
      <c r="AA336" s="223"/>
      <c r="AB336" s="223"/>
      <c r="AC336" s="223"/>
      <c r="AD336" s="223"/>
      <c r="AE336" s="223"/>
      <c r="AF336" s="223"/>
      <c r="AG336" s="223"/>
      <c r="AH336" s="223"/>
      <c r="AI336" s="223"/>
      <c r="AJ336" s="223"/>
      <c r="AK336" s="223"/>
      <c r="AL336" s="223"/>
      <c r="AM336" s="223"/>
      <c r="AN336" s="223"/>
      <c r="AO336" s="223"/>
      <c r="AP336" s="223"/>
      <c r="AQ336" s="223"/>
      <c r="AR336" s="223"/>
      <c r="AS336" s="223"/>
      <c r="AT336" s="223"/>
      <c r="AU336" s="223"/>
      <c r="AV336" s="223"/>
      <c r="AW336" s="223"/>
      <c r="AX336" s="223"/>
      <c r="AY336" s="223"/>
      <c r="AZ336" s="223"/>
      <c r="BA336" s="223"/>
      <c r="BB336" s="223"/>
      <c r="BC336" s="223"/>
      <c r="BD336" s="223"/>
      <c r="BE336" s="223"/>
      <c r="BF336" s="223"/>
      <c r="BG336" s="223"/>
      <c r="BH336" s="223"/>
      <c r="BI336" s="223"/>
      <c r="BJ336" s="223"/>
      <c r="BK336" s="223"/>
      <c r="BL336" s="223"/>
      <c r="BM336" s="223"/>
      <c r="BN336" s="223"/>
      <c r="BO336" s="223"/>
      <c r="BP336" s="223"/>
      <c r="BQ336" s="227"/>
      <c r="BR336" s="227"/>
      <c r="BS336" s="227"/>
      <c r="BT336" s="227"/>
      <c r="BU336" s="227"/>
      <c r="BV336" s="227"/>
      <c r="BW336" s="227"/>
      <c r="BX336" s="227"/>
      <c r="BY336" s="227"/>
      <c r="BZ336" s="227"/>
      <c r="CA336" s="227"/>
      <c r="CB336" s="227"/>
      <c r="CC336" s="227"/>
      <c r="CD336" s="227"/>
      <c r="CE336" s="227"/>
      <c r="CF336" s="227"/>
      <c r="CG336" s="227"/>
      <c r="CH336" s="227"/>
      <c r="CI336" s="227"/>
      <c r="CJ336" s="227"/>
      <c r="CK336" s="227"/>
      <c r="CL336" s="227"/>
      <c r="CM336" s="227"/>
      <c r="CN336" s="227"/>
      <c r="CO336" s="227"/>
      <c r="CP336" s="227"/>
      <c r="CQ336" s="227"/>
      <c r="CR336" s="227"/>
      <c r="CS336" s="227"/>
      <c r="CT336" s="227"/>
      <c r="CU336" s="225"/>
      <c r="CV336" s="227"/>
    </row>
    <row r="337" spans="1:100" ht="20.100000000000001" customHeight="1">
      <c r="A337" s="227">
        <v>165</v>
      </c>
      <c r="B337" s="225"/>
      <c r="C337" s="227"/>
      <c r="D337" s="228" cm="1">
        <f t="array" ref="D337">IFERROR(
(SUMPRODUCT(E337:CU337*$E$6:$CU$6)/100) + (SUMPRODUCT(E337:CU337*$E$6:$CU$6*$E$3:$CU$3)/100),
0
)</f>
        <v>0</v>
      </c>
      <c r="E337" s="227"/>
      <c r="F337" s="227"/>
      <c r="G337" s="227"/>
      <c r="H337" s="227"/>
      <c r="I337" s="227"/>
      <c r="J337" s="227"/>
      <c r="K337" s="227"/>
      <c r="L337" s="227"/>
      <c r="M337" s="227"/>
      <c r="N337" s="227"/>
      <c r="O337" s="227"/>
      <c r="P337" s="227"/>
      <c r="Q337" s="227"/>
      <c r="R337" s="227"/>
      <c r="S337" s="227"/>
      <c r="T337" s="227"/>
      <c r="U337" s="227"/>
      <c r="V337" s="227"/>
      <c r="W337" s="227"/>
      <c r="X337" s="227"/>
      <c r="Y337" s="227"/>
      <c r="Z337" s="227"/>
      <c r="AA337" s="227"/>
      <c r="AB337" s="227"/>
      <c r="AC337" s="227"/>
      <c r="AD337" s="227"/>
      <c r="AE337" s="227"/>
      <c r="AF337" s="227"/>
      <c r="AG337" s="227"/>
      <c r="AH337" s="227"/>
      <c r="AI337" s="227"/>
      <c r="AJ337" s="227"/>
      <c r="AK337" s="227"/>
      <c r="AL337" s="227"/>
      <c r="AM337" s="227"/>
      <c r="AN337" s="227"/>
      <c r="AO337" s="227"/>
      <c r="AP337" s="227"/>
      <c r="AQ337" s="227"/>
      <c r="AR337" s="227"/>
      <c r="AS337" s="227"/>
      <c r="AT337" s="227"/>
      <c r="AU337" s="227"/>
      <c r="AV337" s="227"/>
      <c r="AW337" s="227"/>
      <c r="AX337" s="227"/>
      <c r="AY337" s="227"/>
      <c r="AZ337" s="227"/>
      <c r="BA337" s="227"/>
      <c r="BB337" s="227"/>
      <c r="BC337" s="227"/>
      <c r="BD337" s="227"/>
      <c r="BE337" s="227"/>
      <c r="BF337" s="227"/>
      <c r="BG337" s="227"/>
      <c r="BH337" s="227"/>
      <c r="BI337" s="227"/>
      <c r="BJ337" s="227"/>
      <c r="BK337" s="227"/>
      <c r="BL337" s="227"/>
      <c r="BM337" s="227"/>
      <c r="BN337" s="227"/>
      <c r="BO337" s="227"/>
      <c r="BP337" s="227"/>
      <c r="BQ337" s="227"/>
      <c r="BR337" s="227"/>
      <c r="BS337" s="227"/>
      <c r="BT337" s="227"/>
      <c r="BU337" s="227"/>
      <c r="BV337" s="227"/>
      <c r="BW337" s="227"/>
      <c r="BX337" s="227"/>
      <c r="BY337" s="227"/>
      <c r="BZ337" s="227"/>
      <c r="CA337" s="227"/>
      <c r="CB337" s="227"/>
      <c r="CC337" s="227"/>
      <c r="CD337" s="227"/>
      <c r="CE337" s="227"/>
      <c r="CF337" s="227"/>
      <c r="CG337" s="227"/>
      <c r="CH337" s="227"/>
      <c r="CI337" s="227"/>
      <c r="CJ337" s="227"/>
      <c r="CK337" s="227"/>
      <c r="CL337" s="227"/>
      <c r="CM337" s="227"/>
      <c r="CN337" s="227"/>
      <c r="CO337" s="227"/>
      <c r="CP337" s="227"/>
      <c r="CQ337" s="227"/>
      <c r="CR337" s="227"/>
      <c r="CS337" s="227"/>
      <c r="CT337" s="227"/>
      <c r="CU337" s="225"/>
      <c r="CV337" s="227"/>
    </row>
    <row r="338" spans="1:100" ht="20.100000000000001" customHeight="1">
      <c r="A338" s="227"/>
      <c r="B338" s="225"/>
      <c r="C338" s="227"/>
      <c r="D338" s="224"/>
      <c r="E338" s="223"/>
      <c r="F338" s="223"/>
      <c r="G338" s="223"/>
      <c r="H338" s="223"/>
      <c r="I338" s="223"/>
      <c r="J338" s="223"/>
      <c r="K338" s="223"/>
      <c r="L338" s="223"/>
      <c r="M338" s="223"/>
      <c r="N338" s="223"/>
      <c r="O338" s="223"/>
      <c r="P338" s="223"/>
      <c r="Q338" s="223"/>
      <c r="R338" s="223"/>
      <c r="S338" s="223"/>
      <c r="T338" s="223"/>
      <c r="U338" s="223"/>
      <c r="V338" s="223"/>
      <c r="W338" s="223"/>
      <c r="X338" s="223"/>
      <c r="Y338" s="223"/>
      <c r="Z338" s="223"/>
      <c r="AA338" s="223"/>
      <c r="AB338" s="223"/>
      <c r="AC338" s="223"/>
      <c r="AD338" s="223"/>
      <c r="AE338" s="223"/>
      <c r="AF338" s="223"/>
      <c r="AG338" s="223"/>
      <c r="AH338" s="223"/>
      <c r="AI338" s="223"/>
      <c r="AJ338" s="223"/>
      <c r="AK338" s="223"/>
      <c r="AL338" s="223"/>
      <c r="AM338" s="223"/>
      <c r="AN338" s="223"/>
      <c r="AO338" s="223"/>
      <c r="AP338" s="223"/>
      <c r="AQ338" s="223"/>
      <c r="AR338" s="223"/>
      <c r="AS338" s="223"/>
      <c r="AT338" s="223"/>
      <c r="AU338" s="223"/>
      <c r="AV338" s="223"/>
      <c r="AW338" s="223"/>
      <c r="AX338" s="223"/>
      <c r="AY338" s="223"/>
      <c r="AZ338" s="223"/>
      <c r="BA338" s="223"/>
      <c r="BB338" s="223"/>
      <c r="BC338" s="223"/>
      <c r="BD338" s="223"/>
      <c r="BE338" s="223"/>
      <c r="BF338" s="223"/>
      <c r="BG338" s="223"/>
      <c r="BH338" s="223"/>
      <c r="BI338" s="223"/>
      <c r="BJ338" s="223"/>
      <c r="BK338" s="223"/>
      <c r="BL338" s="223"/>
      <c r="BM338" s="223"/>
      <c r="BN338" s="223"/>
      <c r="BO338" s="223"/>
      <c r="BP338" s="223"/>
      <c r="BQ338" s="227"/>
      <c r="BR338" s="227"/>
      <c r="BS338" s="227"/>
      <c r="BT338" s="227"/>
      <c r="BU338" s="227"/>
      <c r="BV338" s="227"/>
      <c r="BW338" s="227"/>
      <c r="BX338" s="227"/>
      <c r="BY338" s="227"/>
      <c r="BZ338" s="227"/>
      <c r="CA338" s="227"/>
      <c r="CB338" s="227"/>
      <c r="CC338" s="227"/>
      <c r="CD338" s="227"/>
      <c r="CE338" s="227"/>
      <c r="CF338" s="227"/>
      <c r="CG338" s="227"/>
      <c r="CH338" s="227"/>
      <c r="CI338" s="227"/>
      <c r="CJ338" s="227"/>
      <c r="CK338" s="227"/>
      <c r="CL338" s="227"/>
      <c r="CM338" s="227"/>
      <c r="CN338" s="227"/>
      <c r="CO338" s="227"/>
      <c r="CP338" s="227"/>
      <c r="CQ338" s="227"/>
      <c r="CR338" s="227"/>
      <c r="CS338" s="227"/>
      <c r="CT338" s="227"/>
      <c r="CU338" s="225"/>
      <c r="CV338" s="227"/>
    </row>
    <row r="339" spans="1:100" ht="20.100000000000001" customHeight="1">
      <c r="A339" s="227">
        <v>166</v>
      </c>
      <c r="B339" s="225"/>
      <c r="C339" s="227"/>
      <c r="D339" s="228" cm="1">
        <f t="array" ref="D339">IFERROR(
(SUMPRODUCT(E339:CU339*$E$6:$CU$6)/100) + (SUMPRODUCT(E339:CU339*$E$6:$CU$6*$E$3:$CU$3)/100),
0
)</f>
        <v>0</v>
      </c>
      <c r="E339" s="227"/>
      <c r="F339" s="227"/>
      <c r="G339" s="227"/>
      <c r="H339" s="227"/>
      <c r="I339" s="227"/>
      <c r="J339" s="227"/>
      <c r="K339" s="227"/>
      <c r="L339" s="227"/>
      <c r="M339" s="227"/>
      <c r="N339" s="227"/>
      <c r="O339" s="227"/>
      <c r="P339" s="227"/>
      <c r="Q339" s="227"/>
      <c r="R339" s="227"/>
      <c r="S339" s="227"/>
      <c r="T339" s="227"/>
      <c r="U339" s="227"/>
      <c r="V339" s="227"/>
      <c r="W339" s="227"/>
      <c r="X339" s="227"/>
      <c r="Y339" s="227"/>
      <c r="Z339" s="227"/>
      <c r="AA339" s="227"/>
      <c r="AB339" s="227"/>
      <c r="AC339" s="227"/>
      <c r="AD339" s="227"/>
      <c r="AE339" s="227"/>
      <c r="AF339" s="227"/>
      <c r="AG339" s="227"/>
      <c r="AH339" s="227"/>
      <c r="AI339" s="227"/>
      <c r="AJ339" s="227"/>
      <c r="AK339" s="227"/>
      <c r="AL339" s="227"/>
      <c r="AM339" s="227"/>
      <c r="AN339" s="227"/>
      <c r="AO339" s="227"/>
      <c r="AP339" s="227"/>
      <c r="AQ339" s="227"/>
      <c r="AR339" s="227"/>
      <c r="AS339" s="227"/>
      <c r="AT339" s="227"/>
      <c r="AU339" s="227"/>
      <c r="AV339" s="227"/>
      <c r="AW339" s="227"/>
      <c r="AX339" s="227"/>
      <c r="AY339" s="227"/>
      <c r="AZ339" s="227"/>
      <c r="BA339" s="227"/>
      <c r="BB339" s="227"/>
      <c r="BC339" s="227"/>
      <c r="BD339" s="227"/>
      <c r="BE339" s="227"/>
      <c r="BF339" s="227"/>
      <c r="BG339" s="227"/>
      <c r="BH339" s="227"/>
      <c r="BI339" s="227"/>
      <c r="BJ339" s="227"/>
      <c r="BK339" s="227"/>
      <c r="BL339" s="227"/>
      <c r="BM339" s="227"/>
      <c r="BN339" s="227"/>
      <c r="BO339" s="227"/>
      <c r="BP339" s="227"/>
      <c r="BQ339" s="227"/>
      <c r="BR339" s="227"/>
      <c r="BS339" s="227"/>
      <c r="BT339" s="227"/>
      <c r="BU339" s="227"/>
      <c r="BV339" s="227"/>
      <c r="BW339" s="227"/>
      <c r="BX339" s="227"/>
      <c r="BY339" s="227"/>
      <c r="BZ339" s="227"/>
      <c r="CA339" s="227"/>
      <c r="CB339" s="227"/>
      <c r="CC339" s="227"/>
      <c r="CD339" s="227"/>
      <c r="CE339" s="227"/>
      <c r="CF339" s="227"/>
      <c r="CG339" s="227"/>
      <c r="CH339" s="227"/>
      <c r="CI339" s="227"/>
      <c r="CJ339" s="227"/>
      <c r="CK339" s="227"/>
      <c r="CL339" s="227"/>
      <c r="CM339" s="227"/>
      <c r="CN339" s="227"/>
      <c r="CO339" s="227"/>
      <c r="CP339" s="227"/>
      <c r="CQ339" s="227"/>
      <c r="CR339" s="227"/>
      <c r="CS339" s="227"/>
      <c r="CT339" s="227"/>
      <c r="CU339" s="225"/>
      <c r="CV339" s="227"/>
    </row>
    <row r="340" spans="1:100" ht="20.100000000000001" customHeight="1">
      <c r="A340" s="223"/>
      <c r="B340" s="225"/>
      <c r="C340" s="227"/>
      <c r="D340" s="224"/>
      <c r="E340" s="223"/>
      <c r="F340" s="223"/>
      <c r="G340" s="223"/>
      <c r="H340" s="223"/>
      <c r="I340" s="223"/>
      <c r="J340" s="223"/>
      <c r="K340" s="223"/>
      <c r="L340" s="223"/>
      <c r="M340" s="223"/>
      <c r="N340" s="223"/>
      <c r="O340" s="223"/>
      <c r="P340" s="223"/>
      <c r="Q340" s="223"/>
      <c r="R340" s="223"/>
      <c r="S340" s="223"/>
      <c r="T340" s="223"/>
      <c r="U340" s="223"/>
      <c r="V340" s="223"/>
      <c r="W340" s="223"/>
      <c r="X340" s="223"/>
      <c r="Y340" s="223"/>
      <c r="Z340" s="223"/>
      <c r="AA340" s="223"/>
      <c r="AB340" s="223"/>
      <c r="AC340" s="223"/>
      <c r="AD340" s="223"/>
      <c r="AE340" s="223"/>
      <c r="AF340" s="223"/>
      <c r="AG340" s="223"/>
      <c r="AH340" s="223"/>
      <c r="AI340" s="223"/>
      <c r="AJ340" s="223"/>
      <c r="AK340" s="223"/>
      <c r="AL340" s="223"/>
      <c r="AM340" s="223"/>
      <c r="AN340" s="223"/>
      <c r="AO340" s="223"/>
      <c r="AP340" s="223"/>
      <c r="AQ340" s="223"/>
      <c r="AR340" s="223"/>
      <c r="AS340" s="223"/>
      <c r="AT340" s="223"/>
      <c r="AU340" s="223"/>
      <c r="AV340" s="223"/>
      <c r="AW340" s="223"/>
      <c r="AX340" s="223"/>
      <c r="AY340" s="223"/>
      <c r="AZ340" s="223"/>
      <c r="BA340" s="223"/>
      <c r="BB340" s="223"/>
      <c r="BC340" s="223"/>
      <c r="BD340" s="223"/>
      <c r="BE340" s="223"/>
      <c r="BF340" s="223"/>
      <c r="BG340" s="223"/>
      <c r="BH340" s="223"/>
      <c r="BI340" s="223"/>
      <c r="BJ340" s="223"/>
      <c r="BK340" s="223"/>
      <c r="BL340" s="223"/>
      <c r="BM340" s="223"/>
      <c r="BN340" s="223"/>
      <c r="BO340" s="223"/>
      <c r="BP340" s="223"/>
      <c r="BQ340" s="227"/>
      <c r="BR340" s="227"/>
      <c r="BS340" s="227"/>
      <c r="BT340" s="227"/>
      <c r="BU340" s="227"/>
      <c r="BV340" s="227"/>
      <c r="BW340" s="227"/>
      <c r="BX340" s="227"/>
      <c r="BY340" s="227"/>
      <c r="BZ340" s="227"/>
      <c r="CA340" s="227"/>
      <c r="CB340" s="227"/>
      <c r="CC340" s="227"/>
      <c r="CD340" s="227"/>
      <c r="CE340" s="227"/>
      <c r="CF340" s="227"/>
      <c r="CG340" s="227"/>
      <c r="CH340" s="227"/>
      <c r="CI340" s="227"/>
      <c r="CJ340" s="227"/>
      <c r="CK340" s="227"/>
      <c r="CL340" s="227"/>
      <c r="CM340" s="227"/>
      <c r="CN340" s="227"/>
      <c r="CO340" s="227"/>
      <c r="CP340" s="227"/>
      <c r="CQ340" s="227"/>
      <c r="CR340" s="227"/>
      <c r="CS340" s="227"/>
      <c r="CT340" s="227"/>
      <c r="CU340" s="225"/>
      <c r="CV340" s="227"/>
    </row>
    <row r="341" spans="1:100" ht="20.100000000000001" customHeight="1">
      <c r="A341" s="227">
        <v>167</v>
      </c>
      <c r="B341" s="225"/>
      <c r="C341" s="227"/>
      <c r="D341" s="228" cm="1">
        <f t="array" ref="D341">IFERROR(
(SUMPRODUCT(E341:CU341*$E$6:$CU$6)/100) + (SUMPRODUCT(E341:CU341*$E$6:$CU$6*$E$3:$CU$3)/100),
0
)</f>
        <v>0</v>
      </c>
      <c r="E341" s="227"/>
      <c r="F341" s="227"/>
      <c r="G341" s="227"/>
      <c r="H341" s="227"/>
      <c r="I341" s="227"/>
      <c r="J341" s="227"/>
      <c r="K341" s="227"/>
      <c r="L341" s="227"/>
      <c r="M341" s="227"/>
      <c r="N341" s="227"/>
      <c r="O341" s="227"/>
      <c r="P341" s="227"/>
      <c r="Q341" s="227"/>
      <c r="R341" s="227"/>
      <c r="S341" s="227"/>
      <c r="T341" s="227"/>
      <c r="U341" s="227"/>
      <c r="V341" s="227"/>
      <c r="W341" s="227"/>
      <c r="X341" s="227"/>
      <c r="Y341" s="227"/>
      <c r="Z341" s="227"/>
      <c r="AA341" s="227"/>
      <c r="AB341" s="227"/>
      <c r="AC341" s="227"/>
      <c r="AD341" s="227"/>
      <c r="AE341" s="227"/>
      <c r="AF341" s="227"/>
      <c r="AG341" s="227"/>
      <c r="AH341" s="227"/>
      <c r="AI341" s="227"/>
      <c r="AJ341" s="227"/>
      <c r="AK341" s="227"/>
      <c r="AL341" s="227"/>
      <c r="AM341" s="227"/>
      <c r="AN341" s="227"/>
      <c r="AO341" s="227"/>
      <c r="AP341" s="227"/>
      <c r="AQ341" s="227"/>
      <c r="AR341" s="227"/>
      <c r="AS341" s="227"/>
      <c r="AT341" s="227"/>
      <c r="AU341" s="227"/>
      <c r="AV341" s="227"/>
      <c r="AW341" s="227"/>
      <c r="AX341" s="227"/>
      <c r="AY341" s="227"/>
      <c r="AZ341" s="227"/>
      <c r="BA341" s="227"/>
      <c r="BB341" s="227"/>
      <c r="BC341" s="227"/>
      <c r="BD341" s="227"/>
      <c r="BE341" s="227"/>
      <c r="BF341" s="227"/>
      <c r="BG341" s="227"/>
      <c r="BH341" s="227"/>
      <c r="BI341" s="227"/>
      <c r="BJ341" s="227"/>
      <c r="BK341" s="227"/>
      <c r="BL341" s="227"/>
      <c r="BM341" s="227"/>
      <c r="BN341" s="227"/>
      <c r="BO341" s="227"/>
      <c r="BP341" s="227"/>
      <c r="BQ341" s="227"/>
      <c r="BR341" s="227"/>
      <c r="BS341" s="227"/>
      <c r="BT341" s="227"/>
      <c r="BU341" s="227"/>
      <c r="BV341" s="227"/>
      <c r="BW341" s="227"/>
      <c r="BX341" s="227"/>
      <c r="BY341" s="227"/>
      <c r="BZ341" s="227"/>
      <c r="CA341" s="227"/>
      <c r="CB341" s="227"/>
      <c r="CC341" s="227"/>
      <c r="CD341" s="227"/>
      <c r="CE341" s="227"/>
      <c r="CF341" s="227"/>
      <c r="CG341" s="227"/>
      <c r="CH341" s="227"/>
      <c r="CI341" s="227"/>
      <c r="CJ341" s="227"/>
      <c r="CK341" s="227"/>
      <c r="CL341" s="227"/>
      <c r="CM341" s="227"/>
      <c r="CN341" s="227"/>
      <c r="CO341" s="227"/>
      <c r="CP341" s="227"/>
      <c r="CQ341" s="227"/>
      <c r="CR341" s="227"/>
      <c r="CS341" s="227"/>
      <c r="CT341" s="227"/>
      <c r="CU341" s="225"/>
      <c r="CV341" s="227"/>
    </row>
    <row r="342" spans="1:100" ht="20.100000000000001" customHeight="1">
      <c r="A342" s="227"/>
      <c r="B342" s="225"/>
      <c r="C342" s="227"/>
      <c r="D342" s="224"/>
      <c r="E342" s="223"/>
      <c r="F342" s="223"/>
      <c r="G342" s="223"/>
      <c r="H342" s="223"/>
      <c r="I342" s="223"/>
      <c r="J342" s="223"/>
      <c r="K342" s="223"/>
      <c r="L342" s="223"/>
      <c r="M342" s="223"/>
      <c r="N342" s="223"/>
      <c r="O342" s="223"/>
      <c r="P342" s="223"/>
      <c r="Q342" s="223"/>
      <c r="R342" s="223"/>
      <c r="S342" s="223"/>
      <c r="T342" s="223"/>
      <c r="U342" s="223"/>
      <c r="V342" s="223"/>
      <c r="W342" s="223"/>
      <c r="X342" s="223"/>
      <c r="Y342" s="223"/>
      <c r="Z342" s="223"/>
      <c r="AA342" s="223"/>
      <c r="AB342" s="223"/>
      <c r="AC342" s="223"/>
      <c r="AD342" s="223"/>
      <c r="AE342" s="223"/>
      <c r="AF342" s="223"/>
      <c r="AG342" s="223"/>
      <c r="AH342" s="223"/>
      <c r="AI342" s="223"/>
      <c r="AJ342" s="223"/>
      <c r="AK342" s="223"/>
      <c r="AL342" s="223"/>
      <c r="AM342" s="223"/>
      <c r="AN342" s="223"/>
      <c r="AO342" s="223"/>
      <c r="AP342" s="223"/>
      <c r="AQ342" s="223"/>
      <c r="AR342" s="223"/>
      <c r="AS342" s="223"/>
      <c r="AT342" s="223"/>
      <c r="AU342" s="223"/>
      <c r="AV342" s="223"/>
      <c r="AW342" s="223"/>
      <c r="AX342" s="223"/>
      <c r="AY342" s="223"/>
      <c r="AZ342" s="223"/>
      <c r="BA342" s="223"/>
      <c r="BB342" s="223"/>
      <c r="BC342" s="223"/>
      <c r="BD342" s="223"/>
      <c r="BE342" s="223"/>
      <c r="BF342" s="223"/>
      <c r="BG342" s="223"/>
      <c r="BH342" s="223"/>
      <c r="BI342" s="223"/>
      <c r="BJ342" s="223"/>
      <c r="BK342" s="223"/>
      <c r="BL342" s="223"/>
      <c r="BM342" s="223"/>
      <c r="BN342" s="223"/>
      <c r="BO342" s="223"/>
      <c r="BP342" s="223"/>
      <c r="BQ342" s="227"/>
      <c r="BR342" s="227"/>
      <c r="BS342" s="227"/>
      <c r="BT342" s="227"/>
      <c r="BU342" s="227"/>
      <c r="BV342" s="227"/>
      <c r="BW342" s="227"/>
      <c r="BX342" s="227"/>
      <c r="BY342" s="227"/>
      <c r="BZ342" s="227"/>
      <c r="CA342" s="227"/>
      <c r="CB342" s="227"/>
      <c r="CC342" s="227"/>
      <c r="CD342" s="227"/>
      <c r="CE342" s="227"/>
      <c r="CF342" s="227"/>
      <c r="CG342" s="227"/>
      <c r="CH342" s="227"/>
      <c r="CI342" s="227"/>
      <c r="CJ342" s="227"/>
      <c r="CK342" s="227"/>
      <c r="CL342" s="227"/>
      <c r="CM342" s="227"/>
      <c r="CN342" s="227"/>
      <c r="CO342" s="227"/>
      <c r="CP342" s="227"/>
      <c r="CQ342" s="227"/>
      <c r="CR342" s="227"/>
      <c r="CS342" s="227"/>
      <c r="CT342" s="227"/>
      <c r="CU342" s="225"/>
      <c r="CV342" s="227"/>
    </row>
    <row r="343" spans="1:100" ht="20.100000000000001" customHeight="1">
      <c r="A343" s="227">
        <v>168</v>
      </c>
      <c r="B343" s="225"/>
      <c r="C343" s="227"/>
      <c r="D343" s="228" cm="1">
        <f t="array" ref="D343">IFERROR(
(SUMPRODUCT(E343:CU343*$E$6:$CU$6)/100) + (SUMPRODUCT(E343:CU343*$E$6:$CU$6*$E$3:$CU$3)/100),
0
)</f>
        <v>0</v>
      </c>
      <c r="E343" s="227"/>
      <c r="F343" s="227"/>
      <c r="G343" s="227"/>
      <c r="H343" s="227"/>
      <c r="I343" s="227"/>
      <c r="J343" s="227"/>
      <c r="K343" s="227"/>
      <c r="L343" s="227"/>
      <c r="M343" s="227"/>
      <c r="N343" s="227"/>
      <c r="O343" s="227"/>
      <c r="P343" s="227"/>
      <c r="Q343" s="227"/>
      <c r="R343" s="227"/>
      <c r="S343" s="227"/>
      <c r="T343" s="227"/>
      <c r="U343" s="227"/>
      <c r="V343" s="227"/>
      <c r="W343" s="227"/>
      <c r="X343" s="227"/>
      <c r="Y343" s="227"/>
      <c r="Z343" s="227"/>
      <c r="AA343" s="227"/>
      <c r="AB343" s="227"/>
      <c r="AC343" s="227"/>
      <c r="AD343" s="227"/>
      <c r="AE343" s="227"/>
      <c r="AF343" s="227"/>
      <c r="AG343" s="227"/>
      <c r="AH343" s="227"/>
      <c r="AI343" s="227"/>
      <c r="AJ343" s="227"/>
      <c r="AK343" s="227"/>
      <c r="AL343" s="227"/>
      <c r="AM343" s="227"/>
      <c r="AN343" s="227"/>
      <c r="AO343" s="227"/>
      <c r="AP343" s="227"/>
      <c r="AQ343" s="227"/>
      <c r="AR343" s="227"/>
      <c r="AS343" s="227"/>
      <c r="AT343" s="227"/>
      <c r="AU343" s="227"/>
      <c r="AV343" s="227"/>
      <c r="AW343" s="227"/>
      <c r="AX343" s="227"/>
      <c r="AY343" s="227"/>
      <c r="AZ343" s="227"/>
      <c r="BA343" s="227"/>
      <c r="BB343" s="227"/>
      <c r="BC343" s="227"/>
      <c r="BD343" s="227"/>
      <c r="BE343" s="227"/>
      <c r="BF343" s="227"/>
      <c r="BG343" s="227"/>
      <c r="BH343" s="227"/>
      <c r="BI343" s="227"/>
      <c r="BJ343" s="227"/>
      <c r="BK343" s="227"/>
      <c r="BL343" s="227"/>
      <c r="BM343" s="227"/>
      <c r="BN343" s="227"/>
      <c r="BO343" s="227"/>
      <c r="BP343" s="227"/>
      <c r="BQ343" s="227"/>
      <c r="BR343" s="227"/>
      <c r="BS343" s="227"/>
      <c r="BT343" s="227"/>
      <c r="BU343" s="227"/>
      <c r="BV343" s="227"/>
      <c r="BW343" s="227"/>
      <c r="BX343" s="227"/>
      <c r="BY343" s="227"/>
      <c r="BZ343" s="227"/>
      <c r="CA343" s="227"/>
      <c r="CB343" s="227"/>
      <c r="CC343" s="227"/>
      <c r="CD343" s="227"/>
      <c r="CE343" s="227"/>
      <c r="CF343" s="227"/>
      <c r="CG343" s="227"/>
      <c r="CH343" s="227"/>
      <c r="CI343" s="227"/>
      <c r="CJ343" s="227"/>
      <c r="CK343" s="227"/>
      <c r="CL343" s="227"/>
      <c r="CM343" s="227"/>
      <c r="CN343" s="227"/>
      <c r="CO343" s="227"/>
      <c r="CP343" s="227"/>
      <c r="CQ343" s="227"/>
      <c r="CR343" s="227"/>
      <c r="CS343" s="227"/>
      <c r="CT343" s="227"/>
      <c r="CU343" s="225"/>
      <c r="CV343" s="227"/>
    </row>
    <row r="344" spans="1:100" ht="20.100000000000001" customHeight="1">
      <c r="A344" s="223"/>
      <c r="B344" s="225"/>
      <c r="C344" s="227"/>
      <c r="D344" s="224"/>
      <c r="E344" s="223"/>
      <c r="F344" s="223"/>
      <c r="G344" s="223"/>
      <c r="H344" s="223"/>
      <c r="I344" s="223"/>
      <c r="J344" s="223"/>
      <c r="K344" s="223"/>
      <c r="L344" s="223"/>
      <c r="M344" s="223"/>
      <c r="N344" s="223"/>
      <c r="O344" s="223"/>
      <c r="P344" s="223"/>
      <c r="Q344" s="223"/>
      <c r="R344" s="223"/>
      <c r="S344" s="223"/>
      <c r="T344" s="223"/>
      <c r="U344" s="223"/>
      <c r="V344" s="223"/>
      <c r="W344" s="223"/>
      <c r="X344" s="223"/>
      <c r="Y344" s="223"/>
      <c r="Z344" s="223"/>
      <c r="AA344" s="223"/>
      <c r="AB344" s="223"/>
      <c r="AC344" s="223"/>
      <c r="AD344" s="223"/>
      <c r="AE344" s="223"/>
      <c r="AF344" s="223"/>
      <c r="AG344" s="223"/>
      <c r="AH344" s="223"/>
      <c r="AI344" s="223"/>
      <c r="AJ344" s="223"/>
      <c r="AK344" s="223"/>
      <c r="AL344" s="223"/>
      <c r="AM344" s="223"/>
      <c r="AN344" s="223"/>
      <c r="AO344" s="223"/>
      <c r="AP344" s="223"/>
      <c r="AQ344" s="223"/>
      <c r="AR344" s="223"/>
      <c r="AS344" s="223"/>
      <c r="AT344" s="223"/>
      <c r="AU344" s="223"/>
      <c r="AV344" s="223"/>
      <c r="AW344" s="223"/>
      <c r="AX344" s="223"/>
      <c r="AY344" s="223"/>
      <c r="AZ344" s="223"/>
      <c r="BA344" s="223"/>
      <c r="BB344" s="223"/>
      <c r="BC344" s="223"/>
      <c r="BD344" s="223"/>
      <c r="BE344" s="223"/>
      <c r="BF344" s="223"/>
      <c r="BG344" s="223"/>
      <c r="BH344" s="223"/>
      <c r="BI344" s="223"/>
      <c r="BJ344" s="223"/>
      <c r="BK344" s="223"/>
      <c r="BL344" s="223"/>
      <c r="BM344" s="223"/>
      <c r="BN344" s="223"/>
      <c r="BO344" s="223"/>
      <c r="BP344" s="223"/>
      <c r="BQ344" s="227"/>
      <c r="BR344" s="227"/>
      <c r="BS344" s="227"/>
      <c r="BT344" s="227"/>
      <c r="BU344" s="227"/>
      <c r="BV344" s="227"/>
      <c r="BW344" s="227"/>
      <c r="BX344" s="227"/>
      <c r="BY344" s="227"/>
      <c r="BZ344" s="227"/>
      <c r="CA344" s="227"/>
      <c r="CB344" s="227"/>
      <c r="CC344" s="227"/>
      <c r="CD344" s="227"/>
      <c r="CE344" s="227"/>
      <c r="CF344" s="227"/>
      <c r="CG344" s="227"/>
      <c r="CH344" s="227"/>
      <c r="CI344" s="227"/>
      <c r="CJ344" s="227"/>
      <c r="CK344" s="227"/>
      <c r="CL344" s="227"/>
      <c r="CM344" s="227"/>
      <c r="CN344" s="227"/>
      <c r="CO344" s="227"/>
      <c r="CP344" s="227"/>
      <c r="CQ344" s="227"/>
      <c r="CR344" s="227"/>
      <c r="CS344" s="227"/>
      <c r="CT344" s="227"/>
      <c r="CU344" s="225"/>
      <c r="CV344" s="227"/>
    </row>
    <row r="345" spans="1:100" ht="20.100000000000001" customHeight="1">
      <c r="A345" s="227">
        <v>169</v>
      </c>
      <c r="B345" s="225"/>
      <c r="C345" s="227"/>
      <c r="D345" s="228" cm="1">
        <f t="array" ref="D345">IFERROR(
(SUMPRODUCT(E345:CU345*$E$6:$CU$6)/100) + (SUMPRODUCT(E345:CU345*$E$6:$CU$6*$E$3:$CU$3)/100),
0
)</f>
        <v>0</v>
      </c>
      <c r="E345" s="227"/>
      <c r="F345" s="227"/>
      <c r="G345" s="227"/>
      <c r="H345" s="227"/>
      <c r="I345" s="227"/>
      <c r="J345" s="227"/>
      <c r="K345" s="227"/>
      <c r="L345" s="227"/>
      <c r="M345" s="227"/>
      <c r="N345" s="227"/>
      <c r="O345" s="227"/>
      <c r="P345" s="227"/>
      <c r="Q345" s="227"/>
      <c r="R345" s="227"/>
      <c r="S345" s="227"/>
      <c r="T345" s="227"/>
      <c r="U345" s="227"/>
      <c r="V345" s="227"/>
      <c r="W345" s="227"/>
      <c r="X345" s="227"/>
      <c r="Y345" s="227"/>
      <c r="Z345" s="227"/>
      <c r="AA345" s="227"/>
      <c r="AB345" s="227"/>
      <c r="AC345" s="227"/>
      <c r="AD345" s="227"/>
      <c r="AE345" s="227"/>
      <c r="AF345" s="227"/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27"/>
      <c r="BC345" s="227"/>
      <c r="BD345" s="227"/>
      <c r="BE345" s="227"/>
      <c r="BF345" s="227"/>
      <c r="BG345" s="227"/>
      <c r="BH345" s="227"/>
      <c r="BI345" s="227"/>
      <c r="BJ345" s="227"/>
      <c r="BK345" s="227"/>
      <c r="BL345" s="227"/>
      <c r="BM345" s="227"/>
      <c r="BN345" s="227"/>
      <c r="BO345" s="227"/>
      <c r="BP345" s="227"/>
      <c r="BQ345" s="227"/>
      <c r="BR345" s="227"/>
      <c r="BS345" s="227"/>
      <c r="BT345" s="227"/>
      <c r="BU345" s="227"/>
      <c r="BV345" s="227"/>
      <c r="BW345" s="227"/>
      <c r="BX345" s="227"/>
      <c r="BY345" s="227"/>
      <c r="BZ345" s="227"/>
      <c r="CA345" s="227"/>
      <c r="CB345" s="227"/>
      <c r="CC345" s="227"/>
      <c r="CD345" s="227"/>
      <c r="CE345" s="227"/>
      <c r="CF345" s="227"/>
      <c r="CG345" s="227"/>
      <c r="CH345" s="227"/>
      <c r="CI345" s="227"/>
      <c r="CJ345" s="227"/>
      <c r="CK345" s="227"/>
      <c r="CL345" s="227"/>
      <c r="CM345" s="227"/>
      <c r="CN345" s="227"/>
      <c r="CO345" s="227"/>
      <c r="CP345" s="227"/>
      <c r="CQ345" s="227"/>
      <c r="CR345" s="227"/>
      <c r="CS345" s="227"/>
      <c r="CT345" s="227"/>
      <c r="CU345" s="225"/>
      <c r="CV345" s="227"/>
    </row>
    <row r="346" spans="1:100" ht="20.100000000000001" customHeight="1">
      <c r="A346" s="227"/>
      <c r="B346" s="225"/>
      <c r="C346" s="227"/>
      <c r="D346" s="224"/>
      <c r="E346" s="223"/>
      <c r="F346" s="223"/>
      <c r="G346" s="223"/>
      <c r="H346" s="223"/>
      <c r="I346" s="223"/>
      <c r="J346" s="223"/>
      <c r="K346" s="223"/>
      <c r="L346" s="223"/>
      <c r="M346" s="223"/>
      <c r="N346" s="223"/>
      <c r="O346" s="223"/>
      <c r="P346" s="223"/>
      <c r="Q346" s="223"/>
      <c r="R346" s="223"/>
      <c r="S346" s="223"/>
      <c r="T346" s="223"/>
      <c r="U346" s="223"/>
      <c r="V346" s="223"/>
      <c r="W346" s="223"/>
      <c r="X346" s="223"/>
      <c r="Y346" s="223"/>
      <c r="Z346" s="223"/>
      <c r="AA346" s="223"/>
      <c r="AB346" s="223"/>
      <c r="AC346" s="223"/>
      <c r="AD346" s="223"/>
      <c r="AE346" s="223"/>
      <c r="AF346" s="223"/>
      <c r="AG346" s="223"/>
      <c r="AH346" s="223"/>
      <c r="AI346" s="223"/>
      <c r="AJ346" s="223"/>
      <c r="AK346" s="223"/>
      <c r="AL346" s="223"/>
      <c r="AM346" s="223"/>
      <c r="AN346" s="223"/>
      <c r="AO346" s="223"/>
      <c r="AP346" s="223"/>
      <c r="AQ346" s="223"/>
      <c r="AR346" s="223"/>
      <c r="AS346" s="223"/>
      <c r="AT346" s="223"/>
      <c r="AU346" s="223"/>
      <c r="AV346" s="223"/>
      <c r="AW346" s="223"/>
      <c r="AX346" s="223"/>
      <c r="AY346" s="223"/>
      <c r="AZ346" s="223"/>
      <c r="BA346" s="223"/>
      <c r="BB346" s="223"/>
      <c r="BC346" s="223"/>
      <c r="BD346" s="223"/>
      <c r="BE346" s="223"/>
      <c r="BF346" s="223"/>
      <c r="BG346" s="223"/>
      <c r="BH346" s="223"/>
      <c r="BI346" s="223"/>
      <c r="BJ346" s="223"/>
      <c r="BK346" s="223"/>
      <c r="BL346" s="223"/>
      <c r="BM346" s="223"/>
      <c r="BN346" s="223"/>
      <c r="BO346" s="223"/>
      <c r="BP346" s="223"/>
      <c r="BQ346" s="227"/>
      <c r="BR346" s="227"/>
      <c r="BS346" s="227"/>
      <c r="BT346" s="227"/>
      <c r="BU346" s="227"/>
      <c r="BV346" s="227"/>
      <c r="BW346" s="227"/>
      <c r="BX346" s="227"/>
      <c r="BY346" s="227"/>
      <c r="BZ346" s="227"/>
      <c r="CA346" s="227"/>
      <c r="CB346" s="227"/>
      <c r="CC346" s="227"/>
      <c r="CD346" s="227"/>
      <c r="CE346" s="227"/>
      <c r="CF346" s="227"/>
      <c r="CG346" s="227"/>
      <c r="CH346" s="227"/>
      <c r="CI346" s="227"/>
      <c r="CJ346" s="227"/>
      <c r="CK346" s="227"/>
      <c r="CL346" s="227"/>
      <c r="CM346" s="227"/>
      <c r="CN346" s="227"/>
      <c r="CO346" s="227"/>
      <c r="CP346" s="227"/>
      <c r="CQ346" s="227"/>
      <c r="CR346" s="227"/>
      <c r="CS346" s="227"/>
      <c r="CT346" s="227"/>
      <c r="CU346" s="225"/>
      <c r="CV346" s="227"/>
    </row>
    <row r="347" spans="1:100" ht="20.100000000000001" customHeight="1">
      <c r="A347" s="227">
        <v>170</v>
      </c>
      <c r="B347" s="225"/>
      <c r="C347" s="227"/>
      <c r="D347" s="228" cm="1">
        <f t="array" ref="D347">IFERROR(
(SUMPRODUCT(E347:CU347*$E$6:$CU$6)/100) + (SUMPRODUCT(E347:CU347*$E$6:$CU$6*$E$3:$CU$3)/100),
0
)</f>
        <v>0</v>
      </c>
      <c r="E347" s="227"/>
      <c r="F347" s="227"/>
      <c r="G347" s="227"/>
      <c r="H347" s="227"/>
      <c r="I347" s="227"/>
      <c r="J347" s="227"/>
      <c r="K347" s="227"/>
      <c r="L347" s="227"/>
      <c r="M347" s="227"/>
      <c r="N347" s="227"/>
      <c r="O347" s="227"/>
      <c r="P347" s="227"/>
      <c r="Q347" s="227"/>
      <c r="R347" s="227"/>
      <c r="S347" s="227"/>
      <c r="T347" s="227"/>
      <c r="U347" s="227"/>
      <c r="V347" s="227"/>
      <c r="W347" s="227"/>
      <c r="X347" s="227"/>
      <c r="Y347" s="227"/>
      <c r="Z347" s="227"/>
      <c r="AA347" s="227"/>
      <c r="AB347" s="227"/>
      <c r="AC347" s="227"/>
      <c r="AD347" s="227"/>
      <c r="AE347" s="227"/>
      <c r="AF347" s="227"/>
      <c r="AG347" s="227"/>
      <c r="AH347" s="227"/>
      <c r="AI347" s="227"/>
      <c r="AJ347" s="227"/>
      <c r="AK347" s="227"/>
      <c r="AL347" s="227"/>
      <c r="AM347" s="227"/>
      <c r="AN347" s="227"/>
      <c r="AO347" s="227"/>
      <c r="AP347" s="227"/>
      <c r="AQ347" s="227"/>
      <c r="AR347" s="227"/>
      <c r="AS347" s="227"/>
      <c r="AT347" s="227"/>
      <c r="AU347" s="227"/>
      <c r="AV347" s="227"/>
      <c r="AW347" s="227"/>
      <c r="AX347" s="227"/>
      <c r="AY347" s="227"/>
      <c r="AZ347" s="227"/>
      <c r="BA347" s="227"/>
      <c r="BB347" s="227"/>
      <c r="BC347" s="227"/>
      <c r="BD347" s="227"/>
      <c r="BE347" s="227"/>
      <c r="BF347" s="227"/>
      <c r="BG347" s="227"/>
      <c r="BH347" s="227"/>
      <c r="BI347" s="227"/>
      <c r="BJ347" s="227"/>
      <c r="BK347" s="227"/>
      <c r="BL347" s="227"/>
      <c r="BM347" s="227"/>
      <c r="BN347" s="227"/>
      <c r="BO347" s="227"/>
      <c r="BP347" s="227"/>
      <c r="BQ347" s="227"/>
      <c r="BR347" s="227"/>
      <c r="BS347" s="227"/>
      <c r="BT347" s="227"/>
      <c r="BU347" s="227"/>
      <c r="BV347" s="227"/>
      <c r="BW347" s="227"/>
      <c r="BX347" s="227"/>
      <c r="BY347" s="227"/>
      <c r="BZ347" s="227"/>
      <c r="CA347" s="227"/>
      <c r="CB347" s="227"/>
      <c r="CC347" s="227"/>
      <c r="CD347" s="227"/>
      <c r="CE347" s="227"/>
      <c r="CF347" s="227"/>
      <c r="CG347" s="227"/>
      <c r="CH347" s="227"/>
      <c r="CI347" s="227"/>
      <c r="CJ347" s="227"/>
      <c r="CK347" s="227"/>
      <c r="CL347" s="227"/>
      <c r="CM347" s="227"/>
      <c r="CN347" s="227"/>
      <c r="CO347" s="227"/>
      <c r="CP347" s="227"/>
      <c r="CQ347" s="227"/>
      <c r="CR347" s="227"/>
      <c r="CS347" s="227"/>
      <c r="CT347" s="227"/>
      <c r="CU347" s="225"/>
      <c r="CV347" s="227"/>
    </row>
    <row r="348" spans="1:100" ht="20.100000000000001" customHeight="1">
      <c r="A348" s="223"/>
      <c r="B348" s="225"/>
      <c r="C348" s="227"/>
      <c r="D348" s="224"/>
      <c r="E348" s="223"/>
      <c r="F348" s="223"/>
      <c r="G348" s="223"/>
      <c r="H348" s="223"/>
      <c r="I348" s="223"/>
      <c r="J348" s="223"/>
      <c r="K348" s="223"/>
      <c r="L348" s="223"/>
      <c r="M348" s="223"/>
      <c r="N348" s="223"/>
      <c r="O348" s="223"/>
      <c r="P348" s="223"/>
      <c r="Q348" s="223"/>
      <c r="R348" s="223"/>
      <c r="S348" s="223"/>
      <c r="T348" s="223"/>
      <c r="U348" s="223"/>
      <c r="V348" s="223"/>
      <c r="W348" s="223"/>
      <c r="X348" s="223"/>
      <c r="Y348" s="223"/>
      <c r="Z348" s="223"/>
      <c r="AA348" s="223"/>
      <c r="AB348" s="223"/>
      <c r="AC348" s="223"/>
      <c r="AD348" s="223"/>
      <c r="AE348" s="223"/>
      <c r="AF348" s="223"/>
      <c r="AG348" s="223"/>
      <c r="AH348" s="223"/>
      <c r="AI348" s="223"/>
      <c r="AJ348" s="223"/>
      <c r="AK348" s="223"/>
      <c r="AL348" s="223"/>
      <c r="AM348" s="223"/>
      <c r="AN348" s="223"/>
      <c r="AO348" s="223"/>
      <c r="AP348" s="223"/>
      <c r="AQ348" s="223"/>
      <c r="AR348" s="223"/>
      <c r="AS348" s="223"/>
      <c r="AT348" s="223"/>
      <c r="AU348" s="223"/>
      <c r="AV348" s="223"/>
      <c r="AW348" s="223"/>
      <c r="AX348" s="223"/>
      <c r="AY348" s="223"/>
      <c r="AZ348" s="223"/>
      <c r="BA348" s="223"/>
      <c r="BB348" s="223"/>
      <c r="BC348" s="223"/>
      <c r="BD348" s="223"/>
      <c r="BE348" s="223"/>
      <c r="BF348" s="223"/>
      <c r="BG348" s="223"/>
      <c r="BH348" s="223"/>
      <c r="BI348" s="223"/>
      <c r="BJ348" s="223"/>
      <c r="BK348" s="223"/>
      <c r="BL348" s="223"/>
      <c r="BM348" s="223"/>
      <c r="BN348" s="223"/>
      <c r="BO348" s="223"/>
      <c r="BP348" s="223"/>
      <c r="BQ348" s="227"/>
      <c r="BR348" s="227"/>
      <c r="BS348" s="227"/>
      <c r="BT348" s="227"/>
      <c r="BU348" s="227"/>
      <c r="BV348" s="227"/>
      <c r="BW348" s="227"/>
      <c r="BX348" s="227"/>
      <c r="BY348" s="227"/>
      <c r="BZ348" s="227"/>
      <c r="CA348" s="227"/>
      <c r="CB348" s="227"/>
      <c r="CC348" s="227"/>
      <c r="CD348" s="227"/>
      <c r="CE348" s="227"/>
      <c r="CF348" s="227"/>
      <c r="CG348" s="227"/>
      <c r="CH348" s="227"/>
      <c r="CI348" s="227"/>
      <c r="CJ348" s="227"/>
      <c r="CK348" s="227"/>
      <c r="CL348" s="227"/>
      <c r="CM348" s="227"/>
      <c r="CN348" s="227"/>
      <c r="CO348" s="227"/>
      <c r="CP348" s="227"/>
      <c r="CQ348" s="227"/>
      <c r="CR348" s="227"/>
      <c r="CS348" s="227"/>
      <c r="CT348" s="227"/>
      <c r="CU348" s="225"/>
      <c r="CV348" s="227"/>
    </row>
    <row r="349" spans="1:100" ht="20.100000000000001" customHeight="1">
      <c r="A349" s="227">
        <v>171</v>
      </c>
      <c r="B349" s="225"/>
      <c r="C349" s="227"/>
      <c r="D349" s="228" cm="1">
        <f t="array" ref="D349">IFERROR(
(SUMPRODUCT(E349:CU349*$E$6:$CU$6)/100) + (SUMPRODUCT(E349:CU349*$E$6:$CU$6*$E$3:$CU$3)/100),
0
)</f>
        <v>0</v>
      </c>
      <c r="E349" s="227"/>
      <c r="F349" s="227"/>
      <c r="G349" s="227"/>
      <c r="H349" s="227"/>
      <c r="I349" s="227"/>
      <c r="J349" s="227"/>
      <c r="K349" s="227"/>
      <c r="L349" s="227"/>
      <c r="M349" s="227"/>
      <c r="N349" s="227"/>
      <c r="O349" s="227"/>
      <c r="P349" s="227"/>
      <c r="Q349" s="227"/>
      <c r="R349" s="227"/>
      <c r="S349" s="227"/>
      <c r="T349" s="227"/>
      <c r="U349" s="227"/>
      <c r="V349" s="227"/>
      <c r="W349" s="227"/>
      <c r="X349" s="227"/>
      <c r="Y349" s="227"/>
      <c r="Z349" s="227"/>
      <c r="AA349" s="227"/>
      <c r="AB349" s="227"/>
      <c r="AC349" s="227"/>
      <c r="AD349" s="227"/>
      <c r="AE349" s="227"/>
      <c r="AF349" s="227"/>
      <c r="AG349" s="227"/>
      <c r="AH349" s="227"/>
      <c r="AI349" s="227"/>
      <c r="AJ349" s="227"/>
      <c r="AK349" s="227"/>
      <c r="AL349" s="227"/>
      <c r="AM349" s="227"/>
      <c r="AN349" s="227"/>
      <c r="AO349" s="227"/>
      <c r="AP349" s="227"/>
      <c r="AQ349" s="227"/>
      <c r="AR349" s="227"/>
      <c r="AS349" s="227"/>
      <c r="AT349" s="227"/>
      <c r="AU349" s="227"/>
      <c r="AV349" s="227"/>
      <c r="AW349" s="227"/>
      <c r="AX349" s="227"/>
      <c r="AY349" s="227"/>
      <c r="AZ349" s="227"/>
      <c r="BA349" s="227"/>
      <c r="BB349" s="227"/>
      <c r="BC349" s="227"/>
      <c r="BD349" s="227"/>
      <c r="BE349" s="227"/>
      <c r="BF349" s="227"/>
      <c r="BG349" s="227"/>
      <c r="BH349" s="227"/>
      <c r="BI349" s="227"/>
      <c r="BJ349" s="227"/>
      <c r="BK349" s="227"/>
      <c r="BL349" s="227"/>
      <c r="BM349" s="227"/>
      <c r="BN349" s="227"/>
      <c r="BO349" s="227"/>
      <c r="BP349" s="227"/>
      <c r="BQ349" s="227"/>
      <c r="BR349" s="227"/>
      <c r="BS349" s="227"/>
      <c r="BT349" s="227"/>
      <c r="BU349" s="227"/>
      <c r="BV349" s="227"/>
      <c r="BW349" s="227"/>
      <c r="BX349" s="227"/>
      <c r="BY349" s="227"/>
      <c r="BZ349" s="227"/>
      <c r="CA349" s="227"/>
      <c r="CB349" s="227"/>
      <c r="CC349" s="227"/>
      <c r="CD349" s="227"/>
      <c r="CE349" s="227"/>
      <c r="CF349" s="227"/>
      <c r="CG349" s="227"/>
      <c r="CH349" s="227"/>
      <c r="CI349" s="227"/>
      <c r="CJ349" s="227"/>
      <c r="CK349" s="227"/>
      <c r="CL349" s="227"/>
      <c r="CM349" s="227"/>
      <c r="CN349" s="227"/>
      <c r="CO349" s="227"/>
      <c r="CP349" s="227"/>
      <c r="CQ349" s="227"/>
      <c r="CR349" s="227"/>
      <c r="CS349" s="227"/>
      <c r="CT349" s="227"/>
      <c r="CU349" s="225"/>
      <c r="CV349" s="227"/>
    </row>
    <row r="350" spans="1:100" ht="20.100000000000001" customHeight="1">
      <c r="A350" s="227"/>
      <c r="B350" s="225"/>
      <c r="C350" s="227"/>
      <c r="D350" s="224"/>
      <c r="E350" s="223"/>
      <c r="F350" s="223"/>
      <c r="G350" s="223"/>
      <c r="H350" s="223"/>
      <c r="I350" s="223"/>
      <c r="J350" s="223"/>
      <c r="K350" s="223"/>
      <c r="L350" s="223"/>
      <c r="M350" s="223"/>
      <c r="N350" s="223"/>
      <c r="O350" s="223"/>
      <c r="P350" s="223"/>
      <c r="Q350" s="223"/>
      <c r="R350" s="223"/>
      <c r="S350" s="223"/>
      <c r="T350" s="223"/>
      <c r="U350" s="223"/>
      <c r="V350" s="223"/>
      <c r="W350" s="223"/>
      <c r="X350" s="223"/>
      <c r="Y350" s="223"/>
      <c r="Z350" s="223"/>
      <c r="AA350" s="223"/>
      <c r="AB350" s="223"/>
      <c r="AC350" s="223"/>
      <c r="AD350" s="223"/>
      <c r="AE350" s="223"/>
      <c r="AF350" s="223"/>
      <c r="AG350" s="223"/>
      <c r="AH350" s="223"/>
      <c r="AI350" s="223"/>
      <c r="AJ350" s="223"/>
      <c r="AK350" s="223"/>
      <c r="AL350" s="223"/>
      <c r="AM350" s="223"/>
      <c r="AN350" s="223"/>
      <c r="AO350" s="223"/>
      <c r="AP350" s="223"/>
      <c r="AQ350" s="223"/>
      <c r="AR350" s="223"/>
      <c r="AS350" s="223"/>
      <c r="AT350" s="223"/>
      <c r="AU350" s="223"/>
      <c r="AV350" s="223"/>
      <c r="AW350" s="223"/>
      <c r="AX350" s="223"/>
      <c r="AY350" s="223"/>
      <c r="AZ350" s="223"/>
      <c r="BA350" s="223"/>
      <c r="BB350" s="223"/>
      <c r="BC350" s="223"/>
      <c r="BD350" s="223"/>
      <c r="BE350" s="223"/>
      <c r="BF350" s="223"/>
      <c r="BG350" s="223"/>
      <c r="BH350" s="223"/>
      <c r="BI350" s="223"/>
      <c r="BJ350" s="223"/>
      <c r="BK350" s="223"/>
      <c r="BL350" s="223"/>
      <c r="BM350" s="223"/>
      <c r="BN350" s="223"/>
      <c r="BO350" s="223"/>
      <c r="BP350" s="223"/>
      <c r="BQ350" s="227"/>
      <c r="BR350" s="227"/>
      <c r="BS350" s="227"/>
      <c r="BT350" s="227"/>
      <c r="BU350" s="227"/>
      <c r="BV350" s="227"/>
      <c r="BW350" s="227"/>
      <c r="BX350" s="227"/>
      <c r="BY350" s="227"/>
      <c r="BZ350" s="227"/>
      <c r="CA350" s="227"/>
      <c r="CB350" s="227"/>
      <c r="CC350" s="227"/>
      <c r="CD350" s="227"/>
      <c r="CE350" s="227"/>
      <c r="CF350" s="227"/>
      <c r="CG350" s="227"/>
      <c r="CH350" s="227"/>
      <c r="CI350" s="227"/>
      <c r="CJ350" s="227"/>
      <c r="CK350" s="227"/>
      <c r="CL350" s="227"/>
      <c r="CM350" s="227"/>
      <c r="CN350" s="227"/>
      <c r="CO350" s="227"/>
      <c r="CP350" s="227"/>
      <c r="CQ350" s="227"/>
      <c r="CR350" s="227"/>
      <c r="CS350" s="227"/>
      <c r="CT350" s="227"/>
      <c r="CU350" s="225"/>
      <c r="CV350" s="227"/>
    </row>
    <row r="351" spans="1:100" ht="20.100000000000001" customHeight="1">
      <c r="A351" s="227">
        <v>172</v>
      </c>
      <c r="B351" s="225"/>
      <c r="C351" s="227"/>
      <c r="D351" s="228" cm="1">
        <f t="array" ref="D351">IFERROR(
(SUMPRODUCT(E351:CU351*$E$6:$CU$6)/100) + (SUMPRODUCT(E351:CU351*$E$6:$CU$6*$E$3:$CU$3)/100),
0
)</f>
        <v>0</v>
      </c>
      <c r="E351" s="227"/>
      <c r="F351" s="227"/>
      <c r="G351" s="227"/>
      <c r="H351" s="227"/>
      <c r="I351" s="227"/>
      <c r="J351" s="227"/>
      <c r="K351" s="227"/>
      <c r="L351" s="227"/>
      <c r="M351" s="227"/>
      <c r="N351" s="227"/>
      <c r="O351" s="227"/>
      <c r="P351" s="227"/>
      <c r="Q351" s="227"/>
      <c r="R351" s="227"/>
      <c r="S351" s="227"/>
      <c r="T351" s="227"/>
      <c r="U351" s="227"/>
      <c r="V351" s="227"/>
      <c r="W351" s="227"/>
      <c r="X351" s="227"/>
      <c r="Y351" s="227"/>
      <c r="Z351" s="227"/>
      <c r="AA351" s="227"/>
      <c r="AB351" s="227"/>
      <c r="AC351" s="227"/>
      <c r="AD351" s="227"/>
      <c r="AE351" s="227"/>
      <c r="AF351" s="227"/>
      <c r="AG351" s="227"/>
      <c r="AH351" s="227"/>
      <c r="AI351" s="227"/>
      <c r="AJ351" s="227"/>
      <c r="AK351" s="227"/>
      <c r="AL351" s="227"/>
      <c r="AM351" s="227"/>
      <c r="AN351" s="227"/>
      <c r="AO351" s="227"/>
      <c r="AP351" s="227"/>
      <c r="AQ351" s="227"/>
      <c r="AR351" s="227"/>
      <c r="AS351" s="227"/>
      <c r="AT351" s="227"/>
      <c r="AU351" s="227"/>
      <c r="AV351" s="227"/>
      <c r="AW351" s="227"/>
      <c r="AX351" s="227"/>
      <c r="AY351" s="227"/>
      <c r="AZ351" s="227"/>
      <c r="BA351" s="227"/>
      <c r="BB351" s="227"/>
      <c r="BC351" s="227"/>
      <c r="BD351" s="227"/>
      <c r="BE351" s="227"/>
      <c r="BF351" s="227"/>
      <c r="BG351" s="227"/>
      <c r="BH351" s="227"/>
      <c r="BI351" s="227"/>
      <c r="BJ351" s="227"/>
      <c r="BK351" s="227"/>
      <c r="BL351" s="227"/>
      <c r="BM351" s="227"/>
      <c r="BN351" s="227"/>
      <c r="BO351" s="227"/>
      <c r="BP351" s="227"/>
      <c r="BQ351" s="227"/>
      <c r="BR351" s="227"/>
      <c r="BS351" s="227"/>
      <c r="BT351" s="227"/>
      <c r="BU351" s="227"/>
      <c r="BV351" s="227"/>
      <c r="BW351" s="227"/>
      <c r="BX351" s="227"/>
      <c r="BY351" s="227"/>
      <c r="BZ351" s="227"/>
      <c r="CA351" s="227"/>
      <c r="CB351" s="227"/>
      <c r="CC351" s="227"/>
      <c r="CD351" s="227"/>
      <c r="CE351" s="227"/>
      <c r="CF351" s="227"/>
      <c r="CG351" s="227"/>
      <c r="CH351" s="227"/>
      <c r="CI351" s="227"/>
      <c r="CJ351" s="227"/>
      <c r="CK351" s="227"/>
      <c r="CL351" s="227"/>
      <c r="CM351" s="227"/>
      <c r="CN351" s="227"/>
      <c r="CO351" s="227"/>
      <c r="CP351" s="227"/>
      <c r="CQ351" s="227"/>
      <c r="CR351" s="227"/>
      <c r="CS351" s="227"/>
      <c r="CT351" s="227"/>
      <c r="CU351" s="225"/>
      <c r="CV351" s="227"/>
    </row>
    <row r="352" spans="1:100" ht="20.100000000000001" customHeight="1">
      <c r="A352" s="223"/>
      <c r="B352" s="225"/>
      <c r="C352" s="227"/>
      <c r="D352" s="224"/>
      <c r="E352" s="223"/>
      <c r="F352" s="223"/>
      <c r="G352" s="223"/>
      <c r="H352" s="223"/>
      <c r="I352" s="223"/>
      <c r="J352" s="223"/>
      <c r="K352" s="223"/>
      <c r="L352" s="223"/>
      <c r="M352" s="223"/>
      <c r="N352" s="223"/>
      <c r="O352" s="223"/>
      <c r="P352" s="223"/>
      <c r="Q352" s="223"/>
      <c r="R352" s="223"/>
      <c r="S352" s="223"/>
      <c r="T352" s="223"/>
      <c r="U352" s="223"/>
      <c r="V352" s="223"/>
      <c r="W352" s="223"/>
      <c r="X352" s="223"/>
      <c r="Y352" s="223"/>
      <c r="Z352" s="223"/>
      <c r="AA352" s="223"/>
      <c r="AB352" s="223"/>
      <c r="AC352" s="223"/>
      <c r="AD352" s="223"/>
      <c r="AE352" s="223"/>
      <c r="AF352" s="223"/>
      <c r="AG352" s="223"/>
      <c r="AH352" s="223"/>
      <c r="AI352" s="223"/>
      <c r="AJ352" s="223"/>
      <c r="AK352" s="223"/>
      <c r="AL352" s="223"/>
      <c r="AM352" s="223"/>
      <c r="AN352" s="223"/>
      <c r="AO352" s="223"/>
      <c r="AP352" s="223"/>
      <c r="AQ352" s="223"/>
      <c r="AR352" s="223"/>
      <c r="AS352" s="223"/>
      <c r="AT352" s="223"/>
      <c r="AU352" s="223"/>
      <c r="AV352" s="223"/>
      <c r="AW352" s="223"/>
      <c r="AX352" s="223"/>
      <c r="AY352" s="223"/>
      <c r="AZ352" s="223"/>
      <c r="BA352" s="223"/>
      <c r="BB352" s="223"/>
      <c r="BC352" s="223"/>
      <c r="BD352" s="223"/>
      <c r="BE352" s="223"/>
      <c r="BF352" s="223"/>
      <c r="BG352" s="223"/>
      <c r="BH352" s="223"/>
      <c r="BI352" s="223"/>
      <c r="BJ352" s="223"/>
      <c r="BK352" s="223"/>
      <c r="BL352" s="223"/>
      <c r="BM352" s="223"/>
      <c r="BN352" s="223"/>
      <c r="BO352" s="223"/>
      <c r="BP352" s="223"/>
      <c r="BQ352" s="227"/>
      <c r="BR352" s="227"/>
      <c r="BS352" s="227"/>
      <c r="BT352" s="227"/>
      <c r="BU352" s="227"/>
      <c r="BV352" s="227"/>
      <c r="BW352" s="227"/>
      <c r="BX352" s="227"/>
      <c r="BY352" s="227"/>
      <c r="BZ352" s="227"/>
      <c r="CA352" s="227"/>
      <c r="CB352" s="227"/>
      <c r="CC352" s="227"/>
      <c r="CD352" s="227"/>
      <c r="CE352" s="227"/>
      <c r="CF352" s="227"/>
      <c r="CG352" s="227"/>
      <c r="CH352" s="227"/>
      <c r="CI352" s="227"/>
      <c r="CJ352" s="227"/>
      <c r="CK352" s="227"/>
      <c r="CL352" s="227"/>
      <c r="CM352" s="227"/>
      <c r="CN352" s="227"/>
      <c r="CO352" s="227"/>
      <c r="CP352" s="227"/>
      <c r="CQ352" s="227"/>
      <c r="CR352" s="227"/>
      <c r="CS352" s="227"/>
      <c r="CT352" s="227"/>
      <c r="CU352" s="225"/>
      <c r="CV352" s="227"/>
    </row>
    <row r="353" spans="1:100" ht="20.100000000000001" customHeight="1">
      <c r="A353" s="227">
        <v>173</v>
      </c>
      <c r="B353" s="225"/>
      <c r="C353" s="227"/>
      <c r="D353" s="228" cm="1">
        <f t="array" ref="D353">IFERROR(
(SUMPRODUCT(E353:CU353*$E$6:$CU$6)/100) + (SUMPRODUCT(E353:CU353*$E$6:$CU$6*$E$3:$CU$3)/100),
0
)</f>
        <v>0</v>
      </c>
      <c r="E353" s="227"/>
      <c r="F353" s="227"/>
      <c r="G353" s="227"/>
      <c r="H353" s="227"/>
      <c r="I353" s="227"/>
      <c r="J353" s="227"/>
      <c r="K353" s="227"/>
      <c r="L353" s="227"/>
      <c r="M353" s="227"/>
      <c r="N353" s="227"/>
      <c r="O353" s="227"/>
      <c r="P353" s="227"/>
      <c r="Q353" s="227"/>
      <c r="R353" s="227"/>
      <c r="S353" s="227"/>
      <c r="T353" s="227"/>
      <c r="U353" s="227"/>
      <c r="V353" s="227"/>
      <c r="W353" s="227"/>
      <c r="X353" s="227"/>
      <c r="Y353" s="227"/>
      <c r="Z353" s="227"/>
      <c r="AA353" s="227"/>
      <c r="AB353" s="227"/>
      <c r="AC353" s="227"/>
      <c r="AD353" s="227"/>
      <c r="AE353" s="227"/>
      <c r="AF353" s="227"/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27"/>
      <c r="BC353" s="227"/>
      <c r="BD353" s="227"/>
      <c r="BE353" s="227"/>
      <c r="BF353" s="227"/>
      <c r="BG353" s="227"/>
      <c r="BH353" s="227"/>
      <c r="BI353" s="227"/>
      <c r="BJ353" s="227"/>
      <c r="BK353" s="227"/>
      <c r="BL353" s="227"/>
      <c r="BM353" s="227"/>
      <c r="BN353" s="227"/>
      <c r="BO353" s="227"/>
      <c r="BP353" s="227"/>
      <c r="BQ353" s="227"/>
      <c r="BR353" s="227"/>
      <c r="BS353" s="227"/>
      <c r="BT353" s="227"/>
      <c r="BU353" s="227"/>
      <c r="BV353" s="227"/>
      <c r="BW353" s="227"/>
      <c r="BX353" s="227"/>
      <c r="BY353" s="227"/>
      <c r="BZ353" s="227"/>
      <c r="CA353" s="227"/>
      <c r="CB353" s="227"/>
      <c r="CC353" s="227"/>
      <c r="CD353" s="227"/>
      <c r="CE353" s="227"/>
      <c r="CF353" s="227"/>
      <c r="CG353" s="227"/>
      <c r="CH353" s="227"/>
      <c r="CI353" s="227"/>
      <c r="CJ353" s="227"/>
      <c r="CK353" s="227"/>
      <c r="CL353" s="227"/>
      <c r="CM353" s="227"/>
      <c r="CN353" s="227"/>
      <c r="CO353" s="227"/>
      <c r="CP353" s="227"/>
      <c r="CQ353" s="227"/>
      <c r="CR353" s="227"/>
      <c r="CS353" s="227"/>
      <c r="CT353" s="227"/>
      <c r="CU353" s="225"/>
      <c r="CV353" s="227"/>
    </row>
    <row r="354" spans="1:100" ht="20.100000000000001" customHeight="1">
      <c r="A354" s="227"/>
      <c r="B354" s="225"/>
      <c r="C354" s="227"/>
      <c r="D354" s="224"/>
      <c r="E354" s="223"/>
      <c r="F354" s="223"/>
      <c r="G354" s="223"/>
      <c r="H354" s="223"/>
      <c r="I354" s="223"/>
      <c r="J354" s="223"/>
      <c r="K354" s="223"/>
      <c r="L354" s="223"/>
      <c r="M354" s="223"/>
      <c r="N354" s="223"/>
      <c r="O354" s="223"/>
      <c r="P354" s="223"/>
      <c r="Q354" s="223"/>
      <c r="R354" s="223"/>
      <c r="S354" s="223"/>
      <c r="T354" s="223"/>
      <c r="U354" s="223"/>
      <c r="V354" s="223"/>
      <c r="W354" s="223"/>
      <c r="X354" s="223"/>
      <c r="Y354" s="223"/>
      <c r="Z354" s="223"/>
      <c r="AA354" s="223"/>
      <c r="AB354" s="223"/>
      <c r="AC354" s="223"/>
      <c r="AD354" s="223"/>
      <c r="AE354" s="223"/>
      <c r="AF354" s="223"/>
      <c r="AG354" s="223"/>
      <c r="AH354" s="223"/>
      <c r="AI354" s="223"/>
      <c r="AJ354" s="223"/>
      <c r="AK354" s="223"/>
      <c r="AL354" s="223"/>
      <c r="AM354" s="223"/>
      <c r="AN354" s="223"/>
      <c r="AO354" s="223"/>
      <c r="AP354" s="223"/>
      <c r="AQ354" s="223"/>
      <c r="AR354" s="223"/>
      <c r="AS354" s="223"/>
      <c r="AT354" s="223"/>
      <c r="AU354" s="223"/>
      <c r="AV354" s="223"/>
      <c r="AW354" s="223"/>
      <c r="AX354" s="223"/>
      <c r="AY354" s="223"/>
      <c r="AZ354" s="223"/>
      <c r="BA354" s="223"/>
      <c r="BB354" s="223"/>
      <c r="BC354" s="223"/>
      <c r="BD354" s="223"/>
      <c r="BE354" s="223"/>
      <c r="BF354" s="223"/>
      <c r="BG354" s="223"/>
      <c r="BH354" s="223"/>
      <c r="BI354" s="223"/>
      <c r="BJ354" s="223"/>
      <c r="BK354" s="223"/>
      <c r="BL354" s="223"/>
      <c r="BM354" s="223"/>
      <c r="BN354" s="223"/>
      <c r="BO354" s="223"/>
      <c r="BP354" s="223"/>
      <c r="BQ354" s="227"/>
      <c r="BR354" s="227"/>
      <c r="BS354" s="227"/>
      <c r="BT354" s="227"/>
      <c r="BU354" s="227"/>
      <c r="BV354" s="227"/>
      <c r="BW354" s="227"/>
      <c r="BX354" s="227"/>
      <c r="BY354" s="227"/>
      <c r="BZ354" s="227"/>
      <c r="CA354" s="227"/>
      <c r="CB354" s="227"/>
      <c r="CC354" s="227"/>
      <c r="CD354" s="227"/>
      <c r="CE354" s="227"/>
      <c r="CF354" s="227"/>
      <c r="CG354" s="227"/>
      <c r="CH354" s="227"/>
      <c r="CI354" s="227"/>
      <c r="CJ354" s="227"/>
      <c r="CK354" s="227"/>
      <c r="CL354" s="227"/>
      <c r="CM354" s="227"/>
      <c r="CN354" s="227"/>
      <c r="CO354" s="227"/>
      <c r="CP354" s="227"/>
      <c r="CQ354" s="227"/>
      <c r="CR354" s="227"/>
      <c r="CS354" s="227"/>
      <c r="CT354" s="227"/>
      <c r="CU354" s="225"/>
      <c r="CV354" s="227"/>
    </row>
    <row r="355" spans="1:100" ht="20.100000000000001" customHeight="1">
      <c r="A355" s="227">
        <v>174</v>
      </c>
      <c r="B355" s="225"/>
      <c r="C355" s="227"/>
      <c r="D355" s="228" cm="1">
        <f t="array" ref="D355">IFERROR(
(SUMPRODUCT(E355:CU355*$E$6:$CU$6)/100) + (SUMPRODUCT(E355:CU355*$E$6:$CU$6*$E$3:$CU$3)/100),
0
)</f>
        <v>0</v>
      </c>
      <c r="E355" s="227"/>
      <c r="F355" s="227"/>
      <c r="G355" s="227"/>
      <c r="H355" s="227"/>
      <c r="I355" s="227"/>
      <c r="J355" s="227"/>
      <c r="K355" s="227"/>
      <c r="L355" s="227"/>
      <c r="M355" s="227"/>
      <c r="N355" s="227"/>
      <c r="O355" s="227"/>
      <c r="P355" s="227"/>
      <c r="Q355" s="227"/>
      <c r="R355" s="227"/>
      <c r="S355" s="227"/>
      <c r="T355" s="227"/>
      <c r="U355" s="227"/>
      <c r="V355" s="227"/>
      <c r="W355" s="227"/>
      <c r="X355" s="227"/>
      <c r="Y355" s="227"/>
      <c r="Z355" s="227"/>
      <c r="AA355" s="227"/>
      <c r="AB355" s="227"/>
      <c r="AC355" s="227"/>
      <c r="AD355" s="227"/>
      <c r="AE355" s="227"/>
      <c r="AF355" s="227"/>
      <c r="AG355" s="227"/>
      <c r="AH355" s="227"/>
      <c r="AI355" s="227"/>
      <c r="AJ355" s="227"/>
      <c r="AK355" s="227"/>
      <c r="AL355" s="227"/>
      <c r="AM355" s="227"/>
      <c r="AN355" s="227"/>
      <c r="AO355" s="227"/>
      <c r="AP355" s="227"/>
      <c r="AQ355" s="227"/>
      <c r="AR355" s="227"/>
      <c r="AS355" s="227"/>
      <c r="AT355" s="227"/>
      <c r="AU355" s="227"/>
      <c r="AV355" s="227"/>
      <c r="AW355" s="227"/>
      <c r="AX355" s="227"/>
      <c r="AY355" s="227"/>
      <c r="AZ355" s="227"/>
      <c r="BA355" s="227"/>
      <c r="BB355" s="227"/>
      <c r="BC355" s="227"/>
      <c r="BD355" s="227"/>
      <c r="BE355" s="227"/>
      <c r="BF355" s="227"/>
      <c r="BG355" s="227"/>
      <c r="BH355" s="227"/>
      <c r="BI355" s="227"/>
      <c r="BJ355" s="227"/>
      <c r="BK355" s="227"/>
      <c r="BL355" s="227"/>
      <c r="BM355" s="227"/>
      <c r="BN355" s="227"/>
      <c r="BO355" s="227"/>
      <c r="BP355" s="227"/>
      <c r="BQ355" s="227"/>
      <c r="BR355" s="227"/>
      <c r="BS355" s="227"/>
      <c r="BT355" s="227"/>
      <c r="BU355" s="227"/>
      <c r="BV355" s="227"/>
      <c r="BW355" s="227"/>
      <c r="BX355" s="227"/>
      <c r="BY355" s="227"/>
      <c r="BZ355" s="227"/>
      <c r="CA355" s="227"/>
      <c r="CB355" s="227"/>
      <c r="CC355" s="227"/>
      <c r="CD355" s="227"/>
      <c r="CE355" s="227"/>
      <c r="CF355" s="227"/>
      <c r="CG355" s="227"/>
      <c r="CH355" s="227"/>
      <c r="CI355" s="227"/>
      <c r="CJ355" s="227"/>
      <c r="CK355" s="227"/>
      <c r="CL355" s="227"/>
      <c r="CM355" s="227"/>
      <c r="CN355" s="227"/>
      <c r="CO355" s="227"/>
      <c r="CP355" s="227"/>
      <c r="CQ355" s="227"/>
      <c r="CR355" s="227"/>
      <c r="CS355" s="227"/>
      <c r="CT355" s="227"/>
      <c r="CU355" s="225"/>
      <c r="CV355" s="227"/>
    </row>
    <row r="356" spans="1:100" ht="20.100000000000001" customHeight="1">
      <c r="A356" s="223"/>
      <c r="B356" s="225"/>
      <c r="C356" s="227"/>
      <c r="D356" s="224"/>
      <c r="E356" s="223"/>
      <c r="F356" s="223"/>
      <c r="G356" s="223"/>
      <c r="H356" s="223"/>
      <c r="I356" s="223"/>
      <c r="J356" s="223"/>
      <c r="K356" s="223"/>
      <c r="L356" s="223"/>
      <c r="M356" s="223"/>
      <c r="N356" s="223"/>
      <c r="O356" s="223"/>
      <c r="P356" s="223"/>
      <c r="Q356" s="223"/>
      <c r="R356" s="223"/>
      <c r="S356" s="223"/>
      <c r="T356" s="223"/>
      <c r="U356" s="223"/>
      <c r="V356" s="223"/>
      <c r="W356" s="223"/>
      <c r="X356" s="223"/>
      <c r="Y356" s="223"/>
      <c r="Z356" s="223"/>
      <c r="AA356" s="223"/>
      <c r="AB356" s="223"/>
      <c r="AC356" s="223"/>
      <c r="AD356" s="223"/>
      <c r="AE356" s="223"/>
      <c r="AF356" s="223"/>
      <c r="AG356" s="223"/>
      <c r="AH356" s="223"/>
      <c r="AI356" s="223"/>
      <c r="AJ356" s="223"/>
      <c r="AK356" s="223"/>
      <c r="AL356" s="223"/>
      <c r="AM356" s="223"/>
      <c r="AN356" s="223"/>
      <c r="AO356" s="223"/>
      <c r="AP356" s="223"/>
      <c r="AQ356" s="223"/>
      <c r="AR356" s="223"/>
      <c r="AS356" s="223"/>
      <c r="AT356" s="223"/>
      <c r="AU356" s="223"/>
      <c r="AV356" s="223"/>
      <c r="AW356" s="223"/>
      <c r="AX356" s="223"/>
      <c r="AY356" s="223"/>
      <c r="AZ356" s="223"/>
      <c r="BA356" s="223"/>
      <c r="BB356" s="223"/>
      <c r="BC356" s="223"/>
      <c r="BD356" s="223"/>
      <c r="BE356" s="223"/>
      <c r="BF356" s="223"/>
      <c r="BG356" s="223"/>
      <c r="BH356" s="223"/>
      <c r="BI356" s="223"/>
      <c r="BJ356" s="223"/>
      <c r="BK356" s="223"/>
      <c r="BL356" s="223"/>
      <c r="BM356" s="223"/>
      <c r="BN356" s="223"/>
      <c r="BO356" s="223"/>
      <c r="BP356" s="223"/>
      <c r="BQ356" s="227"/>
      <c r="BR356" s="227"/>
      <c r="BS356" s="227"/>
      <c r="BT356" s="227"/>
      <c r="BU356" s="227"/>
      <c r="BV356" s="227"/>
      <c r="BW356" s="227"/>
      <c r="BX356" s="227"/>
      <c r="BY356" s="227"/>
      <c r="BZ356" s="227"/>
      <c r="CA356" s="227"/>
      <c r="CB356" s="227"/>
      <c r="CC356" s="227"/>
      <c r="CD356" s="227"/>
      <c r="CE356" s="227"/>
      <c r="CF356" s="227"/>
      <c r="CG356" s="227"/>
      <c r="CH356" s="227"/>
      <c r="CI356" s="227"/>
      <c r="CJ356" s="227"/>
      <c r="CK356" s="227"/>
      <c r="CL356" s="227"/>
      <c r="CM356" s="227"/>
      <c r="CN356" s="227"/>
      <c r="CO356" s="227"/>
      <c r="CP356" s="227"/>
      <c r="CQ356" s="227"/>
      <c r="CR356" s="227"/>
      <c r="CS356" s="227"/>
      <c r="CT356" s="227"/>
      <c r="CU356" s="225"/>
      <c r="CV356" s="227"/>
    </row>
    <row r="357" spans="1:100" ht="20.100000000000001" customHeight="1">
      <c r="A357" s="227">
        <v>175</v>
      </c>
      <c r="B357" s="225"/>
      <c r="C357" s="227"/>
      <c r="D357" s="228" cm="1">
        <f t="array" ref="D357">IFERROR(
(SUMPRODUCT(E357:CU357*$E$6:$CU$6)/100) + (SUMPRODUCT(E357:CU357*$E$6:$CU$6*$E$3:$CU$3)/100),
0
)</f>
        <v>0</v>
      </c>
      <c r="E357" s="227"/>
      <c r="F357" s="227"/>
      <c r="G357" s="227"/>
      <c r="H357" s="227"/>
      <c r="I357" s="227"/>
      <c r="J357" s="227"/>
      <c r="K357" s="227"/>
      <c r="L357" s="227"/>
      <c r="M357" s="227"/>
      <c r="N357" s="227"/>
      <c r="O357" s="227"/>
      <c r="P357" s="227"/>
      <c r="Q357" s="227"/>
      <c r="R357" s="227"/>
      <c r="S357" s="227"/>
      <c r="T357" s="227"/>
      <c r="U357" s="227"/>
      <c r="V357" s="227"/>
      <c r="W357" s="227"/>
      <c r="X357" s="227"/>
      <c r="Y357" s="227"/>
      <c r="Z357" s="227"/>
      <c r="AA357" s="227"/>
      <c r="AB357" s="227"/>
      <c r="AC357" s="227"/>
      <c r="AD357" s="227"/>
      <c r="AE357" s="227"/>
      <c r="AF357" s="227"/>
      <c r="AG357" s="227"/>
      <c r="AH357" s="227"/>
      <c r="AI357" s="227"/>
      <c r="AJ357" s="227"/>
      <c r="AK357" s="227"/>
      <c r="AL357" s="227"/>
      <c r="AM357" s="227"/>
      <c r="AN357" s="227"/>
      <c r="AO357" s="227"/>
      <c r="AP357" s="227"/>
      <c r="AQ357" s="227"/>
      <c r="AR357" s="227"/>
      <c r="AS357" s="227"/>
      <c r="AT357" s="227"/>
      <c r="AU357" s="227"/>
      <c r="AV357" s="227"/>
      <c r="AW357" s="227"/>
      <c r="AX357" s="227"/>
      <c r="AY357" s="227"/>
      <c r="AZ357" s="227"/>
      <c r="BA357" s="227"/>
      <c r="BB357" s="227"/>
      <c r="BC357" s="227"/>
      <c r="BD357" s="227"/>
      <c r="BE357" s="227"/>
      <c r="BF357" s="227"/>
      <c r="BG357" s="227"/>
      <c r="BH357" s="227"/>
      <c r="BI357" s="227"/>
      <c r="BJ357" s="227"/>
      <c r="BK357" s="227"/>
      <c r="BL357" s="227"/>
      <c r="BM357" s="227"/>
      <c r="BN357" s="227"/>
      <c r="BO357" s="227"/>
      <c r="BP357" s="227"/>
      <c r="BQ357" s="227"/>
      <c r="BR357" s="227"/>
      <c r="BS357" s="227"/>
      <c r="BT357" s="227"/>
      <c r="BU357" s="227"/>
      <c r="BV357" s="227"/>
      <c r="BW357" s="227"/>
      <c r="BX357" s="227"/>
      <c r="BY357" s="227"/>
      <c r="BZ357" s="227"/>
      <c r="CA357" s="227"/>
      <c r="CB357" s="227"/>
      <c r="CC357" s="227"/>
      <c r="CD357" s="227"/>
      <c r="CE357" s="227"/>
      <c r="CF357" s="227"/>
      <c r="CG357" s="227"/>
      <c r="CH357" s="227"/>
      <c r="CI357" s="227"/>
      <c r="CJ357" s="227"/>
      <c r="CK357" s="227"/>
      <c r="CL357" s="227"/>
      <c r="CM357" s="227"/>
      <c r="CN357" s="227"/>
      <c r="CO357" s="227"/>
      <c r="CP357" s="227"/>
      <c r="CQ357" s="227"/>
      <c r="CR357" s="227"/>
      <c r="CS357" s="227"/>
      <c r="CT357" s="227"/>
      <c r="CU357" s="225"/>
      <c r="CV357" s="227"/>
    </row>
    <row r="358" spans="1:100" ht="20.100000000000001" customHeight="1">
      <c r="A358" s="227"/>
      <c r="B358" s="225"/>
      <c r="C358" s="227"/>
      <c r="D358" s="224"/>
      <c r="E358" s="223"/>
      <c r="F358" s="223"/>
      <c r="G358" s="223"/>
      <c r="H358" s="223"/>
      <c r="I358" s="223"/>
      <c r="J358" s="223"/>
      <c r="K358" s="223"/>
      <c r="L358" s="223"/>
      <c r="M358" s="223"/>
      <c r="N358" s="223"/>
      <c r="O358" s="223"/>
      <c r="P358" s="223"/>
      <c r="Q358" s="223"/>
      <c r="R358" s="223"/>
      <c r="S358" s="223"/>
      <c r="T358" s="223"/>
      <c r="U358" s="223"/>
      <c r="V358" s="223"/>
      <c r="W358" s="223"/>
      <c r="X358" s="223"/>
      <c r="Y358" s="223"/>
      <c r="Z358" s="223"/>
      <c r="AA358" s="223"/>
      <c r="AB358" s="223"/>
      <c r="AC358" s="223"/>
      <c r="AD358" s="223"/>
      <c r="AE358" s="223"/>
      <c r="AF358" s="223"/>
      <c r="AG358" s="223"/>
      <c r="AH358" s="223"/>
      <c r="AI358" s="223"/>
      <c r="AJ358" s="223"/>
      <c r="AK358" s="223"/>
      <c r="AL358" s="223"/>
      <c r="AM358" s="223"/>
      <c r="AN358" s="223"/>
      <c r="AO358" s="223"/>
      <c r="AP358" s="223"/>
      <c r="AQ358" s="223"/>
      <c r="AR358" s="223"/>
      <c r="AS358" s="223"/>
      <c r="AT358" s="223"/>
      <c r="AU358" s="223"/>
      <c r="AV358" s="223"/>
      <c r="AW358" s="223"/>
      <c r="AX358" s="223"/>
      <c r="AY358" s="223"/>
      <c r="AZ358" s="223"/>
      <c r="BA358" s="223"/>
      <c r="BB358" s="223"/>
      <c r="BC358" s="223"/>
      <c r="BD358" s="223"/>
      <c r="BE358" s="223"/>
      <c r="BF358" s="223"/>
      <c r="BG358" s="223"/>
      <c r="BH358" s="223"/>
      <c r="BI358" s="223"/>
      <c r="BJ358" s="223"/>
      <c r="BK358" s="223"/>
      <c r="BL358" s="223"/>
      <c r="BM358" s="223"/>
      <c r="BN358" s="223"/>
      <c r="BO358" s="223"/>
      <c r="BP358" s="223"/>
      <c r="BQ358" s="227"/>
      <c r="BR358" s="227"/>
      <c r="BS358" s="227"/>
      <c r="BT358" s="227"/>
      <c r="BU358" s="227"/>
      <c r="BV358" s="227"/>
      <c r="BW358" s="227"/>
      <c r="BX358" s="227"/>
      <c r="BY358" s="227"/>
      <c r="BZ358" s="227"/>
      <c r="CA358" s="227"/>
      <c r="CB358" s="227"/>
      <c r="CC358" s="227"/>
      <c r="CD358" s="227"/>
      <c r="CE358" s="227"/>
      <c r="CF358" s="227"/>
      <c r="CG358" s="227"/>
      <c r="CH358" s="227"/>
      <c r="CI358" s="227"/>
      <c r="CJ358" s="227"/>
      <c r="CK358" s="227"/>
      <c r="CL358" s="227"/>
      <c r="CM358" s="227"/>
      <c r="CN358" s="227"/>
      <c r="CO358" s="227"/>
      <c r="CP358" s="227"/>
      <c r="CQ358" s="227"/>
      <c r="CR358" s="227"/>
      <c r="CS358" s="227"/>
      <c r="CT358" s="227"/>
      <c r="CU358" s="225"/>
      <c r="CV358" s="227"/>
    </row>
    <row r="359" spans="1:100" ht="20.100000000000001" customHeight="1">
      <c r="A359" s="227">
        <v>176</v>
      </c>
      <c r="B359" s="225"/>
      <c r="C359" s="227"/>
      <c r="D359" s="228" cm="1">
        <f t="array" ref="D359">IFERROR(
(SUMPRODUCT(E359:CU359*$E$6:$CU$6)/100) + (SUMPRODUCT(E359:CU359*$E$6:$CU$6*$E$3:$CU$3)/100),
0
)</f>
        <v>0</v>
      </c>
      <c r="E359" s="227"/>
      <c r="F359" s="227"/>
      <c r="G359" s="227"/>
      <c r="H359" s="227"/>
      <c r="I359" s="227"/>
      <c r="J359" s="227"/>
      <c r="K359" s="227"/>
      <c r="L359" s="227"/>
      <c r="M359" s="227"/>
      <c r="N359" s="227"/>
      <c r="O359" s="227"/>
      <c r="P359" s="227"/>
      <c r="Q359" s="227"/>
      <c r="R359" s="227"/>
      <c r="S359" s="227"/>
      <c r="T359" s="227"/>
      <c r="U359" s="227"/>
      <c r="V359" s="227"/>
      <c r="W359" s="227"/>
      <c r="X359" s="227"/>
      <c r="Y359" s="227"/>
      <c r="Z359" s="227"/>
      <c r="AA359" s="227"/>
      <c r="AB359" s="227"/>
      <c r="AC359" s="227"/>
      <c r="AD359" s="227"/>
      <c r="AE359" s="227"/>
      <c r="AF359" s="227"/>
      <c r="AG359" s="227"/>
      <c r="AH359" s="227"/>
      <c r="AI359" s="227"/>
      <c r="AJ359" s="227"/>
      <c r="AK359" s="227"/>
      <c r="AL359" s="227"/>
      <c r="AM359" s="227"/>
      <c r="AN359" s="227"/>
      <c r="AO359" s="227"/>
      <c r="AP359" s="227"/>
      <c r="AQ359" s="227"/>
      <c r="AR359" s="227"/>
      <c r="AS359" s="227"/>
      <c r="AT359" s="227"/>
      <c r="AU359" s="227"/>
      <c r="AV359" s="227"/>
      <c r="AW359" s="227"/>
      <c r="AX359" s="227"/>
      <c r="AY359" s="227"/>
      <c r="AZ359" s="227"/>
      <c r="BA359" s="227"/>
      <c r="BB359" s="227"/>
      <c r="BC359" s="227"/>
      <c r="BD359" s="227"/>
      <c r="BE359" s="227"/>
      <c r="BF359" s="227"/>
      <c r="BG359" s="227"/>
      <c r="BH359" s="227"/>
      <c r="BI359" s="227"/>
      <c r="BJ359" s="227"/>
      <c r="BK359" s="227"/>
      <c r="BL359" s="227"/>
      <c r="BM359" s="227"/>
      <c r="BN359" s="227"/>
      <c r="BO359" s="227"/>
      <c r="BP359" s="227"/>
      <c r="BQ359" s="227"/>
      <c r="BR359" s="227"/>
      <c r="BS359" s="227"/>
      <c r="BT359" s="227"/>
      <c r="BU359" s="227"/>
      <c r="BV359" s="227"/>
      <c r="BW359" s="227"/>
      <c r="BX359" s="227"/>
      <c r="BY359" s="227"/>
      <c r="BZ359" s="227"/>
      <c r="CA359" s="227"/>
      <c r="CB359" s="227"/>
      <c r="CC359" s="227"/>
      <c r="CD359" s="227"/>
      <c r="CE359" s="227"/>
      <c r="CF359" s="227"/>
      <c r="CG359" s="227"/>
      <c r="CH359" s="227"/>
      <c r="CI359" s="227"/>
      <c r="CJ359" s="227"/>
      <c r="CK359" s="227"/>
      <c r="CL359" s="227"/>
      <c r="CM359" s="227"/>
      <c r="CN359" s="227"/>
      <c r="CO359" s="227"/>
      <c r="CP359" s="227"/>
      <c r="CQ359" s="227"/>
      <c r="CR359" s="227"/>
      <c r="CS359" s="227"/>
      <c r="CT359" s="227"/>
      <c r="CU359" s="225"/>
      <c r="CV359" s="227"/>
    </row>
    <row r="360" spans="1:100" ht="20.100000000000001" customHeight="1">
      <c r="A360" s="223"/>
      <c r="B360" s="225"/>
      <c r="C360" s="227"/>
      <c r="D360" s="224"/>
      <c r="E360" s="223"/>
      <c r="F360" s="223"/>
      <c r="G360" s="223"/>
      <c r="H360" s="223"/>
      <c r="I360" s="223"/>
      <c r="J360" s="223"/>
      <c r="K360" s="223"/>
      <c r="L360" s="223"/>
      <c r="M360" s="223"/>
      <c r="N360" s="223"/>
      <c r="O360" s="223"/>
      <c r="P360" s="223"/>
      <c r="Q360" s="223"/>
      <c r="R360" s="223"/>
      <c r="S360" s="223"/>
      <c r="T360" s="223"/>
      <c r="U360" s="223"/>
      <c r="V360" s="223"/>
      <c r="W360" s="223"/>
      <c r="X360" s="223"/>
      <c r="Y360" s="223"/>
      <c r="Z360" s="223"/>
      <c r="AA360" s="223"/>
      <c r="AB360" s="223"/>
      <c r="AC360" s="223"/>
      <c r="AD360" s="223"/>
      <c r="AE360" s="223"/>
      <c r="AF360" s="223"/>
      <c r="AG360" s="223"/>
      <c r="AH360" s="223"/>
      <c r="AI360" s="223"/>
      <c r="AJ360" s="223"/>
      <c r="AK360" s="223"/>
      <c r="AL360" s="223"/>
      <c r="AM360" s="223"/>
      <c r="AN360" s="223"/>
      <c r="AO360" s="223"/>
      <c r="AP360" s="223"/>
      <c r="AQ360" s="223"/>
      <c r="AR360" s="223"/>
      <c r="AS360" s="223"/>
      <c r="AT360" s="223"/>
      <c r="AU360" s="223"/>
      <c r="AV360" s="223"/>
      <c r="AW360" s="223"/>
      <c r="AX360" s="223"/>
      <c r="AY360" s="223"/>
      <c r="AZ360" s="223"/>
      <c r="BA360" s="223"/>
      <c r="BB360" s="223"/>
      <c r="BC360" s="223"/>
      <c r="BD360" s="223"/>
      <c r="BE360" s="223"/>
      <c r="BF360" s="223"/>
      <c r="BG360" s="223"/>
      <c r="BH360" s="223"/>
      <c r="BI360" s="223"/>
      <c r="BJ360" s="223"/>
      <c r="BK360" s="223"/>
      <c r="BL360" s="223"/>
      <c r="BM360" s="223"/>
      <c r="BN360" s="223"/>
      <c r="BO360" s="223"/>
      <c r="BP360" s="223"/>
      <c r="BQ360" s="227"/>
      <c r="BR360" s="227"/>
      <c r="BS360" s="227"/>
      <c r="BT360" s="227"/>
      <c r="BU360" s="227"/>
      <c r="BV360" s="227"/>
      <c r="BW360" s="227"/>
      <c r="BX360" s="227"/>
      <c r="BY360" s="227"/>
      <c r="BZ360" s="227"/>
      <c r="CA360" s="227"/>
      <c r="CB360" s="227"/>
      <c r="CC360" s="227"/>
      <c r="CD360" s="227"/>
      <c r="CE360" s="227"/>
      <c r="CF360" s="227"/>
      <c r="CG360" s="227"/>
      <c r="CH360" s="227"/>
      <c r="CI360" s="227"/>
      <c r="CJ360" s="227"/>
      <c r="CK360" s="227"/>
      <c r="CL360" s="227"/>
      <c r="CM360" s="227"/>
      <c r="CN360" s="227"/>
      <c r="CO360" s="227"/>
      <c r="CP360" s="227"/>
      <c r="CQ360" s="227"/>
      <c r="CR360" s="227"/>
      <c r="CS360" s="227"/>
      <c r="CT360" s="227"/>
      <c r="CU360" s="225"/>
      <c r="CV360" s="227"/>
    </row>
    <row r="361" spans="1:100" ht="20.100000000000001" customHeight="1">
      <c r="A361" s="227">
        <v>177</v>
      </c>
      <c r="B361" s="225"/>
      <c r="C361" s="227"/>
      <c r="D361" s="228" cm="1">
        <f t="array" ref="D361">IFERROR(
(SUMPRODUCT(E361:CU361*$E$6:$CU$6)/100) + (SUMPRODUCT(E361:CU361*$E$6:$CU$6*$E$3:$CU$3)/100),
0
)</f>
        <v>0</v>
      </c>
      <c r="E361" s="227"/>
      <c r="F361" s="227"/>
      <c r="G361" s="227"/>
      <c r="H361" s="227"/>
      <c r="I361" s="227"/>
      <c r="J361" s="227"/>
      <c r="K361" s="227"/>
      <c r="L361" s="227"/>
      <c r="M361" s="227"/>
      <c r="N361" s="227"/>
      <c r="O361" s="227"/>
      <c r="P361" s="227"/>
      <c r="Q361" s="227"/>
      <c r="R361" s="227"/>
      <c r="S361" s="227"/>
      <c r="T361" s="227"/>
      <c r="U361" s="227"/>
      <c r="V361" s="227"/>
      <c r="W361" s="227"/>
      <c r="X361" s="227"/>
      <c r="Y361" s="227"/>
      <c r="Z361" s="227"/>
      <c r="AA361" s="227"/>
      <c r="AB361" s="227"/>
      <c r="AC361" s="227"/>
      <c r="AD361" s="227"/>
      <c r="AE361" s="227"/>
      <c r="AF361" s="227"/>
      <c r="AG361" s="227"/>
      <c r="AH361" s="227"/>
      <c r="AI361" s="227"/>
      <c r="AJ361" s="227"/>
      <c r="AK361" s="227"/>
      <c r="AL361" s="227"/>
      <c r="AM361" s="227"/>
      <c r="AN361" s="227"/>
      <c r="AO361" s="227"/>
      <c r="AP361" s="227"/>
      <c r="AQ361" s="227"/>
      <c r="AR361" s="227"/>
      <c r="AS361" s="227"/>
      <c r="AT361" s="227"/>
      <c r="AU361" s="227"/>
      <c r="AV361" s="227"/>
      <c r="AW361" s="227"/>
      <c r="AX361" s="227"/>
      <c r="AY361" s="227"/>
      <c r="AZ361" s="227"/>
      <c r="BA361" s="227"/>
      <c r="BB361" s="227"/>
      <c r="BC361" s="227"/>
      <c r="BD361" s="227"/>
      <c r="BE361" s="227"/>
      <c r="BF361" s="227"/>
      <c r="BG361" s="227"/>
      <c r="BH361" s="227"/>
      <c r="BI361" s="227"/>
      <c r="BJ361" s="227"/>
      <c r="BK361" s="227"/>
      <c r="BL361" s="227"/>
      <c r="BM361" s="227"/>
      <c r="BN361" s="227"/>
      <c r="BO361" s="227"/>
      <c r="BP361" s="227"/>
      <c r="BQ361" s="227"/>
      <c r="BR361" s="227"/>
      <c r="BS361" s="227"/>
      <c r="BT361" s="227"/>
      <c r="BU361" s="227"/>
      <c r="BV361" s="227"/>
      <c r="BW361" s="227"/>
      <c r="BX361" s="227"/>
      <c r="BY361" s="227"/>
      <c r="BZ361" s="227"/>
      <c r="CA361" s="227"/>
      <c r="CB361" s="227"/>
      <c r="CC361" s="227"/>
      <c r="CD361" s="227"/>
      <c r="CE361" s="227"/>
      <c r="CF361" s="227"/>
      <c r="CG361" s="227"/>
      <c r="CH361" s="227"/>
      <c r="CI361" s="227"/>
      <c r="CJ361" s="227"/>
      <c r="CK361" s="227"/>
      <c r="CL361" s="227"/>
      <c r="CM361" s="227"/>
      <c r="CN361" s="227"/>
      <c r="CO361" s="227"/>
      <c r="CP361" s="227"/>
      <c r="CQ361" s="227"/>
      <c r="CR361" s="227"/>
      <c r="CS361" s="227"/>
      <c r="CT361" s="227"/>
      <c r="CU361" s="225"/>
      <c r="CV361" s="227"/>
    </row>
    <row r="362" spans="1:100" ht="20.100000000000001" customHeight="1">
      <c r="A362" s="227"/>
      <c r="B362" s="225"/>
      <c r="C362" s="227"/>
      <c r="D362" s="224"/>
      <c r="E362" s="223"/>
      <c r="F362" s="223"/>
      <c r="G362" s="223"/>
      <c r="H362" s="223"/>
      <c r="I362" s="223"/>
      <c r="J362" s="223"/>
      <c r="K362" s="223"/>
      <c r="L362" s="223"/>
      <c r="M362" s="223"/>
      <c r="N362" s="223"/>
      <c r="O362" s="223"/>
      <c r="P362" s="223"/>
      <c r="Q362" s="223"/>
      <c r="R362" s="223"/>
      <c r="S362" s="223"/>
      <c r="T362" s="223"/>
      <c r="U362" s="223"/>
      <c r="V362" s="223"/>
      <c r="W362" s="223"/>
      <c r="X362" s="223"/>
      <c r="Y362" s="223"/>
      <c r="Z362" s="223"/>
      <c r="AA362" s="223"/>
      <c r="AB362" s="223"/>
      <c r="AC362" s="223"/>
      <c r="AD362" s="223"/>
      <c r="AE362" s="223"/>
      <c r="AF362" s="223"/>
      <c r="AG362" s="223"/>
      <c r="AH362" s="223"/>
      <c r="AI362" s="223"/>
      <c r="AJ362" s="223"/>
      <c r="AK362" s="223"/>
      <c r="AL362" s="223"/>
      <c r="AM362" s="223"/>
      <c r="AN362" s="223"/>
      <c r="AO362" s="223"/>
      <c r="AP362" s="223"/>
      <c r="AQ362" s="223"/>
      <c r="AR362" s="223"/>
      <c r="AS362" s="223"/>
      <c r="AT362" s="223"/>
      <c r="AU362" s="223"/>
      <c r="AV362" s="223"/>
      <c r="AW362" s="223"/>
      <c r="AX362" s="223"/>
      <c r="AY362" s="223"/>
      <c r="AZ362" s="223"/>
      <c r="BA362" s="223"/>
      <c r="BB362" s="223"/>
      <c r="BC362" s="223"/>
      <c r="BD362" s="223"/>
      <c r="BE362" s="223"/>
      <c r="BF362" s="223"/>
      <c r="BG362" s="223"/>
      <c r="BH362" s="223"/>
      <c r="BI362" s="223"/>
      <c r="BJ362" s="223"/>
      <c r="BK362" s="223"/>
      <c r="BL362" s="223"/>
      <c r="BM362" s="223"/>
      <c r="BN362" s="223"/>
      <c r="BO362" s="223"/>
      <c r="BP362" s="223"/>
      <c r="BQ362" s="227"/>
      <c r="BR362" s="227"/>
      <c r="BS362" s="227"/>
      <c r="BT362" s="227"/>
      <c r="BU362" s="227"/>
      <c r="BV362" s="227"/>
      <c r="BW362" s="227"/>
      <c r="BX362" s="227"/>
      <c r="BY362" s="227"/>
      <c r="BZ362" s="227"/>
      <c r="CA362" s="227"/>
      <c r="CB362" s="227"/>
      <c r="CC362" s="227"/>
      <c r="CD362" s="227"/>
      <c r="CE362" s="227"/>
      <c r="CF362" s="227"/>
      <c r="CG362" s="227"/>
      <c r="CH362" s="227"/>
      <c r="CI362" s="227"/>
      <c r="CJ362" s="227"/>
      <c r="CK362" s="227"/>
      <c r="CL362" s="227"/>
      <c r="CM362" s="227"/>
      <c r="CN362" s="227"/>
      <c r="CO362" s="227"/>
      <c r="CP362" s="227"/>
      <c r="CQ362" s="227"/>
      <c r="CR362" s="227"/>
      <c r="CS362" s="227"/>
      <c r="CT362" s="227"/>
      <c r="CU362" s="225"/>
      <c r="CV362" s="227"/>
    </row>
    <row r="363" spans="1:100" ht="20.100000000000001" customHeight="1">
      <c r="A363" s="227">
        <v>178</v>
      </c>
      <c r="B363" s="225"/>
      <c r="C363" s="227"/>
      <c r="D363" s="228" cm="1">
        <f t="array" ref="D363">IFERROR(
(SUMPRODUCT(E363:CU363*$E$6:$CU$6)/100) + (SUMPRODUCT(E363:CU363*$E$6:$CU$6*$E$3:$CU$3)/100),
0
)</f>
        <v>0</v>
      </c>
      <c r="E363" s="227"/>
      <c r="F363" s="227"/>
      <c r="G363" s="227"/>
      <c r="H363" s="227"/>
      <c r="I363" s="227"/>
      <c r="J363" s="227"/>
      <c r="K363" s="227"/>
      <c r="L363" s="227"/>
      <c r="M363" s="227"/>
      <c r="N363" s="227"/>
      <c r="O363" s="227"/>
      <c r="P363" s="227"/>
      <c r="Q363" s="227"/>
      <c r="R363" s="227"/>
      <c r="S363" s="227"/>
      <c r="T363" s="227"/>
      <c r="U363" s="227"/>
      <c r="V363" s="227"/>
      <c r="W363" s="227"/>
      <c r="X363" s="227"/>
      <c r="Y363" s="227"/>
      <c r="Z363" s="227"/>
      <c r="AA363" s="227"/>
      <c r="AB363" s="227"/>
      <c r="AC363" s="227"/>
      <c r="AD363" s="227"/>
      <c r="AE363" s="227"/>
      <c r="AF363" s="227"/>
      <c r="AG363" s="227"/>
      <c r="AH363" s="227"/>
      <c r="AI363" s="227"/>
      <c r="AJ363" s="227"/>
      <c r="AK363" s="227"/>
      <c r="AL363" s="227"/>
      <c r="AM363" s="227"/>
      <c r="AN363" s="227"/>
      <c r="AO363" s="227"/>
      <c r="AP363" s="227"/>
      <c r="AQ363" s="227"/>
      <c r="AR363" s="227"/>
      <c r="AS363" s="227"/>
      <c r="AT363" s="227"/>
      <c r="AU363" s="227"/>
      <c r="AV363" s="227"/>
      <c r="AW363" s="227"/>
      <c r="AX363" s="227"/>
      <c r="AY363" s="227"/>
      <c r="AZ363" s="227"/>
      <c r="BA363" s="227"/>
      <c r="BB363" s="227"/>
      <c r="BC363" s="227"/>
      <c r="BD363" s="227"/>
      <c r="BE363" s="227"/>
      <c r="BF363" s="227"/>
      <c r="BG363" s="227"/>
      <c r="BH363" s="227"/>
      <c r="BI363" s="227"/>
      <c r="BJ363" s="227"/>
      <c r="BK363" s="227"/>
      <c r="BL363" s="227"/>
      <c r="BM363" s="227"/>
      <c r="BN363" s="227"/>
      <c r="BO363" s="227"/>
      <c r="BP363" s="227"/>
      <c r="BQ363" s="227"/>
      <c r="BR363" s="227"/>
      <c r="BS363" s="227"/>
      <c r="BT363" s="227"/>
      <c r="BU363" s="227"/>
      <c r="BV363" s="227"/>
      <c r="BW363" s="227"/>
      <c r="BX363" s="227"/>
      <c r="BY363" s="227"/>
      <c r="BZ363" s="227"/>
      <c r="CA363" s="227"/>
      <c r="CB363" s="227"/>
      <c r="CC363" s="227"/>
      <c r="CD363" s="227"/>
      <c r="CE363" s="227"/>
      <c r="CF363" s="227"/>
      <c r="CG363" s="227"/>
      <c r="CH363" s="227"/>
      <c r="CI363" s="227"/>
      <c r="CJ363" s="227"/>
      <c r="CK363" s="227"/>
      <c r="CL363" s="227"/>
      <c r="CM363" s="227"/>
      <c r="CN363" s="227"/>
      <c r="CO363" s="227"/>
      <c r="CP363" s="227"/>
      <c r="CQ363" s="227"/>
      <c r="CR363" s="227"/>
      <c r="CS363" s="227"/>
      <c r="CT363" s="227"/>
      <c r="CU363" s="225"/>
      <c r="CV363" s="227"/>
    </row>
    <row r="364" spans="1:100" ht="20.100000000000001" customHeight="1">
      <c r="A364" s="223"/>
      <c r="B364" s="225"/>
      <c r="C364" s="227"/>
      <c r="D364" s="224"/>
      <c r="E364" s="223"/>
      <c r="F364" s="223"/>
      <c r="G364" s="223"/>
      <c r="H364" s="223"/>
      <c r="I364" s="223"/>
      <c r="J364" s="223"/>
      <c r="K364" s="223"/>
      <c r="L364" s="223"/>
      <c r="M364" s="223"/>
      <c r="N364" s="223"/>
      <c r="O364" s="223"/>
      <c r="P364" s="223"/>
      <c r="Q364" s="223"/>
      <c r="R364" s="223"/>
      <c r="S364" s="223"/>
      <c r="T364" s="223"/>
      <c r="U364" s="223"/>
      <c r="V364" s="223"/>
      <c r="W364" s="223"/>
      <c r="X364" s="223"/>
      <c r="Y364" s="223"/>
      <c r="Z364" s="223"/>
      <c r="AA364" s="223"/>
      <c r="AB364" s="223"/>
      <c r="AC364" s="223"/>
      <c r="AD364" s="223"/>
      <c r="AE364" s="223"/>
      <c r="AF364" s="223"/>
      <c r="AG364" s="223"/>
      <c r="AH364" s="223"/>
      <c r="AI364" s="223"/>
      <c r="AJ364" s="223"/>
      <c r="AK364" s="223"/>
      <c r="AL364" s="223"/>
      <c r="AM364" s="223"/>
      <c r="AN364" s="223"/>
      <c r="AO364" s="223"/>
      <c r="AP364" s="223"/>
      <c r="AQ364" s="223"/>
      <c r="AR364" s="223"/>
      <c r="AS364" s="223"/>
      <c r="AT364" s="223"/>
      <c r="AU364" s="223"/>
      <c r="AV364" s="223"/>
      <c r="AW364" s="223"/>
      <c r="AX364" s="223"/>
      <c r="AY364" s="223"/>
      <c r="AZ364" s="223"/>
      <c r="BA364" s="223"/>
      <c r="BB364" s="223"/>
      <c r="BC364" s="223"/>
      <c r="BD364" s="223"/>
      <c r="BE364" s="223"/>
      <c r="BF364" s="223"/>
      <c r="BG364" s="223"/>
      <c r="BH364" s="223"/>
      <c r="BI364" s="223"/>
      <c r="BJ364" s="223"/>
      <c r="BK364" s="223"/>
      <c r="BL364" s="223"/>
      <c r="BM364" s="223"/>
      <c r="BN364" s="223"/>
      <c r="BO364" s="223"/>
      <c r="BP364" s="223"/>
      <c r="BQ364" s="227"/>
      <c r="BR364" s="227"/>
      <c r="BS364" s="227"/>
      <c r="BT364" s="227"/>
      <c r="BU364" s="227"/>
      <c r="BV364" s="227"/>
      <c r="BW364" s="227"/>
      <c r="BX364" s="227"/>
      <c r="BY364" s="227"/>
      <c r="BZ364" s="227"/>
      <c r="CA364" s="227"/>
      <c r="CB364" s="227"/>
      <c r="CC364" s="227"/>
      <c r="CD364" s="227"/>
      <c r="CE364" s="227"/>
      <c r="CF364" s="227"/>
      <c r="CG364" s="227"/>
      <c r="CH364" s="227"/>
      <c r="CI364" s="227"/>
      <c r="CJ364" s="227"/>
      <c r="CK364" s="227"/>
      <c r="CL364" s="227"/>
      <c r="CM364" s="227"/>
      <c r="CN364" s="227"/>
      <c r="CO364" s="227"/>
      <c r="CP364" s="227"/>
      <c r="CQ364" s="227"/>
      <c r="CR364" s="227"/>
      <c r="CS364" s="227"/>
      <c r="CT364" s="227"/>
      <c r="CU364" s="225"/>
      <c r="CV364" s="227"/>
    </row>
    <row r="365" spans="1:100" ht="20.100000000000001" customHeight="1">
      <c r="A365" s="227">
        <v>179</v>
      </c>
      <c r="B365" s="225"/>
      <c r="C365" s="227"/>
      <c r="D365" s="228" cm="1">
        <f t="array" ref="D365">IFERROR(
(SUMPRODUCT(E365:CU365*$E$6:$CU$6)/100) + (SUMPRODUCT(E365:CU365*$E$6:$CU$6*$E$3:$CU$3)/100),
0
)</f>
        <v>0</v>
      </c>
      <c r="E365" s="227"/>
      <c r="F365" s="227"/>
      <c r="G365" s="227"/>
      <c r="H365" s="227"/>
      <c r="I365" s="227"/>
      <c r="J365" s="227"/>
      <c r="K365" s="227"/>
      <c r="L365" s="227"/>
      <c r="M365" s="227"/>
      <c r="N365" s="227"/>
      <c r="O365" s="227"/>
      <c r="P365" s="227"/>
      <c r="Q365" s="227"/>
      <c r="R365" s="227"/>
      <c r="S365" s="227"/>
      <c r="T365" s="227"/>
      <c r="U365" s="227"/>
      <c r="V365" s="227"/>
      <c r="W365" s="227"/>
      <c r="X365" s="227"/>
      <c r="Y365" s="227"/>
      <c r="Z365" s="227"/>
      <c r="AA365" s="227"/>
      <c r="AB365" s="227"/>
      <c r="AC365" s="227"/>
      <c r="AD365" s="227"/>
      <c r="AE365" s="227"/>
      <c r="AF365" s="227"/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27"/>
      <c r="BC365" s="227"/>
      <c r="BD365" s="227"/>
      <c r="BE365" s="227"/>
      <c r="BF365" s="227"/>
      <c r="BG365" s="227"/>
      <c r="BH365" s="227"/>
      <c r="BI365" s="227"/>
      <c r="BJ365" s="227"/>
      <c r="BK365" s="227"/>
      <c r="BL365" s="227"/>
      <c r="BM365" s="227"/>
      <c r="BN365" s="227"/>
      <c r="BO365" s="227"/>
      <c r="BP365" s="227"/>
      <c r="BQ365" s="227"/>
      <c r="BR365" s="227"/>
      <c r="BS365" s="227"/>
      <c r="BT365" s="227"/>
      <c r="BU365" s="227"/>
      <c r="BV365" s="227"/>
      <c r="BW365" s="227"/>
      <c r="BX365" s="227"/>
      <c r="BY365" s="227"/>
      <c r="BZ365" s="227"/>
      <c r="CA365" s="227"/>
      <c r="CB365" s="227"/>
      <c r="CC365" s="227"/>
      <c r="CD365" s="227"/>
      <c r="CE365" s="227"/>
      <c r="CF365" s="227"/>
      <c r="CG365" s="227"/>
      <c r="CH365" s="227"/>
      <c r="CI365" s="227"/>
      <c r="CJ365" s="227"/>
      <c r="CK365" s="227"/>
      <c r="CL365" s="227"/>
      <c r="CM365" s="227"/>
      <c r="CN365" s="227"/>
      <c r="CO365" s="227"/>
      <c r="CP365" s="227"/>
      <c r="CQ365" s="227"/>
      <c r="CR365" s="227"/>
      <c r="CS365" s="227"/>
      <c r="CT365" s="227"/>
      <c r="CU365" s="225"/>
      <c r="CV365" s="227"/>
    </row>
    <row r="366" spans="1:100" ht="20.100000000000001" customHeight="1">
      <c r="A366" s="227"/>
      <c r="B366" s="225"/>
      <c r="C366" s="227"/>
      <c r="D366" s="224"/>
      <c r="E366" s="223"/>
      <c r="F366" s="223"/>
      <c r="G366" s="223"/>
      <c r="H366" s="223"/>
      <c r="I366" s="223"/>
      <c r="J366" s="223"/>
      <c r="K366" s="223"/>
      <c r="L366" s="223"/>
      <c r="M366" s="223"/>
      <c r="N366" s="223"/>
      <c r="O366" s="223"/>
      <c r="P366" s="223"/>
      <c r="Q366" s="223"/>
      <c r="R366" s="223"/>
      <c r="S366" s="223"/>
      <c r="T366" s="223"/>
      <c r="U366" s="223"/>
      <c r="V366" s="223"/>
      <c r="W366" s="223"/>
      <c r="X366" s="223"/>
      <c r="Y366" s="223"/>
      <c r="Z366" s="223"/>
      <c r="AA366" s="223"/>
      <c r="AB366" s="223"/>
      <c r="AC366" s="223"/>
      <c r="AD366" s="223"/>
      <c r="AE366" s="223"/>
      <c r="AF366" s="223"/>
      <c r="AG366" s="223"/>
      <c r="AH366" s="223"/>
      <c r="AI366" s="223"/>
      <c r="AJ366" s="223"/>
      <c r="AK366" s="223"/>
      <c r="AL366" s="223"/>
      <c r="AM366" s="223"/>
      <c r="AN366" s="223"/>
      <c r="AO366" s="223"/>
      <c r="AP366" s="223"/>
      <c r="AQ366" s="223"/>
      <c r="AR366" s="223"/>
      <c r="AS366" s="223"/>
      <c r="AT366" s="223"/>
      <c r="AU366" s="223"/>
      <c r="AV366" s="223"/>
      <c r="AW366" s="223"/>
      <c r="AX366" s="223"/>
      <c r="AY366" s="223"/>
      <c r="AZ366" s="223"/>
      <c r="BA366" s="223"/>
      <c r="BB366" s="223"/>
      <c r="BC366" s="223"/>
      <c r="BD366" s="223"/>
      <c r="BE366" s="223"/>
      <c r="BF366" s="223"/>
      <c r="BG366" s="223"/>
      <c r="BH366" s="223"/>
      <c r="BI366" s="223"/>
      <c r="BJ366" s="223"/>
      <c r="BK366" s="223"/>
      <c r="BL366" s="223"/>
      <c r="BM366" s="223"/>
      <c r="BN366" s="223"/>
      <c r="BO366" s="223"/>
      <c r="BP366" s="223"/>
      <c r="BQ366" s="227"/>
      <c r="BR366" s="227"/>
      <c r="BS366" s="227"/>
      <c r="BT366" s="227"/>
      <c r="BU366" s="227"/>
      <c r="BV366" s="227"/>
      <c r="BW366" s="227"/>
      <c r="BX366" s="227"/>
      <c r="BY366" s="227"/>
      <c r="BZ366" s="227"/>
      <c r="CA366" s="227"/>
      <c r="CB366" s="227"/>
      <c r="CC366" s="227"/>
      <c r="CD366" s="227"/>
      <c r="CE366" s="227"/>
      <c r="CF366" s="227"/>
      <c r="CG366" s="227"/>
      <c r="CH366" s="227"/>
      <c r="CI366" s="227"/>
      <c r="CJ366" s="227"/>
      <c r="CK366" s="227"/>
      <c r="CL366" s="227"/>
      <c r="CM366" s="227"/>
      <c r="CN366" s="227"/>
      <c r="CO366" s="227"/>
      <c r="CP366" s="227"/>
      <c r="CQ366" s="227"/>
      <c r="CR366" s="227"/>
      <c r="CS366" s="227"/>
      <c r="CT366" s="227"/>
      <c r="CU366" s="225"/>
      <c r="CV366" s="227"/>
    </row>
    <row r="367" spans="1:100" ht="20.100000000000001" customHeight="1">
      <c r="A367" s="227">
        <v>180</v>
      </c>
      <c r="B367" s="225"/>
      <c r="C367" s="227"/>
      <c r="D367" s="228" cm="1">
        <f t="array" ref="D367">IFERROR(
(SUMPRODUCT(E367:CU367*$E$6:$CU$6)/100) + (SUMPRODUCT(E367:CU367*$E$6:$CU$6*$E$3:$CU$3)/100),
0
)</f>
        <v>0</v>
      </c>
      <c r="E367" s="227"/>
      <c r="F367" s="227"/>
      <c r="G367" s="227"/>
      <c r="H367" s="227"/>
      <c r="I367" s="227"/>
      <c r="J367" s="227"/>
      <c r="K367" s="227"/>
      <c r="L367" s="227"/>
      <c r="M367" s="227"/>
      <c r="N367" s="227"/>
      <c r="O367" s="227"/>
      <c r="P367" s="227"/>
      <c r="Q367" s="227"/>
      <c r="R367" s="227"/>
      <c r="S367" s="227"/>
      <c r="T367" s="227"/>
      <c r="U367" s="227"/>
      <c r="V367" s="227"/>
      <c r="W367" s="227"/>
      <c r="X367" s="227"/>
      <c r="Y367" s="227"/>
      <c r="Z367" s="227"/>
      <c r="AA367" s="227"/>
      <c r="AB367" s="227"/>
      <c r="AC367" s="227"/>
      <c r="AD367" s="227"/>
      <c r="AE367" s="227"/>
      <c r="AF367" s="227"/>
      <c r="AG367" s="227"/>
      <c r="AH367" s="227"/>
      <c r="AI367" s="227"/>
      <c r="AJ367" s="227"/>
      <c r="AK367" s="227"/>
      <c r="AL367" s="227"/>
      <c r="AM367" s="227"/>
      <c r="AN367" s="227"/>
      <c r="AO367" s="227"/>
      <c r="AP367" s="227"/>
      <c r="AQ367" s="227"/>
      <c r="AR367" s="227"/>
      <c r="AS367" s="227"/>
      <c r="AT367" s="227"/>
      <c r="AU367" s="227"/>
      <c r="AV367" s="227"/>
      <c r="AW367" s="227"/>
      <c r="AX367" s="227"/>
      <c r="AY367" s="227"/>
      <c r="AZ367" s="227"/>
      <c r="BA367" s="227"/>
      <c r="BB367" s="227"/>
      <c r="BC367" s="227"/>
      <c r="BD367" s="227"/>
      <c r="BE367" s="227"/>
      <c r="BF367" s="227"/>
      <c r="BG367" s="227"/>
      <c r="BH367" s="227"/>
      <c r="BI367" s="227"/>
      <c r="BJ367" s="227"/>
      <c r="BK367" s="227"/>
      <c r="BL367" s="227"/>
      <c r="BM367" s="227"/>
      <c r="BN367" s="227"/>
      <c r="BO367" s="227"/>
      <c r="BP367" s="227"/>
      <c r="BQ367" s="227"/>
      <c r="BR367" s="227"/>
      <c r="BS367" s="227"/>
      <c r="BT367" s="227"/>
      <c r="BU367" s="227"/>
      <c r="BV367" s="227"/>
      <c r="BW367" s="227"/>
      <c r="BX367" s="227"/>
      <c r="BY367" s="227"/>
      <c r="BZ367" s="227"/>
      <c r="CA367" s="227"/>
      <c r="CB367" s="227"/>
      <c r="CC367" s="227"/>
      <c r="CD367" s="227"/>
      <c r="CE367" s="227"/>
      <c r="CF367" s="227"/>
      <c r="CG367" s="227"/>
      <c r="CH367" s="227"/>
      <c r="CI367" s="227"/>
      <c r="CJ367" s="227"/>
      <c r="CK367" s="227"/>
      <c r="CL367" s="227"/>
      <c r="CM367" s="227"/>
      <c r="CN367" s="227"/>
      <c r="CO367" s="227"/>
      <c r="CP367" s="227"/>
      <c r="CQ367" s="227"/>
      <c r="CR367" s="227"/>
      <c r="CS367" s="227"/>
      <c r="CT367" s="227"/>
      <c r="CU367" s="225"/>
      <c r="CV367" s="227"/>
    </row>
    <row r="368" spans="1:100" ht="20.100000000000001" customHeight="1">
      <c r="A368" s="223"/>
      <c r="B368" s="225"/>
      <c r="C368" s="227"/>
      <c r="D368" s="224"/>
      <c r="E368" s="223"/>
      <c r="F368" s="223"/>
      <c r="G368" s="223"/>
      <c r="H368" s="223"/>
      <c r="I368" s="223"/>
      <c r="J368" s="223"/>
      <c r="K368" s="223"/>
      <c r="L368" s="223"/>
      <c r="M368" s="223"/>
      <c r="N368" s="223"/>
      <c r="O368" s="223"/>
      <c r="P368" s="223"/>
      <c r="Q368" s="223"/>
      <c r="R368" s="223"/>
      <c r="S368" s="223"/>
      <c r="T368" s="223"/>
      <c r="U368" s="223"/>
      <c r="V368" s="223"/>
      <c r="W368" s="223"/>
      <c r="X368" s="223"/>
      <c r="Y368" s="223"/>
      <c r="Z368" s="223"/>
      <c r="AA368" s="223"/>
      <c r="AB368" s="223"/>
      <c r="AC368" s="223"/>
      <c r="AD368" s="223"/>
      <c r="AE368" s="223"/>
      <c r="AF368" s="223"/>
      <c r="AG368" s="223"/>
      <c r="AH368" s="223"/>
      <c r="AI368" s="223"/>
      <c r="AJ368" s="223"/>
      <c r="AK368" s="223"/>
      <c r="AL368" s="223"/>
      <c r="AM368" s="223"/>
      <c r="AN368" s="223"/>
      <c r="AO368" s="223"/>
      <c r="AP368" s="223"/>
      <c r="AQ368" s="223"/>
      <c r="AR368" s="223"/>
      <c r="AS368" s="223"/>
      <c r="AT368" s="223"/>
      <c r="AU368" s="223"/>
      <c r="AV368" s="223"/>
      <c r="AW368" s="223"/>
      <c r="AX368" s="223"/>
      <c r="AY368" s="223"/>
      <c r="AZ368" s="223"/>
      <c r="BA368" s="223"/>
      <c r="BB368" s="223"/>
      <c r="BC368" s="223"/>
      <c r="BD368" s="223"/>
      <c r="BE368" s="223"/>
      <c r="BF368" s="223"/>
      <c r="BG368" s="223"/>
      <c r="BH368" s="223"/>
      <c r="BI368" s="223"/>
      <c r="BJ368" s="223"/>
      <c r="BK368" s="223"/>
      <c r="BL368" s="223"/>
      <c r="BM368" s="223"/>
      <c r="BN368" s="223"/>
      <c r="BO368" s="223"/>
      <c r="BP368" s="223"/>
      <c r="BQ368" s="227"/>
      <c r="BR368" s="227"/>
      <c r="BS368" s="227"/>
      <c r="BT368" s="227"/>
      <c r="BU368" s="227"/>
      <c r="BV368" s="227"/>
      <c r="BW368" s="227"/>
      <c r="BX368" s="227"/>
      <c r="BY368" s="227"/>
      <c r="BZ368" s="227"/>
      <c r="CA368" s="227"/>
      <c r="CB368" s="227"/>
      <c r="CC368" s="227"/>
      <c r="CD368" s="227"/>
      <c r="CE368" s="227"/>
      <c r="CF368" s="227"/>
      <c r="CG368" s="227"/>
      <c r="CH368" s="227"/>
      <c r="CI368" s="227"/>
      <c r="CJ368" s="227"/>
      <c r="CK368" s="227"/>
      <c r="CL368" s="227"/>
      <c r="CM368" s="227"/>
      <c r="CN368" s="227"/>
      <c r="CO368" s="227"/>
      <c r="CP368" s="227"/>
      <c r="CQ368" s="227"/>
      <c r="CR368" s="227"/>
      <c r="CS368" s="227"/>
      <c r="CT368" s="227"/>
      <c r="CU368" s="225"/>
      <c r="CV368" s="227"/>
    </row>
    <row r="369" spans="1:100" ht="20.100000000000001" customHeight="1">
      <c r="A369" s="227">
        <v>181</v>
      </c>
      <c r="B369" s="225"/>
      <c r="C369" s="227"/>
      <c r="D369" s="228" cm="1">
        <f t="array" ref="D369">IFERROR(
(SUMPRODUCT(E369:CU369*$E$6:$CU$6)/100) + (SUMPRODUCT(E369:CU369*$E$6:$CU$6*$E$3:$CU$3)/100),
0
)</f>
        <v>0</v>
      </c>
      <c r="E369" s="227"/>
      <c r="F369" s="227"/>
      <c r="G369" s="227"/>
      <c r="H369" s="227"/>
      <c r="I369" s="227"/>
      <c r="J369" s="227"/>
      <c r="K369" s="227"/>
      <c r="L369" s="227"/>
      <c r="M369" s="227"/>
      <c r="N369" s="227"/>
      <c r="O369" s="227"/>
      <c r="P369" s="227"/>
      <c r="Q369" s="227"/>
      <c r="R369" s="227"/>
      <c r="S369" s="227"/>
      <c r="T369" s="227"/>
      <c r="U369" s="227"/>
      <c r="V369" s="227"/>
      <c r="W369" s="227"/>
      <c r="X369" s="227"/>
      <c r="Y369" s="227"/>
      <c r="Z369" s="227"/>
      <c r="AA369" s="227"/>
      <c r="AB369" s="227"/>
      <c r="AC369" s="227"/>
      <c r="AD369" s="227"/>
      <c r="AE369" s="227"/>
      <c r="AF369" s="227"/>
      <c r="AG369" s="227"/>
      <c r="AH369" s="227"/>
      <c r="AI369" s="227"/>
      <c r="AJ369" s="227"/>
      <c r="AK369" s="227"/>
      <c r="AL369" s="227"/>
      <c r="AM369" s="227"/>
      <c r="AN369" s="227"/>
      <c r="AO369" s="227"/>
      <c r="AP369" s="227"/>
      <c r="AQ369" s="227"/>
      <c r="AR369" s="227"/>
      <c r="AS369" s="227"/>
      <c r="AT369" s="227"/>
      <c r="AU369" s="227"/>
      <c r="AV369" s="227"/>
      <c r="AW369" s="227"/>
      <c r="AX369" s="227"/>
      <c r="AY369" s="227"/>
      <c r="AZ369" s="227"/>
      <c r="BA369" s="227"/>
      <c r="BB369" s="227"/>
      <c r="BC369" s="227"/>
      <c r="BD369" s="227"/>
      <c r="BE369" s="227"/>
      <c r="BF369" s="227"/>
      <c r="BG369" s="227"/>
      <c r="BH369" s="227"/>
      <c r="BI369" s="227"/>
      <c r="BJ369" s="227"/>
      <c r="BK369" s="227"/>
      <c r="BL369" s="227"/>
      <c r="BM369" s="227"/>
      <c r="BN369" s="227"/>
      <c r="BO369" s="227"/>
      <c r="BP369" s="227"/>
      <c r="BQ369" s="227"/>
      <c r="BR369" s="227"/>
      <c r="BS369" s="227"/>
      <c r="BT369" s="227"/>
      <c r="BU369" s="227"/>
      <c r="BV369" s="227"/>
      <c r="BW369" s="227"/>
      <c r="BX369" s="227"/>
      <c r="BY369" s="227"/>
      <c r="BZ369" s="227"/>
      <c r="CA369" s="227"/>
      <c r="CB369" s="227"/>
      <c r="CC369" s="227"/>
      <c r="CD369" s="227"/>
      <c r="CE369" s="227"/>
      <c r="CF369" s="227"/>
      <c r="CG369" s="227"/>
      <c r="CH369" s="227"/>
      <c r="CI369" s="227"/>
      <c r="CJ369" s="227"/>
      <c r="CK369" s="227"/>
      <c r="CL369" s="227"/>
      <c r="CM369" s="227"/>
      <c r="CN369" s="227"/>
      <c r="CO369" s="227"/>
      <c r="CP369" s="227"/>
      <c r="CQ369" s="227"/>
      <c r="CR369" s="227"/>
      <c r="CS369" s="227"/>
      <c r="CT369" s="227"/>
      <c r="CU369" s="225"/>
      <c r="CV369" s="227"/>
    </row>
    <row r="370" spans="1:100" ht="20.100000000000001" customHeight="1">
      <c r="A370" s="227"/>
      <c r="B370" s="225"/>
      <c r="C370" s="227"/>
      <c r="D370" s="224"/>
      <c r="E370" s="223"/>
      <c r="F370" s="223"/>
      <c r="G370" s="223"/>
      <c r="H370" s="223"/>
      <c r="I370" s="223"/>
      <c r="J370" s="223"/>
      <c r="K370" s="223"/>
      <c r="L370" s="223"/>
      <c r="M370" s="223"/>
      <c r="N370" s="223"/>
      <c r="O370" s="223"/>
      <c r="P370" s="223"/>
      <c r="Q370" s="223"/>
      <c r="R370" s="223"/>
      <c r="S370" s="223"/>
      <c r="T370" s="223"/>
      <c r="U370" s="223"/>
      <c r="V370" s="223"/>
      <c r="W370" s="223"/>
      <c r="X370" s="223"/>
      <c r="Y370" s="223"/>
      <c r="Z370" s="223"/>
      <c r="AA370" s="223"/>
      <c r="AB370" s="223"/>
      <c r="AC370" s="223"/>
      <c r="AD370" s="223"/>
      <c r="AE370" s="223"/>
      <c r="AF370" s="223"/>
      <c r="AG370" s="223"/>
      <c r="AH370" s="223"/>
      <c r="AI370" s="223"/>
      <c r="AJ370" s="223"/>
      <c r="AK370" s="223"/>
      <c r="AL370" s="223"/>
      <c r="AM370" s="223"/>
      <c r="AN370" s="223"/>
      <c r="AO370" s="223"/>
      <c r="AP370" s="223"/>
      <c r="AQ370" s="223"/>
      <c r="AR370" s="223"/>
      <c r="AS370" s="223"/>
      <c r="AT370" s="223"/>
      <c r="AU370" s="223"/>
      <c r="AV370" s="223"/>
      <c r="AW370" s="223"/>
      <c r="AX370" s="223"/>
      <c r="AY370" s="223"/>
      <c r="AZ370" s="223"/>
      <c r="BA370" s="223"/>
      <c r="BB370" s="223"/>
      <c r="BC370" s="223"/>
      <c r="BD370" s="223"/>
      <c r="BE370" s="223"/>
      <c r="BF370" s="223"/>
      <c r="BG370" s="223"/>
      <c r="BH370" s="223"/>
      <c r="BI370" s="223"/>
      <c r="BJ370" s="223"/>
      <c r="BK370" s="223"/>
      <c r="BL370" s="223"/>
      <c r="BM370" s="223"/>
      <c r="BN370" s="223"/>
      <c r="BO370" s="223"/>
      <c r="BP370" s="223"/>
      <c r="BQ370" s="227"/>
      <c r="BR370" s="227"/>
      <c r="BS370" s="227"/>
      <c r="BT370" s="227"/>
      <c r="BU370" s="227"/>
      <c r="BV370" s="227"/>
      <c r="BW370" s="227"/>
      <c r="BX370" s="227"/>
      <c r="BY370" s="227"/>
      <c r="BZ370" s="227"/>
      <c r="CA370" s="227"/>
      <c r="CB370" s="227"/>
      <c r="CC370" s="227"/>
      <c r="CD370" s="227"/>
      <c r="CE370" s="227"/>
      <c r="CF370" s="227"/>
      <c r="CG370" s="227"/>
      <c r="CH370" s="227"/>
      <c r="CI370" s="227"/>
      <c r="CJ370" s="227"/>
      <c r="CK370" s="227"/>
      <c r="CL370" s="227"/>
      <c r="CM370" s="227"/>
      <c r="CN370" s="227"/>
      <c r="CO370" s="227"/>
      <c r="CP370" s="227"/>
      <c r="CQ370" s="227"/>
      <c r="CR370" s="227"/>
      <c r="CS370" s="227"/>
      <c r="CT370" s="227"/>
      <c r="CU370" s="225"/>
      <c r="CV370" s="227"/>
    </row>
    <row r="371" spans="1:100" ht="20.100000000000001" customHeight="1">
      <c r="A371" s="227">
        <v>182</v>
      </c>
      <c r="B371" s="225"/>
      <c r="C371" s="227"/>
      <c r="D371" s="228" cm="1">
        <f t="array" ref="D371">IFERROR(
(SUMPRODUCT(E371:CU371*$E$6:$CU$6)/100) + (SUMPRODUCT(E371:CU371*$E$6:$CU$6*$E$3:$CU$3)/100),
0
)</f>
        <v>0</v>
      </c>
      <c r="E371" s="227"/>
      <c r="F371" s="227"/>
      <c r="G371" s="227"/>
      <c r="H371" s="227"/>
      <c r="I371" s="227"/>
      <c r="J371" s="227"/>
      <c r="K371" s="227"/>
      <c r="L371" s="227"/>
      <c r="M371" s="227"/>
      <c r="N371" s="227"/>
      <c r="O371" s="227"/>
      <c r="P371" s="227"/>
      <c r="Q371" s="227"/>
      <c r="R371" s="227"/>
      <c r="S371" s="227"/>
      <c r="T371" s="227"/>
      <c r="U371" s="227"/>
      <c r="V371" s="227"/>
      <c r="W371" s="227"/>
      <c r="X371" s="227"/>
      <c r="Y371" s="227"/>
      <c r="Z371" s="227"/>
      <c r="AA371" s="227"/>
      <c r="AB371" s="227"/>
      <c r="AC371" s="227"/>
      <c r="AD371" s="227"/>
      <c r="AE371" s="227"/>
      <c r="AF371" s="227"/>
      <c r="AG371" s="227"/>
      <c r="AH371" s="227"/>
      <c r="AI371" s="227"/>
      <c r="AJ371" s="227"/>
      <c r="AK371" s="227"/>
      <c r="AL371" s="227"/>
      <c r="AM371" s="227"/>
      <c r="AN371" s="227"/>
      <c r="AO371" s="227"/>
      <c r="AP371" s="227"/>
      <c r="AQ371" s="227"/>
      <c r="AR371" s="227"/>
      <c r="AS371" s="227"/>
      <c r="AT371" s="227"/>
      <c r="AU371" s="227"/>
      <c r="AV371" s="227"/>
      <c r="AW371" s="227"/>
      <c r="AX371" s="227"/>
      <c r="AY371" s="227"/>
      <c r="AZ371" s="227"/>
      <c r="BA371" s="227"/>
      <c r="BB371" s="227"/>
      <c r="BC371" s="227"/>
      <c r="BD371" s="227"/>
      <c r="BE371" s="227"/>
      <c r="BF371" s="227"/>
      <c r="BG371" s="227"/>
      <c r="BH371" s="227"/>
      <c r="BI371" s="227"/>
      <c r="BJ371" s="227"/>
      <c r="BK371" s="227"/>
      <c r="BL371" s="227"/>
      <c r="BM371" s="227"/>
      <c r="BN371" s="227"/>
      <c r="BO371" s="227"/>
      <c r="BP371" s="227"/>
      <c r="BQ371" s="227"/>
      <c r="BR371" s="227"/>
      <c r="BS371" s="227"/>
      <c r="BT371" s="227"/>
      <c r="BU371" s="227"/>
      <c r="BV371" s="227"/>
      <c r="BW371" s="227"/>
      <c r="BX371" s="227"/>
      <c r="BY371" s="227"/>
      <c r="BZ371" s="227"/>
      <c r="CA371" s="227"/>
      <c r="CB371" s="227"/>
      <c r="CC371" s="227"/>
      <c r="CD371" s="227"/>
      <c r="CE371" s="227"/>
      <c r="CF371" s="227"/>
      <c r="CG371" s="227"/>
      <c r="CH371" s="227"/>
      <c r="CI371" s="227"/>
      <c r="CJ371" s="227"/>
      <c r="CK371" s="227"/>
      <c r="CL371" s="227"/>
      <c r="CM371" s="227"/>
      <c r="CN371" s="227"/>
      <c r="CO371" s="227"/>
      <c r="CP371" s="227"/>
      <c r="CQ371" s="227"/>
      <c r="CR371" s="227"/>
      <c r="CS371" s="227"/>
      <c r="CT371" s="227"/>
      <c r="CU371" s="225"/>
      <c r="CV371" s="227"/>
    </row>
    <row r="372" spans="1:100" ht="20.100000000000001" customHeight="1">
      <c r="A372" s="223"/>
      <c r="B372" s="225"/>
      <c r="C372" s="227"/>
      <c r="D372" s="224"/>
      <c r="E372" s="223"/>
      <c r="F372" s="223"/>
      <c r="G372" s="223"/>
      <c r="H372" s="223"/>
      <c r="I372" s="223"/>
      <c r="J372" s="223"/>
      <c r="K372" s="223"/>
      <c r="L372" s="223"/>
      <c r="M372" s="223"/>
      <c r="N372" s="223"/>
      <c r="O372" s="223"/>
      <c r="P372" s="223"/>
      <c r="Q372" s="223"/>
      <c r="R372" s="223"/>
      <c r="S372" s="223"/>
      <c r="T372" s="223"/>
      <c r="U372" s="223"/>
      <c r="V372" s="223"/>
      <c r="W372" s="223"/>
      <c r="X372" s="223"/>
      <c r="Y372" s="223"/>
      <c r="Z372" s="223"/>
      <c r="AA372" s="223"/>
      <c r="AB372" s="223"/>
      <c r="AC372" s="223"/>
      <c r="AD372" s="223"/>
      <c r="AE372" s="223"/>
      <c r="AF372" s="223"/>
      <c r="AG372" s="223"/>
      <c r="AH372" s="223"/>
      <c r="AI372" s="223"/>
      <c r="AJ372" s="223"/>
      <c r="AK372" s="223"/>
      <c r="AL372" s="223"/>
      <c r="AM372" s="223"/>
      <c r="AN372" s="223"/>
      <c r="AO372" s="223"/>
      <c r="AP372" s="223"/>
      <c r="AQ372" s="223"/>
      <c r="AR372" s="223"/>
      <c r="AS372" s="223"/>
      <c r="AT372" s="223"/>
      <c r="AU372" s="223"/>
      <c r="AV372" s="223"/>
      <c r="AW372" s="223"/>
      <c r="AX372" s="223"/>
      <c r="AY372" s="223"/>
      <c r="AZ372" s="223"/>
      <c r="BA372" s="223"/>
      <c r="BB372" s="223"/>
      <c r="BC372" s="223"/>
      <c r="BD372" s="223"/>
      <c r="BE372" s="223"/>
      <c r="BF372" s="223"/>
      <c r="BG372" s="223"/>
      <c r="BH372" s="223"/>
      <c r="BI372" s="223"/>
      <c r="BJ372" s="223"/>
      <c r="BK372" s="223"/>
      <c r="BL372" s="223"/>
      <c r="BM372" s="223"/>
      <c r="BN372" s="223"/>
      <c r="BO372" s="223"/>
      <c r="BP372" s="223"/>
      <c r="BQ372" s="227"/>
      <c r="BR372" s="227"/>
      <c r="BS372" s="227"/>
      <c r="BT372" s="227"/>
      <c r="BU372" s="227"/>
      <c r="BV372" s="227"/>
      <c r="BW372" s="227"/>
      <c r="BX372" s="227"/>
      <c r="BY372" s="227"/>
      <c r="BZ372" s="227"/>
      <c r="CA372" s="227"/>
      <c r="CB372" s="227"/>
      <c r="CC372" s="227"/>
      <c r="CD372" s="227"/>
      <c r="CE372" s="227"/>
      <c r="CF372" s="227"/>
      <c r="CG372" s="227"/>
      <c r="CH372" s="227"/>
      <c r="CI372" s="227"/>
      <c r="CJ372" s="227"/>
      <c r="CK372" s="227"/>
      <c r="CL372" s="227"/>
      <c r="CM372" s="227"/>
      <c r="CN372" s="227"/>
      <c r="CO372" s="227"/>
      <c r="CP372" s="227"/>
      <c r="CQ372" s="227"/>
      <c r="CR372" s="227"/>
      <c r="CS372" s="227"/>
      <c r="CT372" s="227"/>
      <c r="CU372" s="225"/>
      <c r="CV372" s="227"/>
    </row>
    <row r="373" spans="1:100" ht="20.100000000000001" customHeight="1">
      <c r="A373" s="227">
        <v>183</v>
      </c>
      <c r="B373" s="225"/>
      <c r="C373" s="227"/>
      <c r="D373" s="228" cm="1">
        <f t="array" ref="D373">IFERROR(
(SUMPRODUCT(E373:CU373*$E$6:$CU$6)/100) + (SUMPRODUCT(E373:CU373*$E$6:$CU$6*$E$3:$CU$3)/100),
0
)</f>
        <v>0</v>
      </c>
      <c r="E373" s="227"/>
      <c r="F373" s="227"/>
      <c r="G373" s="227"/>
      <c r="H373" s="227"/>
      <c r="I373" s="227"/>
      <c r="J373" s="227"/>
      <c r="K373" s="227"/>
      <c r="L373" s="227"/>
      <c r="M373" s="227"/>
      <c r="N373" s="227"/>
      <c r="O373" s="227"/>
      <c r="P373" s="227"/>
      <c r="Q373" s="227"/>
      <c r="R373" s="227"/>
      <c r="S373" s="227"/>
      <c r="T373" s="227"/>
      <c r="U373" s="227"/>
      <c r="V373" s="227"/>
      <c r="W373" s="227"/>
      <c r="X373" s="227"/>
      <c r="Y373" s="227"/>
      <c r="Z373" s="227"/>
      <c r="AA373" s="227"/>
      <c r="AB373" s="227"/>
      <c r="AC373" s="227"/>
      <c r="AD373" s="227"/>
      <c r="AE373" s="227"/>
      <c r="AF373" s="227"/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27"/>
      <c r="BC373" s="227"/>
      <c r="BD373" s="227"/>
      <c r="BE373" s="227"/>
      <c r="BF373" s="227"/>
      <c r="BG373" s="227"/>
      <c r="BH373" s="227"/>
      <c r="BI373" s="227"/>
      <c r="BJ373" s="227"/>
      <c r="BK373" s="227"/>
      <c r="BL373" s="227"/>
      <c r="BM373" s="227"/>
      <c r="BN373" s="227"/>
      <c r="BO373" s="227"/>
      <c r="BP373" s="227"/>
      <c r="BQ373" s="227"/>
      <c r="BR373" s="227"/>
      <c r="BS373" s="227"/>
      <c r="BT373" s="227"/>
      <c r="BU373" s="227"/>
      <c r="BV373" s="227"/>
      <c r="BW373" s="227"/>
      <c r="BX373" s="227"/>
      <c r="BY373" s="227"/>
      <c r="BZ373" s="227"/>
      <c r="CA373" s="227"/>
      <c r="CB373" s="227"/>
      <c r="CC373" s="227"/>
      <c r="CD373" s="227"/>
      <c r="CE373" s="227"/>
      <c r="CF373" s="227"/>
      <c r="CG373" s="227"/>
      <c r="CH373" s="227"/>
      <c r="CI373" s="227"/>
      <c r="CJ373" s="227"/>
      <c r="CK373" s="227"/>
      <c r="CL373" s="227"/>
      <c r="CM373" s="227"/>
      <c r="CN373" s="227"/>
      <c r="CO373" s="227"/>
      <c r="CP373" s="227"/>
      <c r="CQ373" s="227"/>
      <c r="CR373" s="227"/>
      <c r="CS373" s="227"/>
      <c r="CT373" s="227"/>
      <c r="CU373" s="225"/>
      <c r="CV373" s="227"/>
    </row>
    <row r="374" spans="1:100" ht="20.100000000000001" customHeight="1">
      <c r="A374" s="227"/>
      <c r="B374" s="225"/>
      <c r="C374" s="227"/>
      <c r="D374" s="224"/>
      <c r="E374" s="223"/>
      <c r="F374" s="223"/>
      <c r="G374" s="223"/>
      <c r="H374" s="223"/>
      <c r="I374" s="223"/>
      <c r="J374" s="223"/>
      <c r="K374" s="223"/>
      <c r="L374" s="223"/>
      <c r="M374" s="223"/>
      <c r="N374" s="223"/>
      <c r="O374" s="223"/>
      <c r="P374" s="223"/>
      <c r="Q374" s="223"/>
      <c r="R374" s="223"/>
      <c r="S374" s="223"/>
      <c r="T374" s="223"/>
      <c r="U374" s="223"/>
      <c r="V374" s="223"/>
      <c r="W374" s="223"/>
      <c r="X374" s="223"/>
      <c r="Y374" s="223"/>
      <c r="Z374" s="223"/>
      <c r="AA374" s="223"/>
      <c r="AB374" s="223"/>
      <c r="AC374" s="223"/>
      <c r="AD374" s="223"/>
      <c r="AE374" s="223"/>
      <c r="AF374" s="223"/>
      <c r="AG374" s="223"/>
      <c r="AH374" s="223"/>
      <c r="AI374" s="223"/>
      <c r="AJ374" s="223"/>
      <c r="AK374" s="223"/>
      <c r="AL374" s="223"/>
      <c r="AM374" s="223"/>
      <c r="AN374" s="223"/>
      <c r="AO374" s="223"/>
      <c r="AP374" s="223"/>
      <c r="AQ374" s="223"/>
      <c r="AR374" s="223"/>
      <c r="AS374" s="223"/>
      <c r="AT374" s="223"/>
      <c r="AU374" s="223"/>
      <c r="AV374" s="223"/>
      <c r="AW374" s="223"/>
      <c r="AX374" s="223"/>
      <c r="AY374" s="223"/>
      <c r="AZ374" s="223"/>
      <c r="BA374" s="223"/>
      <c r="BB374" s="223"/>
      <c r="BC374" s="223"/>
      <c r="BD374" s="223"/>
      <c r="BE374" s="223"/>
      <c r="BF374" s="223"/>
      <c r="BG374" s="223"/>
      <c r="BH374" s="223"/>
      <c r="BI374" s="223"/>
      <c r="BJ374" s="223"/>
      <c r="BK374" s="223"/>
      <c r="BL374" s="223"/>
      <c r="BM374" s="223"/>
      <c r="BN374" s="223"/>
      <c r="BO374" s="223"/>
      <c r="BP374" s="223"/>
      <c r="BQ374" s="227"/>
      <c r="BR374" s="227"/>
      <c r="BS374" s="227"/>
      <c r="BT374" s="227"/>
      <c r="BU374" s="227"/>
      <c r="BV374" s="227"/>
      <c r="BW374" s="227"/>
      <c r="BX374" s="227"/>
      <c r="BY374" s="227"/>
      <c r="BZ374" s="227"/>
      <c r="CA374" s="227"/>
      <c r="CB374" s="227"/>
      <c r="CC374" s="227"/>
      <c r="CD374" s="227"/>
      <c r="CE374" s="227"/>
      <c r="CF374" s="227"/>
      <c r="CG374" s="227"/>
      <c r="CH374" s="227"/>
      <c r="CI374" s="227"/>
      <c r="CJ374" s="227"/>
      <c r="CK374" s="227"/>
      <c r="CL374" s="227"/>
      <c r="CM374" s="227"/>
      <c r="CN374" s="227"/>
      <c r="CO374" s="227"/>
      <c r="CP374" s="227"/>
      <c r="CQ374" s="227"/>
      <c r="CR374" s="227"/>
      <c r="CS374" s="227"/>
      <c r="CT374" s="227"/>
      <c r="CU374" s="225"/>
      <c r="CV374" s="227"/>
    </row>
    <row r="375" spans="1:100" ht="20.100000000000001" customHeight="1">
      <c r="A375" s="227">
        <v>184</v>
      </c>
      <c r="B375" s="225"/>
      <c r="C375" s="227"/>
      <c r="D375" s="228" cm="1">
        <f t="array" ref="D375">IFERROR(
(SUMPRODUCT(E375:CU375*$E$6:$CU$6)/100) + (SUMPRODUCT(E375:CU375*$E$6:$CU$6*$E$3:$CU$3)/100),
0
)</f>
        <v>0</v>
      </c>
      <c r="E375" s="227"/>
      <c r="F375" s="227"/>
      <c r="G375" s="227"/>
      <c r="H375" s="227"/>
      <c r="I375" s="227"/>
      <c r="J375" s="227"/>
      <c r="K375" s="227"/>
      <c r="L375" s="227"/>
      <c r="M375" s="227"/>
      <c r="N375" s="227"/>
      <c r="O375" s="227"/>
      <c r="P375" s="227"/>
      <c r="Q375" s="227"/>
      <c r="R375" s="227"/>
      <c r="S375" s="227"/>
      <c r="T375" s="227"/>
      <c r="U375" s="227"/>
      <c r="V375" s="227"/>
      <c r="W375" s="227"/>
      <c r="X375" s="227"/>
      <c r="Y375" s="227"/>
      <c r="Z375" s="227"/>
      <c r="AA375" s="227"/>
      <c r="AB375" s="227"/>
      <c r="AC375" s="227"/>
      <c r="AD375" s="227"/>
      <c r="AE375" s="227"/>
      <c r="AF375" s="227"/>
      <c r="AG375" s="227"/>
      <c r="AH375" s="227"/>
      <c r="AI375" s="227"/>
      <c r="AJ375" s="227"/>
      <c r="AK375" s="227"/>
      <c r="AL375" s="227"/>
      <c r="AM375" s="227"/>
      <c r="AN375" s="227"/>
      <c r="AO375" s="227"/>
      <c r="AP375" s="227"/>
      <c r="AQ375" s="227"/>
      <c r="AR375" s="227"/>
      <c r="AS375" s="227"/>
      <c r="AT375" s="227"/>
      <c r="AU375" s="227"/>
      <c r="AV375" s="227"/>
      <c r="AW375" s="227"/>
      <c r="AX375" s="227"/>
      <c r="AY375" s="227"/>
      <c r="AZ375" s="227"/>
      <c r="BA375" s="227"/>
      <c r="BB375" s="227"/>
      <c r="BC375" s="227"/>
      <c r="BD375" s="227"/>
      <c r="BE375" s="227"/>
      <c r="BF375" s="227"/>
      <c r="BG375" s="227"/>
      <c r="BH375" s="227"/>
      <c r="BI375" s="227"/>
      <c r="BJ375" s="227"/>
      <c r="BK375" s="227"/>
      <c r="BL375" s="227"/>
      <c r="BM375" s="227"/>
      <c r="BN375" s="227"/>
      <c r="BO375" s="227"/>
      <c r="BP375" s="227"/>
      <c r="BQ375" s="227"/>
      <c r="BR375" s="227"/>
      <c r="BS375" s="227"/>
      <c r="BT375" s="227"/>
      <c r="BU375" s="227"/>
      <c r="BV375" s="227"/>
      <c r="BW375" s="227"/>
      <c r="BX375" s="227"/>
      <c r="BY375" s="227"/>
      <c r="BZ375" s="227"/>
      <c r="CA375" s="227"/>
      <c r="CB375" s="227"/>
      <c r="CC375" s="227"/>
      <c r="CD375" s="227"/>
      <c r="CE375" s="227"/>
      <c r="CF375" s="227"/>
      <c r="CG375" s="227"/>
      <c r="CH375" s="227"/>
      <c r="CI375" s="227"/>
      <c r="CJ375" s="227"/>
      <c r="CK375" s="227"/>
      <c r="CL375" s="227"/>
      <c r="CM375" s="227"/>
      <c r="CN375" s="227"/>
      <c r="CO375" s="227"/>
      <c r="CP375" s="227"/>
      <c r="CQ375" s="227"/>
      <c r="CR375" s="227"/>
      <c r="CS375" s="227"/>
      <c r="CT375" s="227"/>
      <c r="CU375" s="225"/>
      <c r="CV375" s="227"/>
    </row>
    <row r="376" spans="1:100" ht="20.100000000000001" customHeight="1">
      <c r="A376" s="223"/>
      <c r="B376" s="225"/>
      <c r="C376" s="227"/>
      <c r="D376" s="224"/>
      <c r="E376" s="223"/>
      <c r="F376" s="223"/>
      <c r="G376" s="223"/>
      <c r="H376" s="223"/>
      <c r="I376" s="223"/>
      <c r="J376" s="223"/>
      <c r="K376" s="223"/>
      <c r="L376" s="223"/>
      <c r="M376" s="223"/>
      <c r="N376" s="223"/>
      <c r="O376" s="223"/>
      <c r="P376" s="223"/>
      <c r="Q376" s="223"/>
      <c r="R376" s="223"/>
      <c r="S376" s="223"/>
      <c r="T376" s="223"/>
      <c r="U376" s="223"/>
      <c r="V376" s="223"/>
      <c r="W376" s="223"/>
      <c r="X376" s="223"/>
      <c r="Y376" s="223"/>
      <c r="Z376" s="223"/>
      <c r="AA376" s="223"/>
      <c r="AB376" s="223"/>
      <c r="AC376" s="223"/>
      <c r="AD376" s="223"/>
      <c r="AE376" s="223"/>
      <c r="AF376" s="223"/>
      <c r="AG376" s="223"/>
      <c r="AH376" s="223"/>
      <c r="AI376" s="223"/>
      <c r="AJ376" s="223"/>
      <c r="AK376" s="223"/>
      <c r="AL376" s="223"/>
      <c r="AM376" s="223"/>
      <c r="AN376" s="223"/>
      <c r="AO376" s="223"/>
      <c r="AP376" s="223"/>
      <c r="AQ376" s="223"/>
      <c r="AR376" s="223"/>
      <c r="AS376" s="223"/>
      <c r="AT376" s="223"/>
      <c r="AU376" s="223"/>
      <c r="AV376" s="223"/>
      <c r="AW376" s="223"/>
      <c r="AX376" s="223"/>
      <c r="AY376" s="223"/>
      <c r="AZ376" s="223"/>
      <c r="BA376" s="223"/>
      <c r="BB376" s="223"/>
      <c r="BC376" s="223"/>
      <c r="BD376" s="223"/>
      <c r="BE376" s="223"/>
      <c r="BF376" s="223"/>
      <c r="BG376" s="223"/>
      <c r="BH376" s="223"/>
      <c r="BI376" s="223"/>
      <c r="BJ376" s="223"/>
      <c r="BK376" s="223"/>
      <c r="BL376" s="223"/>
      <c r="BM376" s="223"/>
      <c r="BN376" s="223"/>
      <c r="BO376" s="223"/>
      <c r="BP376" s="223"/>
      <c r="BQ376" s="227"/>
      <c r="BR376" s="227"/>
      <c r="BS376" s="227"/>
      <c r="BT376" s="227"/>
      <c r="BU376" s="227"/>
      <c r="BV376" s="227"/>
      <c r="BW376" s="227"/>
      <c r="BX376" s="227"/>
      <c r="BY376" s="227"/>
      <c r="BZ376" s="227"/>
      <c r="CA376" s="227"/>
      <c r="CB376" s="227"/>
      <c r="CC376" s="227"/>
      <c r="CD376" s="227"/>
      <c r="CE376" s="227"/>
      <c r="CF376" s="227"/>
      <c r="CG376" s="227"/>
      <c r="CH376" s="227"/>
      <c r="CI376" s="227"/>
      <c r="CJ376" s="227"/>
      <c r="CK376" s="227"/>
      <c r="CL376" s="227"/>
      <c r="CM376" s="227"/>
      <c r="CN376" s="227"/>
      <c r="CO376" s="227"/>
      <c r="CP376" s="227"/>
      <c r="CQ376" s="227"/>
      <c r="CR376" s="227"/>
      <c r="CS376" s="227"/>
      <c r="CT376" s="227"/>
      <c r="CU376" s="225"/>
      <c r="CV376" s="227"/>
    </row>
    <row r="377" spans="1:100" ht="20.100000000000001" customHeight="1">
      <c r="A377" s="227">
        <v>185</v>
      </c>
      <c r="B377" s="225"/>
      <c r="C377" s="227"/>
      <c r="D377" s="228" cm="1">
        <f t="array" ref="D377">IFERROR(
(SUMPRODUCT(E377:CU377*$E$6:$CU$6)/100) + (SUMPRODUCT(E377:CU377*$E$6:$CU$6*$E$3:$CU$3)/100),
0
)</f>
        <v>0</v>
      </c>
      <c r="E377" s="227"/>
      <c r="F377" s="227"/>
      <c r="G377" s="227"/>
      <c r="H377" s="227"/>
      <c r="I377" s="227"/>
      <c r="J377" s="227"/>
      <c r="K377" s="227"/>
      <c r="L377" s="227"/>
      <c r="M377" s="227"/>
      <c r="N377" s="227"/>
      <c r="O377" s="227"/>
      <c r="P377" s="227"/>
      <c r="Q377" s="227"/>
      <c r="R377" s="227"/>
      <c r="S377" s="227"/>
      <c r="T377" s="227"/>
      <c r="U377" s="227"/>
      <c r="V377" s="227"/>
      <c r="W377" s="227"/>
      <c r="X377" s="227"/>
      <c r="Y377" s="227"/>
      <c r="Z377" s="227"/>
      <c r="AA377" s="227"/>
      <c r="AB377" s="227"/>
      <c r="AC377" s="227"/>
      <c r="AD377" s="227"/>
      <c r="AE377" s="227"/>
      <c r="AF377" s="227"/>
      <c r="AG377" s="227"/>
      <c r="AH377" s="227"/>
      <c r="AI377" s="227"/>
      <c r="AJ377" s="227"/>
      <c r="AK377" s="227"/>
      <c r="AL377" s="227"/>
      <c r="AM377" s="227"/>
      <c r="AN377" s="227"/>
      <c r="AO377" s="227"/>
      <c r="AP377" s="227"/>
      <c r="AQ377" s="227"/>
      <c r="AR377" s="227"/>
      <c r="AS377" s="227"/>
      <c r="AT377" s="227"/>
      <c r="AU377" s="227"/>
      <c r="AV377" s="227"/>
      <c r="AW377" s="227"/>
      <c r="AX377" s="227"/>
      <c r="AY377" s="227"/>
      <c r="AZ377" s="227"/>
      <c r="BA377" s="227"/>
      <c r="BB377" s="227"/>
      <c r="BC377" s="227"/>
      <c r="BD377" s="227"/>
      <c r="BE377" s="227"/>
      <c r="BF377" s="227"/>
      <c r="BG377" s="227"/>
      <c r="BH377" s="227"/>
      <c r="BI377" s="227"/>
      <c r="BJ377" s="227"/>
      <c r="BK377" s="227"/>
      <c r="BL377" s="227"/>
      <c r="BM377" s="227"/>
      <c r="BN377" s="227"/>
      <c r="BO377" s="227"/>
      <c r="BP377" s="227"/>
      <c r="BQ377" s="227"/>
      <c r="BR377" s="227"/>
      <c r="BS377" s="227"/>
      <c r="BT377" s="227"/>
      <c r="BU377" s="227"/>
      <c r="BV377" s="227"/>
      <c r="BW377" s="227"/>
      <c r="BX377" s="227"/>
      <c r="BY377" s="227"/>
      <c r="BZ377" s="227"/>
      <c r="CA377" s="227"/>
      <c r="CB377" s="227"/>
      <c r="CC377" s="227"/>
      <c r="CD377" s="227"/>
      <c r="CE377" s="227"/>
      <c r="CF377" s="227"/>
      <c r="CG377" s="227"/>
      <c r="CH377" s="227"/>
      <c r="CI377" s="227"/>
      <c r="CJ377" s="227"/>
      <c r="CK377" s="227"/>
      <c r="CL377" s="227"/>
      <c r="CM377" s="227"/>
      <c r="CN377" s="227"/>
      <c r="CO377" s="227"/>
      <c r="CP377" s="227"/>
      <c r="CQ377" s="227"/>
      <c r="CR377" s="227"/>
      <c r="CS377" s="227"/>
      <c r="CT377" s="227"/>
      <c r="CU377" s="225"/>
      <c r="CV377" s="227"/>
    </row>
    <row r="378" spans="1:100" ht="20.100000000000001" customHeight="1">
      <c r="A378" s="227"/>
      <c r="B378" s="225"/>
      <c r="C378" s="227"/>
      <c r="D378" s="224"/>
      <c r="E378" s="223"/>
      <c r="F378" s="223"/>
      <c r="G378" s="223"/>
      <c r="H378" s="223"/>
      <c r="I378" s="223"/>
      <c r="J378" s="223"/>
      <c r="K378" s="223"/>
      <c r="L378" s="223"/>
      <c r="M378" s="223"/>
      <c r="N378" s="223"/>
      <c r="O378" s="223"/>
      <c r="P378" s="223"/>
      <c r="Q378" s="223"/>
      <c r="R378" s="223"/>
      <c r="S378" s="223"/>
      <c r="T378" s="223"/>
      <c r="U378" s="223"/>
      <c r="V378" s="223"/>
      <c r="W378" s="223"/>
      <c r="X378" s="223"/>
      <c r="Y378" s="223"/>
      <c r="Z378" s="223"/>
      <c r="AA378" s="223"/>
      <c r="AB378" s="223"/>
      <c r="AC378" s="223"/>
      <c r="AD378" s="223"/>
      <c r="AE378" s="223"/>
      <c r="AF378" s="223"/>
      <c r="AG378" s="223"/>
      <c r="AH378" s="223"/>
      <c r="AI378" s="223"/>
      <c r="AJ378" s="223"/>
      <c r="AK378" s="223"/>
      <c r="AL378" s="223"/>
      <c r="AM378" s="223"/>
      <c r="AN378" s="223"/>
      <c r="AO378" s="223"/>
      <c r="AP378" s="223"/>
      <c r="AQ378" s="223"/>
      <c r="AR378" s="223"/>
      <c r="AS378" s="223"/>
      <c r="AT378" s="223"/>
      <c r="AU378" s="223"/>
      <c r="AV378" s="223"/>
      <c r="AW378" s="223"/>
      <c r="AX378" s="223"/>
      <c r="AY378" s="223"/>
      <c r="AZ378" s="223"/>
      <c r="BA378" s="223"/>
      <c r="BB378" s="223"/>
      <c r="BC378" s="223"/>
      <c r="BD378" s="223"/>
      <c r="BE378" s="223"/>
      <c r="BF378" s="223"/>
      <c r="BG378" s="223"/>
      <c r="BH378" s="223"/>
      <c r="BI378" s="223"/>
      <c r="BJ378" s="223"/>
      <c r="BK378" s="223"/>
      <c r="BL378" s="223"/>
      <c r="BM378" s="223"/>
      <c r="BN378" s="223"/>
      <c r="BO378" s="223"/>
      <c r="BP378" s="223"/>
      <c r="BQ378" s="227"/>
      <c r="BR378" s="227"/>
      <c r="BS378" s="227"/>
      <c r="BT378" s="227"/>
      <c r="BU378" s="227"/>
      <c r="BV378" s="227"/>
      <c r="BW378" s="227"/>
      <c r="BX378" s="227"/>
      <c r="BY378" s="227"/>
      <c r="BZ378" s="227"/>
      <c r="CA378" s="227"/>
      <c r="CB378" s="227"/>
      <c r="CC378" s="227"/>
      <c r="CD378" s="227"/>
      <c r="CE378" s="227"/>
      <c r="CF378" s="227"/>
      <c r="CG378" s="227"/>
      <c r="CH378" s="227"/>
      <c r="CI378" s="227"/>
      <c r="CJ378" s="227"/>
      <c r="CK378" s="227"/>
      <c r="CL378" s="227"/>
      <c r="CM378" s="227"/>
      <c r="CN378" s="227"/>
      <c r="CO378" s="227"/>
      <c r="CP378" s="227"/>
      <c r="CQ378" s="227"/>
      <c r="CR378" s="227"/>
      <c r="CS378" s="227"/>
      <c r="CT378" s="227"/>
      <c r="CU378" s="225"/>
      <c r="CV378" s="227"/>
    </row>
    <row r="379" spans="1:100" ht="20.100000000000001" customHeight="1">
      <c r="A379" s="227">
        <v>186</v>
      </c>
      <c r="B379" s="225"/>
      <c r="C379" s="227"/>
      <c r="D379" s="228" cm="1">
        <f t="array" ref="D379">IFERROR(
(SUMPRODUCT(E379:CU379*$E$6:$CU$6)/100) + (SUMPRODUCT(E379:CU379*$E$6:$CU$6*$E$3:$CU$3)/100),
0
)</f>
        <v>0</v>
      </c>
      <c r="E379" s="227"/>
      <c r="F379" s="227"/>
      <c r="G379" s="227"/>
      <c r="H379" s="227"/>
      <c r="I379" s="227"/>
      <c r="J379" s="227"/>
      <c r="K379" s="227"/>
      <c r="L379" s="227"/>
      <c r="M379" s="227"/>
      <c r="N379" s="227"/>
      <c r="O379" s="227"/>
      <c r="P379" s="227"/>
      <c r="Q379" s="227"/>
      <c r="R379" s="227"/>
      <c r="S379" s="227"/>
      <c r="T379" s="227"/>
      <c r="U379" s="227"/>
      <c r="V379" s="227"/>
      <c r="W379" s="227"/>
      <c r="X379" s="227"/>
      <c r="Y379" s="227"/>
      <c r="Z379" s="227"/>
      <c r="AA379" s="227"/>
      <c r="AB379" s="227"/>
      <c r="AC379" s="227"/>
      <c r="AD379" s="227"/>
      <c r="AE379" s="227"/>
      <c r="AF379" s="227"/>
      <c r="AG379" s="227"/>
      <c r="AH379" s="227"/>
      <c r="AI379" s="227"/>
      <c r="AJ379" s="227"/>
      <c r="AK379" s="227"/>
      <c r="AL379" s="227"/>
      <c r="AM379" s="227"/>
      <c r="AN379" s="227"/>
      <c r="AO379" s="227"/>
      <c r="AP379" s="227"/>
      <c r="AQ379" s="227"/>
      <c r="AR379" s="227"/>
      <c r="AS379" s="227"/>
      <c r="AT379" s="227"/>
      <c r="AU379" s="227"/>
      <c r="AV379" s="227"/>
      <c r="AW379" s="227"/>
      <c r="AX379" s="227"/>
      <c r="AY379" s="227"/>
      <c r="AZ379" s="227"/>
      <c r="BA379" s="227"/>
      <c r="BB379" s="227"/>
      <c r="BC379" s="227"/>
      <c r="BD379" s="227"/>
      <c r="BE379" s="227"/>
      <c r="BF379" s="227"/>
      <c r="BG379" s="227"/>
      <c r="BH379" s="227"/>
      <c r="BI379" s="227"/>
      <c r="BJ379" s="227"/>
      <c r="BK379" s="227"/>
      <c r="BL379" s="227"/>
      <c r="BM379" s="227"/>
      <c r="BN379" s="227"/>
      <c r="BO379" s="227"/>
      <c r="BP379" s="227"/>
      <c r="BQ379" s="227"/>
      <c r="BR379" s="227"/>
      <c r="BS379" s="227"/>
      <c r="BT379" s="227"/>
      <c r="BU379" s="227"/>
      <c r="BV379" s="227"/>
      <c r="BW379" s="227"/>
      <c r="BX379" s="227"/>
      <c r="BY379" s="227"/>
      <c r="BZ379" s="227"/>
      <c r="CA379" s="227"/>
      <c r="CB379" s="227"/>
      <c r="CC379" s="227"/>
      <c r="CD379" s="227"/>
      <c r="CE379" s="227"/>
      <c r="CF379" s="227"/>
      <c r="CG379" s="227"/>
      <c r="CH379" s="227"/>
      <c r="CI379" s="227"/>
      <c r="CJ379" s="227"/>
      <c r="CK379" s="227"/>
      <c r="CL379" s="227"/>
      <c r="CM379" s="227"/>
      <c r="CN379" s="227"/>
      <c r="CO379" s="227"/>
      <c r="CP379" s="227"/>
      <c r="CQ379" s="227"/>
      <c r="CR379" s="227"/>
      <c r="CS379" s="227"/>
      <c r="CT379" s="227"/>
      <c r="CU379" s="225"/>
      <c r="CV379" s="227"/>
    </row>
    <row r="380" spans="1:100" ht="20.100000000000001" customHeight="1">
      <c r="A380" s="223"/>
      <c r="B380" s="225"/>
      <c r="C380" s="227"/>
      <c r="D380" s="224"/>
      <c r="E380" s="223"/>
      <c r="F380" s="223"/>
      <c r="G380" s="223"/>
      <c r="H380" s="223"/>
      <c r="I380" s="223"/>
      <c r="J380" s="223"/>
      <c r="K380" s="223"/>
      <c r="L380" s="223"/>
      <c r="M380" s="223"/>
      <c r="N380" s="223"/>
      <c r="O380" s="223"/>
      <c r="P380" s="223"/>
      <c r="Q380" s="223"/>
      <c r="R380" s="223"/>
      <c r="S380" s="223"/>
      <c r="T380" s="223"/>
      <c r="U380" s="223"/>
      <c r="V380" s="223"/>
      <c r="W380" s="223"/>
      <c r="X380" s="223"/>
      <c r="Y380" s="223"/>
      <c r="Z380" s="223"/>
      <c r="AA380" s="223"/>
      <c r="AB380" s="223"/>
      <c r="AC380" s="223"/>
      <c r="AD380" s="223"/>
      <c r="AE380" s="223"/>
      <c r="AF380" s="223"/>
      <c r="AG380" s="223"/>
      <c r="AH380" s="223"/>
      <c r="AI380" s="223"/>
      <c r="AJ380" s="223"/>
      <c r="AK380" s="223"/>
      <c r="AL380" s="223"/>
      <c r="AM380" s="223"/>
      <c r="AN380" s="223"/>
      <c r="AO380" s="223"/>
      <c r="AP380" s="223"/>
      <c r="AQ380" s="223"/>
      <c r="AR380" s="223"/>
      <c r="AS380" s="223"/>
      <c r="AT380" s="223"/>
      <c r="AU380" s="223"/>
      <c r="AV380" s="223"/>
      <c r="AW380" s="223"/>
      <c r="AX380" s="223"/>
      <c r="AY380" s="223"/>
      <c r="AZ380" s="223"/>
      <c r="BA380" s="223"/>
      <c r="BB380" s="223"/>
      <c r="BC380" s="223"/>
      <c r="BD380" s="223"/>
      <c r="BE380" s="223"/>
      <c r="BF380" s="223"/>
      <c r="BG380" s="223"/>
      <c r="BH380" s="223"/>
      <c r="BI380" s="223"/>
      <c r="BJ380" s="223"/>
      <c r="BK380" s="223"/>
      <c r="BL380" s="223"/>
      <c r="BM380" s="223"/>
      <c r="BN380" s="223"/>
      <c r="BO380" s="223"/>
      <c r="BP380" s="223"/>
      <c r="BQ380" s="227"/>
      <c r="BR380" s="227"/>
      <c r="BS380" s="227"/>
      <c r="BT380" s="227"/>
      <c r="BU380" s="227"/>
      <c r="BV380" s="227"/>
      <c r="BW380" s="227"/>
      <c r="BX380" s="227"/>
      <c r="BY380" s="227"/>
      <c r="BZ380" s="227"/>
      <c r="CA380" s="227"/>
      <c r="CB380" s="227"/>
      <c r="CC380" s="227"/>
      <c r="CD380" s="227"/>
      <c r="CE380" s="227"/>
      <c r="CF380" s="227"/>
      <c r="CG380" s="227"/>
      <c r="CH380" s="227"/>
      <c r="CI380" s="227"/>
      <c r="CJ380" s="227"/>
      <c r="CK380" s="227"/>
      <c r="CL380" s="227"/>
      <c r="CM380" s="227"/>
      <c r="CN380" s="227"/>
      <c r="CO380" s="227"/>
      <c r="CP380" s="227"/>
      <c r="CQ380" s="227"/>
      <c r="CR380" s="227"/>
      <c r="CS380" s="227"/>
      <c r="CT380" s="227"/>
      <c r="CU380" s="225"/>
      <c r="CV380" s="227"/>
    </row>
    <row r="381" spans="1:100" ht="20.100000000000001" customHeight="1">
      <c r="A381" s="227">
        <v>187</v>
      </c>
      <c r="B381" s="225"/>
      <c r="C381" s="227"/>
      <c r="D381" s="228" cm="1">
        <f t="array" ref="D381">IFERROR(
(SUMPRODUCT(E381:CU381*$E$6:$CU$6)/100) + (SUMPRODUCT(E381:CU381*$E$6:$CU$6*$E$3:$CU$3)/100),
0
)</f>
        <v>0</v>
      </c>
      <c r="E381" s="227"/>
      <c r="F381" s="227"/>
      <c r="G381" s="227"/>
      <c r="H381" s="227"/>
      <c r="I381" s="227"/>
      <c r="J381" s="227"/>
      <c r="K381" s="227"/>
      <c r="L381" s="227"/>
      <c r="M381" s="227"/>
      <c r="N381" s="227"/>
      <c r="O381" s="227"/>
      <c r="P381" s="227"/>
      <c r="Q381" s="227"/>
      <c r="R381" s="227"/>
      <c r="S381" s="227"/>
      <c r="T381" s="227"/>
      <c r="U381" s="227"/>
      <c r="V381" s="227"/>
      <c r="W381" s="227"/>
      <c r="X381" s="227"/>
      <c r="Y381" s="227"/>
      <c r="Z381" s="227"/>
      <c r="AA381" s="227"/>
      <c r="AB381" s="227"/>
      <c r="AC381" s="227"/>
      <c r="AD381" s="227"/>
      <c r="AE381" s="227"/>
      <c r="AF381" s="227"/>
      <c r="AG381" s="227"/>
      <c r="AH381" s="227"/>
      <c r="AI381" s="227"/>
      <c r="AJ381" s="227"/>
      <c r="AK381" s="227"/>
      <c r="AL381" s="227"/>
      <c r="AM381" s="227"/>
      <c r="AN381" s="227"/>
      <c r="AO381" s="227"/>
      <c r="AP381" s="227"/>
      <c r="AQ381" s="227"/>
      <c r="AR381" s="227"/>
      <c r="AS381" s="227"/>
      <c r="AT381" s="227"/>
      <c r="AU381" s="227"/>
      <c r="AV381" s="227"/>
      <c r="AW381" s="227"/>
      <c r="AX381" s="227"/>
      <c r="AY381" s="227"/>
      <c r="AZ381" s="227"/>
      <c r="BA381" s="227"/>
      <c r="BB381" s="227"/>
      <c r="BC381" s="227"/>
      <c r="BD381" s="227"/>
      <c r="BE381" s="227"/>
      <c r="BF381" s="227"/>
      <c r="BG381" s="227"/>
      <c r="BH381" s="227"/>
      <c r="BI381" s="227"/>
      <c r="BJ381" s="227"/>
      <c r="BK381" s="227"/>
      <c r="BL381" s="227"/>
      <c r="BM381" s="227"/>
      <c r="BN381" s="227"/>
      <c r="BO381" s="227"/>
      <c r="BP381" s="227"/>
      <c r="BQ381" s="227"/>
      <c r="BR381" s="227"/>
      <c r="BS381" s="227"/>
      <c r="BT381" s="227"/>
      <c r="BU381" s="227"/>
      <c r="BV381" s="227"/>
      <c r="BW381" s="227"/>
      <c r="BX381" s="227"/>
      <c r="BY381" s="227"/>
      <c r="BZ381" s="227"/>
      <c r="CA381" s="227"/>
      <c r="CB381" s="227"/>
      <c r="CC381" s="227"/>
      <c r="CD381" s="227"/>
      <c r="CE381" s="227"/>
      <c r="CF381" s="227"/>
      <c r="CG381" s="227"/>
      <c r="CH381" s="227"/>
      <c r="CI381" s="227"/>
      <c r="CJ381" s="227"/>
      <c r="CK381" s="227"/>
      <c r="CL381" s="227"/>
      <c r="CM381" s="227"/>
      <c r="CN381" s="227"/>
      <c r="CO381" s="227"/>
      <c r="CP381" s="227"/>
      <c r="CQ381" s="227"/>
      <c r="CR381" s="227"/>
      <c r="CS381" s="227"/>
      <c r="CT381" s="227"/>
      <c r="CU381" s="225"/>
      <c r="CV381" s="227"/>
    </row>
    <row r="382" spans="1:100" ht="20.100000000000001" customHeight="1">
      <c r="A382" s="227"/>
      <c r="B382" s="225"/>
      <c r="C382" s="227"/>
      <c r="D382" s="224"/>
      <c r="E382" s="223"/>
      <c r="F382" s="223"/>
      <c r="G382" s="223"/>
      <c r="H382" s="223"/>
      <c r="I382" s="223"/>
      <c r="J382" s="223"/>
      <c r="K382" s="223"/>
      <c r="L382" s="223"/>
      <c r="M382" s="223"/>
      <c r="N382" s="223"/>
      <c r="O382" s="223"/>
      <c r="P382" s="223"/>
      <c r="Q382" s="223"/>
      <c r="R382" s="223"/>
      <c r="S382" s="223"/>
      <c r="T382" s="223"/>
      <c r="U382" s="223"/>
      <c r="V382" s="223"/>
      <c r="W382" s="223"/>
      <c r="X382" s="223"/>
      <c r="Y382" s="223"/>
      <c r="Z382" s="223"/>
      <c r="AA382" s="223"/>
      <c r="AB382" s="223"/>
      <c r="AC382" s="223"/>
      <c r="AD382" s="223"/>
      <c r="AE382" s="223"/>
      <c r="AF382" s="223"/>
      <c r="AG382" s="223"/>
      <c r="AH382" s="223"/>
      <c r="AI382" s="223"/>
      <c r="AJ382" s="223"/>
      <c r="AK382" s="223"/>
      <c r="AL382" s="223"/>
      <c r="AM382" s="223"/>
      <c r="AN382" s="223"/>
      <c r="AO382" s="223"/>
      <c r="AP382" s="223"/>
      <c r="AQ382" s="223"/>
      <c r="AR382" s="223"/>
      <c r="AS382" s="223"/>
      <c r="AT382" s="223"/>
      <c r="AU382" s="223"/>
      <c r="AV382" s="223"/>
      <c r="AW382" s="223"/>
      <c r="AX382" s="223"/>
      <c r="AY382" s="223"/>
      <c r="AZ382" s="223"/>
      <c r="BA382" s="223"/>
      <c r="BB382" s="223"/>
      <c r="BC382" s="223"/>
      <c r="BD382" s="223"/>
      <c r="BE382" s="223"/>
      <c r="BF382" s="223"/>
      <c r="BG382" s="223"/>
      <c r="BH382" s="223"/>
      <c r="BI382" s="223"/>
      <c r="BJ382" s="223"/>
      <c r="BK382" s="223"/>
      <c r="BL382" s="223"/>
      <c r="BM382" s="223"/>
      <c r="BN382" s="223"/>
      <c r="BO382" s="223"/>
      <c r="BP382" s="223"/>
      <c r="BQ382" s="227"/>
      <c r="BR382" s="227"/>
      <c r="BS382" s="227"/>
      <c r="BT382" s="227"/>
      <c r="BU382" s="227"/>
      <c r="BV382" s="227"/>
      <c r="BW382" s="227"/>
      <c r="BX382" s="227"/>
      <c r="BY382" s="227"/>
      <c r="BZ382" s="227"/>
      <c r="CA382" s="227"/>
      <c r="CB382" s="227"/>
      <c r="CC382" s="227"/>
      <c r="CD382" s="227"/>
      <c r="CE382" s="227"/>
      <c r="CF382" s="227"/>
      <c r="CG382" s="227"/>
      <c r="CH382" s="227"/>
      <c r="CI382" s="227"/>
      <c r="CJ382" s="227"/>
      <c r="CK382" s="227"/>
      <c r="CL382" s="227"/>
      <c r="CM382" s="227"/>
      <c r="CN382" s="227"/>
      <c r="CO382" s="227"/>
      <c r="CP382" s="227"/>
      <c r="CQ382" s="227"/>
      <c r="CR382" s="227"/>
      <c r="CS382" s="227"/>
      <c r="CT382" s="227"/>
      <c r="CU382" s="225"/>
      <c r="CV382" s="227"/>
    </row>
    <row r="383" spans="1:100" ht="20.100000000000001" customHeight="1">
      <c r="A383" s="227">
        <v>188</v>
      </c>
      <c r="B383" s="225"/>
      <c r="C383" s="227"/>
      <c r="D383" s="228" cm="1">
        <f t="array" ref="D383">IFERROR(
(SUMPRODUCT(E383:CU383*$E$6:$CU$6)/100) + (SUMPRODUCT(E383:CU383*$E$6:$CU$6*$E$3:$CU$3)/100),
0
)</f>
        <v>0</v>
      </c>
      <c r="E383" s="227"/>
      <c r="F383" s="227"/>
      <c r="G383" s="227"/>
      <c r="H383" s="227"/>
      <c r="I383" s="227"/>
      <c r="J383" s="227"/>
      <c r="K383" s="227"/>
      <c r="L383" s="227"/>
      <c r="M383" s="227"/>
      <c r="N383" s="227"/>
      <c r="O383" s="227"/>
      <c r="P383" s="227"/>
      <c r="Q383" s="227"/>
      <c r="R383" s="227"/>
      <c r="S383" s="227"/>
      <c r="T383" s="227"/>
      <c r="U383" s="227"/>
      <c r="V383" s="227"/>
      <c r="W383" s="227"/>
      <c r="X383" s="227"/>
      <c r="Y383" s="227"/>
      <c r="Z383" s="227"/>
      <c r="AA383" s="227"/>
      <c r="AB383" s="227"/>
      <c r="AC383" s="227"/>
      <c r="AD383" s="227"/>
      <c r="AE383" s="227"/>
      <c r="AF383" s="227"/>
      <c r="AG383" s="227"/>
      <c r="AH383" s="227"/>
      <c r="AI383" s="227"/>
      <c r="AJ383" s="227"/>
      <c r="AK383" s="227"/>
      <c r="AL383" s="227"/>
      <c r="AM383" s="227"/>
      <c r="AN383" s="227"/>
      <c r="AO383" s="227"/>
      <c r="AP383" s="227"/>
      <c r="AQ383" s="227"/>
      <c r="AR383" s="227"/>
      <c r="AS383" s="227"/>
      <c r="AT383" s="227"/>
      <c r="AU383" s="227"/>
      <c r="AV383" s="227"/>
      <c r="AW383" s="227"/>
      <c r="AX383" s="227"/>
      <c r="AY383" s="227"/>
      <c r="AZ383" s="227"/>
      <c r="BA383" s="227"/>
      <c r="BB383" s="227"/>
      <c r="BC383" s="227"/>
      <c r="BD383" s="227"/>
      <c r="BE383" s="227"/>
      <c r="BF383" s="227"/>
      <c r="BG383" s="227"/>
      <c r="BH383" s="227"/>
      <c r="BI383" s="227"/>
      <c r="BJ383" s="227"/>
      <c r="BK383" s="227"/>
      <c r="BL383" s="227"/>
      <c r="BM383" s="227"/>
      <c r="BN383" s="227"/>
      <c r="BO383" s="227"/>
      <c r="BP383" s="227"/>
      <c r="BQ383" s="227"/>
      <c r="BR383" s="227"/>
      <c r="BS383" s="227"/>
      <c r="BT383" s="227"/>
      <c r="BU383" s="227"/>
      <c r="BV383" s="227"/>
      <c r="BW383" s="227"/>
      <c r="BX383" s="227"/>
      <c r="BY383" s="227"/>
      <c r="BZ383" s="227"/>
      <c r="CA383" s="227"/>
      <c r="CB383" s="227"/>
      <c r="CC383" s="227"/>
      <c r="CD383" s="227"/>
      <c r="CE383" s="227"/>
      <c r="CF383" s="227"/>
      <c r="CG383" s="227"/>
      <c r="CH383" s="227"/>
      <c r="CI383" s="227"/>
      <c r="CJ383" s="227"/>
      <c r="CK383" s="227"/>
      <c r="CL383" s="227"/>
      <c r="CM383" s="227"/>
      <c r="CN383" s="227"/>
      <c r="CO383" s="227"/>
      <c r="CP383" s="227"/>
      <c r="CQ383" s="227"/>
      <c r="CR383" s="227"/>
      <c r="CS383" s="227"/>
      <c r="CT383" s="227"/>
      <c r="CU383" s="225"/>
      <c r="CV383" s="227"/>
    </row>
    <row r="384" spans="1:100" ht="20.100000000000001" customHeight="1">
      <c r="A384" s="223"/>
      <c r="B384" s="225"/>
      <c r="C384" s="227"/>
      <c r="D384" s="224"/>
      <c r="E384" s="223"/>
      <c r="F384" s="223"/>
      <c r="G384" s="223"/>
      <c r="H384" s="223"/>
      <c r="I384" s="223"/>
      <c r="J384" s="223"/>
      <c r="K384" s="223"/>
      <c r="L384" s="223"/>
      <c r="M384" s="223"/>
      <c r="N384" s="223"/>
      <c r="O384" s="223"/>
      <c r="P384" s="223"/>
      <c r="Q384" s="223"/>
      <c r="R384" s="223"/>
      <c r="S384" s="223"/>
      <c r="T384" s="223"/>
      <c r="U384" s="223"/>
      <c r="V384" s="223"/>
      <c r="W384" s="223"/>
      <c r="X384" s="223"/>
      <c r="Y384" s="223"/>
      <c r="Z384" s="223"/>
      <c r="AA384" s="223"/>
      <c r="AB384" s="223"/>
      <c r="AC384" s="223"/>
      <c r="AD384" s="223"/>
      <c r="AE384" s="223"/>
      <c r="AF384" s="223"/>
      <c r="AG384" s="223"/>
      <c r="AH384" s="223"/>
      <c r="AI384" s="223"/>
      <c r="AJ384" s="223"/>
      <c r="AK384" s="223"/>
      <c r="AL384" s="223"/>
      <c r="AM384" s="223"/>
      <c r="AN384" s="223"/>
      <c r="AO384" s="223"/>
      <c r="AP384" s="223"/>
      <c r="AQ384" s="223"/>
      <c r="AR384" s="223"/>
      <c r="AS384" s="223"/>
      <c r="AT384" s="223"/>
      <c r="AU384" s="223"/>
      <c r="AV384" s="223"/>
      <c r="AW384" s="223"/>
      <c r="AX384" s="223"/>
      <c r="AY384" s="223"/>
      <c r="AZ384" s="223"/>
      <c r="BA384" s="223"/>
      <c r="BB384" s="223"/>
      <c r="BC384" s="223"/>
      <c r="BD384" s="223"/>
      <c r="BE384" s="223"/>
      <c r="BF384" s="223"/>
      <c r="BG384" s="223"/>
      <c r="BH384" s="223"/>
      <c r="BI384" s="223"/>
      <c r="BJ384" s="223"/>
      <c r="BK384" s="223"/>
      <c r="BL384" s="223"/>
      <c r="BM384" s="223"/>
      <c r="BN384" s="223"/>
      <c r="BO384" s="223"/>
      <c r="BP384" s="223"/>
      <c r="BQ384" s="227"/>
      <c r="BR384" s="227"/>
      <c r="BS384" s="227"/>
      <c r="BT384" s="227"/>
      <c r="BU384" s="227"/>
      <c r="BV384" s="227"/>
      <c r="BW384" s="227"/>
      <c r="BX384" s="227"/>
      <c r="BY384" s="227"/>
      <c r="BZ384" s="227"/>
      <c r="CA384" s="227"/>
      <c r="CB384" s="227"/>
      <c r="CC384" s="227"/>
      <c r="CD384" s="227"/>
      <c r="CE384" s="227"/>
      <c r="CF384" s="227"/>
      <c r="CG384" s="227"/>
      <c r="CH384" s="227"/>
      <c r="CI384" s="227"/>
      <c r="CJ384" s="227"/>
      <c r="CK384" s="227"/>
      <c r="CL384" s="227"/>
      <c r="CM384" s="227"/>
      <c r="CN384" s="227"/>
      <c r="CO384" s="227"/>
      <c r="CP384" s="227"/>
      <c r="CQ384" s="227"/>
      <c r="CR384" s="227"/>
      <c r="CS384" s="227"/>
      <c r="CT384" s="227"/>
      <c r="CU384" s="225"/>
      <c r="CV384" s="227"/>
    </row>
    <row r="385" spans="1:100" ht="20.100000000000001" customHeight="1">
      <c r="A385" s="227">
        <v>189</v>
      </c>
      <c r="B385" s="225"/>
      <c r="C385" s="227"/>
      <c r="D385" s="228" cm="1">
        <f t="array" ref="D385">IFERROR(
(SUMPRODUCT(E385:CU385*$E$6:$CU$6)/100) + (SUMPRODUCT(E385:CU385*$E$6:$CU$6*$E$3:$CU$3)/100),
0
)</f>
        <v>0</v>
      </c>
      <c r="E385" s="227"/>
      <c r="F385" s="227"/>
      <c r="G385" s="227"/>
      <c r="H385" s="227"/>
      <c r="I385" s="227"/>
      <c r="J385" s="227"/>
      <c r="K385" s="227"/>
      <c r="L385" s="227"/>
      <c r="M385" s="227"/>
      <c r="N385" s="227"/>
      <c r="O385" s="227"/>
      <c r="P385" s="227"/>
      <c r="Q385" s="227"/>
      <c r="R385" s="227"/>
      <c r="S385" s="227"/>
      <c r="T385" s="227"/>
      <c r="U385" s="227"/>
      <c r="V385" s="227"/>
      <c r="W385" s="227"/>
      <c r="X385" s="227"/>
      <c r="Y385" s="227"/>
      <c r="Z385" s="227"/>
      <c r="AA385" s="227"/>
      <c r="AB385" s="227"/>
      <c r="AC385" s="227"/>
      <c r="AD385" s="227"/>
      <c r="AE385" s="227"/>
      <c r="AF385" s="227"/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27"/>
      <c r="BC385" s="227"/>
      <c r="BD385" s="227"/>
      <c r="BE385" s="227"/>
      <c r="BF385" s="227"/>
      <c r="BG385" s="227"/>
      <c r="BH385" s="227"/>
      <c r="BI385" s="227"/>
      <c r="BJ385" s="227"/>
      <c r="BK385" s="227"/>
      <c r="BL385" s="227"/>
      <c r="BM385" s="227"/>
      <c r="BN385" s="227"/>
      <c r="BO385" s="227"/>
      <c r="BP385" s="227"/>
      <c r="BQ385" s="227"/>
      <c r="BR385" s="227"/>
      <c r="BS385" s="227"/>
      <c r="BT385" s="227"/>
      <c r="BU385" s="227"/>
      <c r="BV385" s="227"/>
      <c r="BW385" s="227"/>
      <c r="BX385" s="227"/>
      <c r="BY385" s="227"/>
      <c r="BZ385" s="227"/>
      <c r="CA385" s="227"/>
      <c r="CB385" s="227"/>
      <c r="CC385" s="227"/>
      <c r="CD385" s="227"/>
      <c r="CE385" s="227"/>
      <c r="CF385" s="227"/>
      <c r="CG385" s="227"/>
      <c r="CH385" s="227"/>
      <c r="CI385" s="227"/>
      <c r="CJ385" s="227"/>
      <c r="CK385" s="227"/>
      <c r="CL385" s="227"/>
      <c r="CM385" s="227"/>
      <c r="CN385" s="227"/>
      <c r="CO385" s="227"/>
      <c r="CP385" s="227"/>
      <c r="CQ385" s="227"/>
      <c r="CR385" s="227"/>
      <c r="CS385" s="227"/>
      <c r="CT385" s="227"/>
      <c r="CU385" s="225"/>
      <c r="CV385" s="227"/>
    </row>
    <row r="386" spans="1:100" ht="20.100000000000001" customHeight="1">
      <c r="A386" s="227"/>
      <c r="B386" s="225"/>
      <c r="C386" s="227"/>
      <c r="D386" s="224"/>
      <c r="E386" s="223"/>
      <c r="F386" s="223"/>
      <c r="G386" s="223"/>
      <c r="H386" s="223"/>
      <c r="I386" s="223"/>
      <c r="J386" s="223"/>
      <c r="K386" s="223"/>
      <c r="L386" s="223"/>
      <c r="M386" s="223"/>
      <c r="N386" s="223"/>
      <c r="O386" s="223"/>
      <c r="P386" s="223"/>
      <c r="Q386" s="223"/>
      <c r="R386" s="223"/>
      <c r="S386" s="223"/>
      <c r="T386" s="223"/>
      <c r="U386" s="223"/>
      <c r="V386" s="223"/>
      <c r="W386" s="223"/>
      <c r="X386" s="223"/>
      <c r="Y386" s="223"/>
      <c r="Z386" s="223"/>
      <c r="AA386" s="223"/>
      <c r="AB386" s="223"/>
      <c r="AC386" s="223"/>
      <c r="AD386" s="223"/>
      <c r="AE386" s="223"/>
      <c r="AF386" s="223"/>
      <c r="AG386" s="223"/>
      <c r="AH386" s="223"/>
      <c r="AI386" s="223"/>
      <c r="AJ386" s="223"/>
      <c r="AK386" s="223"/>
      <c r="AL386" s="223"/>
      <c r="AM386" s="223"/>
      <c r="AN386" s="223"/>
      <c r="AO386" s="223"/>
      <c r="AP386" s="223"/>
      <c r="AQ386" s="223"/>
      <c r="AR386" s="223"/>
      <c r="AS386" s="223"/>
      <c r="AT386" s="223"/>
      <c r="AU386" s="223"/>
      <c r="AV386" s="223"/>
      <c r="AW386" s="223"/>
      <c r="AX386" s="223"/>
      <c r="AY386" s="223"/>
      <c r="AZ386" s="223"/>
      <c r="BA386" s="223"/>
      <c r="BB386" s="223"/>
      <c r="BC386" s="223"/>
      <c r="BD386" s="223"/>
      <c r="BE386" s="223"/>
      <c r="BF386" s="223"/>
      <c r="BG386" s="223"/>
      <c r="BH386" s="223"/>
      <c r="BI386" s="223"/>
      <c r="BJ386" s="223"/>
      <c r="BK386" s="223"/>
      <c r="BL386" s="223"/>
      <c r="BM386" s="223"/>
      <c r="BN386" s="223"/>
      <c r="BO386" s="223"/>
      <c r="BP386" s="223"/>
      <c r="BQ386" s="227"/>
      <c r="BR386" s="227"/>
      <c r="BS386" s="227"/>
      <c r="BT386" s="227"/>
      <c r="BU386" s="227"/>
      <c r="BV386" s="227"/>
      <c r="BW386" s="227"/>
      <c r="BX386" s="227"/>
      <c r="BY386" s="227"/>
      <c r="BZ386" s="227"/>
      <c r="CA386" s="227"/>
      <c r="CB386" s="227"/>
      <c r="CC386" s="227"/>
      <c r="CD386" s="227"/>
      <c r="CE386" s="227"/>
      <c r="CF386" s="227"/>
      <c r="CG386" s="227"/>
      <c r="CH386" s="227"/>
      <c r="CI386" s="227"/>
      <c r="CJ386" s="227"/>
      <c r="CK386" s="227"/>
      <c r="CL386" s="227"/>
      <c r="CM386" s="227"/>
      <c r="CN386" s="227"/>
      <c r="CO386" s="227"/>
      <c r="CP386" s="227"/>
      <c r="CQ386" s="227"/>
      <c r="CR386" s="227"/>
      <c r="CS386" s="227"/>
      <c r="CT386" s="227"/>
      <c r="CU386" s="225"/>
      <c r="CV386" s="227"/>
    </row>
    <row r="387" spans="1:100" ht="20.100000000000001" customHeight="1">
      <c r="A387" s="227">
        <v>190</v>
      </c>
      <c r="B387" s="225"/>
      <c r="C387" s="227"/>
      <c r="D387" s="228" cm="1">
        <f t="array" ref="D387">IFERROR(
(SUMPRODUCT(E387:CU387*$E$6:$CU$6)/100) + (SUMPRODUCT(E387:CU387*$E$6:$CU$6*$E$3:$CU$3)/100),
0
)</f>
        <v>0</v>
      </c>
      <c r="E387" s="227"/>
      <c r="F387" s="227"/>
      <c r="G387" s="227"/>
      <c r="H387" s="227"/>
      <c r="I387" s="227"/>
      <c r="J387" s="227"/>
      <c r="K387" s="227"/>
      <c r="L387" s="227"/>
      <c r="M387" s="227"/>
      <c r="N387" s="227"/>
      <c r="O387" s="227"/>
      <c r="P387" s="227"/>
      <c r="Q387" s="227"/>
      <c r="R387" s="227"/>
      <c r="S387" s="227"/>
      <c r="T387" s="227"/>
      <c r="U387" s="227"/>
      <c r="V387" s="227"/>
      <c r="W387" s="227"/>
      <c r="X387" s="227"/>
      <c r="Y387" s="227"/>
      <c r="Z387" s="227"/>
      <c r="AA387" s="227"/>
      <c r="AB387" s="227"/>
      <c r="AC387" s="227"/>
      <c r="AD387" s="227"/>
      <c r="AE387" s="227"/>
      <c r="AF387" s="227"/>
      <c r="AG387" s="227"/>
      <c r="AH387" s="227"/>
      <c r="AI387" s="227"/>
      <c r="AJ387" s="227"/>
      <c r="AK387" s="227"/>
      <c r="AL387" s="227"/>
      <c r="AM387" s="227"/>
      <c r="AN387" s="227"/>
      <c r="AO387" s="227"/>
      <c r="AP387" s="227"/>
      <c r="AQ387" s="227"/>
      <c r="AR387" s="227"/>
      <c r="AS387" s="227"/>
      <c r="AT387" s="227"/>
      <c r="AU387" s="227"/>
      <c r="AV387" s="227"/>
      <c r="AW387" s="227"/>
      <c r="AX387" s="227"/>
      <c r="AY387" s="227"/>
      <c r="AZ387" s="227"/>
      <c r="BA387" s="227"/>
      <c r="BB387" s="227"/>
      <c r="BC387" s="227"/>
      <c r="BD387" s="227"/>
      <c r="BE387" s="227"/>
      <c r="BF387" s="227"/>
      <c r="BG387" s="227"/>
      <c r="BH387" s="227"/>
      <c r="BI387" s="227"/>
      <c r="BJ387" s="227"/>
      <c r="BK387" s="227"/>
      <c r="BL387" s="227"/>
      <c r="BM387" s="227"/>
      <c r="BN387" s="227"/>
      <c r="BO387" s="227"/>
      <c r="BP387" s="227"/>
      <c r="BQ387" s="227"/>
      <c r="BR387" s="227"/>
      <c r="BS387" s="227"/>
      <c r="BT387" s="227"/>
      <c r="BU387" s="227"/>
      <c r="BV387" s="227"/>
      <c r="BW387" s="227"/>
      <c r="BX387" s="227"/>
      <c r="BY387" s="227"/>
      <c r="BZ387" s="227"/>
      <c r="CA387" s="227"/>
      <c r="CB387" s="227"/>
      <c r="CC387" s="227"/>
      <c r="CD387" s="227"/>
      <c r="CE387" s="227"/>
      <c r="CF387" s="227"/>
      <c r="CG387" s="227"/>
      <c r="CH387" s="227"/>
      <c r="CI387" s="227"/>
      <c r="CJ387" s="227"/>
      <c r="CK387" s="227"/>
      <c r="CL387" s="227"/>
      <c r="CM387" s="227"/>
      <c r="CN387" s="227"/>
      <c r="CO387" s="227"/>
      <c r="CP387" s="227"/>
      <c r="CQ387" s="227"/>
      <c r="CR387" s="227"/>
      <c r="CS387" s="227"/>
      <c r="CT387" s="227"/>
      <c r="CU387" s="225"/>
      <c r="CV387" s="227"/>
    </row>
    <row r="388" spans="1:100" ht="20.100000000000001" customHeight="1">
      <c r="A388" s="223"/>
      <c r="B388" s="225"/>
      <c r="C388" s="227"/>
      <c r="D388" s="224"/>
      <c r="E388" s="223"/>
      <c r="F388" s="223"/>
      <c r="G388" s="223"/>
      <c r="H388" s="223"/>
      <c r="I388" s="223"/>
      <c r="J388" s="223"/>
      <c r="K388" s="223"/>
      <c r="L388" s="223"/>
      <c r="M388" s="223"/>
      <c r="N388" s="223"/>
      <c r="O388" s="223"/>
      <c r="P388" s="223"/>
      <c r="Q388" s="223"/>
      <c r="R388" s="223"/>
      <c r="S388" s="223"/>
      <c r="T388" s="223"/>
      <c r="U388" s="223"/>
      <c r="V388" s="223"/>
      <c r="W388" s="223"/>
      <c r="X388" s="223"/>
      <c r="Y388" s="223"/>
      <c r="Z388" s="223"/>
      <c r="AA388" s="223"/>
      <c r="AB388" s="223"/>
      <c r="AC388" s="223"/>
      <c r="AD388" s="223"/>
      <c r="AE388" s="223"/>
      <c r="AF388" s="223"/>
      <c r="AG388" s="223"/>
      <c r="AH388" s="223"/>
      <c r="AI388" s="223"/>
      <c r="AJ388" s="223"/>
      <c r="AK388" s="223"/>
      <c r="AL388" s="223"/>
      <c r="AM388" s="223"/>
      <c r="AN388" s="223"/>
      <c r="AO388" s="223"/>
      <c r="AP388" s="223"/>
      <c r="AQ388" s="223"/>
      <c r="AR388" s="223"/>
      <c r="AS388" s="223"/>
      <c r="AT388" s="223"/>
      <c r="AU388" s="223"/>
      <c r="AV388" s="223"/>
      <c r="AW388" s="223"/>
      <c r="AX388" s="223"/>
      <c r="AY388" s="223"/>
      <c r="AZ388" s="223"/>
      <c r="BA388" s="223"/>
      <c r="BB388" s="223"/>
      <c r="BC388" s="223"/>
      <c r="BD388" s="223"/>
      <c r="BE388" s="223"/>
      <c r="BF388" s="223"/>
      <c r="BG388" s="223"/>
      <c r="BH388" s="223"/>
      <c r="BI388" s="223"/>
      <c r="BJ388" s="223"/>
      <c r="BK388" s="223"/>
      <c r="BL388" s="223"/>
      <c r="BM388" s="223"/>
      <c r="BN388" s="223"/>
      <c r="BO388" s="223"/>
      <c r="BP388" s="223"/>
      <c r="BQ388" s="227"/>
      <c r="BR388" s="227"/>
      <c r="BS388" s="227"/>
      <c r="BT388" s="227"/>
      <c r="BU388" s="227"/>
      <c r="BV388" s="227"/>
      <c r="BW388" s="227"/>
      <c r="BX388" s="227"/>
      <c r="BY388" s="227"/>
      <c r="BZ388" s="227"/>
      <c r="CA388" s="227"/>
      <c r="CB388" s="227"/>
      <c r="CC388" s="227"/>
      <c r="CD388" s="227"/>
      <c r="CE388" s="227"/>
      <c r="CF388" s="227"/>
      <c r="CG388" s="227"/>
      <c r="CH388" s="227"/>
      <c r="CI388" s="227"/>
      <c r="CJ388" s="227"/>
      <c r="CK388" s="227"/>
      <c r="CL388" s="227"/>
      <c r="CM388" s="227"/>
      <c r="CN388" s="227"/>
      <c r="CO388" s="227"/>
      <c r="CP388" s="227"/>
      <c r="CQ388" s="227"/>
      <c r="CR388" s="227"/>
      <c r="CS388" s="227"/>
      <c r="CT388" s="227"/>
      <c r="CU388" s="225"/>
      <c r="CV388" s="227"/>
    </row>
    <row r="389" spans="1:100" ht="20.100000000000001" customHeight="1">
      <c r="A389" s="227">
        <v>191</v>
      </c>
      <c r="B389" s="225"/>
      <c r="C389" s="227"/>
      <c r="D389" s="228" cm="1">
        <f t="array" ref="D389">IFERROR(
(SUMPRODUCT(E389:CU389*$E$6:$CU$6)/100) + (SUMPRODUCT(E389:CU389*$E$6:$CU$6*$E$3:$CU$3)/100),
0
)</f>
        <v>0</v>
      </c>
      <c r="E389" s="227"/>
      <c r="F389" s="227"/>
      <c r="G389" s="227"/>
      <c r="H389" s="227"/>
      <c r="I389" s="227"/>
      <c r="J389" s="227"/>
      <c r="K389" s="227"/>
      <c r="L389" s="227"/>
      <c r="M389" s="227"/>
      <c r="N389" s="227"/>
      <c r="O389" s="227"/>
      <c r="P389" s="227"/>
      <c r="Q389" s="227"/>
      <c r="R389" s="227"/>
      <c r="S389" s="227"/>
      <c r="T389" s="227"/>
      <c r="U389" s="227"/>
      <c r="V389" s="227"/>
      <c r="W389" s="227"/>
      <c r="X389" s="227"/>
      <c r="Y389" s="227"/>
      <c r="Z389" s="227"/>
      <c r="AA389" s="227"/>
      <c r="AB389" s="227"/>
      <c r="AC389" s="227"/>
      <c r="AD389" s="227"/>
      <c r="AE389" s="227"/>
      <c r="AF389" s="227"/>
      <c r="AG389" s="227"/>
      <c r="AH389" s="227"/>
      <c r="AI389" s="227"/>
      <c r="AJ389" s="227"/>
      <c r="AK389" s="227"/>
      <c r="AL389" s="227"/>
      <c r="AM389" s="227"/>
      <c r="AN389" s="227"/>
      <c r="AO389" s="227"/>
      <c r="AP389" s="227"/>
      <c r="AQ389" s="227"/>
      <c r="AR389" s="227"/>
      <c r="AS389" s="227"/>
      <c r="AT389" s="227"/>
      <c r="AU389" s="227"/>
      <c r="AV389" s="227"/>
      <c r="AW389" s="227"/>
      <c r="AX389" s="227"/>
      <c r="AY389" s="227"/>
      <c r="AZ389" s="227"/>
      <c r="BA389" s="227"/>
      <c r="BB389" s="227"/>
      <c r="BC389" s="227"/>
      <c r="BD389" s="227"/>
      <c r="BE389" s="227"/>
      <c r="BF389" s="227"/>
      <c r="BG389" s="227"/>
      <c r="BH389" s="227"/>
      <c r="BI389" s="227"/>
      <c r="BJ389" s="227"/>
      <c r="BK389" s="227"/>
      <c r="BL389" s="227"/>
      <c r="BM389" s="227"/>
      <c r="BN389" s="227"/>
      <c r="BO389" s="227"/>
      <c r="BP389" s="227"/>
      <c r="BQ389" s="227"/>
      <c r="BR389" s="227"/>
      <c r="BS389" s="227"/>
      <c r="BT389" s="227"/>
      <c r="BU389" s="227"/>
      <c r="BV389" s="227"/>
      <c r="BW389" s="227"/>
      <c r="BX389" s="227"/>
      <c r="BY389" s="227"/>
      <c r="BZ389" s="227"/>
      <c r="CA389" s="227"/>
      <c r="CB389" s="227"/>
      <c r="CC389" s="227"/>
      <c r="CD389" s="227"/>
      <c r="CE389" s="227"/>
      <c r="CF389" s="227"/>
      <c r="CG389" s="227"/>
      <c r="CH389" s="227"/>
      <c r="CI389" s="227"/>
      <c r="CJ389" s="227"/>
      <c r="CK389" s="227"/>
      <c r="CL389" s="227"/>
      <c r="CM389" s="227"/>
      <c r="CN389" s="227"/>
      <c r="CO389" s="227"/>
      <c r="CP389" s="227"/>
      <c r="CQ389" s="227"/>
      <c r="CR389" s="227"/>
      <c r="CS389" s="227"/>
      <c r="CT389" s="227"/>
      <c r="CU389" s="225"/>
      <c r="CV389" s="227"/>
    </row>
    <row r="390" spans="1:100" ht="20.100000000000001" customHeight="1">
      <c r="A390" s="227"/>
      <c r="B390" s="225"/>
      <c r="C390" s="227"/>
      <c r="D390" s="224"/>
      <c r="E390" s="223"/>
      <c r="F390" s="223"/>
      <c r="G390" s="223"/>
      <c r="H390" s="223"/>
      <c r="I390" s="223"/>
      <c r="J390" s="223"/>
      <c r="K390" s="223"/>
      <c r="L390" s="223"/>
      <c r="M390" s="223"/>
      <c r="N390" s="223"/>
      <c r="O390" s="223"/>
      <c r="P390" s="223"/>
      <c r="Q390" s="223"/>
      <c r="R390" s="223"/>
      <c r="S390" s="223"/>
      <c r="T390" s="223"/>
      <c r="U390" s="223"/>
      <c r="V390" s="223"/>
      <c r="W390" s="223"/>
      <c r="X390" s="223"/>
      <c r="Y390" s="223"/>
      <c r="Z390" s="223"/>
      <c r="AA390" s="223"/>
      <c r="AB390" s="223"/>
      <c r="AC390" s="223"/>
      <c r="AD390" s="223"/>
      <c r="AE390" s="223"/>
      <c r="AF390" s="223"/>
      <c r="AG390" s="223"/>
      <c r="AH390" s="223"/>
      <c r="AI390" s="223"/>
      <c r="AJ390" s="223"/>
      <c r="AK390" s="223"/>
      <c r="AL390" s="223"/>
      <c r="AM390" s="223"/>
      <c r="AN390" s="223"/>
      <c r="AO390" s="223"/>
      <c r="AP390" s="223"/>
      <c r="AQ390" s="223"/>
      <c r="AR390" s="223"/>
      <c r="AS390" s="223"/>
      <c r="AT390" s="223"/>
      <c r="AU390" s="223"/>
      <c r="AV390" s="223"/>
      <c r="AW390" s="223"/>
      <c r="AX390" s="223"/>
      <c r="AY390" s="223"/>
      <c r="AZ390" s="223"/>
      <c r="BA390" s="223"/>
      <c r="BB390" s="223"/>
      <c r="BC390" s="223"/>
      <c r="BD390" s="223"/>
      <c r="BE390" s="223"/>
      <c r="BF390" s="223"/>
      <c r="BG390" s="223"/>
      <c r="BH390" s="223"/>
      <c r="BI390" s="223"/>
      <c r="BJ390" s="223"/>
      <c r="BK390" s="223"/>
      <c r="BL390" s="223"/>
      <c r="BM390" s="223"/>
      <c r="BN390" s="223"/>
      <c r="BO390" s="223"/>
      <c r="BP390" s="223"/>
      <c r="BQ390" s="227"/>
      <c r="BR390" s="227"/>
      <c r="BS390" s="227"/>
      <c r="BT390" s="227"/>
      <c r="BU390" s="227"/>
      <c r="BV390" s="227"/>
      <c r="BW390" s="227"/>
      <c r="BX390" s="227"/>
      <c r="BY390" s="227"/>
      <c r="BZ390" s="227"/>
      <c r="CA390" s="227"/>
      <c r="CB390" s="227"/>
      <c r="CC390" s="227"/>
      <c r="CD390" s="227"/>
      <c r="CE390" s="227"/>
      <c r="CF390" s="227"/>
      <c r="CG390" s="227"/>
      <c r="CH390" s="227"/>
      <c r="CI390" s="227"/>
      <c r="CJ390" s="227"/>
      <c r="CK390" s="227"/>
      <c r="CL390" s="227"/>
      <c r="CM390" s="227"/>
      <c r="CN390" s="227"/>
      <c r="CO390" s="227"/>
      <c r="CP390" s="227"/>
      <c r="CQ390" s="227"/>
      <c r="CR390" s="227"/>
      <c r="CS390" s="227"/>
      <c r="CT390" s="227"/>
      <c r="CU390" s="225"/>
      <c r="CV390" s="227"/>
    </row>
    <row r="391" spans="1:100" ht="20.100000000000001" customHeight="1">
      <c r="A391" s="227">
        <v>192</v>
      </c>
      <c r="B391" s="225"/>
      <c r="C391" s="227"/>
      <c r="D391" s="228" cm="1">
        <f t="array" ref="D391">IFERROR(
(SUMPRODUCT(E391:CU391*$E$6:$CU$6)/100) + (SUMPRODUCT(E391:CU391*$E$6:$CU$6*$E$3:$CU$3)/100),
0
)</f>
        <v>0</v>
      </c>
      <c r="E391" s="227"/>
      <c r="F391" s="227"/>
      <c r="G391" s="227"/>
      <c r="H391" s="227"/>
      <c r="I391" s="227"/>
      <c r="J391" s="227"/>
      <c r="K391" s="227"/>
      <c r="L391" s="227"/>
      <c r="M391" s="227"/>
      <c r="N391" s="227"/>
      <c r="O391" s="227"/>
      <c r="P391" s="227"/>
      <c r="Q391" s="227"/>
      <c r="R391" s="227"/>
      <c r="S391" s="227"/>
      <c r="T391" s="227"/>
      <c r="U391" s="227"/>
      <c r="V391" s="227"/>
      <c r="W391" s="227"/>
      <c r="X391" s="227"/>
      <c r="Y391" s="227"/>
      <c r="Z391" s="227"/>
      <c r="AA391" s="227"/>
      <c r="AB391" s="227"/>
      <c r="AC391" s="227"/>
      <c r="AD391" s="227"/>
      <c r="AE391" s="227"/>
      <c r="AF391" s="227"/>
      <c r="AG391" s="227"/>
      <c r="AH391" s="227"/>
      <c r="AI391" s="227"/>
      <c r="AJ391" s="227"/>
      <c r="AK391" s="227"/>
      <c r="AL391" s="227"/>
      <c r="AM391" s="227"/>
      <c r="AN391" s="227"/>
      <c r="AO391" s="227"/>
      <c r="AP391" s="227"/>
      <c r="AQ391" s="227"/>
      <c r="AR391" s="227"/>
      <c r="AS391" s="227"/>
      <c r="AT391" s="227"/>
      <c r="AU391" s="227"/>
      <c r="AV391" s="227"/>
      <c r="AW391" s="227"/>
      <c r="AX391" s="227"/>
      <c r="AY391" s="227"/>
      <c r="AZ391" s="227"/>
      <c r="BA391" s="227"/>
      <c r="BB391" s="227"/>
      <c r="BC391" s="227"/>
      <c r="BD391" s="227"/>
      <c r="BE391" s="227"/>
      <c r="BF391" s="227"/>
      <c r="BG391" s="227"/>
      <c r="BH391" s="227"/>
      <c r="BI391" s="227"/>
      <c r="BJ391" s="227"/>
      <c r="BK391" s="227"/>
      <c r="BL391" s="227"/>
      <c r="BM391" s="227"/>
      <c r="BN391" s="227"/>
      <c r="BO391" s="227"/>
      <c r="BP391" s="227"/>
      <c r="BQ391" s="227"/>
      <c r="BR391" s="227"/>
      <c r="BS391" s="227"/>
      <c r="BT391" s="227"/>
      <c r="BU391" s="227"/>
      <c r="BV391" s="227"/>
      <c r="BW391" s="227"/>
      <c r="BX391" s="227"/>
      <c r="BY391" s="227"/>
      <c r="BZ391" s="227"/>
      <c r="CA391" s="227"/>
      <c r="CB391" s="227"/>
      <c r="CC391" s="227"/>
      <c r="CD391" s="227"/>
      <c r="CE391" s="227"/>
      <c r="CF391" s="227"/>
      <c r="CG391" s="227"/>
      <c r="CH391" s="227"/>
      <c r="CI391" s="227"/>
      <c r="CJ391" s="227"/>
      <c r="CK391" s="227"/>
      <c r="CL391" s="227"/>
      <c r="CM391" s="227"/>
      <c r="CN391" s="227"/>
      <c r="CO391" s="227"/>
      <c r="CP391" s="227"/>
      <c r="CQ391" s="227"/>
      <c r="CR391" s="227"/>
      <c r="CS391" s="227"/>
      <c r="CT391" s="227"/>
      <c r="CU391" s="225"/>
      <c r="CV391" s="227"/>
    </row>
    <row r="392" spans="1:100" ht="20.100000000000001" customHeight="1">
      <c r="A392" s="223"/>
      <c r="B392" s="225"/>
      <c r="C392" s="227"/>
      <c r="D392" s="224"/>
      <c r="E392" s="223"/>
      <c r="F392" s="223"/>
      <c r="G392" s="223"/>
      <c r="H392" s="223"/>
      <c r="I392" s="223"/>
      <c r="J392" s="223"/>
      <c r="K392" s="223"/>
      <c r="L392" s="223"/>
      <c r="M392" s="223"/>
      <c r="N392" s="223"/>
      <c r="O392" s="223"/>
      <c r="P392" s="223"/>
      <c r="Q392" s="223"/>
      <c r="R392" s="223"/>
      <c r="S392" s="223"/>
      <c r="T392" s="223"/>
      <c r="U392" s="223"/>
      <c r="V392" s="223"/>
      <c r="W392" s="223"/>
      <c r="X392" s="223"/>
      <c r="Y392" s="223"/>
      <c r="Z392" s="223"/>
      <c r="AA392" s="223"/>
      <c r="AB392" s="223"/>
      <c r="AC392" s="223"/>
      <c r="AD392" s="223"/>
      <c r="AE392" s="223"/>
      <c r="AF392" s="223"/>
      <c r="AG392" s="223"/>
      <c r="AH392" s="223"/>
      <c r="AI392" s="223"/>
      <c r="AJ392" s="223"/>
      <c r="AK392" s="223"/>
      <c r="AL392" s="223"/>
      <c r="AM392" s="223"/>
      <c r="AN392" s="223"/>
      <c r="AO392" s="223"/>
      <c r="AP392" s="223"/>
      <c r="AQ392" s="223"/>
      <c r="AR392" s="223"/>
      <c r="AS392" s="223"/>
      <c r="AT392" s="223"/>
      <c r="AU392" s="223"/>
      <c r="AV392" s="223"/>
      <c r="AW392" s="223"/>
      <c r="AX392" s="223"/>
      <c r="AY392" s="223"/>
      <c r="AZ392" s="223"/>
      <c r="BA392" s="223"/>
      <c r="BB392" s="223"/>
      <c r="BC392" s="223"/>
      <c r="BD392" s="223"/>
      <c r="BE392" s="223"/>
      <c r="BF392" s="223"/>
      <c r="BG392" s="223"/>
      <c r="BH392" s="223"/>
      <c r="BI392" s="223"/>
      <c r="BJ392" s="223"/>
      <c r="BK392" s="223"/>
      <c r="BL392" s="223"/>
      <c r="BM392" s="223"/>
      <c r="BN392" s="223"/>
      <c r="BO392" s="223"/>
      <c r="BP392" s="223"/>
      <c r="BQ392" s="227"/>
      <c r="BR392" s="227"/>
      <c r="BS392" s="227"/>
      <c r="BT392" s="227"/>
      <c r="BU392" s="227"/>
      <c r="BV392" s="227"/>
      <c r="BW392" s="227"/>
      <c r="BX392" s="227"/>
      <c r="BY392" s="227"/>
      <c r="BZ392" s="227"/>
      <c r="CA392" s="227"/>
      <c r="CB392" s="227"/>
      <c r="CC392" s="227"/>
      <c r="CD392" s="227"/>
      <c r="CE392" s="227"/>
      <c r="CF392" s="227"/>
      <c r="CG392" s="227"/>
      <c r="CH392" s="227"/>
      <c r="CI392" s="227"/>
      <c r="CJ392" s="227"/>
      <c r="CK392" s="227"/>
      <c r="CL392" s="227"/>
      <c r="CM392" s="227"/>
      <c r="CN392" s="227"/>
      <c r="CO392" s="227"/>
      <c r="CP392" s="227"/>
      <c r="CQ392" s="227"/>
      <c r="CR392" s="227"/>
      <c r="CS392" s="227"/>
      <c r="CT392" s="227"/>
      <c r="CU392" s="225"/>
      <c r="CV392" s="227"/>
    </row>
    <row r="393" spans="1:100" ht="20.100000000000001" customHeight="1">
      <c r="A393" s="227">
        <v>193</v>
      </c>
      <c r="B393" s="225"/>
      <c r="C393" s="227"/>
      <c r="D393" s="228" cm="1">
        <f t="array" ref="D393">IFERROR(
(SUMPRODUCT(E393:CU393*$E$6:$CU$6)/100) + (SUMPRODUCT(E393:CU393*$E$6:$CU$6*$E$3:$CU$3)/100),
0
)</f>
        <v>0</v>
      </c>
      <c r="E393" s="227"/>
      <c r="F393" s="227"/>
      <c r="G393" s="227"/>
      <c r="H393" s="227"/>
      <c r="I393" s="227"/>
      <c r="J393" s="227"/>
      <c r="K393" s="227"/>
      <c r="L393" s="227"/>
      <c r="M393" s="227"/>
      <c r="N393" s="227"/>
      <c r="O393" s="227"/>
      <c r="P393" s="227"/>
      <c r="Q393" s="227"/>
      <c r="R393" s="227"/>
      <c r="S393" s="227"/>
      <c r="T393" s="227"/>
      <c r="U393" s="227"/>
      <c r="V393" s="227"/>
      <c r="W393" s="227"/>
      <c r="X393" s="227"/>
      <c r="Y393" s="227"/>
      <c r="Z393" s="227"/>
      <c r="AA393" s="227"/>
      <c r="AB393" s="227"/>
      <c r="AC393" s="227"/>
      <c r="AD393" s="227"/>
      <c r="AE393" s="227"/>
      <c r="AF393" s="227"/>
      <c r="AG393" s="227"/>
      <c r="AH393" s="227"/>
      <c r="AI393" s="227"/>
      <c r="AJ393" s="227"/>
      <c r="AK393" s="227"/>
      <c r="AL393" s="227"/>
      <c r="AM393" s="227"/>
      <c r="AN393" s="227"/>
      <c r="AO393" s="227"/>
      <c r="AP393" s="227"/>
      <c r="AQ393" s="227"/>
      <c r="AR393" s="227"/>
      <c r="AS393" s="227"/>
      <c r="AT393" s="227"/>
      <c r="AU393" s="227"/>
      <c r="AV393" s="227"/>
      <c r="AW393" s="227"/>
      <c r="AX393" s="227"/>
      <c r="AY393" s="227"/>
      <c r="AZ393" s="227"/>
      <c r="BA393" s="227"/>
      <c r="BB393" s="227"/>
      <c r="BC393" s="227"/>
      <c r="BD393" s="227"/>
      <c r="BE393" s="227"/>
      <c r="BF393" s="227"/>
      <c r="BG393" s="227"/>
      <c r="BH393" s="227"/>
      <c r="BI393" s="227"/>
      <c r="BJ393" s="227"/>
      <c r="BK393" s="227"/>
      <c r="BL393" s="227"/>
      <c r="BM393" s="227"/>
      <c r="BN393" s="227"/>
      <c r="BO393" s="227"/>
      <c r="BP393" s="227"/>
      <c r="BQ393" s="227"/>
      <c r="BR393" s="227"/>
      <c r="BS393" s="227"/>
      <c r="BT393" s="227"/>
      <c r="BU393" s="227"/>
      <c r="BV393" s="227"/>
      <c r="BW393" s="227"/>
      <c r="BX393" s="227"/>
      <c r="BY393" s="227"/>
      <c r="BZ393" s="227"/>
      <c r="CA393" s="227"/>
      <c r="CB393" s="227"/>
      <c r="CC393" s="227"/>
      <c r="CD393" s="227"/>
      <c r="CE393" s="227"/>
      <c r="CF393" s="227"/>
      <c r="CG393" s="227"/>
      <c r="CH393" s="227"/>
      <c r="CI393" s="227"/>
      <c r="CJ393" s="227"/>
      <c r="CK393" s="227"/>
      <c r="CL393" s="227"/>
      <c r="CM393" s="227"/>
      <c r="CN393" s="227"/>
      <c r="CO393" s="227"/>
      <c r="CP393" s="227"/>
      <c r="CQ393" s="227"/>
      <c r="CR393" s="227"/>
      <c r="CS393" s="227"/>
      <c r="CT393" s="227"/>
      <c r="CU393" s="225"/>
      <c r="CV393" s="227"/>
    </row>
    <row r="394" spans="1:100" ht="20.100000000000001" customHeight="1">
      <c r="A394" s="227"/>
      <c r="B394" s="225"/>
      <c r="C394" s="227"/>
      <c r="D394" s="224"/>
      <c r="E394" s="223"/>
      <c r="F394" s="223"/>
      <c r="G394" s="223"/>
      <c r="H394" s="223"/>
      <c r="I394" s="223"/>
      <c r="J394" s="223"/>
      <c r="K394" s="223"/>
      <c r="L394" s="223"/>
      <c r="M394" s="223"/>
      <c r="N394" s="223"/>
      <c r="O394" s="223"/>
      <c r="P394" s="223"/>
      <c r="Q394" s="223"/>
      <c r="R394" s="223"/>
      <c r="S394" s="223"/>
      <c r="T394" s="223"/>
      <c r="U394" s="223"/>
      <c r="V394" s="223"/>
      <c r="W394" s="223"/>
      <c r="X394" s="223"/>
      <c r="Y394" s="223"/>
      <c r="Z394" s="223"/>
      <c r="AA394" s="223"/>
      <c r="AB394" s="223"/>
      <c r="AC394" s="223"/>
      <c r="AD394" s="223"/>
      <c r="AE394" s="223"/>
      <c r="AF394" s="223"/>
      <c r="AG394" s="223"/>
      <c r="AH394" s="223"/>
      <c r="AI394" s="223"/>
      <c r="AJ394" s="223"/>
      <c r="AK394" s="223"/>
      <c r="AL394" s="223"/>
      <c r="AM394" s="223"/>
      <c r="AN394" s="223"/>
      <c r="AO394" s="223"/>
      <c r="AP394" s="223"/>
      <c r="AQ394" s="223"/>
      <c r="AR394" s="223"/>
      <c r="AS394" s="223"/>
      <c r="AT394" s="223"/>
      <c r="AU394" s="223"/>
      <c r="AV394" s="223"/>
      <c r="AW394" s="223"/>
      <c r="AX394" s="223"/>
      <c r="AY394" s="223"/>
      <c r="AZ394" s="223"/>
      <c r="BA394" s="223"/>
      <c r="BB394" s="223"/>
      <c r="BC394" s="223"/>
      <c r="BD394" s="223"/>
      <c r="BE394" s="223"/>
      <c r="BF394" s="223"/>
      <c r="BG394" s="223"/>
      <c r="BH394" s="223"/>
      <c r="BI394" s="223"/>
      <c r="BJ394" s="223"/>
      <c r="BK394" s="223"/>
      <c r="BL394" s="223"/>
      <c r="BM394" s="223"/>
      <c r="BN394" s="223"/>
      <c r="BO394" s="223"/>
      <c r="BP394" s="223"/>
      <c r="BQ394" s="227"/>
      <c r="BR394" s="227"/>
      <c r="BS394" s="227"/>
      <c r="BT394" s="227"/>
      <c r="BU394" s="227"/>
      <c r="BV394" s="227"/>
      <c r="BW394" s="227"/>
      <c r="BX394" s="227"/>
      <c r="BY394" s="227"/>
      <c r="BZ394" s="227"/>
      <c r="CA394" s="227"/>
      <c r="CB394" s="227"/>
      <c r="CC394" s="227"/>
      <c r="CD394" s="227"/>
      <c r="CE394" s="227"/>
      <c r="CF394" s="227"/>
      <c r="CG394" s="227"/>
      <c r="CH394" s="227"/>
      <c r="CI394" s="227"/>
      <c r="CJ394" s="227"/>
      <c r="CK394" s="227"/>
      <c r="CL394" s="227"/>
      <c r="CM394" s="227"/>
      <c r="CN394" s="227"/>
      <c r="CO394" s="227"/>
      <c r="CP394" s="227"/>
      <c r="CQ394" s="227"/>
      <c r="CR394" s="227"/>
      <c r="CS394" s="227"/>
      <c r="CT394" s="227"/>
      <c r="CU394" s="225"/>
      <c r="CV394" s="227"/>
    </row>
    <row r="395" spans="1:100" ht="20.100000000000001" customHeight="1">
      <c r="A395" s="227">
        <v>194</v>
      </c>
      <c r="B395" s="225"/>
      <c r="C395" s="227"/>
      <c r="D395" s="228" cm="1">
        <f t="array" ref="D395">IFERROR(
(SUMPRODUCT(E395:CU395*$E$6:$CU$6)/100) + (SUMPRODUCT(E395:CU395*$E$6:$CU$6*$E$3:$CU$3)/100),
0
)</f>
        <v>0</v>
      </c>
      <c r="E395" s="227"/>
      <c r="F395" s="227"/>
      <c r="G395" s="227"/>
      <c r="H395" s="227"/>
      <c r="I395" s="227"/>
      <c r="J395" s="227"/>
      <c r="K395" s="227"/>
      <c r="L395" s="227"/>
      <c r="M395" s="227"/>
      <c r="N395" s="227"/>
      <c r="O395" s="227"/>
      <c r="P395" s="227"/>
      <c r="Q395" s="227"/>
      <c r="R395" s="227"/>
      <c r="S395" s="227"/>
      <c r="T395" s="227"/>
      <c r="U395" s="227"/>
      <c r="V395" s="227"/>
      <c r="W395" s="227"/>
      <c r="X395" s="227"/>
      <c r="Y395" s="227"/>
      <c r="Z395" s="227"/>
      <c r="AA395" s="227"/>
      <c r="AB395" s="227"/>
      <c r="AC395" s="227"/>
      <c r="AD395" s="227"/>
      <c r="AE395" s="227"/>
      <c r="AF395" s="227"/>
      <c r="AG395" s="227"/>
      <c r="AH395" s="227"/>
      <c r="AI395" s="227"/>
      <c r="AJ395" s="227"/>
      <c r="AK395" s="227"/>
      <c r="AL395" s="227"/>
      <c r="AM395" s="227"/>
      <c r="AN395" s="227"/>
      <c r="AO395" s="227"/>
      <c r="AP395" s="227"/>
      <c r="AQ395" s="227"/>
      <c r="AR395" s="227"/>
      <c r="AS395" s="227"/>
      <c r="AT395" s="227"/>
      <c r="AU395" s="227"/>
      <c r="AV395" s="227"/>
      <c r="AW395" s="227"/>
      <c r="AX395" s="227"/>
      <c r="AY395" s="227"/>
      <c r="AZ395" s="227"/>
      <c r="BA395" s="227"/>
      <c r="BB395" s="227"/>
      <c r="BC395" s="227"/>
      <c r="BD395" s="227"/>
      <c r="BE395" s="227"/>
      <c r="BF395" s="227"/>
      <c r="BG395" s="227"/>
      <c r="BH395" s="227"/>
      <c r="BI395" s="227"/>
      <c r="BJ395" s="227"/>
      <c r="BK395" s="227"/>
      <c r="BL395" s="227"/>
      <c r="BM395" s="227"/>
      <c r="BN395" s="227"/>
      <c r="BO395" s="227"/>
      <c r="BP395" s="227"/>
      <c r="BQ395" s="227"/>
      <c r="BR395" s="227"/>
      <c r="BS395" s="227"/>
      <c r="BT395" s="227"/>
      <c r="BU395" s="227"/>
      <c r="BV395" s="227"/>
      <c r="BW395" s="227"/>
      <c r="BX395" s="227"/>
      <c r="BY395" s="227"/>
      <c r="BZ395" s="227"/>
      <c r="CA395" s="227"/>
      <c r="CB395" s="227"/>
      <c r="CC395" s="227"/>
      <c r="CD395" s="227"/>
      <c r="CE395" s="227"/>
      <c r="CF395" s="227"/>
      <c r="CG395" s="227"/>
      <c r="CH395" s="227"/>
      <c r="CI395" s="227"/>
      <c r="CJ395" s="227"/>
      <c r="CK395" s="227"/>
      <c r="CL395" s="227"/>
      <c r="CM395" s="227"/>
      <c r="CN395" s="227"/>
      <c r="CO395" s="227"/>
      <c r="CP395" s="227"/>
      <c r="CQ395" s="227"/>
      <c r="CR395" s="227"/>
      <c r="CS395" s="227"/>
      <c r="CT395" s="227"/>
      <c r="CU395" s="225"/>
      <c r="CV395" s="227"/>
    </row>
    <row r="396" spans="1:100" ht="20.100000000000001" customHeight="1">
      <c r="A396" s="223"/>
      <c r="B396" s="225"/>
      <c r="C396" s="227"/>
      <c r="D396" s="224"/>
      <c r="E396" s="223"/>
      <c r="F396" s="223"/>
      <c r="G396" s="223"/>
      <c r="H396" s="223"/>
      <c r="I396" s="223"/>
      <c r="J396" s="223"/>
      <c r="K396" s="223"/>
      <c r="L396" s="223"/>
      <c r="M396" s="223"/>
      <c r="N396" s="223"/>
      <c r="O396" s="223"/>
      <c r="P396" s="223"/>
      <c r="Q396" s="223"/>
      <c r="R396" s="223"/>
      <c r="S396" s="223"/>
      <c r="T396" s="223"/>
      <c r="U396" s="223"/>
      <c r="V396" s="223"/>
      <c r="W396" s="223"/>
      <c r="X396" s="223"/>
      <c r="Y396" s="223"/>
      <c r="Z396" s="223"/>
      <c r="AA396" s="223"/>
      <c r="AB396" s="223"/>
      <c r="AC396" s="223"/>
      <c r="AD396" s="223"/>
      <c r="AE396" s="223"/>
      <c r="AF396" s="223"/>
      <c r="AG396" s="223"/>
      <c r="AH396" s="223"/>
      <c r="AI396" s="223"/>
      <c r="AJ396" s="223"/>
      <c r="AK396" s="223"/>
      <c r="AL396" s="223"/>
      <c r="AM396" s="223"/>
      <c r="AN396" s="223"/>
      <c r="AO396" s="223"/>
      <c r="AP396" s="223"/>
      <c r="AQ396" s="223"/>
      <c r="AR396" s="223"/>
      <c r="AS396" s="223"/>
      <c r="AT396" s="223"/>
      <c r="AU396" s="223"/>
      <c r="AV396" s="223"/>
      <c r="AW396" s="223"/>
      <c r="AX396" s="223"/>
      <c r="AY396" s="223"/>
      <c r="AZ396" s="223"/>
      <c r="BA396" s="223"/>
      <c r="BB396" s="223"/>
      <c r="BC396" s="223"/>
      <c r="BD396" s="223"/>
      <c r="BE396" s="223"/>
      <c r="BF396" s="223"/>
      <c r="BG396" s="223"/>
      <c r="BH396" s="223"/>
      <c r="BI396" s="223"/>
      <c r="BJ396" s="223"/>
      <c r="BK396" s="223"/>
      <c r="BL396" s="223"/>
      <c r="BM396" s="223"/>
      <c r="BN396" s="223"/>
      <c r="BO396" s="223"/>
      <c r="BP396" s="223"/>
      <c r="BQ396" s="227"/>
      <c r="BR396" s="227"/>
      <c r="BS396" s="227"/>
      <c r="BT396" s="227"/>
      <c r="BU396" s="227"/>
      <c r="BV396" s="227"/>
      <c r="BW396" s="227"/>
      <c r="BX396" s="227"/>
      <c r="BY396" s="227"/>
      <c r="BZ396" s="227"/>
      <c r="CA396" s="227"/>
      <c r="CB396" s="227"/>
      <c r="CC396" s="227"/>
      <c r="CD396" s="227"/>
      <c r="CE396" s="227"/>
      <c r="CF396" s="227"/>
      <c r="CG396" s="227"/>
      <c r="CH396" s="227"/>
      <c r="CI396" s="227"/>
      <c r="CJ396" s="227"/>
      <c r="CK396" s="227"/>
      <c r="CL396" s="227"/>
      <c r="CM396" s="227"/>
      <c r="CN396" s="227"/>
      <c r="CO396" s="227"/>
      <c r="CP396" s="227"/>
      <c r="CQ396" s="227"/>
      <c r="CR396" s="227"/>
      <c r="CS396" s="227"/>
      <c r="CT396" s="227"/>
      <c r="CU396" s="225"/>
      <c r="CV396" s="227"/>
    </row>
    <row r="397" spans="1:100" ht="20.100000000000001" customHeight="1">
      <c r="A397" s="227">
        <v>195</v>
      </c>
      <c r="B397" s="225"/>
      <c r="C397" s="227"/>
      <c r="D397" s="228" cm="1">
        <f t="array" ref="D397">IFERROR(
(SUMPRODUCT(E397:CU397*$E$6:$CU$6)/100) + (SUMPRODUCT(E397:CU397*$E$6:$CU$6*$E$3:$CU$3)/100),
0
)</f>
        <v>0</v>
      </c>
      <c r="E397" s="227"/>
      <c r="F397" s="227"/>
      <c r="G397" s="227"/>
      <c r="H397" s="227"/>
      <c r="I397" s="227"/>
      <c r="J397" s="227"/>
      <c r="K397" s="227"/>
      <c r="L397" s="227"/>
      <c r="M397" s="227"/>
      <c r="N397" s="227"/>
      <c r="O397" s="227"/>
      <c r="P397" s="227"/>
      <c r="Q397" s="227"/>
      <c r="R397" s="227"/>
      <c r="S397" s="227"/>
      <c r="T397" s="227"/>
      <c r="U397" s="227"/>
      <c r="V397" s="227"/>
      <c r="W397" s="227"/>
      <c r="X397" s="227"/>
      <c r="Y397" s="227"/>
      <c r="Z397" s="227"/>
      <c r="AA397" s="227"/>
      <c r="AB397" s="227"/>
      <c r="AC397" s="227"/>
      <c r="AD397" s="227"/>
      <c r="AE397" s="227"/>
      <c r="AF397" s="227"/>
      <c r="AG397" s="227"/>
      <c r="AH397" s="227"/>
      <c r="AI397" s="227"/>
      <c r="AJ397" s="227"/>
      <c r="AK397" s="227"/>
      <c r="AL397" s="227"/>
      <c r="AM397" s="227"/>
      <c r="AN397" s="227"/>
      <c r="AO397" s="227"/>
      <c r="AP397" s="227"/>
      <c r="AQ397" s="227"/>
      <c r="AR397" s="227"/>
      <c r="AS397" s="227"/>
      <c r="AT397" s="227"/>
      <c r="AU397" s="227"/>
      <c r="AV397" s="227"/>
      <c r="AW397" s="227"/>
      <c r="AX397" s="227"/>
      <c r="AY397" s="227"/>
      <c r="AZ397" s="227"/>
      <c r="BA397" s="227"/>
      <c r="BB397" s="227"/>
      <c r="BC397" s="227"/>
      <c r="BD397" s="227"/>
      <c r="BE397" s="227"/>
      <c r="BF397" s="227"/>
      <c r="BG397" s="227"/>
      <c r="BH397" s="227"/>
      <c r="BI397" s="227"/>
      <c r="BJ397" s="227"/>
      <c r="BK397" s="227"/>
      <c r="BL397" s="227"/>
      <c r="BM397" s="227"/>
      <c r="BN397" s="227"/>
      <c r="BO397" s="227"/>
      <c r="BP397" s="227"/>
      <c r="BQ397" s="227"/>
      <c r="BR397" s="227"/>
      <c r="BS397" s="227"/>
      <c r="BT397" s="227"/>
      <c r="BU397" s="227"/>
      <c r="BV397" s="227"/>
      <c r="BW397" s="227"/>
      <c r="BX397" s="227"/>
      <c r="BY397" s="227"/>
      <c r="BZ397" s="227"/>
      <c r="CA397" s="227"/>
      <c r="CB397" s="227"/>
      <c r="CC397" s="227"/>
      <c r="CD397" s="227"/>
      <c r="CE397" s="227"/>
      <c r="CF397" s="227"/>
      <c r="CG397" s="227"/>
      <c r="CH397" s="227"/>
      <c r="CI397" s="227"/>
      <c r="CJ397" s="227"/>
      <c r="CK397" s="227"/>
      <c r="CL397" s="227"/>
      <c r="CM397" s="227"/>
      <c r="CN397" s="227"/>
      <c r="CO397" s="227"/>
      <c r="CP397" s="227"/>
      <c r="CQ397" s="227"/>
      <c r="CR397" s="227"/>
      <c r="CS397" s="227"/>
      <c r="CT397" s="227"/>
      <c r="CU397" s="225"/>
      <c r="CV397" s="227"/>
    </row>
    <row r="398" spans="1:100" ht="20.100000000000001" customHeight="1">
      <c r="A398" s="227"/>
      <c r="B398" s="225"/>
      <c r="C398" s="227"/>
      <c r="D398" s="224"/>
      <c r="E398" s="223"/>
      <c r="F398" s="223"/>
      <c r="G398" s="223"/>
      <c r="H398" s="223"/>
      <c r="I398" s="223"/>
      <c r="J398" s="223"/>
      <c r="K398" s="223"/>
      <c r="L398" s="223"/>
      <c r="M398" s="223"/>
      <c r="N398" s="223"/>
      <c r="O398" s="223"/>
      <c r="P398" s="223"/>
      <c r="Q398" s="223"/>
      <c r="R398" s="223"/>
      <c r="S398" s="223"/>
      <c r="T398" s="223"/>
      <c r="U398" s="223"/>
      <c r="V398" s="223"/>
      <c r="W398" s="223"/>
      <c r="X398" s="223"/>
      <c r="Y398" s="223"/>
      <c r="Z398" s="223"/>
      <c r="AA398" s="223"/>
      <c r="AB398" s="223"/>
      <c r="AC398" s="223"/>
      <c r="AD398" s="223"/>
      <c r="AE398" s="223"/>
      <c r="AF398" s="223"/>
      <c r="AG398" s="223"/>
      <c r="AH398" s="223"/>
      <c r="AI398" s="223"/>
      <c r="AJ398" s="223"/>
      <c r="AK398" s="223"/>
      <c r="AL398" s="223"/>
      <c r="AM398" s="223"/>
      <c r="AN398" s="223"/>
      <c r="AO398" s="223"/>
      <c r="AP398" s="223"/>
      <c r="AQ398" s="223"/>
      <c r="AR398" s="223"/>
      <c r="AS398" s="223"/>
      <c r="AT398" s="223"/>
      <c r="AU398" s="223"/>
      <c r="AV398" s="223"/>
      <c r="AW398" s="223"/>
      <c r="AX398" s="223"/>
      <c r="AY398" s="223"/>
      <c r="AZ398" s="223"/>
      <c r="BA398" s="223"/>
      <c r="BB398" s="223"/>
      <c r="BC398" s="223"/>
      <c r="BD398" s="223"/>
      <c r="BE398" s="223"/>
      <c r="BF398" s="223"/>
      <c r="BG398" s="223"/>
      <c r="BH398" s="223"/>
      <c r="BI398" s="223"/>
      <c r="BJ398" s="223"/>
      <c r="BK398" s="223"/>
      <c r="BL398" s="223"/>
      <c r="BM398" s="223"/>
      <c r="BN398" s="223"/>
      <c r="BO398" s="223"/>
      <c r="BP398" s="223"/>
      <c r="BQ398" s="227"/>
      <c r="BR398" s="227"/>
      <c r="BS398" s="227"/>
      <c r="BT398" s="227"/>
      <c r="BU398" s="227"/>
      <c r="BV398" s="227"/>
      <c r="BW398" s="227"/>
      <c r="BX398" s="227"/>
      <c r="BY398" s="227"/>
      <c r="BZ398" s="227"/>
      <c r="CA398" s="227"/>
      <c r="CB398" s="227"/>
      <c r="CC398" s="227"/>
      <c r="CD398" s="227"/>
      <c r="CE398" s="227"/>
      <c r="CF398" s="227"/>
      <c r="CG398" s="227"/>
      <c r="CH398" s="227"/>
      <c r="CI398" s="227"/>
      <c r="CJ398" s="227"/>
      <c r="CK398" s="227"/>
      <c r="CL398" s="227"/>
      <c r="CM398" s="227"/>
      <c r="CN398" s="227"/>
      <c r="CO398" s="227"/>
      <c r="CP398" s="227"/>
      <c r="CQ398" s="227"/>
      <c r="CR398" s="227"/>
      <c r="CS398" s="227"/>
      <c r="CT398" s="227"/>
      <c r="CU398" s="225"/>
      <c r="CV398" s="227"/>
    </row>
    <row r="399" spans="1:100" ht="20.100000000000001" customHeight="1">
      <c r="A399" s="227">
        <v>196</v>
      </c>
      <c r="B399" s="225"/>
      <c r="C399" s="227"/>
      <c r="D399" s="228" cm="1">
        <f t="array" ref="D399">IFERROR(
(SUMPRODUCT(E399:CU399*$E$6:$CU$6)/100) + (SUMPRODUCT(E399:CU399*$E$6:$CU$6*$E$3:$CU$3)/100),
0
)</f>
        <v>0</v>
      </c>
      <c r="E399" s="227"/>
      <c r="F399" s="227"/>
      <c r="G399" s="227"/>
      <c r="H399" s="227"/>
      <c r="I399" s="227"/>
      <c r="J399" s="227"/>
      <c r="K399" s="227"/>
      <c r="L399" s="227"/>
      <c r="M399" s="227"/>
      <c r="N399" s="227"/>
      <c r="O399" s="227"/>
      <c r="P399" s="227"/>
      <c r="Q399" s="227"/>
      <c r="R399" s="227"/>
      <c r="S399" s="227"/>
      <c r="T399" s="227"/>
      <c r="U399" s="227"/>
      <c r="V399" s="227"/>
      <c r="W399" s="227"/>
      <c r="X399" s="227"/>
      <c r="Y399" s="227"/>
      <c r="Z399" s="227"/>
      <c r="AA399" s="227"/>
      <c r="AB399" s="227"/>
      <c r="AC399" s="227"/>
      <c r="AD399" s="227"/>
      <c r="AE399" s="227"/>
      <c r="AF399" s="227"/>
      <c r="AG399" s="227"/>
      <c r="AH399" s="227"/>
      <c r="AI399" s="227"/>
      <c r="AJ399" s="227"/>
      <c r="AK399" s="227"/>
      <c r="AL399" s="227"/>
      <c r="AM399" s="227"/>
      <c r="AN399" s="227"/>
      <c r="AO399" s="227"/>
      <c r="AP399" s="227"/>
      <c r="AQ399" s="227"/>
      <c r="AR399" s="227"/>
      <c r="AS399" s="227"/>
      <c r="AT399" s="227"/>
      <c r="AU399" s="227"/>
      <c r="AV399" s="227"/>
      <c r="AW399" s="227"/>
      <c r="AX399" s="227"/>
      <c r="AY399" s="227"/>
      <c r="AZ399" s="227"/>
      <c r="BA399" s="227"/>
      <c r="BB399" s="227"/>
      <c r="BC399" s="227"/>
      <c r="BD399" s="227"/>
      <c r="BE399" s="227"/>
      <c r="BF399" s="227"/>
      <c r="BG399" s="227"/>
      <c r="BH399" s="227"/>
      <c r="BI399" s="227"/>
      <c r="BJ399" s="227"/>
      <c r="BK399" s="227"/>
      <c r="BL399" s="227"/>
      <c r="BM399" s="227"/>
      <c r="BN399" s="227"/>
      <c r="BO399" s="227"/>
      <c r="BP399" s="227"/>
      <c r="BQ399" s="227"/>
      <c r="BR399" s="227"/>
      <c r="BS399" s="227"/>
      <c r="BT399" s="227"/>
      <c r="BU399" s="227"/>
      <c r="BV399" s="227"/>
      <c r="BW399" s="227"/>
      <c r="BX399" s="227"/>
      <c r="BY399" s="227"/>
      <c r="BZ399" s="227"/>
      <c r="CA399" s="227"/>
      <c r="CB399" s="227"/>
      <c r="CC399" s="227"/>
      <c r="CD399" s="227"/>
      <c r="CE399" s="227"/>
      <c r="CF399" s="227"/>
      <c r="CG399" s="227"/>
      <c r="CH399" s="227"/>
      <c r="CI399" s="227"/>
      <c r="CJ399" s="227"/>
      <c r="CK399" s="227"/>
      <c r="CL399" s="227"/>
      <c r="CM399" s="227"/>
      <c r="CN399" s="227"/>
      <c r="CO399" s="227"/>
      <c r="CP399" s="227"/>
      <c r="CQ399" s="227"/>
      <c r="CR399" s="227"/>
      <c r="CS399" s="227"/>
      <c r="CT399" s="227"/>
      <c r="CU399" s="225"/>
      <c r="CV399" s="227"/>
    </row>
    <row r="400" spans="1:100" ht="20.100000000000001" customHeight="1">
      <c r="A400" s="223"/>
      <c r="B400" s="225"/>
      <c r="C400" s="227"/>
      <c r="D400" s="224"/>
      <c r="E400" s="223"/>
      <c r="F400" s="223"/>
      <c r="G400" s="223"/>
      <c r="H400" s="223"/>
      <c r="I400" s="223"/>
      <c r="J400" s="223"/>
      <c r="K400" s="223"/>
      <c r="L400" s="223"/>
      <c r="M400" s="223"/>
      <c r="N400" s="223"/>
      <c r="O400" s="223"/>
      <c r="P400" s="223"/>
      <c r="Q400" s="223"/>
      <c r="R400" s="223"/>
      <c r="S400" s="223"/>
      <c r="T400" s="223"/>
      <c r="U400" s="223"/>
      <c r="V400" s="223"/>
      <c r="W400" s="223"/>
      <c r="X400" s="223"/>
      <c r="Y400" s="223"/>
      <c r="Z400" s="223"/>
      <c r="AA400" s="223"/>
      <c r="AB400" s="223"/>
      <c r="AC400" s="223"/>
      <c r="AD400" s="223"/>
      <c r="AE400" s="223"/>
      <c r="AF400" s="223"/>
      <c r="AG400" s="223"/>
      <c r="AH400" s="223"/>
      <c r="AI400" s="223"/>
      <c r="AJ400" s="223"/>
      <c r="AK400" s="223"/>
      <c r="AL400" s="223"/>
      <c r="AM400" s="223"/>
      <c r="AN400" s="223"/>
      <c r="AO400" s="223"/>
      <c r="AP400" s="223"/>
      <c r="AQ400" s="223"/>
      <c r="AR400" s="223"/>
      <c r="AS400" s="223"/>
      <c r="AT400" s="223"/>
      <c r="AU400" s="223"/>
      <c r="AV400" s="223"/>
      <c r="AW400" s="223"/>
      <c r="AX400" s="223"/>
      <c r="AY400" s="223"/>
      <c r="AZ400" s="223"/>
      <c r="BA400" s="223"/>
      <c r="BB400" s="223"/>
      <c r="BC400" s="223"/>
      <c r="BD400" s="223"/>
      <c r="BE400" s="223"/>
      <c r="BF400" s="223"/>
      <c r="BG400" s="223"/>
      <c r="BH400" s="223"/>
      <c r="BI400" s="223"/>
      <c r="BJ400" s="223"/>
      <c r="BK400" s="223"/>
      <c r="BL400" s="223"/>
      <c r="BM400" s="223"/>
      <c r="BN400" s="223"/>
      <c r="BO400" s="223"/>
      <c r="BP400" s="223"/>
      <c r="BQ400" s="227"/>
      <c r="BR400" s="227"/>
      <c r="BS400" s="227"/>
      <c r="BT400" s="227"/>
      <c r="BU400" s="227"/>
      <c r="BV400" s="227"/>
      <c r="BW400" s="227"/>
      <c r="BX400" s="227"/>
      <c r="BY400" s="227"/>
      <c r="BZ400" s="227"/>
      <c r="CA400" s="227"/>
      <c r="CB400" s="227"/>
      <c r="CC400" s="227"/>
      <c r="CD400" s="227"/>
      <c r="CE400" s="227"/>
      <c r="CF400" s="227"/>
      <c r="CG400" s="227"/>
      <c r="CH400" s="227"/>
      <c r="CI400" s="227"/>
      <c r="CJ400" s="227"/>
      <c r="CK400" s="227"/>
      <c r="CL400" s="227"/>
      <c r="CM400" s="227"/>
      <c r="CN400" s="227"/>
      <c r="CO400" s="227"/>
      <c r="CP400" s="227"/>
      <c r="CQ400" s="227"/>
      <c r="CR400" s="227"/>
      <c r="CS400" s="227"/>
      <c r="CT400" s="227"/>
      <c r="CU400" s="225"/>
      <c r="CV400" s="227"/>
    </row>
    <row r="401" spans="1:100" ht="20.100000000000001" customHeight="1">
      <c r="A401" s="227">
        <v>197</v>
      </c>
      <c r="B401" s="225"/>
      <c r="C401" s="227"/>
      <c r="D401" s="228" cm="1">
        <f t="array" ref="D401">IFERROR(
(SUMPRODUCT(E401:CU401*$E$6:$CU$6)/100) + (SUMPRODUCT(E401:CU401*$E$6:$CU$6*$E$3:$CU$3)/100),
0
)</f>
        <v>0</v>
      </c>
      <c r="E401" s="227"/>
      <c r="F401" s="227"/>
      <c r="G401" s="227"/>
      <c r="H401" s="227"/>
      <c r="I401" s="227"/>
      <c r="J401" s="227"/>
      <c r="K401" s="227"/>
      <c r="L401" s="227"/>
      <c r="M401" s="227"/>
      <c r="N401" s="227"/>
      <c r="O401" s="227"/>
      <c r="P401" s="227"/>
      <c r="Q401" s="227"/>
      <c r="R401" s="227"/>
      <c r="S401" s="227"/>
      <c r="T401" s="227"/>
      <c r="U401" s="227"/>
      <c r="V401" s="227"/>
      <c r="W401" s="227"/>
      <c r="X401" s="227"/>
      <c r="Y401" s="227"/>
      <c r="Z401" s="227"/>
      <c r="AA401" s="227"/>
      <c r="AB401" s="227"/>
      <c r="AC401" s="227"/>
      <c r="AD401" s="227"/>
      <c r="AE401" s="227"/>
      <c r="AF401" s="227"/>
      <c r="AG401" s="227"/>
      <c r="AH401" s="227"/>
      <c r="AI401" s="227"/>
      <c r="AJ401" s="227"/>
      <c r="AK401" s="227"/>
      <c r="AL401" s="227"/>
      <c r="AM401" s="227"/>
      <c r="AN401" s="227"/>
      <c r="AO401" s="227"/>
      <c r="AP401" s="227"/>
      <c r="AQ401" s="227"/>
      <c r="AR401" s="227"/>
      <c r="AS401" s="227"/>
      <c r="AT401" s="227"/>
      <c r="AU401" s="227"/>
      <c r="AV401" s="227"/>
      <c r="AW401" s="227"/>
      <c r="AX401" s="227"/>
      <c r="AY401" s="227"/>
      <c r="AZ401" s="227"/>
      <c r="BA401" s="227"/>
      <c r="BB401" s="227"/>
      <c r="BC401" s="227"/>
      <c r="BD401" s="227"/>
      <c r="BE401" s="227"/>
      <c r="BF401" s="227"/>
      <c r="BG401" s="227"/>
      <c r="BH401" s="227"/>
      <c r="BI401" s="227"/>
      <c r="BJ401" s="227"/>
      <c r="BK401" s="227"/>
      <c r="BL401" s="227"/>
      <c r="BM401" s="227"/>
      <c r="BN401" s="227"/>
      <c r="BO401" s="227"/>
      <c r="BP401" s="227"/>
      <c r="BQ401" s="227"/>
      <c r="BR401" s="227"/>
      <c r="BS401" s="227"/>
      <c r="BT401" s="227"/>
      <c r="BU401" s="227"/>
      <c r="BV401" s="227"/>
      <c r="BW401" s="227"/>
      <c r="BX401" s="227"/>
      <c r="BY401" s="227"/>
      <c r="BZ401" s="227"/>
      <c r="CA401" s="227"/>
      <c r="CB401" s="227"/>
      <c r="CC401" s="227"/>
      <c r="CD401" s="227"/>
      <c r="CE401" s="227"/>
      <c r="CF401" s="227"/>
      <c r="CG401" s="227"/>
      <c r="CH401" s="227"/>
      <c r="CI401" s="227"/>
      <c r="CJ401" s="227"/>
      <c r="CK401" s="227"/>
      <c r="CL401" s="227"/>
      <c r="CM401" s="227"/>
      <c r="CN401" s="227"/>
      <c r="CO401" s="227"/>
      <c r="CP401" s="227"/>
      <c r="CQ401" s="227"/>
      <c r="CR401" s="227"/>
      <c r="CS401" s="227"/>
      <c r="CT401" s="227"/>
      <c r="CU401" s="225"/>
      <c r="CV401" s="227"/>
    </row>
    <row r="402" spans="1:100" ht="20.100000000000001" customHeight="1">
      <c r="A402" s="227"/>
      <c r="B402" s="225"/>
      <c r="C402" s="227"/>
      <c r="D402" s="224"/>
      <c r="E402" s="223"/>
      <c r="F402" s="223"/>
      <c r="G402" s="223"/>
      <c r="H402" s="223"/>
      <c r="I402" s="223"/>
      <c r="J402" s="223"/>
      <c r="K402" s="223"/>
      <c r="L402" s="223"/>
      <c r="M402" s="223"/>
      <c r="N402" s="223"/>
      <c r="O402" s="223"/>
      <c r="P402" s="223"/>
      <c r="Q402" s="223"/>
      <c r="R402" s="223"/>
      <c r="S402" s="223"/>
      <c r="T402" s="223"/>
      <c r="U402" s="223"/>
      <c r="V402" s="223"/>
      <c r="W402" s="223"/>
      <c r="X402" s="223"/>
      <c r="Y402" s="223"/>
      <c r="Z402" s="223"/>
      <c r="AA402" s="223"/>
      <c r="AB402" s="223"/>
      <c r="AC402" s="223"/>
      <c r="AD402" s="223"/>
      <c r="AE402" s="223"/>
      <c r="AF402" s="223"/>
      <c r="AG402" s="223"/>
      <c r="AH402" s="223"/>
      <c r="AI402" s="223"/>
      <c r="AJ402" s="223"/>
      <c r="AK402" s="223"/>
      <c r="AL402" s="223"/>
      <c r="AM402" s="223"/>
      <c r="AN402" s="223"/>
      <c r="AO402" s="223"/>
      <c r="AP402" s="223"/>
      <c r="AQ402" s="223"/>
      <c r="AR402" s="223"/>
      <c r="AS402" s="223"/>
      <c r="AT402" s="223"/>
      <c r="AU402" s="223"/>
      <c r="AV402" s="223"/>
      <c r="AW402" s="223"/>
      <c r="AX402" s="223"/>
      <c r="AY402" s="223"/>
      <c r="AZ402" s="223"/>
      <c r="BA402" s="223"/>
      <c r="BB402" s="223"/>
      <c r="BC402" s="223"/>
      <c r="BD402" s="223"/>
      <c r="BE402" s="223"/>
      <c r="BF402" s="223"/>
      <c r="BG402" s="223"/>
      <c r="BH402" s="223"/>
      <c r="BI402" s="223"/>
      <c r="BJ402" s="223"/>
      <c r="BK402" s="223"/>
      <c r="BL402" s="223"/>
      <c r="BM402" s="223"/>
      <c r="BN402" s="223"/>
      <c r="BO402" s="223"/>
      <c r="BP402" s="223"/>
      <c r="BQ402" s="227"/>
      <c r="BR402" s="227"/>
      <c r="BS402" s="227"/>
      <c r="BT402" s="227"/>
      <c r="BU402" s="227"/>
      <c r="BV402" s="227"/>
      <c r="BW402" s="227"/>
      <c r="BX402" s="227"/>
      <c r="BY402" s="227"/>
      <c r="BZ402" s="227"/>
      <c r="CA402" s="227"/>
      <c r="CB402" s="227"/>
      <c r="CC402" s="227"/>
      <c r="CD402" s="227"/>
      <c r="CE402" s="227"/>
      <c r="CF402" s="227"/>
      <c r="CG402" s="227"/>
      <c r="CH402" s="227"/>
      <c r="CI402" s="227"/>
      <c r="CJ402" s="227"/>
      <c r="CK402" s="227"/>
      <c r="CL402" s="227"/>
      <c r="CM402" s="227"/>
      <c r="CN402" s="227"/>
      <c r="CO402" s="227"/>
      <c r="CP402" s="227"/>
      <c r="CQ402" s="227"/>
      <c r="CR402" s="227"/>
      <c r="CS402" s="227"/>
      <c r="CT402" s="227"/>
      <c r="CU402" s="225"/>
      <c r="CV402" s="227"/>
    </row>
    <row r="403" spans="1:100" ht="20.100000000000001" customHeight="1">
      <c r="A403" s="227">
        <v>198</v>
      </c>
      <c r="B403" s="225"/>
      <c r="C403" s="227"/>
      <c r="D403" s="228" cm="1">
        <f t="array" ref="D403">IFERROR(
(SUMPRODUCT(E403:CU403*$E$6:$CU$6)/100) + (SUMPRODUCT(E403:CU403*$E$6:$CU$6*$E$3:$CU$3)/100),
0
)</f>
        <v>0</v>
      </c>
      <c r="E403" s="227"/>
      <c r="F403" s="227"/>
      <c r="G403" s="227"/>
      <c r="H403" s="227"/>
      <c r="I403" s="227"/>
      <c r="J403" s="227"/>
      <c r="K403" s="227"/>
      <c r="L403" s="227"/>
      <c r="M403" s="227"/>
      <c r="N403" s="227"/>
      <c r="O403" s="227"/>
      <c r="P403" s="227"/>
      <c r="Q403" s="227"/>
      <c r="R403" s="227"/>
      <c r="S403" s="227"/>
      <c r="T403" s="227"/>
      <c r="U403" s="227"/>
      <c r="V403" s="227"/>
      <c r="W403" s="227"/>
      <c r="X403" s="227"/>
      <c r="Y403" s="227"/>
      <c r="Z403" s="227"/>
      <c r="AA403" s="227"/>
      <c r="AB403" s="227"/>
      <c r="AC403" s="227"/>
      <c r="AD403" s="227"/>
      <c r="AE403" s="227"/>
      <c r="AF403" s="227"/>
      <c r="AG403" s="227"/>
      <c r="AH403" s="227"/>
      <c r="AI403" s="227"/>
      <c r="AJ403" s="227"/>
      <c r="AK403" s="227"/>
      <c r="AL403" s="227"/>
      <c r="AM403" s="227"/>
      <c r="AN403" s="227"/>
      <c r="AO403" s="227"/>
      <c r="AP403" s="227"/>
      <c r="AQ403" s="227"/>
      <c r="AR403" s="227"/>
      <c r="AS403" s="227"/>
      <c r="AT403" s="227"/>
      <c r="AU403" s="227"/>
      <c r="AV403" s="227"/>
      <c r="AW403" s="227"/>
      <c r="AX403" s="227"/>
      <c r="AY403" s="227"/>
      <c r="AZ403" s="227"/>
      <c r="BA403" s="227"/>
      <c r="BB403" s="227"/>
      <c r="BC403" s="227"/>
      <c r="BD403" s="227"/>
      <c r="BE403" s="227"/>
      <c r="BF403" s="227"/>
      <c r="BG403" s="227"/>
      <c r="BH403" s="227"/>
      <c r="BI403" s="227"/>
      <c r="BJ403" s="227"/>
      <c r="BK403" s="227"/>
      <c r="BL403" s="227"/>
      <c r="BM403" s="227"/>
      <c r="BN403" s="227"/>
      <c r="BO403" s="227"/>
      <c r="BP403" s="227"/>
      <c r="BQ403" s="227"/>
      <c r="BR403" s="227"/>
      <c r="BS403" s="227"/>
      <c r="BT403" s="227"/>
      <c r="BU403" s="227"/>
      <c r="BV403" s="227"/>
      <c r="BW403" s="227"/>
      <c r="BX403" s="227"/>
      <c r="BY403" s="227"/>
      <c r="BZ403" s="227"/>
      <c r="CA403" s="227"/>
      <c r="CB403" s="227"/>
      <c r="CC403" s="227"/>
      <c r="CD403" s="227"/>
      <c r="CE403" s="227"/>
      <c r="CF403" s="227"/>
      <c r="CG403" s="227"/>
      <c r="CH403" s="227"/>
      <c r="CI403" s="227"/>
      <c r="CJ403" s="227"/>
      <c r="CK403" s="227"/>
      <c r="CL403" s="227"/>
      <c r="CM403" s="227"/>
      <c r="CN403" s="227"/>
      <c r="CO403" s="227"/>
      <c r="CP403" s="227"/>
      <c r="CQ403" s="227"/>
      <c r="CR403" s="227"/>
      <c r="CS403" s="227"/>
      <c r="CT403" s="227"/>
      <c r="CU403" s="225"/>
      <c r="CV403" s="227"/>
    </row>
    <row r="404" spans="1:100" ht="20.100000000000001" customHeight="1">
      <c r="A404" s="223"/>
      <c r="B404" s="225"/>
      <c r="C404" s="227"/>
      <c r="D404" s="224"/>
      <c r="E404" s="223"/>
      <c r="F404" s="223"/>
      <c r="G404" s="223"/>
      <c r="H404" s="223"/>
      <c r="I404" s="223"/>
      <c r="J404" s="223"/>
      <c r="K404" s="223"/>
      <c r="L404" s="223"/>
      <c r="M404" s="223"/>
      <c r="N404" s="223"/>
      <c r="O404" s="223"/>
      <c r="P404" s="223"/>
      <c r="Q404" s="223"/>
      <c r="R404" s="223"/>
      <c r="S404" s="223"/>
      <c r="T404" s="223"/>
      <c r="U404" s="223"/>
      <c r="V404" s="223"/>
      <c r="W404" s="223"/>
      <c r="X404" s="223"/>
      <c r="Y404" s="223"/>
      <c r="Z404" s="223"/>
      <c r="AA404" s="223"/>
      <c r="AB404" s="223"/>
      <c r="AC404" s="223"/>
      <c r="AD404" s="223"/>
      <c r="AE404" s="223"/>
      <c r="AF404" s="223"/>
      <c r="AG404" s="223"/>
      <c r="AH404" s="223"/>
      <c r="AI404" s="223"/>
      <c r="AJ404" s="223"/>
      <c r="AK404" s="223"/>
      <c r="AL404" s="223"/>
      <c r="AM404" s="223"/>
      <c r="AN404" s="223"/>
      <c r="AO404" s="223"/>
      <c r="AP404" s="223"/>
      <c r="AQ404" s="223"/>
      <c r="AR404" s="223"/>
      <c r="AS404" s="223"/>
      <c r="AT404" s="223"/>
      <c r="AU404" s="223"/>
      <c r="AV404" s="223"/>
      <c r="AW404" s="223"/>
      <c r="AX404" s="223"/>
      <c r="AY404" s="223"/>
      <c r="AZ404" s="223"/>
      <c r="BA404" s="223"/>
      <c r="BB404" s="223"/>
      <c r="BC404" s="223"/>
      <c r="BD404" s="223"/>
      <c r="BE404" s="223"/>
      <c r="BF404" s="223"/>
      <c r="BG404" s="223"/>
      <c r="BH404" s="223"/>
      <c r="BI404" s="223"/>
      <c r="BJ404" s="223"/>
      <c r="BK404" s="223"/>
      <c r="BL404" s="223"/>
      <c r="BM404" s="223"/>
      <c r="BN404" s="223"/>
      <c r="BO404" s="223"/>
      <c r="BP404" s="223"/>
      <c r="BQ404" s="227"/>
      <c r="BR404" s="227"/>
      <c r="BS404" s="227"/>
      <c r="BT404" s="227"/>
      <c r="BU404" s="227"/>
      <c r="BV404" s="227"/>
      <c r="BW404" s="227"/>
      <c r="BX404" s="227"/>
      <c r="BY404" s="227"/>
      <c r="BZ404" s="227"/>
      <c r="CA404" s="227"/>
      <c r="CB404" s="227"/>
      <c r="CC404" s="227"/>
      <c r="CD404" s="227"/>
      <c r="CE404" s="227"/>
      <c r="CF404" s="227"/>
      <c r="CG404" s="227"/>
      <c r="CH404" s="227"/>
      <c r="CI404" s="227"/>
      <c r="CJ404" s="227"/>
      <c r="CK404" s="227"/>
      <c r="CL404" s="227"/>
      <c r="CM404" s="227"/>
      <c r="CN404" s="227"/>
      <c r="CO404" s="227"/>
      <c r="CP404" s="227"/>
      <c r="CQ404" s="227"/>
      <c r="CR404" s="227"/>
      <c r="CS404" s="227"/>
      <c r="CT404" s="227"/>
      <c r="CU404" s="225"/>
      <c r="CV404" s="227"/>
    </row>
    <row r="405" spans="1:100" ht="20.100000000000001" customHeight="1">
      <c r="A405" s="227">
        <v>199</v>
      </c>
      <c r="B405" s="225"/>
      <c r="C405" s="227"/>
      <c r="D405" s="228" cm="1">
        <f t="array" ref="D405">IFERROR(
(SUMPRODUCT(E405:CU405*$E$6:$CU$6)/100) + (SUMPRODUCT(E405:CU405*$E$6:$CU$6*$E$3:$CU$3)/100),
0
)</f>
        <v>0</v>
      </c>
      <c r="E405" s="227"/>
      <c r="F405" s="227"/>
      <c r="G405" s="227"/>
      <c r="H405" s="227"/>
      <c r="I405" s="227"/>
      <c r="J405" s="227"/>
      <c r="K405" s="227"/>
      <c r="L405" s="227"/>
      <c r="M405" s="227"/>
      <c r="N405" s="227"/>
      <c r="O405" s="227"/>
      <c r="P405" s="227"/>
      <c r="Q405" s="227"/>
      <c r="R405" s="227"/>
      <c r="S405" s="227"/>
      <c r="T405" s="227"/>
      <c r="U405" s="227"/>
      <c r="V405" s="227"/>
      <c r="W405" s="227"/>
      <c r="X405" s="227"/>
      <c r="Y405" s="227"/>
      <c r="Z405" s="227"/>
      <c r="AA405" s="227"/>
      <c r="AB405" s="227"/>
      <c r="AC405" s="227"/>
      <c r="AD405" s="227"/>
      <c r="AE405" s="227"/>
      <c r="AF405" s="227"/>
      <c r="AG405" s="227"/>
      <c r="AH405" s="227"/>
      <c r="AI405" s="227"/>
      <c r="AJ405" s="227"/>
      <c r="AK405" s="227"/>
      <c r="AL405" s="227"/>
      <c r="AM405" s="227"/>
      <c r="AN405" s="227"/>
      <c r="AO405" s="227"/>
      <c r="AP405" s="227"/>
      <c r="AQ405" s="227"/>
      <c r="AR405" s="227"/>
      <c r="AS405" s="227"/>
      <c r="AT405" s="227"/>
      <c r="AU405" s="227"/>
      <c r="AV405" s="227"/>
      <c r="AW405" s="227"/>
      <c r="AX405" s="227"/>
      <c r="AY405" s="227"/>
      <c r="AZ405" s="227"/>
      <c r="BA405" s="227"/>
      <c r="BB405" s="227"/>
      <c r="BC405" s="227"/>
      <c r="BD405" s="227"/>
      <c r="BE405" s="227"/>
      <c r="BF405" s="227"/>
      <c r="BG405" s="227"/>
      <c r="BH405" s="227"/>
      <c r="BI405" s="227"/>
      <c r="BJ405" s="227"/>
      <c r="BK405" s="227"/>
      <c r="BL405" s="227"/>
      <c r="BM405" s="227"/>
      <c r="BN405" s="227"/>
      <c r="BO405" s="227"/>
      <c r="BP405" s="227"/>
      <c r="BQ405" s="227"/>
      <c r="BR405" s="227"/>
      <c r="BS405" s="227"/>
      <c r="BT405" s="227"/>
      <c r="BU405" s="227"/>
      <c r="BV405" s="227"/>
      <c r="BW405" s="227"/>
      <c r="BX405" s="227"/>
      <c r="BY405" s="227"/>
      <c r="BZ405" s="227"/>
      <c r="CA405" s="227"/>
      <c r="CB405" s="227"/>
      <c r="CC405" s="227"/>
      <c r="CD405" s="227"/>
      <c r="CE405" s="227"/>
      <c r="CF405" s="227"/>
      <c r="CG405" s="227"/>
      <c r="CH405" s="227"/>
      <c r="CI405" s="227"/>
      <c r="CJ405" s="227"/>
      <c r="CK405" s="227"/>
      <c r="CL405" s="227"/>
      <c r="CM405" s="227"/>
      <c r="CN405" s="227"/>
      <c r="CO405" s="227"/>
      <c r="CP405" s="227"/>
      <c r="CQ405" s="227"/>
      <c r="CR405" s="227"/>
      <c r="CS405" s="227"/>
      <c r="CT405" s="227"/>
      <c r="CU405" s="225"/>
      <c r="CV405" s="227"/>
    </row>
    <row r="406" spans="1:100" ht="20.100000000000001" customHeight="1">
      <c r="A406" s="227"/>
      <c r="B406" s="225"/>
      <c r="C406" s="227"/>
      <c r="D406" s="224"/>
      <c r="E406" s="223"/>
      <c r="F406" s="223"/>
      <c r="G406" s="223"/>
      <c r="H406" s="223"/>
      <c r="I406" s="223"/>
      <c r="J406" s="223"/>
      <c r="K406" s="223"/>
      <c r="L406" s="223"/>
      <c r="M406" s="223"/>
      <c r="N406" s="223"/>
      <c r="O406" s="223"/>
      <c r="P406" s="223"/>
      <c r="Q406" s="223"/>
      <c r="R406" s="223"/>
      <c r="S406" s="223"/>
      <c r="T406" s="223"/>
      <c r="U406" s="223"/>
      <c r="V406" s="223"/>
      <c r="W406" s="223"/>
      <c r="X406" s="223"/>
      <c r="Y406" s="223"/>
      <c r="Z406" s="223"/>
      <c r="AA406" s="223"/>
      <c r="AB406" s="223"/>
      <c r="AC406" s="223"/>
      <c r="AD406" s="223"/>
      <c r="AE406" s="223"/>
      <c r="AF406" s="223"/>
      <c r="AG406" s="223"/>
      <c r="AH406" s="223"/>
      <c r="AI406" s="223"/>
      <c r="AJ406" s="223"/>
      <c r="AK406" s="223"/>
      <c r="AL406" s="223"/>
      <c r="AM406" s="223"/>
      <c r="AN406" s="223"/>
      <c r="AO406" s="223"/>
      <c r="AP406" s="223"/>
      <c r="AQ406" s="223"/>
      <c r="AR406" s="223"/>
      <c r="AS406" s="223"/>
      <c r="AT406" s="223"/>
      <c r="AU406" s="223"/>
      <c r="AV406" s="223"/>
      <c r="AW406" s="223"/>
      <c r="AX406" s="223"/>
      <c r="AY406" s="223"/>
      <c r="AZ406" s="223"/>
      <c r="BA406" s="223"/>
      <c r="BB406" s="223"/>
      <c r="BC406" s="223"/>
      <c r="BD406" s="223"/>
      <c r="BE406" s="223"/>
      <c r="BF406" s="223"/>
      <c r="BG406" s="223"/>
      <c r="BH406" s="223"/>
      <c r="BI406" s="223"/>
      <c r="BJ406" s="223"/>
      <c r="BK406" s="223"/>
      <c r="BL406" s="223"/>
      <c r="BM406" s="223"/>
      <c r="BN406" s="223"/>
      <c r="BO406" s="223"/>
      <c r="BP406" s="223"/>
      <c r="BQ406" s="227"/>
      <c r="BR406" s="227"/>
      <c r="BS406" s="227"/>
      <c r="BT406" s="227"/>
      <c r="BU406" s="227"/>
      <c r="BV406" s="227"/>
      <c r="BW406" s="227"/>
      <c r="BX406" s="227"/>
      <c r="BY406" s="227"/>
      <c r="BZ406" s="227"/>
      <c r="CA406" s="227"/>
      <c r="CB406" s="227"/>
      <c r="CC406" s="227"/>
      <c r="CD406" s="227"/>
      <c r="CE406" s="227"/>
      <c r="CF406" s="227"/>
      <c r="CG406" s="227"/>
      <c r="CH406" s="227"/>
      <c r="CI406" s="227"/>
      <c r="CJ406" s="227"/>
      <c r="CK406" s="227"/>
      <c r="CL406" s="227"/>
      <c r="CM406" s="227"/>
      <c r="CN406" s="227"/>
      <c r="CO406" s="227"/>
      <c r="CP406" s="227"/>
      <c r="CQ406" s="227"/>
      <c r="CR406" s="227"/>
      <c r="CS406" s="227"/>
      <c r="CT406" s="227"/>
      <c r="CU406" s="225"/>
      <c r="CV406" s="227"/>
    </row>
    <row r="407" spans="1:100" ht="20.100000000000001" customHeight="1">
      <c r="A407" s="227">
        <v>200</v>
      </c>
      <c r="B407" s="225"/>
      <c r="C407" s="227"/>
      <c r="D407" s="228" cm="1">
        <f t="array" ref="D407">IFERROR(
(SUMPRODUCT(E407:CU407*$E$6:$CU$6)/100) + (SUMPRODUCT(E407:CU407*$E$6:$CU$6*$E$3:$CU$3)/100),
0
)</f>
        <v>0</v>
      </c>
      <c r="E407" s="227"/>
      <c r="F407" s="227"/>
      <c r="G407" s="227"/>
      <c r="H407" s="227"/>
      <c r="I407" s="227"/>
      <c r="J407" s="227"/>
      <c r="K407" s="227"/>
      <c r="L407" s="227"/>
      <c r="M407" s="227"/>
      <c r="N407" s="227"/>
      <c r="O407" s="227"/>
      <c r="P407" s="227"/>
      <c r="Q407" s="227"/>
      <c r="R407" s="227"/>
      <c r="S407" s="227"/>
      <c r="T407" s="227"/>
      <c r="U407" s="227"/>
      <c r="V407" s="227"/>
      <c r="W407" s="227"/>
      <c r="X407" s="227"/>
      <c r="Y407" s="227"/>
      <c r="Z407" s="227"/>
      <c r="AA407" s="227"/>
      <c r="AB407" s="227"/>
      <c r="AC407" s="227"/>
      <c r="AD407" s="227"/>
      <c r="AE407" s="227"/>
      <c r="AF407" s="227"/>
      <c r="AG407" s="227"/>
      <c r="AH407" s="227"/>
      <c r="AI407" s="227"/>
      <c r="AJ407" s="227"/>
      <c r="AK407" s="227"/>
      <c r="AL407" s="227"/>
      <c r="AM407" s="227"/>
      <c r="AN407" s="227"/>
      <c r="AO407" s="227"/>
      <c r="AP407" s="227"/>
      <c r="AQ407" s="227"/>
      <c r="AR407" s="227"/>
      <c r="AS407" s="227"/>
      <c r="AT407" s="227"/>
      <c r="AU407" s="227"/>
      <c r="AV407" s="227"/>
      <c r="AW407" s="227"/>
      <c r="AX407" s="227"/>
      <c r="AY407" s="227"/>
      <c r="AZ407" s="227"/>
      <c r="BA407" s="227"/>
      <c r="BB407" s="227"/>
      <c r="BC407" s="227"/>
      <c r="BD407" s="227"/>
      <c r="BE407" s="227"/>
      <c r="BF407" s="227"/>
      <c r="BG407" s="227"/>
      <c r="BH407" s="227"/>
      <c r="BI407" s="227"/>
      <c r="BJ407" s="227"/>
      <c r="BK407" s="227"/>
      <c r="BL407" s="227"/>
      <c r="BM407" s="227"/>
      <c r="BN407" s="227"/>
      <c r="BO407" s="227"/>
      <c r="BP407" s="227"/>
      <c r="BQ407" s="227"/>
      <c r="BR407" s="227"/>
      <c r="BS407" s="227"/>
      <c r="BT407" s="227"/>
      <c r="BU407" s="227"/>
      <c r="BV407" s="227"/>
      <c r="BW407" s="227"/>
      <c r="BX407" s="227"/>
      <c r="BY407" s="227"/>
      <c r="BZ407" s="227"/>
      <c r="CA407" s="227"/>
      <c r="CB407" s="227"/>
      <c r="CC407" s="227"/>
      <c r="CD407" s="227"/>
      <c r="CE407" s="227"/>
      <c r="CF407" s="227"/>
      <c r="CG407" s="227"/>
      <c r="CH407" s="227"/>
      <c r="CI407" s="227"/>
      <c r="CJ407" s="227"/>
      <c r="CK407" s="227"/>
      <c r="CL407" s="227"/>
      <c r="CM407" s="227"/>
      <c r="CN407" s="227"/>
      <c r="CO407" s="227"/>
      <c r="CP407" s="227"/>
      <c r="CQ407" s="227"/>
      <c r="CR407" s="227"/>
      <c r="CS407" s="227"/>
      <c r="CT407" s="227"/>
      <c r="CU407" s="225"/>
      <c r="CV407" s="227"/>
    </row>
    <row r="408" spans="1:100" ht="20.100000000000001" customHeight="1">
      <c r="A408" s="223"/>
      <c r="B408" s="225"/>
      <c r="C408" s="227"/>
      <c r="D408" s="224"/>
      <c r="E408" s="227"/>
      <c r="F408" s="227"/>
      <c r="G408" s="227"/>
      <c r="H408" s="227"/>
      <c r="I408" s="227"/>
      <c r="J408" s="227"/>
      <c r="K408" s="227"/>
      <c r="L408" s="227"/>
      <c r="M408" s="227"/>
      <c r="N408" s="227"/>
      <c r="O408" s="227"/>
      <c r="P408" s="227"/>
      <c r="Q408" s="227"/>
      <c r="R408" s="227"/>
      <c r="S408" s="227"/>
      <c r="T408" s="227"/>
      <c r="U408" s="227"/>
      <c r="V408" s="227"/>
      <c r="W408" s="227"/>
      <c r="X408" s="227"/>
      <c r="Y408" s="227"/>
      <c r="Z408" s="227"/>
      <c r="AA408" s="227"/>
      <c r="AB408" s="227"/>
      <c r="AC408" s="227"/>
      <c r="AD408" s="227"/>
      <c r="AE408" s="227"/>
      <c r="AF408" s="227"/>
      <c r="AG408" s="227"/>
      <c r="AH408" s="227"/>
      <c r="AI408" s="227"/>
      <c r="AJ408" s="227"/>
      <c r="AK408" s="227"/>
      <c r="AL408" s="227"/>
      <c r="AM408" s="227"/>
      <c r="AN408" s="227"/>
      <c r="AO408" s="227"/>
      <c r="AP408" s="227"/>
      <c r="AQ408" s="227"/>
      <c r="AR408" s="227"/>
      <c r="AS408" s="227"/>
      <c r="AT408" s="227"/>
      <c r="AU408" s="227"/>
      <c r="AV408" s="227"/>
      <c r="AW408" s="227"/>
      <c r="AX408" s="227"/>
      <c r="AY408" s="227"/>
      <c r="AZ408" s="227"/>
      <c r="BA408" s="227"/>
      <c r="BB408" s="227"/>
      <c r="BC408" s="227"/>
      <c r="BD408" s="227"/>
      <c r="BE408" s="227"/>
      <c r="BF408" s="227"/>
      <c r="BG408" s="227"/>
      <c r="BH408" s="227"/>
      <c r="BI408" s="227"/>
      <c r="BJ408" s="227"/>
      <c r="BK408" s="227"/>
      <c r="BL408" s="227"/>
      <c r="BM408" s="227"/>
      <c r="BN408" s="227"/>
      <c r="BO408" s="227"/>
      <c r="BP408" s="227"/>
      <c r="BQ408" s="227"/>
      <c r="BR408" s="227"/>
      <c r="BS408" s="227"/>
      <c r="BT408" s="227"/>
      <c r="BU408" s="227"/>
      <c r="BV408" s="227"/>
      <c r="BW408" s="227"/>
      <c r="BX408" s="227"/>
      <c r="BY408" s="227"/>
      <c r="BZ408" s="227"/>
      <c r="CA408" s="227"/>
      <c r="CB408" s="227"/>
      <c r="CC408" s="227"/>
      <c r="CD408" s="227"/>
      <c r="CE408" s="227"/>
      <c r="CF408" s="227"/>
      <c r="CG408" s="227"/>
      <c r="CH408" s="227"/>
      <c r="CI408" s="227"/>
      <c r="CJ408" s="227"/>
      <c r="CK408" s="227"/>
      <c r="CL408" s="227"/>
      <c r="CM408" s="227"/>
      <c r="CN408" s="227"/>
      <c r="CO408" s="227"/>
      <c r="CP408" s="227"/>
      <c r="CQ408" s="227"/>
      <c r="CR408" s="227"/>
      <c r="CS408" s="227"/>
      <c r="CT408" s="227"/>
      <c r="CU408" s="225"/>
      <c r="CV408" s="227"/>
    </row>
    <row r="409" spans="1:100" ht="20.100000000000001" customHeight="1">
      <c r="A409" s="227">
        <v>201</v>
      </c>
      <c r="B409" s="225"/>
      <c r="C409" s="227"/>
      <c r="D409" s="228">
        <f>(SUMPRODUCT(E409:CU409*$E$6:$CU$6)/100)+(SUMPRODUCT(E409:CU409*$E$6:$CU$6*$E$3:$CU$3)/100)</f>
        <v>0</v>
      </c>
      <c r="E409" s="227"/>
      <c r="F409" s="227"/>
      <c r="G409" s="227"/>
      <c r="H409" s="227"/>
      <c r="I409" s="227"/>
      <c r="J409" s="227"/>
      <c r="K409" s="227"/>
      <c r="L409" s="227"/>
      <c r="M409" s="227"/>
      <c r="N409" s="227"/>
      <c r="O409" s="227"/>
      <c r="P409" s="227"/>
      <c r="Q409" s="227"/>
      <c r="R409" s="227"/>
      <c r="S409" s="227"/>
      <c r="T409" s="227"/>
      <c r="U409" s="227"/>
      <c r="V409" s="227"/>
      <c r="W409" s="227"/>
      <c r="X409" s="227"/>
      <c r="Y409" s="227"/>
      <c r="Z409" s="227"/>
      <c r="AA409" s="227"/>
      <c r="AB409" s="227"/>
      <c r="AC409" s="227"/>
      <c r="AD409" s="227"/>
      <c r="AE409" s="227"/>
      <c r="AF409" s="227"/>
      <c r="AG409" s="227"/>
      <c r="AH409" s="227"/>
      <c r="AI409" s="227"/>
      <c r="AJ409" s="227"/>
      <c r="AK409" s="227"/>
      <c r="AL409" s="227"/>
      <c r="AM409" s="227"/>
      <c r="AN409" s="227"/>
      <c r="AO409" s="227"/>
      <c r="AP409" s="227"/>
      <c r="AQ409" s="227"/>
      <c r="AR409" s="227"/>
      <c r="AS409" s="227"/>
      <c r="AT409" s="227"/>
      <c r="AU409" s="227"/>
      <c r="AV409" s="227"/>
      <c r="AW409" s="227"/>
      <c r="AX409" s="227"/>
      <c r="AY409" s="227"/>
      <c r="AZ409" s="227"/>
      <c r="BA409" s="227"/>
      <c r="BB409" s="227"/>
      <c r="BC409" s="227"/>
      <c r="BD409" s="227"/>
      <c r="BE409" s="227"/>
      <c r="BF409" s="227"/>
      <c r="BG409" s="227"/>
      <c r="BH409" s="227"/>
      <c r="BI409" s="227"/>
      <c r="BJ409" s="227"/>
      <c r="BK409" s="227"/>
      <c r="BL409" s="227"/>
      <c r="BM409" s="227"/>
      <c r="BN409" s="227"/>
      <c r="BO409" s="227"/>
      <c r="BP409" s="227"/>
      <c r="BQ409" s="227"/>
      <c r="BR409" s="227"/>
      <c r="BS409" s="227"/>
      <c r="BT409" s="227"/>
      <c r="BU409" s="227"/>
      <c r="BV409" s="227"/>
      <c r="BW409" s="227"/>
      <c r="BX409" s="227"/>
      <c r="BY409" s="227"/>
      <c r="BZ409" s="227"/>
      <c r="CA409" s="227"/>
      <c r="CB409" s="227"/>
      <c r="CC409" s="227"/>
      <c r="CD409" s="227"/>
      <c r="CE409" s="227"/>
      <c r="CF409" s="227"/>
      <c r="CG409" s="227"/>
      <c r="CH409" s="227"/>
      <c r="CI409" s="227"/>
      <c r="CJ409" s="227"/>
      <c r="CK409" s="227"/>
      <c r="CL409" s="227"/>
      <c r="CM409" s="227"/>
      <c r="CN409" s="227"/>
      <c r="CO409" s="227"/>
      <c r="CP409" s="227"/>
      <c r="CQ409" s="227"/>
      <c r="CR409" s="227"/>
      <c r="CS409" s="227"/>
      <c r="CT409" s="227"/>
      <c r="CU409" s="225"/>
      <c r="CV409" s="227"/>
    </row>
    <row r="410" spans="1:100" ht="20.100000000000001" customHeight="1">
      <c r="A410" s="227"/>
      <c r="B410" s="225"/>
      <c r="C410" s="227"/>
      <c r="D410" s="224"/>
      <c r="E410" s="227"/>
      <c r="F410" s="227"/>
      <c r="G410" s="227"/>
      <c r="H410" s="227"/>
      <c r="I410" s="227"/>
      <c r="J410" s="227"/>
      <c r="K410" s="227"/>
      <c r="L410" s="227"/>
      <c r="M410" s="227"/>
      <c r="N410" s="227"/>
      <c r="O410" s="227"/>
      <c r="P410" s="227"/>
      <c r="Q410" s="227"/>
      <c r="R410" s="227"/>
      <c r="S410" s="227"/>
      <c r="T410" s="227"/>
      <c r="U410" s="227"/>
      <c r="V410" s="227"/>
      <c r="W410" s="227"/>
      <c r="X410" s="227"/>
      <c r="Y410" s="227"/>
      <c r="Z410" s="227"/>
      <c r="AA410" s="227"/>
      <c r="AB410" s="227"/>
      <c r="AC410" s="227"/>
      <c r="AD410" s="227"/>
      <c r="AE410" s="227"/>
      <c r="AF410" s="227"/>
      <c r="AG410" s="227"/>
      <c r="AH410" s="227"/>
      <c r="AI410" s="227"/>
      <c r="AJ410" s="227"/>
      <c r="AK410" s="227"/>
      <c r="AL410" s="227"/>
      <c r="AM410" s="227"/>
      <c r="AN410" s="227"/>
      <c r="AO410" s="227"/>
      <c r="AP410" s="227"/>
      <c r="AQ410" s="227"/>
      <c r="AR410" s="227"/>
      <c r="AS410" s="227"/>
      <c r="AT410" s="227"/>
      <c r="AU410" s="227"/>
      <c r="AV410" s="227"/>
      <c r="AW410" s="227"/>
      <c r="AX410" s="227"/>
      <c r="AY410" s="227"/>
      <c r="AZ410" s="227"/>
      <c r="BA410" s="227"/>
      <c r="BB410" s="227"/>
      <c r="BC410" s="227"/>
      <c r="BD410" s="227"/>
      <c r="BE410" s="227"/>
      <c r="BF410" s="227"/>
      <c r="BG410" s="227"/>
      <c r="BH410" s="227"/>
      <c r="BI410" s="227"/>
      <c r="BJ410" s="227"/>
      <c r="BK410" s="227"/>
      <c r="BL410" s="227"/>
      <c r="BM410" s="227"/>
      <c r="BN410" s="227"/>
      <c r="BO410" s="227"/>
      <c r="BP410" s="227"/>
      <c r="BQ410" s="227"/>
      <c r="BR410" s="227"/>
      <c r="BS410" s="227"/>
      <c r="BT410" s="227"/>
      <c r="BU410" s="227"/>
      <c r="BV410" s="227"/>
      <c r="BW410" s="227"/>
      <c r="BX410" s="227"/>
      <c r="BY410" s="227"/>
      <c r="BZ410" s="227"/>
      <c r="CA410" s="227"/>
      <c r="CB410" s="227"/>
      <c r="CC410" s="227"/>
      <c r="CD410" s="227"/>
      <c r="CE410" s="227"/>
      <c r="CF410" s="227"/>
      <c r="CG410" s="227"/>
      <c r="CH410" s="227"/>
      <c r="CI410" s="227"/>
      <c r="CJ410" s="227"/>
      <c r="CK410" s="227"/>
      <c r="CL410" s="227"/>
      <c r="CM410" s="227"/>
      <c r="CN410" s="227"/>
      <c r="CO410" s="227"/>
      <c r="CP410" s="227"/>
      <c r="CQ410" s="227"/>
      <c r="CR410" s="227"/>
      <c r="CS410" s="227"/>
      <c r="CT410" s="227"/>
      <c r="CU410" s="225"/>
      <c r="CV410" s="227"/>
    </row>
    <row r="411" spans="1:100" ht="20.100000000000001" customHeight="1">
      <c r="A411" s="227">
        <v>202</v>
      </c>
      <c r="B411" s="225"/>
      <c r="C411" s="227"/>
      <c r="D411" s="228">
        <f>(SUMPRODUCT(E411:CU411*$E$6:$CU$6)/100)+(SUMPRODUCT(E411:CU411*$E$6:$CU$6*$E$3:$CU$3)/100)</f>
        <v>0</v>
      </c>
      <c r="E411" s="227"/>
      <c r="F411" s="227"/>
      <c r="G411" s="227"/>
      <c r="H411" s="227"/>
      <c r="I411" s="227"/>
      <c r="J411" s="227"/>
      <c r="K411" s="227"/>
      <c r="L411" s="227"/>
      <c r="M411" s="227"/>
      <c r="N411" s="227"/>
      <c r="O411" s="227"/>
      <c r="P411" s="227"/>
      <c r="Q411" s="227"/>
      <c r="R411" s="227"/>
      <c r="S411" s="227"/>
      <c r="T411" s="227"/>
      <c r="U411" s="227"/>
      <c r="V411" s="227"/>
      <c r="W411" s="227"/>
      <c r="X411" s="227"/>
      <c r="Y411" s="227"/>
      <c r="Z411" s="227"/>
      <c r="AA411" s="227"/>
      <c r="AB411" s="227"/>
      <c r="AC411" s="227"/>
      <c r="AD411" s="227"/>
      <c r="AE411" s="227"/>
      <c r="AF411" s="227"/>
      <c r="AG411" s="227"/>
      <c r="AH411" s="227"/>
      <c r="AI411" s="227"/>
      <c r="AJ411" s="227"/>
      <c r="AK411" s="227"/>
      <c r="AL411" s="227"/>
      <c r="AM411" s="227"/>
      <c r="AN411" s="227"/>
      <c r="AO411" s="227"/>
      <c r="AP411" s="227"/>
      <c r="AQ411" s="227"/>
      <c r="AR411" s="227"/>
      <c r="AS411" s="227"/>
      <c r="AT411" s="227"/>
      <c r="AU411" s="227"/>
      <c r="AV411" s="227"/>
      <c r="AW411" s="227"/>
      <c r="AX411" s="227"/>
      <c r="AY411" s="227"/>
      <c r="AZ411" s="227"/>
      <c r="BA411" s="227"/>
      <c r="BB411" s="227"/>
      <c r="BC411" s="227"/>
      <c r="BD411" s="227"/>
      <c r="BE411" s="227"/>
      <c r="BF411" s="227"/>
      <c r="BG411" s="227"/>
      <c r="BH411" s="227"/>
      <c r="BI411" s="227"/>
      <c r="BJ411" s="227"/>
      <c r="BK411" s="227"/>
      <c r="BL411" s="227"/>
      <c r="BM411" s="227"/>
      <c r="BN411" s="227"/>
      <c r="BO411" s="227"/>
      <c r="BP411" s="227"/>
      <c r="BQ411" s="227"/>
      <c r="BR411" s="227"/>
      <c r="BS411" s="227"/>
      <c r="BT411" s="227"/>
      <c r="BU411" s="227"/>
      <c r="BV411" s="227"/>
      <c r="BW411" s="227"/>
      <c r="BX411" s="227"/>
      <c r="BY411" s="227"/>
      <c r="BZ411" s="227"/>
      <c r="CA411" s="227"/>
      <c r="CB411" s="227"/>
      <c r="CC411" s="227"/>
      <c r="CD411" s="227"/>
      <c r="CE411" s="227"/>
      <c r="CF411" s="227"/>
      <c r="CG411" s="227"/>
      <c r="CH411" s="227"/>
      <c r="CI411" s="227"/>
      <c r="CJ411" s="227"/>
      <c r="CK411" s="227"/>
      <c r="CL411" s="227"/>
      <c r="CM411" s="227"/>
      <c r="CN411" s="227"/>
      <c r="CO411" s="227"/>
      <c r="CP411" s="227"/>
      <c r="CQ411" s="227"/>
      <c r="CR411" s="227"/>
      <c r="CS411" s="227"/>
      <c r="CT411" s="227"/>
      <c r="CU411" s="225"/>
      <c r="CV411" s="227"/>
    </row>
    <row r="412" spans="1:100" ht="20.100000000000001" customHeight="1">
      <c r="A412" s="223"/>
      <c r="B412" s="225"/>
      <c r="C412" s="227"/>
      <c r="D412" s="224"/>
      <c r="E412" s="227"/>
      <c r="F412" s="227"/>
      <c r="G412" s="227"/>
      <c r="H412" s="227"/>
      <c r="I412" s="227"/>
      <c r="J412" s="227"/>
      <c r="K412" s="227"/>
      <c r="L412" s="227"/>
      <c r="M412" s="227"/>
      <c r="N412" s="227"/>
      <c r="O412" s="227"/>
      <c r="P412" s="227"/>
      <c r="Q412" s="227"/>
      <c r="R412" s="227"/>
      <c r="S412" s="227"/>
      <c r="T412" s="227"/>
      <c r="U412" s="227"/>
      <c r="V412" s="227"/>
      <c r="W412" s="227"/>
      <c r="X412" s="227"/>
      <c r="Y412" s="227"/>
      <c r="Z412" s="227"/>
      <c r="AA412" s="227"/>
      <c r="AB412" s="227"/>
      <c r="AC412" s="227"/>
      <c r="AD412" s="227"/>
      <c r="AE412" s="227"/>
      <c r="AF412" s="227"/>
      <c r="AG412" s="227"/>
      <c r="AH412" s="227"/>
      <c r="AI412" s="227"/>
      <c r="AJ412" s="227"/>
      <c r="AK412" s="227"/>
      <c r="AL412" s="227"/>
      <c r="AM412" s="227"/>
      <c r="AN412" s="227"/>
      <c r="AO412" s="227"/>
      <c r="AP412" s="227"/>
      <c r="AQ412" s="227"/>
      <c r="AR412" s="227"/>
      <c r="AS412" s="227"/>
      <c r="AT412" s="227"/>
      <c r="AU412" s="227"/>
      <c r="AV412" s="227"/>
      <c r="AW412" s="227"/>
      <c r="AX412" s="227"/>
      <c r="AY412" s="227"/>
      <c r="AZ412" s="227"/>
      <c r="BA412" s="227"/>
      <c r="BB412" s="227"/>
      <c r="BC412" s="227"/>
      <c r="BD412" s="227"/>
      <c r="BE412" s="227"/>
      <c r="BF412" s="227"/>
      <c r="BG412" s="227"/>
      <c r="BH412" s="227"/>
      <c r="BI412" s="227"/>
      <c r="BJ412" s="227"/>
      <c r="BK412" s="227"/>
      <c r="BL412" s="227"/>
      <c r="BM412" s="227"/>
      <c r="BN412" s="227"/>
      <c r="BO412" s="227"/>
      <c r="BP412" s="227"/>
      <c r="BQ412" s="227"/>
      <c r="BR412" s="227"/>
      <c r="BS412" s="227"/>
      <c r="BT412" s="227"/>
      <c r="BU412" s="227"/>
      <c r="BV412" s="227"/>
      <c r="BW412" s="227"/>
      <c r="BX412" s="227"/>
      <c r="BY412" s="227"/>
      <c r="BZ412" s="227"/>
      <c r="CA412" s="227"/>
      <c r="CB412" s="227"/>
      <c r="CC412" s="227"/>
      <c r="CD412" s="227"/>
      <c r="CE412" s="227"/>
      <c r="CF412" s="227"/>
      <c r="CG412" s="227"/>
      <c r="CH412" s="227"/>
      <c r="CI412" s="227"/>
      <c r="CJ412" s="227"/>
      <c r="CK412" s="227"/>
      <c r="CL412" s="227"/>
      <c r="CM412" s="227"/>
      <c r="CN412" s="227"/>
      <c r="CO412" s="227"/>
      <c r="CP412" s="227"/>
      <c r="CQ412" s="227"/>
      <c r="CR412" s="227"/>
      <c r="CS412" s="227"/>
      <c r="CT412" s="227"/>
      <c r="CU412" s="225"/>
      <c r="CV412" s="227"/>
    </row>
    <row r="413" spans="1:100" ht="20.100000000000001" customHeight="1">
      <c r="A413" s="227">
        <v>203</v>
      </c>
      <c r="B413" s="225"/>
      <c r="C413" s="227"/>
      <c r="D413" s="228">
        <f>(SUMPRODUCT(E413:CU413*$E$6:$CU$6)/100)+(SUMPRODUCT(E413:CU413*$E$6:$CU$6*$E$3:$CU$3)/100)</f>
        <v>0</v>
      </c>
      <c r="E413" s="227"/>
      <c r="F413" s="227"/>
      <c r="G413" s="227"/>
      <c r="H413" s="227"/>
      <c r="I413" s="227"/>
      <c r="J413" s="227"/>
      <c r="K413" s="227"/>
      <c r="L413" s="227"/>
      <c r="M413" s="227"/>
      <c r="N413" s="227"/>
      <c r="O413" s="227"/>
      <c r="P413" s="227"/>
      <c r="Q413" s="227"/>
      <c r="R413" s="227"/>
      <c r="S413" s="227"/>
      <c r="T413" s="227"/>
      <c r="U413" s="227"/>
      <c r="V413" s="227"/>
      <c r="W413" s="227"/>
      <c r="X413" s="227"/>
      <c r="Y413" s="227"/>
      <c r="Z413" s="227"/>
      <c r="AA413" s="227"/>
      <c r="AB413" s="227"/>
      <c r="AC413" s="227"/>
      <c r="AD413" s="227"/>
      <c r="AE413" s="227"/>
      <c r="AF413" s="227"/>
      <c r="AG413" s="227"/>
      <c r="AH413" s="227"/>
      <c r="AI413" s="227"/>
      <c r="AJ413" s="227"/>
      <c r="AK413" s="227"/>
      <c r="AL413" s="227"/>
      <c r="AM413" s="227"/>
      <c r="AN413" s="227"/>
      <c r="AO413" s="227"/>
      <c r="AP413" s="227"/>
      <c r="AQ413" s="227"/>
      <c r="AR413" s="227"/>
      <c r="AS413" s="227"/>
      <c r="AT413" s="227"/>
      <c r="AU413" s="227"/>
      <c r="AV413" s="227"/>
      <c r="AW413" s="227"/>
      <c r="AX413" s="227"/>
      <c r="AY413" s="227"/>
      <c r="AZ413" s="227"/>
      <c r="BA413" s="227"/>
      <c r="BB413" s="227"/>
      <c r="BC413" s="227"/>
      <c r="BD413" s="227"/>
      <c r="BE413" s="227"/>
      <c r="BF413" s="227"/>
      <c r="BG413" s="227"/>
      <c r="BH413" s="227"/>
      <c r="BI413" s="227"/>
      <c r="BJ413" s="227"/>
      <c r="BK413" s="227"/>
      <c r="BL413" s="227"/>
      <c r="BM413" s="227"/>
      <c r="BN413" s="227"/>
      <c r="BO413" s="227"/>
      <c r="BP413" s="227"/>
      <c r="BQ413" s="227"/>
      <c r="BR413" s="227"/>
      <c r="BS413" s="227"/>
      <c r="BT413" s="227"/>
      <c r="BU413" s="227"/>
      <c r="BV413" s="227"/>
      <c r="BW413" s="227"/>
      <c r="BX413" s="227"/>
      <c r="BY413" s="227"/>
      <c r="BZ413" s="227"/>
      <c r="CA413" s="227"/>
      <c r="CB413" s="227"/>
      <c r="CC413" s="227"/>
      <c r="CD413" s="227"/>
      <c r="CE413" s="227"/>
      <c r="CF413" s="227"/>
      <c r="CG413" s="227"/>
      <c r="CH413" s="227"/>
      <c r="CI413" s="227"/>
      <c r="CJ413" s="227"/>
      <c r="CK413" s="227"/>
      <c r="CL413" s="227"/>
      <c r="CM413" s="227"/>
      <c r="CN413" s="227"/>
      <c r="CO413" s="227"/>
      <c r="CP413" s="227"/>
      <c r="CQ413" s="227"/>
      <c r="CR413" s="227"/>
      <c r="CS413" s="227"/>
      <c r="CT413" s="227"/>
      <c r="CU413" s="225"/>
      <c r="CV413" s="227"/>
    </row>
    <row r="414" spans="1:100" ht="20.100000000000001" customHeight="1">
      <c r="A414" s="227"/>
      <c r="B414" s="225"/>
      <c r="C414" s="227"/>
      <c r="D414" s="224"/>
      <c r="E414" s="227"/>
      <c r="F414" s="227"/>
      <c r="G414" s="227"/>
      <c r="H414" s="227"/>
      <c r="I414" s="227"/>
      <c r="J414" s="227"/>
      <c r="K414" s="227"/>
      <c r="L414" s="227"/>
      <c r="M414" s="227"/>
      <c r="N414" s="227"/>
      <c r="O414" s="227"/>
      <c r="P414" s="227"/>
      <c r="Q414" s="227"/>
      <c r="R414" s="227"/>
      <c r="S414" s="227"/>
      <c r="T414" s="227"/>
      <c r="U414" s="227"/>
      <c r="V414" s="227"/>
      <c r="W414" s="227"/>
      <c r="X414" s="227"/>
      <c r="Y414" s="227"/>
      <c r="Z414" s="227"/>
      <c r="AA414" s="227"/>
      <c r="AB414" s="227"/>
      <c r="AC414" s="227"/>
      <c r="AD414" s="227"/>
      <c r="AE414" s="227"/>
      <c r="AF414" s="227"/>
      <c r="AG414" s="227"/>
      <c r="AH414" s="227"/>
      <c r="AI414" s="227"/>
      <c r="AJ414" s="227"/>
      <c r="AK414" s="227"/>
      <c r="AL414" s="227"/>
      <c r="AM414" s="227"/>
      <c r="AN414" s="227"/>
      <c r="AO414" s="227"/>
      <c r="AP414" s="227"/>
      <c r="AQ414" s="227"/>
      <c r="AR414" s="227"/>
      <c r="AS414" s="227"/>
      <c r="AT414" s="227"/>
      <c r="AU414" s="227"/>
      <c r="AV414" s="227"/>
      <c r="AW414" s="227"/>
      <c r="AX414" s="227"/>
      <c r="AY414" s="227"/>
      <c r="AZ414" s="227"/>
      <c r="BA414" s="227"/>
      <c r="BB414" s="227"/>
      <c r="BC414" s="227"/>
      <c r="BD414" s="227"/>
      <c r="BE414" s="227"/>
      <c r="BF414" s="227"/>
      <c r="BG414" s="227"/>
      <c r="BH414" s="227"/>
      <c r="BI414" s="227"/>
      <c r="BJ414" s="227"/>
      <c r="BK414" s="227"/>
      <c r="BL414" s="227"/>
      <c r="BM414" s="227"/>
      <c r="BN414" s="227"/>
      <c r="BO414" s="227"/>
      <c r="BP414" s="227"/>
      <c r="BQ414" s="227"/>
      <c r="BR414" s="227"/>
      <c r="BS414" s="227"/>
      <c r="BT414" s="227"/>
      <c r="BU414" s="227"/>
      <c r="BV414" s="227"/>
      <c r="BW414" s="227"/>
      <c r="BX414" s="227"/>
      <c r="BY414" s="227"/>
      <c r="BZ414" s="227"/>
      <c r="CA414" s="227"/>
      <c r="CB414" s="227"/>
      <c r="CC414" s="227"/>
      <c r="CD414" s="227"/>
      <c r="CE414" s="227"/>
      <c r="CF414" s="227"/>
      <c r="CG414" s="227"/>
      <c r="CH414" s="227"/>
      <c r="CI414" s="227"/>
      <c r="CJ414" s="227"/>
      <c r="CK414" s="227"/>
      <c r="CL414" s="227"/>
      <c r="CM414" s="227"/>
      <c r="CN414" s="227"/>
      <c r="CO414" s="227"/>
      <c r="CP414" s="227"/>
      <c r="CQ414" s="227"/>
      <c r="CR414" s="227"/>
      <c r="CS414" s="227"/>
      <c r="CT414" s="227"/>
      <c r="CU414" s="225"/>
      <c r="CV414" s="227"/>
    </row>
    <row r="415" spans="1:100" ht="20.100000000000001" customHeight="1">
      <c r="A415" s="227">
        <v>204</v>
      </c>
      <c r="B415" s="225"/>
      <c r="C415" s="227"/>
      <c r="D415" s="228">
        <f>(SUMPRODUCT(E415:CU415*$E$6:$CU$6)/100)+(SUMPRODUCT(E415:CU415*$E$6:$CU$6*$E$3:$CU$3)/100)</f>
        <v>0</v>
      </c>
      <c r="E415" s="227"/>
      <c r="F415" s="227"/>
      <c r="G415" s="227"/>
      <c r="H415" s="227"/>
      <c r="I415" s="227"/>
      <c r="J415" s="227"/>
      <c r="K415" s="227"/>
      <c r="L415" s="227"/>
      <c r="M415" s="227"/>
      <c r="N415" s="227"/>
      <c r="O415" s="227"/>
      <c r="P415" s="227"/>
      <c r="Q415" s="227"/>
      <c r="R415" s="227"/>
      <c r="S415" s="227"/>
      <c r="T415" s="227"/>
      <c r="U415" s="227"/>
      <c r="V415" s="227"/>
      <c r="W415" s="227"/>
      <c r="X415" s="227"/>
      <c r="Y415" s="227"/>
      <c r="Z415" s="227"/>
      <c r="AA415" s="227"/>
      <c r="AB415" s="227"/>
      <c r="AC415" s="227"/>
      <c r="AD415" s="227"/>
      <c r="AE415" s="227"/>
      <c r="AF415" s="227"/>
      <c r="AG415" s="227"/>
      <c r="AH415" s="227"/>
      <c r="AI415" s="227"/>
      <c r="AJ415" s="227"/>
      <c r="AK415" s="227"/>
      <c r="AL415" s="227"/>
      <c r="AM415" s="227"/>
      <c r="AN415" s="227"/>
      <c r="AO415" s="227"/>
      <c r="AP415" s="227"/>
      <c r="AQ415" s="227"/>
      <c r="AR415" s="227"/>
      <c r="AS415" s="227"/>
      <c r="AT415" s="227"/>
      <c r="AU415" s="227"/>
      <c r="AV415" s="227"/>
      <c r="AW415" s="227"/>
      <c r="AX415" s="227"/>
      <c r="AY415" s="227"/>
      <c r="AZ415" s="227"/>
      <c r="BA415" s="227"/>
      <c r="BB415" s="227"/>
      <c r="BC415" s="227"/>
      <c r="BD415" s="227"/>
      <c r="BE415" s="227"/>
      <c r="BF415" s="227"/>
      <c r="BG415" s="227"/>
      <c r="BH415" s="227"/>
      <c r="BI415" s="227"/>
      <c r="BJ415" s="227"/>
      <c r="BK415" s="227"/>
      <c r="BL415" s="227"/>
      <c r="BM415" s="227"/>
      <c r="BN415" s="227"/>
      <c r="BO415" s="227"/>
      <c r="BP415" s="227"/>
      <c r="BQ415" s="227"/>
      <c r="BR415" s="227"/>
      <c r="BS415" s="227"/>
      <c r="BT415" s="227"/>
      <c r="BU415" s="227"/>
      <c r="BV415" s="227"/>
      <c r="BW415" s="227"/>
      <c r="BX415" s="227"/>
      <c r="BY415" s="227"/>
      <c r="BZ415" s="227"/>
      <c r="CA415" s="227"/>
      <c r="CB415" s="227"/>
      <c r="CC415" s="227"/>
      <c r="CD415" s="227"/>
      <c r="CE415" s="227"/>
      <c r="CF415" s="227"/>
      <c r="CG415" s="227"/>
      <c r="CH415" s="227"/>
      <c r="CI415" s="227"/>
      <c r="CJ415" s="227"/>
      <c r="CK415" s="227"/>
      <c r="CL415" s="227"/>
      <c r="CM415" s="227"/>
      <c r="CN415" s="227"/>
      <c r="CO415" s="227"/>
      <c r="CP415" s="227"/>
      <c r="CQ415" s="227"/>
      <c r="CR415" s="227"/>
      <c r="CS415" s="227"/>
      <c r="CT415" s="227"/>
      <c r="CU415" s="225"/>
      <c r="CV415" s="227"/>
    </row>
    <row r="416" spans="1:100" ht="20.100000000000001" customHeight="1">
      <c r="A416" s="223"/>
      <c r="B416" s="225"/>
      <c r="C416" s="227"/>
      <c r="D416" s="224"/>
      <c r="E416" s="227"/>
      <c r="F416" s="227"/>
      <c r="G416" s="227"/>
      <c r="H416" s="227"/>
      <c r="I416" s="227"/>
      <c r="J416" s="227"/>
      <c r="K416" s="227"/>
      <c r="L416" s="227"/>
      <c r="M416" s="227"/>
      <c r="N416" s="227"/>
      <c r="O416" s="227"/>
      <c r="P416" s="227"/>
      <c r="Q416" s="227"/>
      <c r="R416" s="227"/>
      <c r="S416" s="227"/>
      <c r="T416" s="227"/>
      <c r="U416" s="227"/>
      <c r="V416" s="227"/>
      <c r="W416" s="227"/>
      <c r="X416" s="227"/>
      <c r="Y416" s="227"/>
      <c r="Z416" s="227"/>
      <c r="AA416" s="227"/>
      <c r="AB416" s="227"/>
      <c r="AC416" s="227"/>
      <c r="AD416" s="227"/>
      <c r="AE416" s="227"/>
      <c r="AF416" s="227"/>
      <c r="AG416" s="227"/>
      <c r="AH416" s="227"/>
      <c r="AI416" s="227"/>
      <c r="AJ416" s="227"/>
      <c r="AK416" s="227"/>
      <c r="AL416" s="227"/>
      <c r="AM416" s="227"/>
      <c r="AN416" s="227"/>
      <c r="AO416" s="227"/>
      <c r="AP416" s="227"/>
      <c r="AQ416" s="227"/>
      <c r="AR416" s="227"/>
      <c r="AS416" s="227"/>
      <c r="AT416" s="227"/>
      <c r="AU416" s="227"/>
      <c r="AV416" s="227"/>
      <c r="AW416" s="227"/>
      <c r="AX416" s="227"/>
      <c r="AY416" s="227"/>
      <c r="AZ416" s="227"/>
      <c r="BA416" s="227"/>
      <c r="BB416" s="227"/>
      <c r="BC416" s="227"/>
      <c r="BD416" s="227"/>
      <c r="BE416" s="227"/>
      <c r="BF416" s="227"/>
      <c r="BG416" s="227"/>
      <c r="BH416" s="227"/>
      <c r="BI416" s="227"/>
      <c r="BJ416" s="227"/>
      <c r="BK416" s="227"/>
      <c r="BL416" s="227"/>
      <c r="BM416" s="227"/>
      <c r="BN416" s="227"/>
      <c r="BO416" s="227"/>
      <c r="BP416" s="227"/>
      <c r="BQ416" s="227"/>
      <c r="BR416" s="227"/>
      <c r="BS416" s="227"/>
      <c r="BT416" s="227"/>
      <c r="BU416" s="227"/>
      <c r="BV416" s="227"/>
      <c r="BW416" s="227"/>
      <c r="BX416" s="227"/>
      <c r="BY416" s="227"/>
      <c r="BZ416" s="227"/>
      <c r="CA416" s="227"/>
      <c r="CB416" s="227"/>
      <c r="CC416" s="227"/>
      <c r="CD416" s="227"/>
      <c r="CE416" s="227"/>
      <c r="CF416" s="227"/>
      <c r="CG416" s="227"/>
      <c r="CH416" s="227"/>
      <c r="CI416" s="227"/>
      <c r="CJ416" s="227"/>
      <c r="CK416" s="227"/>
      <c r="CL416" s="227"/>
      <c r="CM416" s="227"/>
      <c r="CN416" s="227"/>
      <c r="CO416" s="227"/>
      <c r="CP416" s="227"/>
      <c r="CQ416" s="227"/>
      <c r="CR416" s="227"/>
      <c r="CS416" s="227"/>
      <c r="CT416" s="227"/>
      <c r="CU416" s="225"/>
      <c r="CV416" s="227"/>
    </row>
    <row r="417" spans="1:100" ht="20.100000000000001" customHeight="1">
      <c r="A417" s="227">
        <v>205</v>
      </c>
      <c r="B417" s="225"/>
      <c r="C417" s="227"/>
      <c r="D417" s="228">
        <f>(SUMPRODUCT(E417:CU417*$E$6:$CU$6)/100)+(SUMPRODUCT(E417:CU417*$E$6:$CU$6*$E$3:$CU$3)/100)</f>
        <v>0</v>
      </c>
      <c r="E417" s="227"/>
      <c r="F417" s="227"/>
      <c r="G417" s="227"/>
      <c r="H417" s="227"/>
      <c r="I417" s="227"/>
      <c r="J417" s="227"/>
      <c r="K417" s="227"/>
      <c r="L417" s="227"/>
      <c r="M417" s="227"/>
      <c r="N417" s="227"/>
      <c r="O417" s="227"/>
      <c r="P417" s="227"/>
      <c r="Q417" s="227"/>
      <c r="R417" s="227"/>
      <c r="S417" s="227"/>
      <c r="T417" s="227"/>
      <c r="U417" s="227"/>
      <c r="V417" s="227"/>
      <c r="W417" s="227"/>
      <c r="X417" s="227"/>
      <c r="Y417" s="227"/>
      <c r="Z417" s="227"/>
      <c r="AA417" s="227"/>
      <c r="AB417" s="227"/>
      <c r="AC417" s="227"/>
      <c r="AD417" s="227"/>
      <c r="AE417" s="227"/>
      <c r="AF417" s="227"/>
      <c r="AG417" s="227"/>
      <c r="AH417" s="227"/>
      <c r="AI417" s="227"/>
      <c r="AJ417" s="227"/>
      <c r="AK417" s="227"/>
      <c r="AL417" s="227"/>
      <c r="AM417" s="227"/>
      <c r="AN417" s="227"/>
      <c r="AO417" s="227"/>
      <c r="AP417" s="227"/>
      <c r="AQ417" s="227"/>
      <c r="AR417" s="227"/>
      <c r="AS417" s="227"/>
      <c r="AT417" s="227"/>
      <c r="AU417" s="227"/>
      <c r="AV417" s="227"/>
      <c r="AW417" s="227"/>
      <c r="AX417" s="227"/>
      <c r="AY417" s="227"/>
      <c r="AZ417" s="227"/>
      <c r="BA417" s="227"/>
      <c r="BB417" s="227"/>
      <c r="BC417" s="227"/>
      <c r="BD417" s="227"/>
      <c r="BE417" s="227"/>
      <c r="BF417" s="227"/>
      <c r="BG417" s="227"/>
      <c r="BH417" s="227"/>
      <c r="BI417" s="227"/>
      <c r="BJ417" s="227"/>
      <c r="BK417" s="227"/>
      <c r="BL417" s="227"/>
      <c r="BM417" s="227"/>
      <c r="BN417" s="227"/>
      <c r="BO417" s="227"/>
      <c r="BP417" s="227"/>
      <c r="BQ417" s="227"/>
      <c r="BR417" s="227"/>
      <c r="BS417" s="227"/>
      <c r="BT417" s="227"/>
      <c r="BU417" s="227"/>
      <c r="BV417" s="227"/>
      <c r="BW417" s="227"/>
      <c r="BX417" s="227"/>
      <c r="BY417" s="227"/>
      <c r="BZ417" s="227"/>
      <c r="CA417" s="227"/>
      <c r="CB417" s="227"/>
      <c r="CC417" s="227"/>
      <c r="CD417" s="227"/>
      <c r="CE417" s="227"/>
      <c r="CF417" s="227"/>
      <c r="CG417" s="227"/>
      <c r="CH417" s="227"/>
      <c r="CI417" s="227"/>
      <c r="CJ417" s="227"/>
      <c r="CK417" s="227"/>
      <c r="CL417" s="227"/>
      <c r="CM417" s="227"/>
      <c r="CN417" s="227"/>
      <c r="CO417" s="227"/>
      <c r="CP417" s="227"/>
      <c r="CQ417" s="227"/>
      <c r="CR417" s="227"/>
      <c r="CS417" s="227"/>
      <c r="CT417" s="227"/>
      <c r="CU417" s="225"/>
      <c r="CV417" s="227"/>
    </row>
    <row r="418" spans="1:100" ht="20.100000000000001" customHeight="1">
      <c r="A418" s="227"/>
      <c r="B418" s="225"/>
      <c r="C418" s="227"/>
      <c r="D418" s="224"/>
      <c r="E418" s="227"/>
      <c r="F418" s="227"/>
      <c r="G418" s="227"/>
      <c r="H418" s="227"/>
      <c r="I418" s="227"/>
      <c r="J418" s="227"/>
      <c r="K418" s="227"/>
      <c r="L418" s="227"/>
      <c r="M418" s="227"/>
      <c r="N418" s="227"/>
      <c r="O418" s="227"/>
      <c r="P418" s="227"/>
      <c r="Q418" s="227"/>
      <c r="R418" s="227"/>
      <c r="S418" s="227"/>
      <c r="T418" s="227"/>
      <c r="U418" s="227"/>
      <c r="V418" s="227"/>
      <c r="W418" s="227"/>
      <c r="X418" s="227"/>
      <c r="Y418" s="227"/>
      <c r="Z418" s="227"/>
      <c r="AA418" s="227"/>
      <c r="AB418" s="227"/>
      <c r="AC418" s="227"/>
      <c r="AD418" s="227"/>
      <c r="AE418" s="227"/>
      <c r="AF418" s="227"/>
      <c r="AG418" s="227"/>
      <c r="AH418" s="227"/>
      <c r="AI418" s="227"/>
      <c r="AJ418" s="227"/>
      <c r="AK418" s="227"/>
      <c r="AL418" s="227"/>
      <c r="AM418" s="227"/>
      <c r="AN418" s="227"/>
      <c r="AO418" s="227"/>
      <c r="AP418" s="227"/>
      <c r="AQ418" s="227"/>
      <c r="AR418" s="227"/>
      <c r="AS418" s="227"/>
      <c r="AT418" s="227"/>
      <c r="AU418" s="227"/>
      <c r="AV418" s="227"/>
      <c r="AW418" s="227"/>
      <c r="AX418" s="227"/>
      <c r="AY418" s="227"/>
      <c r="AZ418" s="227"/>
      <c r="BA418" s="227"/>
      <c r="BB418" s="227"/>
      <c r="BC418" s="227"/>
      <c r="BD418" s="227"/>
      <c r="BE418" s="227"/>
      <c r="BF418" s="227"/>
      <c r="BG418" s="227"/>
      <c r="BH418" s="227"/>
      <c r="BI418" s="227"/>
      <c r="BJ418" s="227"/>
      <c r="BK418" s="227"/>
      <c r="BL418" s="227"/>
      <c r="BM418" s="227"/>
      <c r="BN418" s="227"/>
      <c r="BO418" s="227"/>
      <c r="BP418" s="227"/>
      <c r="BQ418" s="227"/>
      <c r="BR418" s="227"/>
      <c r="BS418" s="227"/>
      <c r="BT418" s="227"/>
      <c r="BU418" s="227"/>
      <c r="BV418" s="227"/>
      <c r="BW418" s="227"/>
      <c r="BX418" s="227"/>
      <c r="BY418" s="227"/>
      <c r="BZ418" s="227"/>
      <c r="CA418" s="227"/>
      <c r="CB418" s="227"/>
      <c r="CC418" s="227"/>
      <c r="CD418" s="227"/>
      <c r="CE418" s="227"/>
      <c r="CF418" s="227"/>
      <c r="CG418" s="227"/>
      <c r="CH418" s="227"/>
      <c r="CI418" s="227"/>
      <c r="CJ418" s="227"/>
      <c r="CK418" s="227"/>
      <c r="CL418" s="227"/>
      <c r="CM418" s="227"/>
      <c r="CN418" s="227"/>
      <c r="CO418" s="227"/>
      <c r="CP418" s="227"/>
      <c r="CQ418" s="227"/>
      <c r="CR418" s="227"/>
      <c r="CS418" s="227"/>
      <c r="CT418" s="227"/>
      <c r="CU418" s="225"/>
      <c r="CV418" s="227"/>
    </row>
    <row r="419" spans="1:100" ht="20.100000000000001" customHeight="1">
      <c r="A419" s="227">
        <v>206</v>
      </c>
      <c r="B419" s="225"/>
      <c r="C419" s="227"/>
      <c r="D419" s="228">
        <f>(SUMPRODUCT(E419:CU419*$E$6:$CU$6)/100)+(SUMPRODUCT(E419:CU419*$E$6:$CU$6*$E$3:$CU$3)/100)</f>
        <v>0</v>
      </c>
      <c r="E419" s="227"/>
      <c r="F419" s="227"/>
      <c r="G419" s="227"/>
      <c r="H419" s="227"/>
      <c r="I419" s="227"/>
      <c r="J419" s="227"/>
      <c r="K419" s="227"/>
      <c r="L419" s="227"/>
      <c r="M419" s="227"/>
      <c r="N419" s="227"/>
      <c r="O419" s="227"/>
      <c r="P419" s="227"/>
      <c r="Q419" s="227"/>
      <c r="R419" s="227"/>
      <c r="S419" s="227"/>
      <c r="T419" s="227"/>
      <c r="U419" s="227"/>
      <c r="V419" s="227"/>
      <c r="W419" s="227"/>
      <c r="X419" s="227"/>
      <c r="Y419" s="227"/>
      <c r="Z419" s="227"/>
      <c r="AA419" s="227"/>
      <c r="AB419" s="227"/>
      <c r="AC419" s="227"/>
      <c r="AD419" s="227"/>
      <c r="AE419" s="227"/>
      <c r="AF419" s="227"/>
      <c r="AG419" s="227"/>
      <c r="AH419" s="227"/>
      <c r="AI419" s="227"/>
      <c r="AJ419" s="227"/>
      <c r="AK419" s="227"/>
      <c r="AL419" s="227"/>
      <c r="AM419" s="227"/>
      <c r="AN419" s="227"/>
      <c r="AO419" s="227"/>
      <c r="AP419" s="227"/>
      <c r="AQ419" s="227"/>
      <c r="AR419" s="227"/>
      <c r="AS419" s="227"/>
      <c r="AT419" s="227"/>
      <c r="AU419" s="227"/>
      <c r="AV419" s="227"/>
      <c r="AW419" s="227"/>
      <c r="AX419" s="227"/>
      <c r="AY419" s="227"/>
      <c r="AZ419" s="227"/>
      <c r="BA419" s="227"/>
      <c r="BB419" s="227"/>
      <c r="BC419" s="227"/>
      <c r="BD419" s="227"/>
      <c r="BE419" s="227"/>
      <c r="BF419" s="227"/>
      <c r="BG419" s="227"/>
      <c r="BH419" s="227"/>
      <c r="BI419" s="227"/>
      <c r="BJ419" s="227"/>
      <c r="BK419" s="227"/>
      <c r="BL419" s="227"/>
      <c r="BM419" s="227"/>
      <c r="BN419" s="227"/>
      <c r="BO419" s="227"/>
      <c r="BP419" s="227"/>
      <c r="BQ419" s="227"/>
      <c r="BR419" s="227"/>
      <c r="BS419" s="227"/>
      <c r="BT419" s="227"/>
      <c r="BU419" s="227"/>
      <c r="BV419" s="227"/>
      <c r="BW419" s="227"/>
      <c r="BX419" s="227"/>
      <c r="BY419" s="227"/>
      <c r="BZ419" s="227"/>
      <c r="CA419" s="227"/>
      <c r="CB419" s="227"/>
      <c r="CC419" s="227"/>
      <c r="CD419" s="227"/>
      <c r="CE419" s="227"/>
      <c r="CF419" s="227"/>
      <c r="CG419" s="227"/>
      <c r="CH419" s="227"/>
      <c r="CI419" s="227"/>
      <c r="CJ419" s="227"/>
      <c r="CK419" s="227"/>
      <c r="CL419" s="227"/>
      <c r="CM419" s="227"/>
      <c r="CN419" s="227"/>
      <c r="CO419" s="227"/>
      <c r="CP419" s="227"/>
      <c r="CQ419" s="227"/>
      <c r="CR419" s="227"/>
      <c r="CS419" s="227"/>
      <c r="CT419" s="227"/>
      <c r="CU419" s="225"/>
      <c r="CV419" s="227"/>
    </row>
    <row r="420" spans="1:100" ht="20.100000000000001" customHeight="1">
      <c r="A420" s="223"/>
      <c r="B420" s="225"/>
      <c r="C420" s="227"/>
      <c r="D420" s="224"/>
      <c r="E420" s="227"/>
      <c r="F420" s="227"/>
      <c r="G420" s="227"/>
      <c r="H420" s="227"/>
      <c r="I420" s="227"/>
      <c r="J420" s="227"/>
      <c r="K420" s="227"/>
      <c r="L420" s="227"/>
      <c r="M420" s="227"/>
      <c r="N420" s="227"/>
      <c r="O420" s="227"/>
      <c r="P420" s="227"/>
      <c r="Q420" s="227"/>
      <c r="R420" s="227"/>
      <c r="S420" s="227"/>
      <c r="T420" s="227"/>
      <c r="U420" s="227"/>
      <c r="V420" s="227"/>
      <c r="W420" s="227"/>
      <c r="X420" s="227"/>
      <c r="Y420" s="227"/>
      <c r="Z420" s="227"/>
      <c r="AA420" s="227"/>
      <c r="AB420" s="227"/>
      <c r="AC420" s="227"/>
      <c r="AD420" s="227"/>
      <c r="AE420" s="227"/>
      <c r="AF420" s="227"/>
      <c r="AG420" s="227"/>
      <c r="AH420" s="227"/>
      <c r="AI420" s="227"/>
      <c r="AJ420" s="227"/>
      <c r="AK420" s="227"/>
      <c r="AL420" s="227"/>
      <c r="AM420" s="227"/>
      <c r="AN420" s="227"/>
      <c r="AO420" s="227"/>
      <c r="AP420" s="227"/>
      <c r="AQ420" s="227"/>
      <c r="AR420" s="227"/>
      <c r="AS420" s="227"/>
      <c r="AT420" s="227"/>
      <c r="AU420" s="227"/>
      <c r="AV420" s="227"/>
      <c r="AW420" s="227"/>
      <c r="AX420" s="227"/>
      <c r="AY420" s="227"/>
      <c r="AZ420" s="227"/>
      <c r="BA420" s="227"/>
      <c r="BB420" s="227"/>
      <c r="BC420" s="227"/>
      <c r="BD420" s="227"/>
      <c r="BE420" s="227"/>
      <c r="BF420" s="227"/>
      <c r="BG420" s="227"/>
      <c r="BH420" s="227"/>
      <c r="BI420" s="227"/>
      <c r="BJ420" s="227"/>
      <c r="BK420" s="227"/>
      <c r="BL420" s="227"/>
      <c r="BM420" s="227"/>
      <c r="BN420" s="227"/>
      <c r="BO420" s="227"/>
      <c r="BP420" s="227"/>
      <c r="BQ420" s="227"/>
      <c r="BR420" s="227"/>
      <c r="BS420" s="227"/>
      <c r="BT420" s="227"/>
      <c r="BU420" s="227"/>
      <c r="BV420" s="227"/>
      <c r="BW420" s="227"/>
      <c r="BX420" s="227"/>
      <c r="BY420" s="227"/>
      <c r="BZ420" s="227"/>
      <c r="CA420" s="227"/>
      <c r="CB420" s="227"/>
      <c r="CC420" s="227"/>
      <c r="CD420" s="227"/>
      <c r="CE420" s="227"/>
      <c r="CF420" s="227"/>
      <c r="CG420" s="227"/>
      <c r="CH420" s="227"/>
      <c r="CI420" s="227"/>
      <c r="CJ420" s="227"/>
      <c r="CK420" s="227"/>
      <c r="CL420" s="227"/>
      <c r="CM420" s="227"/>
      <c r="CN420" s="227"/>
      <c r="CO420" s="227"/>
      <c r="CP420" s="227"/>
      <c r="CQ420" s="227"/>
      <c r="CR420" s="227"/>
      <c r="CS420" s="227"/>
      <c r="CT420" s="227"/>
      <c r="CU420" s="225"/>
      <c r="CV420" s="227"/>
    </row>
    <row r="421" spans="1:100" ht="20.100000000000001" customHeight="1">
      <c r="A421" s="227">
        <v>207</v>
      </c>
      <c r="B421" s="225"/>
      <c r="C421" s="227"/>
      <c r="D421" s="228">
        <f>(SUMPRODUCT(E421:CU421*$E$6:$CU$6)/100)+(SUMPRODUCT(E421:CU421*$E$6:$CU$6*$E$3:$CU$3)/100)</f>
        <v>0</v>
      </c>
      <c r="E421" s="227"/>
      <c r="F421" s="227"/>
      <c r="G421" s="227"/>
      <c r="H421" s="227"/>
      <c r="I421" s="227"/>
      <c r="J421" s="227"/>
      <c r="K421" s="227"/>
      <c r="L421" s="227"/>
      <c r="M421" s="227"/>
      <c r="N421" s="227"/>
      <c r="O421" s="227"/>
      <c r="P421" s="227"/>
      <c r="Q421" s="227"/>
      <c r="R421" s="227"/>
      <c r="S421" s="227"/>
      <c r="T421" s="227"/>
      <c r="U421" s="227"/>
      <c r="V421" s="227"/>
      <c r="W421" s="227"/>
      <c r="X421" s="227"/>
      <c r="Y421" s="227"/>
      <c r="Z421" s="227"/>
      <c r="AA421" s="227"/>
      <c r="AB421" s="227"/>
      <c r="AC421" s="227"/>
      <c r="AD421" s="227"/>
      <c r="AE421" s="227"/>
      <c r="AF421" s="227"/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27"/>
      <c r="BC421" s="227"/>
      <c r="BD421" s="227"/>
      <c r="BE421" s="227"/>
      <c r="BF421" s="227"/>
      <c r="BG421" s="227"/>
      <c r="BH421" s="227"/>
      <c r="BI421" s="227"/>
      <c r="BJ421" s="227"/>
      <c r="BK421" s="227"/>
      <c r="BL421" s="227"/>
      <c r="BM421" s="227"/>
      <c r="BN421" s="227"/>
      <c r="BO421" s="227"/>
      <c r="BP421" s="227"/>
      <c r="BQ421" s="227"/>
      <c r="BR421" s="227"/>
      <c r="BS421" s="227"/>
      <c r="BT421" s="227"/>
      <c r="BU421" s="227"/>
      <c r="BV421" s="227"/>
      <c r="BW421" s="227"/>
      <c r="BX421" s="227"/>
      <c r="BY421" s="227"/>
      <c r="BZ421" s="227"/>
      <c r="CA421" s="227"/>
      <c r="CB421" s="227"/>
      <c r="CC421" s="227"/>
      <c r="CD421" s="227"/>
      <c r="CE421" s="227"/>
      <c r="CF421" s="227"/>
      <c r="CG421" s="227"/>
      <c r="CH421" s="227"/>
      <c r="CI421" s="227"/>
      <c r="CJ421" s="227"/>
      <c r="CK421" s="227"/>
      <c r="CL421" s="227"/>
      <c r="CM421" s="227"/>
      <c r="CN421" s="227"/>
      <c r="CO421" s="227"/>
      <c r="CP421" s="227"/>
      <c r="CQ421" s="227"/>
      <c r="CR421" s="227"/>
      <c r="CS421" s="227"/>
      <c r="CT421" s="227"/>
      <c r="CU421" s="225"/>
      <c r="CV421" s="227"/>
    </row>
    <row r="422" spans="1:100" ht="20.100000000000001" customHeight="1">
      <c r="A422" s="227"/>
      <c r="B422" s="225"/>
      <c r="C422" s="227"/>
      <c r="D422" s="224"/>
      <c r="E422" s="227"/>
      <c r="F422" s="227"/>
      <c r="G422" s="227"/>
      <c r="H422" s="227"/>
      <c r="I422" s="227"/>
      <c r="J422" s="227"/>
      <c r="K422" s="227"/>
      <c r="L422" s="227"/>
      <c r="M422" s="227"/>
      <c r="N422" s="227"/>
      <c r="O422" s="227"/>
      <c r="P422" s="227"/>
      <c r="Q422" s="227"/>
      <c r="R422" s="227"/>
      <c r="S422" s="227"/>
      <c r="T422" s="227"/>
      <c r="U422" s="227"/>
      <c r="V422" s="227"/>
      <c r="W422" s="227"/>
      <c r="X422" s="227"/>
      <c r="Y422" s="227"/>
      <c r="Z422" s="227"/>
      <c r="AA422" s="227"/>
      <c r="AB422" s="227"/>
      <c r="AC422" s="227"/>
      <c r="AD422" s="227"/>
      <c r="AE422" s="227"/>
      <c r="AF422" s="227"/>
      <c r="AG422" s="227"/>
      <c r="AH422" s="227"/>
      <c r="AI422" s="227"/>
      <c r="AJ422" s="227"/>
      <c r="AK422" s="227"/>
      <c r="AL422" s="227"/>
      <c r="AM422" s="227"/>
      <c r="AN422" s="227"/>
      <c r="AO422" s="227"/>
      <c r="AP422" s="227"/>
      <c r="AQ422" s="227"/>
      <c r="AR422" s="227"/>
      <c r="AS422" s="227"/>
      <c r="AT422" s="227"/>
      <c r="AU422" s="227"/>
      <c r="AV422" s="227"/>
      <c r="AW422" s="227"/>
      <c r="AX422" s="227"/>
      <c r="AY422" s="227"/>
      <c r="AZ422" s="227"/>
      <c r="BA422" s="227"/>
      <c r="BB422" s="227"/>
      <c r="BC422" s="227"/>
      <c r="BD422" s="227"/>
      <c r="BE422" s="227"/>
      <c r="BF422" s="227"/>
      <c r="BG422" s="227"/>
      <c r="BH422" s="227"/>
      <c r="BI422" s="227"/>
      <c r="BJ422" s="227"/>
      <c r="BK422" s="227"/>
      <c r="BL422" s="227"/>
      <c r="BM422" s="227"/>
      <c r="BN422" s="227"/>
      <c r="BO422" s="227"/>
      <c r="BP422" s="227"/>
      <c r="BQ422" s="227"/>
      <c r="BR422" s="227"/>
      <c r="BS422" s="227"/>
      <c r="BT422" s="227"/>
      <c r="BU422" s="227"/>
      <c r="BV422" s="227"/>
      <c r="BW422" s="227"/>
      <c r="BX422" s="227"/>
      <c r="BY422" s="227"/>
      <c r="BZ422" s="227"/>
      <c r="CA422" s="227"/>
      <c r="CB422" s="227"/>
      <c r="CC422" s="227"/>
      <c r="CD422" s="227"/>
      <c r="CE422" s="227"/>
      <c r="CF422" s="227"/>
      <c r="CG422" s="227"/>
      <c r="CH422" s="227"/>
      <c r="CI422" s="227"/>
      <c r="CJ422" s="227"/>
      <c r="CK422" s="227"/>
      <c r="CL422" s="227"/>
      <c r="CM422" s="227"/>
      <c r="CN422" s="227"/>
      <c r="CO422" s="227"/>
      <c r="CP422" s="227"/>
      <c r="CQ422" s="227"/>
      <c r="CR422" s="227"/>
      <c r="CS422" s="227"/>
      <c r="CT422" s="227"/>
      <c r="CU422" s="225"/>
      <c r="CV422" s="227"/>
    </row>
    <row r="423" spans="1:100" ht="20.100000000000001" customHeight="1">
      <c r="A423" s="227">
        <v>208</v>
      </c>
      <c r="B423" s="225"/>
      <c r="C423" s="227"/>
      <c r="D423" s="228">
        <f>(SUMPRODUCT(E423:CU423*$E$6:$CU$6)/100)+(SUMPRODUCT(E423:CU423*$E$6:$CU$6*$E$3:$CU$3)/100)</f>
        <v>0</v>
      </c>
      <c r="E423" s="227"/>
      <c r="F423" s="227"/>
      <c r="G423" s="227"/>
      <c r="H423" s="227"/>
      <c r="I423" s="227"/>
      <c r="J423" s="227"/>
      <c r="K423" s="227"/>
      <c r="L423" s="227"/>
      <c r="M423" s="227"/>
      <c r="N423" s="227"/>
      <c r="O423" s="227"/>
      <c r="P423" s="227"/>
      <c r="Q423" s="227"/>
      <c r="R423" s="227"/>
      <c r="S423" s="227"/>
      <c r="T423" s="227"/>
      <c r="U423" s="227"/>
      <c r="V423" s="227"/>
      <c r="W423" s="227"/>
      <c r="X423" s="227"/>
      <c r="Y423" s="227"/>
      <c r="Z423" s="227"/>
      <c r="AA423" s="227"/>
      <c r="AB423" s="227"/>
      <c r="AC423" s="227"/>
      <c r="AD423" s="227"/>
      <c r="AE423" s="227"/>
      <c r="AF423" s="227"/>
      <c r="AG423" s="227"/>
      <c r="AH423" s="227"/>
      <c r="AI423" s="227"/>
      <c r="AJ423" s="227"/>
      <c r="AK423" s="227"/>
      <c r="AL423" s="227"/>
      <c r="AM423" s="227"/>
      <c r="AN423" s="227"/>
      <c r="AO423" s="227"/>
      <c r="AP423" s="227"/>
      <c r="AQ423" s="227"/>
      <c r="AR423" s="227"/>
      <c r="AS423" s="227"/>
      <c r="AT423" s="227"/>
      <c r="AU423" s="227"/>
      <c r="AV423" s="227"/>
      <c r="AW423" s="227"/>
      <c r="AX423" s="227"/>
      <c r="AY423" s="227"/>
      <c r="AZ423" s="227"/>
      <c r="BA423" s="227"/>
      <c r="BB423" s="227"/>
      <c r="BC423" s="227"/>
      <c r="BD423" s="227"/>
      <c r="BE423" s="227"/>
      <c r="BF423" s="227"/>
      <c r="BG423" s="227"/>
      <c r="BH423" s="227"/>
      <c r="BI423" s="227"/>
      <c r="BJ423" s="227"/>
      <c r="BK423" s="227"/>
      <c r="BL423" s="227"/>
      <c r="BM423" s="227"/>
      <c r="BN423" s="227"/>
      <c r="BO423" s="227"/>
      <c r="BP423" s="227"/>
      <c r="BQ423" s="227"/>
      <c r="BR423" s="227"/>
      <c r="BS423" s="227"/>
      <c r="BT423" s="227"/>
      <c r="BU423" s="227"/>
      <c r="BV423" s="227"/>
      <c r="BW423" s="227"/>
      <c r="BX423" s="227"/>
      <c r="BY423" s="227"/>
      <c r="BZ423" s="227"/>
      <c r="CA423" s="227"/>
      <c r="CB423" s="227"/>
      <c r="CC423" s="227"/>
      <c r="CD423" s="227"/>
      <c r="CE423" s="227"/>
      <c r="CF423" s="227"/>
      <c r="CG423" s="227"/>
      <c r="CH423" s="227"/>
      <c r="CI423" s="227"/>
      <c r="CJ423" s="227"/>
      <c r="CK423" s="227"/>
      <c r="CL423" s="227"/>
      <c r="CM423" s="227"/>
      <c r="CN423" s="227"/>
      <c r="CO423" s="227"/>
      <c r="CP423" s="227"/>
      <c r="CQ423" s="227"/>
      <c r="CR423" s="227"/>
      <c r="CS423" s="227"/>
      <c r="CT423" s="227"/>
      <c r="CU423" s="225"/>
      <c r="CV423" s="227"/>
    </row>
    <row r="424" spans="1:100" ht="20.100000000000001" customHeight="1">
      <c r="A424" s="223"/>
      <c r="B424" s="225"/>
      <c r="C424" s="227"/>
      <c r="D424" s="224"/>
      <c r="E424" s="227"/>
      <c r="F424" s="227"/>
      <c r="G424" s="227"/>
      <c r="H424" s="227"/>
      <c r="I424" s="227"/>
      <c r="J424" s="227"/>
      <c r="K424" s="227"/>
      <c r="L424" s="227"/>
      <c r="M424" s="227"/>
      <c r="N424" s="227"/>
      <c r="O424" s="227"/>
      <c r="P424" s="227"/>
      <c r="Q424" s="227"/>
      <c r="R424" s="227"/>
      <c r="S424" s="227"/>
      <c r="T424" s="227"/>
      <c r="U424" s="227"/>
      <c r="V424" s="227"/>
      <c r="W424" s="227"/>
      <c r="X424" s="227"/>
      <c r="Y424" s="227"/>
      <c r="Z424" s="227"/>
      <c r="AA424" s="227"/>
      <c r="AB424" s="227"/>
      <c r="AC424" s="227"/>
      <c r="AD424" s="227"/>
      <c r="AE424" s="227"/>
      <c r="AF424" s="227"/>
      <c r="AG424" s="227"/>
      <c r="AH424" s="227"/>
      <c r="AI424" s="227"/>
      <c r="AJ424" s="227"/>
      <c r="AK424" s="227"/>
      <c r="AL424" s="227"/>
      <c r="AM424" s="227"/>
      <c r="AN424" s="227"/>
      <c r="AO424" s="227"/>
      <c r="AP424" s="227"/>
      <c r="AQ424" s="227"/>
      <c r="AR424" s="227"/>
      <c r="AS424" s="227"/>
      <c r="AT424" s="227"/>
      <c r="AU424" s="227"/>
      <c r="AV424" s="227"/>
      <c r="AW424" s="227"/>
      <c r="AX424" s="227"/>
      <c r="AY424" s="227"/>
      <c r="AZ424" s="227"/>
      <c r="BA424" s="227"/>
      <c r="BB424" s="227"/>
      <c r="BC424" s="227"/>
      <c r="BD424" s="227"/>
      <c r="BE424" s="227"/>
      <c r="BF424" s="227"/>
      <c r="BG424" s="227"/>
      <c r="BH424" s="227"/>
      <c r="BI424" s="227"/>
      <c r="BJ424" s="227"/>
      <c r="BK424" s="227"/>
      <c r="BL424" s="227"/>
      <c r="BM424" s="227"/>
      <c r="BN424" s="227"/>
      <c r="BO424" s="227"/>
      <c r="BP424" s="227"/>
      <c r="BQ424" s="227"/>
      <c r="BR424" s="227"/>
      <c r="BS424" s="227"/>
      <c r="BT424" s="227"/>
      <c r="BU424" s="227"/>
      <c r="BV424" s="227"/>
      <c r="BW424" s="227"/>
      <c r="BX424" s="227"/>
      <c r="BY424" s="227"/>
      <c r="BZ424" s="227"/>
      <c r="CA424" s="227"/>
      <c r="CB424" s="227"/>
      <c r="CC424" s="227"/>
      <c r="CD424" s="227"/>
      <c r="CE424" s="227"/>
      <c r="CF424" s="227"/>
      <c r="CG424" s="227"/>
      <c r="CH424" s="227"/>
      <c r="CI424" s="227"/>
      <c r="CJ424" s="227"/>
      <c r="CK424" s="227"/>
      <c r="CL424" s="227"/>
      <c r="CM424" s="227"/>
      <c r="CN424" s="227"/>
      <c r="CO424" s="227"/>
      <c r="CP424" s="227"/>
      <c r="CQ424" s="227"/>
      <c r="CR424" s="227"/>
      <c r="CS424" s="227"/>
      <c r="CT424" s="227"/>
      <c r="CU424" s="225"/>
      <c r="CV424" s="227"/>
    </row>
    <row r="425" spans="1:100" ht="20.100000000000001" customHeight="1">
      <c r="A425" s="227">
        <v>209</v>
      </c>
      <c r="B425" s="225"/>
      <c r="C425" s="227"/>
      <c r="D425" s="228">
        <f>(SUMPRODUCT(E425:CU425*$E$6:$CU$6)/100)+(SUMPRODUCT(E425:CU425*$E$6:$CU$6*$E$3:$CU$3)/100)</f>
        <v>0</v>
      </c>
      <c r="E425" s="227"/>
      <c r="F425" s="227"/>
      <c r="G425" s="227"/>
      <c r="H425" s="227"/>
      <c r="I425" s="227"/>
      <c r="J425" s="227"/>
      <c r="K425" s="227"/>
      <c r="L425" s="227"/>
      <c r="M425" s="227"/>
      <c r="N425" s="227"/>
      <c r="O425" s="227"/>
      <c r="P425" s="227"/>
      <c r="Q425" s="227"/>
      <c r="R425" s="227"/>
      <c r="S425" s="227"/>
      <c r="T425" s="227"/>
      <c r="U425" s="227"/>
      <c r="V425" s="227"/>
      <c r="W425" s="227"/>
      <c r="X425" s="227"/>
      <c r="Y425" s="227"/>
      <c r="Z425" s="227"/>
      <c r="AA425" s="227"/>
      <c r="AB425" s="227"/>
      <c r="AC425" s="227"/>
      <c r="AD425" s="227"/>
      <c r="AE425" s="227"/>
      <c r="AF425" s="227"/>
      <c r="AG425" s="227"/>
      <c r="AH425" s="227"/>
      <c r="AI425" s="227"/>
      <c r="AJ425" s="227"/>
      <c r="AK425" s="227"/>
      <c r="AL425" s="227"/>
      <c r="AM425" s="227"/>
      <c r="AN425" s="227"/>
      <c r="AO425" s="227"/>
      <c r="AP425" s="227"/>
      <c r="AQ425" s="227"/>
      <c r="AR425" s="227"/>
      <c r="AS425" s="227"/>
      <c r="AT425" s="227"/>
      <c r="AU425" s="227"/>
      <c r="AV425" s="227"/>
      <c r="AW425" s="227"/>
      <c r="AX425" s="227"/>
      <c r="AY425" s="227"/>
      <c r="AZ425" s="227"/>
      <c r="BA425" s="227"/>
      <c r="BB425" s="227"/>
      <c r="BC425" s="227"/>
      <c r="BD425" s="227"/>
      <c r="BE425" s="227"/>
      <c r="BF425" s="227"/>
      <c r="BG425" s="227"/>
      <c r="BH425" s="227"/>
      <c r="BI425" s="227"/>
      <c r="BJ425" s="227"/>
      <c r="BK425" s="227"/>
      <c r="BL425" s="227"/>
      <c r="BM425" s="227"/>
      <c r="BN425" s="227"/>
      <c r="BO425" s="227"/>
      <c r="BP425" s="227"/>
      <c r="BQ425" s="227"/>
      <c r="BR425" s="227"/>
      <c r="BS425" s="227"/>
      <c r="BT425" s="227"/>
      <c r="BU425" s="227"/>
      <c r="BV425" s="227"/>
      <c r="BW425" s="227"/>
      <c r="BX425" s="227"/>
      <c r="BY425" s="227"/>
      <c r="BZ425" s="227"/>
      <c r="CA425" s="227"/>
      <c r="CB425" s="227"/>
      <c r="CC425" s="227"/>
      <c r="CD425" s="227"/>
      <c r="CE425" s="227"/>
      <c r="CF425" s="227"/>
      <c r="CG425" s="227"/>
      <c r="CH425" s="227"/>
      <c r="CI425" s="227"/>
      <c r="CJ425" s="227"/>
      <c r="CK425" s="227"/>
      <c r="CL425" s="227"/>
      <c r="CM425" s="227"/>
      <c r="CN425" s="227"/>
      <c r="CO425" s="227"/>
      <c r="CP425" s="227"/>
      <c r="CQ425" s="227"/>
      <c r="CR425" s="227"/>
      <c r="CS425" s="227"/>
      <c r="CT425" s="227"/>
      <c r="CU425" s="225"/>
      <c r="CV425" s="227"/>
    </row>
    <row r="426" spans="1:100" ht="20.100000000000001" customHeight="1">
      <c r="A426" s="227"/>
      <c r="B426" s="225"/>
      <c r="C426" s="227"/>
      <c r="D426" s="224"/>
      <c r="E426" s="227"/>
      <c r="F426" s="227"/>
      <c r="G426" s="227"/>
      <c r="H426" s="227"/>
      <c r="I426" s="227"/>
      <c r="J426" s="227"/>
      <c r="K426" s="227"/>
      <c r="L426" s="227"/>
      <c r="M426" s="227"/>
      <c r="N426" s="227"/>
      <c r="O426" s="227"/>
      <c r="P426" s="227"/>
      <c r="Q426" s="227"/>
      <c r="R426" s="227"/>
      <c r="S426" s="227"/>
      <c r="T426" s="227"/>
      <c r="U426" s="227"/>
      <c r="V426" s="227"/>
      <c r="W426" s="227"/>
      <c r="X426" s="227"/>
      <c r="Y426" s="227"/>
      <c r="Z426" s="227"/>
      <c r="AA426" s="227"/>
      <c r="AB426" s="227"/>
      <c r="AC426" s="227"/>
      <c r="AD426" s="227"/>
      <c r="AE426" s="227"/>
      <c r="AF426" s="227"/>
      <c r="AG426" s="227"/>
      <c r="AH426" s="227"/>
      <c r="AI426" s="227"/>
      <c r="AJ426" s="227"/>
      <c r="AK426" s="227"/>
      <c r="AL426" s="227"/>
      <c r="AM426" s="227"/>
      <c r="AN426" s="227"/>
      <c r="AO426" s="227"/>
      <c r="AP426" s="227"/>
      <c r="AQ426" s="227"/>
      <c r="AR426" s="227"/>
      <c r="AS426" s="227"/>
      <c r="AT426" s="227"/>
      <c r="AU426" s="227"/>
      <c r="AV426" s="227"/>
      <c r="AW426" s="227"/>
      <c r="AX426" s="227"/>
      <c r="AY426" s="227"/>
      <c r="AZ426" s="227"/>
      <c r="BA426" s="227"/>
      <c r="BB426" s="227"/>
      <c r="BC426" s="227"/>
      <c r="BD426" s="227"/>
      <c r="BE426" s="227"/>
      <c r="BF426" s="227"/>
      <c r="BG426" s="227"/>
      <c r="BH426" s="227"/>
      <c r="BI426" s="227"/>
      <c r="BJ426" s="227"/>
      <c r="BK426" s="227"/>
      <c r="BL426" s="227"/>
      <c r="BM426" s="227"/>
      <c r="BN426" s="227"/>
      <c r="BO426" s="227"/>
      <c r="BP426" s="227"/>
      <c r="BQ426" s="227"/>
      <c r="BR426" s="227"/>
      <c r="BS426" s="227"/>
      <c r="BT426" s="227"/>
      <c r="BU426" s="227"/>
      <c r="BV426" s="227"/>
      <c r="BW426" s="227"/>
      <c r="BX426" s="227"/>
      <c r="BY426" s="227"/>
      <c r="BZ426" s="227"/>
      <c r="CA426" s="227"/>
      <c r="CB426" s="227"/>
      <c r="CC426" s="227"/>
      <c r="CD426" s="227"/>
      <c r="CE426" s="227"/>
      <c r="CF426" s="227"/>
      <c r="CG426" s="227"/>
      <c r="CH426" s="227"/>
      <c r="CI426" s="227"/>
      <c r="CJ426" s="227"/>
      <c r="CK426" s="227"/>
      <c r="CL426" s="227"/>
      <c r="CM426" s="227"/>
      <c r="CN426" s="227"/>
      <c r="CO426" s="227"/>
      <c r="CP426" s="227"/>
      <c r="CQ426" s="227"/>
      <c r="CR426" s="227"/>
      <c r="CS426" s="227"/>
      <c r="CT426" s="227"/>
      <c r="CU426" s="225"/>
      <c r="CV426" s="227"/>
    </row>
    <row r="427" spans="1:100" ht="20.100000000000001" customHeight="1">
      <c r="A427" s="227">
        <v>210</v>
      </c>
      <c r="B427" s="225"/>
      <c r="C427" s="227"/>
      <c r="D427" s="228">
        <f>(SUMPRODUCT(E427:CU427*$E$6:$CU$6)/100)+(SUMPRODUCT(E427:CU427*$E$6:$CU$6*$E$3:$CU$3)/100)</f>
        <v>0</v>
      </c>
      <c r="E427" s="227"/>
      <c r="F427" s="227"/>
      <c r="G427" s="227"/>
      <c r="H427" s="227"/>
      <c r="I427" s="227"/>
      <c r="J427" s="227"/>
      <c r="K427" s="227"/>
      <c r="L427" s="227"/>
      <c r="M427" s="227"/>
      <c r="N427" s="227"/>
      <c r="O427" s="227"/>
      <c r="P427" s="227"/>
      <c r="Q427" s="227"/>
      <c r="R427" s="227"/>
      <c r="S427" s="227"/>
      <c r="T427" s="227"/>
      <c r="U427" s="227"/>
      <c r="V427" s="227"/>
      <c r="W427" s="227"/>
      <c r="X427" s="227"/>
      <c r="Y427" s="227"/>
      <c r="Z427" s="227"/>
      <c r="AA427" s="227"/>
      <c r="AB427" s="227"/>
      <c r="AC427" s="227"/>
      <c r="AD427" s="227"/>
      <c r="AE427" s="227"/>
      <c r="AF427" s="227"/>
      <c r="AG427" s="227"/>
      <c r="AH427" s="227"/>
      <c r="AI427" s="227"/>
      <c r="AJ427" s="227"/>
      <c r="AK427" s="227"/>
      <c r="AL427" s="227"/>
      <c r="AM427" s="227"/>
      <c r="AN427" s="227"/>
      <c r="AO427" s="227"/>
      <c r="AP427" s="227"/>
      <c r="AQ427" s="227"/>
      <c r="AR427" s="227"/>
      <c r="AS427" s="227"/>
      <c r="AT427" s="227"/>
      <c r="AU427" s="227"/>
      <c r="AV427" s="227"/>
      <c r="AW427" s="227"/>
      <c r="AX427" s="227"/>
      <c r="AY427" s="227"/>
      <c r="AZ427" s="227"/>
      <c r="BA427" s="227"/>
      <c r="BB427" s="227"/>
      <c r="BC427" s="227"/>
      <c r="BD427" s="227"/>
      <c r="BE427" s="227"/>
      <c r="BF427" s="227"/>
      <c r="BG427" s="227"/>
      <c r="BH427" s="227"/>
      <c r="BI427" s="227"/>
      <c r="BJ427" s="227"/>
      <c r="BK427" s="227"/>
      <c r="BL427" s="227"/>
      <c r="BM427" s="227"/>
      <c r="BN427" s="227"/>
      <c r="BO427" s="227"/>
      <c r="BP427" s="227"/>
      <c r="BQ427" s="227"/>
      <c r="BR427" s="227"/>
      <c r="BS427" s="227"/>
      <c r="BT427" s="227"/>
      <c r="BU427" s="227"/>
      <c r="BV427" s="227"/>
      <c r="BW427" s="227"/>
      <c r="BX427" s="227"/>
      <c r="BY427" s="227"/>
      <c r="BZ427" s="227"/>
      <c r="CA427" s="227"/>
      <c r="CB427" s="227"/>
      <c r="CC427" s="227"/>
      <c r="CD427" s="227"/>
      <c r="CE427" s="227"/>
      <c r="CF427" s="227"/>
      <c r="CG427" s="227"/>
      <c r="CH427" s="227"/>
      <c r="CI427" s="227"/>
      <c r="CJ427" s="227"/>
      <c r="CK427" s="227"/>
      <c r="CL427" s="227"/>
      <c r="CM427" s="227"/>
      <c r="CN427" s="227"/>
      <c r="CO427" s="227"/>
      <c r="CP427" s="227"/>
      <c r="CQ427" s="227"/>
      <c r="CR427" s="227"/>
      <c r="CS427" s="227"/>
      <c r="CT427" s="227"/>
      <c r="CU427" s="225"/>
      <c r="CV427" s="227"/>
    </row>
    <row r="428" spans="1:100" ht="20.100000000000001" customHeight="1">
      <c r="A428" s="223"/>
      <c r="B428" s="225"/>
      <c r="C428" s="227"/>
      <c r="D428" s="224"/>
      <c r="E428" s="227"/>
      <c r="F428" s="227"/>
      <c r="G428" s="227"/>
      <c r="H428" s="227"/>
      <c r="I428" s="227"/>
      <c r="J428" s="227"/>
      <c r="K428" s="227"/>
      <c r="L428" s="227"/>
      <c r="M428" s="227"/>
      <c r="N428" s="227"/>
      <c r="O428" s="227"/>
      <c r="P428" s="227"/>
      <c r="Q428" s="227"/>
      <c r="R428" s="227"/>
      <c r="S428" s="227"/>
      <c r="T428" s="227"/>
      <c r="U428" s="227"/>
      <c r="V428" s="227"/>
      <c r="W428" s="227"/>
      <c r="X428" s="227"/>
      <c r="Y428" s="227"/>
      <c r="Z428" s="227"/>
      <c r="AA428" s="227"/>
      <c r="AB428" s="227"/>
      <c r="AC428" s="227"/>
      <c r="AD428" s="227"/>
      <c r="AE428" s="227"/>
      <c r="AF428" s="227"/>
      <c r="AG428" s="227"/>
      <c r="AH428" s="227"/>
      <c r="AI428" s="227"/>
      <c r="AJ428" s="227"/>
      <c r="AK428" s="227"/>
      <c r="AL428" s="227"/>
      <c r="AM428" s="227"/>
      <c r="AN428" s="227"/>
      <c r="AO428" s="227"/>
      <c r="AP428" s="227"/>
      <c r="AQ428" s="227"/>
      <c r="AR428" s="227"/>
      <c r="AS428" s="227"/>
      <c r="AT428" s="227"/>
      <c r="AU428" s="227"/>
      <c r="AV428" s="227"/>
      <c r="AW428" s="227"/>
      <c r="AX428" s="227"/>
      <c r="AY428" s="227"/>
      <c r="AZ428" s="227"/>
      <c r="BA428" s="227"/>
      <c r="BB428" s="227"/>
      <c r="BC428" s="227"/>
      <c r="BD428" s="227"/>
      <c r="BE428" s="227"/>
      <c r="BF428" s="227"/>
      <c r="BG428" s="227"/>
      <c r="BH428" s="227"/>
      <c r="BI428" s="227"/>
      <c r="BJ428" s="227"/>
      <c r="BK428" s="227"/>
      <c r="BL428" s="227"/>
      <c r="BM428" s="227"/>
      <c r="BN428" s="227"/>
      <c r="BO428" s="227"/>
      <c r="BP428" s="227"/>
      <c r="BQ428" s="227"/>
      <c r="BR428" s="227"/>
      <c r="BS428" s="227"/>
      <c r="BT428" s="227"/>
      <c r="BU428" s="227"/>
      <c r="BV428" s="227"/>
      <c r="BW428" s="227"/>
      <c r="BX428" s="227"/>
      <c r="BY428" s="227"/>
      <c r="BZ428" s="227"/>
      <c r="CA428" s="227"/>
      <c r="CB428" s="227"/>
      <c r="CC428" s="227"/>
      <c r="CD428" s="227"/>
      <c r="CE428" s="227"/>
      <c r="CF428" s="227"/>
      <c r="CG428" s="227"/>
      <c r="CH428" s="227"/>
      <c r="CI428" s="227"/>
      <c r="CJ428" s="227"/>
      <c r="CK428" s="227"/>
      <c r="CL428" s="227"/>
      <c r="CM428" s="227"/>
      <c r="CN428" s="227"/>
      <c r="CO428" s="227"/>
      <c r="CP428" s="227"/>
      <c r="CQ428" s="227"/>
      <c r="CR428" s="227"/>
      <c r="CS428" s="227"/>
      <c r="CT428" s="227"/>
      <c r="CU428" s="225"/>
      <c r="CV428" s="227"/>
    </row>
    <row r="429" spans="1:100" ht="20.100000000000001" customHeight="1">
      <c r="A429" s="227">
        <v>211</v>
      </c>
      <c r="B429" s="225"/>
      <c r="C429" s="227"/>
      <c r="D429" s="228">
        <f>(SUMPRODUCT(E429:CU429*$E$6:$CU$6)/100)+(SUMPRODUCT(E429:CU429*$E$6:$CU$6*$E$3:$CU$3)/100)</f>
        <v>0</v>
      </c>
      <c r="E429" s="227"/>
      <c r="F429" s="227"/>
      <c r="G429" s="227"/>
      <c r="H429" s="227"/>
      <c r="I429" s="227"/>
      <c r="J429" s="227"/>
      <c r="K429" s="227"/>
      <c r="L429" s="227"/>
      <c r="M429" s="227"/>
      <c r="N429" s="227"/>
      <c r="O429" s="227"/>
      <c r="P429" s="227"/>
      <c r="Q429" s="227"/>
      <c r="R429" s="227"/>
      <c r="S429" s="227"/>
      <c r="T429" s="227"/>
      <c r="U429" s="227"/>
      <c r="V429" s="227"/>
      <c r="W429" s="227"/>
      <c r="X429" s="227"/>
      <c r="Y429" s="227"/>
      <c r="Z429" s="227"/>
      <c r="AA429" s="227"/>
      <c r="AB429" s="227"/>
      <c r="AC429" s="227"/>
      <c r="AD429" s="227"/>
      <c r="AE429" s="227"/>
      <c r="AF429" s="227"/>
      <c r="AG429" s="227"/>
      <c r="AH429" s="227"/>
      <c r="AI429" s="227"/>
      <c r="AJ429" s="227"/>
      <c r="AK429" s="227"/>
      <c r="AL429" s="227"/>
      <c r="AM429" s="227"/>
      <c r="AN429" s="227"/>
      <c r="AO429" s="227"/>
      <c r="AP429" s="227"/>
      <c r="AQ429" s="227"/>
      <c r="AR429" s="227"/>
      <c r="AS429" s="227"/>
      <c r="AT429" s="227"/>
      <c r="AU429" s="227"/>
      <c r="AV429" s="227"/>
      <c r="AW429" s="227"/>
      <c r="AX429" s="227"/>
      <c r="AY429" s="227"/>
      <c r="AZ429" s="227"/>
      <c r="BA429" s="227"/>
      <c r="BB429" s="227"/>
      <c r="BC429" s="227"/>
      <c r="BD429" s="227"/>
      <c r="BE429" s="227"/>
      <c r="BF429" s="227"/>
      <c r="BG429" s="227"/>
      <c r="BH429" s="227"/>
      <c r="BI429" s="227"/>
      <c r="BJ429" s="227"/>
      <c r="BK429" s="227"/>
      <c r="BL429" s="227"/>
      <c r="BM429" s="227"/>
      <c r="BN429" s="227"/>
      <c r="BO429" s="227"/>
      <c r="BP429" s="227"/>
      <c r="BQ429" s="227"/>
      <c r="BR429" s="227"/>
      <c r="BS429" s="227"/>
      <c r="BT429" s="227"/>
      <c r="BU429" s="227"/>
      <c r="BV429" s="227"/>
      <c r="BW429" s="227"/>
      <c r="BX429" s="227"/>
      <c r="BY429" s="227"/>
      <c r="BZ429" s="227"/>
      <c r="CA429" s="227"/>
      <c r="CB429" s="227"/>
      <c r="CC429" s="227"/>
      <c r="CD429" s="227"/>
      <c r="CE429" s="227"/>
      <c r="CF429" s="227"/>
      <c r="CG429" s="227"/>
      <c r="CH429" s="227"/>
      <c r="CI429" s="227"/>
      <c r="CJ429" s="227"/>
      <c r="CK429" s="227"/>
      <c r="CL429" s="227"/>
      <c r="CM429" s="227"/>
      <c r="CN429" s="227"/>
      <c r="CO429" s="227"/>
      <c r="CP429" s="227"/>
      <c r="CQ429" s="227"/>
      <c r="CR429" s="227"/>
      <c r="CS429" s="227"/>
      <c r="CT429" s="227"/>
      <c r="CU429" s="225"/>
      <c r="CV429" s="227"/>
    </row>
    <row r="430" spans="1:100" ht="20.100000000000001" customHeight="1">
      <c r="A430" s="227"/>
      <c r="B430" s="225"/>
      <c r="C430" s="227"/>
      <c r="D430" s="224"/>
      <c r="E430" s="227"/>
      <c r="F430" s="227"/>
      <c r="G430" s="227"/>
      <c r="H430" s="227"/>
      <c r="I430" s="227"/>
      <c r="J430" s="227"/>
      <c r="K430" s="227"/>
      <c r="L430" s="227"/>
      <c r="M430" s="227"/>
      <c r="N430" s="227"/>
      <c r="O430" s="227"/>
      <c r="P430" s="227"/>
      <c r="Q430" s="227"/>
      <c r="R430" s="227"/>
      <c r="S430" s="227"/>
      <c r="T430" s="227"/>
      <c r="U430" s="227"/>
      <c r="V430" s="227"/>
      <c r="W430" s="227"/>
      <c r="X430" s="227"/>
      <c r="Y430" s="227"/>
      <c r="Z430" s="227"/>
      <c r="AA430" s="227"/>
      <c r="AB430" s="227"/>
      <c r="AC430" s="227"/>
      <c r="AD430" s="227"/>
      <c r="AE430" s="227"/>
      <c r="AF430" s="227"/>
      <c r="AG430" s="227"/>
      <c r="AH430" s="227"/>
      <c r="AI430" s="227"/>
      <c r="AJ430" s="227"/>
      <c r="AK430" s="227"/>
      <c r="AL430" s="227"/>
      <c r="AM430" s="227"/>
      <c r="AN430" s="227"/>
      <c r="AO430" s="227"/>
      <c r="AP430" s="227"/>
      <c r="AQ430" s="227"/>
      <c r="AR430" s="227"/>
      <c r="AS430" s="227"/>
      <c r="AT430" s="227"/>
      <c r="AU430" s="227"/>
      <c r="AV430" s="227"/>
      <c r="AW430" s="227"/>
      <c r="AX430" s="227"/>
      <c r="AY430" s="227"/>
      <c r="AZ430" s="227"/>
      <c r="BA430" s="227"/>
      <c r="BB430" s="227"/>
      <c r="BC430" s="227"/>
      <c r="BD430" s="227"/>
      <c r="BE430" s="227"/>
      <c r="BF430" s="227"/>
      <c r="BG430" s="227"/>
      <c r="BH430" s="227"/>
      <c r="BI430" s="227"/>
      <c r="BJ430" s="227"/>
      <c r="BK430" s="227"/>
      <c r="BL430" s="227"/>
      <c r="BM430" s="227"/>
      <c r="BN430" s="227"/>
      <c r="BO430" s="227"/>
      <c r="BP430" s="227"/>
      <c r="BQ430" s="227"/>
      <c r="BR430" s="227"/>
      <c r="BS430" s="227"/>
      <c r="BT430" s="227"/>
      <c r="BU430" s="227"/>
      <c r="BV430" s="227"/>
      <c r="BW430" s="227"/>
      <c r="BX430" s="227"/>
      <c r="BY430" s="227"/>
      <c r="BZ430" s="227"/>
      <c r="CA430" s="227"/>
      <c r="CB430" s="227"/>
      <c r="CC430" s="227"/>
      <c r="CD430" s="227"/>
      <c r="CE430" s="227"/>
      <c r="CF430" s="227"/>
      <c r="CG430" s="227"/>
      <c r="CH430" s="227"/>
      <c r="CI430" s="227"/>
      <c r="CJ430" s="227"/>
      <c r="CK430" s="227"/>
      <c r="CL430" s="227"/>
      <c r="CM430" s="227"/>
      <c r="CN430" s="227"/>
      <c r="CO430" s="227"/>
      <c r="CP430" s="227"/>
      <c r="CQ430" s="227"/>
      <c r="CR430" s="227"/>
      <c r="CS430" s="227"/>
      <c r="CT430" s="227"/>
      <c r="CU430" s="225"/>
      <c r="CV430" s="227"/>
    </row>
    <row r="431" spans="1:100" ht="20.100000000000001" customHeight="1">
      <c r="A431" s="227">
        <v>212</v>
      </c>
      <c r="B431" s="225"/>
      <c r="C431" s="227"/>
      <c r="D431" s="228">
        <f>(SUMPRODUCT(E431:CU431*$E$6:$CU$6)/100)+(SUMPRODUCT(E431:CU431*$E$6:$CU$6*$E$3:$CU$3)/100)</f>
        <v>0</v>
      </c>
      <c r="E431" s="227"/>
      <c r="F431" s="227"/>
      <c r="G431" s="227"/>
      <c r="H431" s="227"/>
      <c r="I431" s="227"/>
      <c r="J431" s="227"/>
      <c r="K431" s="227"/>
      <c r="L431" s="227"/>
      <c r="M431" s="227"/>
      <c r="N431" s="227"/>
      <c r="O431" s="227"/>
      <c r="P431" s="227"/>
      <c r="Q431" s="227"/>
      <c r="R431" s="227"/>
      <c r="S431" s="227"/>
      <c r="T431" s="227"/>
      <c r="U431" s="227"/>
      <c r="V431" s="227"/>
      <c r="W431" s="227"/>
      <c r="X431" s="227"/>
      <c r="Y431" s="227"/>
      <c r="Z431" s="227"/>
      <c r="AA431" s="227"/>
      <c r="AB431" s="227"/>
      <c r="AC431" s="227"/>
      <c r="AD431" s="227"/>
      <c r="AE431" s="227"/>
      <c r="AF431" s="227"/>
      <c r="AG431" s="227"/>
      <c r="AH431" s="227"/>
      <c r="AI431" s="227"/>
      <c r="AJ431" s="227"/>
      <c r="AK431" s="227"/>
      <c r="AL431" s="227"/>
      <c r="AM431" s="227"/>
      <c r="AN431" s="227"/>
      <c r="AO431" s="227"/>
      <c r="AP431" s="227"/>
      <c r="AQ431" s="227"/>
      <c r="AR431" s="227"/>
      <c r="AS431" s="227"/>
      <c r="AT431" s="227"/>
      <c r="AU431" s="227"/>
      <c r="AV431" s="227"/>
      <c r="AW431" s="227"/>
      <c r="AX431" s="227"/>
      <c r="AY431" s="227"/>
      <c r="AZ431" s="227"/>
      <c r="BA431" s="227"/>
      <c r="BB431" s="227"/>
      <c r="BC431" s="227"/>
      <c r="BD431" s="227"/>
      <c r="BE431" s="227"/>
      <c r="BF431" s="227"/>
      <c r="BG431" s="227"/>
      <c r="BH431" s="227"/>
      <c r="BI431" s="227"/>
      <c r="BJ431" s="227"/>
      <c r="BK431" s="227"/>
      <c r="BL431" s="227"/>
      <c r="BM431" s="227"/>
      <c r="BN431" s="227"/>
      <c r="BO431" s="227"/>
      <c r="BP431" s="227"/>
      <c r="BQ431" s="227"/>
      <c r="BR431" s="227"/>
      <c r="BS431" s="227"/>
      <c r="BT431" s="227"/>
      <c r="BU431" s="227"/>
      <c r="BV431" s="227"/>
      <c r="BW431" s="227"/>
      <c r="BX431" s="227"/>
      <c r="BY431" s="227"/>
      <c r="BZ431" s="227"/>
      <c r="CA431" s="227"/>
      <c r="CB431" s="227"/>
      <c r="CC431" s="227"/>
      <c r="CD431" s="227"/>
      <c r="CE431" s="227"/>
      <c r="CF431" s="227"/>
      <c r="CG431" s="227"/>
      <c r="CH431" s="227"/>
      <c r="CI431" s="227"/>
      <c r="CJ431" s="227"/>
      <c r="CK431" s="227"/>
      <c r="CL431" s="227"/>
      <c r="CM431" s="227"/>
      <c r="CN431" s="227"/>
      <c r="CO431" s="227"/>
      <c r="CP431" s="227"/>
      <c r="CQ431" s="227"/>
      <c r="CR431" s="227"/>
      <c r="CS431" s="227"/>
      <c r="CT431" s="227"/>
      <c r="CU431" s="225"/>
      <c r="CV431" s="227"/>
    </row>
    <row r="432" spans="1:100" ht="20.100000000000001" customHeight="1">
      <c r="A432" s="223"/>
      <c r="B432" s="225"/>
      <c r="C432" s="227"/>
      <c r="D432" s="224"/>
      <c r="E432" s="227"/>
      <c r="F432" s="227"/>
      <c r="G432" s="227"/>
      <c r="H432" s="227"/>
      <c r="I432" s="227"/>
      <c r="J432" s="227"/>
      <c r="K432" s="227"/>
      <c r="L432" s="227"/>
      <c r="M432" s="227"/>
      <c r="N432" s="227"/>
      <c r="O432" s="227"/>
      <c r="P432" s="227"/>
      <c r="Q432" s="227"/>
      <c r="R432" s="227"/>
      <c r="S432" s="227"/>
      <c r="T432" s="227"/>
      <c r="U432" s="227"/>
      <c r="V432" s="227"/>
      <c r="W432" s="227"/>
      <c r="X432" s="227"/>
      <c r="Y432" s="227"/>
      <c r="Z432" s="227"/>
      <c r="AA432" s="227"/>
      <c r="AB432" s="227"/>
      <c r="AC432" s="227"/>
      <c r="AD432" s="227"/>
      <c r="AE432" s="227"/>
      <c r="AF432" s="227"/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27"/>
      <c r="BC432" s="227"/>
      <c r="BD432" s="227"/>
      <c r="BE432" s="227"/>
      <c r="BF432" s="227"/>
      <c r="BG432" s="227"/>
      <c r="BH432" s="227"/>
      <c r="BI432" s="227"/>
      <c r="BJ432" s="227"/>
      <c r="BK432" s="227"/>
      <c r="BL432" s="227"/>
      <c r="BM432" s="227"/>
      <c r="BN432" s="227"/>
      <c r="BO432" s="227"/>
      <c r="BP432" s="227"/>
      <c r="BQ432" s="227"/>
      <c r="BR432" s="227"/>
      <c r="BS432" s="227"/>
      <c r="BT432" s="227"/>
      <c r="BU432" s="227"/>
      <c r="BV432" s="227"/>
      <c r="BW432" s="227"/>
      <c r="BX432" s="227"/>
      <c r="BY432" s="227"/>
      <c r="BZ432" s="227"/>
      <c r="CA432" s="227"/>
      <c r="CB432" s="227"/>
      <c r="CC432" s="227"/>
      <c r="CD432" s="227"/>
      <c r="CE432" s="227"/>
      <c r="CF432" s="227"/>
      <c r="CG432" s="227"/>
      <c r="CH432" s="227"/>
      <c r="CI432" s="227"/>
      <c r="CJ432" s="227"/>
      <c r="CK432" s="227"/>
      <c r="CL432" s="227"/>
      <c r="CM432" s="227"/>
      <c r="CN432" s="227"/>
      <c r="CO432" s="227"/>
      <c r="CP432" s="227"/>
      <c r="CQ432" s="227"/>
      <c r="CR432" s="227"/>
      <c r="CS432" s="227"/>
      <c r="CT432" s="227"/>
      <c r="CU432" s="225"/>
      <c r="CV432" s="227"/>
    </row>
    <row r="433" spans="1:100" ht="20.100000000000001" customHeight="1">
      <c r="A433" s="227">
        <v>213</v>
      </c>
      <c r="B433" s="225"/>
      <c r="C433" s="227"/>
      <c r="D433" s="228">
        <f>(SUMPRODUCT(E433:CU433*$E$6:$CU$6)/100)+(SUMPRODUCT(E433:CU433*$E$6:$CU$6*$E$3:$CU$3)/100)</f>
        <v>0</v>
      </c>
      <c r="E433" s="227"/>
      <c r="F433" s="227"/>
      <c r="G433" s="227"/>
      <c r="H433" s="227"/>
      <c r="I433" s="227"/>
      <c r="J433" s="227"/>
      <c r="K433" s="227"/>
      <c r="L433" s="227"/>
      <c r="M433" s="227"/>
      <c r="N433" s="227"/>
      <c r="O433" s="227"/>
      <c r="P433" s="227"/>
      <c r="Q433" s="227"/>
      <c r="R433" s="227"/>
      <c r="S433" s="227"/>
      <c r="T433" s="227"/>
      <c r="U433" s="227"/>
      <c r="V433" s="227"/>
      <c r="W433" s="227"/>
      <c r="X433" s="227"/>
      <c r="Y433" s="227"/>
      <c r="Z433" s="227"/>
      <c r="AA433" s="227"/>
      <c r="AB433" s="227"/>
      <c r="AC433" s="227"/>
      <c r="AD433" s="227"/>
      <c r="AE433" s="227"/>
      <c r="AF433" s="227"/>
      <c r="AG433" s="227"/>
      <c r="AH433" s="227"/>
      <c r="AI433" s="227"/>
      <c r="AJ433" s="227"/>
      <c r="AK433" s="227"/>
      <c r="AL433" s="227"/>
      <c r="AM433" s="227"/>
      <c r="AN433" s="227"/>
      <c r="AO433" s="227"/>
      <c r="AP433" s="227"/>
      <c r="AQ433" s="227"/>
      <c r="AR433" s="227"/>
      <c r="AS433" s="227"/>
      <c r="AT433" s="227"/>
      <c r="AU433" s="227"/>
      <c r="AV433" s="227"/>
      <c r="AW433" s="227"/>
      <c r="AX433" s="227"/>
      <c r="AY433" s="227"/>
      <c r="AZ433" s="227"/>
      <c r="BA433" s="227"/>
      <c r="BB433" s="227"/>
      <c r="BC433" s="227"/>
      <c r="BD433" s="227"/>
      <c r="BE433" s="227"/>
      <c r="BF433" s="227"/>
      <c r="BG433" s="227"/>
      <c r="BH433" s="227"/>
      <c r="BI433" s="227"/>
      <c r="BJ433" s="227"/>
      <c r="BK433" s="227"/>
      <c r="BL433" s="227"/>
      <c r="BM433" s="227"/>
      <c r="BN433" s="227"/>
      <c r="BO433" s="227"/>
      <c r="BP433" s="227"/>
      <c r="BQ433" s="227"/>
      <c r="BR433" s="227"/>
      <c r="BS433" s="227"/>
      <c r="BT433" s="227"/>
      <c r="BU433" s="227"/>
      <c r="BV433" s="227"/>
      <c r="BW433" s="227"/>
      <c r="BX433" s="227"/>
      <c r="BY433" s="227"/>
      <c r="BZ433" s="227"/>
      <c r="CA433" s="227"/>
      <c r="CB433" s="227"/>
      <c r="CC433" s="227"/>
      <c r="CD433" s="227"/>
      <c r="CE433" s="227"/>
      <c r="CF433" s="227"/>
      <c r="CG433" s="227"/>
      <c r="CH433" s="227"/>
      <c r="CI433" s="227"/>
      <c r="CJ433" s="227"/>
      <c r="CK433" s="227"/>
      <c r="CL433" s="227"/>
      <c r="CM433" s="227"/>
      <c r="CN433" s="227"/>
      <c r="CO433" s="227"/>
      <c r="CP433" s="227"/>
      <c r="CQ433" s="227"/>
      <c r="CR433" s="227"/>
      <c r="CS433" s="227"/>
      <c r="CT433" s="227"/>
      <c r="CU433" s="225"/>
      <c r="CV433" s="227"/>
    </row>
    <row r="434" spans="1:100" ht="20.100000000000001" customHeight="1">
      <c r="A434" s="227"/>
      <c r="B434" s="225"/>
      <c r="C434" s="227"/>
      <c r="D434" s="224"/>
      <c r="E434" s="227"/>
      <c r="F434" s="227"/>
      <c r="G434" s="227"/>
      <c r="H434" s="227"/>
      <c r="I434" s="227"/>
      <c r="J434" s="227"/>
      <c r="K434" s="227"/>
      <c r="L434" s="227"/>
      <c r="M434" s="227"/>
      <c r="N434" s="227"/>
      <c r="O434" s="227"/>
      <c r="P434" s="227"/>
      <c r="Q434" s="227"/>
      <c r="R434" s="227"/>
      <c r="S434" s="227"/>
      <c r="T434" s="227"/>
      <c r="U434" s="227"/>
      <c r="V434" s="227"/>
      <c r="W434" s="227"/>
      <c r="X434" s="227"/>
      <c r="Y434" s="227"/>
      <c r="Z434" s="227"/>
      <c r="AA434" s="227"/>
      <c r="AB434" s="227"/>
      <c r="AC434" s="227"/>
      <c r="AD434" s="227"/>
      <c r="AE434" s="227"/>
      <c r="AF434" s="227"/>
      <c r="AG434" s="227"/>
      <c r="AH434" s="227"/>
      <c r="AI434" s="227"/>
      <c r="AJ434" s="227"/>
      <c r="AK434" s="227"/>
      <c r="AL434" s="227"/>
      <c r="AM434" s="227"/>
      <c r="AN434" s="227"/>
      <c r="AO434" s="227"/>
      <c r="AP434" s="227"/>
      <c r="AQ434" s="227"/>
      <c r="AR434" s="227"/>
      <c r="AS434" s="227"/>
      <c r="AT434" s="227"/>
      <c r="AU434" s="227"/>
      <c r="AV434" s="227"/>
      <c r="AW434" s="227"/>
      <c r="AX434" s="227"/>
      <c r="AY434" s="227"/>
      <c r="AZ434" s="227"/>
      <c r="BA434" s="227"/>
      <c r="BB434" s="227"/>
      <c r="BC434" s="227"/>
      <c r="BD434" s="227"/>
      <c r="BE434" s="227"/>
      <c r="BF434" s="227"/>
      <c r="BG434" s="227"/>
      <c r="BH434" s="227"/>
      <c r="BI434" s="227"/>
      <c r="BJ434" s="227"/>
      <c r="BK434" s="227"/>
      <c r="BL434" s="227"/>
      <c r="BM434" s="227"/>
      <c r="BN434" s="227"/>
      <c r="BO434" s="227"/>
      <c r="BP434" s="227"/>
      <c r="BQ434" s="227"/>
      <c r="BR434" s="227"/>
      <c r="BS434" s="227"/>
      <c r="BT434" s="227"/>
      <c r="BU434" s="227"/>
      <c r="BV434" s="227"/>
      <c r="BW434" s="227"/>
      <c r="BX434" s="227"/>
      <c r="BY434" s="227"/>
      <c r="BZ434" s="227"/>
      <c r="CA434" s="227"/>
      <c r="CB434" s="227"/>
      <c r="CC434" s="227"/>
      <c r="CD434" s="227"/>
      <c r="CE434" s="227"/>
      <c r="CF434" s="227"/>
      <c r="CG434" s="227"/>
      <c r="CH434" s="227"/>
      <c r="CI434" s="227"/>
      <c r="CJ434" s="227"/>
      <c r="CK434" s="227"/>
      <c r="CL434" s="227"/>
      <c r="CM434" s="227"/>
      <c r="CN434" s="227"/>
      <c r="CO434" s="227"/>
      <c r="CP434" s="227"/>
      <c r="CQ434" s="227"/>
      <c r="CR434" s="227"/>
      <c r="CS434" s="227"/>
      <c r="CT434" s="227"/>
      <c r="CU434" s="225"/>
      <c r="CV434" s="227"/>
    </row>
    <row r="435" spans="1:100" ht="20.100000000000001" customHeight="1">
      <c r="A435" s="227">
        <v>214</v>
      </c>
      <c r="B435" s="225"/>
      <c r="C435" s="227"/>
      <c r="D435" s="228">
        <f>(SUMPRODUCT(E435:CU435*$E$6:$CU$6)/100)+(SUMPRODUCT(E435:CU435*$E$6:$CU$6*$E$3:$CU$3)/100)</f>
        <v>0</v>
      </c>
      <c r="E435" s="227"/>
      <c r="F435" s="227"/>
      <c r="G435" s="227"/>
      <c r="H435" s="227"/>
      <c r="I435" s="227"/>
      <c r="J435" s="227"/>
      <c r="K435" s="227"/>
      <c r="L435" s="227"/>
      <c r="M435" s="227"/>
      <c r="N435" s="227"/>
      <c r="O435" s="227"/>
      <c r="P435" s="227"/>
      <c r="Q435" s="227"/>
      <c r="R435" s="227"/>
      <c r="S435" s="227"/>
      <c r="T435" s="227"/>
      <c r="U435" s="227"/>
      <c r="V435" s="227"/>
      <c r="W435" s="227"/>
      <c r="X435" s="227"/>
      <c r="Y435" s="227"/>
      <c r="Z435" s="227"/>
      <c r="AA435" s="227"/>
      <c r="AB435" s="227"/>
      <c r="AC435" s="227"/>
      <c r="AD435" s="227"/>
      <c r="AE435" s="227"/>
      <c r="AF435" s="227"/>
      <c r="AG435" s="227"/>
      <c r="AH435" s="227"/>
      <c r="AI435" s="227"/>
      <c r="AJ435" s="227"/>
      <c r="AK435" s="227"/>
      <c r="AL435" s="227"/>
      <c r="AM435" s="227"/>
      <c r="AN435" s="227"/>
      <c r="AO435" s="227"/>
      <c r="AP435" s="227"/>
      <c r="AQ435" s="227"/>
      <c r="AR435" s="227"/>
      <c r="AS435" s="227"/>
      <c r="AT435" s="227"/>
      <c r="AU435" s="227"/>
      <c r="AV435" s="227"/>
      <c r="AW435" s="227"/>
      <c r="AX435" s="227"/>
      <c r="AY435" s="227"/>
      <c r="AZ435" s="227"/>
      <c r="BA435" s="227"/>
      <c r="BB435" s="227"/>
      <c r="BC435" s="227"/>
      <c r="BD435" s="227"/>
      <c r="BE435" s="227"/>
      <c r="BF435" s="227"/>
      <c r="BG435" s="227"/>
      <c r="BH435" s="227"/>
      <c r="BI435" s="227"/>
      <c r="BJ435" s="227"/>
      <c r="BK435" s="227"/>
      <c r="BL435" s="227"/>
      <c r="BM435" s="227"/>
      <c r="BN435" s="227"/>
      <c r="BO435" s="227"/>
      <c r="BP435" s="227"/>
      <c r="BQ435" s="227"/>
      <c r="BR435" s="227"/>
      <c r="BS435" s="227"/>
      <c r="BT435" s="227"/>
      <c r="BU435" s="227"/>
      <c r="BV435" s="227"/>
      <c r="BW435" s="227"/>
      <c r="BX435" s="227"/>
      <c r="BY435" s="227"/>
      <c r="BZ435" s="227"/>
      <c r="CA435" s="227"/>
      <c r="CB435" s="227"/>
      <c r="CC435" s="227"/>
      <c r="CD435" s="227"/>
      <c r="CE435" s="227"/>
      <c r="CF435" s="227"/>
      <c r="CG435" s="227"/>
      <c r="CH435" s="227"/>
      <c r="CI435" s="227"/>
      <c r="CJ435" s="227"/>
      <c r="CK435" s="227"/>
      <c r="CL435" s="227"/>
      <c r="CM435" s="227"/>
      <c r="CN435" s="227"/>
      <c r="CO435" s="227"/>
      <c r="CP435" s="227"/>
      <c r="CQ435" s="227"/>
      <c r="CR435" s="227"/>
      <c r="CS435" s="227"/>
      <c r="CT435" s="227"/>
      <c r="CU435" s="225"/>
      <c r="CV435" s="227"/>
    </row>
    <row r="436" spans="1:100" ht="20.100000000000001" customHeight="1">
      <c r="A436" s="223"/>
      <c r="B436" s="225"/>
      <c r="C436" s="227"/>
      <c r="D436" s="224"/>
      <c r="E436" s="227"/>
      <c r="F436" s="227"/>
      <c r="G436" s="227"/>
      <c r="H436" s="227"/>
      <c r="I436" s="227"/>
      <c r="J436" s="227"/>
      <c r="K436" s="227"/>
      <c r="L436" s="227"/>
      <c r="M436" s="227"/>
      <c r="N436" s="227"/>
      <c r="O436" s="227"/>
      <c r="P436" s="227"/>
      <c r="Q436" s="227"/>
      <c r="R436" s="227"/>
      <c r="S436" s="227"/>
      <c r="T436" s="227"/>
      <c r="U436" s="227"/>
      <c r="V436" s="227"/>
      <c r="W436" s="227"/>
      <c r="X436" s="227"/>
      <c r="Y436" s="227"/>
      <c r="Z436" s="227"/>
      <c r="AA436" s="227"/>
      <c r="AB436" s="227"/>
      <c r="AC436" s="227"/>
      <c r="AD436" s="227"/>
      <c r="AE436" s="227"/>
      <c r="AF436" s="227"/>
      <c r="AG436" s="227"/>
      <c r="AH436" s="227"/>
      <c r="AI436" s="227"/>
      <c r="AJ436" s="227"/>
      <c r="AK436" s="227"/>
      <c r="AL436" s="227"/>
      <c r="AM436" s="227"/>
      <c r="AN436" s="227"/>
      <c r="AO436" s="227"/>
      <c r="AP436" s="227"/>
      <c r="AQ436" s="227"/>
      <c r="AR436" s="227"/>
      <c r="AS436" s="227"/>
      <c r="AT436" s="227"/>
      <c r="AU436" s="227"/>
      <c r="AV436" s="227"/>
      <c r="AW436" s="227"/>
      <c r="AX436" s="227"/>
      <c r="AY436" s="227"/>
      <c r="AZ436" s="227"/>
      <c r="BA436" s="227"/>
      <c r="BB436" s="227"/>
      <c r="BC436" s="227"/>
      <c r="BD436" s="227"/>
      <c r="BE436" s="227"/>
      <c r="BF436" s="227"/>
      <c r="BG436" s="227"/>
      <c r="BH436" s="227"/>
      <c r="BI436" s="227"/>
      <c r="BJ436" s="227"/>
      <c r="BK436" s="227"/>
      <c r="BL436" s="227"/>
      <c r="BM436" s="227"/>
      <c r="BN436" s="227"/>
      <c r="BO436" s="227"/>
      <c r="BP436" s="227"/>
      <c r="BQ436" s="227"/>
      <c r="BR436" s="227"/>
      <c r="BS436" s="227"/>
      <c r="BT436" s="227"/>
      <c r="BU436" s="227"/>
      <c r="BV436" s="227"/>
      <c r="BW436" s="227"/>
      <c r="BX436" s="227"/>
      <c r="BY436" s="227"/>
      <c r="BZ436" s="227"/>
      <c r="CA436" s="227"/>
      <c r="CB436" s="227"/>
      <c r="CC436" s="227"/>
      <c r="CD436" s="227"/>
      <c r="CE436" s="227"/>
      <c r="CF436" s="227"/>
      <c r="CG436" s="227"/>
      <c r="CH436" s="227"/>
      <c r="CI436" s="227"/>
      <c r="CJ436" s="227"/>
      <c r="CK436" s="227"/>
      <c r="CL436" s="227"/>
      <c r="CM436" s="227"/>
      <c r="CN436" s="227"/>
      <c r="CO436" s="227"/>
      <c r="CP436" s="227"/>
      <c r="CQ436" s="227"/>
      <c r="CR436" s="227"/>
      <c r="CS436" s="227"/>
      <c r="CT436" s="227"/>
      <c r="CU436" s="225"/>
      <c r="CV436" s="227"/>
    </row>
    <row r="437" spans="1:100" ht="20.100000000000001" customHeight="1">
      <c r="A437" s="227">
        <v>215</v>
      </c>
      <c r="B437" s="225"/>
      <c r="C437" s="227"/>
      <c r="D437" s="228">
        <f>(SUMPRODUCT(E437:CU437*$E$6:$CU$6)/100)+(SUMPRODUCT(E437:CU437*$E$6:$CU$6*$E$3:$CU$3)/100)</f>
        <v>0</v>
      </c>
      <c r="E437" s="227"/>
      <c r="F437" s="227"/>
      <c r="G437" s="227"/>
      <c r="H437" s="227"/>
      <c r="I437" s="227"/>
      <c r="J437" s="227"/>
      <c r="K437" s="227"/>
      <c r="L437" s="227"/>
      <c r="M437" s="227"/>
      <c r="N437" s="227"/>
      <c r="O437" s="227"/>
      <c r="P437" s="227"/>
      <c r="Q437" s="227"/>
      <c r="R437" s="227"/>
      <c r="S437" s="227"/>
      <c r="T437" s="227"/>
      <c r="U437" s="227"/>
      <c r="V437" s="227"/>
      <c r="W437" s="227"/>
      <c r="X437" s="227"/>
      <c r="Y437" s="227"/>
      <c r="Z437" s="227"/>
      <c r="AA437" s="227"/>
      <c r="AB437" s="227"/>
      <c r="AC437" s="227"/>
      <c r="AD437" s="227"/>
      <c r="AE437" s="227"/>
      <c r="AF437" s="227"/>
      <c r="AG437" s="227"/>
      <c r="AH437" s="227"/>
      <c r="AI437" s="227"/>
      <c r="AJ437" s="227"/>
      <c r="AK437" s="227"/>
      <c r="AL437" s="227"/>
      <c r="AM437" s="227"/>
      <c r="AN437" s="227"/>
      <c r="AO437" s="227"/>
      <c r="AP437" s="227"/>
      <c r="AQ437" s="227"/>
      <c r="AR437" s="227"/>
      <c r="AS437" s="227"/>
      <c r="AT437" s="227"/>
      <c r="AU437" s="227"/>
      <c r="AV437" s="227"/>
      <c r="AW437" s="227"/>
      <c r="AX437" s="227"/>
      <c r="AY437" s="227"/>
      <c r="AZ437" s="227"/>
      <c r="BA437" s="227"/>
      <c r="BB437" s="227"/>
      <c r="BC437" s="227"/>
      <c r="BD437" s="227"/>
      <c r="BE437" s="227"/>
      <c r="BF437" s="227"/>
      <c r="BG437" s="227"/>
      <c r="BH437" s="227"/>
      <c r="BI437" s="227"/>
      <c r="BJ437" s="227"/>
      <c r="BK437" s="227"/>
      <c r="BL437" s="227"/>
      <c r="BM437" s="227"/>
      <c r="BN437" s="227"/>
      <c r="BO437" s="227"/>
      <c r="BP437" s="227"/>
      <c r="BQ437" s="227"/>
      <c r="BR437" s="227"/>
      <c r="BS437" s="227"/>
      <c r="BT437" s="227"/>
      <c r="BU437" s="227"/>
      <c r="BV437" s="227"/>
      <c r="BW437" s="227"/>
      <c r="BX437" s="227"/>
      <c r="BY437" s="227"/>
      <c r="BZ437" s="227"/>
      <c r="CA437" s="227"/>
      <c r="CB437" s="227"/>
      <c r="CC437" s="227"/>
      <c r="CD437" s="227"/>
      <c r="CE437" s="227"/>
      <c r="CF437" s="227"/>
      <c r="CG437" s="227"/>
      <c r="CH437" s="227"/>
      <c r="CI437" s="227"/>
      <c r="CJ437" s="227"/>
      <c r="CK437" s="227"/>
      <c r="CL437" s="227"/>
      <c r="CM437" s="227"/>
      <c r="CN437" s="227"/>
      <c r="CO437" s="227"/>
      <c r="CP437" s="227"/>
      <c r="CQ437" s="227"/>
      <c r="CR437" s="227"/>
      <c r="CS437" s="227"/>
      <c r="CT437" s="227"/>
      <c r="CU437" s="225"/>
      <c r="CV437" s="227"/>
    </row>
    <row r="438" spans="1:100" ht="20.100000000000001" customHeight="1">
      <c r="A438" s="227"/>
      <c r="B438" s="225"/>
      <c r="C438" s="227"/>
      <c r="D438" s="224"/>
      <c r="E438" s="227"/>
      <c r="F438" s="227"/>
      <c r="G438" s="227"/>
      <c r="H438" s="227"/>
      <c r="I438" s="227"/>
      <c r="J438" s="227"/>
      <c r="K438" s="227"/>
      <c r="L438" s="227"/>
      <c r="M438" s="227"/>
      <c r="N438" s="227"/>
      <c r="O438" s="227"/>
      <c r="P438" s="227"/>
      <c r="Q438" s="227"/>
      <c r="R438" s="227"/>
      <c r="S438" s="227"/>
      <c r="T438" s="227"/>
      <c r="U438" s="227"/>
      <c r="V438" s="227"/>
      <c r="W438" s="227"/>
      <c r="X438" s="227"/>
      <c r="Y438" s="227"/>
      <c r="Z438" s="227"/>
      <c r="AA438" s="227"/>
      <c r="AB438" s="227"/>
      <c r="AC438" s="227"/>
      <c r="AD438" s="227"/>
      <c r="AE438" s="227"/>
      <c r="AF438" s="227"/>
      <c r="AG438" s="227"/>
      <c r="AH438" s="227"/>
      <c r="AI438" s="227"/>
      <c r="AJ438" s="227"/>
      <c r="AK438" s="227"/>
      <c r="AL438" s="227"/>
      <c r="AM438" s="227"/>
      <c r="AN438" s="227"/>
      <c r="AO438" s="227"/>
      <c r="AP438" s="227"/>
      <c r="AQ438" s="227"/>
      <c r="AR438" s="227"/>
      <c r="AS438" s="227"/>
      <c r="AT438" s="227"/>
      <c r="AU438" s="227"/>
      <c r="AV438" s="227"/>
      <c r="AW438" s="227"/>
      <c r="AX438" s="227"/>
      <c r="AY438" s="227"/>
      <c r="AZ438" s="227"/>
      <c r="BA438" s="227"/>
      <c r="BB438" s="227"/>
      <c r="BC438" s="227"/>
      <c r="BD438" s="227"/>
      <c r="BE438" s="227"/>
      <c r="BF438" s="227"/>
      <c r="BG438" s="227"/>
      <c r="BH438" s="227"/>
      <c r="BI438" s="227"/>
      <c r="BJ438" s="227"/>
      <c r="BK438" s="227"/>
      <c r="BL438" s="227"/>
      <c r="BM438" s="227"/>
      <c r="BN438" s="227"/>
      <c r="BO438" s="227"/>
      <c r="BP438" s="227"/>
      <c r="BQ438" s="227"/>
      <c r="BR438" s="227"/>
      <c r="BS438" s="227"/>
      <c r="BT438" s="227"/>
      <c r="BU438" s="227"/>
      <c r="BV438" s="227"/>
      <c r="BW438" s="227"/>
      <c r="BX438" s="227"/>
      <c r="BY438" s="227"/>
      <c r="BZ438" s="227"/>
      <c r="CA438" s="227"/>
      <c r="CB438" s="227"/>
      <c r="CC438" s="227"/>
      <c r="CD438" s="227"/>
      <c r="CE438" s="227"/>
      <c r="CF438" s="227"/>
      <c r="CG438" s="227"/>
      <c r="CH438" s="227"/>
      <c r="CI438" s="227"/>
      <c r="CJ438" s="227"/>
      <c r="CK438" s="227"/>
      <c r="CL438" s="227"/>
      <c r="CM438" s="227"/>
      <c r="CN438" s="227"/>
      <c r="CO438" s="227"/>
      <c r="CP438" s="227"/>
      <c r="CQ438" s="227"/>
      <c r="CR438" s="227"/>
      <c r="CS438" s="227"/>
      <c r="CT438" s="227"/>
      <c r="CU438" s="225"/>
      <c r="CV438" s="227"/>
    </row>
    <row r="439" spans="1:100" ht="20.100000000000001" customHeight="1">
      <c r="A439" s="227">
        <v>216</v>
      </c>
      <c r="B439" s="225"/>
      <c r="C439" s="227"/>
      <c r="D439" s="228">
        <f>(SUMPRODUCT(E439:CU439*$E$6:$CU$6)/100)+(SUMPRODUCT(E439:CU439*$E$6:$CU$6*$E$3:$CU$3)/100)</f>
        <v>0</v>
      </c>
      <c r="E439" s="227"/>
      <c r="F439" s="227"/>
      <c r="G439" s="227"/>
      <c r="H439" s="227"/>
      <c r="I439" s="227"/>
      <c r="J439" s="227"/>
      <c r="K439" s="227"/>
      <c r="L439" s="227"/>
      <c r="M439" s="227"/>
      <c r="N439" s="227"/>
      <c r="O439" s="227"/>
      <c r="P439" s="227"/>
      <c r="Q439" s="227"/>
      <c r="R439" s="227"/>
      <c r="S439" s="227"/>
      <c r="T439" s="227"/>
      <c r="U439" s="227"/>
      <c r="V439" s="227"/>
      <c r="W439" s="227"/>
      <c r="X439" s="227"/>
      <c r="Y439" s="227"/>
      <c r="Z439" s="227"/>
      <c r="AA439" s="227"/>
      <c r="AB439" s="227"/>
      <c r="AC439" s="227"/>
      <c r="AD439" s="227"/>
      <c r="AE439" s="227"/>
      <c r="AF439" s="227"/>
      <c r="AG439" s="227"/>
      <c r="AH439" s="227"/>
      <c r="AI439" s="227"/>
      <c r="AJ439" s="227"/>
      <c r="AK439" s="227"/>
      <c r="AL439" s="227"/>
      <c r="AM439" s="227"/>
      <c r="AN439" s="227"/>
      <c r="AO439" s="227"/>
      <c r="AP439" s="227"/>
      <c r="AQ439" s="227"/>
      <c r="AR439" s="227"/>
      <c r="AS439" s="227"/>
      <c r="AT439" s="227"/>
      <c r="AU439" s="227"/>
      <c r="AV439" s="227"/>
      <c r="AW439" s="227"/>
      <c r="AX439" s="227"/>
      <c r="AY439" s="227"/>
      <c r="AZ439" s="227"/>
      <c r="BA439" s="227"/>
      <c r="BB439" s="227"/>
      <c r="BC439" s="227"/>
      <c r="BD439" s="227"/>
      <c r="BE439" s="227"/>
      <c r="BF439" s="227"/>
      <c r="BG439" s="227"/>
      <c r="BH439" s="227"/>
      <c r="BI439" s="227"/>
      <c r="BJ439" s="227"/>
      <c r="BK439" s="227"/>
      <c r="BL439" s="227"/>
      <c r="BM439" s="227"/>
      <c r="BN439" s="227"/>
      <c r="BO439" s="227"/>
      <c r="BP439" s="227"/>
      <c r="BQ439" s="227"/>
      <c r="BR439" s="227"/>
      <c r="BS439" s="227"/>
      <c r="BT439" s="227"/>
      <c r="BU439" s="227"/>
      <c r="BV439" s="227"/>
      <c r="BW439" s="227"/>
      <c r="BX439" s="227"/>
      <c r="BY439" s="227"/>
      <c r="BZ439" s="227"/>
      <c r="CA439" s="227"/>
      <c r="CB439" s="227"/>
      <c r="CC439" s="227"/>
      <c r="CD439" s="227"/>
      <c r="CE439" s="227"/>
      <c r="CF439" s="227"/>
      <c r="CG439" s="227"/>
      <c r="CH439" s="227"/>
      <c r="CI439" s="227"/>
      <c r="CJ439" s="227"/>
      <c r="CK439" s="227"/>
      <c r="CL439" s="227"/>
      <c r="CM439" s="227"/>
      <c r="CN439" s="227"/>
      <c r="CO439" s="227"/>
      <c r="CP439" s="227"/>
      <c r="CQ439" s="227"/>
      <c r="CR439" s="227"/>
      <c r="CS439" s="227"/>
      <c r="CT439" s="227"/>
      <c r="CU439" s="225"/>
      <c r="CV439" s="227"/>
    </row>
    <row r="440" spans="1:100" ht="20.100000000000001" customHeight="1">
      <c r="A440" s="223"/>
      <c r="B440" s="225"/>
      <c r="C440" s="227"/>
      <c r="D440" s="224"/>
      <c r="E440" s="227"/>
      <c r="F440" s="227"/>
      <c r="G440" s="227"/>
      <c r="H440" s="227"/>
      <c r="I440" s="227"/>
      <c r="J440" s="227"/>
      <c r="K440" s="227"/>
      <c r="L440" s="227"/>
      <c r="M440" s="227"/>
      <c r="N440" s="227"/>
      <c r="O440" s="227"/>
      <c r="P440" s="227"/>
      <c r="Q440" s="227"/>
      <c r="R440" s="227"/>
      <c r="S440" s="227"/>
      <c r="T440" s="227"/>
      <c r="U440" s="227"/>
      <c r="V440" s="227"/>
      <c r="W440" s="227"/>
      <c r="X440" s="227"/>
      <c r="Y440" s="227"/>
      <c r="Z440" s="227"/>
      <c r="AA440" s="227"/>
      <c r="AB440" s="227"/>
      <c r="AC440" s="227"/>
      <c r="AD440" s="227"/>
      <c r="AE440" s="227"/>
      <c r="AF440" s="227"/>
      <c r="AG440" s="227"/>
      <c r="AH440" s="227"/>
      <c r="AI440" s="227"/>
      <c r="AJ440" s="227"/>
      <c r="AK440" s="227"/>
      <c r="AL440" s="227"/>
      <c r="AM440" s="227"/>
      <c r="AN440" s="227"/>
      <c r="AO440" s="227"/>
      <c r="AP440" s="227"/>
      <c r="AQ440" s="227"/>
      <c r="AR440" s="227"/>
      <c r="AS440" s="227"/>
      <c r="AT440" s="227"/>
      <c r="AU440" s="227"/>
      <c r="AV440" s="227"/>
      <c r="AW440" s="227"/>
      <c r="AX440" s="227"/>
      <c r="AY440" s="227"/>
      <c r="AZ440" s="227"/>
      <c r="BA440" s="227"/>
      <c r="BB440" s="227"/>
      <c r="BC440" s="227"/>
      <c r="BD440" s="227"/>
      <c r="BE440" s="227"/>
      <c r="BF440" s="227"/>
      <c r="BG440" s="227"/>
      <c r="BH440" s="227"/>
      <c r="BI440" s="227"/>
      <c r="BJ440" s="227"/>
      <c r="BK440" s="227"/>
      <c r="BL440" s="227"/>
      <c r="BM440" s="227"/>
      <c r="BN440" s="227"/>
      <c r="BO440" s="227"/>
      <c r="BP440" s="227"/>
      <c r="BQ440" s="227"/>
      <c r="BR440" s="227"/>
      <c r="BS440" s="227"/>
      <c r="BT440" s="227"/>
      <c r="BU440" s="227"/>
      <c r="BV440" s="227"/>
      <c r="BW440" s="227"/>
      <c r="BX440" s="227"/>
      <c r="BY440" s="227"/>
      <c r="BZ440" s="227"/>
      <c r="CA440" s="227"/>
      <c r="CB440" s="227"/>
      <c r="CC440" s="227"/>
      <c r="CD440" s="227"/>
      <c r="CE440" s="227"/>
      <c r="CF440" s="227"/>
      <c r="CG440" s="227"/>
      <c r="CH440" s="227"/>
      <c r="CI440" s="227"/>
      <c r="CJ440" s="227"/>
      <c r="CK440" s="227"/>
      <c r="CL440" s="227"/>
      <c r="CM440" s="227"/>
      <c r="CN440" s="227"/>
      <c r="CO440" s="227"/>
      <c r="CP440" s="227"/>
      <c r="CQ440" s="227"/>
      <c r="CR440" s="227"/>
      <c r="CS440" s="227"/>
      <c r="CT440" s="227"/>
      <c r="CU440" s="225"/>
      <c r="CV440" s="227"/>
    </row>
    <row r="441" spans="1:100" ht="20.100000000000001" customHeight="1">
      <c r="A441" s="227">
        <v>217</v>
      </c>
      <c r="B441" s="225"/>
      <c r="C441" s="227"/>
      <c r="D441" s="228">
        <f>(SUMPRODUCT(E441:CU441*$E$6:$CU$6)/100)+(SUMPRODUCT(E441:CU441*$E$6:$CU$6*$E$3:$CU$3)/100)</f>
        <v>0</v>
      </c>
      <c r="E441" s="227"/>
      <c r="F441" s="227"/>
      <c r="G441" s="227"/>
      <c r="H441" s="227"/>
      <c r="I441" s="227"/>
      <c r="J441" s="227"/>
      <c r="K441" s="227"/>
      <c r="L441" s="227"/>
      <c r="M441" s="227"/>
      <c r="N441" s="227"/>
      <c r="O441" s="227"/>
      <c r="P441" s="227"/>
      <c r="Q441" s="227"/>
      <c r="R441" s="227"/>
      <c r="S441" s="227"/>
      <c r="T441" s="227"/>
      <c r="U441" s="227"/>
      <c r="V441" s="227"/>
      <c r="W441" s="227"/>
      <c r="X441" s="227"/>
      <c r="Y441" s="227"/>
      <c r="Z441" s="227"/>
      <c r="AA441" s="227"/>
      <c r="AB441" s="227"/>
      <c r="AC441" s="227"/>
      <c r="AD441" s="227"/>
      <c r="AE441" s="227"/>
      <c r="AF441" s="227"/>
      <c r="AG441" s="227"/>
      <c r="AH441" s="227"/>
      <c r="AI441" s="227"/>
      <c r="AJ441" s="227"/>
      <c r="AK441" s="227"/>
      <c r="AL441" s="227"/>
      <c r="AM441" s="227"/>
      <c r="AN441" s="227"/>
      <c r="AO441" s="227"/>
      <c r="AP441" s="227"/>
      <c r="AQ441" s="227"/>
      <c r="AR441" s="227"/>
      <c r="AS441" s="227"/>
      <c r="AT441" s="227"/>
      <c r="AU441" s="227"/>
      <c r="AV441" s="227"/>
      <c r="AW441" s="227"/>
      <c r="AX441" s="227"/>
      <c r="AY441" s="227"/>
      <c r="AZ441" s="227"/>
      <c r="BA441" s="227"/>
      <c r="BB441" s="227"/>
      <c r="BC441" s="227"/>
      <c r="BD441" s="227"/>
      <c r="BE441" s="227"/>
      <c r="BF441" s="227"/>
      <c r="BG441" s="227"/>
      <c r="BH441" s="227"/>
      <c r="BI441" s="227"/>
      <c r="BJ441" s="227"/>
      <c r="BK441" s="227"/>
      <c r="BL441" s="227"/>
      <c r="BM441" s="227"/>
      <c r="BN441" s="227"/>
      <c r="BO441" s="227"/>
      <c r="BP441" s="227"/>
      <c r="BQ441" s="227"/>
      <c r="BR441" s="227"/>
      <c r="BS441" s="227"/>
      <c r="BT441" s="227"/>
      <c r="BU441" s="227"/>
      <c r="BV441" s="227"/>
      <c r="BW441" s="227"/>
      <c r="BX441" s="227"/>
      <c r="BY441" s="227"/>
      <c r="BZ441" s="227"/>
      <c r="CA441" s="227"/>
      <c r="CB441" s="227"/>
      <c r="CC441" s="227"/>
      <c r="CD441" s="227"/>
      <c r="CE441" s="227"/>
      <c r="CF441" s="227"/>
      <c r="CG441" s="227"/>
      <c r="CH441" s="227"/>
      <c r="CI441" s="227"/>
      <c r="CJ441" s="227"/>
      <c r="CK441" s="227"/>
      <c r="CL441" s="227"/>
      <c r="CM441" s="227"/>
      <c r="CN441" s="227"/>
      <c r="CO441" s="227"/>
      <c r="CP441" s="227"/>
      <c r="CQ441" s="227"/>
      <c r="CR441" s="227"/>
      <c r="CS441" s="227"/>
      <c r="CT441" s="227"/>
      <c r="CU441" s="225"/>
      <c r="CV441" s="227"/>
    </row>
    <row r="442" spans="1:100" ht="20.100000000000001" customHeight="1">
      <c r="A442" s="227"/>
      <c r="B442" s="225"/>
      <c r="C442" s="227"/>
      <c r="D442" s="224"/>
      <c r="E442" s="227"/>
      <c r="F442" s="227"/>
      <c r="G442" s="227"/>
      <c r="H442" s="227"/>
      <c r="I442" s="227"/>
      <c r="J442" s="227"/>
      <c r="K442" s="227"/>
      <c r="L442" s="227"/>
      <c r="M442" s="227"/>
      <c r="N442" s="227"/>
      <c r="O442" s="227"/>
      <c r="P442" s="227"/>
      <c r="Q442" s="227"/>
      <c r="R442" s="227"/>
      <c r="S442" s="227"/>
      <c r="T442" s="227"/>
      <c r="U442" s="227"/>
      <c r="V442" s="227"/>
      <c r="W442" s="227"/>
      <c r="X442" s="227"/>
      <c r="Y442" s="227"/>
      <c r="Z442" s="227"/>
      <c r="AA442" s="227"/>
      <c r="AB442" s="227"/>
      <c r="AC442" s="227"/>
      <c r="AD442" s="227"/>
      <c r="AE442" s="227"/>
      <c r="AF442" s="227"/>
      <c r="AG442" s="227"/>
      <c r="AH442" s="227"/>
      <c r="AI442" s="227"/>
      <c r="AJ442" s="227"/>
      <c r="AK442" s="227"/>
      <c r="AL442" s="227"/>
      <c r="AM442" s="227"/>
      <c r="AN442" s="227"/>
      <c r="AO442" s="227"/>
      <c r="AP442" s="227"/>
      <c r="AQ442" s="227"/>
      <c r="AR442" s="227"/>
      <c r="AS442" s="227"/>
      <c r="AT442" s="227"/>
      <c r="AU442" s="227"/>
      <c r="AV442" s="227"/>
      <c r="AW442" s="227"/>
      <c r="AX442" s="227"/>
      <c r="AY442" s="227"/>
      <c r="AZ442" s="227"/>
      <c r="BA442" s="227"/>
      <c r="BB442" s="227"/>
      <c r="BC442" s="227"/>
      <c r="BD442" s="227"/>
      <c r="BE442" s="227"/>
      <c r="BF442" s="227"/>
      <c r="BG442" s="227"/>
      <c r="BH442" s="227"/>
      <c r="BI442" s="227"/>
      <c r="BJ442" s="227"/>
      <c r="BK442" s="227"/>
      <c r="BL442" s="227"/>
      <c r="BM442" s="227"/>
      <c r="BN442" s="227"/>
      <c r="BO442" s="227"/>
      <c r="BP442" s="227"/>
      <c r="BQ442" s="227"/>
      <c r="BR442" s="227"/>
      <c r="BS442" s="227"/>
      <c r="BT442" s="227"/>
      <c r="BU442" s="227"/>
      <c r="BV442" s="227"/>
      <c r="BW442" s="227"/>
      <c r="BX442" s="227"/>
      <c r="BY442" s="227"/>
      <c r="BZ442" s="227"/>
      <c r="CA442" s="227"/>
      <c r="CB442" s="227"/>
      <c r="CC442" s="227"/>
      <c r="CD442" s="227"/>
      <c r="CE442" s="227"/>
      <c r="CF442" s="227"/>
      <c r="CG442" s="227"/>
      <c r="CH442" s="227"/>
      <c r="CI442" s="227"/>
      <c r="CJ442" s="227"/>
      <c r="CK442" s="227"/>
      <c r="CL442" s="227"/>
      <c r="CM442" s="227"/>
      <c r="CN442" s="227"/>
      <c r="CO442" s="227"/>
      <c r="CP442" s="227"/>
      <c r="CQ442" s="227"/>
      <c r="CR442" s="227"/>
      <c r="CS442" s="227"/>
      <c r="CT442" s="227"/>
      <c r="CU442" s="225"/>
      <c r="CV442" s="227"/>
    </row>
    <row r="443" spans="1:100" ht="20.100000000000001" customHeight="1">
      <c r="A443" s="227">
        <v>218</v>
      </c>
      <c r="B443" s="225"/>
      <c r="C443" s="227"/>
      <c r="D443" s="228">
        <f>(SUMPRODUCT(E443:CU443*$E$6:$CU$6)/100)+(SUMPRODUCT(E443:CU443*$E$6:$CU$6*$E$3:$CU$3)/100)</f>
        <v>0</v>
      </c>
      <c r="E443" s="227"/>
      <c r="F443" s="227"/>
      <c r="G443" s="227"/>
      <c r="H443" s="227"/>
      <c r="I443" s="227"/>
      <c r="J443" s="227"/>
      <c r="K443" s="227"/>
      <c r="L443" s="227"/>
      <c r="M443" s="227"/>
      <c r="N443" s="227"/>
      <c r="O443" s="227"/>
      <c r="P443" s="227"/>
      <c r="Q443" s="227"/>
      <c r="R443" s="227"/>
      <c r="S443" s="227"/>
      <c r="T443" s="227"/>
      <c r="U443" s="227"/>
      <c r="V443" s="227"/>
      <c r="W443" s="227"/>
      <c r="X443" s="227"/>
      <c r="Y443" s="227"/>
      <c r="Z443" s="227"/>
      <c r="AA443" s="227"/>
      <c r="AB443" s="227"/>
      <c r="AC443" s="227"/>
      <c r="AD443" s="227"/>
      <c r="AE443" s="227"/>
      <c r="AF443" s="227"/>
      <c r="AG443" s="227"/>
      <c r="AH443" s="227"/>
      <c r="AI443" s="227"/>
      <c r="AJ443" s="227"/>
      <c r="AK443" s="227"/>
      <c r="AL443" s="227"/>
      <c r="AM443" s="227"/>
      <c r="AN443" s="227"/>
      <c r="AO443" s="227"/>
      <c r="AP443" s="227"/>
      <c r="AQ443" s="227"/>
      <c r="AR443" s="227"/>
      <c r="AS443" s="227"/>
      <c r="AT443" s="227"/>
      <c r="AU443" s="227"/>
      <c r="AV443" s="227"/>
      <c r="AW443" s="227"/>
      <c r="AX443" s="227"/>
      <c r="AY443" s="227"/>
      <c r="AZ443" s="227"/>
      <c r="BA443" s="227"/>
      <c r="BB443" s="227"/>
      <c r="BC443" s="227"/>
      <c r="BD443" s="227"/>
      <c r="BE443" s="227"/>
      <c r="BF443" s="227"/>
      <c r="BG443" s="227"/>
      <c r="BH443" s="227"/>
      <c r="BI443" s="227"/>
      <c r="BJ443" s="227"/>
      <c r="BK443" s="227"/>
      <c r="BL443" s="227"/>
      <c r="BM443" s="227"/>
      <c r="BN443" s="227"/>
      <c r="BO443" s="227"/>
      <c r="BP443" s="227"/>
      <c r="BQ443" s="227"/>
      <c r="BR443" s="227"/>
      <c r="BS443" s="227"/>
      <c r="BT443" s="227"/>
      <c r="BU443" s="227"/>
      <c r="BV443" s="227"/>
      <c r="BW443" s="227"/>
      <c r="BX443" s="227"/>
      <c r="BY443" s="227"/>
      <c r="BZ443" s="227"/>
      <c r="CA443" s="227"/>
      <c r="CB443" s="227"/>
      <c r="CC443" s="227"/>
      <c r="CD443" s="227"/>
      <c r="CE443" s="227"/>
      <c r="CF443" s="227"/>
      <c r="CG443" s="227"/>
      <c r="CH443" s="227"/>
      <c r="CI443" s="227"/>
      <c r="CJ443" s="227"/>
      <c r="CK443" s="227"/>
      <c r="CL443" s="227"/>
      <c r="CM443" s="227"/>
      <c r="CN443" s="227"/>
      <c r="CO443" s="227"/>
      <c r="CP443" s="227"/>
      <c r="CQ443" s="227"/>
      <c r="CR443" s="227"/>
      <c r="CS443" s="227"/>
      <c r="CT443" s="227"/>
      <c r="CU443" s="225"/>
      <c r="CV443" s="227"/>
    </row>
    <row r="444" spans="1:100" ht="20.100000000000001" customHeight="1">
      <c r="A444" s="223"/>
      <c r="B444" s="225"/>
      <c r="C444" s="227"/>
      <c r="D444" s="224"/>
      <c r="E444" s="227"/>
      <c r="F444" s="227"/>
      <c r="G444" s="227"/>
      <c r="H444" s="227"/>
      <c r="I444" s="227"/>
      <c r="J444" s="227"/>
      <c r="K444" s="227"/>
      <c r="L444" s="227"/>
      <c r="M444" s="227"/>
      <c r="N444" s="227"/>
      <c r="O444" s="227"/>
      <c r="P444" s="227"/>
      <c r="Q444" s="227"/>
      <c r="R444" s="227"/>
      <c r="S444" s="227"/>
      <c r="T444" s="227"/>
      <c r="U444" s="227"/>
      <c r="V444" s="227"/>
      <c r="W444" s="227"/>
      <c r="X444" s="227"/>
      <c r="Y444" s="227"/>
      <c r="Z444" s="227"/>
      <c r="AA444" s="227"/>
      <c r="AB444" s="227"/>
      <c r="AC444" s="227"/>
      <c r="AD444" s="227"/>
      <c r="AE444" s="227"/>
      <c r="AF444" s="227"/>
      <c r="AG444" s="227"/>
      <c r="AH444" s="227"/>
      <c r="AI444" s="227"/>
      <c r="AJ444" s="227"/>
      <c r="AK444" s="227"/>
      <c r="AL444" s="227"/>
      <c r="AM444" s="227"/>
      <c r="AN444" s="227"/>
      <c r="AO444" s="227"/>
      <c r="AP444" s="227"/>
      <c r="AQ444" s="227"/>
      <c r="AR444" s="227"/>
      <c r="AS444" s="227"/>
      <c r="AT444" s="227"/>
      <c r="AU444" s="227"/>
      <c r="AV444" s="227"/>
      <c r="AW444" s="227"/>
      <c r="AX444" s="227"/>
      <c r="AY444" s="227"/>
      <c r="AZ444" s="227"/>
      <c r="BA444" s="227"/>
      <c r="BB444" s="227"/>
      <c r="BC444" s="227"/>
      <c r="BD444" s="227"/>
      <c r="BE444" s="227"/>
      <c r="BF444" s="227"/>
      <c r="BG444" s="227"/>
      <c r="BH444" s="227"/>
      <c r="BI444" s="227"/>
      <c r="BJ444" s="227"/>
      <c r="BK444" s="227"/>
      <c r="BL444" s="227"/>
      <c r="BM444" s="227"/>
      <c r="BN444" s="227"/>
      <c r="BO444" s="227"/>
      <c r="BP444" s="227"/>
      <c r="BQ444" s="227"/>
      <c r="BR444" s="227"/>
      <c r="BS444" s="227"/>
      <c r="BT444" s="227"/>
      <c r="BU444" s="227"/>
      <c r="BV444" s="227"/>
      <c r="BW444" s="227"/>
      <c r="BX444" s="227"/>
      <c r="BY444" s="227"/>
      <c r="BZ444" s="227"/>
      <c r="CA444" s="227"/>
      <c r="CB444" s="227"/>
      <c r="CC444" s="227"/>
      <c r="CD444" s="227"/>
      <c r="CE444" s="227"/>
      <c r="CF444" s="227"/>
      <c r="CG444" s="227"/>
      <c r="CH444" s="227"/>
      <c r="CI444" s="227"/>
      <c r="CJ444" s="227"/>
      <c r="CK444" s="227"/>
      <c r="CL444" s="227"/>
      <c r="CM444" s="227"/>
      <c r="CN444" s="227"/>
      <c r="CO444" s="227"/>
      <c r="CP444" s="227"/>
      <c r="CQ444" s="227"/>
      <c r="CR444" s="227"/>
      <c r="CS444" s="227"/>
      <c r="CT444" s="227"/>
      <c r="CU444" s="225"/>
      <c r="CV444" s="227"/>
    </row>
    <row r="445" spans="1:100" ht="20.100000000000001" customHeight="1">
      <c r="A445" s="227">
        <v>219</v>
      </c>
      <c r="B445" s="225"/>
      <c r="C445" s="227"/>
      <c r="D445" s="228">
        <f>(SUMPRODUCT(E445:CU445*$E$6:$CU$6)/100)+(SUMPRODUCT(E445:CU445*$E$6:$CU$6*$E$3:$CU$3)/100)</f>
        <v>0</v>
      </c>
      <c r="E445" s="227"/>
      <c r="F445" s="227"/>
      <c r="G445" s="227"/>
      <c r="H445" s="227"/>
      <c r="I445" s="227"/>
      <c r="J445" s="227"/>
      <c r="K445" s="227"/>
      <c r="L445" s="227"/>
      <c r="M445" s="227"/>
      <c r="N445" s="227"/>
      <c r="O445" s="227"/>
      <c r="P445" s="227"/>
      <c r="Q445" s="227"/>
      <c r="R445" s="227"/>
      <c r="S445" s="227"/>
      <c r="T445" s="227"/>
      <c r="U445" s="227"/>
      <c r="V445" s="227"/>
      <c r="W445" s="227"/>
      <c r="X445" s="227"/>
      <c r="Y445" s="227"/>
      <c r="Z445" s="227"/>
      <c r="AA445" s="227"/>
      <c r="AB445" s="227"/>
      <c r="AC445" s="227"/>
      <c r="AD445" s="227"/>
      <c r="AE445" s="227"/>
      <c r="AF445" s="227"/>
      <c r="AG445" s="227"/>
      <c r="AH445" s="227"/>
      <c r="AI445" s="227"/>
      <c r="AJ445" s="227"/>
      <c r="AK445" s="227"/>
      <c r="AL445" s="227"/>
      <c r="AM445" s="227"/>
      <c r="AN445" s="227"/>
      <c r="AO445" s="227"/>
      <c r="AP445" s="227"/>
      <c r="AQ445" s="227"/>
      <c r="AR445" s="227"/>
      <c r="AS445" s="227"/>
      <c r="AT445" s="227"/>
      <c r="AU445" s="227"/>
      <c r="AV445" s="227"/>
      <c r="AW445" s="227"/>
      <c r="AX445" s="227"/>
      <c r="AY445" s="227"/>
      <c r="AZ445" s="227"/>
      <c r="BA445" s="227"/>
      <c r="BB445" s="227"/>
      <c r="BC445" s="227"/>
      <c r="BD445" s="227"/>
      <c r="BE445" s="227"/>
      <c r="BF445" s="227"/>
      <c r="BG445" s="227"/>
      <c r="BH445" s="227"/>
      <c r="BI445" s="227"/>
      <c r="BJ445" s="227"/>
      <c r="BK445" s="227"/>
      <c r="BL445" s="227"/>
      <c r="BM445" s="227"/>
      <c r="BN445" s="227"/>
      <c r="BO445" s="227"/>
      <c r="BP445" s="227"/>
      <c r="BQ445" s="227"/>
      <c r="BR445" s="227"/>
      <c r="BS445" s="227"/>
      <c r="BT445" s="227"/>
      <c r="BU445" s="227"/>
      <c r="BV445" s="227"/>
      <c r="BW445" s="227"/>
      <c r="BX445" s="227"/>
      <c r="BY445" s="227"/>
      <c r="BZ445" s="227"/>
      <c r="CA445" s="227"/>
      <c r="CB445" s="227"/>
      <c r="CC445" s="227"/>
      <c r="CD445" s="227"/>
      <c r="CE445" s="227"/>
      <c r="CF445" s="227"/>
      <c r="CG445" s="227"/>
      <c r="CH445" s="227"/>
      <c r="CI445" s="227"/>
      <c r="CJ445" s="227"/>
      <c r="CK445" s="227"/>
      <c r="CL445" s="227"/>
      <c r="CM445" s="227"/>
      <c r="CN445" s="227"/>
      <c r="CO445" s="227"/>
      <c r="CP445" s="227"/>
      <c r="CQ445" s="227"/>
      <c r="CR445" s="227"/>
      <c r="CS445" s="227"/>
      <c r="CT445" s="227"/>
      <c r="CU445" s="225"/>
      <c r="CV445" s="227"/>
    </row>
    <row r="446" spans="1:100" ht="20.100000000000001" customHeight="1">
      <c r="A446" s="227"/>
      <c r="B446" s="225"/>
      <c r="C446" s="227"/>
      <c r="D446" s="224"/>
      <c r="E446" s="227"/>
      <c r="F446" s="227"/>
      <c r="G446" s="227"/>
      <c r="H446" s="227"/>
      <c r="I446" s="227"/>
      <c r="J446" s="227"/>
      <c r="K446" s="227"/>
      <c r="L446" s="227"/>
      <c r="M446" s="227"/>
      <c r="N446" s="227"/>
      <c r="O446" s="227"/>
      <c r="P446" s="227"/>
      <c r="Q446" s="227"/>
      <c r="R446" s="227"/>
      <c r="S446" s="227"/>
      <c r="T446" s="227"/>
      <c r="U446" s="227"/>
      <c r="V446" s="227"/>
      <c r="W446" s="227"/>
      <c r="X446" s="227"/>
      <c r="Y446" s="227"/>
      <c r="Z446" s="227"/>
      <c r="AA446" s="227"/>
      <c r="AB446" s="227"/>
      <c r="AC446" s="227"/>
      <c r="AD446" s="227"/>
      <c r="AE446" s="227"/>
      <c r="AF446" s="227"/>
      <c r="AG446" s="227"/>
      <c r="AH446" s="227"/>
      <c r="AI446" s="227"/>
      <c r="AJ446" s="227"/>
      <c r="AK446" s="227"/>
      <c r="AL446" s="227"/>
      <c r="AM446" s="227"/>
      <c r="AN446" s="227"/>
      <c r="AO446" s="227"/>
      <c r="AP446" s="227"/>
      <c r="AQ446" s="227"/>
      <c r="AR446" s="227"/>
      <c r="AS446" s="227"/>
      <c r="AT446" s="227"/>
      <c r="AU446" s="227"/>
      <c r="AV446" s="227"/>
      <c r="AW446" s="227"/>
      <c r="AX446" s="227"/>
      <c r="AY446" s="227"/>
      <c r="AZ446" s="227"/>
      <c r="BA446" s="227"/>
      <c r="BB446" s="227"/>
      <c r="BC446" s="227"/>
      <c r="BD446" s="227"/>
      <c r="BE446" s="227"/>
      <c r="BF446" s="227"/>
      <c r="BG446" s="227"/>
      <c r="BH446" s="227"/>
      <c r="BI446" s="227"/>
      <c r="BJ446" s="227"/>
      <c r="BK446" s="227"/>
      <c r="BL446" s="227"/>
      <c r="BM446" s="227"/>
      <c r="BN446" s="227"/>
      <c r="BO446" s="227"/>
      <c r="BP446" s="227"/>
      <c r="BQ446" s="227"/>
      <c r="BR446" s="227"/>
      <c r="BS446" s="227"/>
      <c r="BT446" s="227"/>
      <c r="BU446" s="227"/>
      <c r="BV446" s="227"/>
      <c r="BW446" s="227"/>
      <c r="BX446" s="227"/>
      <c r="BY446" s="227"/>
      <c r="BZ446" s="227"/>
      <c r="CA446" s="227"/>
      <c r="CB446" s="227"/>
      <c r="CC446" s="227"/>
      <c r="CD446" s="227"/>
      <c r="CE446" s="227"/>
      <c r="CF446" s="227"/>
      <c r="CG446" s="227"/>
      <c r="CH446" s="227"/>
      <c r="CI446" s="227"/>
      <c r="CJ446" s="227"/>
      <c r="CK446" s="227"/>
      <c r="CL446" s="227"/>
      <c r="CM446" s="227"/>
      <c r="CN446" s="227"/>
      <c r="CO446" s="227"/>
      <c r="CP446" s="227"/>
      <c r="CQ446" s="227"/>
      <c r="CR446" s="227"/>
      <c r="CS446" s="227"/>
      <c r="CT446" s="227"/>
      <c r="CU446" s="225"/>
      <c r="CV446" s="227"/>
    </row>
    <row r="447" spans="1:100" ht="20.100000000000001" customHeight="1">
      <c r="A447" s="227">
        <v>220</v>
      </c>
      <c r="B447" s="225"/>
      <c r="C447" s="227"/>
      <c r="D447" s="228">
        <f>(SUMPRODUCT(E447:CU447*$E$6:$CU$6)/100)+(SUMPRODUCT(E447:CU447*$E$6:$CU$6*$E$3:$CU$3)/100)</f>
        <v>0</v>
      </c>
      <c r="E447" s="227"/>
      <c r="F447" s="227"/>
      <c r="G447" s="227"/>
      <c r="H447" s="227"/>
      <c r="I447" s="227"/>
      <c r="J447" s="227"/>
      <c r="K447" s="227"/>
      <c r="L447" s="227"/>
      <c r="M447" s="227"/>
      <c r="N447" s="227"/>
      <c r="O447" s="227"/>
      <c r="P447" s="227"/>
      <c r="Q447" s="227"/>
      <c r="R447" s="227"/>
      <c r="S447" s="227"/>
      <c r="T447" s="227"/>
      <c r="U447" s="227"/>
      <c r="V447" s="227"/>
      <c r="W447" s="227"/>
      <c r="X447" s="227"/>
      <c r="Y447" s="227"/>
      <c r="Z447" s="227"/>
      <c r="AA447" s="227"/>
      <c r="AB447" s="227"/>
      <c r="AC447" s="227"/>
      <c r="AD447" s="227"/>
      <c r="AE447" s="227"/>
      <c r="AF447" s="227"/>
      <c r="AG447" s="227"/>
      <c r="AH447" s="227"/>
      <c r="AI447" s="227"/>
      <c r="AJ447" s="227"/>
      <c r="AK447" s="227"/>
      <c r="AL447" s="227"/>
      <c r="AM447" s="227"/>
      <c r="AN447" s="227"/>
      <c r="AO447" s="227"/>
      <c r="AP447" s="227"/>
      <c r="AQ447" s="227"/>
      <c r="AR447" s="227"/>
      <c r="AS447" s="227"/>
      <c r="AT447" s="227"/>
      <c r="AU447" s="227"/>
      <c r="AV447" s="227"/>
      <c r="AW447" s="227"/>
      <c r="AX447" s="227"/>
      <c r="AY447" s="227"/>
      <c r="AZ447" s="227"/>
      <c r="BA447" s="227"/>
      <c r="BB447" s="227"/>
      <c r="BC447" s="227"/>
      <c r="BD447" s="227"/>
      <c r="BE447" s="227"/>
      <c r="BF447" s="227"/>
      <c r="BG447" s="227"/>
      <c r="BH447" s="227"/>
      <c r="BI447" s="227"/>
      <c r="BJ447" s="227"/>
      <c r="BK447" s="227"/>
      <c r="BL447" s="227"/>
      <c r="BM447" s="227"/>
      <c r="BN447" s="227"/>
      <c r="BO447" s="227"/>
      <c r="BP447" s="227"/>
      <c r="BQ447" s="227"/>
      <c r="BR447" s="227"/>
      <c r="BS447" s="227"/>
      <c r="BT447" s="227"/>
      <c r="BU447" s="227"/>
      <c r="BV447" s="227"/>
      <c r="BW447" s="227"/>
      <c r="BX447" s="227"/>
      <c r="BY447" s="227"/>
      <c r="BZ447" s="227"/>
      <c r="CA447" s="227"/>
      <c r="CB447" s="227"/>
      <c r="CC447" s="227"/>
      <c r="CD447" s="227"/>
      <c r="CE447" s="227"/>
      <c r="CF447" s="227"/>
      <c r="CG447" s="227"/>
      <c r="CH447" s="227"/>
      <c r="CI447" s="227"/>
      <c r="CJ447" s="227"/>
      <c r="CK447" s="227"/>
      <c r="CL447" s="227"/>
      <c r="CM447" s="227"/>
      <c r="CN447" s="227"/>
      <c r="CO447" s="227"/>
      <c r="CP447" s="227"/>
      <c r="CQ447" s="227"/>
      <c r="CR447" s="227"/>
      <c r="CS447" s="227"/>
      <c r="CT447" s="227"/>
      <c r="CU447" s="225"/>
      <c r="CV447" s="227"/>
    </row>
    <row r="448" spans="1:100" ht="20.100000000000001" customHeight="1">
      <c r="A448" s="223"/>
      <c r="B448" s="225"/>
      <c r="C448" s="227"/>
      <c r="D448" s="224"/>
      <c r="E448" s="227"/>
      <c r="F448" s="227"/>
      <c r="G448" s="227"/>
      <c r="H448" s="227"/>
      <c r="I448" s="227"/>
      <c r="J448" s="227"/>
      <c r="K448" s="227"/>
      <c r="L448" s="227"/>
      <c r="M448" s="227"/>
      <c r="N448" s="227"/>
      <c r="O448" s="227"/>
      <c r="P448" s="227"/>
      <c r="Q448" s="227"/>
      <c r="R448" s="227"/>
      <c r="S448" s="227"/>
      <c r="T448" s="227"/>
      <c r="U448" s="227"/>
      <c r="V448" s="227"/>
      <c r="W448" s="227"/>
      <c r="X448" s="227"/>
      <c r="Y448" s="227"/>
      <c r="Z448" s="227"/>
      <c r="AA448" s="227"/>
      <c r="AB448" s="227"/>
      <c r="AC448" s="227"/>
      <c r="AD448" s="227"/>
      <c r="AE448" s="227"/>
      <c r="AF448" s="227"/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27"/>
      <c r="BC448" s="227"/>
      <c r="BD448" s="227"/>
      <c r="BE448" s="227"/>
      <c r="BF448" s="227"/>
      <c r="BG448" s="227"/>
      <c r="BH448" s="227"/>
      <c r="BI448" s="227"/>
      <c r="BJ448" s="227"/>
      <c r="BK448" s="227"/>
      <c r="BL448" s="227"/>
      <c r="BM448" s="227"/>
      <c r="BN448" s="227"/>
      <c r="BO448" s="227"/>
      <c r="BP448" s="227"/>
      <c r="BQ448" s="227"/>
      <c r="BR448" s="227"/>
      <c r="BS448" s="227"/>
      <c r="BT448" s="227"/>
      <c r="BU448" s="227"/>
      <c r="BV448" s="227"/>
      <c r="BW448" s="227"/>
      <c r="BX448" s="227"/>
      <c r="BY448" s="227"/>
      <c r="BZ448" s="227"/>
      <c r="CA448" s="227"/>
      <c r="CB448" s="227"/>
      <c r="CC448" s="227"/>
      <c r="CD448" s="227"/>
      <c r="CE448" s="227"/>
      <c r="CF448" s="227"/>
      <c r="CG448" s="227"/>
      <c r="CH448" s="227"/>
      <c r="CI448" s="227"/>
      <c r="CJ448" s="227"/>
      <c r="CK448" s="227"/>
      <c r="CL448" s="227"/>
      <c r="CM448" s="227"/>
      <c r="CN448" s="227"/>
      <c r="CO448" s="227"/>
      <c r="CP448" s="227"/>
      <c r="CQ448" s="227"/>
      <c r="CR448" s="227"/>
      <c r="CS448" s="227"/>
      <c r="CT448" s="227"/>
      <c r="CU448" s="225"/>
      <c r="CV448" s="227"/>
    </row>
    <row r="449" spans="1:100" ht="20.100000000000001" customHeight="1">
      <c r="A449" s="227">
        <v>221</v>
      </c>
      <c r="B449" s="225"/>
      <c r="C449" s="227"/>
      <c r="D449" s="228">
        <f>(SUMPRODUCT(E449:CU449*$E$6:$CU$6)/100)+(SUMPRODUCT(E449:CU449*$E$6:$CU$6*$E$3:$CU$3)/100)</f>
        <v>0</v>
      </c>
      <c r="E449" s="227"/>
      <c r="F449" s="227"/>
      <c r="G449" s="227"/>
      <c r="H449" s="227"/>
      <c r="I449" s="227"/>
      <c r="J449" s="227"/>
      <c r="K449" s="227"/>
      <c r="L449" s="227"/>
      <c r="M449" s="227"/>
      <c r="N449" s="227"/>
      <c r="O449" s="227"/>
      <c r="P449" s="227"/>
      <c r="Q449" s="227"/>
      <c r="R449" s="227"/>
      <c r="S449" s="227"/>
      <c r="T449" s="227"/>
      <c r="U449" s="227"/>
      <c r="V449" s="227"/>
      <c r="W449" s="227"/>
      <c r="X449" s="227"/>
      <c r="Y449" s="227"/>
      <c r="Z449" s="227"/>
      <c r="AA449" s="227"/>
      <c r="AB449" s="227"/>
      <c r="AC449" s="227"/>
      <c r="AD449" s="227"/>
      <c r="AE449" s="227"/>
      <c r="AF449" s="227"/>
      <c r="AG449" s="227"/>
      <c r="AH449" s="227"/>
      <c r="AI449" s="227"/>
      <c r="AJ449" s="227"/>
      <c r="AK449" s="227"/>
      <c r="AL449" s="227"/>
      <c r="AM449" s="227"/>
      <c r="AN449" s="227"/>
      <c r="AO449" s="227"/>
      <c r="AP449" s="227"/>
      <c r="AQ449" s="227"/>
      <c r="AR449" s="227"/>
      <c r="AS449" s="227"/>
      <c r="AT449" s="227"/>
      <c r="AU449" s="227"/>
      <c r="AV449" s="227"/>
      <c r="AW449" s="227"/>
      <c r="AX449" s="227"/>
      <c r="AY449" s="227"/>
      <c r="AZ449" s="227"/>
      <c r="BA449" s="227"/>
      <c r="BB449" s="227"/>
      <c r="BC449" s="227"/>
      <c r="BD449" s="227"/>
      <c r="BE449" s="227"/>
      <c r="BF449" s="227"/>
      <c r="BG449" s="227"/>
      <c r="BH449" s="227"/>
      <c r="BI449" s="227"/>
      <c r="BJ449" s="227"/>
      <c r="BK449" s="227"/>
      <c r="BL449" s="227"/>
      <c r="BM449" s="227"/>
      <c r="BN449" s="227"/>
      <c r="BO449" s="227"/>
      <c r="BP449" s="227"/>
      <c r="BQ449" s="227"/>
      <c r="BR449" s="227"/>
      <c r="BS449" s="227"/>
      <c r="BT449" s="227"/>
      <c r="BU449" s="227"/>
      <c r="BV449" s="227"/>
      <c r="BW449" s="227"/>
      <c r="BX449" s="227"/>
      <c r="BY449" s="227"/>
      <c r="BZ449" s="227"/>
      <c r="CA449" s="227"/>
      <c r="CB449" s="227"/>
      <c r="CC449" s="227"/>
      <c r="CD449" s="227"/>
      <c r="CE449" s="227"/>
      <c r="CF449" s="227"/>
      <c r="CG449" s="227"/>
      <c r="CH449" s="227"/>
      <c r="CI449" s="227"/>
      <c r="CJ449" s="227"/>
      <c r="CK449" s="227"/>
      <c r="CL449" s="227"/>
      <c r="CM449" s="227"/>
      <c r="CN449" s="227"/>
      <c r="CO449" s="227"/>
      <c r="CP449" s="227"/>
      <c r="CQ449" s="227"/>
      <c r="CR449" s="227"/>
      <c r="CS449" s="227"/>
      <c r="CT449" s="227"/>
      <c r="CU449" s="225"/>
      <c r="CV449" s="227"/>
    </row>
    <row r="450" spans="1:100" ht="20.100000000000001" customHeight="1">
      <c r="A450" s="227"/>
      <c r="B450" s="225"/>
      <c r="C450" s="227"/>
      <c r="D450" s="224"/>
      <c r="E450" s="227"/>
      <c r="F450" s="227"/>
      <c r="G450" s="227"/>
      <c r="H450" s="227"/>
      <c r="I450" s="227"/>
      <c r="J450" s="227"/>
      <c r="K450" s="227"/>
      <c r="L450" s="227"/>
      <c r="M450" s="227"/>
      <c r="N450" s="227"/>
      <c r="O450" s="227"/>
      <c r="P450" s="227"/>
      <c r="Q450" s="227"/>
      <c r="R450" s="227"/>
      <c r="S450" s="227"/>
      <c r="T450" s="227"/>
      <c r="U450" s="227"/>
      <c r="V450" s="227"/>
      <c r="W450" s="227"/>
      <c r="X450" s="227"/>
      <c r="Y450" s="227"/>
      <c r="Z450" s="227"/>
      <c r="AA450" s="227"/>
      <c r="AB450" s="227"/>
      <c r="AC450" s="227"/>
      <c r="AD450" s="227"/>
      <c r="AE450" s="227"/>
      <c r="AF450" s="227"/>
      <c r="AG450" s="227"/>
      <c r="AH450" s="227"/>
      <c r="AI450" s="227"/>
      <c r="AJ450" s="227"/>
      <c r="AK450" s="227"/>
      <c r="AL450" s="227"/>
      <c r="AM450" s="227"/>
      <c r="AN450" s="227"/>
      <c r="AO450" s="227"/>
      <c r="AP450" s="227"/>
      <c r="AQ450" s="227"/>
      <c r="AR450" s="227"/>
      <c r="AS450" s="227"/>
      <c r="AT450" s="227"/>
      <c r="AU450" s="227"/>
      <c r="AV450" s="227"/>
      <c r="AW450" s="227"/>
      <c r="AX450" s="227"/>
      <c r="AY450" s="227"/>
      <c r="AZ450" s="227"/>
      <c r="BA450" s="227"/>
      <c r="BB450" s="227"/>
      <c r="BC450" s="227"/>
      <c r="BD450" s="227"/>
      <c r="BE450" s="227"/>
      <c r="BF450" s="227"/>
      <c r="BG450" s="227"/>
      <c r="BH450" s="227"/>
      <c r="BI450" s="227"/>
      <c r="BJ450" s="227"/>
      <c r="BK450" s="227"/>
      <c r="BL450" s="227"/>
      <c r="BM450" s="227"/>
      <c r="BN450" s="227"/>
      <c r="BO450" s="227"/>
      <c r="BP450" s="227"/>
      <c r="BQ450" s="227"/>
      <c r="BR450" s="227"/>
      <c r="BS450" s="227"/>
      <c r="BT450" s="227"/>
      <c r="BU450" s="227"/>
      <c r="BV450" s="227"/>
      <c r="BW450" s="227"/>
      <c r="BX450" s="227"/>
      <c r="BY450" s="227"/>
      <c r="BZ450" s="227"/>
      <c r="CA450" s="227"/>
      <c r="CB450" s="227"/>
      <c r="CC450" s="227"/>
      <c r="CD450" s="227"/>
      <c r="CE450" s="227"/>
      <c r="CF450" s="227"/>
      <c r="CG450" s="227"/>
      <c r="CH450" s="227"/>
      <c r="CI450" s="227"/>
      <c r="CJ450" s="227"/>
      <c r="CK450" s="227"/>
      <c r="CL450" s="227"/>
      <c r="CM450" s="227"/>
      <c r="CN450" s="227"/>
      <c r="CO450" s="227"/>
      <c r="CP450" s="227"/>
      <c r="CQ450" s="227"/>
      <c r="CR450" s="227"/>
      <c r="CS450" s="227"/>
      <c r="CT450" s="227"/>
      <c r="CU450" s="225"/>
      <c r="CV450" s="227"/>
    </row>
    <row r="451" spans="1:100" ht="20.100000000000001" customHeight="1">
      <c r="A451" s="227">
        <v>222</v>
      </c>
      <c r="B451" s="225"/>
      <c r="C451" s="227"/>
      <c r="D451" s="228">
        <f>(SUMPRODUCT(E451:CU451*$E$6:$CU$6)/100)+(SUMPRODUCT(E451:CU451*$E$6:$CU$6*$E$3:$CU$3)/100)</f>
        <v>0</v>
      </c>
      <c r="E451" s="227"/>
      <c r="F451" s="227"/>
      <c r="G451" s="227"/>
      <c r="H451" s="227"/>
      <c r="I451" s="227"/>
      <c r="J451" s="227"/>
      <c r="K451" s="227"/>
      <c r="L451" s="227"/>
      <c r="M451" s="227"/>
      <c r="N451" s="227"/>
      <c r="O451" s="227"/>
      <c r="P451" s="227"/>
      <c r="Q451" s="227"/>
      <c r="R451" s="227"/>
      <c r="S451" s="227"/>
      <c r="T451" s="227"/>
      <c r="U451" s="227"/>
      <c r="V451" s="227"/>
      <c r="W451" s="227"/>
      <c r="X451" s="227"/>
      <c r="Y451" s="227"/>
      <c r="Z451" s="227"/>
      <c r="AA451" s="227"/>
      <c r="AB451" s="227"/>
      <c r="AC451" s="227"/>
      <c r="AD451" s="227"/>
      <c r="AE451" s="227"/>
      <c r="AF451" s="227"/>
      <c r="AG451" s="227"/>
      <c r="AH451" s="227"/>
      <c r="AI451" s="227"/>
      <c r="AJ451" s="227"/>
      <c r="AK451" s="227"/>
      <c r="AL451" s="227"/>
      <c r="AM451" s="227"/>
      <c r="AN451" s="227"/>
      <c r="AO451" s="227"/>
      <c r="AP451" s="227"/>
      <c r="AQ451" s="227"/>
      <c r="AR451" s="227"/>
      <c r="AS451" s="227"/>
      <c r="AT451" s="227"/>
      <c r="AU451" s="227"/>
      <c r="AV451" s="227"/>
      <c r="AW451" s="227"/>
      <c r="AX451" s="227"/>
      <c r="AY451" s="227"/>
      <c r="AZ451" s="227"/>
      <c r="BA451" s="227"/>
      <c r="BB451" s="227"/>
      <c r="BC451" s="227"/>
      <c r="BD451" s="227"/>
      <c r="BE451" s="227"/>
      <c r="BF451" s="227"/>
      <c r="BG451" s="227"/>
      <c r="BH451" s="227"/>
      <c r="BI451" s="227"/>
      <c r="BJ451" s="227"/>
      <c r="BK451" s="227"/>
      <c r="BL451" s="227"/>
      <c r="BM451" s="227"/>
      <c r="BN451" s="227"/>
      <c r="BO451" s="227"/>
      <c r="BP451" s="227"/>
      <c r="BQ451" s="227"/>
      <c r="BR451" s="227"/>
      <c r="BS451" s="227"/>
      <c r="BT451" s="227"/>
      <c r="BU451" s="227"/>
      <c r="BV451" s="227"/>
      <c r="BW451" s="227"/>
      <c r="BX451" s="227"/>
      <c r="BY451" s="227"/>
      <c r="BZ451" s="227"/>
      <c r="CA451" s="227"/>
      <c r="CB451" s="227"/>
      <c r="CC451" s="227"/>
      <c r="CD451" s="227"/>
      <c r="CE451" s="227"/>
      <c r="CF451" s="227"/>
      <c r="CG451" s="227"/>
      <c r="CH451" s="227"/>
      <c r="CI451" s="227"/>
      <c r="CJ451" s="227"/>
      <c r="CK451" s="227"/>
      <c r="CL451" s="227"/>
      <c r="CM451" s="227"/>
      <c r="CN451" s="227"/>
      <c r="CO451" s="227"/>
      <c r="CP451" s="227"/>
      <c r="CQ451" s="227"/>
      <c r="CR451" s="227"/>
      <c r="CS451" s="227"/>
      <c r="CT451" s="227"/>
      <c r="CU451" s="225"/>
      <c r="CV451" s="227"/>
    </row>
    <row r="452" spans="1:100" ht="20.100000000000001" customHeight="1">
      <c r="A452" s="223"/>
      <c r="B452" s="225"/>
      <c r="C452" s="227"/>
      <c r="D452" s="224"/>
      <c r="E452" s="227"/>
      <c r="F452" s="227"/>
      <c r="G452" s="227"/>
      <c r="H452" s="227"/>
      <c r="I452" s="227"/>
      <c r="J452" s="227"/>
      <c r="K452" s="227"/>
      <c r="L452" s="227"/>
      <c r="M452" s="227"/>
      <c r="N452" s="227"/>
      <c r="O452" s="227"/>
      <c r="P452" s="227"/>
      <c r="Q452" s="227"/>
      <c r="R452" s="227"/>
      <c r="S452" s="227"/>
      <c r="T452" s="227"/>
      <c r="U452" s="227"/>
      <c r="V452" s="227"/>
      <c r="W452" s="227"/>
      <c r="X452" s="227"/>
      <c r="Y452" s="227"/>
      <c r="Z452" s="227"/>
      <c r="AA452" s="227"/>
      <c r="AB452" s="227"/>
      <c r="AC452" s="227"/>
      <c r="AD452" s="227"/>
      <c r="AE452" s="227"/>
      <c r="AF452" s="227"/>
      <c r="AG452" s="227"/>
      <c r="AH452" s="227"/>
      <c r="AI452" s="227"/>
      <c r="AJ452" s="227"/>
      <c r="AK452" s="227"/>
      <c r="AL452" s="227"/>
      <c r="AM452" s="227"/>
      <c r="AN452" s="227"/>
      <c r="AO452" s="227"/>
      <c r="AP452" s="227"/>
      <c r="AQ452" s="227"/>
      <c r="AR452" s="227"/>
      <c r="AS452" s="227"/>
      <c r="AT452" s="227"/>
      <c r="AU452" s="227"/>
      <c r="AV452" s="227"/>
      <c r="AW452" s="227"/>
      <c r="AX452" s="227"/>
      <c r="AY452" s="227"/>
      <c r="AZ452" s="227"/>
      <c r="BA452" s="227"/>
      <c r="BB452" s="227"/>
      <c r="BC452" s="227"/>
      <c r="BD452" s="227"/>
      <c r="BE452" s="227"/>
      <c r="BF452" s="227"/>
      <c r="BG452" s="227"/>
      <c r="BH452" s="227"/>
      <c r="BI452" s="227"/>
      <c r="BJ452" s="227"/>
      <c r="BK452" s="227"/>
      <c r="BL452" s="227"/>
      <c r="BM452" s="227"/>
      <c r="BN452" s="227"/>
      <c r="BO452" s="227"/>
      <c r="BP452" s="227"/>
      <c r="BQ452" s="227"/>
      <c r="BR452" s="227"/>
      <c r="BS452" s="227"/>
      <c r="BT452" s="227"/>
      <c r="BU452" s="227"/>
      <c r="BV452" s="227"/>
      <c r="BW452" s="227"/>
      <c r="BX452" s="227"/>
      <c r="BY452" s="227"/>
      <c r="BZ452" s="227"/>
      <c r="CA452" s="227"/>
      <c r="CB452" s="227"/>
      <c r="CC452" s="227"/>
      <c r="CD452" s="227"/>
      <c r="CE452" s="227"/>
      <c r="CF452" s="227"/>
      <c r="CG452" s="227"/>
      <c r="CH452" s="227"/>
      <c r="CI452" s="227"/>
      <c r="CJ452" s="227"/>
      <c r="CK452" s="227"/>
      <c r="CL452" s="227"/>
      <c r="CM452" s="227"/>
      <c r="CN452" s="227"/>
      <c r="CO452" s="227"/>
      <c r="CP452" s="227"/>
      <c r="CQ452" s="227"/>
      <c r="CR452" s="227"/>
      <c r="CS452" s="227"/>
      <c r="CT452" s="227"/>
      <c r="CU452" s="225"/>
      <c r="CV452" s="227"/>
    </row>
    <row r="453" spans="1:100" ht="20.100000000000001" customHeight="1">
      <c r="A453" s="227">
        <v>223</v>
      </c>
      <c r="B453" s="225"/>
      <c r="C453" s="227"/>
      <c r="D453" s="228">
        <f>(SUMPRODUCT(E453:CU453*$E$6:$CU$6)/100)+(SUMPRODUCT(E453:CU453*$E$6:$CU$6*$E$3:$CU$3)/100)</f>
        <v>0</v>
      </c>
      <c r="E453" s="227"/>
      <c r="F453" s="227"/>
      <c r="G453" s="227"/>
      <c r="H453" s="227"/>
      <c r="I453" s="227"/>
      <c r="J453" s="227"/>
      <c r="K453" s="227"/>
      <c r="L453" s="227"/>
      <c r="M453" s="227"/>
      <c r="N453" s="227"/>
      <c r="O453" s="227"/>
      <c r="P453" s="227"/>
      <c r="Q453" s="227"/>
      <c r="R453" s="227"/>
      <c r="S453" s="227"/>
      <c r="T453" s="227"/>
      <c r="U453" s="227"/>
      <c r="V453" s="227"/>
      <c r="W453" s="227"/>
      <c r="X453" s="227"/>
      <c r="Y453" s="227"/>
      <c r="Z453" s="227"/>
      <c r="AA453" s="227"/>
      <c r="AB453" s="227"/>
      <c r="AC453" s="227"/>
      <c r="AD453" s="227"/>
      <c r="AE453" s="227"/>
      <c r="AF453" s="227"/>
      <c r="AG453" s="227"/>
      <c r="AH453" s="227"/>
      <c r="AI453" s="227"/>
      <c r="AJ453" s="227"/>
      <c r="AK453" s="227"/>
      <c r="AL453" s="227"/>
      <c r="AM453" s="227"/>
      <c r="AN453" s="227"/>
      <c r="AO453" s="227"/>
      <c r="AP453" s="227"/>
      <c r="AQ453" s="227"/>
      <c r="AR453" s="227"/>
      <c r="AS453" s="227"/>
      <c r="AT453" s="227"/>
      <c r="AU453" s="227"/>
      <c r="AV453" s="227"/>
      <c r="AW453" s="227"/>
      <c r="AX453" s="227"/>
      <c r="AY453" s="227"/>
      <c r="AZ453" s="227"/>
      <c r="BA453" s="227"/>
      <c r="BB453" s="227"/>
      <c r="BC453" s="227"/>
      <c r="BD453" s="227"/>
      <c r="BE453" s="227"/>
      <c r="BF453" s="227"/>
      <c r="BG453" s="227"/>
      <c r="BH453" s="227"/>
      <c r="BI453" s="227"/>
      <c r="BJ453" s="227"/>
      <c r="BK453" s="227"/>
      <c r="BL453" s="227"/>
      <c r="BM453" s="227"/>
      <c r="BN453" s="227"/>
      <c r="BO453" s="227"/>
      <c r="BP453" s="227"/>
      <c r="BQ453" s="227"/>
      <c r="BR453" s="227"/>
      <c r="BS453" s="227"/>
      <c r="BT453" s="227"/>
      <c r="BU453" s="227"/>
      <c r="BV453" s="227"/>
      <c r="BW453" s="227"/>
      <c r="BX453" s="227"/>
      <c r="BY453" s="227"/>
      <c r="BZ453" s="227"/>
      <c r="CA453" s="227"/>
      <c r="CB453" s="227"/>
      <c r="CC453" s="227"/>
      <c r="CD453" s="227"/>
      <c r="CE453" s="227"/>
      <c r="CF453" s="227"/>
      <c r="CG453" s="227"/>
      <c r="CH453" s="227"/>
      <c r="CI453" s="227"/>
      <c r="CJ453" s="227"/>
      <c r="CK453" s="227"/>
      <c r="CL453" s="227"/>
      <c r="CM453" s="227"/>
      <c r="CN453" s="227"/>
      <c r="CO453" s="227"/>
      <c r="CP453" s="227"/>
      <c r="CQ453" s="227"/>
      <c r="CR453" s="227"/>
      <c r="CS453" s="227"/>
      <c r="CT453" s="227"/>
      <c r="CU453" s="225"/>
      <c r="CV453" s="227"/>
    </row>
    <row r="454" spans="1:100" ht="20.100000000000001" customHeight="1">
      <c r="A454" s="227"/>
      <c r="B454" s="225"/>
      <c r="C454" s="227"/>
      <c r="D454" s="224"/>
      <c r="E454" s="227"/>
      <c r="F454" s="227"/>
      <c r="G454" s="227"/>
      <c r="H454" s="227"/>
      <c r="I454" s="227"/>
      <c r="J454" s="227"/>
      <c r="K454" s="227"/>
      <c r="L454" s="227"/>
      <c r="M454" s="227"/>
      <c r="N454" s="227"/>
      <c r="O454" s="227"/>
      <c r="P454" s="227"/>
      <c r="Q454" s="227"/>
      <c r="R454" s="227"/>
      <c r="S454" s="227"/>
      <c r="T454" s="227"/>
      <c r="U454" s="227"/>
      <c r="V454" s="227"/>
      <c r="W454" s="227"/>
      <c r="X454" s="227"/>
      <c r="Y454" s="227"/>
      <c r="Z454" s="227"/>
      <c r="AA454" s="227"/>
      <c r="AB454" s="227"/>
      <c r="AC454" s="227"/>
      <c r="AD454" s="227"/>
      <c r="AE454" s="227"/>
      <c r="AF454" s="227"/>
      <c r="AG454" s="227"/>
      <c r="AH454" s="227"/>
      <c r="AI454" s="227"/>
      <c r="AJ454" s="227"/>
      <c r="AK454" s="227"/>
      <c r="AL454" s="227"/>
      <c r="AM454" s="227"/>
      <c r="AN454" s="227"/>
      <c r="AO454" s="227"/>
      <c r="AP454" s="227"/>
      <c r="AQ454" s="227"/>
      <c r="AR454" s="227"/>
      <c r="AS454" s="227"/>
      <c r="AT454" s="227"/>
      <c r="AU454" s="227"/>
      <c r="AV454" s="227"/>
      <c r="AW454" s="227"/>
      <c r="AX454" s="227"/>
      <c r="AY454" s="227"/>
      <c r="AZ454" s="227"/>
      <c r="BA454" s="227"/>
      <c r="BB454" s="227"/>
      <c r="BC454" s="227"/>
      <c r="BD454" s="227"/>
      <c r="BE454" s="227"/>
      <c r="BF454" s="227"/>
      <c r="BG454" s="227"/>
      <c r="BH454" s="227"/>
      <c r="BI454" s="227"/>
      <c r="BJ454" s="227"/>
      <c r="BK454" s="227"/>
      <c r="BL454" s="227"/>
      <c r="BM454" s="227"/>
      <c r="BN454" s="227"/>
      <c r="BO454" s="227"/>
      <c r="BP454" s="227"/>
      <c r="BQ454" s="227"/>
      <c r="BR454" s="227"/>
      <c r="BS454" s="227"/>
      <c r="BT454" s="227"/>
      <c r="BU454" s="227"/>
      <c r="BV454" s="227"/>
      <c r="BW454" s="227"/>
      <c r="BX454" s="227"/>
      <c r="BY454" s="227"/>
      <c r="BZ454" s="227"/>
      <c r="CA454" s="227"/>
      <c r="CB454" s="227"/>
      <c r="CC454" s="227"/>
      <c r="CD454" s="227"/>
      <c r="CE454" s="227"/>
      <c r="CF454" s="227"/>
      <c r="CG454" s="227"/>
      <c r="CH454" s="227"/>
      <c r="CI454" s="227"/>
      <c r="CJ454" s="227"/>
      <c r="CK454" s="227"/>
      <c r="CL454" s="227"/>
      <c r="CM454" s="227"/>
      <c r="CN454" s="227"/>
      <c r="CO454" s="227"/>
      <c r="CP454" s="227"/>
      <c r="CQ454" s="227"/>
      <c r="CR454" s="227"/>
      <c r="CS454" s="227"/>
      <c r="CT454" s="227"/>
      <c r="CU454" s="225"/>
      <c r="CV454" s="227"/>
    </row>
    <row r="455" spans="1:100" ht="20.100000000000001" customHeight="1">
      <c r="A455" s="227">
        <v>224</v>
      </c>
      <c r="B455" s="225"/>
      <c r="C455" s="227"/>
      <c r="D455" s="228">
        <f>(SUMPRODUCT(E455:CU455*$E$6:$CU$6)/100)+(SUMPRODUCT(E455:CU455*$E$6:$CU$6*$E$3:$CU$3)/100)</f>
        <v>0</v>
      </c>
      <c r="E455" s="227"/>
      <c r="F455" s="227"/>
      <c r="G455" s="227"/>
      <c r="H455" s="227"/>
      <c r="I455" s="227"/>
      <c r="J455" s="227"/>
      <c r="K455" s="227"/>
      <c r="L455" s="227"/>
      <c r="M455" s="227"/>
      <c r="N455" s="227"/>
      <c r="O455" s="227"/>
      <c r="P455" s="227"/>
      <c r="Q455" s="227"/>
      <c r="R455" s="227"/>
      <c r="S455" s="227"/>
      <c r="T455" s="227"/>
      <c r="U455" s="227"/>
      <c r="V455" s="227"/>
      <c r="W455" s="227"/>
      <c r="X455" s="227"/>
      <c r="Y455" s="227"/>
      <c r="Z455" s="227"/>
      <c r="AA455" s="227"/>
      <c r="AB455" s="227"/>
      <c r="AC455" s="227"/>
      <c r="AD455" s="227"/>
      <c r="AE455" s="227"/>
      <c r="AF455" s="227"/>
      <c r="AG455" s="227"/>
      <c r="AH455" s="227"/>
      <c r="AI455" s="227"/>
      <c r="AJ455" s="227"/>
      <c r="AK455" s="227"/>
      <c r="AL455" s="227"/>
      <c r="AM455" s="227"/>
      <c r="AN455" s="227"/>
      <c r="AO455" s="227"/>
      <c r="AP455" s="227"/>
      <c r="AQ455" s="227"/>
      <c r="AR455" s="227"/>
      <c r="AS455" s="227"/>
      <c r="AT455" s="227"/>
      <c r="AU455" s="227"/>
      <c r="AV455" s="227"/>
      <c r="AW455" s="227"/>
      <c r="AX455" s="227"/>
      <c r="AY455" s="227"/>
      <c r="AZ455" s="227"/>
      <c r="BA455" s="227"/>
      <c r="BB455" s="227"/>
      <c r="BC455" s="227"/>
      <c r="BD455" s="227"/>
      <c r="BE455" s="227"/>
      <c r="BF455" s="227"/>
      <c r="BG455" s="227"/>
      <c r="BH455" s="227"/>
      <c r="BI455" s="227"/>
      <c r="BJ455" s="227"/>
      <c r="BK455" s="227"/>
      <c r="BL455" s="227"/>
      <c r="BM455" s="227"/>
      <c r="BN455" s="227"/>
      <c r="BO455" s="227"/>
      <c r="BP455" s="227"/>
      <c r="BQ455" s="227"/>
      <c r="BR455" s="227"/>
      <c r="BS455" s="227"/>
      <c r="BT455" s="227"/>
      <c r="BU455" s="227"/>
      <c r="BV455" s="227"/>
      <c r="BW455" s="227"/>
      <c r="BX455" s="227"/>
      <c r="BY455" s="227"/>
      <c r="BZ455" s="227"/>
      <c r="CA455" s="227"/>
      <c r="CB455" s="227"/>
      <c r="CC455" s="227"/>
      <c r="CD455" s="227"/>
      <c r="CE455" s="227"/>
      <c r="CF455" s="227"/>
      <c r="CG455" s="227"/>
      <c r="CH455" s="227"/>
      <c r="CI455" s="227"/>
      <c r="CJ455" s="227"/>
      <c r="CK455" s="227"/>
      <c r="CL455" s="227"/>
      <c r="CM455" s="227"/>
      <c r="CN455" s="227"/>
      <c r="CO455" s="227"/>
      <c r="CP455" s="227"/>
      <c r="CQ455" s="227"/>
      <c r="CR455" s="227"/>
      <c r="CS455" s="227"/>
      <c r="CT455" s="227"/>
      <c r="CU455" s="225"/>
      <c r="CV455" s="227"/>
    </row>
    <row r="456" spans="1:100" ht="20.100000000000001" customHeight="1">
      <c r="A456" s="223"/>
      <c r="B456" s="225"/>
      <c r="C456" s="227"/>
      <c r="D456" s="224"/>
      <c r="E456" s="227"/>
      <c r="F456" s="227"/>
      <c r="G456" s="227"/>
      <c r="H456" s="227"/>
      <c r="I456" s="227"/>
      <c r="J456" s="227"/>
      <c r="K456" s="227"/>
      <c r="L456" s="227"/>
      <c r="M456" s="227"/>
      <c r="N456" s="227"/>
      <c r="O456" s="227"/>
      <c r="P456" s="227"/>
      <c r="Q456" s="227"/>
      <c r="R456" s="227"/>
      <c r="S456" s="227"/>
      <c r="T456" s="227"/>
      <c r="U456" s="227"/>
      <c r="V456" s="227"/>
      <c r="W456" s="227"/>
      <c r="X456" s="227"/>
      <c r="Y456" s="227"/>
      <c r="Z456" s="227"/>
      <c r="AA456" s="227"/>
      <c r="AB456" s="227"/>
      <c r="AC456" s="227"/>
      <c r="AD456" s="227"/>
      <c r="AE456" s="227"/>
      <c r="AF456" s="227"/>
      <c r="AG456" s="227"/>
      <c r="AH456" s="227"/>
      <c r="AI456" s="227"/>
      <c r="AJ456" s="227"/>
      <c r="AK456" s="227"/>
      <c r="AL456" s="227"/>
      <c r="AM456" s="227"/>
      <c r="AN456" s="227"/>
      <c r="AO456" s="227"/>
      <c r="AP456" s="227"/>
      <c r="AQ456" s="227"/>
      <c r="AR456" s="227"/>
      <c r="AS456" s="227"/>
      <c r="AT456" s="227"/>
      <c r="AU456" s="227"/>
      <c r="AV456" s="227"/>
      <c r="AW456" s="227"/>
      <c r="AX456" s="227"/>
      <c r="AY456" s="227"/>
      <c r="AZ456" s="227"/>
      <c r="BA456" s="227"/>
      <c r="BB456" s="227"/>
      <c r="BC456" s="227"/>
      <c r="BD456" s="227"/>
      <c r="BE456" s="227"/>
      <c r="BF456" s="227"/>
      <c r="BG456" s="227"/>
      <c r="BH456" s="227"/>
      <c r="BI456" s="227"/>
      <c r="BJ456" s="227"/>
      <c r="BK456" s="227"/>
      <c r="BL456" s="227"/>
      <c r="BM456" s="227"/>
      <c r="BN456" s="227"/>
      <c r="BO456" s="227"/>
      <c r="BP456" s="227"/>
      <c r="BQ456" s="227"/>
      <c r="BR456" s="227"/>
      <c r="BS456" s="227"/>
      <c r="BT456" s="227"/>
      <c r="BU456" s="227"/>
      <c r="BV456" s="227"/>
      <c r="BW456" s="227"/>
      <c r="BX456" s="227"/>
      <c r="BY456" s="227"/>
      <c r="BZ456" s="227"/>
      <c r="CA456" s="227"/>
      <c r="CB456" s="227"/>
      <c r="CC456" s="227"/>
      <c r="CD456" s="227"/>
      <c r="CE456" s="227"/>
      <c r="CF456" s="227"/>
      <c r="CG456" s="227"/>
      <c r="CH456" s="227"/>
      <c r="CI456" s="227"/>
      <c r="CJ456" s="227"/>
      <c r="CK456" s="227"/>
      <c r="CL456" s="227"/>
      <c r="CM456" s="227"/>
      <c r="CN456" s="227"/>
      <c r="CO456" s="227"/>
      <c r="CP456" s="227"/>
      <c r="CQ456" s="227"/>
      <c r="CR456" s="227"/>
      <c r="CS456" s="227"/>
      <c r="CT456" s="227"/>
      <c r="CU456" s="225"/>
      <c r="CV456" s="227"/>
    </row>
    <row r="457" spans="1:100" ht="20.100000000000001" customHeight="1">
      <c r="A457" s="227">
        <v>225</v>
      </c>
      <c r="B457" s="225"/>
      <c r="C457" s="227"/>
      <c r="D457" s="228">
        <f>(SUMPRODUCT(E457:CU457*$E$6:$CU$6)/100)+(SUMPRODUCT(E457:CU457*$E$6:$CU$6*$E$3:$CU$3)/100)</f>
        <v>0</v>
      </c>
      <c r="E457" s="227"/>
      <c r="F457" s="227"/>
      <c r="G457" s="227"/>
      <c r="H457" s="227"/>
      <c r="I457" s="227"/>
      <c r="J457" s="227"/>
      <c r="K457" s="227"/>
      <c r="L457" s="227"/>
      <c r="M457" s="227"/>
      <c r="N457" s="227"/>
      <c r="O457" s="227"/>
      <c r="P457" s="227"/>
      <c r="Q457" s="227"/>
      <c r="R457" s="227"/>
      <c r="S457" s="227"/>
      <c r="T457" s="227"/>
      <c r="U457" s="227"/>
      <c r="V457" s="227"/>
      <c r="W457" s="227"/>
      <c r="X457" s="227"/>
      <c r="Y457" s="227"/>
      <c r="Z457" s="227"/>
      <c r="AA457" s="227"/>
      <c r="AB457" s="227"/>
      <c r="AC457" s="227"/>
      <c r="AD457" s="227"/>
      <c r="AE457" s="227"/>
      <c r="AF457" s="227"/>
      <c r="AG457" s="227"/>
      <c r="AH457" s="227"/>
      <c r="AI457" s="227"/>
      <c r="AJ457" s="227"/>
      <c r="AK457" s="227"/>
      <c r="AL457" s="227"/>
      <c r="AM457" s="227"/>
      <c r="AN457" s="227"/>
      <c r="AO457" s="227"/>
      <c r="AP457" s="227"/>
      <c r="AQ457" s="227"/>
      <c r="AR457" s="227"/>
      <c r="AS457" s="227"/>
      <c r="AT457" s="227"/>
      <c r="AU457" s="227"/>
      <c r="AV457" s="227"/>
      <c r="AW457" s="227"/>
      <c r="AX457" s="227"/>
      <c r="AY457" s="227"/>
      <c r="AZ457" s="227"/>
      <c r="BA457" s="227"/>
      <c r="BB457" s="227"/>
      <c r="BC457" s="227"/>
      <c r="BD457" s="227"/>
      <c r="BE457" s="227"/>
      <c r="BF457" s="227"/>
      <c r="BG457" s="227"/>
      <c r="BH457" s="227"/>
      <c r="BI457" s="227"/>
      <c r="BJ457" s="227"/>
      <c r="BK457" s="227"/>
      <c r="BL457" s="227"/>
      <c r="BM457" s="227"/>
      <c r="BN457" s="227"/>
      <c r="BO457" s="227"/>
      <c r="BP457" s="227"/>
      <c r="BQ457" s="227"/>
      <c r="BR457" s="227"/>
      <c r="BS457" s="227"/>
      <c r="BT457" s="227"/>
      <c r="BU457" s="227"/>
      <c r="BV457" s="227"/>
      <c r="BW457" s="227"/>
      <c r="BX457" s="227"/>
      <c r="BY457" s="227"/>
      <c r="BZ457" s="227"/>
      <c r="CA457" s="227"/>
      <c r="CB457" s="227"/>
      <c r="CC457" s="227"/>
      <c r="CD457" s="227"/>
      <c r="CE457" s="227"/>
      <c r="CF457" s="227"/>
      <c r="CG457" s="227"/>
      <c r="CH457" s="227"/>
      <c r="CI457" s="227"/>
      <c r="CJ457" s="227"/>
      <c r="CK457" s="227"/>
      <c r="CL457" s="227"/>
      <c r="CM457" s="227"/>
      <c r="CN457" s="227"/>
      <c r="CO457" s="227"/>
      <c r="CP457" s="227"/>
      <c r="CQ457" s="227"/>
      <c r="CR457" s="227"/>
      <c r="CS457" s="227"/>
      <c r="CT457" s="227"/>
      <c r="CU457" s="225"/>
      <c r="CV457" s="227"/>
    </row>
    <row r="458" spans="1:100" ht="20.100000000000001" customHeight="1">
      <c r="A458" s="227"/>
      <c r="B458" s="225"/>
      <c r="C458" s="227"/>
      <c r="D458" s="224"/>
      <c r="E458" s="227"/>
      <c r="F458" s="227"/>
      <c r="G458" s="227"/>
      <c r="H458" s="227"/>
      <c r="I458" s="227"/>
      <c r="J458" s="227"/>
      <c r="K458" s="227"/>
      <c r="L458" s="227"/>
      <c r="M458" s="227"/>
      <c r="N458" s="227"/>
      <c r="O458" s="227"/>
      <c r="P458" s="227"/>
      <c r="Q458" s="227"/>
      <c r="R458" s="227"/>
      <c r="S458" s="227"/>
      <c r="T458" s="227"/>
      <c r="U458" s="227"/>
      <c r="V458" s="227"/>
      <c r="W458" s="227"/>
      <c r="X458" s="227"/>
      <c r="Y458" s="227"/>
      <c r="Z458" s="227"/>
      <c r="AA458" s="227"/>
      <c r="AB458" s="227"/>
      <c r="AC458" s="227"/>
      <c r="AD458" s="227"/>
      <c r="AE458" s="227"/>
      <c r="AF458" s="227"/>
      <c r="AG458" s="227"/>
      <c r="AH458" s="227"/>
      <c r="AI458" s="227"/>
      <c r="AJ458" s="227"/>
      <c r="AK458" s="227"/>
      <c r="AL458" s="227"/>
      <c r="AM458" s="227"/>
      <c r="AN458" s="227"/>
      <c r="AO458" s="227"/>
      <c r="AP458" s="227"/>
      <c r="AQ458" s="227"/>
      <c r="AR458" s="227"/>
      <c r="AS458" s="227"/>
      <c r="AT458" s="227"/>
      <c r="AU458" s="227"/>
      <c r="AV458" s="227"/>
      <c r="AW458" s="227"/>
      <c r="AX458" s="227"/>
      <c r="AY458" s="227"/>
      <c r="AZ458" s="227"/>
      <c r="BA458" s="227"/>
      <c r="BB458" s="227"/>
      <c r="BC458" s="227"/>
      <c r="BD458" s="227"/>
      <c r="BE458" s="227"/>
      <c r="BF458" s="227"/>
      <c r="BG458" s="227"/>
      <c r="BH458" s="227"/>
      <c r="BI458" s="227"/>
      <c r="BJ458" s="227"/>
      <c r="BK458" s="227"/>
      <c r="BL458" s="227"/>
      <c r="BM458" s="227"/>
      <c r="BN458" s="227"/>
      <c r="BO458" s="227"/>
      <c r="BP458" s="227"/>
      <c r="BQ458" s="227"/>
      <c r="BR458" s="227"/>
      <c r="BS458" s="227"/>
      <c r="BT458" s="227"/>
      <c r="BU458" s="227"/>
      <c r="BV458" s="227"/>
      <c r="BW458" s="227"/>
      <c r="BX458" s="227"/>
      <c r="BY458" s="227"/>
      <c r="BZ458" s="227"/>
      <c r="CA458" s="227"/>
      <c r="CB458" s="227"/>
      <c r="CC458" s="227"/>
      <c r="CD458" s="227"/>
      <c r="CE458" s="227"/>
      <c r="CF458" s="227"/>
      <c r="CG458" s="227"/>
      <c r="CH458" s="227"/>
      <c r="CI458" s="227"/>
      <c r="CJ458" s="227"/>
      <c r="CK458" s="227"/>
      <c r="CL458" s="227"/>
      <c r="CM458" s="227"/>
      <c r="CN458" s="227"/>
      <c r="CO458" s="227"/>
      <c r="CP458" s="227"/>
      <c r="CQ458" s="227"/>
      <c r="CR458" s="227"/>
      <c r="CS458" s="227"/>
      <c r="CT458" s="227"/>
      <c r="CU458" s="225"/>
      <c r="CV458" s="227"/>
    </row>
    <row r="459" spans="1:100" ht="20.100000000000001" customHeight="1">
      <c r="A459" s="227">
        <v>226</v>
      </c>
      <c r="B459" s="225"/>
      <c r="C459" s="227"/>
      <c r="D459" s="228">
        <f>(SUMPRODUCT(E459:CU459*$E$6:$CU$6)/100)+(SUMPRODUCT(E459:CU459*$E$6:$CU$6*$E$3:$CU$3)/100)</f>
        <v>0</v>
      </c>
      <c r="E459" s="227"/>
      <c r="F459" s="227"/>
      <c r="G459" s="227"/>
      <c r="H459" s="227"/>
      <c r="I459" s="227"/>
      <c r="J459" s="227"/>
      <c r="K459" s="227"/>
      <c r="L459" s="227"/>
      <c r="M459" s="227"/>
      <c r="N459" s="227"/>
      <c r="O459" s="227"/>
      <c r="P459" s="227"/>
      <c r="Q459" s="227"/>
      <c r="R459" s="227"/>
      <c r="S459" s="227"/>
      <c r="T459" s="227"/>
      <c r="U459" s="227"/>
      <c r="V459" s="227"/>
      <c r="W459" s="227"/>
      <c r="X459" s="227"/>
      <c r="Y459" s="227"/>
      <c r="Z459" s="227"/>
      <c r="AA459" s="227"/>
      <c r="AB459" s="227"/>
      <c r="AC459" s="227"/>
      <c r="AD459" s="227"/>
      <c r="AE459" s="227"/>
      <c r="AF459" s="227"/>
      <c r="AG459" s="227"/>
      <c r="AH459" s="227"/>
      <c r="AI459" s="227"/>
      <c r="AJ459" s="227"/>
      <c r="AK459" s="227"/>
      <c r="AL459" s="227"/>
      <c r="AM459" s="227"/>
      <c r="AN459" s="227"/>
      <c r="AO459" s="227"/>
      <c r="AP459" s="227"/>
      <c r="AQ459" s="227"/>
      <c r="AR459" s="227"/>
      <c r="AS459" s="227"/>
      <c r="AT459" s="227"/>
      <c r="AU459" s="227"/>
      <c r="AV459" s="227"/>
      <c r="AW459" s="227"/>
      <c r="AX459" s="227"/>
      <c r="AY459" s="227"/>
      <c r="AZ459" s="227"/>
      <c r="BA459" s="227"/>
      <c r="BB459" s="227"/>
      <c r="BC459" s="227"/>
      <c r="BD459" s="227"/>
      <c r="BE459" s="227"/>
      <c r="BF459" s="227"/>
      <c r="BG459" s="227"/>
      <c r="BH459" s="227"/>
      <c r="BI459" s="227"/>
      <c r="BJ459" s="227"/>
      <c r="BK459" s="227"/>
      <c r="BL459" s="227"/>
      <c r="BM459" s="227"/>
      <c r="BN459" s="227"/>
      <c r="BO459" s="227"/>
      <c r="BP459" s="227"/>
      <c r="BQ459" s="227"/>
      <c r="BR459" s="227"/>
      <c r="BS459" s="227"/>
      <c r="BT459" s="227"/>
      <c r="BU459" s="227"/>
      <c r="BV459" s="227"/>
      <c r="BW459" s="227"/>
      <c r="BX459" s="227"/>
      <c r="BY459" s="227"/>
      <c r="BZ459" s="227"/>
      <c r="CA459" s="227"/>
      <c r="CB459" s="227"/>
      <c r="CC459" s="227"/>
      <c r="CD459" s="227"/>
      <c r="CE459" s="227"/>
      <c r="CF459" s="227"/>
      <c r="CG459" s="227"/>
      <c r="CH459" s="227"/>
      <c r="CI459" s="227"/>
      <c r="CJ459" s="227"/>
      <c r="CK459" s="227"/>
      <c r="CL459" s="227"/>
      <c r="CM459" s="227"/>
      <c r="CN459" s="227"/>
      <c r="CO459" s="227"/>
      <c r="CP459" s="227"/>
      <c r="CQ459" s="227"/>
      <c r="CR459" s="227"/>
      <c r="CS459" s="227"/>
      <c r="CT459" s="227"/>
      <c r="CU459" s="225"/>
      <c r="CV459" s="227"/>
    </row>
    <row r="460" spans="1:100" ht="20.100000000000001" customHeight="1">
      <c r="A460" s="223"/>
      <c r="B460" s="225"/>
      <c r="C460" s="227"/>
      <c r="D460" s="224"/>
      <c r="E460" s="227"/>
      <c r="F460" s="227"/>
      <c r="G460" s="227"/>
      <c r="H460" s="227"/>
      <c r="I460" s="227"/>
      <c r="J460" s="227"/>
      <c r="K460" s="227"/>
      <c r="L460" s="227"/>
      <c r="M460" s="227"/>
      <c r="N460" s="227"/>
      <c r="O460" s="227"/>
      <c r="P460" s="227"/>
      <c r="Q460" s="227"/>
      <c r="R460" s="227"/>
      <c r="S460" s="227"/>
      <c r="T460" s="227"/>
      <c r="U460" s="227"/>
      <c r="V460" s="227"/>
      <c r="W460" s="227"/>
      <c r="X460" s="227"/>
      <c r="Y460" s="227"/>
      <c r="Z460" s="227"/>
      <c r="AA460" s="227"/>
      <c r="AB460" s="227"/>
      <c r="AC460" s="227"/>
      <c r="AD460" s="227"/>
      <c r="AE460" s="227"/>
      <c r="AF460" s="227"/>
      <c r="AG460" s="227"/>
      <c r="AH460" s="227"/>
      <c r="AI460" s="227"/>
      <c r="AJ460" s="227"/>
      <c r="AK460" s="227"/>
      <c r="AL460" s="227"/>
      <c r="AM460" s="227"/>
      <c r="AN460" s="227"/>
      <c r="AO460" s="227"/>
      <c r="AP460" s="227"/>
      <c r="AQ460" s="227"/>
      <c r="AR460" s="227"/>
      <c r="AS460" s="227"/>
      <c r="AT460" s="227"/>
      <c r="AU460" s="227"/>
      <c r="AV460" s="227"/>
      <c r="AW460" s="227"/>
      <c r="AX460" s="227"/>
      <c r="AY460" s="227"/>
      <c r="AZ460" s="227"/>
      <c r="BA460" s="227"/>
      <c r="BB460" s="227"/>
      <c r="BC460" s="227"/>
      <c r="BD460" s="227"/>
      <c r="BE460" s="227"/>
      <c r="BF460" s="227"/>
      <c r="BG460" s="227"/>
      <c r="BH460" s="227"/>
      <c r="BI460" s="227"/>
      <c r="BJ460" s="227"/>
      <c r="BK460" s="227"/>
      <c r="BL460" s="227"/>
      <c r="BM460" s="227"/>
      <c r="BN460" s="227"/>
      <c r="BO460" s="227"/>
      <c r="BP460" s="227"/>
      <c r="BQ460" s="227"/>
      <c r="BR460" s="227"/>
      <c r="BS460" s="227"/>
      <c r="BT460" s="227"/>
      <c r="BU460" s="227"/>
      <c r="BV460" s="227"/>
      <c r="BW460" s="227"/>
      <c r="BX460" s="227"/>
      <c r="BY460" s="227"/>
      <c r="BZ460" s="227"/>
      <c r="CA460" s="227"/>
      <c r="CB460" s="227"/>
      <c r="CC460" s="227"/>
      <c r="CD460" s="227"/>
      <c r="CE460" s="227"/>
      <c r="CF460" s="227"/>
      <c r="CG460" s="227"/>
      <c r="CH460" s="227"/>
      <c r="CI460" s="227"/>
      <c r="CJ460" s="227"/>
      <c r="CK460" s="227"/>
      <c r="CL460" s="227"/>
      <c r="CM460" s="227"/>
      <c r="CN460" s="227"/>
      <c r="CO460" s="227"/>
      <c r="CP460" s="227"/>
      <c r="CQ460" s="227"/>
      <c r="CR460" s="227"/>
      <c r="CS460" s="227"/>
      <c r="CT460" s="227"/>
      <c r="CU460" s="225"/>
      <c r="CV460" s="227"/>
    </row>
    <row r="461" spans="1:100" ht="20.100000000000001" customHeight="1">
      <c r="A461" s="227">
        <v>227</v>
      </c>
      <c r="B461" s="225"/>
      <c r="C461" s="227"/>
      <c r="D461" s="228">
        <f>(SUMPRODUCT(E461:CU461*$E$6:$CU$6)/100)+(SUMPRODUCT(E461:CU461*$E$6:$CU$6*$E$3:$CU$3)/100)</f>
        <v>0</v>
      </c>
      <c r="E461" s="227"/>
      <c r="F461" s="227"/>
      <c r="G461" s="227"/>
      <c r="H461" s="227"/>
      <c r="I461" s="227"/>
      <c r="J461" s="227"/>
      <c r="K461" s="227"/>
      <c r="L461" s="227"/>
      <c r="M461" s="227"/>
      <c r="N461" s="227"/>
      <c r="O461" s="227"/>
      <c r="P461" s="227"/>
      <c r="Q461" s="227"/>
      <c r="R461" s="227"/>
      <c r="S461" s="227"/>
      <c r="T461" s="227"/>
      <c r="U461" s="227"/>
      <c r="V461" s="227"/>
      <c r="W461" s="227"/>
      <c r="X461" s="227"/>
      <c r="Y461" s="227"/>
      <c r="Z461" s="227"/>
      <c r="AA461" s="227"/>
      <c r="AB461" s="227"/>
      <c r="AC461" s="227"/>
      <c r="AD461" s="227"/>
      <c r="AE461" s="227"/>
      <c r="AF461" s="227"/>
      <c r="AG461" s="227"/>
      <c r="AH461" s="227"/>
      <c r="AI461" s="227"/>
      <c r="AJ461" s="227"/>
      <c r="AK461" s="227"/>
      <c r="AL461" s="227"/>
      <c r="AM461" s="227"/>
      <c r="AN461" s="227"/>
      <c r="AO461" s="227"/>
      <c r="AP461" s="227"/>
      <c r="AQ461" s="227"/>
      <c r="AR461" s="227"/>
      <c r="AS461" s="227"/>
      <c r="AT461" s="227"/>
      <c r="AU461" s="227"/>
      <c r="AV461" s="227"/>
      <c r="AW461" s="227"/>
      <c r="AX461" s="227"/>
      <c r="AY461" s="227"/>
      <c r="AZ461" s="227"/>
      <c r="BA461" s="227"/>
      <c r="BB461" s="227"/>
      <c r="BC461" s="227"/>
      <c r="BD461" s="227"/>
      <c r="BE461" s="227"/>
      <c r="BF461" s="227"/>
      <c r="BG461" s="227"/>
      <c r="BH461" s="227"/>
      <c r="BI461" s="227"/>
      <c r="BJ461" s="227"/>
      <c r="BK461" s="227"/>
      <c r="BL461" s="227"/>
      <c r="BM461" s="227"/>
      <c r="BN461" s="227"/>
      <c r="BO461" s="227"/>
      <c r="BP461" s="227"/>
      <c r="BQ461" s="227"/>
      <c r="BR461" s="227"/>
      <c r="BS461" s="227"/>
      <c r="BT461" s="227"/>
      <c r="BU461" s="227"/>
      <c r="BV461" s="227"/>
      <c r="BW461" s="227"/>
      <c r="BX461" s="227"/>
      <c r="BY461" s="227"/>
      <c r="BZ461" s="227"/>
      <c r="CA461" s="227"/>
      <c r="CB461" s="227"/>
      <c r="CC461" s="227"/>
      <c r="CD461" s="227"/>
      <c r="CE461" s="227"/>
      <c r="CF461" s="227"/>
      <c r="CG461" s="227"/>
      <c r="CH461" s="227"/>
      <c r="CI461" s="227"/>
      <c r="CJ461" s="227"/>
      <c r="CK461" s="227"/>
      <c r="CL461" s="227"/>
      <c r="CM461" s="227"/>
      <c r="CN461" s="227"/>
      <c r="CO461" s="227"/>
      <c r="CP461" s="227"/>
      <c r="CQ461" s="227"/>
      <c r="CR461" s="227"/>
      <c r="CS461" s="227"/>
      <c r="CT461" s="227"/>
      <c r="CU461" s="225"/>
      <c r="CV461" s="227"/>
    </row>
    <row r="462" spans="1:100" ht="20.100000000000001" customHeight="1">
      <c r="A462" s="227"/>
      <c r="B462" s="225"/>
      <c r="C462" s="227"/>
      <c r="D462" s="224"/>
      <c r="E462" s="227"/>
      <c r="F462" s="227"/>
      <c r="G462" s="227"/>
      <c r="H462" s="227"/>
      <c r="I462" s="227"/>
      <c r="J462" s="227"/>
      <c r="K462" s="227"/>
      <c r="L462" s="227"/>
      <c r="M462" s="227"/>
      <c r="N462" s="227"/>
      <c r="O462" s="227"/>
      <c r="P462" s="227"/>
      <c r="Q462" s="227"/>
      <c r="R462" s="227"/>
      <c r="S462" s="227"/>
      <c r="T462" s="227"/>
      <c r="U462" s="227"/>
      <c r="V462" s="227"/>
      <c r="W462" s="227"/>
      <c r="X462" s="227"/>
      <c r="Y462" s="227"/>
      <c r="Z462" s="227"/>
      <c r="AA462" s="227"/>
      <c r="AB462" s="227"/>
      <c r="AC462" s="227"/>
      <c r="AD462" s="227"/>
      <c r="AE462" s="227"/>
      <c r="AF462" s="227"/>
      <c r="AG462" s="227"/>
      <c r="AH462" s="227"/>
      <c r="AI462" s="227"/>
      <c r="AJ462" s="227"/>
      <c r="AK462" s="227"/>
      <c r="AL462" s="227"/>
      <c r="AM462" s="227"/>
      <c r="AN462" s="227"/>
      <c r="AO462" s="227"/>
      <c r="AP462" s="227"/>
      <c r="AQ462" s="227"/>
      <c r="AR462" s="227"/>
      <c r="AS462" s="227"/>
      <c r="AT462" s="227"/>
      <c r="AU462" s="227"/>
      <c r="AV462" s="227"/>
      <c r="AW462" s="227"/>
      <c r="AX462" s="227"/>
      <c r="AY462" s="227"/>
      <c r="AZ462" s="227"/>
      <c r="BA462" s="227"/>
      <c r="BB462" s="227"/>
      <c r="BC462" s="227"/>
      <c r="BD462" s="227"/>
      <c r="BE462" s="227"/>
      <c r="BF462" s="227"/>
      <c r="BG462" s="227"/>
      <c r="BH462" s="227"/>
      <c r="BI462" s="227"/>
      <c r="BJ462" s="227"/>
      <c r="BK462" s="227"/>
      <c r="BL462" s="227"/>
      <c r="BM462" s="227"/>
      <c r="BN462" s="227"/>
      <c r="BO462" s="227"/>
      <c r="BP462" s="227"/>
      <c r="BQ462" s="227"/>
      <c r="BR462" s="227"/>
      <c r="BS462" s="227"/>
      <c r="BT462" s="227"/>
      <c r="BU462" s="227"/>
      <c r="BV462" s="227"/>
      <c r="BW462" s="227"/>
      <c r="BX462" s="227"/>
      <c r="BY462" s="227"/>
      <c r="BZ462" s="227"/>
      <c r="CA462" s="227"/>
      <c r="CB462" s="227"/>
      <c r="CC462" s="227"/>
      <c r="CD462" s="227"/>
      <c r="CE462" s="227"/>
      <c r="CF462" s="227"/>
      <c r="CG462" s="227"/>
      <c r="CH462" s="227"/>
      <c r="CI462" s="227"/>
      <c r="CJ462" s="227"/>
      <c r="CK462" s="227"/>
      <c r="CL462" s="227"/>
      <c r="CM462" s="227"/>
      <c r="CN462" s="227"/>
      <c r="CO462" s="227"/>
      <c r="CP462" s="227"/>
      <c r="CQ462" s="227"/>
      <c r="CR462" s="227"/>
      <c r="CS462" s="227"/>
      <c r="CT462" s="227"/>
      <c r="CU462" s="225"/>
      <c r="CV462" s="227"/>
    </row>
    <row r="463" spans="1:100" ht="20.100000000000001" customHeight="1">
      <c r="A463" s="227">
        <v>228</v>
      </c>
      <c r="B463" s="225"/>
      <c r="C463" s="227"/>
      <c r="D463" s="228">
        <f>(SUMPRODUCT(E463:CU463*$E$6:$CU$6)/100)+(SUMPRODUCT(E463:CU463*$E$6:$CU$6*$E$3:$CU$3)/100)</f>
        <v>0</v>
      </c>
      <c r="E463" s="227"/>
      <c r="F463" s="227"/>
      <c r="G463" s="227"/>
      <c r="H463" s="227"/>
      <c r="I463" s="227"/>
      <c r="J463" s="227"/>
      <c r="K463" s="227"/>
      <c r="L463" s="227"/>
      <c r="M463" s="227"/>
      <c r="N463" s="227"/>
      <c r="O463" s="227"/>
      <c r="P463" s="227"/>
      <c r="Q463" s="227"/>
      <c r="R463" s="227"/>
      <c r="S463" s="227"/>
      <c r="T463" s="227"/>
      <c r="U463" s="227"/>
      <c r="V463" s="227"/>
      <c r="W463" s="227"/>
      <c r="X463" s="227"/>
      <c r="Y463" s="227"/>
      <c r="Z463" s="227"/>
      <c r="AA463" s="227"/>
      <c r="AB463" s="227"/>
      <c r="AC463" s="227"/>
      <c r="AD463" s="227"/>
      <c r="AE463" s="227"/>
      <c r="AF463" s="227"/>
      <c r="AG463" s="227"/>
      <c r="AH463" s="227"/>
      <c r="AI463" s="227"/>
      <c r="AJ463" s="227"/>
      <c r="AK463" s="227"/>
      <c r="AL463" s="227"/>
      <c r="AM463" s="227"/>
      <c r="AN463" s="227"/>
      <c r="AO463" s="227"/>
      <c r="AP463" s="227"/>
      <c r="AQ463" s="227"/>
      <c r="AR463" s="227"/>
      <c r="AS463" s="227"/>
      <c r="AT463" s="227"/>
      <c r="AU463" s="227"/>
      <c r="AV463" s="227"/>
      <c r="AW463" s="227"/>
      <c r="AX463" s="227"/>
      <c r="AY463" s="227"/>
      <c r="AZ463" s="227"/>
      <c r="BA463" s="227"/>
      <c r="BB463" s="227"/>
      <c r="BC463" s="227"/>
      <c r="BD463" s="227"/>
      <c r="BE463" s="227"/>
      <c r="BF463" s="227"/>
      <c r="BG463" s="227"/>
      <c r="BH463" s="227"/>
      <c r="BI463" s="227"/>
      <c r="BJ463" s="227"/>
      <c r="BK463" s="227"/>
      <c r="BL463" s="227"/>
      <c r="BM463" s="227"/>
      <c r="BN463" s="227"/>
      <c r="BO463" s="227"/>
      <c r="BP463" s="227"/>
      <c r="BQ463" s="227"/>
      <c r="BR463" s="227"/>
      <c r="BS463" s="227"/>
      <c r="BT463" s="227"/>
      <c r="BU463" s="227"/>
      <c r="BV463" s="227"/>
      <c r="BW463" s="227"/>
      <c r="BX463" s="227"/>
      <c r="BY463" s="227"/>
      <c r="BZ463" s="227"/>
      <c r="CA463" s="227"/>
      <c r="CB463" s="227"/>
      <c r="CC463" s="227"/>
      <c r="CD463" s="227"/>
      <c r="CE463" s="227"/>
      <c r="CF463" s="227"/>
      <c r="CG463" s="227"/>
      <c r="CH463" s="227"/>
      <c r="CI463" s="227"/>
      <c r="CJ463" s="227"/>
      <c r="CK463" s="227"/>
      <c r="CL463" s="227"/>
      <c r="CM463" s="227"/>
      <c r="CN463" s="227"/>
      <c r="CO463" s="227"/>
      <c r="CP463" s="227"/>
      <c r="CQ463" s="227"/>
      <c r="CR463" s="227"/>
      <c r="CS463" s="227"/>
      <c r="CT463" s="227"/>
      <c r="CU463" s="225"/>
      <c r="CV463" s="227"/>
    </row>
    <row r="464" spans="1:100" ht="20.100000000000001" customHeight="1">
      <c r="A464" s="223"/>
      <c r="B464" s="225"/>
      <c r="C464" s="227"/>
      <c r="D464" s="224"/>
      <c r="E464" s="227"/>
      <c r="F464" s="227"/>
      <c r="G464" s="227"/>
      <c r="H464" s="227"/>
      <c r="I464" s="227"/>
      <c r="J464" s="227"/>
      <c r="K464" s="227"/>
      <c r="L464" s="227"/>
      <c r="M464" s="227"/>
      <c r="N464" s="227"/>
      <c r="O464" s="227"/>
      <c r="P464" s="227"/>
      <c r="Q464" s="227"/>
      <c r="R464" s="227"/>
      <c r="S464" s="227"/>
      <c r="T464" s="227"/>
      <c r="U464" s="227"/>
      <c r="V464" s="227"/>
      <c r="W464" s="227"/>
      <c r="X464" s="227"/>
      <c r="Y464" s="227"/>
      <c r="Z464" s="227"/>
      <c r="AA464" s="227"/>
      <c r="AB464" s="227"/>
      <c r="AC464" s="227"/>
      <c r="AD464" s="227"/>
      <c r="AE464" s="227"/>
      <c r="AF464" s="227"/>
      <c r="AG464" s="227"/>
      <c r="AH464" s="227"/>
      <c r="AI464" s="227"/>
      <c r="AJ464" s="227"/>
      <c r="AK464" s="227"/>
      <c r="AL464" s="227"/>
      <c r="AM464" s="227"/>
      <c r="AN464" s="227"/>
      <c r="AO464" s="227"/>
      <c r="AP464" s="227"/>
      <c r="AQ464" s="227"/>
      <c r="AR464" s="227"/>
      <c r="AS464" s="227"/>
      <c r="AT464" s="227"/>
      <c r="AU464" s="227"/>
      <c r="AV464" s="227"/>
      <c r="AW464" s="227"/>
      <c r="AX464" s="227"/>
      <c r="AY464" s="227"/>
      <c r="AZ464" s="227"/>
      <c r="BA464" s="227"/>
      <c r="BB464" s="227"/>
      <c r="BC464" s="227"/>
      <c r="BD464" s="227"/>
      <c r="BE464" s="227"/>
      <c r="BF464" s="227"/>
      <c r="BG464" s="227"/>
      <c r="BH464" s="227"/>
      <c r="BI464" s="227"/>
      <c r="BJ464" s="227"/>
      <c r="BK464" s="227"/>
      <c r="BL464" s="227"/>
      <c r="BM464" s="227"/>
      <c r="BN464" s="227"/>
      <c r="BO464" s="227"/>
      <c r="BP464" s="227"/>
      <c r="BQ464" s="227"/>
      <c r="BR464" s="227"/>
      <c r="BS464" s="227"/>
      <c r="BT464" s="227"/>
      <c r="BU464" s="227"/>
      <c r="BV464" s="227"/>
      <c r="BW464" s="227"/>
      <c r="BX464" s="227"/>
      <c r="BY464" s="227"/>
      <c r="BZ464" s="227"/>
      <c r="CA464" s="227"/>
      <c r="CB464" s="227"/>
      <c r="CC464" s="227"/>
      <c r="CD464" s="227"/>
      <c r="CE464" s="227"/>
      <c r="CF464" s="227"/>
      <c r="CG464" s="227"/>
      <c r="CH464" s="227"/>
      <c r="CI464" s="227"/>
      <c r="CJ464" s="227"/>
      <c r="CK464" s="227"/>
      <c r="CL464" s="227"/>
      <c r="CM464" s="227"/>
      <c r="CN464" s="227"/>
      <c r="CO464" s="227"/>
      <c r="CP464" s="227"/>
      <c r="CQ464" s="227"/>
      <c r="CR464" s="227"/>
      <c r="CS464" s="227"/>
      <c r="CT464" s="227"/>
      <c r="CU464" s="225"/>
      <c r="CV464" s="227"/>
    </row>
    <row r="465" spans="1:100" ht="20.100000000000001" customHeight="1">
      <c r="A465" s="227">
        <v>229</v>
      </c>
      <c r="B465" s="225"/>
      <c r="C465" s="227"/>
      <c r="D465" s="228">
        <f>(SUMPRODUCT(E465:CU465*$E$6:$CU$6)/100)+(SUMPRODUCT(E465:CU465*$E$6:$CU$6*$E$3:$CU$3)/100)</f>
        <v>0</v>
      </c>
      <c r="E465" s="227"/>
      <c r="F465" s="227"/>
      <c r="G465" s="227"/>
      <c r="H465" s="227"/>
      <c r="I465" s="227"/>
      <c r="J465" s="227"/>
      <c r="K465" s="227"/>
      <c r="L465" s="227"/>
      <c r="M465" s="227"/>
      <c r="N465" s="227"/>
      <c r="O465" s="227"/>
      <c r="P465" s="227"/>
      <c r="Q465" s="227"/>
      <c r="R465" s="227"/>
      <c r="S465" s="227"/>
      <c r="T465" s="227"/>
      <c r="U465" s="227"/>
      <c r="V465" s="227"/>
      <c r="W465" s="227"/>
      <c r="X465" s="227"/>
      <c r="Y465" s="227"/>
      <c r="Z465" s="227"/>
      <c r="AA465" s="227"/>
      <c r="AB465" s="227"/>
      <c r="AC465" s="227"/>
      <c r="AD465" s="227"/>
      <c r="AE465" s="227"/>
      <c r="AF465" s="227"/>
      <c r="AG465" s="227"/>
      <c r="AH465" s="227"/>
      <c r="AI465" s="227"/>
      <c r="AJ465" s="227"/>
      <c r="AK465" s="227"/>
      <c r="AL465" s="227"/>
      <c r="AM465" s="227"/>
      <c r="AN465" s="227"/>
      <c r="AO465" s="227"/>
      <c r="AP465" s="227"/>
      <c r="AQ465" s="227"/>
      <c r="AR465" s="227"/>
      <c r="AS465" s="227"/>
      <c r="AT465" s="227"/>
      <c r="AU465" s="227"/>
      <c r="AV465" s="227"/>
      <c r="AW465" s="227"/>
      <c r="AX465" s="227"/>
      <c r="AY465" s="227"/>
      <c r="AZ465" s="227"/>
      <c r="BA465" s="227"/>
      <c r="BB465" s="227"/>
      <c r="BC465" s="227"/>
      <c r="BD465" s="227"/>
      <c r="BE465" s="227"/>
      <c r="BF465" s="227"/>
      <c r="BG465" s="227"/>
      <c r="BH465" s="227"/>
      <c r="BI465" s="227"/>
      <c r="BJ465" s="227"/>
      <c r="BK465" s="227"/>
      <c r="BL465" s="227"/>
      <c r="BM465" s="227"/>
      <c r="BN465" s="227"/>
      <c r="BO465" s="227"/>
      <c r="BP465" s="227"/>
      <c r="BQ465" s="227"/>
      <c r="BR465" s="227"/>
      <c r="BS465" s="227"/>
      <c r="BT465" s="227"/>
      <c r="BU465" s="227"/>
      <c r="BV465" s="227"/>
      <c r="BW465" s="227"/>
      <c r="BX465" s="227"/>
      <c r="BY465" s="227"/>
      <c r="BZ465" s="227"/>
      <c r="CA465" s="227"/>
      <c r="CB465" s="227"/>
      <c r="CC465" s="227"/>
      <c r="CD465" s="227"/>
      <c r="CE465" s="227"/>
      <c r="CF465" s="227"/>
      <c r="CG465" s="227"/>
      <c r="CH465" s="227"/>
      <c r="CI465" s="227"/>
      <c r="CJ465" s="227"/>
      <c r="CK465" s="227"/>
      <c r="CL465" s="227"/>
      <c r="CM465" s="227"/>
      <c r="CN465" s="227"/>
      <c r="CO465" s="227"/>
      <c r="CP465" s="227"/>
      <c r="CQ465" s="227"/>
      <c r="CR465" s="227"/>
      <c r="CS465" s="227"/>
      <c r="CT465" s="227"/>
      <c r="CU465" s="225"/>
      <c r="CV465" s="227"/>
    </row>
    <row r="466" spans="1:100" ht="20.100000000000001" customHeight="1">
      <c r="A466" s="227"/>
      <c r="B466" s="225"/>
      <c r="C466" s="227"/>
      <c r="D466" s="224"/>
      <c r="E466" s="227"/>
      <c r="F466" s="227"/>
      <c r="G466" s="227"/>
      <c r="H466" s="227"/>
      <c r="I466" s="227"/>
      <c r="J466" s="227"/>
      <c r="K466" s="227"/>
      <c r="L466" s="227"/>
      <c r="M466" s="227"/>
      <c r="N466" s="227"/>
      <c r="O466" s="227"/>
      <c r="P466" s="227"/>
      <c r="Q466" s="227"/>
      <c r="R466" s="227"/>
      <c r="S466" s="227"/>
      <c r="T466" s="227"/>
      <c r="U466" s="227"/>
      <c r="V466" s="227"/>
      <c r="W466" s="227"/>
      <c r="X466" s="227"/>
      <c r="Y466" s="227"/>
      <c r="Z466" s="227"/>
      <c r="AA466" s="227"/>
      <c r="AB466" s="227"/>
      <c r="AC466" s="227"/>
      <c r="AD466" s="227"/>
      <c r="AE466" s="227"/>
      <c r="AF466" s="227"/>
      <c r="AG466" s="227"/>
      <c r="AH466" s="227"/>
      <c r="AI466" s="227"/>
      <c r="AJ466" s="227"/>
      <c r="AK466" s="227"/>
      <c r="AL466" s="227"/>
      <c r="AM466" s="227"/>
      <c r="AN466" s="227"/>
      <c r="AO466" s="227"/>
      <c r="AP466" s="227"/>
      <c r="AQ466" s="227"/>
      <c r="AR466" s="227"/>
      <c r="AS466" s="227"/>
      <c r="AT466" s="227"/>
      <c r="AU466" s="227"/>
      <c r="AV466" s="227"/>
      <c r="AW466" s="227"/>
      <c r="AX466" s="227"/>
      <c r="AY466" s="227"/>
      <c r="AZ466" s="227"/>
      <c r="BA466" s="227"/>
      <c r="BB466" s="227"/>
      <c r="BC466" s="227"/>
      <c r="BD466" s="227"/>
      <c r="BE466" s="227"/>
      <c r="BF466" s="227"/>
      <c r="BG466" s="227"/>
      <c r="BH466" s="227"/>
      <c r="BI466" s="227"/>
      <c r="BJ466" s="227"/>
      <c r="BK466" s="227"/>
      <c r="BL466" s="227"/>
      <c r="BM466" s="227"/>
      <c r="BN466" s="227"/>
      <c r="BO466" s="227"/>
      <c r="BP466" s="227"/>
      <c r="BQ466" s="227"/>
      <c r="BR466" s="227"/>
      <c r="BS466" s="227"/>
      <c r="BT466" s="227"/>
      <c r="BU466" s="227"/>
      <c r="BV466" s="227"/>
      <c r="BW466" s="227"/>
      <c r="BX466" s="227"/>
      <c r="BY466" s="227"/>
      <c r="BZ466" s="227"/>
      <c r="CA466" s="227"/>
      <c r="CB466" s="227"/>
      <c r="CC466" s="227"/>
      <c r="CD466" s="227"/>
      <c r="CE466" s="227"/>
      <c r="CF466" s="227"/>
      <c r="CG466" s="227"/>
      <c r="CH466" s="227"/>
      <c r="CI466" s="227"/>
      <c r="CJ466" s="227"/>
      <c r="CK466" s="227"/>
      <c r="CL466" s="227"/>
      <c r="CM466" s="227"/>
      <c r="CN466" s="227"/>
      <c r="CO466" s="227"/>
      <c r="CP466" s="227"/>
      <c r="CQ466" s="227"/>
      <c r="CR466" s="227"/>
      <c r="CS466" s="227"/>
      <c r="CT466" s="227"/>
      <c r="CU466" s="225"/>
      <c r="CV466" s="227"/>
    </row>
    <row r="467" spans="1:100" ht="20.100000000000001" customHeight="1">
      <c r="A467" s="227">
        <v>230</v>
      </c>
      <c r="B467" s="225"/>
      <c r="C467" s="227"/>
      <c r="D467" s="228">
        <f>(SUMPRODUCT(E467:CU467*$E$6:$CU$6)/100)+(SUMPRODUCT(E467:CU467*$E$6:$CU$6*$E$3:$CU$3)/100)</f>
        <v>0</v>
      </c>
      <c r="E467" s="227"/>
      <c r="F467" s="227"/>
      <c r="G467" s="227"/>
      <c r="H467" s="227"/>
      <c r="I467" s="227"/>
      <c r="J467" s="227"/>
      <c r="K467" s="227"/>
      <c r="L467" s="227"/>
      <c r="M467" s="227"/>
      <c r="N467" s="227"/>
      <c r="O467" s="227"/>
      <c r="P467" s="227"/>
      <c r="Q467" s="227"/>
      <c r="R467" s="227"/>
      <c r="S467" s="227"/>
      <c r="T467" s="227"/>
      <c r="U467" s="227"/>
      <c r="V467" s="227"/>
      <c r="W467" s="227"/>
      <c r="X467" s="227"/>
      <c r="Y467" s="227"/>
      <c r="Z467" s="227"/>
      <c r="AA467" s="227"/>
      <c r="AB467" s="227"/>
      <c r="AC467" s="227"/>
      <c r="AD467" s="227"/>
      <c r="AE467" s="227"/>
      <c r="AF467" s="227"/>
      <c r="AG467" s="227"/>
      <c r="AH467" s="227"/>
      <c r="AI467" s="227"/>
      <c r="AJ467" s="227"/>
      <c r="AK467" s="227"/>
      <c r="AL467" s="227"/>
      <c r="AM467" s="227"/>
      <c r="AN467" s="227"/>
      <c r="AO467" s="227"/>
      <c r="AP467" s="227"/>
      <c r="AQ467" s="227"/>
      <c r="AR467" s="227"/>
      <c r="AS467" s="227"/>
      <c r="AT467" s="227"/>
      <c r="AU467" s="227"/>
      <c r="AV467" s="227"/>
      <c r="AW467" s="227"/>
      <c r="AX467" s="227"/>
      <c r="AY467" s="227"/>
      <c r="AZ467" s="227"/>
      <c r="BA467" s="227"/>
      <c r="BB467" s="227"/>
      <c r="BC467" s="227"/>
      <c r="BD467" s="227"/>
      <c r="BE467" s="227"/>
      <c r="BF467" s="227"/>
      <c r="BG467" s="227"/>
      <c r="BH467" s="227"/>
      <c r="BI467" s="227"/>
      <c r="BJ467" s="227"/>
      <c r="BK467" s="227"/>
      <c r="BL467" s="227"/>
      <c r="BM467" s="227"/>
      <c r="BN467" s="227"/>
      <c r="BO467" s="227"/>
      <c r="BP467" s="227"/>
      <c r="BQ467" s="227"/>
      <c r="BR467" s="227"/>
      <c r="BS467" s="227"/>
      <c r="BT467" s="227"/>
      <c r="BU467" s="227"/>
      <c r="BV467" s="227"/>
      <c r="BW467" s="227"/>
      <c r="BX467" s="227"/>
      <c r="BY467" s="227"/>
      <c r="BZ467" s="227"/>
      <c r="CA467" s="227"/>
      <c r="CB467" s="227"/>
      <c r="CC467" s="227"/>
      <c r="CD467" s="227"/>
      <c r="CE467" s="227"/>
      <c r="CF467" s="227"/>
      <c r="CG467" s="227"/>
      <c r="CH467" s="227"/>
      <c r="CI467" s="227"/>
      <c r="CJ467" s="227"/>
      <c r="CK467" s="227"/>
      <c r="CL467" s="227"/>
      <c r="CM467" s="227"/>
      <c r="CN467" s="227"/>
      <c r="CO467" s="227"/>
      <c r="CP467" s="227"/>
      <c r="CQ467" s="227"/>
      <c r="CR467" s="227"/>
      <c r="CS467" s="227"/>
      <c r="CT467" s="227"/>
      <c r="CU467" s="225"/>
      <c r="CV467" s="227"/>
    </row>
    <row r="468" spans="1:100" ht="20.100000000000001" customHeight="1">
      <c r="A468" s="223"/>
      <c r="B468" s="225"/>
      <c r="C468" s="227"/>
      <c r="D468" s="224"/>
      <c r="E468" s="227"/>
      <c r="F468" s="227"/>
      <c r="G468" s="227"/>
      <c r="H468" s="227"/>
      <c r="I468" s="227"/>
      <c r="J468" s="227"/>
      <c r="K468" s="227"/>
      <c r="L468" s="227"/>
      <c r="M468" s="227"/>
      <c r="N468" s="227"/>
      <c r="O468" s="227"/>
      <c r="P468" s="227"/>
      <c r="Q468" s="227"/>
      <c r="R468" s="227"/>
      <c r="S468" s="227"/>
      <c r="T468" s="227"/>
      <c r="U468" s="227"/>
      <c r="V468" s="227"/>
      <c r="W468" s="227"/>
      <c r="X468" s="227"/>
      <c r="Y468" s="227"/>
      <c r="Z468" s="227"/>
      <c r="AA468" s="227"/>
      <c r="AB468" s="227"/>
      <c r="AC468" s="227"/>
      <c r="AD468" s="227"/>
      <c r="AE468" s="227"/>
      <c r="AF468" s="227"/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27"/>
      <c r="BC468" s="227"/>
      <c r="BD468" s="227"/>
      <c r="BE468" s="227"/>
      <c r="BF468" s="227"/>
      <c r="BG468" s="227"/>
      <c r="BH468" s="227"/>
      <c r="BI468" s="227"/>
      <c r="BJ468" s="227"/>
      <c r="BK468" s="227"/>
      <c r="BL468" s="227"/>
      <c r="BM468" s="227"/>
      <c r="BN468" s="227"/>
      <c r="BO468" s="227"/>
      <c r="BP468" s="227"/>
      <c r="BQ468" s="227"/>
      <c r="BR468" s="227"/>
      <c r="BS468" s="227"/>
      <c r="BT468" s="227"/>
      <c r="BU468" s="227"/>
      <c r="BV468" s="227"/>
      <c r="BW468" s="227"/>
      <c r="BX468" s="227"/>
      <c r="BY468" s="227"/>
      <c r="BZ468" s="227"/>
      <c r="CA468" s="227"/>
      <c r="CB468" s="227"/>
      <c r="CC468" s="227"/>
      <c r="CD468" s="227"/>
      <c r="CE468" s="227"/>
      <c r="CF468" s="227"/>
      <c r="CG468" s="227"/>
      <c r="CH468" s="227"/>
      <c r="CI468" s="227"/>
      <c r="CJ468" s="227"/>
      <c r="CK468" s="227"/>
      <c r="CL468" s="227"/>
      <c r="CM468" s="227"/>
      <c r="CN468" s="227"/>
      <c r="CO468" s="227"/>
      <c r="CP468" s="227"/>
      <c r="CQ468" s="227"/>
      <c r="CR468" s="227"/>
      <c r="CS468" s="227"/>
      <c r="CT468" s="227"/>
      <c r="CU468" s="225"/>
      <c r="CV468" s="227"/>
    </row>
    <row r="469" spans="1:100" ht="20.100000000000001" customHeight="1">
      <c r="A469" s="227">
        <v>231</v>
      </c>
      <c r="B469" s="225"/>
      <c r="C469" s="227"/>
      <c r="D469" s="228">
        <f>(SUMPRODUCT(E469:CU469*$E$6:$CU$6)/100)+(SUMPRODUCT(E469:CU469*$E$6:$CU$6*$E$3:$CU$3)/100)</f>
        <v>0</v>
      </c>
      <c r="E469" s="227"/>
      <c r="F469" s="227"/>
      <c r="G469" s="227"/>
      <c r="H469" s="227"/>
      <c r="I469" s="227"/>
      <c r="J469" s="227"/>
      <c r="K469" s="227"/>
      <c r="L469" s="227"/>
      <c r="M469" s="227"/>
      <c r="N469" s="227"/>
      <c r="O469" s="227"/>
      <c r="P469" s="227"/>
      <c r="Q469" s="227"/>
      <c r="R469" s="227"/>
      <c r="S469" s="227"/>
      <c r="T469" s="227"/>
      <c r="U469" s="227"/>
      <c r="V469" s="227"/>
      <c r="W469" s="227"/>
      <c r="X469" s="227"/>
      <c r="Y469" s="227"/>
      <c r="Z469" s="227"/>
      <c r="AA469" s="227"/>
      <c r="AB469" s="227"/>
      <c r="AC469" s="227"/>
      <c r="AD469" s="227"/>
      <c r="AE469" s="227"/>
      <c r="AF469" s="227"/>
      <c r="AG469" s="227"/>
      <c r="AH469" s="227"/>
      <c r="AI469" s="227"/>
      <c r="AJ469" s="227"/>
      <c r="AK469" s="227"/>
      <c r="AL469" s="227"/>
      <c r="AM469" s="227"/>
      <c r="AN469" s="227"/>
      <c r="AO469" s="227"/>
      <c r="AP469" s="227"/>
      <c r="AQ469" s="227"/>
      <c r="AR469" s="227"/>
      <c r="AS469" s="227"/>
      <c r="AT469" s="227"/>
      <c r="AU469" s="227"/>
      <c r="AV469" s="227"/>
      <c r="AW469" s="227"/>
      <c r="AX469" s="227"/>
      <c r="AY469" s="227"/>
      <c r="AZ469" s="227"/>
      <c r="BA469" s="227"/>
      <c r="BB469" s="227"/>
      <c r="BC469" s="227"/>
      <c r="BD469" s="227"/>
      <c r="BE469" s="227"/>
      <c r="BF469" s="227"/>
      <c r="BG469" s="227"/>
      <c r="BH469" s="227"/>
      <c r="BI469" s="227"/>
      <c r="BJ469" s="227"/>
      <c r="BK469" s="227"/>
      <c r="BL469" s="227"/>
      <c r="BM469" s="227"/>
      <c r="BN469" s="227"/>
      <c r="BO469" s="227"/>
      <c r="BP469" s="227"/>
      <c r="BQ469" s="227"/>
      <c r="BR469" s="227"/>
      <c r="BS469" s="227"/>
      <c r="BT469" s="227"/>
      <c r="BU469" s="227"/>
      <c r="BV469" s="227"/>
      <c r="BW469" s="227"/>
      <c r="BX469" s="227"/>
      <c r="BY469" s="227"/>
      <c r="BZ469" s="227"/>
      <c r="CA469" s="227"/>
      <c r="CB469" s="227"/>
      <c r="CC469" s="227"/>
      <c r="CD469" s="227"/>
      <c r="CE469" s="227"/>
      <c r="CF469" s="227"/>
      <c r="CG469" s="227"/>
      <c r="CH469" s="227"/>
      <c r="CI469" s="227"/>
      <c r="CJ469" s="227"/>
      <c r="CK469" s="227"/>
      <c r="CL469" s="227"/>
      <c r="CM469" s="227"/>
      <c r="CN469" s="227"/>
      <c r="CO469" s="227"/>
      <c r="CP469" s="227"/>
      <c r="CQ469" s="227"/>
      <c r="CR469" s="227"/>
      <c r="CS469" s="227"/>
      <c r="CT469" s="227"/>
      <c r="CU469" s="225"/>
      <c r="CV469" s="227"/>
    </row>
    <row r="470" spans="1:100" ht="20.100000000000001" customHeight="1">
      <c r="A470" s="227"/>
      <c r="B470" s="225"/>
      <c r="C470" s="227"/>
      <c r="D470" s="224"/>
      <c r="E470" s="227"/>
      <c r="F470" s="227"/>
      <c r="G470" s="227"/>
      <c r="H470" s="227"/>
      <c r="I470" s="227"/>
      <c r="J470" s="227"/>
      <c r="K470" s="227"/>
      <c r="L470" s="227"/>
      <c r="M470" s="227"/>
      <c r="N470" s="227"/>
      <c r="O470" s="227"/>
      <c r="P470" s="227"/>
      <c r="Q470" s="227"/>
      <c r="R470" s="227"/>
      <c r="S470" s="227"/>
      <c r="T470" s="227"/>
      <c r="U470" s="227"/>
      <c r="V470" s="227"/>
      <c r="W470" s="227"/>
      <c r="X470" s="227"/>
      <c r="Y470" s="227"/>
      <c r="Z470" s="227"/>
      <c r="AA470" s="227"/>
      <c r="AB470" s="227"/>
      <c r="AC470" s="227"/>
      <c r="AD470" s="227"/>
      <c r="AE470" s="227"/>
      <c r="AF470" s="227"/>
      <c r="AG470" s="227"/>
      <c r="AH470" s="227"/>
      <c r="AI470" s="227"/>
      <c r="AJ470" s="227"/>
      <c r="AK470" s="227"/>
      <c r="AL470" s="227"/>
      <c r="AM470" s="227"/>
      <c r="AN470" s="227"/>
      <c r="AO470" s="227"/>
      <c r="AP470" s="227"/>
      <c r="AQ470" s="227"/>
      <c r="AR470" s="227"/>
      <c r="AS470" s="227"/>
      <c r="AT470" s="227"/>
      <c r="AU470" s="227"/>
      <c r="AV470" s="227"/>
      <c r="AW470" s="227"/>
      <c r="AX470" s="227"/>
      <c r="AY470" s="227"/>
      <c r="AZ470" s="227"/>
      <c r="BA470" s="227"/>
      <c r="BB470" s="227"/>
      <c r="BC470" s="227"/>
      <c r="BD470" s="227"/>
      <c r="BE470" s="227"/>
      <c r="BF470" s="227"/>
      <c r="BG470" s="227"/>
      <c r="BH470" s="227"/>
      <c r="BI470" s="227"/>
      <c r="BJ470" s="227"/>
      <c r="BK470" s="227"/>
      <c r="BL470" s="227"/>
      <c r="BM470" s="227"/>
      <c r="BN470" s="227"/>
      <c r="BO470" s="227"/>
      <c r="BP470" s="227"/>
      <c r="BQ470" s="227"/>
      <c r="BR470" s="227"/>
      <c r="BS470" s="227"/>
      <c r="BT470" s="227"/>
      <c r="BU470" s="227"/>
      <c r="BV470" s="227"/>
      <c r="BW470" s="227"/>
      <c r="BX470" s="227"/>
      <c r="BY470" s="227"/>
      <c r="BZ470" s="227"/>
      <c r="CA470" s="227"/>
      <c r="CB470" s="227"/>
      <c r="CC470" s="227"/>
      <c r="CD470" s="227"/>
      <c r="CE470" s="227"/>
      <c r="CF470" s="227"/>
      <c r="CG470" s="227"/>
      <c r="CH470" s="227"/>
      <c r="CI470" s="227"/>
      <c r="CJ470" s="227"/>
      <c r="CK470" s="227"/>
      <c r="CL470" s="227"/>
      <c r="CM470" s="227"/>
      <c r="CN470" s="227"/>
      <c r="CO470" s="227"/>
      <c r="CP470" s="227"/>
      <c r="CQ470" s="227"/>
      <c r="CR470" s="227"/>
      <c r="CS470" s="227"/>
      <c r="CT470" s="227"/>
      <c r="CU470" s="225"/>
      <c r="CV470" s="227"/>
    </row>
    <row r="471" spans="1:100" ht="20.100000000000001" customHeight="1">
      <c r="A471" s="227">
        <v>232</v>
      </c>
      <c r="B471" s="225"/>
      <c r="C471" s="227"/>
      <c r="D471" s="228">
        <f>(SUMPRODUCT(E471:CU471*$E$6:$CU$6)/100)+(SUMPRODUCT(E471:CU471*$E$6:$CU$6*$E$3:$CU$3)/100)</f>
        <v>0</v>
      </c>
      <c r="E471" s="227"/>
      <c r="F471" s="227"/>
      <c r="G471" s="227"/>
      <c r="H471" s="227"/>
      <c r="I471" s="227"/>
      <c r="J471" s="227"/>
      <c r="K471" s="227"/>
      <c r="L471" s="227"/>
      <c r="M471" s="227"/>
      <c r="N471" s="227"/>
      <c r="O471" s="227"/>
      <c r="P471" s="227"/>
      <c r="Q471" s="227"/>
      <c r="R471" s="227"/>
      <c r="S471" s="227"/>
      <c r="T471" s="227"/>
      <c r="U471" s="227"/>
      <c r="V471" s="227"/>
      <c r="W471" s="227"/>
      <c r="X471" s="227"/>
      <c r="Y471" s="227"/>
      <c r="Z471" s="227"/>
      <c r="AA471" s="227"/>
      <c r="AB471" s="227"/>
      <c r="AC471" s="227"/>
      <c r="AD471" s="227"/>
      <c r="AE471" s="227"/>
      <c r="AF471" s="227"/>
      <c r="AG471" s="227"/>
      <c r="AH471" s="227"/>
      <c r="AI471" s="227"/>
      <c r="AJ471" s="227"/>
      <c r="AK471" s="227"/>
      <c r="AL471" s="227"/>
      <c r="AM471" s="227"/>
      <c r="AN471" s="227"/>
      <c r="AO471" s="227"/>
      <c r="AP471" s="227"/>
      <c r="AQ471" s="227"/>
      <c r="AR471" s="227"/>
      <c r="AS471" s="227"/>
      <c r="AT471" s="227"/>
      <c r="AU471" s="227"/>
      <c r="AV471" s="227"/>
      <c r="AW471" s="227"/>
      <c r="AX471" s="227"/>
      <c r="AY471" s="227"/>
      <c r="AZ471" s="227"/>
      <c r="BA471" s="227"/>
      <c r="BB471" s="227"/>
      <c r="BC471" s="227"/>
      <c r="BD471" s="227"/>
      <c r="BE471" s="227"/>
      <c r="BF471" s="227"/>
      <c r="BG471" s="227"/>
      <c r="BH471" s="227"/>
      <c r="BI471" s="227"/>
      <c r="BJ471" s="227"/>
      <c r="BK471" s="227"/>
      <c r="BL471" s="227"/>
      <c r="BM471" s="227"/>
      <c r="BN471" s="227"/>
      <c r="BO471" s="227"/>
      <c r="BP471" s="227"/>
      <c r="BQ471" s="227"/>
      <c r="BR471" s="227"/>
      <c r="BS471" s="227"/>
      <c r="BT471" s="227"/>
      <c r="BU471" s="227"/>
      <c r="BV471" s="227"/>
      <c r="BW471" s="227"/>
      <c r="BX471" s="227"/>
      <c r="BY471" s="227"/>
      <c r="BZ471" s="227"/>
      <c r="CA471" s="227"/>
      <c r="CB471" s="227"/>
      <c r="CC471" s="227"/>
      <c r="CD471" s="227"/>
      <c r="CE471" s="227"/>
      <c r="CF471" s="227"/>
      <c r="CG471" s="227"/>
      <c r="CH471" s="227"/>
      <c r="CI471" s="227"/>
      <c r="CJ471" s="227"/>
      <c r="CK471" s="227"/>
      <c r="CL471" s="227"/>
      <c r="CM471" s="227"/>
      <c r="CN471" s="227"/>
      <c r="CO471" s="227"/>
      <c r="CP471" s="227"/>
      <c r="CQ471" s="227"/>
      <c r="CR471" s="227"/>
      <c r="CS471" s="227"/>
      <c r="CT471" s="227"/>
      <c r="CU471" s="225"/>
      <c r="CV471" s="227"/>
    </row>
    <row r="472" spans="1:100" ht="20.100000000000001" customHeight="1">
      <c r="A472" s="223"/>
      <c r="B472" s="225"/>
      <c r="C472" s="227"/>
      <c r="D472" s="224"/>
      <c r="E472" s="227"/>
      <c r="F472" s="227"/>
      <c r="G472" s="227"/>
      <c r="H472" s="227"/>
      <c r="I472" s="227"/>
      <c r="J472" s="227"/>
      <c r="K472" s="227"/>
      <c r="L472" s="227"/>
      <c r="M472" s="227"/>
      <c r="N472" s="227"/>
      <c r="O472" s="227"/>
      <c r="P472" s="227"/>
      <c r="Q472" s="227"/>
      <c r="R472" s="227"/>
      <c r="S472" s="227"/>
      <c r="T472" s="227"/>
      <c r="U472" s="227"/>
      <c r="V472" s="227"/>
      <c r="W472" s="227"/>
      <c r="X472" s="227"/>
      <c r="Y472" s="227"/>
      <c r="Z472" s="227"/>
      <c r="AA472" s="227"/>
      <c r="AB472" s="227"/>
      <c r="AC472" s="227"/>
      <c r="AD472" s="227"/>
      <c r="AE472" s="227"/>
      <c r="AF472" s="227"/>
      <c r="AG472" s="227"/>
      <c r="AH472" s="227"/>
      <c r="AI472" s="227"/>
      <c r="AJ472" s="227"/>
      <c r="AK472" s="227"/>
      <c r="AL472" s="227"/>
      <c r="AM472" s="227"/>
      <c r="AN472" s="227"/>
      <c r="AO472" s="227"/>
      <c r="AP472" s="227"/>
      <c r="AQ472" s="227"/>
      <c r="AR472" s="227"/>
      <c r="AS472" s="227"/>
      <c r="AT472" s="227"/>
      <c r="AU472" s="227"/>
      <c r="AV472" s="227"/>
      <c r="AW472" s="227"/>
      <c r="AX472" s="227"/>
      <c r="AY472" s="227"/>
      <c r="AZ472" s="227"/>
      <c r="BA472" s="227"/>
      <c r="BB472" s="227"/>
      <c r="BC472" s="227"/>
      <c r="BD472" s="227"/>
      <c r="BE472" s="227"/>
      <c r="BF472" s="227"/>
      <c r="BG472" s="227"/>
      <c r="BH472" s="227"/>
      <c r="BI472" s="227"/>
      <c r="BJ472" s="227"/>
      <c r="BK472" s="227"/>
      <c r="BL472" s="227"/>
      <c r="BM472" s="227"/>
      <c r="BN472" s="227"/>
      <c r="BO472" s="227"/>
      <c r="BP472" s="227"/>
      <c r="BQ472" s="227"/>
      <c r="BR472" s="227"/>
      <c r="BS472" s="227"/>
      <c r="BT472" s="227"/>
      <c r="BU472" s="227"/>
      <c r="BV472" s="227"/>
      <c r="BW472" s="227"/>
      <c r="BX472" s="227"/>
      <c r="BY472" s="227"/>
      <c r="BZ472" s="227"/>
      <c r="CA472" s="227"/>
      <c r="CB472" s="227"/>
      <c r="CC472" s="227"/>
      <c r="CD472" s="227"/>
      <c r="CE472" s="227"/>
      <c r="CF472" s="227"/>
      <c r="CG472" s="227"/>
      <c r="CH472" s="227"/>
      <c r="CI472" s="227"/>
      <c r="CJ472" s="227"/>
      <c r="CK472" s="227"/>
      <c r="CL472" s="227"/>
      <c r="CM472" s="227"/>
      <c r="CN472" s="227"/>
      <c r="CO472" s="227"/>
      <c r="CP472" s="227"/>
      <c r="CQ472" s="227"/>
      <c r="CR472" s="227"/>
      <c r="CS472" s="227"/>
      <c r="CT472" s="227"/>
      <c r="CU472" s="225"/>
      <c r="CV472" s="227"/>
    </row>
    <row r="473" spans="1:100" ht="20.100000000000001" customHeight="1">
      <c r="A473" s="227">
        <v>233</v>
      </c>
      <c r="B473" s="225"/>
      <c r="C473" s="227"/>
      <c r="D473" s="228">
        <f>(SUMPRODUCT(E473:CU473*$E$6:$CU$6)/100)+(SUMPRODUCT(E473:CU473*$E$6:$CU$6*$E$3:$CU$3)/100)</f>
        <v>0</v>
      </c>
      <c r="E473" s="227"/>
      <c r="F473" s="227"/>
      <c r="G473" s="227"/>
      <c r="H473" s="227"/>
      <c r="I473" s="227"/>
      <c r="J473" s="227"/>
      <c r="K473" s="227"/>
      <c r="L473" s="227"/>
      <c r="M473" s="227"/>
      <c r="N473" s="227"/>
      <c r="O473" s="227"/>
      <c r="P473" s="227"/>
      <c r="Q473" s="227"/>
      <c r="R473" s="227"/>
      <c r="S473" s="227"/>
      <c r="T473" s="227"/>
      <c r="U473" s="227"/>
      <c r="V473" s="227"/>
      <c r="W473" s="227"/>
      <c r="X473" s="227"/>
      <c r="Y473" s="227"/>
      <c r="Z473" s="227"/>
      <c r="AA473" s="227"/>
      <c r="AB473" s="227"/>
      <c r="AC473" s="227"/>
      <c r="AD473" s="227"/>
      <c r="AE473" s="227"/>
      <c r="AF473" s="227"/>
      <c r="AG473" s="227"/>
      <c r="AH473" s="227"/>
      <c r="AI473" s="227"/>
      <c r="AJ473" s="227"/>
      <c r="AK473" s="227"/>
      <c r="AL473" s="227"/>
      <c r="AM473" s="227"/>
      <c r="AN473" s="227"/>
      <c r="AO473" s="227"/>
      <c r="AP473" s="227"/>
      <c r="AQ473" s="227"/>
      <c r="AR473" s="227"/>
      <c r="AS473" s="227"/>
      <c r="AT473" s="227"/>
      <c r="AU473" s="227"/>
      <c r="AV473" s="227"/>
      <c r="AW473" s="227"/>
      <c r="AX473" s="227"/>
      <c r="AY473" s="227"/>
      <c r="AZ473" s="227"/>
      <c r="BA473" s="227"/>
      <c r="BB473" s="227"/>
      <c r="BC473" s="227"/>
      <c r="BD473" s="227"/>
      <c r="BE473" s="227"/>
      <c r="BF473" s="227"/>
      <c r="BG473" s="227"/>
      <c r="BH473" s="227"/>
      <c r="BI473" s="227"/>
      <c r="BJ473" s="227"/>
      <c r="BK473" s="227"/>
      <c r="BL473" s="227"/>
      <c r="BM473" s="227"/>
      <c r="BN473" s="227"/>
      <c r="BO473" s="227"/>
      <c r="BP473" s="227"/>
      <c r="BQ473" s="227"/>
      <c r="BR473" s="227"/>
      <c r="BS473" s="227"/>
      <c r="BT473" s="227"/>
      <c r="BU473" s="227"/>
      <c r="BV473" s="227"/>
      <c r="BW473" s="227"/>
      <c r="BX473" s="227"/>
      <c r="BY473" s="227"/>
      <c r="BZ473" s="227"/>
      <c r="CA473" s="227"/>
      <c r="CB473" s="227"/>
      <c r="CC473" s="227"/>
      <c r="CD473" s="227"/>
      <c r="CE473" s="227"/>
      <c r="CF473" s="227"/>
      <c r="CG473" s="227"/>
      <c r="CH473" s="227"/>
      <c r="CI473" s="227"/>
      <c r="CJ473" s="227"/>
      <c r="CK473" s="227"/>
      <c r="CL473" s="227"/>
      <c r="CM473" s="227"/>
      <c r="CN473" s="227"/>
      <c r="CO473" s="227"/>
      <c r="CP473" s="227"/>
      <c r="CQ473" s="227"/>
      <c r="CR473" s="227"/>
      <c r="CS473" s="227"/>
      <c r="CT473" s="227"/>
      <c r="CU473" s="225"/>
      <c r="CV473" s="227"/>
    </row>
    <row r="474" spans="1:100" ht="20.100000000000001" customHeight="1">
      <c r="A474" s="227"/>
      <c r="B474" s="225"/>
      <c r="C474" s="227"/>
      <c r="D474" s="224"/>
      <c r="E474" s="227"/>
      <c r="F474" s="227"/>
      <c r="G474" s="227"/>
      <c r="H474" s="227"/>
      <c r="I474" s="227"/>
      <c r="J474" s="227"/>
      <c r="K474" s="227"/>
      <c r="L474" s="227"/>
      <c r="M474" s="227"/>
      <c r="N474" s="227"/>
      <c r="O474" s="227"/>
      <c r="P474" s="227"/>
      <c r="Q474" s="227"/>
      <c r="R474" s="227"/>
      <c r="S474" s="227"/>
      <c r="T474" s="227"/>
      <c r="U474" s="227"/>
      <c r="V474" s="227"/>
      <c r="W474" s="227"/>
      <c r="X474" s="227"/>
      <c r="Y474" s="227"/>
      <c r="Z474" s="227"/>
      <c r="AA474" s="227"/>
      <c r="AB474" s="227"/>
      <c r="AC474" s="227"/>
      <c r="AD474" s="227"/>
      <c r="AE474" s="227"/>
      <c r="AF474" s="227"/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27"/>
      <c r="BC474" s="227"/>
      <c r="BD474" s="227"/>
      <c r="BE474" s="227"/>
      <c r="BF474" s="227"/>
      <c r="BG474" s="227"/>
      <c r="BH474" s="227"/>
      <c r="BI474" s="227"/>
      <c r="BJ474" s="227"/>
      <c r="BK474" s="227"/>
      <c r="BL474" s="227"/>
      <c r="BM474" s="227"/>
      <c r="BN474" s="227"/>
      <c r="BO474" s="227"/>
      <c r="BP474" s="227"/>
      <c r="BQ474" s="227"/>
      <c r="BR474" s="227"/>
      <c r="BS474" s="227"/>
      <c r="BT474" s="227"/>
      <c r="BU474" s="227"/>
      <c r="BV474" s="227"/>
      <c r="BW474" s="227"/>
      <c r="BX474" s="227"/>
      <c r="BY474" s="227"/>
      <c r="BZ474" s="227"/>
      <c r="CA474" s="227"/>
      <c r="CB474" s="227"/>
      <c r="CC474" s="227"/>
      <c r="CD474" s="227"/>
      <c r="CE474" s="227"/>
      <c r="CF474" s="227"/>
      <c r="CG474" s="227"/>
      <c r="CH474" s="227"/>
      <c r="CI474" s="227"/>
      <c r="CJ474" s="227"/>
      <c r="CK474" s="227"/>
      <c r="CL474" s="227"/>
      <c r="CM474" s="227"/>
      <c r="CN474" s="227"/>
      <c r="CO474" s="227"/>
      <c r="CP474" s="227"/>
      <c r="CQ474" s="227"/>
      <c r="CR474" s="227"/>
      <c r="CS474" s="227"/>
      <c r="CT474" s="227"/>
      <c r="CU474" s="225"/>
      <c r="CV474" s="227"/>
    </row>
    <row r="475" spans="1:100" ht="20.100000000000001" customHeight="1">
      <c r="A475" s="227">
        <v>234</v>
      </c>
      <c r="B475" s="225"/>
      <c r="C475" s="227"/>
      <c r="D475" s="228">
        <f>(SUMPRODUCT(E475:CU475*$E$6:$CU$6)/100)+(SUMPRODUCT(E475:CU475*$E$6:$CU$6*$E$3:$CU$3)/100)</f>
        <v>0</v>
      </c>
      <c r="E475" s="227"/>
      <c r="F475" s="227"/>
      <c r="G475" s="227"/>
      <c r="H475" s="227"/>
      <c r="I475" s="227"/>
      <c r="J475" s="227"/>
      <c r="K475" s="227"/>
      <c r="L475" s="227"/>
      <c r="M475" s="227"/>
      <c r="N475" s="227"/>
      <c r="O475" s="227"/>
      <c r="P475" s="227"/>
      <c r="Q475" s="227"/>
      <c r="R475" s="227"/>
      <c r="S475" s="227"/>
      <c r="T475" s="227"/>
      <c r="U475" s="227"/>
      <c r="V475" s="227"/>
      <c r="W475" s="227"/>
      <c r="X475" s="227"/>
      <c r="Y475" s="227"/>
      <c r="Z475" s="227"/>
      <c r="AA475" s="227"/>
      <c r="AB475" s="227"/>
      <c r="AC475" s="227"/>
      <c r="AD475" s="227"/>
      <c r="AE475" s="227"/>
      <c r="AF475" s="227"/>
      <c r="AG475" s="227"/>
      <c r="AH475" s="227"/>
      <c r="AI475" s="227"/>
      <c r="AJ475" s="227"/>
      <c r="AK475" s="227"/>
      <c r="AL475" s="227"/>
      <c r="AM475" s="227"/>
      <c r="AN475" s="227"/>
      <c r="AO475" s="227"/>
      <c r="AP475" s="227"/>
      <c r="AQ475" s="227"/>
      <c r="AR475" s="227"/>
      <c r="AS475" s="227"/>
      <c r="AT475" s="227"/>
      <c r="AU475" s="227"/>
      <c r="AV475" s="227"/>
      <c r="AW475" s="227"/>
      <c r="AX475" s="227"/>
      <c r="AY475" s="227"/>
      <c r="AZ475" s="227"/>
      <c r="BA475" s="227"/>
      <c r="BB475" s="227"/>
      <c r="BC475" s="227"/>
      <c r="BD475" s="227"/>
      <c r="BE475" s="227"/>
      <c r="BF475" s="227"/>
      <c r="BG475" s="227"/>
      <c r="BH475" s="227"/>
      <c r="BI475" s="227"/>
      <c r="BJ475" s="227"/>
      <c r="BK475" s="227"/>
      <c r="BL475" s="227"/>
      <c r="BM475" s="227"/>
      <c r="BN475" s="227"/>
      <c r="BO475" s="227"/>
      <c r="BP475" s="227"/>
      <c r="BQ475" s="227"/>
      <c r="BR475" s="227"/>
      <c r="BS475" s="227"/>
      <c r="BT475" s="227"/>
      <c r="BU475" s="227"/>
      <c r="BV475" s="227"/>
      <c r="BW475" s="227"/>
      <c r="BX475" s="227"/>
      <c r="BY475" s="227"/>
      <c r="BZ475" s="227"/>
      <c r="CA475" s="227"/>
      <c r="CB475" s="227"/>
      <c r="CC475" s="227"/>
      <c r="CD475" s="227"/>
      <c r="CE475" s="227"/>
      <c r="CF475" s="227"/>
      <c r="CG475" s="227"/>
      <c r="CH475" s="227"/>
      <c r="CI475" s="227"/>
      <c r="CJ475" s="227"/>
      <c r="CK475" s="227"/>
      <c r="CL475" s="227"/>
      <c r="CM475" s="227"/>
      <c r="CN475" s="227"/>
      <c r="CO475" s="227"/>
      <c r="CP475" s="227"/>
      <c r="CQ475" s="227"/>
      <c r="CR475" s="227"/>
      <c r="CS475" s="227"/>
      <c r="CT475" s="227"/>
      <c r="CU475" s="225"/>
      <c r="CV475" s="227"/>
    </row>
    <row r="476" spans="1:100" ht="20.100000000000001" customHeight="1">
      <c r="A476" s="223"/>
      <c r="B476" s="225"/>
      <c r="C476" s="227"/>
      <c r="D476" s="224"/>
      <c r="E476" s="227"/>
      <c r="F476" s="227"/>
      <c r="G476" s="227"/>
      <c r="H476" s="227"/>
      <c r="I476" s="227"/>
      <c r="J476" s="227"/>
      <c r="K476" s="227"/>
      <c r="L476" s="227"/>
      <c r="M476" s="227"/>
      <c r="N476" s="227"/>
      <c r="O476" s="227"/>
      <c r="P476" s="227"/>
      <c r="Q476" s="227"/>
      <c r="R476" s="227"/>
      <c r="S476" s="227"/>
      <c r="T476" s="227"/>
      <c r="U476" s="227"/>
      <c r="V476" s="227"/>
      <c r="W476" s="227"/>
      <c r="X476" s="227"/>
      <c r="Y476" s="227"/>
      <c r="Z476" s="227"/>
      <c r="AA476" s="227"/>
      <c r="AB476" s="227"/>
      <c r="AC476" s="227"/>
      <c r="AD476" s="227"/>
      <c r="AE476" s="227"/>
      <c r="AF476" s="227"/>
      <c r="AG476" s="227"/>
      <c r="AH476" s="227"/>
      <c r="AI476" s="227"/>
      <c r="AJ476" s="227"/>
      <c r="AK476" s="227"/>
      <c r="AL476" s="227"/>
      <c r="AM476" s="227"/>
      <c r="AN476" s="227"/>
      <c r="AO476" s="227"/>
      <c r="AP476" s="227"/>
      <c r="AQ476" s="227"/>
      <c r="AR476" s="227"/>
      <c r="AS476" s="227"/>
      <c r="AT476" s="227"/>
      <c r="AU476" s="227"/>
      <c r="AV476" s="227"/>
      <c r="AW476" s="227"/>
      <c r="AX476" s="227"/>
      <c r="AY476" s="227"/>
      <c r="AZ476" s="227"/>
      <c r="BA476" s="227"/>
      <c r="BB476" s="227"/>
      <c r="BC476" s="227"/>
      <c r="BD476" s="227"/>
      <c r="BE476" s="227"/>
      <c r="BF476" s="227"/>
      <c r="BG476" s="227"/>
      <c r="BH476" s="227"/>
      <c r="BI476" s="227"/>
      <c r="BJ476" s="227"/>
      <c r="BK476" s="227"/>
      <c r="BL476" s="227"/>
      <c r="BM476" s="227"/>
      <c r="BN476" s="227"/>
      <c r="BO476" s="227"/>
      <c r="BP476" s="227"/>
      <c r="BQ476" s="227"/>
      <c r="BR476" s="227"/>
      <c r="BS476" s="227"/>
      <c r="BT476" s="227"/>
      <c r="BU476" s="227"/>
      <c r="BV476" s="227"/>
      <c r="BW476" s="227"/>
      <c r="BX476" s="227"/>
      <c r="BY476" s="227"/>
      <c r="BZ476" s="227"/>
      <c r="CA476" s="227"/>
      <c r="CB476" s="227"/>
      <c r="CC476" s="227"/>
      <c r="CD476" s="227"/>
      <c r="CE476" s="227"/>
      <c r="CF476" s="227"/>
      <c r="CG476" s="227"/>
      <c r="CH476" s="227"/>
      <c r="CI476" s="227"/>
      <c r="CJ476" s="227"/>
      <c r="CK476" s="227"/>
      <c r="CL476" s="227"/>
      <c r="CM476" s="227"/>
      <c r="CN476" s="227"/>
      <c r="CO476" s="227"/>
      <c r="CP476" s="227"/>
      <c r="CQ476" s="227"/>
      <c r="CR476" s="227"/>
      <c r="CS476" s="227"/>
      <c r="CT476" s="227"/>
      <c r="CU476" s="225"/>
      <c r="CV476" s="227"/>
    </row>
    <row r="477" spans="1:100" ht="20.100000000000001" customHeight="1">
      <c r="A477" s="227">
        <v>235</v>
      </c>
      <c r="B477" s="225"/>
      <c r="C477" s="227"/>
      <c r="D477" s="228">
        <f>(SUMPRODUCT(E477:CU477*$E$6:$CU$6)/100)+(SUMPRODUCT(E477:CU477*$E$6:$CU$6*$E$3:$CU$3)/100)</f>
        <v>0</v>
      </c>
      <c r="E477" s="227"/>
      <c r="F477" s="227"/>
      <c r="G477" s="227"/>
      <c r="H477" s="227"/>
      <c r="I477" s="227"/>
      <c r="J477" s="227"/>
      <c r="K477" s="227"/>
      <c r="L477" s="227"/>
      <c r="M477" s="227"/>
      <c r="N477" s="227"/>
      <c r="O477" s="227"/>
      <c r="P477" s="227"/>
      <c r="Q477" s="227"/>
      <c r="R477" s="227"/>
      <c r="S477" s="227"/>
      <c r="T477" s="227"/>
      <c r="U477" s="227"/>
      <c r="V477" s="227"/>
      <c r="W477" s="227"/>
      <c r="X477" s="227"/>
      <c r="Y477" s="227"/>
      <c r="Z477" s="227"/>
      <c r="AA477" s="227"/>
      <c r="AB477" s="227"/>
      <c r="AC477" s="227"/>
      <c r="AD477" s="227"/>
      <c r="AE477" s="227"/>
      <c r="AF477" s="227"/>
      <c r="AG477" s="227"/>
      <c r="AH477" s="227"/>
      <c r="AI477" s="227"/>
      <c r="AJ477" s="227"/>
      <c r="AK477" s="227"/>
      <c r="AL477" s="227"/>
      <c r="AM477" s="227"/>
      <c r="AN477" s="227"/>
      <c r="AO477" s="227"/>
      <c r="AP477" s="227"/>
      <c r="AQ477" s="227"/>
      <c r="AR477" s="227"/>
      <c r="AS477" s="227"/>
      <c r="AT477" s="227"/>
      <c r="AU477" s="227"/>
      <c r="AV477" s="227"/>
      <c r="AW477" s="227"/>
      <c r="AX477" s="227"/>
      <c r="AY477" s="227"/>
      <c r="AZ477" s="227"/>
      <c r="BA477" s="227"/>
      <c r="BB477" s="227"/>
      <c r="BC477" s="227"/>
      <c r="BD477" s="227"/>
      <c r="BE477" s="227"/>
      <c r="BF477" s="227"/>
      <c r="BG477" s="227"/>
      <c r="BH477" s="227"/>
      <c r="BI477" s="227"/>
      <c r="BJ477" s="227"/>
      <c r="BK477" s="227"/>
      <c r="BL477" s="227"/>
      <c r="BM477" s="227"/>
      <c r="BN477" s="227"/>
      <c r="BO477" s="227"/>
      <c r="BP477" s="227"/>
      <c r="BQ477" s="227"/>
      <c r="BR477" s="227"/>
      <c r="BS477" s="227"/>
      <c r="BT477" s="227"/>
      <c r="BU477" s="227"/>
      <c r="BV477" s="227"/>
      <c r="BW477" s="227"/>
      <c r="BX477" s="227"/>
      <c r="BY477" s="227"/>
      <c r="BZ477" s="227"/>
      <c r="CA477" s="227"/>
      <c r="CB477" s="227"/>
      <c r="CC477" s="227"/>
      <c r="CD477" s="227"/>
      <c r="CE477" s="227"/>
      <c r="CF477" s="227"/>
      <c r="CG477" s="227"/>
      <c r="CH477" s="227"/>
      <c r="CI477" s="227"/>
      <c r="CJ477" s="227"/>
      <c r="CK477" s="227"/>
      <c r="CL477" s="227"/>
      <c r="CM477" s="227"/>
      <c r="CN477" s="227"/>
      <c r="CO477" s="227"/>
      <c r="CP477" s="227"/>
      <c r="CQ477" s="227"/>
      <c r="CR477" s="227"/>
      <c r="CS477" s="227"/>
      <c r="CT477" s="227"/>
      <c r="CU477" s="225"/>
      <c r="CV477" s="227"/>
    </row>
    <row r="478" spans="1:100" ht="20.100000000000001" customHeight="1">
      <c r="A478" s="227"/>
      <c r="B478" s="225"/>
      <c r="C478" s="227"/>
      <c r="D478" s="224"/>
      <c r="E478" s="227"/>
      <c r="F478" s="227"/>
      <c r="G478" s="227"/>
      <c r="H478" s="227"/>
      <c r="I478" s="227"/>
      <c r="J478" s="227"/>
      <c r="K478" s="227"/>
      <c r="L478" s="227"/>
      <c r="M478" s="227"/>
      <c r="N478" s="227"/>
      <c r="O478" s="227"/>
      <c r="P478" s="227"/>
      <c r="Q478" s="227"/>
      <c r="R478" s="227"/>
      <c r="S478" s="227"/>
      <c r="T478" s="227"/>
      <c r="U478" s="227"/>
      <c r="V478" s="227"/>
      <c r="W478" s="227"/>
      <c r="X478" s="227"/>
      <c r="Y478" s="227"/>
      <c r="Z478" s="227"/>
      <c r="AA478" s="227"/>
      <c r="AB478" s="227"/>
      <c r="AC478" s="227"/>
      <c r="AD478" s="227"/>
      <c r="AE478" s="227"/>
      <c r="AF478" s="227"/>
      <c r="AG478" s="227"/>
      <c r="AH478" s="227"/>
      <c r="AI478" s="227"/>
      <c r="AJ478" s="227"/>
      <c r="AK478" s="227"/>
      <c r="AL478" s="227"/>
      <c r="AM478" s="227"/>
      <c r="AN478" s="227"/>
      <c r="AO478" s="227"/>
      <c r="AP478" s="227"/>
      <c r="AQ478" s="227"/>
      <c r="AR478" s="227"/>
      <c r="AS478" s="227"/>
      <c r="AT478" s="227"/>
      <c r="AU478" s="227"/>
      <c r="AV478" s="227"/>
      <c r="AW478" s="227"/>
      <c r="AX478" s="227"/>
      <c r="AY478" s="227"/>
      <c r="AZ478" s="227"/>
      <c r="BA478" s="227"/>
      <c r="BB478" s="227"/>
      <c r="BC478" s="227"/>
      <c r="BD478" s="227"/>
      <c r="BE478" s="227"/>
      <c r="BF478" s="227"/>
      <c r="BG478" s="227"/>
      <c r="BH478" s="227"/>
      <c r="BI478" s="227"/>
      <c r="BJ478" s="227"/>
      <c r="BK478" s="227"/>
      <c r="BL478" s="227"/>
      <c r="BM478" s="227"/>
      <c r="BN478" s="227"/>
      <c r="BO478" s="227"/>
      <c r="BP478" s="227"/>
      <c r="BQ478" s="227"/>
      <c r="BR478" s="227"/>
      <c r="BS478" s="227"/>
      <c r="BT478" s="227"/>
      <c r="BU478" s="227"/>
      <c r="BV478" s="227"/>
      <c r="BW478" s="227"/>
      <c r="BX478" s="227"/>
      <c r="BY478" s="227"/>
      <c r="BZ478" s="227"/>
      <c r="CA478" s="227"/>
      <c r="CB478" s="227"/>
      <c r="CC478" s="227"/>
      <c r="CD478" s="227"/>
      <c r="CE478" s="227"/>
      <c r="CF478" s="227"/>
      <c r="CG478" s="227"/>
      <c r="CH478" s="227"/>
      <c r="CI478" s="227"/>
      <c r="CJ478" s="227"/>
      <c r="CK478" s="227"/>
      <c r="CL478" s="227"/>
      <c r="CM478" s="227"/>
      <c r="CN478" s="227"/>
      <c r="CO478" s="227"/>
      <c r="CP478" s="227"/>
      <c r="CQ478" s="227"/>
      <c r="CR478" s="227"/>
      <c r="CS478" s="227"/>
      <c r="CT478" s="227"/>
      <c r="CU478" s="225"/>
      <c r="CV478" s="227"/>
    </row>
    <row r="479" spans="1:100" ht="20.100000000000001" customHeight="1">
      <c r="A479" s="227">
        <v>236</v>
      </c>
      <c r="B479" s="225"/>
      <c r="C479" s="227"/>
      <c r="D479" s="228">
        <f>(SUMPRODUCT(E479:CU479*$E$6:$CU$6)/100)+(SUMPRODUCT(E479:CU479*$E$6:$CU$6*$E$3:$CU$3)/100)</f>
        <v>0</v>
      </c>
      <c r="E479" s="227"/>
      <c r="F479" s="227"/>
      <c r="G479" s="227"/>
      <c r="H479" s="227"/>
      <c r="I479" s="227"/>
      <c r="J479" s="227"/>
      <c r="K479" s="227"/>
      <c r="L479" s="227"/>
      <c r="M479" s="227"/>
      <c r="N479" s="227"/>
      <c r="O479" s="227"/>
      <c r="P479" s="227"/>
      <c r="Q479" s="227"/>
      <c r="R479" s="227"/>
      <c r="S479" s="227"/>
      <c r="T479" s="227"/>
      <c r="U479" s="227"/>
      <c r="V479" s="227"/>
      <c r="W479" s="227"/>
      <c r="X479" s="227"/>
      <c r="Y479" s="227"/>
      <c r="Z479" s="227"/>
      <c r="AA479" s="227"/>
      <c r="AB479" s="227"/>
      <c r="AC479" s="227"/>
      <c r="AD479" s="227"/>
      <c r="AE479" s="227"/>
      <c r="AF479" s="227"/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27"/>
      <c r="BC479" s="227"/>
      <c r="BD479" s="227"/>
      <c r="BE479" s="227"/>
      <c r="BF479" s="227"/>
      <c r="BG479" s="227"/>
      <c r="BH479" s="227"/>
      <c r="BI479" s="227"/>
      <c r="BJ479" s="227"/>
      <c r="BK479" s="227"/>
      <c r="BL479" s="227"/>
      <c r="BM479" s="227"/>
      <c r="BN479" s="227"/>
      <c r="BO479" s="227"/>
      <c r="BP479" s="227"/>
      <c r="BQ479" s="227"/>
      <c r="BR479" s="227"/>
      <c r="BS479" s="227"/>
      <c r="BT479" s="227"/>
      <c r="BU479" s="227"/>
      <c r="BV479" s="227"/>
      <c r="BW479" s="227"/>
      <c r="BX479" s="227"/>
      <c r="BY479" s="227"/>
      <c r="BZ479" s="227"/>
      <c r="CA479" s="227"/>
      <c r="CB479" s="227"/>
      <c r="CC479" s="227"/>
      <c r="CD479" s="227"/>
      <c r="CE479" s="227"/>
      <c r="CF479" s="227"/>
      <c r="CG479" s="227"/>
      <c r="CH479" s="227"/>
      <c r="CI479" s="227"/>
      <c r="CJ479" s="227"/>
      <c r="CK479" s="227"/>
      <c r="CL479" s="227"/>
      <c r="CM479" s="227"/>
      <c r="CN479" s="227"/>
      <c r="CO479" s="227"/>
      <c r="CP479" s="227"/>
      <c r="CQ479" s="227"/>
      <c r="CR479" s="227"/>
      <c r="CS479" s="227"/>
      <c r="CT479" s="227"/>
      <c r="CU479" s="225"/>
      <c r="CV479" s="227"/>
    </row>
    <row r="480" spans="1:100" ht="20.100000000000001" customHeight="1">
      <c r="A480" s="223"/>
      <c r="B480" s="225"/>
      <c r="C480" s="227"/>
      <c r="D480" s="224"/>
      <c r="E480" s="227"/>
      <c r="F480" s="227"/>
      <c r="G480" s="227"/>
      <c r="H480" s="227"/>
      <c r="I480" s="227"/>
      <c r="J480" s="227"/>
      <c r="K480" s="227"/>
      <c r="L480" s="227"/>
      <c r="M480" s="227"/>
      <c r="N480" s="227"/>
      <c r="O480" s="227"/>
      <c r="P480" s="227"/>
      <c r="Q480" s="227"/>
      <c r="R480" s="227"/>
      <c r="S480" s="227"/>
      <c r="T480" s="227"/>
      <c r="U480" s="227"/>
      <c r="V480" s="227"/>
      <c r="W480" s="227"/>
      <c r="X480" s="227"/>
      <c r="Y480" s="227"/>
      <c r="Z480" s="227"/>
      <c r="AA480" s="227"/>
      <c r="AB480" s="227"/>
      <c r="AC480" s="227"/>
      <c r="AD480" s="227"/>
      <c r="AE480" s="227"/>
      <c r="AF480" s="227"/>
      <c r="AG480" s="227"/>
      <c r="AH480" s="227"/>
      <c r="AI480" s="227"/>
      <c r="AJ480" s="227"/>
      <c r="AK480" s="227"/>
      <c r="AL480" s="227"/>
      <c r="AM480" s="227"/>
      <c r="AN480" s="227"/>
      <c r="AO480" s="227"/>
      <c r="AP480" s="227"/>
      <c r="AQ480" s="227"/>
      <c r="AR480" s="227"/>
      <c r="AS480" s="227"/>
      <c r="AT480" s="227"/>
      <c r="AU480" s="227"/>
      <c r="AV480" s="227"/>
      <c r="AW480" s="227"/>
      <c r="AX480" s="227"/>
      <c r="AY480" s="227"/>
      <c r="AZ480" s="227"/>
      <c r="BA480" s="227"/>
      <c r="BB480" s="227"/>
      <c r="BC480" s="227"/>
      <c r="BD480" s="227"/>
      <c r="BE480" s="227"/>
      <c r="BF480" s="227"/>
      <c r="BG480" s="227"/>
      <c r="BH480" s="227"/>
      <c r="BI480" s="227"/>
      <c r="BJ480" s="227"/>
      <c r="BK480" s="227"/>
      <c r="BL480" s="227"/>
      <c r="BM480" s="227"/>
      <c r="BN480" s="227"/>
      <c r="BO480" s="227"/>
      <c r="BP480" s="227"/>
      <c r="BQ480" s="227"/>
      <c r="BR480" s="227"/>
      <c r="BS480" s="227"/>
      <c r="BT480" s="227"/>
      <c r="BU480" s="227"/>
      <c r="BV480" s="227"/>
      <c r="BW480" s="227"/>
      <c r="BX480" s="227"/>
      <c r="BY480" s="227"/>
      <c r="BZ480" s="227"/>
      <c r="CA480" s="227"/>
      <c r="CB480" s="227"/>
      <c r="CC480" s="227"/>
      <c r="CD480" s="227"/>
      <c r="CE480" s="227"/>
      <c r="CF480" s="227"/>
      <c r="CG480" s="227"/>
      <c r="CH480" s="227"/>
      <c r="CI480" s="227"/>
      <c r="CJ480" s="227"/>
      <c r="CK480" s="227"/>
      <c r="CL480" s="227"/>
      <c r="CM480" s="227"/>
      <c r="CN480" s="227"/>
      <c r="CO480" s="227"/>
      <c r="CP480" s="227"/>
      <c r="CQ480" s="227"/>
      <c r="CR480" s="227"/>
      <c r="CS480" s="227"/>
      <c r="CT480" s="227"/>
      <c r="CU480" s="225"/>
      <c r="CV480" s="227"/>
    </row>
    <row r="481" spans="1:100" ht="20.100000000000001" customHeight="1">
      <c r="A481" s="227">
        <v>237</v>
      </c>
      <c r="B481" s="225"/>
      <c r="C481" s="227"/>
      <c r="D481" s="228">
        <f>(SUMPRODUCT(E481:CU481*$E$6:$CU$6)/100)+(SUMPRODUCT(E481:CU481*$E$6:$CU$6*$E$3:$CU$3)/100)</f>
        <v>0</v>
      </c>
      <c r="E481" s="227"/>
      <c r="F481" s="227"/>
      <c r="G481" s="227"/>
      <c r="H481" s="227"/>
      <c r="I481" s="227"/>
      <c r="J481" s="227"/>
      <c r="K481" s="227"/>
      <c r="L481" s="227"/>
      <c r="M481" s="227"/>
      <c r="N481" s="227"/>
      <c r="O481" s="227"/>
      <c r="P481" s="227"/>
      <c r="Q481" s="227"/>
      <c r="R481" s="227"/>
      <c r="S481" s="227"/>
      <c r="T481" s="227"/>
      <c r="U481" s="227"/>
      <c r="V481" s="227"/>
      <c r="W481" s="227"/>
      <c r="X481" s="227"/>
      <c r="Y481" s="227"/>
      <c r="Z481" s="227"/>
      <c r="AA481" s="227"/>
      <c r="AB481" s="227"/>
      <c r="AC481" s="227"/>
      <c r="AD481" s="227"/>
      <c r="AE481" s="227"/>
      <c r="AF481" s="227"/>
      <c r="AG481" s="227"/>
      <c r="AH481" s="227"/>
      <c r="AI481" s="227"/>
      <c r="AJ481" s="227"/>
      <c r="AK481" s="227"/>
      <c r="AL481" s="227"/>
      <c r="AM481" s="227"/>
      <c r="AN481" s="227"/>
      <c r="AO481" s="227"/>
      <c r="AP481" s="227"/>
      <c r="AQ481" s="227"/>
      <c r="AR481" s="227"/>
      <c r="AS481" s="227"/>
      <c r="AT481" s="227"/>
      <c r="AU481" s="227"/>
      <c r="AV481" s="227"/>
      <c r="AW481" s="227"/>
      <c r="AX481" s="227"/>
      <c r="AY481" s="227"/>
      <c r="AZ481" s="227"/>
      <c r="BA481" s="227"/>
      <c r="BB481" s="227"/>
      <c r="BC481" s="227"/>
      <c r="BD481" s="227"/>
      <c r="BE481" s="227"/>
      <c r="BF481" s="227"/>
      <c r="BG481" s="227"/>
      <c r="BH481" s="227"/>
      <c r="BI481" s="227"/>
      <c r="BJ481" s="227"/>
      <c r="BK481" s="227"/>
      <c r="BL481" s="227"/>
      <c r="BM481" s="227"/>
      <c r="BN481" s="227"/>
      <c r="BO481" s="227"/>
      <c r="BP481" s="227"/>
      <c r="BQ481" s="227"/>
      <c r="BR481" s="227"/>
      <c r="BS481" s="227"/>
      <c r="BT481" s="227"/>
      <c r="BU481" s="227"/>
      <c r="BV481" s="227"/>
      <c r="BW481" s="227"/>
      <c r="BX481" s="227"/>
      <c r="BY481" s="227"/>
      <c r="BZ481" s="227"/>
      <c r="CA481" s="227"/>
      <c r="CB481" s="227"/>
      <c r="CC481" s="227"/>
      <c r="CD481" s="227"/>
      <c r="CE481" s="227"/>
      <c r="CF481" s="227"/>
      <c r="CG481" s="227"/>
      <c r="CH481" s="227"/>
      <c r="CI481" s="227"/>
      <c r="CJ481" s="227"/>
      <c r="CK481" s="227"/>
      <c r="CL481" s="227"/>
      <c r="CM481" s="227"/>
      <c r="CN481" s="227"/>
      <c r="CO481" s="227"/>
      <c r="CP481" s="227"/>
      <c r="CQ481" s="227"/>
      <c r="CR481" s="227"/>
      <c r="CS481" s="227"/>
      <c r="CT481" s="227"/>
      <c r="CU481" s="225"/>
      <c r="CV481" s="227"/>
    </row>
    <row r="482" spans="1:100" ht="20.100000000000001" customHeight="1">
      <c r="A482" s="227"/>
      <c r="B482" s="225"/>
      <c r="C482" s="227"/>
      <c r="D482" s="224"/>
      <c r="E482" s="227"/>
      <c r="F482" s="227"/>
      <c r="G482" s="227"/>
      <c r="H482" s="227"/>
      <c r="I482" s="227"/>
      <c r="J482" s="227"/>
      <c r="K482" s="227"/>
      <c r="L482" s="227"/>
      <c r="M482" s="227"/>
      <c r="N482" s="227"/>
      <c r="O482" s="227"/>
      <c r="P482" s="227"/>
      <c r="Q482" s="227"/>
      <c r="R482" s="227"/>
      <c r="S482" s="227"/>
      <c r="T482" s="227"/>
      <c r="U482" s="227"/>
      <c r="V482" s="227"/>
      <c r="W482" s="227"/>
      <c r="X482" s="227"/>
      <c r="Y482" s="227"/>
      <c r="Z482" s="227"/>
      <c r="AA482" s="227"/>
      <c r="AB482" s="227"/>
      <c r="AC482" s="227"/>
      <c r="AD482" s="227"/>
      <c r="AE482" s="227"/>
      <c r="AF482" s="227"/>
      <c r="AG482" s="227"/>
      <c r="AH482" s="227"/>
      <c r="AI482" s="227"/>
      <c r="AJ482" s="227"/>
      <c r="AK482" s="227"/>
      <c r="AL482" s="227"/>
      <c r="AM482" s="227"/>
      <c r="AN482" s="227"/>
      <c r="AO482" s="227"/>
      <c r="AP482" s="227"/>
      <c r="AQ482" s="227"/>
      <c r="AR482" s="227"/>
      <c r="AS482" s="227"/>
      <c r="AT482" s="227"/>
      <c r="AU482" s="227"/>
      <c r="AV482" s="227"/>
      <c r="AW482" s="227"/>
      <c r="AX482" s="227"/>
      <c r="AY482" s="227"/>
      <c r="AZ482" s="227"/>
      <c r="BA482" s="227"/>
      <c r="BB482" s="227"/>
      <c r="BC482" s="227"/>
      <c r="BD482" s="227"/>
      <c r="BE482" s="227"/>
      <c r="BF482" s="227"/>
      <c r="BG482" s="227"/>
      <c r="BH482" s="227"/>
      <c r="BI482" s="227"/>
      <c r="BJ482" s="227"/>
      <c r="BK482" s="227"/>
      <c r="BL482" s="227"/>
      <c r="BM482" s="227"/>
      <c r="BN482" s="227"/>
      <c r="BO482" s="227"/>
      <c r="BP482" s="227"/>
      <c r="BQ482" s="227"/>
      <c r="BR482" s="227"/>
      <c r="BS482" s="227"/>
      <c r="BT482" s="227"/>
      <c r="BU482" s="227"/>
      <c r="BV482" s="227"/>
      <c r="BW482" s="227"/>
      <c r="BX482" s="227"/>
      <c r="BY482" s="227"/>
      <c r="BZ482" s="227"/>
      <c r="CA482" s="227"/>
      <c r="CB482" s="227"/>
      <c r="CC482" s="227"/>
      <c r="CD482" s="227"/>
      <c r="CE482" s="227"/>
      <c r="CF482" s="227"/>
      <c r="CG482" s="227"/>
      <c r="CH482" s="227"/>
      <c r="CI482" s="227"/>
      <c r="CJ482" s="227"/>
      <c r="CK482" s="227"/>
      <c r="CL482" s="227"/>
      <c r="CM482" s="227"/>
      <c r="CN482" s="227"/>
      <c r="CO482" s="227"/>
      <c r="CP482" s="227"/>
      <c r="CQ482" s="227"/>
      <c r="CR482" s="227"/>
      <c r="CS482" s="227"/>
      <c r="CT482" s="227"/>
      <c r="CU482" s="225"/>
      <c r="CV482" s="227"/>
    </row>
    <row r="483" spans="1:100" ht="20.100000000000001" customHeight="1">
      <c r="A483" s="227">
        <v>238</v>
      </c>
      <c r="B483" s="225"/>
      <c r="C483" s="227"/>
      <c r="D483" s="228">
        <f>(SUMPRODUCT(E483:CU483*$E$6:$CU$6)/100)+(SUMPRODUCT(E483:CU483*$E$6:$CU$6*$E$3:$CU$3)/100)</f>
        <v>0</v>
      </c>
      <c r="E483" s="227"/>
      <c r="F483" s="227"/>
      <c r="G483" s="227"/>
      <c r="H483" s="227"/>
      <c r="I483" s="227"/>
      <c r="J483" s="227"/>
      <c r="K483" s="227"/>
      <c r="L483" s="227"/>
      <c r="M483" s="227"/>
      <c r="N483" s="227"/>
      <c r="O483" s="227"/>
      <c r="P483" s="227"/>
      <c r="Q483" s="227"/>
      <c r="R483" s="227"/>
      <c r="S483" s="227"/>
      <c r="T483" s="227"/>
      <c r="U483" s="227"/>
      <c r="V483" s="227"/>
      <c r="W483" s="227"/>
      <c r="X483" s="227"/>
      <c r="Y483" s="227"/>
      <c r="Z483" s="227"/>
      <c r="AA483" s="227"/>
      <c r="AB483" s="227"/>
      <c r="AC483" s="227"/>
      <c r="AD483" s="227"/>
      <c r="AE483" s="227"/>
      <c r="AF483" s="227"/>
      <c r="AG483" s="227"/>
      <c r="AH483" s="227"/>
      <c r="AI483" s="227"/>
      <c r="AJ483" s="227"/>
      <c r="AK483" s="227"/>
      <c r="AL483" s="227"/>
      <c r="AM483" s="227"/>
      <c r="AN483" s="227"/>
      <c r="AO483" s="227"/>
      <c r="AP483" s="227"/>
      <c r="AQ483" s="227"/>
      <c r="AR483" s="227"/>
      <c r="AS483" s="227"/>
      <c r="AT483" s="227"/>
      <c r="AU483" s="227"/>
      <c r="AV483" s="227"/>
      <c r="AW483" s="227"/>
      <c r="AX483" s="227"/>
      <c r="AY483" s="227"/>
      <c r="AZ483" s="227"/>
      <c r="BA483" s="227"/>
      <c r="BB483" s="227"/>
      <c r="BC483" s="227"/>
      <c r="BD483" s="227"/>
      <c r="BE483" s="227"/>
      <c r="BF483" s="227"/>
      <c r="BG483" s="227"/>
      <c r="BH483" s="227"/>
      <c r="BI483" s="227"/>
      <c r="BJ483" s="227"/>
      <c r="BK483" s="227"/>
      <c r="BL483" s="227"/>
      <c r="BM483" s="227"/>
      <c r="BN483" s="227"/>
      <c r="BO483" s="227"/>
      <c r="BP483" s="227"/>
      <c r="BQ483" s="227"/>
      <c r="BR483" s="227"/>
      <c r="BS483" s="227"/>
      <c r="BT483" s="227"/>
      <c r="BU483" s="227"/>
      <c r="BV483" s="227"/>
      <c r="BW483" s="227"/>
      <c r="BX483" s="227"/>
      <c r="BY483" s="227"/>
      <c r="BZ483" s="227"/>
      <c r="CA483" s="227"/>
      <c r="CB483" s="227"/>
      <c r="CC483" s="227"/>
      <c r="CD483" s="227"/>
      <c r="CE483" s="227"/>
      <c r="CF483" s="227"/>
      <c r="CG483" s="227"/>
      <c r="CH483" s="227"/>
      <c r="CI483" s="227"/>
      <c r="CJ483" s="227"/>
      <c r="CK483" s="227"/>
      <c r="CL483" s="227"/>
      <c r="CM483" s="227"/>
      <c r="CN483" s="227"/>
      <c r="CO483" s="227"/>
      <c r="CP483" s="227"/>
      <c r="CQ483" s="227"/>
      <c r="CR483" s="227"/>
      <c r="CS483" s="227"/>
      <c r="CT483" s="227"/>
      <c r="CU483" s="225"/>
      <c r="CV483" s="227"/>
    </row>
    <row r="484" spans="1:100" ht="20.100000000000001" customHeight="1">
      <c r="A484" s="223"/>
      <c r="B484" s="225"/>
      <c r="C484" s="227"/>
      <c r="D484" s="224"/>
      <c r="E484" s="227"/>
      <c r="F484" s="227"/>
      <c r="G484" s="227"/>
      <c r="H484" s="227"/>
      <c r="I484" s="227"/>
      <c r="J484" s="227"/>
      <c r="K484" s="227"/>
      <c r="L484" s="227"/>
      <c r="M484" s="227"/>
      <c r="N484" s="227"/>
      <c r="O484" s="227"/>
      <c r="P484" s="227"/>
      <c r="Q484" s="227"/>
      <c r="R484" s="227"/>
      <c r="S484" s="227"/>
      <c r="T484" s="227"/>
      <c r="U484" s="227"/>
      <c r="V484" s="227"/>
      <c r="W484" s="227"/>
      <c r="X484" s="227"/>
      <c r="Y484" s="227"/>
      <c r="Z484" s="227"/>
      <c r="AA484" s="227"/>
      <c r="AB484" s="227"/>
      <c r="AC484" s="227"/>
      <c r="AD484" s="227"/>
      <c r="AE484" s="227"/>
      <c r="AF484" s="227"/>
      <c r="AG484" s="227"/>
      <c r="AH484" s="227"/>
      <c r="AI484" s="227"/>
      <c r="AJ484" s="227"/>
      <c r="AK484" s="227"/>
      <c r="AL484" s="227"/>
      <c r="AM484" s="227"/>
      <c r="AN484" s="227"/>
      <c r="AO484" s="227"/>
      <c r="AP484" s="227"/>
      <c r="AQ484" s="227"/>
      <c r="AR484" s="227"/>
      <c r="AS484" s="227"/>
      <c r="AT484" s="227"/>
      <c r="AU484" s="227"/>
      <c r="AV484" s="227"/>
      <c r="AW484" s="227"/>
      <c r="AX484" s="227"/>
      <c r="AY484" s="227"/>
      <c r="AZ484" s="227"/>
      <c r="BA484" s="227"/>
      <c r="BB484" s="227"/>
      <c r="BC484" s="227"/>
      <c r="BD484" s="227"/>
      <c r="BE484" s="227"/>
      <c r="BF484" s="227"/>
      <c r="BG484" s="227"/>
      <c r="BH484" s="227"/>
      <c r="BI484" s="227"/>
      <c r="BJ484" s="227"/>
      <c r="BK484" s="227"/>
      <c r="BL484" s="227"/>
      <c r="BM484" s="227"/>
      <c r="BN484" s="227"/>
      <c r="BO484" s="227"/>
      <c r="BP484" s="227"/>
      <c r="BQ484" s="227"/>
      <c r="BR484" s="227"/>
      <c r="BS484" s="227"/>
      <c r="BT484" s="227"/>
      <c r="BU484" s="227"/>
      <c r="BV484" s="227"/>
      <c r="BW484" s="227"/>
      <c r="BX484" s="227"/>
      <c r="BY484" s="227"/>
      <c r="BZ484" s="227"/>
      <c r="CA484" s="227"/>
      <c r="CB484" s="227"/>
      <c r="CC484" s="227"/>
      <c r="CD484" s="227"/>
      <c r="CE484" s="227"/>
      <c r="CF484" s="227"/>
      <c r="CG484" s="227"/>
      <c r="CH484" s="227"/>
      <c r="CI484" s="227"/>
      <c r="CJ484" s="227"/>
      <c r="CK484" s="227"/>
      <c r="CL484" s="227"/>
      <c r="CM484" s="227"/>
      <c r="CN484" s="227"/>
      <c r="CO484" s="227"/>
      <c r="CP484" s="227"/>
      <c r="CQ484" s="227"/>
      <c r="CR484" s="227"/>
      <c r="CS484" s="227"/>
      <c r="CT484" s="227"/>
      <c r="CU484" s="225"/>
      <c r="CV484" s="227"/>
    </row>
    <row r="485" spans="1:100" ht="20.100000000000001" customHeight="1">
      <c r="A485" s="227">
        <v>239</v>
      </c>
      <c r="B485" s="225"/>
      <c r="C485" s="227"/>
      <c r="D485" s="228">
        <f>(SUMPRODUCT(E485:CU485*$E$6:$CU$6)/100)+(SUMPRODUCT(E485:CU485*$E$6:$CU$6*$E$3:$CU$3)/100)</f>
        <v>0</v>
      </c>
      <c r="E485" s="227"/>
      <c r="F485" s="227"/>
      <c r="G485" s="227"/>
      <c r="H485" s="227"/>
      <c r="I485" s="227"/>
      <c r="J485" s="227"/>
      <c r="K485" s="227"/>
      <c r="L485" s="227"/>
      <c r="M485" s="227"/>
      <c r="N485" s="227"/>
      <c r="O485" s="227"/>
      <c r="P485" s="227"/>
      <c r="Q485" s="227"/>
      <c r="R485" s="227"/>
      <c r="S485" s="227"/>
      <c r="T485" s="227"/>
      <c r="U485" s="227"/>
      <c r="V485" s="227"/>
      <c r="W485" s="227"/>
      <c r="X485" s="227"/>
      <c r="Y485" s="227"/>
      <c r="Z485" s="227"/>
      <c r="AA485" s="227"/>
      <c r="AB485" s="227"/>
      <c r="AC485" s="227"/>
      <c r="AD485" s="227"/>
      <c r="AE485" s="227"/>
      <c r="AF485" s="227"/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27"/>
      <c r="BC485" s="227"/>
      <c r="BD485" s="227"/>
      <c r="BE485" s="227"/>
      <c r="BF485" s="227"/>
      <c r="BG485" s="227"/>
      <c r="BH485" s="227"/>
      <c r="BI485" s="227"/>
      <c r="BJ485" s="227"/>
      <c r="BK485" s="227"/>
      <c r="BL485" s="227"/>
      <c r="BM485" s="227"/>
      <c r="BN485" s="227"/>
      <c r="BO485" s="227"/>
      <c r="BP485" s="227"/>
      <c r="BQ485" s="227"/>
      <c r="BR485" s="227"/>
      <c r="BS485" s="227"/>
      <c r="BT485" s="227"/>
      <c r="BU485" s="227"/>
      <c r="BV485" s="227"/>
      <c r="BW485" s="227"/>
      <c r="BX485" s="227"/>
      <c r="BY485" s="227"/>
      <c r="BZ485" s="227"/>
      <c r="CA485" s="227"/>
      <c r="CB485" s="227"/>
      <c r="CC485" s="227"/>
      <c r="CD485" s="227"/>
      <c r="CE485" s="227"/>
      <c r="CF485" s="227"/>
      <c r="CG485" s="227"/>
      <c r="CH485" s="227"/>
      <c r="CI485" s="227"/>
      <c r="CJ485" s="227"/>
      <c r="CK485" s="227"/>
      <c r="CL485" s="227"/>
      <c r="CM485" s="227"/>
      <c r="CN485" s="227"/>
      <c r="CO485" s="227"/>
      <c r="CP485" s="227"/>
      <c r="CQ485" s="227"/>
      <c r="CR485" s="227"/>
      <c r="CS485" s="227"/>
      <c r="CT485" s="227"/>
      <c r="CU485" s="225"/>
      <c r="CV485" s="227"/>
    </row>
    <row r="486" spans="1:100" ht="20.100000000000001" customHeight="1">
      <c r="A486" s="227"/>
      <c r="B486" s="225"/>
      <c r="C486" s="227"/>
      <c r="D486" s="224"/>
      <c r="E486" s="227"/>
      <c r="F486" s="227"/>
      <c r="G486" s="227"/>
      <c r="H486" s="227"/>
      <c r="I486" s="227"/>
      <c r="J486" s="227"/>
      <c r="K486" s="227"/>
      <c r="L486" s="227"/>
      <c r="M486" s="227"/>
      <c r="N486" s="227"/>
      <c r="O486" s="227"/>
      <c r="P486" s="227"/>
      <c r="Q486" s="227"/>
      <c r="R486" s="227"/>
      <c r="S486" s="227"/>
      <c r="T486" s="227"/>
      <c r="U486" s="227"/>
      <c r="V486" s="227"/>
      <c r="W486" s="227"/>
      <c r="X486" s="227"/>
      <c r="Y486" s="227"/>
      <c r="Z486" s="227"/>
      <c r="AA486" s="227"/>
      <c r="AB486" s="227"/>
      <c r="AC486" s="227"/>
      <c r="AD486" s="227"/>
      <c r="AE486" s="227"/>
      <c r="AF486" s="227"/>
      <c r="AG486" s="227"/>
      <c r="AH486" s="227"/>
      <c r="AI486" s="227"/>
      <c r="AJ486" s="227"/>
      <c r="AK486" s="227"/>
      <c r="AL486" s="227"/>
      <c r="AM486" s="227"/>
      <c r="AN486" s="227"/>
      <c r="AO486" s="227"/>
      <c r="AP486" s="227"/>
      <c r="AQ486" s="227"/>
      <c r="AR486" s="227"/>
      <c r="AS486" s="227"/>
      <c r="AT486" s="227"/>
      <c r="AU486" s="227"/>
      <c r="AV486" s="227"/>
      <c r="AW486" s="227"/>
      <c r="AX486" s="227"/>
      <c r="AY486" s="227"/>
      <c r="AZ486" s="227"/>
      <c r="BA486" s="227"/>
      <c r="BB486" s="227"/>
      <c r="BC486" s="227"/>
      <c r="BD486" s="227"/>
      <c r="BE486" s="227"/>
      <c r="BF486" s="227"/>
      <c r="BG486" s="227"/>
      <c r="BH486" s="227"/>
      <c r="BI486" s="227"/>
      <c r="BJ486" s="227"/>
      <c r="BK486" s="227"/>
      <c r="BL486" s="227"/>
      <c r="BM486" s="227"/>
      <c r="BN486" s="227"/>
      <c r="BO486" s="227"/>
      <c r="BP486" s="227"/>
      <c r="BQ486" s="227"/>
      <c r="BR486" s="227"/>
      <c r="BS486" s="227"/>
      <c r="BT486" s="227"/>
      <c r="BU486" s="227"/>
      <c r="BV486" s="227"/>
      <c r="BW486" s="227"/>
      <c r="BX486" s="227"/>
      <c r="BY486" s="227"/>
      <c r="BZ486" s="227"/>
      <c r="CA486" s="227"/>
      <c r="CB486" s="227"/>
      <c r="CC486" s="227"/>
      <c r="CD486" s="227"/>
      <c r="CE486" s="227"/>
      <c r="CF486" s="227"/>
      <c r="CG486" s="227"/>
      <c r="CH486" s="227"/>
      <c r="CI486" s="227"/>
      <c r="CJ486" s="227"/>
      <c r="CK486" s="227"/>
      <c r="CL486" s="227"/>
      <c r="CM486" s="227"/>
      <c r="CN486" s="227"/>
      <c r="CO486" s="227"/>
      <c r="CP486" s="227"/>
      <c r="CQ486" s="227"/>
      <c r="CR486" s="227"/>
      <c r="CS486" s="227"/>
      <c r="CT486" s="227"/>
      <c r="CU486" s="225"/>
      <c r="CV486" s="227"/>
    </row>
    <row r="487" spans="1:100" ht="20.100000000000001" customHeight="1">
      <c r="A487" s="227">
        <v>240</v>
      </c>
      <c r="B487" s="225"/>
      <c r="C487" s="227"/>
      <c r="D487" s="228">
        <f>(SUMPRODUCT(E487:CU487*$E$6:$CU$6)/100)+(SUMPRODUCT(E487:CU487*$E$6:$CU$6*$E$3:$CU$3)/100)</f>
        <v>0</v>
      </c>
      <c r="E487" s="227"/>
      <c r="F487" s="227"/>
      <c r="G487" s="227"/>
      <c r="H487" s="227"/>
      <c r="I487" s="227"/>
      <c r="J487" s="227"/>
      <c r="K487" s="227"/>
      <c r="L487" s="227"/>
      <c r="M487" s="227"/>
      <c r="N487" s="227"/>
      <c r="O487" s="227"/>
      <c r="P487" s="227"/>
      <c r="Q487" s="227"/>
      <c r="R487" s="227"/>
      <c r="S487" s="227"/>
      <c r="T487" s="227"/>
      <c r="U487" s="227"/>
      <c r="V487" s="227"/>
      <c r="W487" s="227"/>
      <c r="X487" s="227"/>
      <c r="Y487" s="227"/>
      <c r="Z487" s="227"/>
      <c r="AA487" s="227"/>
      <c r="AB487" s="227"/>
      <c r="AC487" s="227"/>
      <c r="AD487" s="227"/>
      <c r="AE487" s="227"/>
      <c r="AF487" s="227"/>
      <c r="AG487" s="227"/>
      <c r="AH487" s="227"/>
      <c r="AI487" s="227"/>
      <c r="AJ487" s="227"/>
      <c r="AK487" s="227"/>
      <c r="AL487" s="227"/>
      <c r="AM487" s="227"/>
      <c r="AN487" s="227"/>
      <c r="AO487" s="227"/>
      <c r="AP487" s="227"/>
      <c r="AQ487" s="227"/>
      <c r="AR487" s="227"/>
      <c r="AS487" s="227"/>
      <c r="AT487" s="227"/>
      <c r="AU487" s="227"/>
      <c r="AV487" s="227"/>
      <c r="AW487" s="227"/>
      <c r="AX487" s="227"/>
      <c r="AY487" s="227"/>
      <c r="AZ487" s="227"/>
      <c r="BA487" s="227"/>
      <c r="BB487" s="227"/>
      <c r="BC487" s="227"/>
      <c r="BD487" s="227"/>
      <c r="BE487" s="227"/>
      <c r="BF487" s="227"/>
      <c r="BG487" s="227"/>
      <c r="BH487" s="227"/>
      <c r="BI487" s="227"/>
      <c r="BJ487" s="227"/>
      <c r="BK487" s="227"/>
      <c r="BL487" s="227"/>
      <c r="BM487" s="227"/>
      <c r="BN487" s="227"/>
      <c r="BO487" s="227"/>
      <c r="BP487" s="227"/>
      <c r="BQ487" s="227"/>
      <c r="BR487" s="227"/>
      <c r="BS487" s="227"/>
      <c r="BT487" s="227"/>
      <c r="BU487" s="227"/>
      <c r="BV487" s="227"/>
      <c r="BW487" s="227"/>
      <c r="BX487" s="227"/>
      <c r="BY487" s="227"/>
      <c r="BZ487" s="227"/>
      <c r="CA487" s="227"/>
      <c r="CB487" s="227"/>
      <c r="CC487" s="227"/>
      <c r="CD487" s="227"/>
      <c r="CE487" s="227"/>
      <c r="CF487" s="227"/>
      <c r="CG487" s="227"/>
      <c r="CH487" s="227"/>
      <c r="CI487" s="227"/>
      <c r="CJ487" s="227"/>
      <c r="CK487" s="227"/>
      <c r="CL487" s="227"/>
      <c r="CM487" s="227"/>
      <c r="CN487" s="227"/>
      <c r="CO487" s="227"/>
      <c r="CP487" s="227"/>
      <c r="CQ487" s="227"/>
      <c r="CR487" s="227"/>
      <c r="CS487" s="227"/>
      <c r="CT487" s="227"/>
      <c r="CU487" s="225"/>
      <c r="CV487" s="227"/>
    </row>
    <row r="488" spans="1:100" ht="20.100000000000001" customHeight="1">
      <c r="A488" s="223"/>
      <c r="B488" s="225"/>
      <c r="C488" s="227"/>
      <c r="D488" s="224"/>
      <c r="E488" s="227"/>
      <c r="F488" s="227"/>
      <c r="G488" s="227"/>
      <c r="H488" s="227"/>
      <c r="I488" s="227"/>
      <c r="J488" s="227"/>
      <c r="K488" s="227"/>
      <c r="L488" s="227"/>
      <c r="M488" s="227"/>
      <c r="N488" s="227"/>
      <c r="O488" s="227"/>
      <c r="P488" s="227"/>
      <c r="Q488" s="227"/>
      <c r="R488" s="227"/>
      <c r="S488" s="227"/>
      <c r="T488" s="227"/>
      <c r="U488" s="227"/>
      <c r="V488" s="227"/>
      <c r="W488" s="227"/>
      <c r="X488" s="227"/>
      <c r="Y488" s="227"/>
      <c r="Z488" s="227"/>
      <c r="AA488" s="227"/>
      <c r="AB488" s="227"/>
      <c r="AC488" s="227"/>
      <c r="AD488" s="227"/>
      <c r="AE488" s="227"/>
      <c r="AF488" s="227"/>
      <c r="AG488" s="227"/>
      <c r="AH488" s="227"/>
      <c r="AI488" s="227"/>
      <c r="AJ488" s="227"/>
      <c r="AK488" s="227"/>
      <c r="AL488" s="227"/>
      <c r="AM488" s="227"/>
      <c r="AN488" s="227"/>
      <c r="AO488" s="227"/>
      <c r="AP488" s="227"/>
      <c r="AQ488" s="227"/>
      <c r="AR488" s="227"/>
      <c r="AS488" s="227"/>
      <c r="AT488" s="227"/>
      <c r="AU488" s="227"/>
      <c r="AV488" s="227"/>
      <c r="AW488" s="227"/>
      <c r="AX488" s="227"/>
      <c r="AY488" s="227"/>
      <c r="AZ488" s="227"/>
      <c r="BA488" s="227"/>
      <c r="BB488" s="227"/>
      <c r="BC488" s="227"/>
      <c r="BD488" s="227"/>
      <c r="BE488" s="227"/>
      <c r="BF488" s="227"/>
      <c r="BG488" s="227"/>
      <c r="BH488" s="227"/>
      <c r="BI488" s="227"/>
      <c r="BJ488" s="227"/>
      <c r="BK488" s="227"/>
      <c r="BL488" s="227"/>
      <c r="BM488" s="227"/>
      <c r="BN488" s="227"/>
      <c r="BO488" s="227"/>
      <c r="BP488" s="227"/>
      <c r="BQ488" s="227"/>
      <c r="BR488" s="227"/>
      <c r="BS488" s="227"/>
      <c r="BT488" s="227"/>
      <c r="BU488" s="227"/>
      <c r="BV488" s="227"/>
      <c r="BW488" s="227"/>
      <c r="BX488" s="227"/>
      <c r="BY488" s="227"/>
      <c r="BZ488" s="227"/>
      <c r="CA488" s="227"/>
      <c r="CB488" s="227"/>
      <c r="CC488" s="227"/>
      <c r="CD488" s="227"/>
      <c r="CE488" s="227"/>
      <c r="CF488" s="227"/>
      <c r="CG488" s="227"/>
      <c r="CH488" s="227"/>
      <c r="CI488" s="227"/>
      <c r="CJ488" s="227"/>
      <c r="CK488" s="227"/>
      <c r="CL488" s="227"/>
      <c r="CM488" s="227"/>
      <c r="CN488" s="227"/>
      <c r="CO488" s="227"/>
      <c r="CP488" s="227"/>
      <c r="CQ488" s="227"/>
      <c r="CR488" s="227"/>
      <c r="CS488" s="227"/>
      <c r="CT488" s="227"/>
      <c r="CU488" s="225"/>
      <c r="CV488" s="227"/>
    </row>
    <row r="489" spans="1:100" ht="20.100000000000001" customHeight="1">
      <c r="A489" s="227">
        <v>241</v>
      </c>
      <c r="B489" s="225"/>
      <c r="C489" s="227"/>
      <c r="D489" s="228">
        <f>(SUMPRODUCT(E489:CU489*$E$6:$CU$6)/100)+(SUMPRODUCT(E489:CU489*$E$6:$CU$6*$E$3:$CU$3)/100)</f>
        <v>0</v>
      </c>
      <c r="E489" s="227"/>
      <c r="F489" s="227"/>
      <c r="G489" s="227"/>
      <c r="H489" s="227"/>
      <c r="I489" s="227"/>
      <c r="J489" s="227"/>
      <c r="K489" s="227"/>
      <c r="L489" s="227"/>
      <c r="M489" s="227"/>
      <c r="N489" s="227"/>
      <c r="O489" s="227"/>
      <c r="P489" s="227"/>
      <c r="Q489" s="227"/>
      <c r="R489" s="227"/>
      <c r="S489" s="227"/>
      <c r="T489" s="227"/>
      <c r="U489" s="227"/>
      <c r="V489" s="227"/>
      <c r="W489" s="227"/>
      <c r="X489" s="227"/>
      <c r="Y489" s="227"/>
      <c r="Z489" s="227"/>
      <c r="AA489" s="227"/>
      <c r="AB489" s="227"/>
      <c r="AC489" s="227"/>
      <c r="AD489" s="227"/>
      <c r="AE489" s="227"/>
      <c r="AF489" s="227"/>
      <c r="AG489" s="227"/>
      <c r="AH489" s="227"/>
      <c r="AI489" s="227"/>
      <c r="AJ489" s="227"/>
      <c r="AK489" s="227"/>
      <c r="AL489" s="227"/>
      <c r="AM489" s="227"/>
      <c r="AN489" s="227"/>
      <c r="AO489" s="227"/>
      <c r="AP489" s="227"/>
      <c r="AQ489" s="227"/>
      <c r="AR489" s="227"/>
      <c r="AS489" s="227"/>
      <c r="AT489" s="227"/>
      <c r="AU489" s="227"/>
      <c r="AV489" s="227"/>
      <c r="AW489" s="227"/>
      <c r="AX489" s="227"/>
      <c r="AY489" s="227"/>
      <c r="AZ489" s="227"/>
      <c r="BA489" s="227"/>
      <c r="BB489" s="227"/>
      <c r="BC489" s="227"/>
      <c r="BD489" s="227"/>
      <c r="BE489" s="227"/>
      <c r="BF489" s="227"/>
      <c r="BG489" s="227"/>
      <c r="BH489" s="227"/>
      <c r="BI489" s="227"/>
      <c r="BJ489" s="227"/>
      <c r="BK489" s="227"/>
      <c r="BL489" s="227"/>
      <c r="BM489" s="227"/>
      <c r="BN489" s="227"/>
      <c r="BO489" s="227"/>
      <c r="BP489" s="227"/>
      <c r="BQ489" s="227"/>
      <c r="BR489" s="227"/>
      <c r="BS489" s="227"/>
      <c r="BT489" s="227"/>
      <c r="BU489" s="227"/>
      <c r="BV489" s="227"/>
      <c r="BW489" s="227"/>
      <c r="BX489" s="227"/>
      <c r="BY489" s="227"/>
      <c r="BZ489" s="227"/>
      <c r="CA489" s="227"/>
      <c r="CB489" s="227"/>
      <c r="CC489" s="227"/>
      <c r="CD489" s="227"/>
      <c r="CE489" s="227"/>
      <c r="CF489" s="227"/>
      <c r="CG489" s="227"/>
      <c r="CH489" s="227"/>
      <c r="CI489" s="227"/>
      <c r="CJ489" s="227"/>
      <c r="CK489" s="227"/>
      <c r="CL489" s="227"/>
      <c r="CM489" s="227"/>
      <c r="CN489" s="227"/>
      <c r="CO489" s="227"/>
      <c r="CP489" s="227"/>
      <c r="CQ489" s="227"/>
      <c r="CR489" s="227"/>
      <c r="CS489" s="227"/>
      <c r="CT489" s="227"/>
      <c r="CU489" s="225"/>
      <c r="CV489" s="227"/>
    </row>
    <row r="490" spans="1:100" ht="20.100000000000001" customHeight="1">
      <c r="A490" s="227"/>
      <c r="B490" s="225"/>
      <c r="C490" s="227"/>
      <c r="D490" s="224"/>
      <c r="E490" s="227"/>
      <c r="F490" s="227"/>
      <c r="G490" s="227"/>
      <c r="H490" s="227"/>
      <c r="I490" s="227"/>
      <c r="J490" s="227"/>
      <c r="K490" s="227"/>
      <c r="L490" s="227"/>
      <c r="M490" s="227"/>
      <c r="N490" s="227"/>
      <c r="O490" s="227"/>
      <c r="P490" s="227"/>
      <c r="Q490" s="227"/>
      <c r="R490" s="227"/>
      <c r="S490" s="227"/>
      <c r="T490" s="227"/>
      <c r="U490" s="227"/>
      <c r="V490" s="227"/>
      <c r="W490" s="227"/>
      <c r="X490" s="227"/>
      <c r="Y490" s="227"/>
      <c r="Z490" s="227"/>
      <c r="AA490" s="227"/>
      <c r="AB490" s="227"/>
      <c r="AC490" s="227"/>
      <c r="AD490" s="227"/>
      <c r="AE490" s="227"/>
      <c r="AF490" s="227"/>
      <c r="AG490" s="227"/>
      <c r="AH490" s="227"/>
      <c r="AI490" s="227"/>
      <c r="AJ490" s="227"/>
      <c r="AK490" s="227"/>
      <c r="AL490" s="227"/>
      <c r="AM490" s="227"/>
      <c r="AN490" s="227"/>
      <c r="AO490" s="227"/>
      <c r="AP490" s="227"/>
      <c r="AQ490" s="227"/>
      <c r="AR490" s="227"/>
      <c r="AS490" s="227"/>
      <c r="AT490" s="227"/>
      <c r="AU490" s="227"/>
      <c r="AV490" s="227"/>
      <c r="AW490" s="227"/>
      <c r="AX490" s="227"/>
      <c r="AY490" s="227"/>
      <c r="AZ490" s="227"/>
      <c r="BA490" s="227"/>
      <c r="BB490" s="227"/>
      <c r="BC490" s="227"/>
      <c r="BD490" s="227"/>
      <c r="BE490" s="227"/>
      <c r="BF490" s="227"/>
      <c r="BG490" s="227"/>
      <c r="BH490" s="227"/>
      <c r="BI490" s="227"/>
      <c r="BJ490" s="227"/>
      <c r="BK490" s="227"/>
      <c r="BL490" s="227"/>
      <c r="BM490" s="227"/>
      <c r="BN490" s="227"/>
      <c r="BO490" s="227"/>
      <c r="BP490" s="227"/>
      <c r="BQ490" s="227"/>
      <c r="BR490" s="227"/>
      <c r="BS490" s="227"/>
      <c r="BT490" s="227"/>
      <c r="BU490" s="227"/>
      <c r="BV490" s="227"/>
      <c r="BW490" s="227"/>
      <c r="BX490" s="227"/>
      <c r="BY490" s="227"/>
      <c r="BZ490" s="227"/>
      <c r="CA490" s="227"/>
      <c r="CB490" s="227"/>
      <c r="CC490" s="227"/>
      <c r="CD490" s="227"/>
      <c r="CE490" s="227"/>
      <c r="CF490" s="227"/>
      <c r="CG490" s="227"/>
      <c r="CH490" s="227"/>
      <c r="CI490" s="227"/>
      <c r="CJ490" s="227"/>
      <c r="CK490" s="227"/>
      <c r="CL490" s="227"/>
      <c r="CM490" s="227"/>
      <c r="CN490" s="227"/>
      <c r="CO490" s="227"/>
      <c r="CP490" s="227"/>
      <c r="CQ490" s="227"/>
      <c r="CR490" s="227"/>
      <c r="CS490" s="227"/>
      <c r="CT490" s="227"/>
      <c r="CU490" s="225"/>
      <c r="CV490" s="227"/>
    </row>
    <row r="491" spans="1:100" ht="20.100000000000001" customHeight="1">
      <c r="A491" s="227">
        <v>242</v>
      </c>
      <c r="B491" s="225"/>
      <c r="C491" s="227"/>
      <c r="D491" s="228">
        <f>(SUMPRODUCT(E491:CU491*$E$6:$CU$6)/100)+(SUMPRODUCT(E491:CU491*$E$6:$CU$6*$E$3:$CU$3)/100)</f>
        <v>0</v>
      </c>
      <c r="E491" s="227"/>
      <c r="F491" s="227"/>
      <c r="G491" s="227"/>
      <c r="H491" s="227"/>
      <c r="I491" s="227"/>
      <c r="J491" s="227"/>
      <c r="K491" s="227"/>
      <c r="L491" s="227"/>
      <c r="M491" s="227"/>
      <c r="N491" s="227"/>
      <c r="O491" s="227"/>
      <c r="P491" s="227"/>
      <c r="Q491" s="227"/>
      <c r="R491" s="227"/>
      <c r="S491" s="227"/>
      <c r="T491" s="227"/>
      <c r="U491" s="227"/>
      <c r="V491" s="227"/>
      <c r="W491" s="227"/>
      <c r="X491" s="227"/>
      <c r="Y491" s="227"/>
      <c r="Z491" s="227"/>
      <c r="AA491" s="227"/>
      <c r="AB491" s="227"/>
      <c r="AC491" s="227"/>
      <c r="AD491" s="227"/>
      <c r="AE491" s="227"/>
      <c r="AF491" s="227"/>
      <c r="AG491" s="227"/>
      <c r="AH491" s="227"/>
      <c r="AI491" s="227"/>
      <c r="AJ491" s="227"/>
      <c r="AK491" s="227"/>
      <c r="AL491" s="227"/>
      <c r="AM491" s="227"/>
      <c r="AN491" s="227"/>
      <c r="AO491" s="227"/>
      <c r="AP491" s="227"/>
      <c r="AQ491" s="227"/>
      <c r="AR491" s="227"/>
      <c r="AS491" s="227"/>
      <c r="AT491" s="227"/>
      <c r="AU491" s="227"/>
      <c r="AV491" s="227"/>
      <c r="AW491" s="227"/>
      <c r="AX491" s="227"/>
      <c r="AY491" s="227"/>
      <c r="AZ491" s="227"/>
      <c r="BA491" s="227"/>
      <c r="BB491" s="227"/>
      <c r="BC491" s="227"/>
      <c r="BD491" s="227"/>
      <c r="BE491" s="227"/>
      <c r="BF491" s="227"/>
      <c r="BG491" s="227"/>
      <c r="BH491" s="227"/>
      <c r="BI491" s="227"/>
      <c r="BJ491" s="227"/>
      <c r="BK491" s="227"/>
      <c r="BL491" s="227"/>
      <c r="BM491" s="227"/>
      <c r="BN491" s="227"/>
      <c r="BO491" s="227"/>
      <c r="BP491" s="227"/>
      <c r="BQ491" s="227"/>
      <c r="BR491" s="227"/>
      <c r="BS491" s="227"/>
      <c r="BT491" s="227"/>
      <c r="BU491" s="227"/>
      <c r="BV491" s="227"/>
      <c r="BW491" s="227"/>
      <c r="BX491" s="227"/>
      <c r="BY491" s="227"/>
      <c r="BZ491" s="227"/>
      <c r="CA491" s="227"/>
      <c r="CB491" s="227"/>
      <c r="CC491" s="227"/>
      <c r="CD491" s="227"/>
      <c r="CE491" s="227"/>
      <c r="CF491" s="227"/>
      <c r="CG491" s="227"/>
      <c r="CH491" s="227"/>
      <c r="CI491" s="227"/>
      <c r="CJ491" s="227"/>
      <c r="CK491" s="227"/>
      <c r="CL491" s="227"/>
      <c r="CM491" s="227"/>
      <c r="CN491" s="227"/>
      <c r="CO491" s="227"/>
      <c r="CP491" s="227"/>
      <c r="CQ491" s="227"/>
      <c r="CR491" s="227"/>
      <c r="CS491" s="227"/>
      <c r="CT491" s="227"/>
      <c r="CU491" s="225"/>
      <c r="CV491" s="227"/>
    </row>
    <row r="492" spans="1:100" ht="20.100000000000001" customHeight="1">
      <c r="A492" s="223"/>
      <c r="B492" s="225"/>
      <c r="C492" s="227"/>
      <c r="D492" s="224"/>
      <c r="E492" s="227"/>
      <c r="F492" s="227"/>
      <c r="G492" s="227"/>
      <c r="H492" s="227"/>
      <c r="I492" s="227"/>
      <c r="J492" s="227"/>
      <c r="K492" s="227"/>
      <c r="L492" s="227"/>
      <c r="M492" s="227"/>
      <c r="N492" s="227"/>
      <c r="O492" s="227"/>
      <c r="P492" s="227"/>
      <c r="Q492" s="227"/>
      <c r="R492" s="227"/>
      <c r="S492" s="227"/>
      <c r="T492" s="227"/>
      <c r="U492" s="227"/>
      <c r="V492" s="227"/>
      <c r="W492" s="227"/>
      <c r="X492" s="227"/>
      <c r="Y492" s="227"/>
      <c r="Z492" s="227"/>
      <c r="AA492" s="227"/>
      <c r="AB492" s="227"/>
      <c r="AC492" s="227"/>
      <c r="AD492" s="227"/>
      <c r="AE492" s="227"/>
      <c r="AF492" s="227"/>
      <c r="AG492" s="227"/>
      <c r="AH492" s="227"/>
      <c r="AI492" s="227"/>
      <c r="AJ492" s="227"/>
      <c r="AK492" s="227"/>
      <c r="AL492" s="227"/>
      <c r="AM492" s="227"/>
      <c r="AN492" s="227"/>
      <c r="AO492" s="227"/>
      <c r="AP492" s="227"/>
      <c r="AQ492" s="227"/>
      <c r="AR492" s="227"/>
      <c r="AS492" s="227"/>
      <c r="AT492" s="227"/>
      <c r="AU492" s="227"/>
      <c r="AV492" s="227"/>
      <c r="AW492" s="227"/>
      <c r="AX492" s="227"/>
      <c r="AY492" s="227"/>
      <c r="AZ492" s="227"/>
      <c r="BA492" s="227"/>
      <c r="BB492" s="227"/>
      <c r="BC492" s="227"/>
      <c r="BD492" s="227"/>
      <c r="BE492" s="227"/>
      <c r="BF492" s="227"/>
      <c r="BG492" s="227"/>
      <c r="BH492" s="227"/>
      <c r="BI492" s="227"/>
      <c r="BJ492" s="227"/>
      <c r="BK492" s="227"/>
      <c r="BL492" s="227"/>
      <c r="BM492" s="227"/>
      <c r="BN492" s="227"/>
      <c r="BO492" s="227"/>
      <c r="BP492" s="227"/>
      <c r="BQ492" s="227"/>
      <c r="BR492" s="227"/>
      <c r="BS492" s="227"/>
      <c r="BT492" s="227"/>
      <c r="BU492" s="227"/>
      <c r="BV492" s="227"/>
      <c r="BW492" s="227"/>
      <c r="BX492" s="227"/>
      <c r="BY492" s="227"/>
      <c r="BZ492" s="227"/>
      <c r="CA492" s="227"/>
      <c r="CB492" s="227"/>
      <c r="CC492" s="227"/>
      <c r="CD492" s="227"/>
      <c r="CE492" s="227"/>
      <c r="CF492" s="227"/>
      <c r="CG492" s="227"/>
      <c r="CH492" s="227"/>
      <c r="CI492" s="227"/>
      <c r="CJ492" s="227"/>
      <c r="CK492" s="227"/>
      <c r="CL492" s="227"/>
      <c r="CM492" s="227"/>
      <c r="CN492" s="227"/>
      <c r="CO492" s="227"/>
      <c r="CP492" s="227"/>
      <c r="CQ492" s="227"/>
      <c r="CR492" s="227"/>
      <c r="CS492" s="227"/>
      <c r="CT492" s="227"/>
      <c r="CU492" s="225"/>
      <c r="CV492" s="227"/>
    </row>
    <row r="493" spans="1:100" ht="20.100000000000001" customHeight="1">
      <c r="A493" s="227">
        <v>243</v>
      </c>
      <c r="B493" s="225"/>
      <c r="C493" s="227"/>
      <c r="D493" s="228">
        <f>(SUMPRODUCT(E493:CU493*$E$6:$CU$6)/100)+(SUMPRODUCT(E493:CU493*$E$6:$CU$6*$E$3:$CU$3)/100)</f>
        <v>0</v>
      </c>
      <c r="E493" s="227"/>
      <c r="F493" s="227"/>
      <c r="G493" s="227"/>
      <c r="H493" s="227"/>
      <c r="I493" s="227"/>
      <c r="J493" s="227"/>
      <c r="K493" s="227"/>
      <c r="L493" s="227"/>
      <c r="M493" s="227"/>
      <c r="N493" s="227"/>
      <c r="O493" s="227"/>
      <c r="P493" s="227"/>
      <c r="Q493" s="227"/>
      <c r="R493" s="227"/>
      <c r="S493" s="227"/>
      <c r="T493" s="227"/>
      <c r="U493" s="227"/>
      <c r="V493" s="227"/>
      <c r="W493" s="227"/>
      <c r="X493" s="227"/>
      <c r="Y493" s="227"/>
      <c r="Z493" s="227"/>
      <c r="AA493" s="227"/>
      <c r="AB493" s="227"/>
      <c r="AC493" s="227"/>
      <c r="AD493" s="227"/>
      <c r="AE493" s="227"/>
      <c r="AF493" s="227"/>
      <c r="AG493" s="227"/>
      <c r="AH493" s="227"/>
      <c r="AI493" s="227"/>
      <c r="AJ493" s="227"/>
      <c r="AK493" s="227"/>
      <c r="AL493" s="227"/>
      <c r="AM493" s="227"/>
      <c r="AN493" s="227"/>
      <c r="AO493" s="227"/>
      <c r="AP493" s="227"/>
      <c r="AQ493" s="227"/>
      <c r="AR493" s="227"/>
      <c r="AS493" s="227"/>
      <c r="AT493" s="227"/>
      <c r="AU493" s="227"/>
      <c r="AV493" s="227"/>
      <c r="AW493" s="227"/>
      <c r="AX493" s="227"/>
      <c r="AY493" s="227"/>
      <c r="AZ493" s="227"/>
      <c r="BA493" s="227"/>
      <c r="BB493" s="227"/>
      <c r="BC493" s="227"/>
      <c r="BD493" s="227"/>
      <c r="BE493" s="227"/>
      <c r="BF493" s="227"/>
      <c r="BG493" s="227"/>
      <c r="BH493" s="227"/>
      <c r="BI493" s="227"/>
      <c r="BJ493" s="227"/>
      <c r="BK493" s="227"/>
      <c r="BL493" s="227"/>
      <c r="BM493" s="227"/>
      <c r="BN493" s="227"/>
      <c r="BO493" s="227"/>
      <c r="BP493" s="227"/>
      <c r="BQ493" s="227"/>
      <c r="BR493" s="227"/>
      <c r="BS493" s="227"/>
      <c r="BT493" s="227"/>
      <c r="BU493" s="227"/>
      <c r="BV493" s="227"/>
      <c r="BW493" s="227"/>
      <c r="BX493" s="227"/>
      <c r="BY493" s="227"/>
      <c r="BZ493" s="227"/>
      <c r="CA493" s="227"/>
      <c r="CB493" s="227"/>
      <c r="CC493" s="227"/>
      <c r="CD493" s="227"/>
      <c r="CE493" s="227"/>
      <c r="CF493" s="227"/>
      <c r="CG493" s="227"/>
      <c r="CH493" s="227"/>
      <c r="CI493" s="227"/>
      <c r="CJ493" s="227"/>
      <c r="CK493" s="227"/>
      <c r="CL493" s="227"/>
      <c r="CM493" s="227"/>
      <c r="CN493" s="227"/>
      <c r="CO493" s="227"/>
      <c r="CP493" s="227"/>
      <c r="CQ493" s="227"/>
      <c r="CR493" s="227"/>
      <c r="CS493" s="227"/>
      <c r="CT493" s="227"/>
      <c r="CU493" s="225"/>
      <c r="CV493" s="227"/>
    </row>
    <row r="494" spans="1:100" ht="20.100000000000001" customHeight="1">
      <c r="A494" s="227"/>
      <c r="B494" s="225"/>
      <c r="C494" s="227"/>
      <c r="D494" s="224"/>
      <c r="E494" s="227"/>
      <c r="F494" s="227"/>
      <c r="G494" s="227"/>
      <c r="H494" s="227"/>
      <c r="I494" s="227"/>
      <c r="J494" s="227"/>
      <c r="K494" s="227"/>
      <c r="L494" s="227"/>
      <c r="M494" s="227"/>
      <c r="N494" s="227"/>
      <c r="O494" s="227"/>
      <c r="P494" s="227"/>
      <c r="Q494" s="227"/>
      <c r="R494" s="227"/>
      <c r="S494" s="227"/>
      <c r="T494" s="227"/>
      <c r="U494" s="227"/>
      <c r="V494" s="227"/>
      <c r="W494" s="227"/>
      <c r="X494" s="227"/>
      <c r="Y494" s="227"/>
      <c r="Z494" s="227"/>
      <c r="AA494" s="227"/>
      <c r="AB494" s="227"/>
      <c r="AC494" s="227"/>
      <c r="AD494" s="227"/>
      <c r="AE494" s="227"/>
      <c r="AF494" s="227"/>
      <c r="AG494" s="227"/>
      <c r="AH494" s="227"/>
      <c r="AI494" s="227"/>
      <c r="AJ494" s="227"/>
      <c r="AK494" s="227"/>
      <c r="AL494" s="227"/>
      <c r="AM494" s="227"/>
      <c r="AN494" s="227"/>
      <c r="AO494" s="227"/>
      <c r="AP494" s="227"/>
      <c r="AQ494" s="227"/>
      <c r="AR494" s="227"/>
      <c r="AS494" s="227"/>
      <c r="AT494" s="227"/>
      <c r="AU494" s="227"/>
      <c r="AV494" s="227"/>
      <c r="AW494" s="227"/>
      <c r="AX494" s="227"/>
      <c r="AY494" s="227"/>
      <c r="AZ494" s="227"/>
      <c r="BA494" s="227"/>
      <c r="BB494" s="227"/>
      <c r="BC494" s="227"/>
      <c r="BD494" s="227"/>
      <c r="BE494" s="227"/>
      <c r="BF494" s="227"/>
      <c r="BG494" s="227"/>
      <c r="BH494" s="227"/>
      <c r="BI494" s="227"/>
      <c r="BJ494" s="227"/>
      <c r="BK494" s="227"/>
      <c r="BL494" s="227"/>
      <c r="BM494" s="227"/>
      <c r="BN494" s="227"/>
      <c r="BO494" s="227"/>
      <c r="BP494" s="227"/>
      <c r="BQ494" s="227"/>
      <c r="BR494" s="227"/>
      <c r="BS494" s="227"/>
      <c r="BT494" s="227"/>
      <c r="BU494" s="227"/>
      <c r="BV494" s="227"/>
      <c r="BW494" s="227"/>
      <c r="BX494" s="227"/>
      <c r="BY494" s="227"/>
      <c r="BZ494" s="227"/>
      <c r="CA494" s="227"/>
      <c r="CB494" s="227"/>
      <c r="CC494" s="227"/>
      <c r="CD494" s="227"/>
      <c r="CE494" s="227"/>
      <c r="CF494" s="227"/>
      <c r="CG494" s="227"/>
      <c r="CH494" s="227"/>
      <c r="CI494" s="227"/>
      <c r="CJ494" s="227"/>
      <c r="CK494" s="227"/>
      <c r="CL494" s="227"/>
      <c r="CM494" s="227"/>
      <c r="CN494" s="227"/>
      <c r="CO494" s="227"/>
      <c r="CP494" s="227"/>
      <c r="CQ494" s="227"/>
      <c r="CR494" s="227"/>
      <c r="CS494" s="227"/>
      <c r="CT494" s="227"/>
      <c r="CU494" s="225"/>
      <c r="CV494" s="227"/>
    </row>
    <row r="495" spans="1:100" ht="20.100000000000001" customHeight="1">
      <c r="A495" s="227">
        <v>244</v>
      </c>
      <c r="B495" s="225"/>
      <c r="C495" s="227"/>
      <c r="D495" s="228">
        <f>(SUMPRODUCT(E495:CU495*$E$6:$CU$6)/100)+(SUMPRODUCT(E495:CU495*$E$6:$CU$6*$E$3:$CU$3)/100)</f>
        <v>0</v>
      </c>
      <c r="E495" s="227"/>
      <c r="F495" s="227"/>
      <c r="G495" s="227"/>
      <c r="H495" s="227"/>
      <c r="I495" s="227"/>
      <c r="J495" s="227"/>
      <c r="K495" s="227"/>
      <c r="L495" s="227"/>
      <c r="M495" s="227"/>
      <c r="N495" s="227"/>
      <c r="O495" s="227"/>
      <c r="P495" s="227"/>
      <c r="Q495" s="227"/>
      <c r="R495" s="227"/>
      <c r="S495" s="227"/>
      <c r="T495" s="227"/>
      <c r="U495" s="227"/>
      <c r="V495" s="227"/>
      <c r="W495" s="227"/>
      <c r="X495" s="227"/>
      <c r="Y495" s="227"/>
      <c r="Z495" s="227"/>
      <c r="AA495" s="227"/>
      <c r="AB495" s="227"/>
      <c r="AC495" s="227"/>
      <c r="AD495" s="227"/>
      <c r="AE495" s="227"/>
      <c r="AF495" s="227"/>
      <c r="AG495" s="227"/>
      <c r="AH495" s="227"/>
      <c r="AI495" s="227"/>
      <c r="AJ495" s="227"/>
      <c r="AK495" s="227"/>
      <c r="AL495" s="227"/>
      <c r="AM495" s="227"/>
      <c r="AN495" s="227"/>
      <c r="AO495" s="227"/>
      <c r="AP495" s="227"/>
      <c r="AQ495" s="227"/>
      <c r="AR495" s="227"/>
      <c r="AS495" s="227"/>
      <c r="AT495" s="227"/>
      <c r="AU495" s="227"/>
      <c r="AV495" s="227"/>
      <c r="AW495" s="227"/>
      <c r="AX495" s="227"/>
      <c r="AY495" s="227"/>
      <c r="AZ495" s="227"/>
      <c r="BA495" s="227"/>
      <c r="BB495" s="227"/>
      <c r="BC495" s="227"/>
      <c r="BD495" s="227"/>
      <c r="BE495" s="227"/>
      <c r="BF495" s="227"/>
      <c r="BG495" s="227"/>
      <c r="BH495" s="227"/>
      <c r="BI495" s="227"/>
      <c r="BJ495" s="227"/>
      <c r="BK495" s="227"/>
      <c r="BL495" s="227"/>
      <c r="BM495" s="227"/>
      <c r="BN495" s="227"/>
      <c r="BO495" s="227"/>
      <c r="BP495" s="227"/>
      <c r="BQ495" s="227"/>
      <c r="BR495" s="227"/>
      <c r="BS495" s="227"/>
      <c r="BT495" s="227"/>
      <c r="BU495" s="227"/>
      <c r="BV495" s="227"/>
      <c r="BW495" s="227"/>
      <c r="BX495" s="227"/>
      <c r="BY495" s="227"/>
      <c r="BZ495" s="227"/>
      <c r="CA495" s="227"/>
      <c r="CB495" s="227"/>
      <c r="CC495" s="227"/>
      <c r="CD495" s="227"/>
      <c r="CE495" s="227"/>
      <c r="CF495" s="227"/>
      <c r="CG495" s="227"/>
      <c r="CH495" s="227"/>
      <c r="CI495" s="227"/>
      <c r="CJ495" s="227"/>
      <c r="CK495" s="227"/>
      <c r="CL495" s="227"/>
      <c r="CM495" s="227"/>
      <c r="CN495" s="227"/>
      <c r="CO495" s="227"/>
      <c r="CP495" s="227"/>
      <c r="CQ495" s="227"/>
      <c r="CR495" s="227"/>
      <c r="CS495" s="227"/>
      <c r="CT495" s="227"/>
      <c r="CU495" s="225"/>
      <c r="CV495" s="227"/>
    </row>
    <row r="496" spans="1:100" ht="20.100000000000001" customHeight="1">
      <c r="A496" s="223"/>
      <c r="B496" s="225"/>
      <c r="C496" s="227"/>
      <c r="D496" s="224"/>
      <c r="E496" s="227"/>
      <c r="F496" s="227"/>
      <c r="G496" s="227"/>
      <c r="H496" s="227"/>
      <c r="I496" s="227"/>
      <c r="J496" s="227"/>
      <c r="K496" s="227"/>
      <c r="L496" s="227"/>
      <c r="M496" s="227"/>
      <c r="N496" s="227"/>
      <c r="O496" s="227"/>
      <c r="P496" s="227"/>
      <c r="Q496" s="227"/>
      <c r="R496" s="227"/>
      <c r="S496" s="227"/>
      <c r="T496" s="227"/>
      <c r="U496" s="227"/>
      <c r="V496" s="227"/>
      <c r="W496" s="227"/>
      <c r="X496" s="227"/>
      <c r="Y496" s="227"/>
      <c r="Z496" s="227"/>
      <c r="AA496" s="227"/>
      <c r="AB496" s="227"/>
      <c r="AC496" s="227"/>
      <c r="AD496" s="227"/>
      <c r="AE496" s="227"/>
      <c r="AF496" s="227"/>
      <c r="AG496" s="227"/>
      <c r="AH496" s="227"/>
      <c r="AI496" s="227"/>
      <c r="AJ496" s="227"/>
      <c r="AK496" s="227"/>
      <c r="AL496" s="227"/>
      <c r="AM496" s="227"/>
      <c r="AN496" s="227"/>
      <c r="AO496" s="227"/>
      <c r="AP496" s="227"/>
      <c r="AQ496" s="227"/>
      <c r="AR496" s="227"/>
      <c r="AS496" s="227"/>
      <c r="AT496" s="227"/>
      <c r="AU496" s="227"/>
      <c r="AV496" s="227"/>
      <c r="AW496" s="227"/>
      <c r="AX496" s="227"/>
      <c r="AY496" s="227"/>
      <c r="AZ496" s="227"/>
      <c r="BA496" s="227"/>
      <c r="BB496" s="227"/>
      <c r="BC496" s="227"/>
      <c r="BD496" s="227"/>
      <c r="BE496" s="227"/>
      <c r="BF496" s="227"/>
      <c r="BG496" s="227"/>
      <c r="BH496" s="227"/>
      <c r="BI496" s="227"/>
      <c r="BJ496" s="227"/>
      <c r="BK496" s="227"/>
      <c r="BL496" s="227"/>
      <c r="BM496" s="227"/>
      <c r="BN496" s="227"/>
      <c r="BO496" s="227"/>
      <c r="BP496" s="227"/>
      <c r="BQ496" s="227"/>
      <c r="BR496" s="227"/>
      <c r="BS496" s="227"/>
      <c r="BT496" s="227"/>
      <c r="BU496" s="227"/>
      <c r="BV496" s="227"/>
      <c r="BW496" s="227"/>
      <c r="BX496" s="227"/>
      <c r="BY496" s="227"/>
      <c r="BZ496" s="227"/>
      <c r="CA496" s="227"/>
      <c r="CB496" s="227"/>
      <c r="CC496" s="227"/>
      <c r="CD496" s="227"/>
      <c r="CE496" s="227"/>
      <c r="CF496" s="227"/>
      <c r="CG496" s="227"/>
      <c r="CH496" s="227"/>
      <c r="CI496" s="227"/>
      <c r="CJ496" s="227"/>
      <c r="CK496" s="227"/>
      <c r="CL496" s="227"/>
      <c r="CM496" s="227"/>
      <c r="CN496" s="227"/>
      <c r="CO496" s="227"/>
      <c r="CP496" s="227"/>
      <c r="CQ496" s="227"/>
      <c r="CR496" s="227"/>
      <c r="CS496" s="227"/>
      <c r="CT496" s="227"/>
      <c r="CU496" s="225"/>
      <c r="CV496" s="227"/>
    </row>
    <row r="497" spans="1:100" ht="20.100000000000001" customHeight="1">
      <c r="A497" s="227">
        <v>245</v>
      </c>
      <c r="B497" s="225"/>
      <c r="C497" s="227"/>
      <c r="D497" s="228">
        <f>(SUMPRODUCT(E497:CU497*$E$6:$CU$6)/100)+(SUMPRODUCT(E497:CU497*$E$6:$CU$6*$E$3:$CU$3)/100)</f>
        <v>0</v>
      </c>
      <c r="E497" s="227"/>
      <c r="F497" s="227"/>
      <c r="G497" s="227"/>
      <c r="H497" s="227"/>
      <c r="I497" s="227"/>
      <c r="J497" s="227"/>
      <c r="K497" s="227"/>
      <c r="L497" s="227"/>
      <c r="M497" s="227"/>
      <c r="N497" s="227"/>
      <c r="O497" s="227"/>
      <c r="P497" s="227"/>
      <c r="Q497" s="227"/>
      <c r="R497" s="227"/>
      <c r="S497" s="227"/>
      <c r="T497" s="227"/>
      <c r="U497" s="227"/>
      <c r="V497" s="227"/>
      <c r="W497" s="227"/>
      <c r="X497" s="227"/>
      <c r="Y497" s="227"/>
      <c r="Z497" s="227"/>
      <c r="AA497" s="227"/>
      <c r="AB497" s="227"/>
      <c r="AC497" s="227"/>
      <c r="AD497" s="227"/>
      <c r="AE497" s="227"/>
      <c r="AF497" s="227"/>
      <c r="AG497" s="227"/>
      <c r="AH497" s="227"/>
      <c r="AI497" s="227"/>
      <c r="AJ497" s="227"/>
      <c r="AK497" s="227"/>
      <c r="AL497" s="227"/>
      <c r="AM497" s="227"/>
      <c r="AN497" s="227"/>
      <c r="AO497" s="227"/>
      <c r="AP497" s="227"/>
      <c r="AQ497" s="227"/>
      <c r="AR497" s="227"/>
      <c r="AS497" s="227"/>
      <c r="AT497" s="227"/>
      <c r="AU497" s="227"/>
      <c r="AV497" s="227"/>
      <c r="AW497" s="227"/>
      <c r="AX497" s="227"/>
      <c r="AY497" s="227"/>
      <c r="AZ497" s="227"/>
      <c r="BA497" s="227"/>
      <c r="BB497" s="227"/>
      <c r="BC497" s="227"/>
      <c r="BD497" s="227"/>
      <c r="BE497" s="227"/>
      <c r="BF497" s="227"/>
      <c r="BG497" s="227"/>
      <c r="BH497" s="227"/>
      <c r="BI497" s="227"/>
      <c r="BJ497" s="227"/>
      <c r="BK497" s="227"/>
      <c r="BL497" s="227"/>
      <c r="BM497" s="227"/>
      <c r="BN497" s="227"/>
      <c r="BO497" s="227"/>
      <c r="BP497" s="227"/>
      <c r="BQ497" s="227"/>
      <c r="BR497" s="227"/>
      <c r="BS497" s="227"/>
      <c r="BT497" s="227"/>
      <c r="BU497" s="227"/>
      <c r="BV497" s="227"/>
      <c r="BW497" s="227"/>
      <c r="BX497" s="227"/>
      <c r="BY497" s="227"/>
      <c r="BZ497" s="227"/>
      <c r="CA497" s="227"/>
      <c r="CB497" s="227"/>
      <c r="CC497" s="227"/>
      <c r="CD497" s="227"/>
      <c r="CE497" s="227"/>
      <c r="CF497" s="227"/>
      <c r="CG497" s="227"/>
      <c r="CH497" s="227"/>
      <c r="CI497" s="227"/>
      <c r="CJ497" s="227"/>
      <c r="CK497" s="227"/>
      <c r="CL497" s="227"/>
      <c r="CM497" s="227"/>
      <c r="CN497" s="227"/>
      <c r="CO497" s="227"/>
      <c r="CP497" s="227"/>
      <c r="CQ497" s="227"/>
      <c r="CR497" s="227"/>
      <c r="CS497" s="227"/>
      <c r="CT497" s="227"/>
      <c r="CU497" s="225"/>
      <c r="CV497" s="227"/>
    </row>
    <row r="498" spans="1:100" ht="20.100000000000001" customHeight="1">
      <c r="A498" s="227"/>
      <c r="B498" s="225"/>
      <c r="C498" s="227"/>
      <c r="D498" s="224"/>
      <c r="E498" s="227"/>
      <c r="F498" s="227"/>
      <c r="G498" s="227"/>
      <c r="H498" s="227"/>
      <c r="I498" s="227"/>
      <c r="J498" s="227"/>
      <c r="K498" s="227"/>
      <c r="L498" s="227"/>
      <c r="M498" s="227"/>
      <c r="N498" s="227"/>
      <c r="O498" s="227"/>
      <c r="P498" s="227"/>
      <c r="Q498" s="227"/>
      <c r="R498" s="227"/>
      <c r="S498" s="227"/>
      <c r="T498" s="227"/>
      <c r="U498" s="227"/>
      <c r="V498" s="227"/>
      <c r="W498" s="227"/>
      <c r="X498" s="227"/>
      <c r="Y498" s="227"/>
      <c r="Z498" s="227"/>
      <c r="AA498" s="227"/>
      <c r="AB498" s="227"/>
      <c r="AC498" s="227"/>
      <c r="AD498" s="227"/>
      <c r="AE498" s="227"/>
      <c r="AF498" s="227"/>
      <c r="AG498" s="227"/>
      <c r="AH498" s="227"/>
      <c r="AI498" s="227"/>
      <c r="AJ498" s="227"/>
      <c r="AK498" s="227"/>
      <c r="AL498" s="227"/>
      <c r="AM498" s="227"/>
      <c r="AN498" s="227"/>
      <c r="AO498" s="227"/>
      <c r="AP498" s="227"/>
      <c r="AQ498" s="227"/>
      <c r="AR498" s="227"/>
      <c r="AS498" s="227"/>
      <c r="AT498" s="227"/>
      <c r="AU498" s="227"/>
      <c r="AV498" s="227"/>
      <c r="AW498" s="227"/>
      <c r="AX498" s="227"/>
      <c r="AY498" s="227"/>
      <c r="AZ498" s="227"/>
      <c r="BA498" s="227"/>
      <c r="BB498" s="227"/>
      <c r="BC498" s="227"/>
      <c r="BD498" s="227"/>
      <c r="BE498" s="227"/>
      <c r="BF498" s="227"/>
      <c r="BG498" s="227"/>
      <c r="BH498" s="227"/>
      <c r="BI498" s="227"/>
      <c r="BJ498" s="227"/>
      <c r="BK498" s="227"/>
      <c r="BL498" s="227"/>
      <c r="BM498" s="227"/>
      <c r="BN498" s="227"/>
      <c r="BO498" s="227"/>
      <c r="BP498" s="227"/>
      <c r="BQ498" s="227"/>
      <c r="BR498" s="227"/>
      <c r="BS498" s="227"/>
      <c r="BT498" s="227"/>
      <c r="BU498" s="227"/>
      <c r="BV498" s="227"/>
      <c r="BW498" s="227"/>
      <c r="BX498" s="227"/>
      <c r="BY498" s="227"/>
      <c r="BZ498" s="227"/>
      <c r="CA498" s="227"/>
      <c r="CB498" s="227"/>
      <c r="CC498" s="227"/>
      <c r="CD498" s="227"/>
      <c r="CE498" s="227"/>
      <c r="CF498" s="227"/>
      <c r="CG498" s="227"/>
      <c r="CH498" s="227"/>
      <c r="CI498" s="227"/>
      <c r="CJ498" s="227"/>
      <c r="CK498" s="227"/>
      <c r="CL498" s="227"/>
      <c r="CM498" s="227"/>
      <c r="CN498" s="227"/>
      <c r="CO498" s="227"/>
      <c r="CP498" s="227"/>
      <c r="CQ498" s="227"/>
      <c r="CR498" s="227"/>
      <c r="CS498" s="227"/>
      <c r="CT498" s="227"/>
      <c r="CU498" s="225"/>
      <c r="CV498" s="227"/>
    </row>
    <row r="499" spans="1:100" ht="20.100000000000001" customHeight="1">
      <c r="A499" s="227">
        <v>246</v>
      </c>
      <c r="B499" s="225"/>
      <c r="C499" s="227"/>
      <c r="D499" s="228">
        <f>(SUMPRODUCT(E499:CU499*$E$6:$CU$6)/100)+(SUMPRODUCT(E499:CU499*$E$6:$CU$6*$E$3:$CU$3)/100)</f>
        <v>0</v>
      </c>
      <c r="E499" s="227"/>
      <c r="F499" s="227"/>
      <c r="G499" s="227"/>
      <c r="H499" s="227"/>
      <c r="I499" s="227"/>
      <c r="J499" s="227"/>
      <c r="K499" s="227"/>
      <c r="L499" s="227"/>
      <c r="M499" s="227"/>
      <c r="N499" s="227"/>
      <c r="O499" s="227"/>
      <c r="P499" s="227"/>
      <c r="Q499" s="227"/>
      <c r="R499" s="227"/>
      <c r="S499" s="227"/>
      <c r="T499" s="227"/>
      <c r="U499" s="227"/>
      <c r="V499" s="227"/>
      <c r="W499" s="227"/>
      <c r="X499" s="227"/>
      <c r="Y499" s="227"/>
      <c r="Z499" s="227"/>
      <c r="AA499" s="227"/>
      <c r="AB499" s="227"/>
      <c r="AC499" s="227"/>
      <c r="AD499" s="227"/>
      <c r="AE499" s="227"/>
      <c r="AF499" s="227"/>
      <c r="AG499" s="227"/>
      <c r="AH499" s="227"/>
      <c r="AI499" s="227"/>
      <c r="AJ499" s="227"/>
      <c r="AK499" s="227"/>
      <c r="AL499" s="227"/>
      <c r="AM499" s="227"/>
      <c r="AN499" s="227"/>
      <c r="AO499" s="227"/>
      <c r="AP499" s="227"/>
      <c r="AQ499" s="227"/>
      <c r="AR499" s="227"/>
      <c r="AS499" s="227"/>
      <c r="AT499" s="227"/>
      <c r="AU499" s="227"/>
      <c r="AV499" s="227"/>
      <c r="AW499" s="227"/>
      <c r="AX499" s="227"/>
      <c r="AY499" s="227"/>
      <c r="AZ499" s="227"/>
      <c r="BA499" s="227"/>
      <c r="BB499" s="227"/>
      <c r="BC499" s="227"/>
      <c r="BD499" s="227"/>
      <c r="BE499" s="227"/>
      <c r="BF499" s="227"/>
      <c r="BG499" s="227"/>
      <c r="BH499" s="227"/>
      <c r="BI499" s="227"/>
      <c r="BJ499" s="227"/>
      <c r="BK499" s="227"/>
      <c r="BL499" s="227"/>
      <c r="BM499" s="227"/>
      <c r="BN499" s="227"/>
      <c r="BO499" s="227"/>
      <c r="BP499" s="227"/>
      <c r="BQ499" s="227"/>
      <c r="BR499" s="227"/>
      <c r="BS499" s="227"/>
      <c r="BT499" s="227"/>
      <c r="BU499" s="227"/>
      <c r="BV499" s="227"/>
      <c r="BW499" s="227"/>
      <c r="BX499" s="227"/>
      <c r="BY499" s="227"/>
      <c r="BZ499" s="227"/>
      <c r="CA499" s="227"/>
      <c r="CB499" s="227"/>
      <c r="CC499" s="227"/>
      <c r="CD499" s="227"/>
      <c r="CE499" s="227"/>
      <c r="CF499" s="227"/>
      <c r="CG499" s="227"/>
      <c r="CH499" s="227"/>
      <c r="CI499" s="227"/>
      <c r="CJ499" s="227"/>
      <c r="CK499" s="227"/>
      <c r="CL499" s="227"/>
      <c r="CM499" s="227"/>
      <c r="CN499" s="227"/>
      <c r="CO499" s="227"/>
      <c r="CP499" s="227"/>
      <c r="CQ499" s="227"/>
      <c r="CR499" s="227"/>
      <c r="CS499" s="227"/>
      <c r="CT499" s="227"/>
      <c r="CU499" s="225"/>
      <c r="CV499" s="227"/>
    </row>
    <row r="500" spans="1:100" ht="20.100000000000001" customHeight="1">
      <c r="A500" s="223"/>
      <c r="B500" s="225"/>
      <c r="C500" s="227"/>
      <c r="D500" s="224"/>
      <c r="E500" s="227"/>
      <c r="F500" s="227"/>
      <c r="G500" s="227"/>
      <c r="H500" s="227"/>
      <c r="I500" s="227"/>
      <c r="J500" s="227"/>
      <c r="K500" s="227"/>
      <c r="L500" s="227"/>
      <c r="M500" s="227"/>
      <c r="N500" s="227"/>
      <c r="O500" s="227"/>
      <c r="P500" s="227"/>
      <c r="Q500" s="227"/>
      <c r="R500" s="227"/>
      <c r="S500" s="227"/>
      <c r="T500" s="227"/>
      <c r="U500" s="227"/>
      <c r="V500" s="227"/>
      <c r="W500" s="227"/>
      <c r="X500" s="227"/>
      <c r="Y500" s="227"/>
      <c r="Z500" s="227"/>
      <c r="AA500" s="227"/>
      <c r="AB500" s="227"/>
      <c r="AC500" s="227"/>
      <c r="AD500" s="227"/>
      <c r="AE500" s="227"/>
      <c r="AF500" s="227"/>
      <c r="AG500" s="227"/>
      <c r="AH500" s="227"/>
      <c r="AI500" s="227"/>
      <c r="AJ500" s="227"/>
      <c r="AK500" s="227"/>
      <c r="AL500" s="227"/>
      <c r="AM500" s="227"/>
      <c r="AN500" s="227"/>
      <c r="AO500" s="227"/>
      <c r="AP500" s="227"/>
      <c r="AQ500" s="227"/>
      <c r="AR500" s="227"/>
      <c r="AS500" s="227"/>
      <c r="AT500" s="227"/>
      <c r="AU500" s="227"/>
      <c r="AV500" s="227"/>
      <c r="AW500" s="227"/>
      <c r="AX500" s="227"/>
      <c r="AY500" s="227"/>
      <c r="AZ500" s="227"/>
      <c r="BA500" s="227"/>
      <c r="BB500" s="227"/>
      <c r="BC500" s="227"/>
      <c r="BD500" s="227"/>
      <c r="BE500" s="227"/>
      <c r="BF500" s="227"/>
      <c r="BG500" s="227"/>
      <c r="BH500" s="227"/>
      <c r="BI500" s="227"/>
      <c r="BJ500" s="227"/>
      <c r="BK500" s="227"/>
      <c r="BL500" s="227"/>
      <c r="BM500" s="227"/>
      <c r="BN500" s="227"/>
      <c r="BO500" s="227"/>
      <c r="BP500" s="227"/>
      <c r="BQ500" s="227"/>
      <c r="BR500" s="227"/>
      <c r="BS500" s="227"/>
      <c r="BT500" s="227"/>
      <c r="BU500" s="227"/>
      <c r="BV500" s="227"/>
      <c r="BW500" s="227"/>
      <c r="BX500" s="227"/>
      <c r="BY500" s="227"/>
      <c r="BZ500" s="227"/>
      <c r="CA500" s="227"/>
      <c r="CB500" s="227"/>
      <c r="CC500" s="227"/>
      <c r="CD500" s="227"/>
      <c r="CE500" s="227"/>
      <c r="CF500" s="227"/>
      <c r="CG500" s="227"/>
      <c r="CH500" s="227"/>
      <c r="CI500" s="227"/>
      <c r="CJ500" s="227"/>
      <c r="CK500" s="227"/>
      <c r="CL500" s="227"/>
      <c r="CM500" s="227"/>
      <c r="CN500" s="227"/>
      <c r="CO500" s="227"/>
      <c r="CP500" s="227"/>
      <c r="CQ500" s="227"/>
      <c r="CR500" s="227"/>
      <c r="CS500" s="227"/>
      <c r="CT500" s="227"/>
      <c r="CU500" s="225"/>
      <c r="CV500" s="227"/>
    </row>
    <row r="501" spans="1:100" ht="20.100000000000001" customHeight="1">
      <c r="A501" s="227">
        <v>247</v>
      </c>
      <c r="B501" s="225"/>
      <c r="C501" s="227"/>
      <c r="D501" s="228">
        <f>(SUMPRODUCT(E501:CU501*$E$6:$CU$6)/100)+(SUMPRODUCT(E501:CU501*$E$6:$CU$6*$E$3:$CU$3)/100)</f>
        <v>0</v>
      </c>
      <c r="E501" s="227"/>
      <c r="F501" s="227"/>
      <c r="G501" s="227"/>
      <c r="H501" s="227"/>
      <c r="I501" s="227"/>
      <c r="J501" s="227"/>
      <c r="K501" s="227"/>
      <c r="L501" s="227"/>
      <c r="M501" s="227"/>
      <c r="N501" s="227"/>
      <c r="O501" s="227"/>
      <c r="P501" s="227"/>
      <c r="Q501" s="227"/>
      <c r="R501" s="227"/>
      <c r="S501" s="227"/>
      <c r="T501" s="227"/>
      <c r="U501" s="227"/>
      <c r="V501" s="227"/>
      <c r="W501" s="227"/>
      <c r="X501" s="227"/>
      <c r="Y501" s="227"/>
      <c r="Z501" s="227"/>
      <c r="AA501" s="227"/>
      <c r="AB501" s="227"/>
      <c r="AC501" s="227"/>
      <c r="AD501" s="227"/>
      <c r="AE501" s="227"/>
      <c r="AF501" s="227"/>
      <c r="AG501" s="227"/>
      <c r="AH501" s="227"/>
      <c r="AI501" s="227"/>
      <c r="AJ501" s="227"/>
      <c r="AK501" s="227"/>
      <c r="AL501" s="227"/>
      <c r="AM501" s="227"/>
      <c r="AN501" s="227"/>
      <c r="AO501" s="227"/>
      <c r="AP501" s="227"/>
      <c r="AQ501" s="227"/>
      <c r="AR501" s="227"/>
      <c r="AS501" s="227"/>
      <c r="AT501" s="227"/>
      <c r="AU501" s="227"/>
      <c r="AV501" s="227"/>
      <c r="AW501" s="227"/>
      <c r="AX501" s="227"/>
      <c r="AY501" s="227"/>
      <c r="AZ501" s="227"/>
      <c r="BA501" s="227"/>
      <c r="BB501" s="227"/>
      <c r="BC501" s="227"/>
      <c r="BD501" s="227"/>
      <c r="BE501" s="227"/>
      <c r="BF501" s="227"/>
      <c r="BG501" s="227"/>
      <c r="BH501" s="227"/>
      <c r="BI501" s="227"/>
      <c r="BJ501" s="227"/>
      <c r="BK501" s="227"/>
      <c r="BL501" s="227"/>
      <c r="BM501" s="227"/>
      <c r="BN501" s="227"/>
      <c r="BO501" s="227"/>
      <c r="BP501" s="227"/>
      <c r="BQ501" s="227"/>
      <c r="BR501" s="227"/>
      <c r="BS501" s="227"/>
      <c r="BT501" s="227"/>
      <c r="BU501" s="227"/>
      <c r="BV501" s="227"/>
      <c r="BW501" s="227"/>
      <c r="BX501" s="227"/>
      <c r="BY501" s="227"/>
      <c r="BZ501" s="227"/>
      <c r="CA501" s="227"/>
      <c r="CB501" s="227"/>
      <c r="CC501" s="227"/>
      <c r="CD501" s="227"/>
      <c r="CE501" s="227"/>
      <c r="CF501" s="227"/>
      <c r="CG501" s="227"/>
      <c r="CH501" s="227"/>
      <c r="CI501" s="227"/>
      <c r="CJ501" s="227"/>
      <c r="CK501" s="227"/>
      <c r="CL501" s="227"/>
      <c r="CM501" s="227"/>
      <c r="CN501" s="227"/>
      <c r="CO501" s="227"/>
      <c r="CP501" s="227"/>
      <c r="CQ501" s="227"/>
      <c r="CR501" s="227"/>
      <c r="CS501" s="227"/>
      <c r="CT501" s="227"/>
      <c r="CU501" s="225"/>
      <c r="CV501" s="227"/>
    </row>
    <row r="502" spans="1:100" ht="20.100000000000001" customHeight="1">
      <c r="A502" s="227"/>
      <c r="B502" s="225"/>
      <c r="C502" s="227"/>
      <c r="D502" s="224"/>
      <c r="E502" s="227"/>
      <c r="F502" s="227"/>
      <c r="G502" s="227"/>
      <c r="H502" s="227"/>
      <c r="I502" s="227"/>
      <c r="J502" s="227"/>
      <c r="K502" s="227"/>
      <c r="L502" s="227"/>
      <c r="M502" s="227"/>
      <c r="N502" s="227"/>
      <c r="O502" s="227"/>
      <c r="P502" s="227"/>
      <c r="Q502" s="227"/>
      <c r="R502" s="227"/>
      <c r="S502" s="227"/>
      <c r="T502" s="227"/>
      <c r="U502" s="227"/>
      <c r="V502" s="227"/>
      <c r="W502" s="227"/>
      <c r="X502" s="227"/>
      <c r="Y502" s="227"/>
      <c r="Z502" s="227"/>
      <c r="AA502" s="227"/>
      <c r="AB502" s="227"/>
      <c r="AC502" s="227"/>
      <c r="AD502" s="227"/>
      <c r="AE502" s="227"/>
      <c r="AF502" s="227"/>
      <c r="AG502" s="227"/>
      <c r="AH502" s="227"/>
      <c r="AI502" s="227"/>
      <c r="AJ502" s="227"/>
      <c r="AK502" s="227"/>
      <c r="AL502" s="227"/>
      <c r="AM502" s="227"/>
      <c r="AN502" s="227"/>
      <c r="AO502" s="227"/>
      <c r="AP502" s="227"/>
      <c r="AQ502" s="227"/>
      <c r="AR502" s="227"/>
      <c r="AS502" s="227"/>
      <c r="AT502" s="227"/>
      <c r="AU502" s="227"/>
      <c r="AV502" s="227"/>
      <c r="AW502" s="227"/>
      <c r="AX502" s="227"/>
      <c r="AY502" s="227"/>
      <c r="AZ502" s="227"/>
      <c r="BA502" s="227"/>
      <c r="BB502" s="227"/>
      <c r="BC502" s="227"/>
      <c r="BD502" s="227"/>
      <c r="BE502" s="227"/>
      <c r="BF502" s="227"/>
      <c r="BG502" s="227"/>
      <c r="BH502" s="227"/>
      <c r="BI502" s="227"/>
      <c r="BJ502" s="227"/>
      <c r="BK502" s="227"/>
      <c r="BL502" s="227"/>
      <c r="BM502" s="227"/>
      <c r="BN502" s="227"/>
      <c r="BO502" s="227"/>
      <c r="BP502" s="227"/>
      <c r="BQ502" s="227"/>
      <c r="BR502" s="227"/>
      <c r="BS502" s="227"/>
      <c r="BT502" s="227"/>
      <c r="BU502" s="227"/>
      <c r="BV502" s="227"/>
      <c r="BW502" s="227"/>
      <c r="BX502" s="227"/>
      <c r="BY502" s="227"/>
      <c r="BZ502" s="227"/>
      <c r="CA502" s="227"/>
      <c r="CB502" s="227"/>
      <c r="CC502" s="227"/>
      <c r="CD502" s="227"/>
      <c r="CE502" s="227"/>
      <c r="CF502" s="227"/>
      <c r="CG502" s="227"/>
      <c r="CH502" s="227"/>
      <c r="CI502" s="227"/>
      <c r="CJ502" s="227"/>
      <c r="CK502" s="227"/>
      <c r="CL502" s="227"/>
      <c r="CM502" s="227"/>
      <c r="CN502" s="227"/>
      <c r="CO502" s="227"/>
      <c r="CP502" s="227"/>
      <c r="CQ502" s="227"/>
      <c r="CR502" s="227"/>
      <c r="CS502" s="227"/>
      <c r="CT502" s="227"/>
      <c r="CU502" s="225"/>
      <c r="CV502" s="227"/>
    </row>
    <row r="503" spans="1:100" ht="20.100000000000001" customHeight="1">
      <c r="A503" s="227">
        <v>248</v>
      </c>
      <c r="B503" s="225"/>
      <c r="C503" s="227"/>
      <c r="D503" s="228">
        <f>(SUMPRODUCT(E503:CU503*$E$6:$CU$6)/100)+(SUMPRODUCT(E503:CU503*$E$6:$CU$6*$E$3:$CU$3)/100)</f>
        <v>0</v>
      </c>
      <c r="E503" s="227"/>
      <c r="F503" s="227"/>
      <c r="G503" s="227"/>
      <c r="H503" s="227"/>
      <c r="I503" s="227"/>
      <c r="J503" s="227"/>
      <c r="K503" s="227"/>
      <c r="L503" s="227"/>
      <c r="M503" s="227"/>
      <c r="N503" s="227"/>
      <c r="O503" s="227"/>
      <c r="P503" s="227"/>
      <c r="Q503" s="227"/>
      <c r="R503" s="227"/>
      <c r="S503" s="227"/>
      <c r="T503" s="227"/>
      <c r="U503" s="227"/>
      <c r="V503" s="227"/>
      <c r="W503" s="227"/>
      <c r="X503" s="227"/>
      <c r="Y503" s="227"/>
      <c r="Z503" s="227"/>
      <c r="AA503" s="227"/>
      <c r="AB503" s="227"/>
      <c r="AC503" s="227"/>
      <c r="AD503" s="227"/>
      <c r="AE503" s="227"/>
      <c r="AF503" s="227"/>
      <c r="AG503" s="227"/>
      <c r="AH503" s="227"/>
      <c r="AI503" s="227"/>
      <c r="AJ503" s="227"/>
      <c r="AK503" s="227"/>
      <c r="AL503" s="227"/>
      <c r="AM503" s="227"/>
      <c r="AN503" s="227"/>
      <c r="AO503" s="227"/>
      <c r="AP503" s="227"/>
      <c r="AQ503" s="227"/>
      <c r="AR503" s="227"/>
      <c r="AS503" s="227"/>
      <c r="AT503" s="227"/>
      <c r="AU503" s="227"/>
      <c r="AV503" s="227"/>
      <c r="AW503" s="227"/>
      <c r="AX503" s="227"/>
      <c r="AY503" s="227"/>
      <c r="AZ503" s="227"/>
      <c r="BA503" s="227"/>
      <c r="BB503" s="227"/>
      <c r="BC503" s="227"/>
      <c r="BD503" s="227"/>
      <c r="BE503" s="227"/>
      <c r="BF503" s="227"/>
      <c r="BG503" s="227"/>
      <c r="BH503" s="227"/>
      <c r="BI503" s="227"/>
      <c r="BJ503" s="227"/>
      <c r="BK503" s="227"/>
      <c r="BL503" s="227"/>
      <c r="BM503" s="227"/>
      <c r="BN503" s="227"/>
      <c r="BO503" s="227"/>
      <c r="BP503" s="227"/>
      <c r="BQ503" s="227"/>
      <c r="BR503" s="227"/>
      <c r="BS503" s="227"/>
      <c r="BT503" s="227"/>
      <c r="BU503" s="227"/>
      <c r="BV503" s="227"/>
      <c r="BW503" s="227"/>
      <c r="BX503" s="227"/>
      <c r="BY503" s="227"/>
      <c r="BZ503" s="227"/>
      <c r="CA503" s="227"/>
      <c r="CB503" s="227"/>
      <c r="CC503" s="227"/>
      <c r="CD503" s="227"/>
      <c r="CE503" s="227"/>
      <c r="CF503" s="227"/>
      <c r="CG503" s="227"/>
      <c r="CH503" s="227"/>
      <c r="CI503" s="227"/>
      <c r="CJ503" s="227"/>
      <c r="CK503" s="227"/>
      <c r="CL503" s="227"/>
      <c r="CM503" s="227"/>
      <c r="CN503" s="227"/>
      <c r="CO503" s="227"/>
      <c r="CP503" s="227"/>
      <c r="CQ503" s="227"/>
      <c r="CR503" s="227"/>
      <c r="CS503" s="227"/>
      <c r="CT503" s="227"/>
      <c r="CU503" s="225"/>
      <c r="CV503" s="227"/>
    </row>
    <row r="504" spans="1:100" ht="20.100000000000001" customHeight="1">
      <c r="A504" s="223"/>
      <c r="B504" s="225"/>
      <c r="C504" s="227"/>
      <c r="D504" s="224"/>
      <c r="E504" s="227"/>
      <c r="F504" s="227"/>
      <c r="G504" s="227"/>
      <c r="H504" s="227"/>
      <c r="I504" s="227"/>
      <c r="J504" s="227"/>
      <c r="K504" s="227"/>
      <c r="L504" s="227"/>
      <c r="M504" s="227"/>
      <c r="N504" s="227"/>
      <c r="O504" s="227"/>
      <c r="P504" s="227"/>
      <c r="Q504" s="227"/>
      <c r="R504" s="227"/>
      <c r="S504" s="227"/>
      <c r="T504" s="227"/>
      <c r="U504" s="227"/>
      <c r="V504" s="227"/>
      <c r="W504" s="227"/>
      <c r="X504" s="227"/>
      <c r="Y504" s="227"/>
      <c r="Z504" s="227"/>
      <c r="AA504" s="227"/>
      <c r="AB504" s="227"/>
      <c r="AC504" s="227"/>
      <c r="AD504" s="227"/>
      <c r="AE504" s="227"/>
      <c r="AF504" s="227"/>
      <c r="AG504" s="227"/>
      <c r="AH504" s="227"/>
      <c r="AI504" s="227"/>
      <c r="AJ504" s="227"/>
      <c r="AK504" s="227"/>
      <c r="AL504" s="227"/>
      <c r="AM504" s="227"/>
      <c r="AN504" s="227"/>
      <c r="AO504" s="227"/>
      <c r="AP504" s="227"/>
      <c r="AQ504" s="227"/>
      <c r="AR504" s="227"/>
      <c r="AS504" s="227"/>
      <c r="AT504" s="227"/>
      <c r="AU504" s="227"/>
      <c r="AV504" s="227"/>
      <c r="AW504" s="227"/>
      <c r="AX504" s="227"/>
      <c r="AY504" s="227"/>
      <c r="AZ504" s="227"/>
      <c r="BA504" s="227"/>
      <c r="BB504" s="227"/>
      <c r="BC504" s="227"/>
      <c r="BD504" s="227"/>
      <c r="BE504" s="227"/>
      <c r="BF504" s="227"/>
      <c r="BG504" s="227"/>
      <c r="BH504" s="227"/>
      <c r="BI504" s="227"/>
      <c r="BJ504" s="227"/>
      <c r="BK504" s="227"/>
      <c r="BL504" s="227"/>
      <c r="BM504" s="227"/>
      <c r="BN504" s="227"/>
      <c r="BO504" s="227"/>
      <c r="BP504" s="227"/>
      <c r="BQ504" s="227"/>
      <c r="BR504" s="227"/>
      <c r="BS504" s="227"/>
      <c r="BT504" s="227"/>
      <c r="BU504" s="227"/>
      <c r="BV504" s="227"/>
      <c r="BW504" s="227"/>
      <c r="BX504" s="227"/>
      <c r="BY504" s="227"/>
      <c r="BZ504" s="227"/>
      <c r="CA504" s="227"/>
      <c r="CB504" s="227"/>
      <c r="CC504" s="227"/>
      <c r="CD504" s="227"/>
      <c r="CE504" s="227"/>
      <c r="CF504" s="227"/>
      <c r="CG504" s="227"/>
      <c r="CH504" s="227"/>
      <c r="CI504" s="227"/>
      <c r="CJ504" s="227"/>
      <c r="CK504" s="227"/>
      <c r="CL504" s="227"/>
      <c r="CM504" s="227"/>
      <c r="CN504" s="227"/>
      <c r="CO504" s="227"/>
      <c r="CP504" s="227"/>
      <c r="CQ504" s="227"/>
      <c r="CR504" s="227"/>
      <c r="CS504" s="227"/>
      <c r="CT504" s="227"/>
      <c r="CU504" s="225"/>
      <c r="CV504" s="227"/>
    </row>
    <row r="505" spans="1:100" ht="20.100000000000001" customHeight="1">
      <c r="A505" s="227">
        <v>249</v>
      </c>
      <c r="B505" s="225"/>
      <c r="C505" s="227"/>
      <c r="D505" s="228">
        <f>(SUMPRODUCT(E505:CU505*$E$6:$CU$6)/100)+(SUMPRODUCT(E505:CU505*$E$6:$CU$6*$E$3:$CU$3)/100)</f>
        <v>0</v>
      </c>
      <c r="E505" s="227"/>
      <c r="F505" s="227"/>
      <c r="G505" s="227"/>
      <c r="H505" s="227"/>
      <c r="I505" s="227"/>
      <c r="J505" s="227"/>
      <c r="K505" s="227"/>
      <c r="L505" s="227"/>
      <c r="M505" s="227"/>
      <c r="N505" s="227"/>
      <c r="O505" s="227"/>
      <c r="P505" s="227"/>
      <c r="Q505" s="227"/>
      <c r="R505" s="227"/>
      <c r="S505" s="227"/>
      <c r="T505" s="227"/>
      <c r="U505" s="227"/>
      <c r="V505" s="227"/>
      <c r="W505" s="227"/>
      <c r="X505" s="227"/>
      <c r="Y505" s="227"/>
      <c r="Z505" s="227"/>
      <c r="AA505" s="227"/>
      <c r="AB505" s="227"/>
      <c r="AC505" s="227"/>
      <c r="AD505" s="227"/>
      <c r="AE505" s="227"/>
      <c r="AF505" s="227"/>
      <c r="AG505" s="227"/>
      <c r="AH505" s="227"/>
      <c r="AI505" s="227"/>
      <c r="AJ505" s="227"/>
      <c r="AK505" s="227"/>
      <c r="AL505" s="227"/>
      <c r="AM505" s="227"/>
      <c r="AN505" s="227"/>
      <c r="AO505" s="227"/>
      <c r="AP505" s="227"/>
      <c r="AQ505" s="227"/>
      <c r="AR505" s="227"/>
      <c r="AS505" s="227"/>
      <c r="AT505" s="227"/>
      <c r="AU505" s="227"/>
      <c r="AV505" s="227"/>
      <c r="AW505" s="227"/>
      <c r="AX505" s="227"/>
      <c r="AY505" s="227"/>
      <c r="AZ505" s="227"/>
      <c r="BA505" s="227"/>
      <c r="BB505" s="227"/>
      <c r="BC505" s="227"/>
      <c r="BD505" s="227"/>
      <c r="BE505" s="227"/>
      <c r="BF505" s="227"/>
      <c r="BG505" s="227"/>
      <c r="BH505" s="227"/>
      <c r="BI505" s="227"/>
      <c r="BJ505" s="227"/>
      <c r="BK505" s="227"/>
      <c r="BL505" s="227"/>
      <c r="BM505" s="227"/>
      <c r="BN505" s="227"/>
      <c r="BO505" s="227"/>
      <c r="BP505" s="227"/>
      <c r="BQ505" s="227"/>
      <c r="BR505" s="227"/>
      <c r="BS505" s="227"/>
      <c r="BT505" s="227"/>
      <c r="BU505" s="227"/>
      <c r="BV505" s="227"/>
      <c r="BW505" s="227"/>
      <c r="BX505" s="227"/>
      <c r="BY505" s="227"/>
      <c r="BZ505" s="227"/>
      <c r="CA505" s="227"/>
      <c r="CB505" s="227"/>
      <c r="CC505" s="227"/>
      <c r="CD505" s="227"/>
      <c r="CE505" s="227"/>
      <c r="CF505" s="227"/>
      <c r="CG505" s="227"/>
      <c r="CH505" s="227"/>
      <c r="CI505" s="227"/>
      <c r="CJ505" s="227"/>
      <c r="CK505" s="227"/>
      <c r="CL505" s="227"/>
      <c r="CM505" s="227"/>
      <c r="CN505" s="227"/>
      <c r="CO505" s="227"/>
      <c r="CP505" s="227"/>
      <c r="CQ505" s="227"/>
      <c r="CR505" s="227"/>
      <c r="CS505" s="227"/>
      <c r="CT505" s="227"/>
      <c r="CU505" s="225"/>
      <c r="CV505" s="227"/>
    </row>
    <row r="506" spans="1:100" ht="20.100000000000001" customHeight="1">
      <c r="A506" s="227"/>
      <c r="B506" s="225"/>
      <c r="C506" s="227"/>
      <c r="D506" s="224"/>
      <c r="E506" s="227"/>
      <c r="F506" s="227"/>
      <c r="G506" s="227"/>
      <c r="H506" s="227"/>
      <c r="I506" s="227"/>
      <c r="J506" s="227"/>
      <c r="K506" s="227"/>
      <c r="L506" s="227"/>
      <c r="M506" s="227"/>
      <c r="N506" s="227"/>
      <c r="O506" s="227"/>
      <c r="P506" s="227"/>
      <c r="Q506" s="227"/>
      <c r="R506" s="227"/>
      <c r="S506" s="227"/>
      <c r="T506" s="227"/>
      <c r="U506" s="227"/>
      <c r="V506" s="227"/>
      <c r="W506" s="227"/>
      <c r="X506" s="227"/>
      <c r="Y506" s="227"/>
      <c r="Z506" s="227"/>
      <c r="AA506" s="227"/>
      <c r="AB506" s="227"/>
      <c r="AC506" s="227"/>
      <c r="AD506" s="227"/>
      <c r="AE506" s="227"/>
      <c r="AF506" s="227"/>
      <c r="AG506" s="227"/>
      <c r="AH506" s="227"/>
      <c r="AI506" s="227"/>
      <c r="AJ506" s="227"/>
      <c r="AK506" s="227"/>
      <c r="AL506" s="227"/>
      <c r="AM506" s="227"/>
      <c r="AN506" s="227"/>
      <c r="AO506" s="227"/>
      <c r="AP506" s="227"/>
      <c r="AQ506" s="227"/>
      <c r="AR506" s="227"/>
      <c r="AS506" s="227"/>
      <c r="AT506" s="227"/>
      <c r="AU506" s="227"/>
      <c r="AV506" s="227"/>
      <c r="AW506" s="227"/>
      <c r="AX506" s="227"/>
      <c r="AY506" s="227"/>
      <c r="AZ506" s="227"/>
      <c r="BA506" s="227"/>
      <c r="BB506" s="227"/>
      <c r="BC506" s="227"/>
      <c r="BD506" s="227"/>
      <c r="BE506" s="227"/>
      <c r="BF506" s="227"/>
      <c r="BG506" s="227"/>
      <c r="BH506" s="227"/>
      <c r="BI506" s="227"/>
      <c r="BJ506" s="227"/>
      <c r="BK506" s="227"/>
      <c r="BL506" s="227"/>
      <c r="BM506" s="227"/>
      <c r="BN506" s="227"/>
      <c r="BO506" s="227"/>
      <c r="BP506" s="227"/>
      <c r="BQ506" s="227"/>
      <c r="BR506" s="227"/>
      <c r="BS506" s="227"/>
      <c r="BT506" s="227"/>
      <c r="BU506" s="227"/>
      <c r="BV506" s="227"/>
      <c r="BW506" s="227"/>
      <c r="BX506" s="227"/>
      <c r="BY506" s="227"/>
      <c r="BZ506" s="227"/>
      <c r="CA506" s="227"/>
      <c r="CB506" s="227"/>
      <c r="CC506" s="227"/>
      <c r="CD506" s="227"/>
      <c r="CE506" s="227"/>
      <c r="CF506" s="227"/>
      <c r="CG506" s="227"/>
      <c r="CH506" s="227"/>
      <c r="CI506" s="227"/>
      <c r="CJ506" s="227"/>
      <c r="CK506" s="227"/>
      <c r="CL506" s="227"/>
      <c r="CM506" s="227"/>
      <c r="CN506" s="227"/>
      <c r="CO506" s="227"/>
      <c r="CP506" s="227"/>
      <c r="CQ506" s="227"/>
      <c r="CR506" s="227"/>
      <c r="CS506" s="227"/>
      <c r="CT506" s="227"/>
      <c r="CU506" s="225"/>
      <c r="CV506" s="227"/>
    </row>
    <row r="507" spans="1:100" ht="20.100000000000001" customHeight="1">
      <c r="A507" s="227">
        <v>250</v>
      </c>
      <c r="B507" s="225"/>
      <c r="C507" s="227"/>
      <c r="D507" s="228">
        <f>(SUMPRODUCT(E507:CU507*$E$6:$CU$6)/100)+(SUMPRODUCT(E507:CU507*$E$6:$CU$6*$E$3:$CU$3)/100)</f>
        <v>0</v>
      </c>
      <c r="E507" s="227"/>
      <c r="F507" s="227"/>
      <c r="G507" s="227"/>
      <c r="H507" s="227"/>
      <c r="I507" s="227"/>
      <c r="J507" s="227"/>
      <c r="K507" s="227"/>
      <c r="L507" s="227"/>
      <c r="M507" s="227"/>
      <c r="N507" s="227"/>
      <c r="O507" s="227"/>
      <c r="P507" s="227"/>
      <c r="Q507" s="227"/>
      <c r="R507" s="227"/>
      <c r="S507" s="227"/>
      <c r="T507" s="227"/>
      <c r="U507" s="227"/>
      <c r="V507" s="227"/>
      <c r="W507" s="227"/>
      <c r="X507" s="227"/>
      <c r="Y507" s="227"/>
      <c r="Z507" s="227"/>
      <c r="AA507" s="227"/>
      <c r="AB507" s="227"/>
      <c r="AC507" s="227"/>
      <c r="AD507" s="227"/>
      <c r="AE507" s="227"/>
      <c r="AF507" s="227"/>
      <c r="AG507" s="227"/>
      <c r="AH507" s="227"/>
      <c r="AI507" s="227"/>
      <c r="AJ507" s="227"/>
      <c r="AK507" s="227"/>
      <c r="AL507" s="227"/>
      <c r="AM507" s="227"/>
      <c r="AN507" s="227"/>
      <c r="AO507" s="227"/>
      <c r="AP507" s="227"/>
      <c r="AQ507" s="227"/>
      <c r="AR507" s="227"/>
      <c r="AS507" s="227"/>
      <c r="AT507" s="227"/>
      <c r="AU507" s="227"/>
      <c r="AV507" s="227"/>
      <c r="AW507" s="227"/>
      <c r="AX507" s="227"/>
      <c r="AY507" s="227"/>
      <c r="AZ507" s="227"/>
      <c r="BA507" s="227"/>
      <c r="BB507" s="227"/>
      <c r="BC507" s="227"/>
      <c r="BD507" s="227"/>
      <c r="BE507" s="227"/>
      <c r="BF507" s="227"/>
      <c r="BG507" s="227"/>
      <c r="BH507" s="227"/>
      <c r="BI507" s="227"/>
      <c r="BJ507" s="227"/>
      <c r="BK507" s="227"/>
      <c r="BL507" s="227"/>
      <c r="BM507" s="227"/>
      <c r="BN507" s="227"/>
      <c r="BO507" s="227"/>
      <c r="BP507" s="227"/>
      <c r="BQ507" s="227"/>
      <c r="BR507" s="227"/>
      <c r="BS507" s="227"/>
      <c r="BT507" s="227"/>
      <c r="BU507" s="227"/>
      <c r="BV507" s="227"/>
      <c r="BW507" s="227"/>
      <c r="BX507" s="227"/>
      <c r="BY507" s="227"/>
      <c r="BZ507" s="227"/>
      <c r="CA507" s="227"/>
      <c r="CB507" s="227"/>
      <c r="CC507" s="227"/>
      <c r="CD507" s="227"/>
      <c r="CE507" s="227"/>
      <c r="CF507" s="227"/>
      <c r="CG507" s="227"/>
      <c r="CH507" s="227"/>
      <c r="CI507" s="227"/>
      <c r="CJ507" s="227"/>
      <c r="CK507" s="227"/>
      <c r="CL507" s="227"/>
      <c r="CM507" s="227"/>
      <c r="CN507" s="227"/>
      <c r="CO507" s="227"/>
      <c r="CP507" s="227"/>
      <c r="CQ507" s="227"/>
      <c r="CR507" s="227"/>
      <c r="CS507" s="227"/>
      <c r="CT507" s="227"/>
      <c r="CU507" s="225"/>
      <c r="CV507" s="227"/>
    </row>
    <row r="508" spans="1:100" ht="20.100000000000001" customHeight="1">
      <c r="A508" s="223"/>
      <c r="B508" s="225"/>
      <c r="C508" s="227"/>
      <c r="D508" s="224"/>
      <c r="E508" s="227"/>
      <c r="F508" s="227"/>
      <c r="G508" s="227"/>
      <c r="H508" s="227"/>
      <c r="I508" s="227"/>
      <c r="J508" s="227"/>
      <c r="K508" s="227"/>
      <c r="L508" s="227"/>
      <c r="M508" s="227"/>
      <c r="N508" s="227"/>
      <c r="O508" s="227"/>
      <c r="P508" s="227"/>
      <c r="Q508" s="227"/>
      <c r="R508" s="227"/>
      <c r="S508" s="227"/>
      <c r="T508" s="227"/>
      <c r="U508" s="227"/>
      <c r="V508" s="227"/>
      <c r="W508" s="227"/>
      <c r="X508" s="227"/>
      <c r="Y508" s="227"/>
      <c r="Z508" s="227"/>
      <c r="AA508" s="227"/>
      <c r="AB508" s="227"/>
      <c r="AC508" s="227"/>
      <c r="AD508" s="227"/>
      <c r="AE508" s="227"/>
      <c r="AF508" s="227"/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27"/>
      <c r="BC508" s="227"/>
      <c r="BD508" s="227"/>
      <c r="BE508" s="227"/>
      <c r="BF508" s="227"/>
      <c r="BG508" s="227"/>
      <c r="BH508" s="227"/>
      <c r="BI508" s="227"/>
      <c r="BJ508" s="227"/>
      <c r="BK508" s="227"/>
      <c r="BL508" s="227"/>
      <c r="BM508" s="227"/>
      <c r="BN508" s="227"/>
      <c r="BO508" s="227"/>
      <c r="BP508" s="227"/>
      <c r="BQ508" s="227"/>
      <c r="BR508" s="227"/>
      <c r="BS508" s="227"/>
      <c r="BT508" s="227"/>
      <c r="BU508" s="227"/>
      <c r="BV508" s="227"/>
      <c r="BW508" s="227"/>
      <c r="BX508" s="227"/>
      <c r="BY508" s="227"/>
      <c r="BZ508" s="227"/>
      <c r="CA508" s="227"/>
      <c r="CB508" s="227"/>
      <c r="CC508" s="227"/>
      <c r="CD508" s="227"/>
      <c r="CE508" s="227"/>
      <c r="CF508" s="227"/>
      <c r="CG508" s="227"/>
      <c r="CH508" s="227"/>
      <c r="CI508" s="227"/>
      <c r="CJ508" s="227"/>
      <c r="CK508" s="227"/>
      <c r="CL508" s="227"/>
      <c r="CM508" s="227"/>
      <c r="CN508" s="227"/>
      <c r="CO508" s="227"/>
      <c r="CP508" s="227"/>
      <c r="CQ508" s="227"/>
      <c r="CR508" s="227"/>
      <c r="CS508" s="227"/>
      <c r="CT508" s="227"/>
      <c r="CU508" s="225"/>
      <c r="CV508" s="227"/>
    </row>
    <row r="509" spans="1:100" ht="20.100000000000001" customHeight="1">
      <c r="A509" s="227">
        <v>251</v>
      </c>
      <c r="B509" s="225"/>
      <c r="C509" s="227"/>
      <c r="D509" s="228">
        <f>(SUMPRODUCT(E509:CU509*$E$6:$CU$6)/100)+(SUMPRODUCT(E509:CU509*$E$6:$CU$6*$E$3:$CU$3)/100)</f>
        <v>0</v>
      </c>
      <c r="E509" s="227"/>
      <c r="F509" s="227"/>
      <c r="G509" s="227"/>
      <c r="H509" s="227"/>
      <c r="I509" s="227"/>
      <c r="J509" s="227"/>
      <c r="K509" s="227"/>
      <c r="L509" s="227"/>
      <c r="M509" s="227"/>
      <c r="N509" s="227"/>
      <c r="O509" s="227"/>
      <c r="P509" s="227"/>
      <c r="Q509" s="227"/>
      <c r="R509" s="227"/>
      <c r="S509" s="227"/>
      <c r="T509" s="227"/>
      <c r="U509" s="227"/>
      <c r="V509" s="227"/>
      <c r="W509" s="227"/>
      <c r="X509" s="227"/>
      <c r="Y509" s="227"/>
      <c r="Z509" s="227"/>
      <c r="AA509" s="227"/>
      <c r="AB509" s="227"/>
      <c r="AC509" s="227"/>
      <c r="AD509" s="227"/>
      <c r="AE509" s="227"/>
      <c r="AF509" s="227"/>
      <c r="AG509" s="227"/>
      <c r="AH509" s="227"/>
      <c r="AI509" s="227"/>
      <c r="AJ509" s="227"/>
      <c r="AK509" s="227"/>
      <c r="AL509" s="227"/>
      <c r="AM509" s="227"/>
      <c r="AN509" s="227"/>
      <c r="AO509" s="227"/>
      <c r="AP509" s="227"/>
      <c r="AQ509" s="227"/>
      <c r="AR509" s="227"/>
      <c r="AS509" s="227"/>
      <c r="AT509" s="227"/>
      <c r="AU509" s="227"/>
      <c r="AV509" s="227"/>
      <c r="AW509" s="227"/>
      <c r="AX509" s="227"/>
      <c r="AY509" s="227"/>
      <c r="AZ509" s="227"/>
      <c r="BA509" s="227"/>
      <c r="BB509" s="227"/>
      <c r="BC509" s="227"/>
      <c r="BD509" s="227"/>
      <c r="BE509" s="227"/>
      <c r="BF509" s="227"/>
      <c r="BG509" s="227"/>
      <c r="BH509" s="227"/>
      <c r="BI509" s="227"/>
      <c r="BJ509" s="227"/>
      <c r="BK509" s="227"/>
      <c r="BL509" s="227"/>
      <c r="BM509" s="227"/>
      <c r="BN509" s="227"/>
      <c r="BO509" s="227"/>
      <c r="BP509" s="227"/>
      <c r="BQ509" s="227"/>
      <c r="BR509" s="227"/>
      <c r="BS509" s="227"/>
      <c r="BT509" s="227"/>
      <c r="BU509" s="227"/>
      <c r="BV509" s="227"/>
      <c r="BW509" s="227"/>
      <c r="BX509" s="227"/>
      <c r="BY509" s="227"/>
      <c r="BZ509" s="227"/>
      <c r="CA509" s="227"/>
      <c r="CB509" s="227"/>
      <c r="CC509" s="227"/>
      <c r="CD509" s="227"/>
      <c r="CE509" s="227"/>
      <c r="CF509" s="227"/>
      <c r="CG509" s="227"/>
      <c r="CH509" s="227"/>
      <c r="CI509" s="227"/>
      <c r="CJ509" s="227"/>
      <c r="CK509" s="227"/>
      <c r="CL509" s="227"/>
      <c r="CM509" s="227"/>
      <c r="CN509" s="227"/>
      <c r="CO509" s="227"/>
      <c r="CP509" s="227"/>
      <c r="CQ509" s="227"/>
      <c r="CR509" s="227"/>
      <c r="CS509" s="227"/>
      <c r="CT509" s="227"/>
      <c r="CU509" s="225"/>
      <c r="CV509" s="227"/>
    </row>
    <row r="510" spans="1:100" ht="20.100000000000001" customHeight="1">
      <c r="A510" s="227"/>
      <c r="B510" s="225"/>
      <c r="C510" s="227"/>
      <c r="D510" s="224"/>
      <c r="E510" s="227"/>
      <c r="F510" s="227"/>
      <c r="G510" s="227"/>
      <c r="H510" s="227"/>
      <c r="I510" s="227"/>
      <c r="J510" s="227"/>
      <c r="K510" s="227"/>
      <c r="L510" s="227"/>
      <c r="M510" s="227"/>
      <c r="N510" s="227"/>
      <c r="O510" s="227"/>
      <c r="P510" s="227"/>
      <c r="Q510" s="227"/>
      <c r="R510" s="227"/>
      <c r="S510" s="227"/>
      <c r="T510" s="227"/>
      <c r="U510" s="227"/>
      <c r="V510" s="227"/>
      <c r="W510" s="227"/>
      <c r="X510" s="227"/>
      <c r="Y510" s="227"/>
      <c r="Z510" s="227"/>
      <c r="AA510" s="227"/>
      <c r="AB510" s="227"/>
      <c r="AC510" s="227"/>
      <c r="AD510" s="227"/>
      <c r="AE510" s="227"/>
      <c r="AF510" s="227"/>
      <c r="AG510" s="227"/>
      <c r="AH510" s="227"/>
      <c r="AI510" s="227"/>
      <c r="AJ510" s="227"/>
      <c r="AK510" s="227"/>
      <c r="AL510" s="227"/>
      <c r="AM510" s="227"/>
      <c r="AN510" s="227"/>
      <c r="AO510" s="227"/>
      <c r="AP510" s="227"/>
      <c r="AQ510" s="227"/>
      <c r="AR510" s="227"/>
      <c r="AS510" s="227"/>
      <c r="AT510" s="227"/>
      <c r="AU510" s="227"/>
      <c r="AV510" s="227"/>
      <c r="AW510" s="227"/>
      <c r="AX510" s="227"/>
      <c r="AY510" s="227"/>
      <c r="AZ510" s="227"/>
      <c r="BA510" s="227"/>
      <c r="BB510" s="227"/>
      <c r="BC510" s="227"/>
      <c r="BD510" s="227"/>
      <c r="BE510" s="227"/>
      <c r="BF510" s="227"/>
      <c r="BG510" s="227"/>
      <c r="BH510" s="227"/>
      <c r="BI510" s="227"/>
      <c r="BJ510" s="227"/>
      <c r="BK510" s="227"/>
      <c r="BL510" s="227"/>
      <c r="BM510" s="227"/>
      <c r="BN510" s="227"/>
      <c r="BO510" s="227"/>
      <c r="BP510" s="227"/>
      <c r="BQ510" s="227"/>
      <c r="BR510" s="227"/>
      <c r="BS510" s="227"/>
      <c r="BT510" s="227"/>
      <c r="BU510" s="227"/>
      <c r="BV510" s="227"/>
      <c r="BW510" s="227"/>
      <c r="BX510" s="227"/>
      <c r="BY510" s="227"/>
      <c r="BZ510" s="227"/>
      <c r="CA510" s="227"/>
      <c r="CB510" s="227"/>
      <c r="CC510" s="227"/>
      <c r="CD510" s="227"/>
      <c r="CE510" s="227"/>
      <c r="CF510" s="227"/>
      <c r="CG510" s="227"/>
      <c r="CH510" s="227"/>
      <c r="CI510" s="227"/>
      <c r="CJ510" s="227"/>
      <c r="CK510" s="227"/>
      <c r="CL510" s="227"/>
      <c r="CM510" s="227"/>
      <c r="CN510" s="227"/>
      <c r="CO510" s="227"/>
      <c r="CP510" s="227"/>
      <c r="CQ510" s="227"/>
      <c r="CR510" s="227"/>
      <c r="CS510" s="227"/>
      <c r="CT510" s="227"/>
      <c r="CU510" s="225"/>
      <c r="CV510" s="227"/>
    </row>
    <row r="511" spans="1:100" ht="20.100000000000001" customHeight="1">
      <c r="A511" s="227">
        <v>252</v>
      </c>
      <c r="B511" s="225"/>
      <c r="C511" s="227"/>
      <c r="D511" s="228">
        <f>(SUMPRODUCT(E511:CU511*$E$6:$CU$6)/100)+(SUMPRODUCT(E511:CU511*$E$6:$CU$6*$E$3:$CU$3)/100)</f>
        <v>0</v>
      </c>
      <c r="E511" s="227"/>
      <c r="F511" s="227"/>
      <c r="G511" s="227"/>
      <c r="H511" s="227"/>
      <c r="I511" s="227"/>
      <c r="J511" s="227"/>
      <c r="K511" s="227"/>
      <c r="L511" s="227"/>
      <c r="M511" s="227"/>
      <c r="N511" s="227"/>
      <c r="O511" s="227"/>
      <c r="P511" s="227"/>
      <c r="Q511" s="227"/>
      <c r="R511" s="227"/>
      <c r="S511" s="227"/>
      <c r="T511" s="227"/>
      <c r="U511" s="227"/>
      <c r="V511" s="227"/>
      <c r="W511" s="227"/>
      <c r="X511" s="227"/>
      <c r="Y511" s="227"/>
      <c r="Z511" s="227"/>
      <c r="AA511" s="227"/>
      <c r="AB511" s="227"/>
      <c r="AC511" s="227"/>
      <c r="AD511" s="227"/>
      <c r="AE511" s="227"/>
      <c r="AF511" s="227"/>
      <c r="AG511" s="227"/>
      <c r="AH511" s="227"/>
      <c r="AI511" s="227"/>
      <c r="AJ511" s="227"/>
      <c r="AK511" s="227"/>
      <c r="AL511" s="227"/>
      <c r="AM511" s="227"/>
      <c r="AN511" s="227"/>
      <c r="AO511" s="227"/>
      <c r="AP511" s="227"/>
      <c r="AQ511" s="227"/>
      <c r="AR511" s="227"/>
      <c r="AS511" s="227"/>
      <c r="AT511" s="227"/>
      <c r="AU511" s="227"/>
      <c r="AV511" s="227"/>
      <c r="AW511" s="227"/>
      <c r="AX511" s="227"/>
      <c r="AY511" s="227"/>
      <c r="AZ511" s="227"/>
      <c r="BA511" s="227"/>
      <c r="BB511" s="227"/>
      <c r="BC511" s="227"/>
      <c r="BD511" s="227"/>
      <c r="BE511" s="227"/>
      <c r="BF511" s="227"/>
      <c r="BG511" s="227"/>
      <c r="BH511" s="227"/>
      <c r="BI511" s="227"/>
      <c r="BJ511" s="227"/>
      <c r="BK511" s="227"/>
      <c r="BL511" s="227"/>
      <c r="BM511" s="227"/>
      <c r="BN511" s="227"/>
      <c r="BO511" s="227"/>
      <c r="BP511" s="227"/>
      <c r="BQ511" s="227"/>
      <c r="BR511" s="227"/>
      <c r="BS511" s="227"/>
      <c r="BT511" s="227"/>
      <c r="BU511" s="227"/>
      <c r="BV511" s="227"/>
      <c r="BW511" s="227"/>
      <c r="BX511" s="227"/>
      <c r="BY511" s="227"/>
      <c r="BZ511" s="227"/>
      <c r="CA511" s="227"/>
      <c r="CB511" s="227"/>
      <c r="CC511" s="227"/>
      <c r="CD511" s="227"/>
      <c r="CE511" s="227"/>
      <c r="CF511" s="227"/>
      <c r="CG511" s="227"/>
      <c r="CH511" s="227"/>
      <c r="CI511" s="227"/>
      <c r="CJ511" s="227"/>
      <c r="CK511" s="227"/>
      <c r="CL511" s="227"/>
      <c r="CM511" s="227"/>
      <c r="CN511" s="227"/>
      <c r="CO511" s="227"/>
      <c r="CP511" s="227"/>
      <c r="CQ511" s="227"/>
      <c r="CR511" s="227"/>
      <c r="CS511" s="227"/>
      <c r="CT511" s="227"/>
      <c r="CU511" s="225"/>
      <c r="CV511" s="227"/>
    </row>
    <row r="512" spans="1:100" ht="20.100000000000001" customHeight="1">
      <c r="A512" s="223"/>
      <c r="B512" s="225"/>
      <c r="C512" s="227"/>
      <c r="D512" s="224"/>
      <c r="E512" s="227"/>
      <c r="F512" s="227"/>
      <c r="G512" s="227"/>
      <c r="H512" s="227"/>
      <c r="I512" s="227"/>
      <c r="J512" s="227"/>
      <c r="K512" s="227"/>
      <c r="L512" s="227"/>
      <c r="M512" s="227"/>
      <c r="N512" s="227"/>
      <c r="O512" s="227"/>
      <c r="P512" s="227"/>
      <c r="Q512" s="227"/>
      <c r="R512" s="227"/>
      <c r="S512" s="227"/>
      <c r="T512" s="227"/>
      <c r="U512" s="227"/>
      <c r="V512" s="227"/>
      <c r="W512" s="227"/>
      <c r="X512" s="227"/>
      <c r="Y512" s="227"/>
      <c r="Z512" s="227"/>
      <c r="AA512" s="227"/>
      <c r="AB512" s="227"/>
      <c r="AC512" s="227"/>
      <c r="AD512" s="227"/>
      <c r="AE512" s="227"/>
      <c r="AF512" s="227"/>
      <c r="AG512" s="227"/>
      <c r="AH512" s="227"/>
      <c r="AI512" s="227"/>
      <c r="AJ512" s="227"/>
      <c r="AK512" s="227"/>
      <c r="AL512" s="227"/>
      <c r="AM512" s="227"/>
      <c r="AN512" s="227"/>
      <c r="AO512" s="227"/>
      <c r="AP512" s="227"/>
      <c r="AQ512" s="227"/>
      <c r="AR512" s="227"/>
      <c r="AS512" s="227"/>
      <c r="AT512" s="227"/>
      <c r="AU512" s="227"/>
      <c r="AV512" s="227"/>
      <c r="AW512" s="227"/>
      <c r="AX512" s="227"/>
      <c r="AY512" s="227"/>
      <c r="AZ512" s="227"/>
      <c r="BA512" s="227"/>
      <c r="BB512" s="227"/>
      <c r="BC512" s="227"/>
      <c r="BD512" s="227"/>
      <c r="BE512" s="227"/>
      <c r="BF512" s="227"/>
      <c r="BG512" s="227"/>
      <c r="BH512" s="227"/>
      <c r="BI512" s="227"/>
      <c r="BJ512" s="227"/>
      <c r="BK512" s="227"/>
      <c r="BL512" s="227"/>
      <c r="BM512" s="227"/>
      <c r="BN512" s="227"/>
      <c r="BO512" s="227"/>
      <c r="BP512" s="227"/>
      <c r="BQ512" s="227"/>
      <c r="BR512" s="227"/>
      <c r="BS512" s="227"/>
      <c r="BT512" s="227"/>
      <c r="BU512" s="227"/>
      <c r="BV512" s="227"/>
      <c r="BW512" s="227"/>
      <c r="BX512" s="227"/>
      <c r="BY512" s="227"/>
      <c r="BZ512" s="227"/>
      <c r="CA512" s="227"/>
      <c r="CB512" s="227"/>
      <c r="CC512" s="227"/>
      <c r="CD512" s="227"/>
      <c r="CE512" s="227"/>
      <c r="CF512" s="227"/>
      <c r="CG512" s="227"/>
      <c r="CH512" s="227"/>
      <c r="CI512" s="227"/>
      <c r="CJ512" s="227"/>
      <c r="CK512" s="227"/>
      <c r="CL512" s="227"/>
      <c r="CM512" s="227"/>
      <c r="CN512" s="227"/>
      <c r="CO512" s="227"/>
      <c r="CP512" s="227"/>
      <c r="CQ512" s="227"/>
      <c r="CR512" s="227"/>
      <c r="CS512" s="227"/>
      <c r="CT512" s="227"/>
      <c r="CU512" s="225"/>
      <c r="CV512" s="227"/>
    </row>
    <row r="513" spans="1:100" ht="20.100000000000001" customHeight="1">
      <c r="A513" s="227">
        <v>253</v>
      </c>
      <c r="B513" s="225"/>
      <c r="C513" s="227"/>
      <c r="D513" s="228">
        <f>(SUMPRODUCT(E513:CU513*$E$6:$CU$6)/100)+(SUMPRODUCT(E513:CU513*$E$6:$CU$6*$E$3:$CU$3)/100)</f>
        <v>0</v>
      </c>
      <c r="E513" s="227"/>
      <c r="F513" s="227"/>
      <c r="G513" s="227"/>
      <c r="H513" s="227"/>
      <c r="I513" s="227"/>
      <c r="J513" s="227"/>
      <c r="K513" s="227"/>
      <c r="L513" s="227"/>
      <c r="M513" s="227"/>
      <c r="N513" s="227"/>
      <c r="O513" s="227"/>
      <c r="P513" s="227"/>
      <c r="Q513" s="227"/>
      <c r="R513" s="227"/>
      <c r="S513" s="227"/>
      <c r="T513" s="227"/>
      <c r="U513" s="227"/>
      <c r="V513" s="227"/>
      <c r="W513" s="227"/>
      <c r="X513" s="227"/>
      <c r="Y513" s="227"/>
      <c r="Z513" s="227"/>
      <c r="AA513" s="227"/>
      <c r="AB513" s="227"/>
      <c r="AC513" s="227"/>
      <c r="AD513" s="227"/>
      <c r="AE513" s="227"/>
      <c r="AF513" s="227"/>
      <c r="AG513" s="227"/>
      <c r="AH513" s="227"/>
      <c r="AI513" s="227"/>
      <c r="AJ513" s="227"/>
      <c r="AK513" s="227"/>
      <c r="AL513" s="227"/>
      <c r="AM513" s="227"/>
      <c r="AN513" s="227"/>
      <c r="AO513" s="227"/>
      <c r="AP513" s="227"/>
      <c r="AQ513" s="227"/>
      <c r="AR513" s="227"/>
      <c r="AS513" s="227"/>
      <c r="AT513" s="227"/>
      <c r="AU513" s="227"/>
      <c r="AV513" s="227"/>
      <c r="AW513" s="227"/>
      <c r="AX513" s="227"/>
      <c r="AY513" s="227"/>
      <c r="AZ513" s="227"/>
      <c r="BA513" s="227"/>
      <c r="BB513" s="227"/>
      <c r="BC513" s="227"/>
      <c r="BD513" s="227"/>
      <c r="BE513" s="227"/>
      <c r="BF513" s="227"/>
      <c r="BG513" s="227"/>
      <c r="BH513" s="227"/>
      <c r="BI513" s="227"/>
      <c r="BJ513" s="227"/>
      <c r="BK513" s="227"/>
      <c r="BL513" s="227"/>
      <c r="BM513" s="227"/>
      <c r="BN513" s="227"/>
      <c r="BO513" s="227"/>
      <c r="BP513" s="227"/>
      <c r="BQ513" s="227"/>
      <c r="BR513" s="227"/>
      <c r="BS513" s="227"/>
      <c r="BT513" s="227"/>
      <c r="BU513" s="227"/>
      <c r="BV513" s="227"/>
      <c r="BW513" s="227"/>
      <c r="BX513" s="227"/>
      <c r="BY513" s="227"/>
      <c r="BZ513" s="227"/>
      <c r="CA513" s="227"/>
      <c r="CB513" s="227"/>
      <c r="CC513" s="227"/>
      <c r="CD513" s="227"/>
      <c r="CE513" s="227"/>
      <c r="CF513" s="227"/>
      <c r="CG513" s="227"/>
      <c r="CH513" s="227"/>
      <c r="CI513" s="227"/>
      <c r="CJ513" s="227"/>
      <c r="CK513" s="227"/>
      <c r="CL513" s="227"/>
      <c r="CM513" s="227"/>
      <c r="CN513" s="227"/>
      <c r="CO513" s="227"/>
      <c r="CP513" s="227"/>
      <c r="CQ513" s="227"/>
      <c r="CR513" s="227"/>
      <c r="CS513" s="227"/>
      <c r="CT513" s="227"/>
      <c r="CU513" s="225"/>
      <c r="CV513" s="227"/>
    </row>
    <row r="514" spans="1:100" ht="20.100000000000001" customHeight="1">
      <c r="A514" s="227"/>
      <c r="B514" s="225"/>
      <c r="C514" s="227"/>
      <c r="D514" s="224"/>
      <c r="E514" s="227"/>
      <c r="F514" s="227"/>
      <c r="G514" s="227"/>
      <c r="H514" s="227"/>
      <c r="I514" s="227"/>
      <c r="J514" s="227"/>
      <c r="K514" s="227"/>
      <c r="L514" s="227"/>
      <c r="M514" s="227"/>
      <c r="N514" s="227"/>
      <c r="O514" s="227"/>
      <c r="P514" s="227"/>
      <c r="Q514" s="227"/>
      <c r="R514" s="227"/>
      <c r="S514" s="227"/>
      <c r="T514" s="227"/>
      <c r="U514" s="227"/>
      <c r="V514" s="227"/>
      <c r="W514" s="227"/>
      <c r="X514" s="227"/>
      <c r="Y514" s="227"/>
      <c r="Z514" s="227"/>
      <c r="AA514" s="227"/>
      <c r="AB514" s="227"/>
      <c r="AC514" s="227"/>
      <c r="AD514" s="227"/>
      <c r="AE514" s="227"/>
      <c r="AF514" s="227"/>
      <c r="AG514" s="227"/>
      <c r="AH514" s="227"/>
      <c r="AI514" s="227"/>
      <c r="AJ514" s="227"/>
      <c r="AK514" s="227"/>
      <c r="AL514" s="227"/>
      <c r="AM514" s="227"/>
      <c r="AN514" s="227"/>
      <c r="AO514" s="227"/>
      <c r="AP514" s="227"/>
      <c r="AQ514" s="227"/>
      <c r="AR514" s="227"/>
      <c r="AS514" s="227"/>
      <c r="AT514" s="227"/>
      <c r="AU514" s="227"/>
      <c r="AV514" s="227"/>
      <c r="AW514" s="227"/>
      <c r="AX514" s="227"/>
      <c r="AY514" s="227"/>
      <c r="AZ514" s="227"/>
      <c r="BA514" s="227"/>
      <c r="BB514" s="227"/>
      <c r="BC514" s="227"/>
      <c r="BD514" s="227"/>
      <c r="BE514" s="227"/>
      <c r="BF514" s="227"/>
      <c r="BG514" s="227"/>
      <c r="BH514" s="227"/>
      <c r="BI514" s="227"/>
      <c r="BJ514" s="227"/>
      <c r="BK514" s="227"/>
      <c r="BL514" s="227"/>
      <c r="BM514" s="227"/>
      <c r="BN514" s="227"/>
      <c r="BO514" s="227"/>
      <c r="BP514" s="227"/>
      <c r="BQ514" s="227"/>
      <c r="BR514" s="227"/>
      <c r="BS514" s="227"/>
      <c r="BT514" s="227"/>
      <c r="BU514" s="227"/>
      <c r="BV514" s="227"/>
      <c r="BW514" s="227"/>
      <c r="BX514" s="227"/>
      <c r="BY514" s="227"/>
      <c r="BZ514" s="227"/>
      <c r="CA514" s="227"/>
      <c r="CB514" s="227"/>
      <c r="CC514" s="227"/>
      <c r="CD514" s="227"/>
      <c r="CE514" s="227"/>
      <c r="CF514" s="227"/>
      <c r="CG514" s="227"/>
      <c r="CH514" s="227"/>
      <c r="CI514" s="227"/>
      <c r="CJ514" s="227"/>
      <c r="CK514" s="227"/>
      <c r="CL514" s="227"/>
      <c r="CM514" s="227"/>
      <c r="CN514" s="227"/>
      <c r="CO514" s="227"/>
      <c r="CP514" s="227"/>
      <c r="CQ514" s="227"/>
      <c r="CR514" s="227"/>
      <c r="CS514" s="227"/>
      <c r="CT514" s="227"/>
      <c r="CU514" s="225"/>
      <c r="CV514" s="227"/>
    </row>
    <row r="515" spans="1:100" ht="20.100000000000001" customHeight="1">
      <c r="A515" s="227">
        <v>254</v>
      </c>
      <c r="B515" s="225"/>
      <c r="C515" s="227"/>
      <c r="D515" s="228">
        <f>(SUMPRODUCT(E515:CU515*$E$6:$CU$6)/100)+(SUMPRODUCT(E515:CU515*$E$6:$CU$6*$E$3:$CU$3)/100)</f>
        <v>0</v>
      </c>
      <c r="E515" s="227"/>
      <c r="F515" s="227"/>
      <c r="G515" s="227"/>
      <c r="H515" s="227"/>
      <c r="I515" s="227"/>
      <c r="J515" s="227"/>
      <c r="K515" s="227"/>
      <c r="L515" s="227"/>
      <c r="M515" s="227"/>
      <c r="N515" s="227"/>
      <c r="O515" s="227"/>
      <c r="P515" s="227"/>
      <c r="Q515" s="227"/>
      <c r="R515" s="227"/>
      <c r="S515" s="227"/>
      <c r="T515" s="227"/>
      <c r="U515" s="227"/>
      <c r="V515" s="227"/>
      <c r="W515" s="227"/>
      <c r="X515" s="227"/>
      <c r="Y515" s="227"/>
      <c r="Z515" s="227"/>
      <c r="AA515" s="227"/>
      <c r="AB515" s="227"/>
      <c r="AC515" s="227"/>
      <c r="AD515" s="227"/>
      <c r="AE515" s="227"/>
      <c r="AF515" s="227"/>
      <c r="AG515" s="227"/>
      <c r="AH515" s="227"/>
      <c r="AI515" s="227"/>
      <c r="AJ515" s="227"/>
      <c r="AK515" s="227"/>
      <c r="AL515" s="227"/>
      <c r="AM515" s="227"/>
      <c r="AN515" s="227"/>
      <c r="AO515" s="227"/>
      <c r="AP515" s="227"/>
      <c r="AQ515" s="227"/>
      <c r="AR515" s="227"/>
      <c r="AS515" s="227"/>
      <c r="AT515" s="227"/>
      <c r="AU515" s="227"/>
      <c r="AV515" s="227"/>
      <c r="AW515" s="227"/>
      <c r="AX515" s="227"/>
      <c r="AY515" s="227"/>
      <c r="AZ515" s="227"/>
      <c r="BA515" s="227"/>
      <c r="BB515" s="227"/>
      <c r="BC515" s="227"/>
      <c r="BD515" s="227"/>
      <c r="BE515" s="227"/>
      <c r="BF515" s="227"/>
      <c r="BG515" s="227"/>
      <c r="BH515" s="227"/>
      <c r="BI515" s="227"/>
      <c r="BJ515" s="227"/>
      <c r="BK515" s="227"/>
      <c r="BL515" s="227"/>
      <c r="BM515" s="227"/>
      <c r="BN515" s="227"/>
      <c r="BO515" s="227"/>
      <c r="BP515" s="227"/>
      <c r="BQ515" s="227"/>
      <c r="BR515" s="227"/>
      <c r="BS515" s="227"/>
      <c r="BT515" s="227"/>
      <c r="BU515" s="227"/>
      <c r="BV515" s="227"/>
      <c r="BW515" s="227"/>
      <c r="BX515" s="227"/>
      <c r="BY515" s="227"/>
      <c r="BZ515" s="227"/>
      <c r="CA515" s="227"/>
      <c r="CB515" s="227"/>
      <c r="CC515" s="227"/>
      <c r="CD515" s="227"/>
      <c r="CE515" s="227"/>
      <c r="CF515" s="227"/>
      <c r="CG515" s="227"/>
      <c r="CH515" s="227"/>
      <c r="CI515" s="227"/>
      <c r="CJ515" s="227"/>
      <c r="CK515" s="227"/>
      <c r="CL515" s="227"/>
      <c r="CM515" s="227"/>
      <c r="CN515" s="227"/>
      <c r="CO515" s="227"/>
      <c r="CP515" s="227"/>
      <c r="CQ515" s="227"/>
      <c r="CR515" s="227"/>
      <c r="CS515" s="227"/>
      <c r="CT515" s="227"/>
      <c r="CU515" s="225"/>
      <c r="CV515" s="227"/>
    </row>
    <row r="516" spans="1:100" ht="20.100000000000001" customHeight="1">
      <c r="A516" s="223"/>
      <c r="B516" s="225"/>
      <c r="C516" s="227"/>
      <c r="D516" s="224"/>
      <c r="E516" s="227"/>
      <c r="F516" s="227"/>
      <c r="G516" s="227"/>
      <c r="H516" s="227"/>
      <c r="I516" s="227"/>
      <c r="J516" s="227"/>
      <c r="K516" s="227"/>
      <c r="L516" s="227"/>
      <c r="M516" s="227"/>
      <c r="N516" s="227"/>
      <c r="O516" s="227"/>
      <c r="P516" s="227"/>
      <c r="Q516" s="227"/>
      <c r="R516" s="227"/>
      <c r="S516" s="227"/>
      <c r="T516" s="227"/>
      <c r="U516" s="227"/>
      <c r="V516" s="227"/>
      <c r="W516" s="227"/>
      <c r="X516" s="227"/>
      <c r="Y516" s="227"/>
      <c r="Z516" s="227"/>
      <c r="AA516" s="227"/>
      <c r="AB516" s="227"/>
      <c r="AC516" s="227"/>
      <c r="AD516" s="227"/>
      <c r="AE516" s="227"/>
      <c r="AF516" s="227"/>
      <c r="AG516" s="227"/>
      <c r="AH516" s="227"/>
      <c r="AI516" s="227"/>
      <c r="AJ516" s="227"/>
      <c r="AK516" s="227"/>
      <c r="AL516" s="227"/>
      <c r="AM516" s="227"/>
      <c r="AN516" s="227"/>
      <c r="AO516" s="227"/>
      <c r="AP516" s="227"/>
      <c r="AQ516" s="227"/>
      <c r="AR516" s="227"/>
      <c r="AS516" s="227"/>
      <c r="AT516" s="227"/>
      <c r="AU516" s="227"/>
      <c r="AV516" s="227"/>
      <c r="AW516" s="227"/>
      <c r="AX516" s="227"/>
      <c r="AY516" s="227"/>
      <c r="AZ516" s="227"/>
      <c r="BA516" s="227"/>
      <c r="BB516" s="227"/>
      <c r="BC516" s="227"/>
      <c r="BD516" s="227"/>
      <c r="BE516" s="227"/>
      <c r="BF516" s="227"/>
      <c r="BG516" s="227"/>
      <c r="BH516" s="227"/>
      <c r="BI516" s="227"/>
      <c r="BJ516" s="227"/>
      <c r="BK516" s="227"/>
      <c r="BL516" s="227"/>
      <c r="BM516" s="227"/>
      <c r="BN516" s="227"/>
      <c r="BO516" s="227"/>
      <c r="BP516" s="227"/>
      <c r="BQ516" s="227"/>
      <c r="BR516" s="227"/>
      <c r="BS516" s="227"/>
      <c r="BT516" s="227"/>
      <c r="BU516" s="227"/>
      <c r="BV516" s="227"/>
      <c r="BW516" s="227"/>
      <c r="BX516" s="227"/>
      <c r="BY516" s="227"/>
      <c r="BZ516" s="227"/>
      <c r="CA516" s="227"/>
      <c r="CB516" s="227"/>
      <c r="CC516" s="227"/>
      <c r="CD516" s="227"/>
      <c r="CE516" s="227"/>
      <c r="CF516" s="227"/>
      <c r="CG516" s="227"/>
      <c r="CH516" s="227"/>
      <c r="CI516" s="227"/>
      <c r="CJ516" s="227"/>
      <c r="CK516" s="227"/>
      <c r="CL516" s="227"/>
      <c r="CM516" s="227"/>
      <c r="CN516" s="227"/>
      <c r="CO516" s="227"/>
      <c r="CP516" s="227"/>
      <c r="CQ516" s="227"/>
      <c r="CR516" s="227"/>
      <c r="CS516" s="227"/>
      <c r="CT516" s="227"/>
      <c r="CU516" s="225"/>
      <c r="CV516" s="227"/>
    </row>
    <row r="517" spans="1:100" ht="20.100000000000001" customHeight="1">
      <c r="A517" s="227">
        <v>255</v>
      </c>
      <c r="B517" s="225"/>
      <c r="C517" s="227"/>
      <c r="D517" s="228">
        <f>(SUMPRODUCT(E517:CU517*$E$6:$CU$6)/100)+(SUMPRODUCT(E517:CU517*$E$6:$CU$6*$E$3:$CU$3)/100)</f>
        <v>0</v>
      </c>
      <c r="E517" s="227"/>
      <c r="F517" s="227"/>
      <c r="G517" s="227"/>
      <c r="H517" s="227"/>
      <c r="I517" s="227"/>
      <c r="J517" s="227"/>
      <c r="K517" s="227"/>
      <c r="L517" s="227"/>
      <c r="M517" s="227"/>
      <c r="N517" s="227"/>
      <c r="O517" s="227"/>
      <c r="P517" s="227"/>
      <c r="Q517" s="227"/>
      <c r="R517" s="227"/>
      <c r="S517" s="227"/>
      <c r="T517" s="227"/>
      <c r="U517" s="227"/>
      <c r="V517" s="227"/>
      <c r="W517" s="227"/>
      <c r="X517" s="227"/>
      <c r="Y517" s="227"/>
      <c r="Z517" s="227"/>
      <c r="AA517" s="227"/>
      <c r="AB517" s="227"/>
      <c r="AC517" s="227"/>
      <c r="AD517" s="227"/>
      <c r="AE517" s="227"/>
      <c r="AF517" s="227"/>
      <c r="AG517" s="227"/>
      <c r="AH517" s="227"/>
      <c r="AI517" s="227"/>
      <c r="AJ517" s="227"/>
      <c r="AK517" s="227"/>
      <c r="AL517" s="227"/>
      <c r="AM517" s="227"/>
      <c r="AN517" s="227"/>
      <c r="AO517" s="227"/>
      <c r="AP517" s="227"/>
      <c r="AQ517" s="227"/>
      <c r="AR517" s="227"/>
      <c r="AS517" s="227"/>
      <c r="AT517" s="227"/>
      <c r="AU517" s="227"/>
      <c r="AV517" s="227"/>
      <c r="AW517" s="227"/>
      <c r="AX517" s="227"/>
      <c r="AY517" s="227"/>
      <c r="AZ517" s="227"/>
      <c r="BA517" s="227"/>
      <c r="BB517" s="227"/>
      <c r="BC517" s="227"/>
      <c r="BD517" s="227"/>
      <c r="BE517" s="227"/>
      <c r="BF517" s="227"/>
      <c r="BG517" s="227"/>
      <c r="BH517" s="227"/>
      <c r="BI517" s="227"/>
      <c r="BJ517" s="227"/>
      <c r="BK517" s="227"/>
      <c r="BL517" s="227"/>
      <c r="BM517" s="227"/>
      <c r="BN517" s="227"/>
      <c r="BO517" s="227"/>
      <c r="BP517" s="227"/>
      <c r="BQ517" s="227"/>
      <c r="BR517" s="227"/>
      <c r="BS517" s="227"/>
      <c r="BT517" s="227"/>
      <c r="BU517" s="227"/>
      <c r="BV517" s="227"/>
      <c r="BW517" s="227"/>
      <c r="BX517" s="227"/>
      <c r="BY517" s="227"/>
      <c r="BZ517" s="227"/>
      <c r="CA517" s="227"/>
      <c r="CB517" s="227"/>
      <c r="CC517" s="227"/>
      <c r="CD517" s="227"/>
      <c r="CE517" s="227"/>
      <c r="CF517" s="227"/>
      <c r="CG517" s="227"/>
      <c r="CH517" s="227"/>
      <c r="CI517" s="227"/>
      <c r="CJ517" s="227"/>
      <c r="CK517" s="227"/>
      <c r="CL517" s="227"/>
      <c r="CM517" s="227"/>
      <c r="CN517" s="227"/>
      <c r="CO517" s="227"/>
      <c r="CP517" s="227"/>
      <c r="CQ517" s="227"/>
      <c r="CR517" s="227"/>
      <c r="CS517" s="227"/>
      <c r="CT517" s="227"/>
      <c r="CU517" s="225"/>
      <c r="CV517" s="227"/>
    </row>
    <row r="518" spans="1:100" ht="20.100000000000001" customHeight="1">
      <c r="A518" s="227"/>
      <c r="B518" s="225"/>
      <c r="C518" s="227"/>
      <c r="D518" s="224"/>
      <c r="E518" s="227"/>
      <c r="F518" s="227"/>
      <c r="G518" s="227"/>
      <c r="H518" s="227"/>
      <c r="I518" s="227"/>
      <c r="J518" s="227"/>
      <c r="K518" s="227"/>
      <c r="L518" s="227"/>
      <c r="M518" s="227"/>
      <c r="N518" s="227"/>
      <c r="O518" s="227"/>
      <c r="P518" s="227"/>
      <c r="Q518" s="227"/>
      <c r="R518" s="227"/>
      <c r="S518" s="227"/>
      <c r="T518" s="227"/>
      <c r="U518" s="227"/>
      <c r="V518" s="227"/>
      <c r="W518" s="227"/>
      <c r="X518" s="227"/>
      <c r="Y518" s="227"/>
      <c r="Z518" s="227"/>
      <c r="AA518" s="227"/>
      <c r="AB518" s="227"/>
      <c r="AC518" s="227"/>
      <c r="AD518" s="227"/>
      <c r="AE518" s="227"/>
      <c r="AF518" s="227"/>
      <c r="AG518" s="227"/>
      <c r="AH518" s="227"/>
      <c r="AI518" s="227"/>
      <c r="AJ518" s="227"/>
      <c r="AK518" s="227"/>
      <c r="AL518" s="227"/>
      <c r="AM518" s="227"/>
      <c r="AN518" s="227"/>
      <c r="AO518" s="227"/>
      <c r="AP518" s="227"/>
      <c r="AQ518" s="227"/>
      <c r="AR518" s="227"/>
      <c r="AS518" s="227"/>
      <c r="AT518" s="227"/>
      <c r="AU518" s="227"/>
      <c r="AV518" s="227"/>
      <c r="AW518" s="227"/>
      <c r="AX518" s="227"/>
      <c r="AY518" s="227"/>
      <c r="AZ518" s="227"/>
      <c r="BA518" s="227"/>
      <c r="BB518" s="227"/>
      <c r="BC518" s="227"/>
      <c r="BD518" s="227"/>
      <c r="BE518" s="227"/>
      <c r="BF518" s="227"/>
      <c r="BG518" s="227"/>
      <c r="BH518" s="227"/>
      <c r="BI518" s="227"/>
      <c r="BJ518" s="227"/>
      <c r="BK518" s="227"/>
      <c r="BL518" s="227"/>
      <c r="BM518" s="227"/>
      <c r="BN518" s="227"/>
      <c r="BO518" s="227"/>
      <c r="BP518" s="227"/>
      <c r="BQ518" s="227"/>
      <c r="BR518" s="227"/>
      <c r="BS518" s="227"/>
      <c r="BT518" s="227"/>
      <c r="BU518" s="227"/>
      <c r="BV518" s="227"/>
      <c r="BW518" s="227"/>
      <c r="BX518" s="227"/>
      <c r="BY518" s="227"/>
      <c r="BZ518" s="227"/>
      <c r="CA518" s="227"/>
      <c r="CB518" s="227"/>
      <c r="CC518" s="227"/>
      <c r="CD518" s="227"/>
      <c r="CE518" s="227"/>
      <c r="CF518" s="227"/>
      <c r="CG518" s="227"/>
      <c r="CH518" s="227"/>
      <c r="CI518" s="227"/>
      <c r="CJ518" s="227"/>
      <c r="CK518" s="227"/>
      <c r="CL518" s="227"/>
      <c r="CM518" s="227"/>
      <c r="CN518" s="227"/>
      <c r="CO518" s="227"/>
      <c r="CP518" s="227"/>
      <c r="CQ518" s="227"/>
      <c r="CR518" s="227"/>
      <c r="CS518" s="227"/>
      <c r="CT518" s="227"/>
      <c r="CU518" s="225"/>
      <c r="CV518" s="227"/>
    </row>
    <row r="519" spans="1:100" ht="20.100000000000001" customHeight="1">
      <c r="A519" s="227">
        <v>256</v>
      </c>
      <c r="B519" s="225"/>
      <c r="C519" s="227"/>
      <c r="D519" s="228">
        <f>(SUMPRODUCT(E519:CU519*$E$6:$CU$6)/100)+(SUMPRODUCT(E519:CU519*$E$6:$CU$6*$E$3:$CU$3)/100)</f>
        <v>0</v>
      </c>
      <c r="E519" s="227"/>
      <c r="F519" s="227"/>
      <c r="G519" s="227"/>
      <c r="H519" s="227"/>
      <c r="I519" s="227"/>
      <c r="J519" s="227"/>
      <c r="K519" s="227"/>
      <c r="L519" s="227"/>
      <c r="M519" s="227"/>
      <c r="N519" s="227"/>
      <c r="O519" s="227"/>
      <c r="P519" s="227"/>
      <c r="Q519" s="227"/>
      <c r="R519" s="227"/>
      <c r="S519" s="227"/>
      <c r="T519" s="227"/>
      <c r="U519" s="227"/>
      <c r="V519" s="227"/>
      <c r="W519" s="227"/>
      <c r="X519" s="227"/>
      <c r="Y519" s="227"/>
      <c r="Z519" s="227"/>
      <c r="AA519" s="227"/>
      <c r="AB519" s="227"/>
      <c r="AC519" s="227"/>
      <c r="AD519" s="227"/>
      <c r="AE519" s="227"/>
      <c r="AF519" s="227"/>
      <c r="AG519" s="227"/>
      <c r="AH519" s="227"/>
      <c r="AI519" s="227"/>
      <c r="AJ519" s="227"/>
      <c r="AK519" s="227"/>
      <c r="AL519" s="227"/>
      <c r="AM519" s="227"/>
      <c r="AN519" s="227"/>
      <c r="AO519" s="227"/>
      <c r="AP519" s="227"/>
      <c r="AQ519" s="227"/>
      <c r="AR519" s="227"/>
      <c r="AS519" s="227"/>
      <c r="AT519" s="227"/>
      <c r="AU519" s="227"/>
      <c r="AV519" s="227"/>
      <c r="AW519" s="227"/>
      <c r="AX519" s="227"/>
      <c r="AY519" s="227"/>
      <c r="AZ519" s="227"/>
      <c r="BA519" s="227"/>
      <c r="BB519" s="227"/>
      <c r="BC519" s="227"/>
      <c r="BD519" s="227"/>
      <c r="BE519" s="227"/>
      <c r="BF519" s="227"/>
      <c r="BG519" s="227"/>
      <c r="BH519" s="227"/>
      <c r="BI519" s="227"/>
      <c r="BJ519" s="227"/>
      <c r="BK519" s="227"/>
      <c r="BL519" s="227"/>
      <c r="BM519" s="227"/>
      <c r="BN519" s="227"/>
      <c r="BO519" s="227"/>
      <c r="BP519" s="227"/>
      <c r="BQ519" s="227"/>
      <c r="BR519" s="227"/>
      <c r="BS519" s="227"/>
      <c r="BT519" s="227"/>
      <c r="BU519" s="227"/>
      <c r="BV519" s="227"/>
      <c r="BW519" s="227"/>
      <c r="BX519" s="227"/>
      <c r="BY519" s="227"/>
      <c r="BZ519" s="227"/>
      <c r="CA519" s="227"/>
      <c r="CB519" s="227"/>
      <c r="CC519" s="227"/>
      <c r="CD519" s="227"/>
      <c r="CE519" s="227"/>
      <c r="CF519" s="227"/>
      <c r="CG519" s="227"/>
      <c r="CH519" s="227"/>
      <c r="CI519" s="227"/>
      <c r="CJ519" s="227"/>
      <c r="CK519" s="227"/>
      <c r="CL519" s="227"/>
      <c r="CM519" s="227"/>
      <c r="CN519" s="227"/>
      <c r="CO519" s="227"/>
      <c r="CP519" s="227"/>
      <c r="CQ519" s="227"/>
      <c r="CR519" s="227"/>
      <c r="CS519" s="227"/>
      <c r="CT519" s="227"/>
      <c r="CU519" s="225"/>
      <c r="CV519" s="227"/>
    </row>
    <row r="520" spans="1:100" ht="20.100000000000001" customHeight="1">
      <c r="A520" s="223"/>
      <c r="B520" s="225"/>
      <c r="C520" s="227"/>
      <c r="D520" s="224"/>
      <c r="E520" s="227"/>
      <c r="F520" s="227"/>
      <c r="G520" s="227"/>
      <c r="H520" s="227"/>
      <c r="I520" s="227"/>
      <c r="J520" s="227"/>
      <c r="K520" s="227"/>
      <c r="L520" s="227"/>
      <c r="M520" s="227"/>
      <c r="N520" s="227"/>
      <c r="O520" s="227"/>
      <c r="P520" s="227"/>
      <c r="Q520" s="227"/>
      <c r="R520" s="227"/>
      <c r="S520" s="227"/>
      <c r="T520" s="227"/>
      <c r="U520" s="227"/>
      <c r="V520" s="227"/>
      <c r="W520" s="227"/>
      <c r="X520" s="227"/>
      <c r="Y520" s="227"/>
      <c r="Z520" s="227"/>
      <c r="AA520" s="227"/>
      <c r="AB520" s="227"/>
      <c r="AC520" s="227"/>
      <c r="AD520" s="227"/>
      <c r="AE520" s="227"/>
      <c r="AF520" s="227"/>
      <c r="AG520" s="227"/>
      <c r="AH520" s="227"/>
      <c r="AI520" s="227"/>
      <c r="AJ520" s="227"/>
      <c r="AK520" s="227"/>
      <c r="AL520" s="227"/>
      <c r="AM520" s="227"/>
      <c r="AN520" s="227"/>
      <c r="AO520" s="227"/>
      <c r="AP520" s="227"/>
      <c r="AQ520" s="227"/>
      <c r="AR520" s="227"/>
      <c r="AS520" s="227"/>
      <c r="AT520" s="227"/>
      <c r="AU520" s="227"/>
      <c r="AV520" s="227"/>
      <c r="AW520" s="227"/>
      <c r="AX520" s="227"/>
      <c r="AY520" s="227"/>
      <c r="AZ520" s="227"/>
      <c r="BA520" s="227"/>
      <c r="BB520" s="227"/>
      <c r="BC520" s="227"/>
      <c r="BD520" s="227"/>
      <c r="BE520" s="227"/>
      <c r="BF520" s="227"/>
      <c r="BG520" s="227"/>
      <c r="BH520" s="227"/>
      <c r="BI520" s="227"/>
      <c r="BJ520" s="227"/>
      <c r="BK520" s="227"/>
      <c r="BL520" s="227"/>
      <c r="BM520" s="227"/>
      <c r="BN520" s="227"/>
      <c r="BO520" s="227"/>
      <c r="BP520" s="227"/>
      <c r="BQ520" s="227"/>
      <c r="BR520" s="227"/>
      <c r="BS520" s="227"/>
      <c r="BT520" s="227"/>
      <c r="BU520" s="227"/>
      <c r="BV520" s="227"/>
      <c r="BW520" s="227"/>
      <c r="BX520" s="227"/>
      <c r="BY520" s="227"/>
      <c r="BZ520" s="227"/>
      <c r="CA520" s="227"/>
      <c r="CB520" s="227"/>
      <c r="CC520" s="227"/>
      <c r="CD520" s="227"/>
      <c r="CE520" s="227"/>
      <c r="CF520" s="227"/>
      <c r="CG520" s="227"/>
      <c r="CH520" s="227"/>
      <c r="CI520" s="227"/>
      <c r="CJ520" s="227"/>
      <c r="CK520" s="227"/>
      <c r="CL520" s="227"/>
      <c r="CM520" s="227"/>
      <c r="CN520" s="227"/>
      <c r="CO520" s="227"/>
      <c r="CP520" s="227"/>
      <c r="CQ520" s="227"/>
      <c r="CR520" s="227"/>
      <c r="CS520" s="227"/>
      <c r="CT520" s="227"/>
      <c r="CU520" s="225"/>
      <c r="CV520" s="227"/>
    </row>
    <row r="521" spans="1:100" ht="20.100000000000001" customHeight="1">
      <c r="A521" s="227">
        <v>257</v>
      </c>
      <c r="B521" s="225"/>
      <c r="C521" s="227"/>
      <c r="D521" s="228">
        <f>(SUMPRODUCT(E521:CU521*$E$6:$CU$6)/100)+(SUMPRODUCT(E521:CU521*$E$6:$CU$6*$E$3:$CU$3)/100)</f>
        <v>0</v>
      </c>
      <c r="E521" s="227"/>
      <c r="F521" s="227"/>
      <c r="G521" s="227"/>
      <c r="H521" s="227"/>
      <c r="I521" s="227"/>
      <c r="J521" s="227"/>
      <c r="K521" s="227"/>
      <c r="L521" s="227"/>
      <c r="M521" s="227"/>
      <c r="N521" s="227"/>
      <c r="O521" s="227"/>
      <c r="P521" s="227"/>
      <c r="Q521" s="227"/>
      <c r="R521" s="227"/>
      <c r="S521" s="227"/>
      <c r="T521" s="227"/>
      <c r="U521" s="227"/>
      <c r="V521" s="227"/>
      <c r="W521" s="227"/>
      <c r="X521" s="227"/>
      <c r="Y521" s="227"/>
      <c r="Z521" s="227"/>
      <c r="AA521" s="227"/>
      <c r="AB521" s="227"/>
      <c r="AC521" s="227"/>
      <c r="AD521" s="227"/>
      <c r="AE521" s="227"/>
      <c r="AF521" s="227"/>
      <c r="AG521" s="227"/>
      <c r="AH521" s="227"/>
      <c r="AI521" s="227"/>
      <c r="AJ521" s="227"/>
      <c r="AK521" s="227"/>
      <c r="AL521" s="227"/>
      <c r="AM521" s="227"/>
      <c r="AN521" s="227"/>
      <c r="AO521" s="227"/>
      <c r="AP521" s="227"/>
      <c r="AQ521" s="227"/>
      <c r="AR521" s="227"/>
      <c r="AS521" s="227"/>
      <c r="AT521" s="227"/>
      <c r="AU521" s="227"/>
      <c r="AV521" s="227"/>
      <c r="AW521" s="227"/>
      <c r="AX521" s="227"/>
      <c r="AY521" s="227"/>
      <c r="AZ521" s="227"/>
      <c r="BA521" s="227"/>
      <c r="BB521" s="227"/>
      <c r="BC521" s="227"/>
      <c r="BD521" s="227"/>
      <c r="BE521" s="227"/>
      <c r="BF521" s="227"/>
      <c r="BG521" s="227"/>
      <c r="BH521" s="227"/>
      <c r="BI521" s="227"/>
      <c r="BJ521" s="227"/>
      <c r="BK521" s="227"/>
      <c r="BL521" s="227"/>
      <c r="BM521" s="227"/>
      <c r="BN521" s="227"/>
      <c r="BO521" s="227"/>
      <c r="BP521" s="227"/>
      <c r="BQ521" s="227"/>
      <c r="BR521" s="227"/>
      <c r="BS521" s="227"/>
      <c r="BT521" s="227"/>
      <c r="BU521" s="227"/>
      <c r="BV521" s="227"/>
      <c r="BW521" s="227"/>
      <c r="BX521" s="227"/>
      <c r="BY521" s="227"/>
      <c r="BZ521" s="227"/>
      <c r="CA521" s="227"/>
      <c r="CB521" s="227"/>
      <c r="CC521" s="227"/>
      <c r="CD521" s="227"/>
      <c r="CE521" s="227"/>
      <c r="CF521" s="227"/>
      <c r="CG521" s="227"/>
      <c r="CH521" s="227"/>
      <c r="CI521" s="227"/>
      <c r="CJ521" s="227"/>
      <c r="CK521" s="227"/>
      <c r="CL521" s="227"/>
      <c r="CM521" s="227"/>
      <c r="CN521" s="227"/>
      <c r="CO521" s="227"/>
      <c r="CP521" s="227"/>
      <c r="CQ521" s="227"/>
      <c r="CR521" s="227"/>
      <c r="CS521" s="227"/>
      <c r="CT521" s="227"/>
      <c r="CU521" s="225"/>
      <c r="CV521" s="227"/>
    </row>
    <row r="522" spans="1:100" ht="20.100000000000001" customHeight="1">
      <c r="A522" s="227"/>
      <c r="B522" s="225"/>
      <c r="C522" s="227"/>
      <c r="D522" s="224"/>
      <c r="E522" s="227"/>
      <c r="F522" s="227"/>
      <c r="G522" s="227"/>
      <c r="H522" s="227"/>
      <c r="I522" s="227"/>
      <c r="J522" s="227"/>
      <c r="K522" s="227"/>
      <c r="L522" s="227"/>
      <c r="M522" s="227"/>
      <c r="N522" s="227"/>
      <c r="O522" s="227"/>
      <c r="P522" s="227"/>
      <c r="Q522" s="227"/>
      <c r="R522" s="227"/>
      <c r="S522" s="227"/>
      <c r="T522" s="227"/>
      <c r="U522" s="227"/>
      <c r="V522" s="227"/>
      <c r="W522" s="227"/>
      <c r="X522" s="227"/>
      <c r="Y522" s="227"/>
      <c r="Z522" s="227"/>
      <c r="AA522" s="227"/>
      <c r="AB522" s="227"/>
      <c r="AC522" s="227"/>
      <c r="AD522" s="227"/>
      <c r="AE522" s="227"/>
      <c r="AF522" s="227"/>
      <c r="AG522" s="227"/>
      <c r="AH522" s="227"/>
      <c r="AI522" s="227"/>
      <c r="AJ522" s="227"/>
      <c r="AK522" s="227"/>
      <c r="AL522" s="227"/>
      <c r="AM522" s="227"/>
      <c r="AN522" s="227"/>
      <c r="AO522" s="227"/>
      <c r="AP522" s="227"/>
      <c r="AQ522" s="227"/>
      <c r="AR522" s="227"/>
      <c r="AS522" s="227"/>
      <c r="AT522" s="227"/>
      <c r="AU522" s="227"/>
      <c r="AV522" s="227"/>
      <c r="AW522" s="227"/>
      <c r="AX522" s="227"/>
      <c r="AY522" s="227"/>
      <c r="AZ522" s="227"/>
      <c r="BA522" s="227"/>
      <c r="BB522" s="227"/>
      <c r="BC522" s="227"/>
      <c r="BD522" s="227"/>
      <c r="BE522" s="227"/>
      <c r="BF522" s="227"/>
      <c r="BG522" s="227"/>
      <c r="BH522" s="227"/>
      <c r="BI522" s="227"/>
      <c r="BJ522" s="227"/>
      <c r="BK522" s="227"/>
      <c r="BL522" s="227"/>
      <c r="BM522" s="227"/>
      <c r="BN522" s="227"/>
      <c r="BO522" s="227"/>
      <c r="BP522" s="227"/>
      <c r="BQ522" s="227"/>
      <c r="BR522" s="227"/>
      <c r="BS522" s="227"/>
      <c r="BT522" s="227"/>
      <c r="BU522" s="227"/>
      <c r="BV522" s="227"/>
      <c r="BW522" s="227"/>
      <c r="BX522" s="227"/>
      <c r="BY522" s="227"/>
      <c r="BZ522" s="227"/>
      <c r="CA522" s="227"/>
      <c r="CB522" s="227"/>
      <c r="CC522" s="227"/>
      <c r="CD522" s="227"/>
      <c r="CE522" s="227"/>
      <c r="CF522" s="227"/>
      <c r="CG522" s="227"/>
      <c r="CH522" s="227"/>
      <c r="CI522" s="227"/>
      <c r="CJ522" s="227"/>
      <c r="CK522" s="227"/>
      <c r="CL522" s="227"/>
      <c r="CM522" s="227"/>
      <c r="CN522" s="227"/>
      <c r="CO522" s="227"/>
      <c r="CP522" s="227"/>
      <c r="CQ522" s="227"/>
      <c r="CR522" s="227"/>
      <c r="CS522" s="227"/>
      <c r="CT522" s="227"/>
      <c r="CU522" s="225"/>
      <c r="CV522" s="227"/>
    </row>
    <row r="523" spans="1:100" ht="20.100000000000001" customHeight="1">
      <c r="A523" s="227">
        <v>258</v>
      </c>
      <c r="B523" s="225"/>
      <c r="C523" s="227"/>
      <c r="D523" s="228">
        <f>(SUMPRODUCT(E523:CU523*$E$6:$CU$6)/100)+(SUMPRODUCT(E523:CU523*$E$6:$CU$6*$E$3:$CU$3)/100)</f>
        <v>0</v>
      </c>
      <c r="E523" s="227"/>
      <c r="F523" s="227"/>
      <c r="G523" s="227"/>
      <c r="H523" s="227"/>
      <c r="I523" s="227"/>
      <c r="J523" s="227"/>
      <c r="K523" s="227"/>
      <c r="L523" s="227"/>
      <c r="M523" s="227"/>
      <c r="N523" s="227"/>
      <c r="O523" s="227"/>
      <c r="P523" s="227"/>
      <c r="Q523" s="227"/>
      <c r="R523" s="227"/>
      <c r="S523" s="227"/>
      <c r="T523" s="227"/>
      <c r="U523" s="227"/>
      <c r="V523" s="227"/>
      <c r="W523" s="227"/>
      <c r="X523" s="227"/>
      <c r="Y523" s="227"/>
      <c r="Z523" s="227"/>
      <c r="AA523" s="227"/>
      <c r="AB523" s="227"/>
      <c r="AC523" s="227"/>
      <c r="AD523" s="227"/>
      <c r="AE523" s="227"/>
      <c r="AF523" s="227"/>
      <c r="AG523" s="227"/>
      <c r="AH523" s="227"/>
      <c r="AI523" s="227"/>
      <c r="AJ523" s="227"/>
      <c r="AK523" s="227"/>
      <c r="AL523" s="227"/>
      <c r="AM523" s="227"/>
      <c r="AN523" s="227"/>
      <c r="AO523" s="227"/>
      <c r="AP523" s="227"/>
      <c r="AQ523" s="227"/>
      <c r="AR523" s="227"/>
      <c r="AS523" s="227"/>
      <c r="AT523" s="227"/>
      <c r="AU523" s="227"/>
      <c r="AV523" s="227"/>
      <c r="AW523" s="227"/>
      <c r="AX523" s="227"/>
      <c r="AY523" s="227"/>
      <c r="AZ523" s="227"/>
      <c r="BA523" s="227"/>
      <c r="BB523" s="227"/>
      <c r="BC523" s="227"/>
      <c r="BD523" s="227"/>
      <c r="BE523" s="227"/>
      <c r="BF523" s="227"/>
      <c r="BG523" s="227"/>
      <c r="BH523" s="227"/>
      <c r="BI523" s="227"/>
      <c r="BJ523" s="227"/>
      <c r="BK523" s="227"/>
      <c r="BL523" s="227"/>
      <c r="BM523" s="227"/>
      <c r="BN523" s="227"/>
      <c r="BO523" s="227"/>
      <c r="BP523" s="227"/>
      <c r="BQ523" s="227"/>
      <c r="BR523" s="227"/>
      <c r="BS523" s="227"/>
      <c r="BT523" s="227"/>
      <c r="BU523" s="227"/>
      <c r="BV523" s="227"/>
      <c r="BW523" s="227"/>
      <c r="BX523" s="227"/>
      <c r="BY523" s="227"/>
      <c r="BZ523" s="227"/>
      <c r="CA523" s="227"/>
      <c r="CB523" s="227"/>
      <c r="CC523" s="227"/>
      <c r="CD523" s="227"/>
      <c r="CE523" s="227"/>
      <c r="CF523" s="227"/>
      <c r="CG523" s="227"/>
      <c r="CH523" s="227"/>
      <c r="CI523" s="227"/>
      <c r="CJ523" s="227"/>
      <c r="CK523" s="227"/>
      <c r="CL523" s="227"/>
      <c r="CM523" s="227"/>
      <c r="CN523" s="227"/>
      <c r="CO523" s="227"/>
      <c r="CP523" s="227"/>
      <c r="CQ523" s="227"/>
      <c r="CR523" s="227"/>
      <c r="CS523" s="227"/>
      <c r="CT523" s="227"/>
      <c r="CU523" s="225"/>
      <c r="CV523" s="227"/>
    </row>
    <row r="524" spans="1:100" ht="20.100000000000001" customHeight="1">
      <c r="A524" s="223"/>
      <c r="B524" s="225"/>
      <c r="C524" s="227"/>
      <c r="D524" s="224"/>
      <c r="E524" s="227"/>
      <c r="F524" s="227"/>
      <c r="G524" s="227"/>
      <c r="H524" s="227"/>
      <c r="I524" s="227"/>
      <c r="J524" s="227"/>
      <c r="K524" s="227"/>
      <c r="L524" s="227"/>
      <c r="M524" s="227"/>
      <c r="N524" s="227"/>
      <c r="O524" s="227"/>
      <c r="P524" s="227"/>
      <c r="Q524" s="227"/>
      <c r="R524" s="227"/>
      <c r="S524" s="227"/>
      <c r="T524" s="227"/>
      <c r="U524" s="227"/>
      <c r="V524" s="227"/>
      <c r="W524" s="227"/>
      <c r="X524" s="227"/>
      <c r="Y524" s="227"/>
      <c r="Z524" s="227"/>
      <c r="AA524" s="227"/>
      <c r="AB524" s="227"/>
      <c r="AC524" s="227"/>
      <c r="AD524" s="227"/>
      <c r="AE524" s="227"/>
      <c r="AF524" s="227"/>
      <c r="AG524" s="227"/>
      <c r="AH524" s="227"/>
      <c r="AI524" s="227"/>
      <c r="AJ524" s="227"/>
      <c r="AK524" s="227"/>
      <c r="AL524" s="227"/>
      <c r="AM524" s="227"/>
      <c r="AN524" s="227"/>
      <c r="AO524" s="227"/>
      <c r="AP524" s="227"/>
      <c r="AQ524" s="227"/>
      <c r="AR524" s="227"/>
      <c r="AS524" s="227"/>
      <c r="AT524" s="227"/>
      <c r="AU524" s="227"/>
      <c r="AV524" s="227"/>
      <c r="AW524" s="227"/>
      <c r="AX524" s="227"/>
      <c r="AY524" s="227"/>
      <c r="AZ524" s="227"/>
      <c r="BA524" s="227"/>
      <c r="BB524" s="227"/>
      <c r="BC524" s="227"/>
      <c r="BD524" s="227"/>
      <c r="BE524" s="227"/>
      <c r="BF524" s="227"/>
      <c r="BG524" s="227"/>
      <c r="BH524" s="227"/>
      <c r="BI524" s="227"/>
      <c r="BJ524" s="227"/>
      <c r="BK524" s="227"/>
      <c r="BL524" s="227"/>
      <c r="BM524" s="227"/>
      <c r="BN524" s="227"/>
      <c r="BO524" s="227"/>
      <c r="BP524" s="227"/>
      <c r="BQ524" s="227"/>
      <c r="BR524" s="227"/>
      <c r="BS524" s="227"/>
      <c r="BT524" s="227"/>
      <c r="BU524" s="227"/>
      <c r="BV524" s="227"/>
      <c r="BW524" s="227"/>
      <c r="BX524" s="227"/>
      <c r="BY524" s="227"/>
      <c r="BZ524" s="227"/>
      <c r="CA524" s="227"/>
      <c r="CB524" s="227"/>
      <c r="CC524" s="227"/>
      <c r="CD524" s="227"/>
      <c r="CE524" s="227"/>
      <c r="CF524" s="227"/>
      <c r="CG524" s="227"/>
      <c r="CH524" s="227"/>
      <c r="CI524" s="227"/>
      <c r="CJ524" s="227"/>
      <c r="CK524" s="227"/>
      <c r="CL524" s="227"/>
      <c r="CM524" s="227"/>
      <c r="CN524" s="227"/>
      <c r="CO524" s="227"/>
      <c r="CP524" s="227"/>
      <c r="CQ524" s="227"/>
      <c r="CR524" s="227"/>
      <c r="CS524" s="227"/>
      <c r="CT524" s="227"/>
      <c r="CU524" s="225"/>
      <c r="CV524" s="227"/>
    </row>
    <row r="525" spans="1:100" ht="20.100000000000001" customHeight="1">
      <c r="A525" s="227">
        <v>259</v>
      </c>
      <c r="B525" s="225"/>
      <c r="C525" s="227"/>
      <c r="D525" s="228">
        <f>(SUMPRODUCT(E525:CU525*$E$6:$CU$6)/100)+(SUMPRODUCT(E525:CU525*$E$6:$CU$6*$E$3:$CU$3)/100)</f>
        <v>0</v>
      </c>
      <c r="E525" s="227"/>
      <c r="F525" s="227"/>
      <c r="G525" s="227"/>
      <c r="H525" s="227"/>
      <c r="I525" s="227"/>
      <c r="J525" s="227"/>
      <c r="K525" s="227"/>
      <c r="L525" s="227"/>
      <c r="M525" s="227"/>
      <c r="N525" s="227"/>
      <c r="O525" s="227"/>
      <c r="P525" s="227"/>
      <c r="Q525" s="227"/>
      <c r="R525" s="227"/>
      <c r="S525" s="227"/>
      <c r="T525" s="227"/>
      <c r="U525" s="227"/>
      <c r="V525" s="227"/>
      <c r="W525" s="227"/>
      <c r="X525" s="227"/>
      <c r="Y525" s="227"/>
      <c r="Z525" s="227"/>
      <c r="AA525" s="227"/>
      <c r="AB525" s="227"/>
      <c r="AC525" s="227"/>
      <c r="AD525" s="227"/>
      <c r="AE525" s="227"/>
      <c r="AF525" s="227"/>
      <c r="AG525" s="227"/>
      <c r="AH525" s="227"/>
      <c r="AI525" s="227"/>
      <c r="AJ525" s="227"/>
      <c r="AK525" s="227"/>
      <c r="AL525" s="227"/>
      <c r="AM525" s="227"/>
      <c r="AN525" s="227"/>
      <c r="AO525" s="227"/>
      <c r="AP525" s="227"/>
      <c r="AQ525" s="227"/>
      <c r="AR525" s="227"/>
      <c r="AS525" s="227"/>
      <c r="AT525" s="227"/>
      <c r="AU525" s="227"/>
      <c r="AV525" s="227"/>
      <c r="AW525" s="227"/>
      <c r="AX525" s="227"/>
      <c r="AY525" s="227"/>
      <c r="AZ525" s="227"/>
      <c r="BA525" s="227"/>
      <c r="BB525" s="227"/>
      <c r="BC525" s="227"/>
      <c r="BD525" s="227"/>
      <c r="BE525" s="227"/>
      <c r="BF525" s="227"/>
      <c r="BG525" s="227"/>
      <c r="BH525" s="227"/>
      <c r="BI525" s="227"/>
      <c r="BJ525" s="227"/>
      <c r="BK525" s="227"/>
      <c r="BL525" s="227"/>
      <c r="BM525" s="227"/>
      <c r="BN525" s="227"/>
      <c r="BO525" s="227"/>
      <c r="BP525" s="227"/>
      <c r="BQ525" s="227"/>
      <c r="BR525" s="227"/>
      <c r="BS525" s="227"/>
      <c r="BT525" s="227"/>
      <c r="BU525" s="227"/>
      <c r="BV525" s="227"/>
      <c r="BW525" s="227"/>
      <c r="BX525" s="227"/>
      <c r="BY525" s="227"/>
      <c r="BZ525" s="227"/>
      <c r="CA525" s="227"/>
      <c r="CB525" s="227"/>
      <c r="CC525" s="227"/>
      <c r="CD525" s="227"/>
      <c r="CE525" s="227"/>
      <c r="CF525" s="227"/>
      <c r="CG525" s="227"/>
      <c r="CH525" s="227"/>
      <c r="CI525" s="227"/>
      <c r="CJ525" s="227"/>
      <c r="CK525" s="227"/>
      <c r="CL525" s="227"/>
      <c r="CM525" s="227"/>
      <c r="CN525" s="227"/>
      <c r="CO525" s="227"/>
      <c r="CP525" s="227"/>
      <c r="CQ525" s="227"/>
      <c r="CR525" s="227"/>
      <c r="CS525" s="227"/>
      <c r="CT525" s="227"/>
      <c r="CU525" s="225"/>
      <c r="CV525" s="227"/>
    </row>
    <row r="526" spans="1:100" ht="20.100000000000001" customHeight="1">
      <c r="A526" s="227"/>
      <c r="B526" s="225"/>
      <c r="C526" s="227"/>
      <c r="D526" s="224"/>
      <c r="E526" s="227"/>
      <c r="F526" s="227"/>
      <c r="G526" s="227"/>
      <c r="H526" s="227"/>
      <c r="I526" s="227"/>
      <c r="J526" s="227"/>
      <c r="K526" s="227"/>
      <c r="L526" s="227"/>
      <c r="M526" s="227"/>
      <c r="N526" s="227"/>
      <c r="O526" s="227"/>
      <c r="P526" s="227"/>
      <c r="Q526" s="227"/>
      <c r="R526" s="227"/>
      <c r="S526" s="227"/>
      <c r="T526" s="227"/>
      <c r="U526" s="227"/>
      <c r="V526" s="227"/>
      <c r="W526" s="227"/>
      <c r="X526" s="227"/>
      <c r="Y526" s="227"/>
      <c r="Z526" s="227"/>
      <c r="AA526" s="227"/>
      <c r="AB526" s="227"/>
      <c r="AC526" s="227"/>
      <c r="AD526" s="227"/>
      <c r="AE526" s="227"/>
      <c r="AF526" s="227"/>
      <c r="AG526" s="227"/>
      <c r="AH526" s="227"/>
      <c r="AI526" s="227"/>
      <c r="AJ526" s="227"/>
      <c r="AK526" s="227"/>
      <c r="AL526" s="227"/>
      <c r="AM526" s="227"/>
      <c r="AN526" s="227"/>
      <c r="AO526" s="227"/>
      <c r="AP526" s="227"/>
      <c r="AQ526" s="227"/>
      <c r="AR526" s="227"/>
      <c r="AS526" s="227"/>
      <c r="AT526" s="227"/>
      <c r="AU526" s="227"/>
      <c r="AV526" s="227"/>
      <c r="AW526" s="227"/>
      <c r="AX526" s="227"/>
      <c r="AY526" s="227"/>
      <c r="AZ526" s="227"/>
      <c r="BA526" s="227"/>
      <c r="BB526" s="227"/>
      <c r="BC526" s="227"/>
      <c r="BD526" s="227"/>
      <c r="BE526" s="227"/>
      <c r="BF526" s="227"/>
      <c r="BG526" s="227"/>
      <c r="BH526" s="227"/>
      <c r="BI526" s="227"/>
      <c r="BJ526" s="227"/>
      <c r="BK526" s="227"/>
      <c r="BL526" s="227"/>
      <c r="BM526" s="227"/>
      <c r="BN526" s="227"/>
      <c r="BO526" s="227"/>
      <c r="BP526" s="227"/>
      <c r="BQ526" s="227"/>
      <c r="BR526" s="227"/>
      <c r="BS526" s="227"/>
      <c r="BT526" s="227"/>
      <c r="BU526" s="227"/>
      <c r="BV526" s="227"/>
      <c r="BW526" s="227"/>
      <c r="BX526" s="227"/>
      <c r="BY526" s="227"/>
      <c r="BZ526" s="227"/>
      <c r="CA526" s="227"/>
      <c r="CB526" s="227"/>
      <c r="CC526" s="227"/>
      <c r="CD526" s="227"/>
      <c r="CE526" s="227"/>
      <c r="CF526" s="227"/>
      <c r="CG526" s="227"/>
      <c r="CH526" s="227"/>
      <c r="CI526" s="227"/>
      <c r="CJ526" s="227"/>
      <c r="CK526" s="227"/>
      <c r="CL526" s="227"/>
      <c r="CM526" s="227"/>
      <c r="CN526" s="227"/>
      <c r="CO526" s="227"/>
      <c r="CP526" s="227"/>
      <c r="CQ526" s="227"/>
      <c r="CR526" s="227"/>
      <c r="CS526" s="227"/>
      <c r="CT526" s="227"/>
      <c r="CU526" s="225"/>
      <c r="CV526" s="227"/>
    </row>
    <row r="527" spans="1:100" ht="20.100000000000001" customHeight="1">
      <c r="A527" s="227">
        <v>260</v>
      </c>
      <c r="B527" s="225"/>
      <c r="C527" s="227"/>
      <c r="D527" s="228">
        <f>(SUMPRODUCT(E527:CU527*$E$6:$CU$6)/100)+(SUMPRODUCT(E527:CU527*$E$6:$CU$6*$E$3:$CU$3)/100)</f>
        <v>0</v>
      </c>
      <c r="E527" s="227"/>
      <c r="F527" s="227"/>
      <c r="G527" s="227"/>
      <c r="H527" s="227"/>
      <c r="I527" s="227"/>
      <c r="J527" s="227"/>
      <c r="K527" s="227"/>
      <c r="L527" s="227"/>
      <c r="M527" s="227"/>
      <c r="N527" s="227"/>
      <c r="O527" s="227"/>
      <c r="P527" s="227"/>
      <c r="Q527" s="227"/>
      <c r="R527" s="227"/>
      <c r="S527" s="227"/>
      <c r="T527" s="227"/>
      <c r="U527" s="227"/>
      <c r="V527" s="227"/>
      <c r="W527" s="227"/>
      <c r="X527" s="227"/>
      <c r="Y527" s="227"/>
      <c r="Z527" s="227"/>
      <c r="AA527" s="227"/>
      <c r="AB527" s="227"/>
      <c r="AC527" s="227"/>
      <c r="AD527" s="227"/>
      <c r="AE527" s="227"/>
      <c r="AF527" s="227"/>
      <c r="AG527" s="227"/>
      <c r="AH527" s="227"/>
      <c r="AI527" s="227"/>
      <c r="AJ527" s="227"/>
      <c r="AK527" s="227"/>
      <c r="AL527" s="227"/>
      <c r="AM527" s="227"/>
      <c r="AN527" s="227"/>
      <c r="AO527" s="227"/>
      <c r="AP527" s="227"/>
      <c r="AQ527" s="227"/>
      <c r="AR527" s="227"/>
      <c r="AS527" s="227"/>
      <c r="AT527" s="227"/>
      <c r="AU527" s="227"/>
      <c r="AV527" s="227"/>
      <c r="AW527" s="227"/>
      <c r="AX527" s="227"/>
      <c r="AY527" s="227"/>
      <c r="AZ527" s="227"/>
      <c r="BA527" s="227"/>
      <c r="BB527" s="227"/>
      <c r="BC527" s="227"/>
      <c r="BD527" s="227"/>
      <c r="BE527" s="227"/>
      <c r="BF527" s="227"/>
      <c r="BG527" s="227"/>
      <c r="BH527" s="227"/>
      <c r="BI527" s="227"/>
      <c r="BJ527" s="227"/>
      <c r="BK527" s="227"/>
      <c r="BL527" s="227"/>
      <c r="BM527" s="227"/>
      <c r="BN527" s="227"/>
      <c r="BO527" s="227"/>
      <c r="BP527" s="227"/>
      <c r="BQ527" s="227"/>
      <c r="BR527" s="227"/>
      <c r="BS527" s="227"/>
      <c r="BT527" s="227"/>
      <c r="BU527" s="227"/>
      <c r="BV527" s="227"/>
      <c r="BW527" s="227"/>
      <c r="BX527" s="227"/>
      <c r="BY527" s="227"/>
      <c r="BZ527" s="227"/>
      <c r="CA527" s="227"/>
      <c r="CB527" s="227"/>
      <c r="CC527" s="227"/>
      <c r="CD527" s="227"/>
      <c r="CE527" s="227"/>
      <c r="CF527" s="227"/>
      <c r="CG527" s="227"/>
      <c r="CH527" s="227"/>
      <c r="CI527" s="227"/>
      <c r="CJ527" s="227"/>
      <c r="CK527" s="227"/>
      <c r="CL527" s="227"/>
      <c r="CM527" s="227"/>
      <c r="CN527" s="227"/>
      <c r="CO527" s="227"/>
      <c r="CP527" s="227"/>
      <c r="CQ527" s="227"/>
      <c r="CR527" s="227"/>
      <c r="CS527" s="227"/>
      <c r="CT527" s="227"/>
      <c r="CU527" s="225"/>
      <c r="CV527" s="227"/>
    </row>
    <row r="528" spans="1:100" ht="20.100000000000001" customHeight="1">
      <c r="A528" s="223"/>
      <c r="B528" s="225"/>
      <c r="C528" s="227"/>
      <c r="D528" s="224"/>
      <c r="E528" s="227"/>
      <c r="F528" s="227"/>
      <c r="G528" s="227"/>
      <c r="H528" s="227"/>
      <c r="I528" s="227"/>
      <c r="J528" s="227"/>
      <c r="K528" s="227"/>
      <c r="L528" s="227"/>
      <c r="M528" s="227"/>
      <c r="N528" s="227"/>
      <c r="O528" s="227"/>
      <c r="P528" s="227"/>
      <c r="Q528" s="227"/>
      <c r="R528" s="227"/>
      <c r="S528" s="227"/>
      <c r="T528" s="227"/>
      <c r="U528" s="227"/>
      <c r="V528" s="227"/>
      <c r="W528" s="227"/>
      <c r="X528" s="227"/>
      <c r="Y528" s="227"/>
      <c r="Z528" s="227"/>
      <c r="AA528" s="227"/>
      <c r="AB528" s="227"/>
      <c r="AC528" s="227"/>
      <c r="AD528" s="227"/>
      <c r="AE528" s="227"/>
      <c r="AF528" s="227"/>
      <c r="AG528" s="227"/>
      <c r="AH528" s="227"/>
      <c r="AI528" s="227"/>
      <c r="AJ528" s="227"/>
      <c r="AK528" s="227"/>
      <c r="AL528" s="227"/>
      <c r="AM528" s="227"/>
      <c r="AN528" s="227"/>
      <c r="AO528" s="227"/>
      <c r="AP528" s="227"/>
      <c r="AQ528" s="227"/>
      <c r="AR528" s="227"/>
      <c r="AS528" s="227"/>
      <c r="AT528" s="227"/>
      <c r="AU528" s="227"/>
      <c r="AV528" s="227"/>
      <c r="AW528" s="227"/>
      <c r="AX528" s="227"/>
      <c r="AY528" s="227"/>
      <c r="AZ528" s="227"/>
      <c r="BA528" s="227"/>
      <c r="BB528" s="227"/>
      <c r="BC528" s="227"/>
      <c r="BD528" s="227"/>
      <c r="BE528" s="227"/>
      <c r="BF528" s="227"/>
      <c r="BG528" s="227"/>
      <c r="BH528" s="227"/>
      <c r="BI528" s="227"/>
      <c r="BJ528" s="227"/>
      <c r="BK528" s="227"/>
      <c r="BL528" s="227"/>
      <c r="BM528" s="227"/>
      <c r="BN528" s="227"/>
      <c r="BO528" s="227"/>
      <c r="BP528" s="227"/>
      <c r="BQ528" s="227"/>
      <c r="BR528" s="227"/>
      <c r="BS528" s="227"/>
      <c r="BT528" s="227"/>
      <c r="BU528" s="227"/>
      <c r="BV528" s="227"/>
      <c r="BW528" s="227"/>
      <c r="BX528" s="227"/>
      <c r="BY528" s="227"/>
      <c r="BZ528" s="227"/>
      <c r="CA528" s="227"/>
      <c r="CB528" s="227"/>
      <c r="CC528" s="227"/>
      <c r="CD528" s="227"/>
      <c r="CE528" s="227"/>
      <c r="CF528" s="227"/>
      <c r="CG528" s="227"/>
      <c r="CH528" s="227"/>
      <c r="CI528" s="227"/>
      <c r="CJ528" s="227"/>
      <c r="CK528" s="227"/>
      <c r="CL528" s="227"/>
      <c r="CM528" s="227"/>
      <c r="CN528" s="227"/>
      <c r="CO528" s="227"/>
      <c r="CP528" s="227"/>
      <c r="CQ528" s="227"/>
      <c r="CR528" s="227"/>
      <c r="CS528" s="227"/>
      <c r="CT528" s="227"/>
      <c r="CU528" s="225"/>
      <c r="CV528" s="227"/>
    </row>
    <row r="529" spans="1:100" ht="20.100000000000001" customHeight="1">
      <c r="A529" s="227">
        <v>261</v>
      </c>
      <c r="B529" s="225"/>
      <c r="C529" s="227"/>
      <c r="D529" s="228">
        <f>(SUMPRODUCT(E529:CU529*$E$6:$CU$6)/100)+(SUMPRODUCT(E529:CU529*$E$6:$CU$6*$E$3:$CU$3)/100)</f>
        <v>0</v>
      </c>
      <c r="E529" s="227"/>
      <c r="F529" s="227"/>
      <c r="G529" s="227"/>
      <c r="H529" s="227"/>
      <c r="I529" s="227"/>
      <c r="J529" s="227"/>
      <c r="K529" s="227"/>
      <c r="L529" s="227"/>
      <c r="M529" s="227"/>
      <c r="N529" s="227"/>
      <c r="O529" s="227"/>
      <c r="P529" s="227"/>
      <c r="Q529" s="227"/>
      <c r="R529" s="227"/>
      <c r="S529" s="227"/>
      <c r="T529" s="227"/>
      <c r="U529" s="227"/>
      <c r="V529" s="227"/>
      <c r="W529" s="227"/>
      <c r="X529" s="227"/>
      <c r="Y529" s="227"/>
      <c r="Z529" s="227"/>
      <c r="AA529" s="227"/>
      <c r="AB529" s="227"/>
      <c r="AC529" s="227"/>
      <c r="AD529" s="227"/>
      <c r="AE529" s="227"/>
      <c r="AF529" s="227"/>
      <c r="AG529" s="227"/>
      <c r="AH529" s="227"/>
      <c r="AI529" s="227"/>
      <c r="AJ529" s="227"/>
      <c r="AK529" s="227"/>
      <c r="AL529" s="227"/>
      <c r="AM529" s="227"/>
      <c r="AN529" s="227"/>
      <c r="AO529" s="227"/>
      <c r="AP529" s="227"/>
      <c r="AQ529" s="227"/>
      <c r="AR529" s="227"/>
      <c r="AS529" s="227"/>
      <c r="AT529" s="227"/>
      <c r="AU529" s="227"/>
      <c r="AV529" s="227"/>
      <c r="AW529" s="227"/>
      <c r="AX529" s="227"/>
      <c r="AY529" s="227"/>
      <c r="AZ529" s="227"/>
      <c r="BA529" s="227"/>
      <c r="BB529" s="227"/>
      <c r="BC529" s="227"/>
      <c r="BD529" s="227"/>
      <c r="BE529" s="227"/>
      <c r="BF529" s="227"/>
      <c r="BG529" s="227"/>
      <c r="BH529" s="227"/>
      <c r="BI529" s="227"/>
      <c r="BJ529" s="227"/>
      <c r="BK529" s="227"/>
      <c r="BL529" s="227"/>
      <c r="BM529" s="227"/>
      <c r="BN529" s="227"/>
      <c r="BO529" s="227"/>
      <c r="BP529" s="227"/>
      <c r="BQ529" s="227"/>
      <c r="BR529" s="227"/>
      <c r="BS529" s="227"/>
      <c r="BT529" s="227"/>
      <c r="BU529" s="227"/>
      <c r="BV529" s="227"/>
      <c r="BW529" s="227"/>
      <c r="BX529" s="227"/>
      <c r="BY529" s="227"/>
      <c r="BZ529" s="227"/>
      <c r="CA529" s="227"/>
      <c r="CB529" s="227"/>
      <c r="CC529" s="227"/>
      <c r="CD529" s="227"/>
      <c r="CE529" s="227"/>
      <c r="CF529" s="227"/>
      <c r="CG529" s="227"/>
      <c r="CH529" s="227"/>
      <c r="CI529" s="227"/>
      <c r="CJ529" s="227"/>
      <c r="CK529" s="227"/>
      <c r="CL529" s="227"/>
      <c r="CM529" s="227"/>
      <c r="CN529" s="227"/>
      <c r="CO529" s="227"/>
      <c r="CP529" s="227"/>
      <c r="CQ529" s="227"/>
      <c r="CR529" s="227"/>
      <c r="CS529" s="227"/>
      <c r="CT529" s="227"/>
      <c r="CU529" s="225"/>
      <c r="CV529" s="227"/>
    </row>
    <row r="530" spans="1:100" ht="20.100000000000001" customHeight="1">
      <c r="A530" s="227"/>
      <c r="B530" s="225"/>
      <c r="C530" s="227"/>
      <c r="D530" s="224"/>
      <c r="E530" s="227"/>
      <c r="F530" s="227"/>
      <c r="G530" s="227"/>
      <c r="H530" s="227"/>
      <c r="I530" s="227"/>
      <c r="J530" s="227"/>
      <c r="K530" s="227"/>
      <c r="L530" s="227"/>
      <c r="M530" s="227"/>
      <c r="N530" s="227"/>
      <c r="O530" s="227"/>
      <c r="P530" s="227"/>
      <c r="Q530" s="227"/>
      <c r="R530" s="227"/>
      <c r="S530" s="227"/>
      <c r="T530" s="227"/>
      <c r="U530" s="227"/>
      <c r="V530" s="227"/>
      <c r="W530" s="227"/>
      <c r="X530" s="227"/>
      <c r="Y530" s="227"/>
      <c r="Z530" s="227"/>
      <c r="AA530" s="227"/>
      <c r="AB530" s="227"/>
      <c r="AC530" s="227"/>
      <c r="AD530" s="227"/>
      <c r="AE530" s="227"/>
      <c r="AF530" s="227"/>
      <c r="AG530" s="227"/>
      <c r="AH530" s="227"/>
      <c r="AI530" s="227"/>
      <c r="AJ530" s="227"/>
      <c r="AK530" s="227"/>
      <c r="AL530" s="227"/>
      <c r="AM530" s="227"/>
      <c r="AN530" s="227"/>
      <c r="AO530" s="227"/>
      <c r="AP530" s="227"/>
      <c r="AQ530" s="227"/>
      <c r="AR530" s="227"/>
      <c r="AS530" s="227"/>
      <c r="AT530" s="227"/>
      <c r="AU530" s="227"/>
      <c r="AV530" s="227"/>
      <c r="AW530" s="227"/>
      <c r="AX530" s="227"/>
      <c r="AY530" s="227"/>
      <c r="AZ530" s="227"/>
      <c r="BA530" s="227"/>
      <c r="BB530" s="227"/>
      <c r="BC530" s="227"/>
      <c r="BD530" s="227"/>
      <c r="BE530" s="227"/>
      <c r="BF530" s="227"/>
      <c r="BG530" s="227"/>
      <c r="BH530" s="227"/>
      <c r="BI530" s="227"/>
      <c r="BJ530" s="227"/>
      <c r="BK530" s="227"/>
      <c r="BL530" s="227"/>
      <c r="BM530" s="227"/>
      <c r="BN530" s="227"/>
      <c r="BO530" s="227"/>
      <c r="BP530" s="227"/>
      <c r="BQ530" s="227"/>
      <c r="BR530" s="227"/>
      <c r="BS530" s="227"/>
      <c r="BT530" s="227"/>
      <c r="BU530" s="227"/>
      <c r="BV530" s="227"/>
      <c r="BW530" s="227"/>
      <c r="BX530" s="227"/>
      <c r="BY530" s="227"/>
      <c r="BZ530" s="227"/>
      <c r="CA530" s="227"/>
      <c r="CB530" s="227"/>
      <c r="CC530" s="227"/>
      <c r="CD530" s="227"/>
      <c r="CE530" s="227"/>
      <c r="CF530" s="227"/>
      <c r="CG530" s="227"/>
      <c r="CH530" s="227"/>
      <c r="CI530" s="227"/>
      <c r="CJ530" s="227"/>
      <c r="CK530" s="227"/>
      <c r="CL530" s="227"/>
      <c r="CM530" s="227"/>
      <c r="CN530" s="227"/>
      <c r="CO530" s="227"/>
      <c r="CP530" s="227"/>
      <c r="CQ530" s="227"/>
      <c r="CR530" s="227"/>
      <c r="CS530" s="227"/>
      <c r="CT530" s="227"/>
      <c r="CU530" s="225"/>
      <c r="CV530" s="227"/>
    </row>
    <row r="531" spans="1:100" ht="20.100000000000001" customHeight="1">
      <c r="A531" s="227">
        <v>262</v>
      </c>
      <c r="B531" s="225"/>
      <c r="C531" s="227"/>
      <c r="D531" s="228">
        <f>(SUMPRODUCT(E531:CU531*$E$6:$CU$6)/100)+(SUMPRODUCT(E531:CU531*$E$6:$CU$6*$E$3:$CU$3)/100)</f>
        <v>0</v>
      </c>
      <c r="E531" s="227"/>
      <c r="F531" s="227"/>
      <c r="G531" s="227"/>
      <c r="H531" s="227"/>
      <c r="I531" s="227"/>
      <c r="J531" s="227"/>
      <c r="K531" s="227"/>
      <c r="L531" s="227"/>
      <c r="M531" s="227"/>
      <c r="N531" s="227"/>
      <c r="O531" s="227"/>
      <c r="P531" s="227"/>
      <c r="Q531" s="227"/>
      <c r="R531" s="227"/>
      <c r="S531" s="227"/>
      <c r="T531" s="227"/>
      <c r="U531" s="227"/>
      <c r="V531" s="227"/>
      <c r="W531" s="227"/>
      <c r="X531" s="227"/>
      <c r="Y531" s="227"/>
      <c r="Z531" s="227"/>
      <c r="AA531" s="227"/>
      <c r="AB531" s="227"/>
      <c r="AC531" s="227"/>
      <c r="AD531" s="227"/>
      <c r="AE531" s="227"/>
      <c r="AF531" s="227"/>
      <c r="AG531" s="227"/>
      <c r="AH531" s="227"/>
      <c r="AI531" s="227"/>
      <c r="AJ531" s="227"/>
      <c r="AK531" s="227"/>
      <c r="AL531" s="227"/>
      <c r="AM531" s="227"/>
      <c r="AN531" s="227"/>
      <c r="AO531" s="227"/>
      <c r="AP531" s="227"/>
      <c r="AQ531" s="227"/>
      <c r="AR531" s="227"/>
      <c r="AS531" s="227"/>
      <c r="AT531" s="227"/>
      <c r="AU531" s="227"/>
      <c r="AV531" s="227"/>
      <c r="AW531" s="227"/>
      <c r="AX531" s="227"/>
      <c r="AY531" s="227"/>
      <c r="AZ531" s="227"/>
      <c r="BA531" s="227"/>
      <c r="BB531" s="227"/>
      <c r="BC531" s="227"/>
      <c r="BD531" s="227"/>
      <c r="BE531" s="227"/>
      <c r="BF531" s="227"/>
      <c r="BG531" s="227"/>
      <c r="BH531" s="227"/>
      <c r="BI531" s="227"/>
      <c r="BJ531" s="227"/>
      <c r="BK531" s="227"/>
      <c r="BL531" s="227"/>
      <c r="BM531" s="227"/>
      <c r="BN531" s="227"/>
      <c r="BO531" s="227"/>
      <c r="BP531" s="227"/>
      <c r="BQ531" s="227"/>
      <c r="BR531" s="227"/>
      <c r="BS531" s="227"/>
      <c r="BT531" s="227"/>
      <c r="BU531" s="227"/>
      <c r="BV531" s="227"/>
      <c r="BW531" s="227"/>
      <c r="BX531" s="227"/>
      <c r="BY531" s="227"/>
      <c r="BZ531" s="227"/>
      <c r="CA531" s="227"/>
      <c r="CB531" s="227"/>
      <c r="CC531" s="227"/>
      <c r="CD531" s="227"/>
      <c r="CE531" s="227"/>
      <c r="CF531" s="227"/>
      <c r="CG531" s="227"/>
      <c r="CH531" s="227"/>
      <c r="CI531" s="227"/>
      <c r="CJ531" s="227"/>
      <c r="CK531" s="227"/>
      <c r="CL531" s="227"/>
      <c r="CM531" s="227"/>
      <c r="CN531" s="227"/>
      <c r="CO531" s="227"/>
      <c r="CP531" s="227"/>
      <c r="CQ531" s="227"/>
      <c r="CR531" s="227"/>
      <c r="CS531" s="227"/>
      <c r="CT531" s="227"/>
      <c r="CU531" s="225"/>
      <c r="CV531" s="227"/>
    </row>
    <row r="532" spans="1:100" ht="20.100000000000001" customHeight="1">
      <c r="A532" s="223"/>
      <c r="B532" s="225"/>
      <c r="C532" s="227"/>
      <c r="D532" s="224"/>
      <c r="E532" s="227"/>
      <c r="F532" s="227"/>
      <c r="G532" s="227"/>
      <c r="H532" s="227"/>
      <c r="I532" s="227"/>
      <c r="J532" s="227"/>
      <c r="K532" s="227"/>
      <c r="L532" s="227"/>
      <c r="M532" s="227"/>
      <c r="N532" s="227"/>
      <c r="O532" s="227"/>
      <c r="P532" s="227"/>
      <c r="Q532" s="227"/>
      <c r="R532" s="227"/>
      <c r="S532" s="227"/>
      <c r="T532" s="227"/>
      <c r="U532" s="227"/>
      <c r="V532" s="227"/>
      <c r="W532" s="227"/>
      <c r="X532" s="227"/>
      <c r="Y532" s="227"/>
      <c r="Z532" s="227"/>
      <c r="AA532" s="227"/>
      <c r="AB532" s="227"/>
      <c r="AC532" s="227"/>
      <c r="AD532" s="227"/>
      <c r="AE532" s="227"/>
      <c r="AF532" s="227"/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27"/>
      <c r="BC532" s="227"/>
      <c r="BD532" s="227"/>
      <c r="BE532" s="227"/>
      <c r="BF532" s="227"/>
      <c r="BG532" s="227"/>
      <c r="BH532" s="227"/>
      <c r="BI532" s="227"/>
      <c r="BJ532" s="227"/>
      <c r="BK532" s="227"/>
      <c r="BL532" s="227"/>
      <c r="BM532" s="227"/>
      <c r="BN532" s="227"/>
      <c r="BO532" s="227"/>
      <c r="BP532" s="227"/>
      <c r="BQ532" s="227"/>
      <c r="BR532" s="227"/>
      <c r="BS532" s="227"/>
      <c r="BT532" s="227"/>
      <c r="BU532" s="227"/>
      <c r="BV532" s="227"/>
      <c r="BW532" s="227"/>
      <c r="BX532" s="227"/>
      <c r="BY532" s="227"/>
      <c r="BZ532" s="227"/>
      <c r="CA532" s="227"/>
      <c r="CB532" s="227"/>
      <c r="CC532" s="227"/>
      <c r="CD532" s="227"/>
      <c r="CE532" s="227"/>
      <c r="CF532" s="227"/>
      <c r="CG532" s="227"/>
      <c r="CH532" s="227"/>
      <c r="CI532" s="227"/>
      <c r="CJ532" s="227"/>
      <c r="CK532" s="227"/>
      <c r="CL532" s="227"/>
      <c r="CM532" s="227"/>
      <c r="CN532" s="227"/>
      <c r="CO532" s="227"/>
      <c r="CP532" s="227"/>
      <c r="CQ532" s="227"/>
      <c r="CR532" s="227"/>
      <c r="CS532" s="227"/>
      <c r="CT532" s="227"/>
      <c r="CU532" s="225"/>
      <c r="CV532" s="227"/>
    </row>
    <row r="533" spans="1:100" ht="20.100000000000001" customHeight="1">
      <c r="A533" s="227">
        <v>263</v>
      </c>
      <c r="B533" s="225"/>
      <c r="C533" s="227"/>
      <c r="D533" s="228">
        <f>(SUMPRODUCT(E533:CU533*$E$6:$CU$6)/100)+(SUMPRODUCT(E533:CU533*$E$6:$CU$6*$E$3:$CU$3)/100)</f>
        <v>0</v>
      </c>
      <c r="E533" s="227"/>
      <c r="F533" s="227"/>
      <c r="G533" s="227"/>
      <c r="H533" s="227"/>
      <c r="I533" s="227"/>
      <c r="J533" s="227"/>
      <c r="K533" s="227"/>
      <c r="L533" s="227"/>
      <c r="M533" s="227"/>
      <c r="N533" s="227"/>
      <c r="O533" s="227"/>
      <c r="P533" s="227"/>
      <c r="Q533" s="227"/>
      <c r="R533" s="227"/>
      <c r="S533" s="227"/>
      <c r="T533" s="227"/>
      <c r="U533" s="227"/>
      <c r="V533" s="227"/>
      <c r="W533" s="227"/>
      <c r="X533" s="227"/>
      <c r="Y533" s="227"/>
      <c r="Z533" s="227"/>
      <c r="AA533" s="227"/>
      <c r="AB533" s="227"/>
      <c r="AC533" s="227"/>
      <c r="AD533" s="227"/>
      <c r="AE533" s="227"/>
      <c r="AF533" s="227"/>
      <c r="AG533" s="227"/>
      <c r="AH533" s="227"/>
      <c r="AI533" s="227"/>
      <c r="AJ533" s="227"/>
      <c r="AK533" s="227"/>
      <c r="AL533" s="227"/>
      <c r="AM533" s="227"/>
      <c r="AN533" s="227"/>
      <c r="AO533" s="227"/>
      <c r="AP533" s="227"/>
      <c r="AQ533" s="227"/>
      <c r="AR533" s="227"/>
      <c r="AS533" s="227"/>
      <c r="AT533" s="227"/>
      <c r="AU533" s="227"/>
      <c r="AV533" s="227"/>
      <c r="AW533" s="227"/>
      <c r="AX533" s="227"/>
      <c r="AY533" s="227"/>
      <c r="AZ533" s="227"/>
      <c r="BA533" s="227"/>
      <c r="BB533" s="227"/>
      <c r="BC533" s="227"/>
      <c r="BD533" s="227"/>
      <c r="BE533" s="227"/>
      <c r="BF533" s="227"/>
      <c r="BG533" s="227"/>
      <c r="BH533" s="227"/>
      <c r="BI533" s="227"/>
      <c r="BJ533" s="227"/>
      <c r="BK533" s="227"/>
      <c r="BL533" s="227"/>
      <c r="BM533" s="227"/>
      <c r="BN533" s="227"/>
      <c r="BO533" s="227"/>
      <c r="BP533" s="227"/>
      <c r="BQ533" s="227"/>
      <c r="BR533" s="227"/>
      <c r="BS533" s="227"/>
      <c r="BT533" s="227"/>
      <c r="BU533" s="227"/>
      <c r="BV533" s="227"/>
      <c r="BW533" s="227"/>
      <c r="BX533" s="227"/>
      <c r="BY533" s="227"/>
      <c r="BZ533" s="227"/>
      <c r="CA533" s="227"/>
      <c r="CB533" s="227"/>
      <c r="CC533" s="227"/>
      <c r="CD533" s="227"/>
      <c r="CE533" s="227"/>
      <c r="CF533" s="227"/>
      <c r="CG533" s="227"/>
      <c r="CH533" s="227"/>
      <c r="CI533" s="227"/>
      <c r="CJ533" s="227"/>
      <c r="CK533" s="227"/>
      <c r="CL533" s="227"/>
      <c r="CM533" s="227"/>
      <c r="CN533" s="227"/>
      <c r="CO533" s="227"/>
      <c r="CP533" s="227"/>
      <c r="CQ533" s="227"/>
      <c r="CR533" s="227"/>
      <c r="CS533" s="227"/>
      <c r="CT533" s="227"/>
      <c r="CU533" s="225"/>
      <c r="CV533" s="227"/>
    </row>
    <row r="534" spans="1:100" ht="20.100000000000001" customHeight="1">
      <c r="A534" s="227"/>
      <c r="B534" s="225"/>
      <c r="C534" s="227"/>
      <c r="D534" s="224"/>
      <c r="E534" s="227"/>
      <c r="F534" s="227"/>
      <c r="G534" s="227"/>
      <c r="H534" s="227"/>
      <c r="I534" s="227"/>
      <c r="J534" s="227"/>
      <c r="K534" s="227"/>
      <c r="L534" s="227"/>
      <c r="M534" s="227"/>
      <c r="N534" s="227"/>
      <c r="O534" s="227"/>
      <c r="P534" s="227"/>
      <c r="Q534" s="227"/>
      <c r="R534" s="227"/>
      <c r="S534" s="227"/>
      <c r="T534" s="227"/>
      <c r="U534" s="227"/>
      <c r="V534" s="227"/>
      <c r="W534" s="227"/>
      <c r="X534" s="227"/>
      <c r="Y534" s="227"/>
      <c r="Z534" s="227"/>
      <c r="AA534" s="227"/>
      <c r="AB534" s="227"/>
      <c r="AC534" s="227"/>
      <c r="AD534" s="227"/>
      <c r="AE534" s="227"/>
      <c r="AF534" s="227"/>
      <c r="AG534" s="227"/>
      <c r="AH534" s="227"/>
      <c r="AI534" s="227"/>
      <c r="AJ534" s="227"/>
      <c r="AK534" s="227"/>
      <c r="AL534" s="227"/>
      <c r="AM534" s="227"/>
      <c r="AN534" s="227"/>
      <c r="AO534" s="227"/>
      <c r="AP534" s="227"/>
      <c r="AQ534" s="227"/>
      <c r="AR534" s="227"/>
      <c r="AS534" s="227"/>
      <c r="AT534" s="227"/>
      <c r="AU534" s="227"/>
      <c r="AV534" s="227"/>
      <c r="AW534" s="227"/>
      <c r="AX534" s="227"/>
      <c r="AY534" s="227"/>
      <c r="AZ534" s="227"/>
      <c r="BA534" s="227"/>
      <c r="BB534" s="227"/>
      <c r="BC534" s="227"/>
      <c r="BD534" s="227"/>
      <c r="BE534" s="227"/>
      <c r="BF534" s="227"/>
      <c r="BG534" s="227"/>
      <c r="BH534" s="227"/>
      <c r="BI534" s="227"/>
      <c r="BJ534" s="227"/>
      <c r="BK534" s="227"/>
      <c r="BL534" s="227"/>
      <c r="BM534" s="227"/>
      <c r="BN534" s="227"/>
      <c r="BO534" s="227"/>
      <c r="BP534" s="227"/>
      <c r="BQ534" s="227"/>
      <c r="BR534" s="227"/>
      <c r="BS534" s="227"/>
      <c r="BT534" s="227"/>
      <c r="BU534" s="227"/>
      <c r="BV534" s="227"/>
      <c r="BW534" s="227"/>
      <c r="BX534" s="227"/>
      <c r="BY534" s="227"/>
      <c r="BZ534" s="227"/>
      <c r="CA534" s="227"/>
      <c r="CB534" s="227"/>
      <c r="CC534" s="227"/>
      <c r="CD534" s="227"/>
      <c r="CE534" s="227"/>
      <c r="CF534" s="227"/>
      <c r="CG534" s="227"/>
      <c r="CH534" s="227"/>
      <c r="CI534" s="227"/>
      <c r="CJ534" s="227"/>
      <c r="CK534" s="227"/>
      <c r="CL534" s="227"/>
      <c r="CM534" s="227"/>
      <c r="CN534" s="227"/>
      <c r="CO534" s="227"/>
      <c r="CP534" s="227"/>
      <c r="CQ534" s="227"/>
      <c r="CR534" s="227"/>
      <c r="CS534" s="227"/>
      <c r="CT534" s="227"/>
      <c r="CU534" s="225"/>
      <c r="CV534" s="227"/>
    </row>
    <row r="535" spans="1:100" ht="20.100000000000001" customHeight="1">
      <c r="A535" s="227">
        <v>264</v>
      </c>
      <c r="B535" s="225"/>
      <c r="C535" s="227"/>
      <c r="D535" s="228">
        <f>(SUMPRODUCT(E535:CU535*$E$6:$CU$6)/100)+(SUMPRODUCT(E535:CU535*$E$6:$CU$6*$E$3:$CU$3)/100)</f>
        <v>0</v>
      </c>
      <c r="E535" s="227"/>
      <c r="F535" s="227"/>
      <c r="G535" s="227"/>
      <c r="H535" s="227"/>
      <c r="I535" s="227"/>
      <c r="J535" s="227"/>
      <c r="K535" s="227"/>
      <c r="L535" s="227"/>
      <c r="M535" s="227"/>
      <c r="N535" s="227"/>
      <c r="O535" s="227"/>
      <c r="P535" s="227"/>
      <c r="Q535" s="227"/>
      <c r="R535" s="227"/>
      <c r="S535" s="227"/>
      <c r="T535" s="227"/>
      <c r="U535" s="227"/>
      <c r="V535" s="227"/>
      <c r="W535" s="227"/>
      <c r="X535" s="227"/>
      <c r="Y535" s="227"/>
      <c r="Z535" s="227"/>
      <c r="AA535" s="227"/>
      <c r="AB535" s="227"/>
      <c r="AC535" s="227"/>
      <c r="AD535" s="227"/>
      <c r="AE535" s="227"/>
      <c r="AF535" s="227"/>
      <c r="AG535" s="227"/>
      <c r="AH535" s="227"/>
      <c r="AI535" s="227"/>
      <c r="AJ535" s="227"/>
      <c r="AK535" s="227"/>
      <c r="AL535" s="227"/>
      <c r="AM535" s="227"/>
      <c r="AN535" s="227"/>
      <c r="AO535" s="227"/>
      <c r="AP535" s="227"/>
      <c r="AQ535" s="227"/>
      <c r="AR535" s="227"/>
      <c r="AS535" s="227"/>
      <c r="AT535" s="227"/>
      <c r="AU535" s="227"/>
      <c r="AV535" s="227"/>
      <c r="AW535" s="227"/>
      <c r="AX535" s="227"/>
      <c r="AY535" s="227"/>
      <c r="AZ535" s="227"/>
      <c r="BA535" s="227"/>
      <c r="BB535" s="227"/>
      <c r="BC535" s="227"/>
      <c r="BD535" s="227"/>
      <c r="BE535" s="227"/>
      <c r="BF535" s="227"/>
      <c r="BG535" s="227"/>
      <c r="BH535" s="227"/>
      <c r="BI535" s="227"/>
      <c r="BJ535" s="227"/>
      <c r="BK535" s="227"/>
      <c r="BL535" s="227"/>
      <c r="BM535" s="227"/>
      <c r="BN535" s="227"/>
      <c r="BO535" s="227"/>
      <c r="BP535" s="227"/>
      <c r="BQ535" s="227"/>
      <c r="BR535" s="227"/>
      <c r="BS535" s="227"/>
      <c r="BT535" s="227"/>
      <c r="BU535" s="227"/>
      <c r="BV535" s="227"/>
      <c r="BW535" s="227"/>
      <c r="BX535" s="227"/>
      <c r="BY535" s="227"/>
      <c r="BZ535" s="227"/>
      <c r="CA535" s="227"/>
      <c r="CB535" s="227"/>
      <c r="CC535" s="227"/>
      <c r="CD535" s="227"/>
      <c r="CE535" s="227"/>
      <c r="CF535" s="227"/>
      <c r="CG535" s="227"/>
      <c r="CH535" s="227"/>
      <c r="CI535" s="227"/>
      <c r="CJ535" s="227"/>
      <c r="CK535" s="227"/>
      <c r="CL535" s="227"/>
      <c r="CM535" s="227"/>
      <c r="CN535" s="227"/>
      <c r="CO535" s="227"/>
      <c r="CP535" s="227"/>
      <c r="CQ535" s="227"/>
      <c r="CR535" s="227"/>
      <c r="CS535" s="227"/>
      <c r="CT535" s="227"/>
      <c r="CU535" s="225"/>
      <c r="CV535" s="227"/>
    </row>
    <row r="536" spans="1:100" ht="20.100000000000001" customHeight="1">
      <c r="A536" s="223"/>
      <c r="B536" s="225"/>
      <c r="C536" s="227"/>
      <c r="D536" s="224"/>
      <c r="E536" s="227"/>
      <c r="F536" s="227"/>
      <c r="G536" s="227"/>
      <c r="H536" s="227"/>
      <c r="I536" s="227"/>
      <c r="J536" s="227"/>
      <c r="K536" s="227"/>
      <c r="L536" s="227"/>
      <c r="M536" s="227"/>
      <c r="N536" s="227"/>
      <c r="O536" s="227"/>
      <c r="P536" s="227"/>
      <c r="Q536" s="227"/>
      <c r="R536" s="227"/>
      <c r="S536" s="227"/>
      <c r="T536" s="227"/>
      <c r="U536" s="227"/>
      <c r="V536" s="227"/>
      <c r="W536" s="227"/>
      <c r="X536" s="227"/>
      <c r="Y536" s="227"/>
      <c r="Z536" s="227"/>
      <c r="AA536" s="227"/>
      <c r="AB536" s="227"/>
      <c r="AC536" s="227"/>
      <c r="AD536" s="227"/>
      <c r="AE536" s="227"/>
      <c r="AF536" s="227"/>
      <c r="AG536" s="227"/>
      <c r="AH536" s="227"/>
      <c r="AI536" s="227"/>
      <c r="AJ536" s="227"/>
      <c r="AK536" s="227"/>
      <c r="AL536" s="227"/>
      <c r="AM536" s="227"/>
      <c r="AN536" s="227"/>
      <c r="AO536" s="227"/>
      <c r="AP536" s="227"/>
      <c r="AQ536" s="227"/>
      <c r="AR536" s="227"/>
      <c r="AS536" s="227"/>
      <c r="AT536" s="227"/>
      <c r="AU536" s="227"/>
      <c r="AV536" s="227"/>
      <c r="AW536" s="227"/>
      <c r="AX536" s="227"/>
      <c r="AY536" s="227"/>
      <c r="AZ536" s="227"/>
      <c r="BA536" s="227"/>
      <c r="BB536" s="227"/>
      <c r="BC536" s="227"/>
      <c r="BD536" s="227"/>
      <c r="BE536" s="227"/>
      <c r="BF536" s="227"/>
      <c r="BG536" s="227"/>
      <c r="BH536" s="227"/>
      <c r="BI536" s="227"/>
      <c r="BJ536" s="227"/>
      <c r="BK536" s="227"/>
      <c r="BL536" s="227"/>
      <c r="BM536" s="227"/>
      <c r="BN536" s="227"/>
      <c r="BO536" s="227"/>
      <c r="BP536" s="227"/>
      <c r="BQ536" s="227"/>
      <c r="BR536" s="227"/>
      <c r="BS536" s="227"/>
      <c r="BT536" s="227"/>
      <c r="BU536" s="227"/>
      <c r="BV536" s="227"/>
      <c r="BW536" s="227"/>
      <c r="BX536" s="227"/>
      <c r="BY536" s="227"/>
      <c r="BZ536" s="227"/>
      <c r="CA536" s="227"/>
      <c r="CB536" s="227"/>
      <c r="CC536" s="227"/>
      <c r="CD536" s="227"/>
      <c r="CE536" s="227"/>
      <c r="CF536" s="227"/>
      <c r="CG536" s="227"/>
      <c r="CH536" s="227"/>
      <c r="CI536" s="227"/>
      <c r="CJ536" s="227"/>
      <c r="CK536" s="227"/>
      <c r="CL536" s="227"/>
      <c r="CM536" s="227"/>
      <c r="CN536" s="227"/>
      <c r="CO536" s="227"/>
      <c r="CP536" s="227"/>
      <c r="CQ536" s="227"/>
      <c r="CR536" s="227"/>
      <c r="CS536" s="227"/>
      <c r="CT536" s="227"/>
      <c r="CU536" s="225"/>
      <c r="CV536" s="227"/>
    </row>
    <row r="537" spans="1:100" ht="20.100000000000001" customHeight="1">
      <c r="A537" s="227">
        <v>265</v>
      </c>
      <c r="B537" s="225"/>
      <c r="C537" s="227"/>
      <c r="D537" s="228">
        <f>(SUMPRODUCT(E537:CU537*$E$6:$CU$6)/100)+(SUMPRODUCT(E537:CU537*$E$6:$CU$6*$E$3:$CU$3)/100)</f>
        <v>0</v>
      </c>
      <c r="E537" s="227"/>
      <c r="F537" s="227"/>
      <c r="G537" s="227"/>
      <c r="H537" s="227"/>
      <c r="I537" s="227"/>
      <c r="J537" s="227"/>
      <c r="K537" s="227"/>
      <c r="L537" s="227"/>
      <c r="M537" s="227"/>
      <c r="N537" s="227"/>
      <c r="O537" s="227"/>
      <c r="P537" s="227"/>
      <c r="Q537" s="227"/>
      <c r="R537" s="227"/>
      <c r="S537" s="227"/>
      <c r="T537" s="227"/>
      <c r="U537" s="227"/>
      <c r="V537" s="227"/>
      <c r="W537" s="227"/>
      <c r="X537" s="227"/>
      <c r="Y537" s="227"/>
      <c r="Z537" s="227"/>
      <c r="AA537" s="227"/>
      <c r="AB537" s="227"/>
      <c r="AC537" s="227"/>
      <c r="AD537" s="227"/>
      <c r="AE537" s="227"/>
      <c r="AF537" s="227"/>
      <c r="AG537" s="227"/>
      <c r="AH537" s="227"/>
      <c r="AI537" s="227"/>
      <c r="AJ537" s="227"/>
      <c r="AK537" s="227"/>
      <c r="AL537" s="227"/>
      <c r="AM537" s="227"/>
      <c r="AN537" s="227"/>
      <c r="AO537" s="227"/>
      <c r="AP537" s="227"/>
      <c r="AQ537" s="227"/>
      <c r="AR537" s="227"/>
      <c r="AS537" s="227"/>
      <c r="AT537" s="227"/>
      <c r="AU537" s="227"/>
      <c r="AV537" s="227"/>
      <c r="AW537" s="227"/>
      <c r="AX537" s="227"/>
      <c r="AY537" s="227"/>
      <c r="AZ537" s="227"/>
      <c r="BA537" s="227"/>
      <c r="BB537" s="227"/>
      <c r="BC537" s="227"/>
      <c r="BD537" s="227"/>
      <c r="BE537" s="227"/>
      <c r="BF537" s="227"/>
      <c r="BG537" s="227"/>
      <c r="BH537" s="227"/>
      <c r="BI537" s="227"/>
      <c r="BJ537" s="227"/>
      <c r="BK537" s="227"/>
      <c r="BL537" s="227"/>
      <c r="BM537" s="227"/>
      <c r="BN537" s="227"/>
      <c r="BO537" s="227"/>
      <c r="BP537" s="227"/>
      <c r="BQ537" s="227"/>
      <c r="BR537" s="227"/>
      <c r="BS537" s="227"/>
      <c r="BT537" s="227"/>
      <c r="BU537" s="227"/>
      <c r="BV537" s="227"/>
      <c r="BW537" s="227"/>
      <c r="BX537" s="227"/>
      <c r="BY537" s="227"/>
      <c r="BZ537" s="227"/>
      <c r="CA537" s="227"/>
      <c r="CB537" s="227"/>
      <c r="CC537" s="227"/>
      <c r="CD537" s="227"/>
      <c r="CE537" s="227"/>
      <c r="CF537" s="227"/>
      <c r="CG537" s="227"/>
      <c r="CH537" s="227"/>
      <c r="CI537" s="227"/>
      <c r="CJ537" s="227"/>
      <c r="CK537" s="227"/>
      <c r="CL537" s="227"/>
      <c r="CM537" s="227"/>
      <c r="CN537" s="227"/>
      <c r="CO537" s="227"/>
      <c r="CP537" s="227"/>
      <c r="CQ537" s="227"/>
      <c r="CR537" s="227"/>
      <c r="CS537" s="227"/>
      <c r="CT537" s="227"/>
      <c r="CU537" s="225"/>
      <c r="CV537" s="227"/>
    </row>
    <row r="538" spans="1:100" ht="20.100000000000001" customHeight="1">
      <c r="A538" s="227"/>
      <c r="B538" s="225"/>
      <c r="C538" s="227"/>
      <c r="D538" s="224"/>
      <c r="E538" s="227"/>
      <c r="F538" s="227"/>
      <c r="G538" s="227"/>
      <c r="H538" s="227"/>
      <c r="I538" s="227"/>
      <c r="J538" s="227"/>
      <c r="K538" s="227"/>
      <c r="L538" s="227"/>
      <c r="M538" s="227"/>
      <c r="N538" s="227"/>
      <c r="O538" s="227"/>
      <c r="P538" s="227"/>
      <c r="Q538" s="227"/>
      <c r="R538" s="227"/>
      <c r="S538" s="227"/>
      <c r="T538" s="227"/>
      <c r="U538" s="227"/>
      <c r="V538" s="227"/>
      <c r="W538" s="227"/>
      <c r="X538" s="227"/>
      <c r="Y538" s="227"/>
      <c r="Z538" s="227"/>
      <c r="AA538" s="227"/>
      <c r="AB538" s="227"/>
      <c r="AC538" s="227"/>
      <c r="AD538" s="227"/>
      <c r="AE538" s="227"/>
      <c r="AF538" s="227"/>
      <c r="AG538" s="227"/>
      <c r="AH538" s="227"/>
      <c r="AI538" s="227"/>
      <c r="AJ538" s="227"/>
      <c r="AK538" s="227"/>
      <c r="AL538" s="227"/>
      <c r="AM538" s="227"/>
      <c r="AN538" s="227"/>
      <c r="AO538" s="227"/>
      <c r="AP538" s="227"/>
      <c r="AQ538" s="227"/>
      <c r="AR538" s="227"/>
      <c r="AS538" s="227"/>
      <c r="AT538" s="227"/>
      <c r="AU538" s="227"/>
      <c r="AV538" s="227"/>
      <c r="AW538" s="227"/>
      <c r="AX538" s="227"/>
      <c r="AY538" s="227"/>
      <c r="AZ538" s="227"/>
      <c r="BA538" s="227"/>
      <c r="BB538" s="227"/>
      <c r="BC538" s="227"/>
      <c r="BD538" s="227"/>
      <c r="BE538" s="227"/>
      <c r="BF538" s="227"/>
      <c r="BG538" s="227"/>
      <c r="BH538" s="227"/>
      <c r="BI538" s="227"/>
      <c r="BJ538" s="227"/>
      <c r="BK538" s="227"/>
      <c r="BL538" s="227"/>
      <c r="BM538" s="227"/>
      <c r="BN538" s="227"/>
      <c r="BO538" s="227"/>
      <c r="BP538" s="227"/>
      <c r="BQ538" s="227"/>
      <c r="BR538" s="227"/>
      <c r="BS538" s="227"/>
      <c r="BT538" s="227"/>
      <c r="BU538" s="227"/>
      <c r="BV538" s="227"/>
      <c r="BW538" s="227"/>
      <c r="BX538" s="227"/>
      <c r="BY538" s="227"/>
      <c r="BZ538" s="227"/>
      <c r="CA538" s="227"/>
      <c r="CB538" s="227"/>
      <c r="CC538" s="227"/>
      <c r="CD538" s="227"/>
      <c r="CE538" s="227"/>
      <c r="CF538" s="227"/>
      <c r="CG538" s="227"/>
      <c r="CH538" s="227"/>
      <c r="CI538" s="227"/>
      <c r="CJ538" s="227"/>
      <c r="CK538" s="227"/>
      <c r="CL538" s="227"/>
      <c r="CM538" s="227"/>
      <c r="CN538" s="227"/>
      <c r="CO538" s="227"/>
      <c r="CP538" s="227"/>
      <c r="CQ538" s="227"/>
      <c r="CR538" s="227"/>
      <c r="CS538" s="227"/>
      <c r="CT538" s="227"/>
      <c r="CU538" s="225"/>
      <c r="CV538" s="227"/>
    </row>
    <row r="539" spans="1:100" ht="20.100000000000001" customHeight="1">
      <c r="A539" s="227">
        <v>266</v>
      </c>
      <c r="B539" s="225"/>
      <c r="C539" s="227"/>
      <c r="D539" s="228">
        <f>(SUMPRODUCT(E539:CU539*$E$6:$CU$6)/100)+(SUMPRODUCT(E539:CU539*$E$6:$CU$6*$E$3:$CU$3)/100)</f>
        <v>0</v>
      </c>
      <c r="E539" s="227"/>
      <c r="F539" s="227"/>
      <c r="G539" s="227"/>
      <c r="H539" s="227"/>
      <c r="I539" s="227"/>
      <c r="J539" s="227"/>
      <c r="K539" s="227"/>
      <c r="L539" s="227"/>
      <c r="M539" s="227"/>
      <c r="N539" s="227"/>
      <c r="O539" s="227"/>
      <c r="P539" s="227"/>
      <c r="Q539" s="227"/>
      <c r="R539" s="227"/>
      <c r="S539" s="227"/>
      <c r="T539" s="227"/>
      <c r="U539" s="227"/>
      <c r="V539" s="227"/>
      <c r="W539" s="227"/>
      <c r="X539" s="227"/>
      <c r="Y539" s="227"/>
      <c r="Z539" s="227"/>
      <c r="AA539" s="227"/>
      <c r="AB539" s="227"/>
      <c r="AC539" s="227"/>
      <c r="AD539" s="227"/>
      <c r="AE539" s="227"/>
      <c r="AF539" s="227"/>
      <c r="AG539" s="227"/>
      <c r="AH539" s="227"/>
      <c r="AI539" s="227"/>
      <c r="AJ539" s="227"/>
      <c r="AK539" s="227"/>
      <c r="AL539" s="227"/>
      <c r="AM539" s="227"/>
      <c r="AN539" s="227"/>
      <c r="AO539" s="227"/>
      <c r="AP539" s="227"/>
      <c r="AQ539" s="227"/>
      <c r="AR539" s="227"/>
      <c r="AS539" s="227"/>
      <c r="AT539" s="227"/>
      <c r="AU539" s="227"/>
      <c r="AV539" s="227"/>
      <c r="AW539" s="227"/>
      <c r="AX539" s="227"/>
      <c r="AY539" s="227"/>
      <c r="AZ539" s="227"/>
      <c r="BA539" s="227"/>
      <c r="BB539" s="227"/>
      <c r="BC539" s="227"/>
      <c r="BD539" s="227"/>
      <c r="BE539" s="227"/>
      <c r="BF539" s="227"/>
      <c r="BG539" s="227"/>
      <c r="BH539" s="227"/>
      <c r="BI539" s="227"/>
      <c r="BJ539" s="227"/>
      <c r="BK539" s="227"/>
      <c r="BL539" s="227"/>
      <c r="BM539" s="227"/>
      <c r="BN539" s="227"/>
      <c r="BO539" s="227"/>
      <c r="BP539" s="227"/>
      <c r="BQ539" s="227"/>
      <c r="BR539" s="227"/>
      <c r="BS539" s="227"/>
      <c r="BT539" s="227"/>
      <c r="BU539" s="227"/>
      <c r="BV539" s="227"/>
      <c r="BW539" s="227"/>
      <c r="BX539" s="227"/>
      <c r="BY539" s="227"/>
      <c r="BZ539" s="227"/>
      <c r="CA539" s="227"/>
      <c r="CB539" s="227"/>
      <c r="CC539" s="227"/>
      <c r="CD539" s="227"/>
      <c r="CE539" s="227"/>
      <c r="CF539" s="227"/>
      <c r="CG539" s="227"/>
      <c r="CH539" s="227"/>
      <c r="CI539" s="227"/>
      <c r="CJ539" s="227"/>
      <c r="CK539" s="227"/>
      <c r="CL539" s="227"/>
      <c r="CM539" s="227"/>
      <c r="CN539" s="227"/>
      <c r="CO539" s="227"/>
      <c r="CP539" s="227"/>
      <c r="CQ539" s="227"/>
      <c r="CR539" s="227"/>
      <c r="CS539" s="227"/>
      <c r="CT539" s="227"/>
      <c r="CU539" s="225"/>
      <c r="CV539" s="227"/>
    </row>
    <row r="540" spans="1:100" ht="20.100000000000001" customHeight="1">
      <c r="A540" s="223"/>
      <c r="B540" s="225"/>
      <c r="C540" s="227"/>
      <c r="D540" s="224"/>
      <c r="E540" s="227"/>
      <c r="F540" s="227"/>
      <c r="G540" s="227"/>
      <c r="H540" s="227"/>
      <c r="I540" s="227"/>
      <c r="J540" s="227"/>
      <c r="K540" s="227"/>
      <c r="L540" s="227"/>
      <c r="M540" s="227"/>
      <c r="N540" s="227"/>
      <c r="O540" s="227"/>
      <c r="P540" s="227"/>
      <c r="Q540" s="227"/>
      <c r="R540" s="227"/>
      <c r="S540" s="227"/>
      <c r="T540" s="227"/>
      <c r="U540" s="227"/>
      <c r="V540" s="227"/>
      <c r="W540" s="227"/>
      <c r="X540" s="227"/>
      <c r="Y540" s="227"/>
      <c r="Z540" s="227"/>
      <c r="AA540" s="227"/>
      <c r="AB540" s="227"/>
      <c r="AC540" s="227"/>
      <c r="AD540" s="227"/>
      <c r="AE540" s="227"/>
      <c r="AF540" s="227"/>
      <c r="AG540" s="227"/>
      <c r="AH540" s="227"/>
      <c r="AI540" s="227"/>
      <c r="AJ540" s="227"/>
      <c r="AK540" s="227"/>
      <c r="AL540" s="227"/>
      <c r="AM540" s="227"/>
      <c r="AN540" s="227"/>
      <c r="AO540" s="227"/>
      <c r="AP540" s="227"/>
      <c r="AQ540" s="227"/>
      <c r="AR540" s="227"/>
      <c r="AS540" s="227"/>
      <c r="AT540" s="227"/>
      <c r="AU540" s="227"/>
      <c r="AV540" s="227"/>
      <c r="AW540" s="227"/>
      <c r="AX540" s="227"/>
      <c r="AY540" s="227"/>
      <c r="AZ540" s="227"/>
      <c r="BA540" s="227"/>
      <c r="BB540" s="227"/>
      <c r="BC540" s="227"/>
      <c r="BD540" s="227"/>
      <c r="BE540" s="227"/>
      <c r="BF540" s="227"/>
      <c r="BG540" s="227"/>
      <c r="BH540" s="227"/>
      <c r="BI540" s="227"/>
      <c r="BJ540" s="227"/>
      <c r="BK540" s="227"/>
      <c r="BL540" s="227"/>
      <c r="BM540" s="227"/>
      <c r="BN540" s="227"/>
      <c r="BO540" s="227"/>
      <c r="BP540" s="227"/>
      <c r="BQ540" s="227"/>
      <c r="BR540" s="227"/>
      <c r="BS540" s="227"/>
      <c r="BT540" s="227"/>
      <c r="BU540" s="227"/>
      <c r="BV540" s="227"/>
      <c r="BW540" s="227"/>
      <c r="BX540" s="227"/>
      <c r="BY540" s="227"/>
      <c r="BZ540" s="227"/>
      <c r="CA540" s="227"/>
      <c r="CB540" s="227"/>
      <c r="CC540" s="227"/>
      <c r="CD540" s="227"/>
      <c r="CE540" s="227"/>
      <c r="CF540" s="227"/>
      <c r="CG540" s="227"/>
      <c r="CH540" s="227"/>
      <c r="CI540" s="227"/>
      <c r="CJ540" s="227"/>
      <c r="CK540" s="227"/>
      <c r="CL540" s="227"/>
      <c r="CM540" s="227"/>
      <c r="CN540" s="227"/>
      <c r="CO540" s="227"/>
      <c r="CP540" s="227"/>
      <c r="CQ540" s="227"/>
      <c r="CR540" s="227"/>
      <c r="CS540" s="227"/>
      <c r="CT540" s="227"/>
      <c r="CU540" s="225"/>
      <c r="CV540" s="227"/>
    </row>
    <row r="541" spans="1:100" ht="20.100000000000001" customHeight="1">
      <c r="A541" s="227">
        <v>267</v>
      </c>
      <c r="B541" s="225"/>
      <c r="C541" s="227"/>
      <c r="D541" s="228">
        <f>(SUMPRODUCT(E541:CU541*$E$6:$CU$6)/100)+(SUMPRODUCT(E541:CU541*$E$6:$CU$6*$E$3:$CU$3)/100)</f>
        <v>0</v>
      </c>
      <c r="E541" s="227"/>
      <c r="F541" s="227"/>
      <c r="G541" s="227"/>
      <c r="H541" s="227"/>
      <c r="I541" s="227"/>
      <c r="J541" s="227"/>
      <c r="K541" s="227"/>
      <c r="L541" s="227"/>
      <c r="M541" s="227"/>
      <c r="N541" s="227"/>
      <c r="O541" s="227"/>
      <c r="P541" s="227"/>
      <c r="Q541" s="227"/>
      <c r="R541" s="227"/>
      <c r="S541" s="227"/>
      <c r="T541" s="227"/>
      <c r="U541" s="227"/>
      <c r="V541" s="227"/>
      <c r="W541" s="227"/>
      <c r="X541" s="227"/>
      <c r="Y541" s="227"/>
      <c r="Z541" s="227"/>
      <c r="AA541" s="227"/>
      <c r="AB541" s="227"/>
      <c r="AC541" s="227"/>
      <c r="AD541" s="227"/>
      <c r="AE541" s="227"/>
      <c r="AF541" s="227"/>
      <c r="AG541" s="227"/>
      <c r="AH541" s="227"/>
      <c r="AI541" s="227"/>
      <c r="AJ541" s="227"/>
      <c r="AK541" s="227"/>
      <c r="AL541" s="227"/>
      <c r="AM541" s="227"/>
      <c r="AN541" s="227"/>
      <c r="AO541" s="227"/>
      <c r="AP541" s="227"/>
      <c r="AQ541" s="227"/>
      <c r="AR541" s="227"/>
      <c r="AS541" s="227"/>
      <c r="AT541" s="227"/>
      <c r="AU541" s="227"/>
      <c r="AV541" s="227"/>
      <c r="AW541" s="227"/>
      <c r="AX541" s="227"/>
      <c r="AY541" s="227"/>
      <c r="AZ541" s="227"/>
      <c r="BA541" s="227"/>
      <c r="BB541" s="227"/>
      <c r="BC541" s="227"/>
      <c r="BD541" s="227"/>
      <c r="BE541" s="227"/>
      <c r="BF541" s="227"/>
      <c r="BG541" s="227"/>
      <c r="BH541" s="227"/>
      <c r="BI541" s="227"/>
      <c r="BJ541" s="227"/>
      <c r="BK541" s="227"/>
      <c r="BL541" s="227"/>
      <c r="BM541" s="227"/>
      <c r="BN541" s="227"/>
      <c r="BO541" s="227"/>
      <c r="BP541" s="227"/>
      <c r="BQ541" s="227"/>
      <c r="BR541" s="227"/>
      <c r="BS541" s="227"/>
      <c r="BT541" s="227"/>
      <c r="BU541" s="227"/>
      <c r="BV541" s="227"/>
      <c r="BW541" s="227"/>
      <c r="BX541" s="227"/>
      <c r="BY541" s="227"/>
      <c r="BZ541" s="227"/>
      <c r="CA541" s="227"/>
      <c r="CB541" s="227"/>
      <c r="CC541" s="227"/>
      <c r="CD541" s="227"/>
      <c r="CE541" s="227"/>
      <c r="CF541" s="227"/>
      <c r="CG541" s="227"/>
      <c r="CH541" s="227"/>
      <c r="CI541" s="227"/>
      <c r="CJ541" s="227"/>
      <c r="CK541" s="227"/>
      <c r="CL541" s="227"/>
      <c r="CM541" s="227"/>
      <c r="CN541" s="227"/>
      <c r="CO541" s="227"/>
      <c r="CP541" s="227"/>
      <c r="CQ541" s="227"/>
      <c r="CR541" s="227"/>
      <c r="CS541" s="227"/>
      <c r="CT541" s="227"/>
      <c r="CU541" s="225"/>
      <c r="CV541" s="227"/>
    </row>
    <row r="542" spans="1:100" ht="20.100000000000001" customHeight="1">
      <c r="A542" s="227"/>
      <c r="B542" s="225"/>
      <c r="C542" s="227"/>
      <c r="D542" s="224"/>
      <c r="E542" s="227"/>
      <c r="F542" s="227"/>
      <c r="G542" s="227"/>
      <c r="H542" s="227"/>
      <c r="I542" s="227"/>
      <c r="J542" s="227"/>
      <c r="K542" s="227"/>
      <c r="L542" s="227"/>
      <c r="M542" s="227"/>
      <c r="N542" s="227"/>
      <c r="O542" s="227"/>
      <c r="P542" s="227"/>
      <c r="Q542" s="227"/>
      <c r="R542" s="227"/>
      <c r="S542" s="227"/>
      <c r="T542" s="227"/>
      <c r="U542" s="227"/>
      <c r="V542" s="227"/>
      <c r="W542" s="227"/>
      <c r="X542" s="227"/>
      <c r="Y542" s="227"/>
      <c r="Z542" s="227"/>
      <c r="AA542" s="227"/>
      <c r="AB542" s="227"/>
      <c r="AC542" s="227"/>
      <c r="AD542" s="227"/>
      <c r="AE542" s="227"/>
      <c r="AF542" s="227"/>
      <c r="AG542" s="227"/>
      <c r="AH542" s="227"/>
      <c r="AI542" s="227"/>
      <c r="AJ542" s="227"/>
      <c r="AK542" s="227"/>
      <c r="AL542" s="227"/>
      <c r="AM542" s="227"/>
      <c r="AN542" s="227"/>
      <c r="AO542" s="227"/>
      <c r="AP542" s="227"/>
      <c r="AQ542" s="227"/>
      <c r="AR542" s="227"/>
      <c r="AS542" s="227"/>
      <c r="AT542" s="227"/>
      <c r="AU542" s="227"/>
      <c r="AV542" s="227"/>
      <c r="AW542" s="227"/>
      <c r="AX542" s="227"/>
      <c r="AY542" s="227"/>
      <c r="AZ542" s="227"/>
      <c r="BA542" s="227"/>
      <c r="BB542" s="227"/>
      <c r="BC542" s="227"/>
      <c r="BD542" s="227"/>
      <c r="BE542" s="227"/>
      <c r="BF542" s="227"/>
      <c r="BG542" s="227"/>
      <c r="BH542" s="227"/>
      <c r="BI542" s="227"/>
      <c r="BJ542" s="227"/>
      <c r="BK542" s="227"/>
      <c r="BL542" s="227"/>
      <c r="BM542" s="227"/>
      <c r="BN542" s="227"/>
      <c r="BO542" s="227"/>
      <c r="BP542" s="227"/>
      <c r="BQ542" s="227"/>
      <c r="BR542" s="227"/>
      <c r="BS542" s="227"/>
      <c r="BT542" s="227"/>
      <c r="BU542" s="227"/>
      <c r="BV542" s="227"/>
      <c r="BW542" s="227"/>
      <c r="BX542" s="227"/>
      <c r="BY542" s="227"/>
      <c r="BZ542" s="227"/>
      <c r="CA542" s="227"/>
      <c r="CB542" s="227"/>
      <c r="CC542" s="227"/>
      <c r="CD542" s="227"/>
      <c r="CE542" s="227"/>
      <c r="CF542" s="227"/>
      <c r="CG542" s="227"/>
      <c r="CH542" s="227"/>
      <c r="CI542" s="227"/>
      <c r="CJ542" s="227"/>
      <c r="CK542" s="227"/>
      <c r="CL542" s="227"/>
      <c r="CM542" s="227"/>
      <c r="CN542" s="227"/>
      <c r="CO542" s="227"/>
      <c r="CP542" s="227"/>
      <c r="CQ542" s="227"/>
      <c r="CR542" s="227"/>
      <c r="CS542" s="227"/>
      <c r="CT542" s="227"/>
      <c r="CU542" s="225"/>
      <c r="CV542" s="227"/>
    </row>
    <row r="543" spans="1:100" ht="20.100000000000001" customHeight="1">
      <c r="A543" s="227">
        <v>268</v>
      </c>
      <c r="B543" s="225"/>
      <c r="C543" s="227"/>
      <c r="D543" s="228">
        <f>(SUMPRODUCT(E543:CU543*$E$6:$CU$6)/100)+(SUMPRODUCT(E543:CU543*$E$6:$CU$6*$E$3:$CU$3)/100)</f>
        <v>0</v>
      </c>
      <c r="E543" s="227"/>
      <c r="F543" s="227"/>
      <c r="G543" s="227"/>
      <c r="H543" s="227"/>
      <c r="I543" s="227"/>
      <c r="J543" s="227"/>
      <c r="K543" s="227"/>
      <c r="L543" s="227"/>
      <c r="M543" s="227"/>
      <c r="N543" s="227"/>
      <c r="O543" s="227"/>
      <c r="P543" s="227"/>
      <c r="Q543" s="227"/>
      <c r="R543" s="227"/>
      <c r="S543" s="227"/>
      <c r="T543" s="227"/>
      <c r="U543" s="227"/>
      <c r="V543" s="227"/>
      <c r="W543" s="227"/>
      <c r="X543" s="227"/>
      <c r="Y543" s="227"/>
      <c r="Z543" s="227"/>
      <c r="AA543" s="227"/>
      <c r="AB543" s="227"/>
      <c r="AC543" s="227"/>
      <c r="AD543" s="227"/>
      <c r="AE543" s="227"/>
      <c r="AF543" s="227"/>
      <c r="AG543" s="227"/>
      <c r="AH543" s="227"/>
      <c r="AI543" s="227"/>
      <c r="AJ543" s="227"/>
      <c r="AK543" s="227"/>
      <c r="AL543" s="227"/>
      <c r="AM543" s="227"/>
      <c r="AN543" s="227"/>
      <c r="AO543" s="227"/>
      <c r="AP543" s="227"/>
      <c r="AQ543" s="227"/>
      <c r="AR543" s="227"/>
      <c r="AS543" s="227"/>
      <c r="AT543" s="227"/>
      <c r="AU543" s="227"/>
      <c r="AV543" s="227"/>
      <c r="AW543" s="227"/>
      <c r="AX543" s="227"/>
      <c r="AY543" s="227"/>
      <c r="AZ543" s="227"/>
      <c r="BA543" s="227"/>
      <c r="BB543" s="227"/>
      <c r="BC543" s="227"/>
      <c r="BD543" s="227"/>
      <c r="BE543" s="227"/>
      <c r="BF543" s="227"/>
      <c r="BG543" s="227"/>
      <c r="BH543" s="227"/>
      <c r="BI543" s="227"/>
      <c r="BJ543" s="227"/>
      <c r="BK543" s="227"/>
      <c r="BL543" s="227"/>
      <c r="BM543" s="227"/>
      <c r="BN543" s="227"/>
      <c r="BO543" s="227"/>
      <c r="BP543" s="227"/>
      <c r="BQ543" s="227"/>
      <c r="BR543" s="227"/>
      <c r="BS543" s="227"/>
      <c r="BT543" s="227"/>
      <c r="BU543" s="227"/>
      <c r="BV543" s="227"/>
      <c r="BW543" s="227"/>
      <c r="BX543" s="227"/>
      <c r="BY543" s="227"/>
      <c r="BZ543" s="227"/>
      <c r="CA543" s="227"/>
      <c r="CB543" s="227"/>
      <c r="CC543" s="227"/>
      <c r="CD543" s="227"/>
      <c r="CE543" s="227"/>
      <c r="CF543" s="227"/>
      <c r="CG543" s="227"/>
      <c r="CH543" s="227"/>
      <c r="CI543" s="227"/>
      <c r="CJ543" s="227"/>
      <c r="CK543" s="227"/>
      <c r="CL543" s="227"/>
      <c r="CM543" s="227"/>
      <c r="CN543" s="227"/>
      <c r="CO543" s="227"/>
      <c r="CP543" s="227"/>
      <c r="CQ543" s="227"/>
      <c r="CR543" s="227"/>
      <c r="CS543" s="227"/>
      <c r="CT543" s="227"/>
      <c r="CU543" s="225"/>
      <c r="CV543" s="227"/>
    </row>
    <row r="544" spans="1:100" ht="20.100000000000001" customHeight="1">
      <c r="A544" s="223"/>
      <c r="B544" s="225"/>
      <c r="C544" s="227"/>
      <c r="D544" s="224"/>
      <c r="E544" s="227"/>
      <c r="F544" s="227"/>
      <c r="G544" s="227"/>
      <c r="H544" s="227"/>
      <c r="I544" s="227"/>
      <c r="J544" s="227"/>
      <c r="K544" s="227"/>
      <c r="L544" s="227"/>
      <c r="M544" s="227"/>
      <c r="N544" s="227"/>
      <c r="O544" s="227"/>
      <c r="P544" s="227"/>
      <c r="Q544" s="227"/>
      <c r="R544" s="227"/>
      <c r="S544" s="227"/>
      <c r="T544" s="227"/>
      <c r="U544" s="227"/>
      <c r="V544" s="227"/>
      <c r="W544" s="227"/>
      <c r="X544" s="227"/>
      <c r="Y544" s="227"/>
      <c r="Z544" s="227"/>
      <c r="AA544" s="227"/>
      <c r="AB544" s="227"/>
      <c r="AC544" s="227"/>
      <c r="AD544" s="227"/>
      <c r="AE544" s="227"/>
      <c r="AF544" s="227"/>
      <c r="AG544" s="227"/>
      <c r="AH544" s="227"/>
      <c r="AI544" s="227"/>
      <c r="AJ544" s="227"/>
      <c r="AK544" s="227"/>
      <c r="AL544" s="227"/>
      <c r="AM544" s="227"/>
      <c r="AN544" s="227"/>
      <c r="AO544" s="227"/>
      <c r="AP544" s="227"/>
      <c r="AQ544" s="227"/>
      <c r="AR544" s="227"/>
      <c r="AS544" s="227"/>
      <c r="AT544" s="227"/>
      <c r="AU544" s="227"/>
      <c r="AV544" s="227"/>
      <c r="AW544" s="227"/>
      <c r="AX544" s="227"/>
      <c r="AY544" s="227"/>
      <c r="AZ544" s="227"/>
      <c r="BA544" s="227"/>
      <c r="BB544" s="227"/>
      <c r="BC544" s="227"/>
      <c r="BD544" s="227"/>
      <c r="BE544" s="227"/>
      <c r="BF544" s="227"/>
      <c r="BG544" s="227"/>
      <c r="BH544" s="227"/>
      <c r="BI544" s="227"/>
      <c r="BJ544" s="227"/>
      <c r="BK544" s="227"/>
      <c r="BL544" s="227"/>
      <c r="BM544" s="227"/>
      <c r="BN544" s="227"/>
      <c r="BO544" s="227"/>
      <c r="BP544" s="227"/>
      <c r="BQ544" s="227"/>
      <c r="BR544" s="227"/>
      <c r="BS544" s="227"/>
      <c r="BT544" s="227"/>
      <c r="BU544" s="227"/>
      <c r="BV544" s="227"/>
      <c r="BW544" s="227"/>
      <c r="BX544" s="227"/>
      <c r="BY544" s="227"/>
      <c r="BZ544" s="227"/>
      <c r="CA544" s="227"/>
      <c r="CB544" s="227"/>
      <c r="CC544" s="227"/>
      <c r="CD544" s="227"/>
      <c r="CE544" s="227"/>
      <c r="CF544" s="227"/>
      <c r="CG544" s="227"/>
      <c r="CH544" s="227"/>
      <c r="CI544" s="227"/>
      <c r="CJ544" s="227"/>
      <c r="CK544" s="227"/>
      <c r="CL544" s="227"/>
      <c r="CM544" s="227"/>
      <c r="CN544" s="227"/>
      <c r="CO544" s="227"/>
      <c r="CP544" s="227"/>
      <c r="CQ544" s="227"/>
      <c r="CR544" s="227"/>
      <c r="CS544" s="227"/>
      <c r="CT544" s="227"/>
      <c r="CU544" s="225"/>
      <c r="CV544" s="227"/>
    </row>
    <row r="545" spans="1:100" ht="20.100000000000001" customHeight="1">
      <c r="A545" s="227">
        <v>269</v>
      </c>
      <c r="B545" s="225"/>
      <c r="C545" s="227"/>
      <c r="D545" s="228">
        <f>(SUMPRODUCT(E545:CU545*$E$6:$CU$6)/100)+(SUMPRODUCT(E545:CU545*$E$6:$CU$6*$E$3:$CU$3)/100)</f>
        <v>0</v>
      </c>
      <c r="E545" s="227"/>
      <c r="F545" s="227"/>
      <c r="G545" s="227"/>
      <c r="H545" s="227"/>
      <c r="I545" s="227"/>
      <c r="J545" s="227"/>
      <c r="K545" s="227"/>
      <c r="L545" s="227"/>
      <c r="M545" s="227"/>
      <c r="N545" s="227"/>
      <c r="O545" s="227"/>
      <c r="P545" s="227"/>
      <c r="Q545" s="227"/>
      <c r="R545" s="227"/>
      <c r="S545" s="227"/>
      <c r="T545" s="227"/>
      <c r="U545" s="227"/>
      <c r="V545" s="227"/>
      <c r="W545" s="227"/>
      <c r="X545" s="227"/>
      <c r="Y545" s="227"/>
      <c r="Z545" s="227"/>
      <c r="AA545" s="227"/>
      <c r="AB545" s="227"/>
      <c r="AC545" s="227"/>
      <c r="AD545" s="227"/>
      <c r="AE545" s="227"/>
      <c r="AF545" s="227"/>
      <c r="AG545" s="227"/>
      <c r="AH545" s="227"/>
      <c r="AI545" s="227"/>
      <c r="AJ545" s="227"/>
      <c r="AK545" s="227"/>
      <c r="AL545" s="227"/>
      <c r="AM545" s="227"/>
      <c r="AN545" s="227"/>
      <c r="AO545" s="227"/>
      <c r="AP545" s="227"/>
      <c r="AQ545" s="227"/>
      <c r="AR545" s="227"/>
      <c r="AS545" s="227"/>
      <c r="AT545" s="227"/>
      <c r="AU545" s="227"/>
      <c r="AV545" s="227"/>
      <c r="AW545" s="227"/>
      <c r="AX545" s="227"/>
      <c r="AY545" s="227"/>
      <c r="AZ545" s="227"/>
      <c r="BA545" s="227"/>
      <c r="BB545" s="227"/>
      <c r="BC545" s="227"/>
      <c r="BD545" s="227"/>
      <c r="BE545" s="227"/>
      <c r="BF545" s="227"/>
      <c r="BG545" s="227"/>
      <c r="BH545" s="227"/>
      <c r="BI545" s="227"/>
      <c r="BJ545" s="227"/>
      <c r="BK545" s="227"/>
      <c r="BL545" s="227"/>
      <c r="BM545" s="227"/>
      <c r="BN545" s="227"/>
      <c r="BO545" s="227"/>
      <c r="BP545" s="227"/>
      <c r="BQ545" s="227"/>
      <c r="BR545" s="227"/>
      <c r="BS545" s="227"/>
      <c r="BT545" s="227"/>
      <c r="BU545" s="227"/>
      <c r="BV545" s="227"/>
      <c r="BW545" s="227"/>
      <c r="BX545" s="227"/>
      <c r="BY545" s="227"/>
      <c r="BZ545" s="227"/>
      <c r="CA545" s="227"/>
      <c r="CB545" s="227"/>
      <c r="CC545" s="227"/>
      <c r="CD545" s="227"/>
      <c r="CE545" s="227"/>
      <c r="CF545" s="227"/>
      <c r="CG545" s="227"/>
      <c r="CH545" s="227"/>
      <c r="CI545" s="227"/>
      <c r="CJ545" s="227"/>
      <c r="CK545" s="227"/>
      <c r="CL545" s="227"/>
      <c r="CM545" s="227"/>
      <c r="CN545" s="227"/>
      <c r="CO545" s="227"/>
      <c r="CP545" s="227"/>
      <c r="CQ545" s="227"/>
      <c r="CR545" s="227"/>
      <c r="CS545" s="227"/>
      <c r="CT545" s="227"/>
      <c r="CU545" s="225"/>
      <c r="CV545" s="227"/>
    </row>
    <row r="546" spans="1:100" ht="20.100000000000001" customHeight="1">
      <c r="A546" s="227"/>
      <c r="B546" s="225"/>
      <c r="C546" s="227"/>
      <c r="D546" s="224"/>
      <c r="E546" s="227"/>
      <c r="F546" s="227"/>
      <c r="G546" s="227"/>
      <c r="H546" s="227"/>
      <c r="I546" s="227"/>
      <c r="J546" s="227"/>
      <c r="K546" s="227"/>
      <c r="L546" s="227"/>
      <c r="M546" s="227"/>
      <c r="N546" s="227"/>
      <c r="O546" s="227"/>
      <c r="P546" s="227"/>
      <c r="Q546" s="227"/>
      <c r="R546" s="227"/>
      <c r="S546" s="227"/>
      <c r="T546" s="227"/>
      <c r="U546" s="227"/>
      <c r="V546" s="227"/>
      <c r="W546" s="227"/>
      <c r="X546" s="227"/>
      <c r="Y546" s="227"/>
      <c r="Z546" s="227"/>
      <c r="AA546" s="227"/>
      <c r="AB546" s="227"/>
      <c r="AC546" s="227"/>
      <c r="AD546" s="227"/>
      <c r="AE546" s="227"/>
      <c r="AF546" s="227"/>
      <c r="AG546" s="227"/>
      <c r="AH546" s="227"/>
      <c r="AI546" s="227"/>
      <c r="AJ546" s="227"/>
      <c r="AK546" s="227"/>
      <c r="AL546" s="227"/>
      <c r="AM546" s="227"/>
      <c r="AN546" s="227"/>
      <c r="AO546" s="227"/>
      <c r="AP546" s="227"/>
      <c r="AQ546" s="227"/>
      <c r="AR546" s="227"/>
      <c r="AS546" s="227"/>
      <c r="AT546" s="227"/>
      <c r="AU546" s="227"/>
      <c r="AV546" s="227"/>
      <c r="AW546" s="227"/>
      <c r="AX546" s="227"/>
      <c r="AY546" s="227"/>
      <c r="AZ546" s="227"/>
      <c r="BA546" s="227"/>
      <c r="BB546" s="227"/>
      <c r="BC546" s="227"/>
      <c r="BD546" s="227"/>
      <c r="BE546" s="227"/>
      <c r="BF546" s="227"/>
      <c r="BG546" s="227"/>
      <c r="BH546" s="227"/>
      <c r="BI546" s="227"/>
      <c r="BJ546" s="227"/>
      <c r="BK546" s="227"/>
      <c r="BL546" s="227"/>
      <c r="BM546" s="227"/>
      <c r="BN546" s="227"/>
      <c r="BO546" s="227"/>
      <c r="BP546" s="227"/>
      <c r="BQ546" s="227"/>
      <c r="BR546" s="227"/>
      <c r="BS546" s="227"/>
      <c r="BT546" s="227"/>
      <c r="BU546" s="227"/>
      <c r="BV546" s="227"/>
      <c r="BW546" s="227"/>
      <c r="BX546" s="227"/>
      <c r="BY546" s="227"/>
      <c r="BZ546" s="227"/>
      <c r="CA546" s="227"/>
      <c r="CB546" s="227"/>
      <c r="CC546" s="227"/>
      <c r="CD546" s="227"/>
      <c r="CE546" s="227"/>
      <c r="CF546" s="227"/>
      <c r="CG546" s="227"/>
      <c r="CH546" s="227"/>
      <c r="CI546" s="227"/>
      <c r="CJ546" s="227"/>
      <c r="CK546" s="227"/>
      <c r="CL546" s="227"/>
      <c r="CM546" s="227"/>
      <c r="CN546" s="227"/>
      <c r="CO546" s="227"/>
      <c r="CP546" s="227"/>
      <c r="CQ546" s="227"/>
      <c r="CR546" s="227"/>
      <c r="CS546" s="227"/>
      <c r="CT546" s="227"/>
      <c r="CU546" s="225"/>
      <c r="CV546" s="227"/>
    </row>
    <row r="547" spans="1:100" ht="20.100000000000001" customHeight="1">
      <c r="A547" s="227">
        <v>270</v>
      </c>
      <c r="B547" s="225"/>
      <c r="C547" s="227"/>
      <c r="D547" s="228">
        <f>(SUMPRODUCT(E547:CU547*$E$6:$CU$6)/100)+(SUMPRODUCT(E547:CU547*$E$6:$CU$6*$E$3:$CU$3)/100)</f>
        <v>0</v>
      </c>
      <c r="E547" s="227"/>
      <c r="F547" s="227"/>
      <c r="G547" s="227"/>
      <c r="H547" s="227"/>
      <c r="I547" s="227"/>
      <c r="J547" s="227"/>
      <c r="K547" s="227"/>
      <c r="L547" s="227"/>
      <c r="M547" s="227"/>
      <c r="N547" s="227"/>
      <c r="O547" s="227"/>
      <c r="P547" s="227"/>
      <c r="Q547" s="227"/>
      <c r="R547" s="227"/>
      <c r="S547" s="227"/>
      <c r="T547" s="227"/>
      <c r="U547" s="227"/>
      <c r="V547" s="227"/>
      <c r="W547" s="227"/>
      <c r="X547" s="227"/>
      <c r="Y547" s="227"/>
      <c r="Z547" s="227"/>
      <c r="AA547" s="227"/>
      <c r="AB547" s="227"/>
      <c r="AC547" s="227"/>
      <c r="AD547" s="227"/>
      <c r="AE547" s="227"/>
      <c r="AF547" s="227"/>
      <c r="AG547" s="227"/>
      <c r="AH547" s="227"/>
      <c r="AI547" s="227"/>
      <c r="AJ547" s="227"/>
      <c r="AK547" s="227"/>
      <c r="AL547" s="227"/>
      <c r="AM547" s="227"/>
      <c r="AN547" s="227"/>
      <c r="AO547" s="227"/>
      <c r="AP547" s="227"/>
      <c r="AQ547" s="227"/>
      <c r="AR547" s="227"/>
      <c r="AS547" s="227"/>
      <c r="AT547" s="227"/>
      <c r="AU547" s="227"/>
      <c r="AV547" s="227"/>
      <c r="AW547" s="227"/>
      <c r="AX547" s="227"/>
      <c r="AY547" s="227"/>
      <c r="AZ547" s="227"/>
      <c r="BA547" s="227"/>
      <c r="BB547" s="227"/>
      <c r="BC547" s="227"/>
      <c r="BD547" s="227"/>
      <c r="BE547" s="227"/>
      <c r="BF547" s="227"/>
      <c r="BG547" s="227"/>
      <c r="BH547" s="227"/>
      <c r="BI547" s="227"/>
      <c r="BJ547" s="227"/>
      <c r="BK547" s="227"/>
      <c r="BL547" s="227"/>
      <c r="BM547" s="227"/>
      <c r="BN547" s="227"/>
      <c r="BO547" s="227"/>
      <c r="BP547" s="227"/>
      <c r="BQ547" s="227"/>
      <c r="BR547" s="227"/>
      <c r="BS547" s="227"/>
      <c r="BT547" s="227"/>
      <c r="BU547" s="227"/>
      <c r="BV547" s="227"/>
      <c r="BW547" s="227"/>
      <c r="BX547" s="227"/>
      <c r="BY547" s="227"/>
      <c r="BZ547" s="227"/>
      <c r="CA547" s="227"/>
      <c r="CB547" s="227"/>
      <c r="CC547" s="227"/>
      <c r="CD547" s="227"/>
      <c r="CE547" s="227"/>
      <c r="CF547" s="227"/>
      <c r="CG547" s="227"/>
      <c r="CH547" s="227"/>
      <c r="CI547" s="227"/>
      <c r="CJ547" s="227"/>
      <c r="CK547" s="227"/>
      <c r="CL547" s="227"/>
      <c r="CM547" s="227"/>
      <c r="CN547" s="227"/>
      <c r="CO547" s="227"/>
      <c r="CP547" s="227"/>
      <c r="CQ547" s="227"/>
      <c r="CR547" s="227"/>
      <c r="CS547" s="227"/>
      <c r="CT547" s="227"/>
      <c r="CU547" s="225"/>
      <c r="CV547" s="227"/>
    </row>
    <row r="548" spans="1:100" ht="20.100000000000001" customHeight="1">
      <c r="A548" s="223"/>
      <c r="B548" s="225"/>
      <c r="C548" s="227"/>
      <c r="D548" s="224"/>
      <c r="E548" s="227"/>
      <c r="F548" s="227"/>
      <c r="G548" s="227"/>
      <c r="H548" s="227"/>
      <c r="I548" s="227"/>
      <c r="J548" s="227"/>
      <c r="K548" s="227"/>
      <c r="L548" s="227"/>
      <c r="M548" s="227"/>
      <c r="N548" s="227"/>
      <c r="O548" s="227"/>
      <c r="P548" s="227"/>
      <c r="Q548" s="227"/>
      <c r="R548" s="227"/>
      <c r="S548" s="227"/>
      <c r="T548" s="227"/>
      <c r="U548" s="227"/>
      <c r="V548" s="227"/>
      <c r="W548" s="227"/>
      <c r="X548" s="227"/>
      <c r="Y548" s="227"/>
      <c r="Z548" s="227"/>
      <c r="AA548" s="227"/>
      <c r="AB548" s="227"/>
      <c r="AC548" s="227"/>
      <c r="AD548" s="227"/>
      <c r="AE548" s="227"/>
      <c r="AF548" s="227"/>
      <c r="AG548" s="227"/>
      <c r="AH548" s="227"/>
      <c r="AI548" s="227"/>
      <c r="AJ548" s="227"/>
      <c r="AK548" s="227"/>
      <c r="AL548" s="227"/>
      <c r="AM548" s="227"/>
      <c r="AN548" s="227"/>
      <c r="AO548" s="227"/>
      <c r="AP548" s="227"/>
      <c r="AQ548" s="227"/>
      <c r="AR548" s="227"/>
      <c r="AS548" s="227"/>
      <c r="AT548" s="227"/>
      <c r="AU548" s="227"/>
      <c r="AV548" s="227"/>
      <c r="AW548" s="227"/>
      <c r="AX548" s="227"/>
      <c r="AY548" s="227"/>
      <c r="AZ548" s="227"/>
      <c r="BA548" s="227"/>
      <c r="BB548" s="227"/>
      <c r="BC548" s="227"/>
      <c r="BD548" s="227"/>
      <c r="BE548" s="227"/>
      <c r="BF548" s="227"/>
      <c r="BG548" s="227"/>
      <c r="BH548" s="227"/>
      <c r="BI548" s="227"/>
      <c r="BJ548" s="227"/>
      <c r="BK548" s="227"/>
      <c r="BL548" s="227"/>
      <c r="BM548" s="227"/>
      <c r="BN548" s="227"/>
      <c r="BO548" s="227"/>
      <c r="BP548" s="227"/>
      <c r="BQ548" s="227"/>
      <c r="BR548" s="227"/>
      <c r="BS548" s="227"/>
      <c r="BT548" s="227"/>
      <c r="BU548" s="227"/>
      <c r="BV548" s="227"/>
      <c r="BW548" s="227"/>
      <c r="BX548" s="227"/>
      <c r="BY548" s="227"/>
      <c r="BZ548" s="227"/>
      <c r="CA548" s="227"/>
      <c r="CB548" s="227"/>
      <c r="CC548" s="227"/>
      <c r="CD548" s="227"/>
      <c r="CE548" s="227"/>
      <c r="CF548" s="227"/>
      <c r="CG548" s="227"/>
      <c r="CH548" s="227"/>
      <c r="CI548" s="227"/>
      <c r="CJ548" s="227"/>
      <c r="CK548" s="227"/>
      <c r="CL548" s="227"/>
      <c r="CM548" s="227"/>
      <c r="CN548" s="227"/>
      <c r="CO548" s="227"/>
      <c r="CP548" s="227"/>
      <c r="CQ548" s="227"/>
      <c r="CR548" s="227"/>
      <c r="CS548" s="227"/>
      <c r="CT548" s="227"/>
      <c r="CU548" s="225"/>
      <c r="CV548" s="227"/>
    </row>
    <row r="549" spans="1:100" ht="20.100000000000001" customHeight="1">
      <c r="A549" s="227">
        <v>271</v>
      </c>
      <c r="B549" s="225"/>
      <c r="C549" s="227"/>
      <c r="D549" s="228">
        <f>(SUMPRODUCT(E549:CU549*$E$6:$CU$6)/100)+(SUMPRODUCT(E549:CU549*$E$6:$CU$6*$E$3:$CU$3)/100)</f>
        <v>0</v>
      </c>
      <c r="E549" s="227"/>
      <c r="F549" s="227"/>
      <c r="G549" s="227"/>
      <c r="H549" s="227"/>
      <c r="I549" s="227"/>
      <c r="J549" s="227"/>
      <c r="K549" s="227"/>
      <c r="L549" s="227"/>
      <c r="M549" s="227"/>
      <c r="N549" s="227"/>
      <c r="O549" s="227"/>
      <c r="P549" s="227"/>
      <c r="Q549" s="227"/>
      <c r="R549" s="227"/>
      <c r="S549" s="227"/>
      <c r="T549" s="227"/>
      <c r="U549" s="227"/>
      <c r="V549" s="227"/>
      <c r="W549" s="227"/>
      <c r="X549" s="227"/>
      <c r="Y549" s="227"/>
      <c r="Z549" s="227"/>
      <c r="AA549" s="227"/>
      <c r="AB549" s="227"/>
      <c r="AC549" s="227"/>
      <c r="AD549" s="227"/>
      <c r="AE549" s="227"/>
      <c r="AF549" s="227"/>
      <c r="AG549" s="227"/>
      <c r="AH549" s="227"/>
      <c r="AI549" s="227"/>
      <c r="AJ549" s="227"/>
      <c r="AK549" s="227"/>
      <c r="AL549" s="227"/>
      <c r="AM549" s="227"/>
      <c r="AN549" s="227"/>
      <c r="AO549" s="227"/>
      <c r="AP549" s="227"/>
      <c r="AQ549" s="227"/>
      <c r="AR549" s="227"/>
      <c r="AS549" s="227"/>
      <c r="AT549" s="227"/>
      <c r="AU549" s="227"/>
      <c r="AV549" s="227"/>
      <c r="AW549" s="227"/>
      <c r="AX549" s="227"/>
      <c r="AY549" s="227"/>
      <c r="AZ549" s="227"/>
      <c r="BA549" s="227"/>
      <c r="BB549" s="227"/>
      <c r="BC549" s="227"/>
      <c r="BD549" s="227"/>
      <c r="BE549" s="227"/>
      <c r="BF549" s="227"/>
      <c r="BG549" s="227"/>
      <c r="BH549" s="227"/>
      <c r="BI549" s="227"/>
      <c r="BJ549" s="227"/>
      <c r="BK549" s="227"/>
      <c r="BL549" s="227"/>
      <c r="BM549" s="227"/>
      <c r="BN549" s="227"/>
      <c r="BO549" s="227"/>
      <c r="BP549" s="227"/>
      <c r="BQ549" s="227"/>
      <c r="BR549" s="227"/>
      <c r="BS549" s="227"/>
      <c r="BT549" s="227"/>
      <c r="BU549" s="227"/>
      <c r="BV549" s="227"/>
      <c r="BW549" s="227"/>
      <c r="BX549" s="227"/>
      <c r="BY549" s="227"/>
      <c r="BZ549" s="227"/>
      <c r="CA549" s="227"/>
      <c r="CB549" s="227"/>
      <c r="CC549" s="227"/>
      <c r="CD549" s="227"/>
      <c r="CE549" s="227"/>
      <c r="CF549" s="227"/>
      <c r="CG549" s="227"/>
      <c r="CH549" s="227"/>
      <c r="CI549" s="227"/>
      <c r="CJ549" s="227"/>
      <c r="CK549" s="227"/>
      <c r="CL549" s="227"/>
      <c r="CM549" s="227"/>
      <c r="CN549" s="227"/>
      <c r="CO549" s="227"/>
      <c r="CP549" s="227"/>
      <c r="CQ549" s="227"/>
      <c r="CR549" s="227"/>
      <c r="CS549" s="227"/>
      <c r="CT549" s="227"/>
      <c r="CU549" s="225"/>
      <c r="CV549" s="227"/>
    </row>
    <row r="550" spans="1:100" ht="20.100000000000001" customHeight="1">
      <c r="A550" s="227"/>
      <c r="B550" s="225"/>
      <c r="C550" s="227"/>
      <c r="D550" s="224"/>
      <c r="E550" s="227"/>
      <c r="F550" s="227"/>
      <c r="G550" s="227"/>
      <c r="H550" s="227"/>
      <c r="I550" s="227"/>
      <c r="J550" s="227"/>
      <c r="K550" s="227"/>
      <c r="L550" s="227"/>
      <c r="M550" s="227"/>
      <c r="N550" s="227"/>
      <c r="O550" s="227"/>
      <c r="P550" s="227"/>
      <c r="Q550" s="227"/>
      <c r="R550" s="227"/>
      <c r="S550" s="227"/>
      <c r="T550" s="227"/>
      <c r="U550" s="227"/>
      <c r="V550" s="227"/>
      <c r="W550" s="227"/>
      <c r="X550" s="227"/>
      <c r="Y550" s="227"/>
      <c r="Z550" s="227"/>
      <c r="AA550" s="227"/>
      <c r="AB550" s="227"/>
      <c r="AC550" s="227"/>
      <c r="AD550" s="227"/>
      <c r="AE550" s="227"/>
      <c r="AF550" s="227"/>
      <c r="AG550" s="227"/>
      <c r="AH550" s="227"/>
      <c r="AI550" s="227"/>
      <c r="AJ550" s="227"/>
      <c r="AK550" s="227"/>
      <c r="AL550" s="227"/>
      <c r="AM550" s="227"/>
      <c r="AN550" s="227"/>
      <c r="AO550" s="227"/>
      <c r="AP550" s="227"/>
      <c r="AQ550" s="227"/>
      <c r="AR550" s="227"/>
      <c r="AS550" s="227"/>
      <c r="AT550" s="227"/>
      <c r="AU550" s="227"/>
      <c r="AV550" s="227"/>
      <c r="AW550" s="227"/>
      <c r="AX550" s="227"/>
      <c r="AY550" s="227"/>
      <c r="AZ550" s="227"/>
      <c r="BA550" s="227"/>
      <c r="BB550" s="227"/>
      <c r="BC550" s="227"/>
      <c r="BD550" s="227"/>
      <c r="BE550" s="227"/>
      <c r="BF550" s="227"/>
      <c r="BG550" s="227"/>
      <c r="BH550" s="227"/>
      <c r="BI550" s="227"/>
      <c r="BJ550" s="227"/>
      <c r="BK550" s="227"/>
      <c r="BL550" s="227"/>
      <c r="BM550" s="227"/>
      <c r="BN550" s="227"/>
      <c r="BO550" s="227"/>
      <c r="BP550" s="227"/>
      <c r="BQ550" s="227"/>
      <c r="BR550" s="227"/>
      <c r="BS550" s="227"/>
      <c r="BT550" s="227"/>
      <c r="BU550" s="227"/>
      <c r="BV550" s="227"/>
      <c r="BW550" s="227"/>
      <c r="BX550" s="227"/>
      <c r="BY550" s="227"/>
      <c r="BZ550" s="227"/>
      <c r="CA550" s="227"/>
      <c r="CB550" s="227"/>
      <c r="CC550" s="227"/>
      <c r="CD550" s="227"/>
      <c r="CE550" s="227"/>
      <c r="CF550" s="227"/>
      <c r="CG550" s="227"/>
      <c r="CH550" s="227"/>
      <c r="CI550" s="227"/>
      <c r="CJ550" s="227"/>
      <c r="CK550" s="227"/>
      <c r="CL550" s="227"/>
      <c r="CM550" s="227"/>
      <c r="CN550" s="227"/>
      <c r="CO550" s="227"/>
      <c r="CP550" s="227"/>
      <c r="CQ550" s="227"/>
      <c r="CR550" s="227"/>
      <c r="CS550" s="227"/>
      <c r="CT550" s="227"/>
      <c r="CU550" s="225"/>
      <c r="CV550" s="227"/>
    </row>
    <row r="551" spans="1:100" ht="20.100000000000001" customHeight="1">
      <c r="A551" s="227">
        <v>272</v>
      </c>
      <c r="B551" s="225"/>
      <c r="C551" s="227"/>
      <c r="D551" s="228">
        <f>(SUMPRODUCT(E551:CU551*$E$6:$CU$6)/100)+(SUMPRODUCT(E551:CU551*$E$6:$CU$6*$E$3:$CU$3)/100)</f>
        <v>0</v>
      </c>
      <c r="E551" s="227"/>
      <c r="F551" s="227"/>
      <c r="G551" s="227"/>
      <c r="H551" s="227"/>
      <c r="I551" s="227"/>
      <c r="J551" s="227"/>
      <c r="K551" s="227"/>
      <c r="L551" s="227"/>
      <c r="M551" s="227"/>
      <c r="N551" s="227"/>
      <c r="O551" s="227"/>
      <c r="P551" s="227"/>
      <c r="Q551" s="227"/>
      <c r="R551" s="227"/>
      <c r="S551" s="227"/>
      <c r="T551" s="227"/>
      <c r="U551" s="227"/>
      <c r="V551" s="227"/>
      <c r="W551" s="227"/>
      <c r="X551" s="227"/>
      <c r="Y551" s="227"/>
      <c r="Z551" s="227"/>
      <c r="AA551" s="227"/>
      <c r="AB551" s="227"/>
      <c r="AC551" s="227"/>
      <c r="AD551" s="227"/>
      <c r="AE551" s="227"/>
      <c r="AF551" s="227"/>
      <c r="AG551" s="227"/>
      <c r="AH551" s="227"/>
      <c r="AI551" s="227"/>
      <c r="AJ551" s="227"/>
      <c r="AK551" s="227"/>
      <c r="AL551" s="227"/>
      <c r="AM551" s="227"/>
      <c r="AN551" s="227"/>
      <c r="AO551" s="227"/>
      <c r="AP551" s="227"/>
      <c r="AQ551" s="227"/>
      <c r="AR551" s="227"/>
      <c r="AS551" s="227"/>
      <c r="AT551" s="227"/>
      <c r="AU551" s="227"/>
      <c r="AV551" s="227"/>
      <c r="AW551" s="227"/>
      <c r="AX551" s="227"/>
      <c r="AY551" s="227"/>
      <c r="AZ551" s="227"/>
      <c r="BA551" s="227"/>
      <c r="BB551" s="227"/>
      <c r="BC551" s="227"/>
      <c r="BD551" s="227"/>
      <c r="BE551" s="227"/>
      <c r="BF551" s="227"/>
      <c r="BG551" s="227"/>
      <c r="BH551" s="227"/>
      <c r="BI551" s="227"/>
      <c r="BJ551" s="227"/>
      <c r="BK551" s="227"/>
      <c r="BL551" s="227"/>
      <c r="BM551" s="227"/>
      <c r="BN551" s="227"/>
      <c r="BO551" s="227"/>
      <c r="BP551" s="227"/>
      <c r="BQ551" s="227"/>
      <c r="BR551" s="227"/>
      <c r="BS551" s="227"/>
      <c r="BT551" s="227"/>
      <c r="BU551" s="227"/>
      <c r="BV551" s="227"/>
      <c r="BW551" s="227"/>
      <c r="BX551" s="227"/>
      <c r="BY551" s="227"/>
      <c r="BZ551" s="227"/>
      <c r="CA551" s="227"/>
      <c r="CB551" s="227"/>
      <c r="CC551" s="227"/>
      <c r="CD551" s="227"/>
      <c r="CE551" s="227"/>
      <c r="CF551" s="227"/>
      <c r="CG551" s="227"/>
      <c r="CH551" s="227"/>
      <c r="CI551" s="227"/>
      <c r="CJ551" s="227"/>
      <c r="CK551" s="227"/>
      <c r="CL551" s="227"/>
      <c r="CM551" s="227"/>
      <c r="CN551" s="227"/>
      <c r="CO551" s="227"/>
      <c r="CP551" s="227"/>
      <c r="CQ551" s="227"/>
      <c r="CR551" s="227"/>
      <c r="CS551" s="227"/>
      <c r="CT551" s="227"/>
      <c r="CU551" s="225"/>
      <c r="CV551" s="227"/>
    </row>
    <row r="552" spans="1:100" ht="20.100000000000001" customHeight="1">
      <c r="A552" s="223"/>
      <c r="B552" s="225"/>
      <c r="C552" s="227"/>
      <c r="D552" s="224"/>
      <c r="E552" s="227"/>
      <c r="F552" s="227"/>
      <c r="G552" s="227"/>
      <c r="H552" s="227"/>
      <c r="I552" s="227"/>
      <c r="J552" s="227"/>
      <c r="K552" s="227"/>
      <c r="L552" s="227"/>
      <c r="M552" s="227"/>
      <c r="N552" s="227"/>
      <c r="O552" s="227"/>
      <c r="P552" s="227"/>
      <c r="Q552" s="227"/>
      <c r="R552" s="227"/>
      <c r="S552" s="227"/>
      <c r="T552" s="227"/>
      <c r="U552" s="227"/>
      <c r="V552" s="227"/>
      <c r="W552" s="227"/>
      <c r="X552" s="227"/>
      <c r="Y552" s="227"/>
      <c r="Z552" s="227"/>
      <c r="AA552" s="227"/>
      <c r="AB552" s="227"/>
      <c r="AC552" s="227"/>
      <c r="AD552" s="227"/>
      <c r="AE552" s="227"/>
      <c r="AF552" s="227"/>
      <c r="AG552" s="227"/>
      <c r="AH552" s="227"/>
      <c r="AI552" s="227"/>
      <c r="AJ552" s="227"/>
      <c r="AK552" s="227"/>
      <c r="AL552" s="227"/>
      <c r="AM552" s="227"/>
      <c r="AN552" s="227"/>
      <c r="AO552" s="227"/>
      <c r="AP552" s="227"/>
      <c r="AQ552" s="227"/>
      <c r="AR552" s="227"/>
      <c r="AS552" s="227"/>
      <c r="AT552" s="227"/>
      <c r="AU552" s="227"/>
      <c r="AV552" s="227"/>
      <c r="AW552" s="227"/>
      <c r="AX552" s="227"/>
      <c r="AY552" s="227"/>
      <c r="AZ552" s="227"/>
      <c r="BA552" s="227"/>
      <c r="BB552" s="227"/>
      <c r="BC552" s="227"/>
      <c r="BD552" s="227"/>
      <c r="BE552" s="227"/>
      <c r="BF552" s="227"/>
      <c r="BG552" s="227"/>
      <c r="BH552" s="227"/>
      <c r="BI552" s="227"/>
      <c r="BJ552" s="227"/>
      <c r="BK552" s="227"/>
      <c r="BL552" s="227"/>
      <c r="BM552" s="227"/>
      <c r="BN552" s="227"/>
      <c r="BO552" s="227"/>
      <c r="BP552" s="227"/>
      <c r="BQ552" s="227"/>
      <c r="BR552" s="227"/>
      <c r="BS552" s="227"/>
      <c r="BT552" s="227"/>
      <c r="BU552" s="227"/>
      <c r="BV552" s="227"/>
      <c r="BW552" s="227"/>
      <c r="BX552" s="227"/>
      <c r="BY552" s="227"/>
      <c r="BZ552" s="227"/>
      <c r="CA552" s="227"/>
      <c r="CB552" s="227"/>
      <c r="CC552" s="227"/>
      <c r="CD552" s="227"/>
      <c r="CE552" s="227"/>
      <c r="CF552" s="227"/>
      <c r="CG552" s="227"/>
      <c r="CH552" s="227"/>
      <c r="CI552" s="227"/>
      <c r="CJ552" s="227"/>
      <c r="CK552" s="227"/>
      <c r="CL552" s="227"/>
      <c r="CM552" s="227"/>
      <c r="CN552" s="227"/>
      <c r="CO552" s="227"/>
      <c r="CP552" s="227"/>
      <c r="CQ552" s="227"/>
      <c r="CR552" s="227"/>
      <c r="CS552" s="227"/>
      <c r="CT552" s="227"/>
      <c r="CU552" s="225"/>
      <c r="CV552" s="227"/>
    </row>
    <row r="553" spans="1:100" ht="20.100000000000001" customHeight="1">
      <c r="A553" s="227">
        <v>273</v>
      </c>
      <c r="B553" s="225"/>
      <c r="C553" s="227"/>
      <c r="D553" s="228">
        <f>(SUMPRODUCT(E553:CU553*$E$6:$CU$6)/100)+(SUMPRODUCT(E553:CU553*$E$6:$CU$6*$E$3:$CU$3)/100)</f>
        <v>0</v>
      </c>
      <c r="E553" s="227"/>
      <c r="F553" s="227"/>
      <c r="G553" s="227"/>
      <c r="H553" s="227"/>
      <c r="I553" s="227"/>
      <c r="J553" s="227"/>
      <c r="K553" s="227"/>
      <c r="L553" s="227"/>
      <c r="M553" s="227"/>
      <c r="N553" s="227"/>
      <c r="O553" s="227"/>
      <c r="P553" s="227"/>
      <c r="Q553" s="227"/>
      <c r="R553" s="227"/>
      <c r="S553" s="227"/>
      <c r="T553" s="227"/>
      <c r="U553" s="227"/>
      <c r="V553" s="227"/>
      <c r="W553" s="227"/>
      <c r="X553" s="227"/>
      <c r="Y553" s="227"/>
      <c r="Z553" s="227"/>
      <c r="AA553" s="227"/>
      <c r="AB553" s="227"/>
      <c r="AC553" s="227"/>
      <c r="AD553" s="227"/>
      <c r="AE553" s="227"/>
      <c r="AF553" s="227"/>
      <c r="AG553" s="227"/>
      <c r="AH553" s="227"/>
      <c r="AI553" s="227"/>
      <c r="AJ553" s="227"/>
      <c r="AK553" s="227"/>
      <c r="AL553" s="227"/>
      <c r="AM553" s="227"/>
      <c r="AN553" s="227"/>
      <c r="AO553" s="227"/>
      <c r="AP553" s="227"/>
      <c r="AQ553" s="227"/>
      <c r="AR553" s="227"/>
      <c r="AS553" s="227"/>
      <c r="AT553" s="227"/>
      <c r="AU553" s="227"/>
      <c r="AV553" s="227"/>
      <c r="AW553" s="227"/>
      <c r="AX553" s="227"/>
      <c r="AY553" s="227"/>
      <c r="AZ553" s="227"/>
      <c r="BA553" s="227"/>
      <c r="BB553" s="227"/>
      <c r="BC553" s="227"/>
      <c r="BD553" s="227"/>
      <c r="BE553" s="227"/>
      <c r="BF553" s="227"/>
      <c r="BG553" s="227"/>
      <c r="BH553" s="227"/>
      <c r="BI553" s="227"/>
      <c r="BJ553" s="227"/>
      <c r="BK553" s="227"/>
      <c r="BL553" s="227"/>
      <c r="BM553" s="227"/>
      <c r="BN553" s="227"/>
      <c r="BO553" s="227"/>
      <c r="BP553" s="227"/>
      <c r="BQ553" s="227"/>
      <c r="BR553" s="227"/>
      <c r="BS553" s="227"/>
      <c r="BT553" s="227"/>
      <c r="BU553" s="227"/>
      <c r="BV553" s="227"/>
      <c r="BW553" s="227"/>
      <c r="BX553" s="227"/>
      <c r="BY553" s="227"/>
      <c r="BZ553" s="227"/>
      <c r="CA553" s="227"/>
      <c r="CB553" s="227"/>
      <c r="CC553" s="227"/>
      <c r="CD553" s="227"/>
      <c r="CE553" s="227"/>
      <c r="CF553" s="227"/>
      <c r="CG553" s="227"/>
      <c r="CH553" s="227"/>
      <c r="CI553" s="227"/>
      <c r="CJ553" s="227"/>
      <c r="CK553" s="227"/>
      <c r="CL553" s="227"/>
      <c r="CM553" s="227"/>
      <c r="CN553" s="227"/>
      <c r="CO553" s="227"/>
      <c r="CP553" s="227"/>
      <c r="CQ553" s="227"/>
      <c r="CR553" s="227"/>
      <c r="CS553" s="227"/>
      <c r="CT553" s="227"/>
      <c r="CU553" s="225"/>
      <c r="CV553" s="227"/>
    </row>
    <row r="554" spans="1:100" ht="20.100000000000001" customHeight="1">
      <c r="A554" s="227"/>
      <c r="B554" s="225"/>
      <c r="C554" s="227"/>
      <c r="D554" s="224"/>
      <c r="E554" s="227"/>
      <c r="F554" s="227"/>
      <c r="G554" s="227"/>
      <c r="H554" s="227"/>
      <c r="I554" s="227"/>
      <c r="J554" s="227"/>
      <c r="K554" s="227"/>
      <c r="L554" s="227"/>
      <c r="M554" s="227"/>
      <c r="N554" s="227"/>
      <c r="O554" s="227"/>
      <c r="P554" s="227"/>
      <c r="Q554" s="227"/>
      <c r="R554" s="227"/>
      <c r="S554" s="227"/>
      <c r="T554" s="227"/>
      <c r="U554" s="227"/>
      <c r="V554" s="227"/>
      <c r="W554" s="227"/>
      <c r="X554" s="227"/>
      <c r="Y554" s="227"/>
      <c r="Z554" s="227"/>
      <c r="AA554" s="227"/>
      <c r="AB554" s="227"/>
      <c r="AC554" s="227"/>
      <c r="AD554" s="227"/>
      <c r="AE554" s="227"/>
      <c r="AF554" s="227"/>
      <c r="AG554" s="227"/>
      <c r="AH554" s="227"/>
      <c r="AI554" s="227"/>
      <c r="AJ554" s="227"/>
      <c r="AK554" s="227"/>
      <c r="AL554" s="227"/>
      <c r="AM554" s="227"/>
      <c r="AN554" s="227"/>
      <c r="AO554" s="227"/>
      <c r="AP554" s="227"/>
      <c r="AQ554" s="227"/>
      <c r="AR554" s="227"/>
      <c r="AS554" s="227"/>
      <c r="AT554" s="227"/>
      <c r="AU554" s="227"/>
      <c r="AV554" s="227"/>
      <c r="AW554" s="227"/>
      <c r="AX554" s="227"/>
      <c r="AY554" s="227"/>
      <c r="AZ554" s="227"/>
      <c r="BA554" s="227"/>
      <c r="BB554" s="227"/>
      <c r="BC554" s="227"/>
      <c r="BD554" s="227"/>
      <c r="BE554" s="227"/>
      <c r="BF554" s="227"/>
      <c r="BG554" s="227"/>
      <c r="BH554" s="227"/>
      <c r="BI554" s="227"/>
      <c r="BJ554" s="227"/>
      <c r="BK554" s="227"/>
      <c r="BL554" s="227"/>
      <c r="BM554" s="227"/>
      <c r="BN554" s="227"/>
      <c r="BO554" s="227"/>
      <c r="BP554" s="227"/>
      <c r="BQ554" s="227"/>
      <c r="BR554" s="227"/>
      <c r="BS554" s="227"/>
      <c r="BT554" s="227"/>
      <c r="BU554" s="227"/>
      <c r="BV554" s="227"/>
      <c r="BW554" s="227"/>
      <c r="BX554" s="227"/>
      <c r="BY554" s="227"/>
      <c r="BZ554" s="227"/>
      <c r="CA554" s="227"/>
      <c r="CB554" s="227"/>
      <c r="CC554" s="227"/>
      <c r="CD554" s="227"/>
      <c r="CE554" s="227"/>
      <c r="CF554" s="227"/>
      <c r="CG554" s="227"/>
      <c r="CH554" s="227"/>
      <c r="CI554" s="227"/>
      <c r="CJ554" s="227"/>
      <c r="CK554" s="227"/>
      <c r="CL554" s="227"/>
      <c r="CM554" s="227"/>
      <c r="CN554" s="227"/>
      <c r="CO554" s="227"/>
      <c r="CP554" s="227"/>
      <c r="CQ554" s="227"/>
      <c r="CR554" s="227"/>
      <c r="CS554" s="227"/>
      <c r="CT554" s="227"/>
      <c r="CU554" s="225"/>
      <c r="CV554" s="227"/>
    </row>
    <row r="555" spans="1:100" ht="20.100000000000001" customHeight="1">
      <c r="A555" s="227">
        <v>274</v>
      </c>
      <c r="B555" s="225"/>
      <c r="C555" s="227"/>
      <c r="D555" s="228">
        <f>(SUMPRODUCT(E555:CU555*$E$6:$CU$6)/100)+(SUMPRODUCT(E555:CU555*$E$6:$CU$6*$E$3:$CU$3)/100)</f>
        <v>0</v>
      </c>
      <c r="E555" s="227"/>
      <c r="F555" s="227"/>
      <c r="G555" s="227"/>
      <c r="H555" s="227"/>
      <c r="I555" s="227"/>
      <c r="J555" s="227"/>
      <c r="K555" s="227"/>
      <c r="L555" s="227"/>
      <c r="M555" s="227"/>
      <c r="N555" s="227"/>
      <c r="O555" s="227"/>
      <c r="P555" s="227"/>
      <c r="Q555" s="227"/>
      <c r="R555" s="227"/>
      <c r="S555" s="227"/>
      <c r="T555" s="227"/>
      <c r="U555" s="227"/>
      <c r="V555" s="227"/>
      <c r="W555" s="227"/>
      <c r="X555" s="227"/>
      <c r="Y555" s="227"/>
      <c r="Z555" s="227"/>
      <c r="AA555" s="227"/>
      <c r="AB555" s="227"/>
      <c r="AC555" s="227"/>
      <c r="AD555" s="227"/>
      <c r="AE555" s="227"/>
      <c r="AF555" s="227"/>
      <c r="AG555" s="227"/>
      <c r="AH555" s="227"/>
      <c r="AI555" s="227"/>
      <c r="AJ555" s="227"/>
      <c r="AK555" s="227"/>
      <c r="AL555" s="227"/>
      <c r="AM555" s="227"/>
      <c r="AN555" s="227"/>
      <c r="AO555" s="227"/>
      <c r="AP555" s="227"/>
      <c r="AQ555" s="227"/>
      <c r="AR555" s="227"/>
      <c r="AS555" s="227"/>
      <c r="AT555" s="227"/>
      <c r="AU555" s="227"/>
      <c r="AV555" s="227"/>
      <c r="AW555" s="227"/>
      <c r="AX555" s="227"/>
      <c r="AY555" s="227"/>
      <c r="AZ555" s="227"/>
      <c r="BA555" s="227"/>
      <c r="BB555" s="227"/>
      <c r="BC555" s="227"/>
      <c r="BD555" s="227"/>
      <c r="BE555" s="227"/>
      <c r="BF555" s="227"/>
      <c r="BG555" s="227"/>
      <c r="BH555" s="227"/>
      <c r="BI555" s="227"/>
      <c r="BJ555" s="227"/>
      <c r="BK555" s="227"/>
      <c r="BL555" s="227"/>
      <c r="BM555" s="227"/>
      <c r="BN555" s="227"/>
      <c r="BO555" s="227"/>
      <c r="BP555" s="227"/>
      <c r="BQ555" s="227"/>
      <c r="BR555" s="227"/>
      <c r="BS555" s="227"/>
      <c r="BT555" s="227"/>
      <c r="BU555" s="227"/>
      <c r="BV555" s="227"/>
      <c r="BW555" s="227"/>
      <c r="BX555" s="227"/>
      <c r="BY555" s="227"/>
      <c r="BZ555" s="227"/>
      <c r="CA555" s="227"/>
      <c r="CB555" s="227"/>
      <c r="CC555" s="227"/>
      <c r="CD555" s="227"/>
      <c r="CE555" s="227"/>
      <c r="CF555" s="227"/>
      <c r="CG555" s="227"/>
      <c r="CH555" s="227"/>
      <c r="CI555" s="227"/>
      <c r="CJ555" s="227"/>
      <c r="CK555" s="227"/>
      <c r="CL555" s="227"/>
      <c r="CM555" s="227"/>
      <c r="CN555" s="227"/>
      <c r="CO555" s="227"/>
      <c r="CP555" s="227"/>
      <c r="CQ555" s="227"/>
      <c r="CR555" s="227"/>
      <c r="CS555" s="227"/>
      <c r="CT555" s="227"/>
      <c r="CU555" s="225"/>
      <c r="CV555" s="227"/>
    </row>
    <row r="556" spans="1:100" ht="20.100000000000001" customHeight="1">
      <c r="A556" s="223"/>
      <c r="B556" s="225"/>
      <c r="C556" s="227"/>
      <c r="D556" s="224"/>
      <c r="E556" s="227"/>
      <c r="F556" s="227"/>
      <c r="G556" s="227"/>
      <c r="H556" s="227"/>
      <c r="I556" s="227"/>
      <c r="J556" s="227"/>
      <c r="K556" s="227"/>
      <c r="L556" s="227"/>
      <c r="M556" s="227"/>
      <c r="N556" s="227"/>
      <c r="O556" s="227"/>
      <c r="P556" s="227"/>
      <c r="Q556" s="227"/>
      <c r="R556" s="227"/>
      <c r="S556" s="227"/>
      <c r="T556" s="227"/>
      <c r="U556" s="227"/>
      <c r="V556" s="227"/>
      <c r="W556" s="227"/>
      <c r="X556" s="227"/>
      <c r="Y556" s="227"/>
      <c r="Z556" s="227"/>
      <c r="AA556" s="227"/>
      <c r="AB556" s="227"/>
      <c r="AC556" s="227"/>
      <c r="AD556" s="227"/>
      <c r="AE556" s="227"/>
      <c r="AF556" s="227"/>
      <c r="AG556" s="227"/>
      <c r="AH556" s="227"/>
      <c r="AI556" s="227"/>
      <c r="AJ556" s="227"/>
      <c r="AK556" s="227"/>
      <c r="AL556" s="227"/>
      <c r="AM556" s="227"/>
      <c r="AN556" s="227"/>
      <c r="AO556" s="227"/>
      <c r="AP556" s="227"/>
      <c r="AQ556" s="227"/>
      <c r="AR556" s="227"/>
      <c r="AS556" s="227"/>
      <c r="AT556" s="227"/>
      <c r="AU556" s="227"/>
      <c r="AV556" s="227"/>
      <c r="AW556" s="227"/>
      <c r="AX556" s="227"/>
      <c r="AY556" s="227"/>
      <c r="AZ556" s="227"/>
      <c r="BA556" s="227"/>
      <c r="BB556" s="227"/>
      <c r="BC556" s="227"/>
      <c r="BD556" s="227"/>
      <c r="BE556" s="227"/>
      <c r="BF556" s="227"/>
      <c r="BG556" s="227"/>
      <c r="BH556" s="227"/>
      <c r="BI556" s="227"/>
      <c r="BJ556" s="227"/>
      <c r="BK556" s="227"/>
      <c r="BL556" s="227"/>
      <c r="BM556" s="227"/>
      <c r="BN556" s="227"/>
      <c r="BO556" s="227"/>
      <c r="BP556" s="227"/>
      <c r="BQ556" s="227"/>
      <c r="BR556" s="227"/>
      <c r="BS556" s="227"/>
      <c r="BT556" s="227"/>
      <c r="BU556" s="227"/>
      <c r="BV556" s="227"/>
      <c r="BW556" s="227"/>
      <c r="BX556" s="227"/>
      <c r="BY556" s="227"/>
      <c r="BZ556" s="227"/>
      <c r="CA556" s="227"/>
      <c r="CB556" s="227"/>
      <c r="CC556" s="227"/>
      <c r="CD556" s="227"/>
      <c r="CE556" s="227"/>
      <c r="CF556" s="227"/>
      <c r="CG556" s="227"/>
      <c r="CH556" s="227"/>
      <c r="CI556" s="227"/>
      <c r="CJ556" s="227"/>
      <c r="CK556" s="227"/>
      <c r="CL556" s="227"/>
      <c r="CM556" s="227"/>
      <c r="CN556" s="227"/>
      <c r="CO556" s="227"/>
      <c r="CP556" s="227"/>
      <c r="CQ556" s="227"/>
      <c r="CR556" s="227"/>
      <c r="CS556" s="227"/>
      <c r="CT556" s="227"/>
      <c r="CU556" s="225"/>
      <c r="CV556" s="227"/>
    </row>
    <row r="557" spans="1:100" ht="20.100000000000001" customHeight="1">
      <c r="A557" s="227">
        <v>275</v>
      </c>
      <c r="B557" s="225"/>
      <c r="C557" s="227"/>
      <c r="D557" s="228">
        <f>(SUMPRODUCT(E557:CU557*$E$6:$CU$6)/100)+(SUMPRODUCT(E557:CU557*$E$6:$CU$6*$E$3:$CU$3)/100)</f>
        <v>0</v>
      </c>
      <c r="E557" s="227"/>
      <c r="F557" s="227"/>
      <c r="G557" s="227"/>
      <c r="H557" s="227"/>
      <c r="I557" s="227"/>
      <c r="J557" s="227"/>
      <c r="K557" s="227"/>
      <c r="L557" s="227"/>
      <c r="M557" s="227"/>
      <c r="N557" s="227"/>
      <c r="O557" s="227"/>
      <c r="P557" s="227"/>
      <c r="Q557" s="227"/>
      <c r="R557" s="227"/>
      <c r="S557" s="227"/>
      <c r="T557" s="227"/>
      <c r="U557" s="227"/>
      <c r="V557" s="227"/>
      <c r="W557" s="227"/>
      <c r="X557" s="227"/>
      <c r="Y557" s="227"/>
      <c r="Z557" s="227"/>
      <c r="AA557" s="227"/>
      <c r="AB557" s="227"/>
      <c r="AC557" s="227"/>
      <c r="AD557" s="227"/>
      <c r="AE557" s="227"/>
      <c r="AF557" s="227"/>
      <c r="AG557" s="227"/>
      <c r="AH557" s="227"/>
      <c r="AI557" s="227"/>
      <c r="AJ557" s="227"/>
      <c r="AK557" s="227"/>
      <c r="AL557" s="227"/>
      <c r="AM557" s="227"/>
      <c r="AN557" s="227"/>
      <c r="AO557" s="227"/>
      <c r="AP557" s="227"/>
      <c r="AQ557" s="227"/>
      <c r="AR557" s="227"/>
      <c r="AS557" s="227"/>
      <c r="AT557" s="227"/>
      <c r="AU557" s="227"/>
      <c r="AV557" s="227"/>
      <c r="AW557" s="227"/>
      <c r="AX557" s="227"/>
      <c r="AY557" s="227"/>
      <c r="AZ557" s="227"/>
      <c r="BA557" s="227"/>
      <c r="BB557" s="227"/>
      <c r="BC557" s="227"/>
      <c r="BD557" s="227"/>
      <c r="BE557" s="227"/>
      <c r="BF557" s="227"/>
      <c r="BG557" s="227"/>
      <c r="BH557" s="227"/>
      <c r="BI557" s="227"/>
      <c r="BJ557" s="227"/>
      <c r="BK557" s="227"/>
      <c r="BL557" s="227"/>
      <c r="BM557" s="227"/>
      <c r="BN557" s="227"/>
      <c r="BO557" s="227"/>
      <c r="BP557" s="227"/>
      <c r="BQ557" s="227"/>
      <c r="BR557" s="227"/>
      <c r="BS557" s="227"/>
      <c r="BT557" s="227"/>
      <c r="BU557" s="227"/>
      <c r="BV557" s="227"/>
      <c r="BW557" s="227"/>
      <c r="BX557" s="227"/>
      <c r="BY557" s="227"/>
      <c r="BZ557" s="227"/>
      <c r="CA557" s="227"/>
      <c r="CB557" s="227"/>
      <c r="CC557" s="227"/>
      <c r="CD557" s="227"/>
      <c r="CE557" s="227"/>
      <c r="CF557" s="227"/>
      <c r="CG557" s="227"/>
      <c r="CH557" s="227"/>
      <c r="CI557" s="227"/>
      <c r="CJ557" s="227"/>
      <c r="CK557" s="227"/>
      <c r="CL557" s="227"/>
      <c r="CM557" s="227"/>
      <c r="CN557" s="227"/>
      <c r="CO557" s="227"/>
      <c r="CP557" s="227"/>
      <c r="CQ557" s="227"/>
      <c r="CR557" s="227"/>
      <c r="CS557" s="227"/>
      <c r="CT557" s="227"/>
      <c r="CU557" s="225"/>
      <c r="CV557" s="227"/>
    </row>
    <row r="558" spans="1:100" ht="20.100000000000001" customHeight="1">
      <c r="A558" s="227"/>
      <c r="B558" s="225"/>
      <c r="C558" s="227"/>
      <c r="D558" s="224"/>
      <c r="E558" s="227"/>
      <c r="F558" s="227"/>
      <c r="G558" s="227"/>
      <c r="H558" s="227"/>
      <c r="I558" s="227"/>
      <c r="J558" s="227"/>
      <c r="K558" s="227"/>
      <c r="L558" s="227"/>
      <c r="M558" s="227"/>
      <c r="N558" s="227"/>
      <c r="O558" s="227"/>
      <c r="P558" s="227"/>
      <c r="Q558" s="227"/>
      <c r="R558" s="227"/>
      <c r="S558" s="227"/>
      <c r="T558" s="227"/>
      <c r="U558" s="227"/>
      <c r="V558" s="227"/>
      <c r="W558" s="227"/>
      <c r="X558" s="227"/>
      <c r="Y558" s="227"/>
      <c r="Z558" s="227"/>
      <c r="AA558" s="227"/>
      <c r="AB558" s="227"/>
      <c r="AC558" s="227"/>
      <c r="AD558" s="227"/>
      <c r="AE558" s="227"/>
      <c r="AF558" s="227"/>
      <c r="AG558" s="227"/>
      <c r="AH558" s="227"/>
      <c r="AI558" s="227"/>
      <c r="AJ558" s="227"/>
      <c r="AK558" s="227"/>
      <c r="AL558" s="227"/>
      <c r="AM558" s="227"/>
      <c r="AN558" s="227"/>
      <c r="AO558" s="227"/>
      <c r="AP558" s="227"/>
      <c r="AQ558" s="227"/>
      <c r="AR558" s="227"/>
      <c r="AS558" s="227"/>
      <c r="AT558" s="227"/>
      <c r="AU558" s="227"/>
      <c r="AV558" s="227"/>
      <c r="AW558" s="227"/>
      <c r="AX558" s="227"/>
      <c r="AY558" s="227"/>
      <c r="AZ558" s="227"/>
      <c r="BA558" s="227"/>
      <c r="BB558" s="227"/>
      <c r="BC558" s="227"/>
      <c r="BD558" s="227"/>
      <c r="BE558" s="227"/>
      <c r="BF558" s="227"/>
      <c r="BG558" s="227"/>
      <c r="BH558" s="227"/>
      <c r="BI558" s="227"/>
      <c r="BJ558" s="227"/>
      <c r="BK558" s="227"/>
      <c r="BL558" s="227"/>
      <c r="BM558" s="227"/>
      <c r="BN558" s="227"/>
      <c r="BO558" s="227"/>
      <c r="BP558" s="227"/>
      <c r="BQ558" s="227"/>
      <c r="BR558" s="227"/>
      <c r="BS558" s="227"/>
      <c r="BT558" s="227"/>
      <c r="BU558" s="227"/>
      <c r="BV558" s="227"/>
      <c r="BW558" s="227"/>
      <c r="BX558" s="227"/>
      <c r="BY558" s="227"/>
      <c r="BZ558" s="227"/>
      <c r="CA558" s="227"/>
      <c r="CB558" s="227"/>
      <c r="CC558" s="227"/>
      <c r="CD558" s="227"/>
      <c r="CE558" s="227"/>
      <c r="CF558" s="227"/>
      <c r="CG558" s="227"/>
      <c r="CH558" s="227"/>
      <c r="CI558" s="227"/>
      <c r="CJ558" s="227"/>
      <c r="CK558" s="227"/>
      <c r="CL558" s="227"/>
      <c r="CM558" s="227"/>
      <c r="CN558" s="227"/>
      <c r="CO558" s="227"/>
      <c r="CP558" s="227"/>
      <c r="CQ558" s="227"/>
      <c r="CR558" s="227"/>
      <c r="CS558" s="227"/>
      <c r="CT558" s="227"/>
      <c r="CU558" s="225"/>
      <c r="CV558" s="227"/>
    </row>
    <row r="559" spans="1:100" ht="20.100000000000001" customHeight="1">
      <c r="A559" s="227">
        <v>276</v>
      </c>
      <c r="B559" s="225"/>
      <c r="C559" s="227"/>
      <c r="D559" s="228">
        <f>(SUMPRODUCT(E559:CU559*$E$6:$CU$6)/100)+(SUMPRODUCT(E559:CU559*$E$6:$CU$6*$E$3:$CU$3)/100)</f>
        <v>0</v>
      </c>
      <c r="E559" s="227"/>
      <c r="F559" s="227"/>
      <c r="G559" s="227"/>
      <c r="H559" s="227"/>
      <c r="I559" s="227"/>
      <c r="J559" s="227"/>
      <c r="K559" s="227"/>
      <c r="L559" s="227"/>
      <c r="M559" s="227"/>
      <c r="N559" s="227"/>
      <c r="O559" s="227"/>
      <c r="P559" s="227"/>
      <c r="Q559" s="227"/>
      <c r="R559" s="227"/>
      <c r="S559" s="227"/>
      <c r="T559" s="227"/>
      <c r="U559" s="227"/>
      <c r="V559" s="227"/>
      <c r="W559" s="227"/>
      <c r="X559" s="227"/>
      <c r="Y559" s="227"/>
      <c r="Z559" s="227"/>
      <c r="AA559" s="227"/>
      <c r="AB559" s="227"/>
      <c r="AC559" s="227"/>
      <c r="AD559" s="227"/>
      <c r="AE559" s="227"/>
      <c r="AF559" s="227"/>
      <c r="AG559" s="227"/>
      <c r="AH559" s="227"/>
      <c r="AI559" s="227"/>
      <c r="AJ559" s="227"/>
      <c r="AK559" s="227"/>
      <c r="AL559" s="227"/>
      <c r="AM559" s="227"/>
      <c r="AN559" s="227"/>
      <c r="AO559" s="227"/>
      <c r="AP559" s="227"/>
      <c r="AQ559" s="227"/>
      <c r="AR559" s="227"/>
      <c r="AS559" s="227"/>
      <c r="AT559" s="227"/>
      <c r="AU559" s="227"/>
      <c r="AV559" s="227"/>
      <c r="AW559" s="227"/>
      <c r="AX559" s="227"/>
      <c r="AY559" s="227"/>
      <c r="AZ559" s="227"/>
      <c r="BA559" s="227"/>
      <c r="BB559" s="227"/>
      <c r="BC559" s="227"/>
      <c r="BD559" s="227"/>
      <c r="BE559" s="227"/>
      <c r="BF559" s="227"/>
      <c r="BG559" s="227"/>
      <c r="BH559" s="227"/>
      <c r="BI559" s="227"/>
      <c r="BJ559" s="227"/>
      <c r="BK559" s="227"/>
      <c r="BL559" s="227"/>
      <c r="BM559" s="227"/>
      <c r="BN559" s="227"/>
      <c r="BO559" s="227"/>
      <c r="BP559" s="227"/>
      <c r="BQ559" s="227"/>
      <c r="BR559" s="227"/>
      <c r="BS559" s="227"/>
      <c r="BT559" s="227"/>
      <c r="BU559" s="227"/>
      <c r="BV559" s="227"/>
      <c r="BW559" s="227"/>
      <c r="BX559" s="227"/>
      <c r="BY559" s="227"/>
      <c r="BZ559" s="227"/>
      <c r="CA559" s="227"/>
      <c r="CB559" s="227"/>
      <c r="CC559" s="227"/>
      <c r="CD559" s="227"/>
      <c r="CE559" s="227"/>
      <c r="CF559" s="227"/>
      <c r="CG559" s="227"/>
      <c r="CH559" s="227"/>
      <c r="CI559" s="227"/>
      <c r="CJ559" s="227"/>
      <c r="CK559" s="227"/>
      <c r="CL559" s="227"/>
      <c r="CM559" s="227"/>
      <c r="CN559" s="227"/>
      <c r="CO559" s="227"/>
      <c r="CP559" s="227"/>
      <c r="CQ559" s="227"/>
      <c r="CR559" s="227"/>
      <c r="CS559" s="227"/>
      <c r="CT559" s="227"/>
      <c r="CU559" s="225"/>
      <c r="CV559" s="227"/>
    </row>
    <row r="560" spans="1:100" ht="20.100000000000001" customHeight="1">
      <c r="A560" s="223"/>
      <c r="B560" s="225"/>
      <c r="C560" s="227"/>
      <c r="D560" s="224"/>
      <c r="E560" s="227"/>
      <c r="F560" s="227"/>
      <c r="G560" s="227"/>
      <c r="H560" s="227"/>
      <c r="I560" s="227"/>
      <c r="J560" s="227"/>
      <c r="K560" s="227"/>
      <c r="L560" s="227"/>
      <c r="M560" s="227"/>
      <c r="N560" s="227"/>
      <c r="O560" s="227"/>
      <c r="P560" s="227"/>
      <c r="Q560" s="227"/>
      <c r="R560" s="227"/>
      <c r="S560" s="227"/>
      <c r="T560" s="227"/>
      <c r="U560" s="227"/>
      <c r="V560" s="227"/>
      <c r="W560" s="227"/>
      <c r="X560" s="227"/>
      <c r="Y560" s="227"/>
      <c r="Z560" s="227"/>
      <c r="AA560" s="227"/>
      <c r="AB560" s="227"/>
      <c r="AC560" s="227"/>
      <c r="AD560" s="227"/>
      <c r="AE560" s="227"/>
      <c r="AF560" s="227"/>
      <c r="AG560" s="227"/>
      <c r="AH560" s="227"/>
      <c r="AI560" s="227"/>
      <c r="AJ560" s="227"/>
      <c r="AK560" s="227"/>
      <c r="AL560" s="227"/>
      <c r="AM560" s="227"/>
      <c r="AN560" s="227"/>
      <c r="AO560" s="227"/>
      <c r="AP560" s="227"/>
      <c r="AQ560" s="227"/>
      <c r="AR560" s="227"/>
      <c r="AS560" s="227"/>
      <c r="AT560" s="227"/>
      <c r="AU560" s="227"/>
      <c r="AV560" s="227"/>
      <c r="AW560" s="227"/>
      <c r="AX560" s="227"/>
      <c r="AY560" s="227"/>
      <c r="AZ560" s="227"/>
      <c r="BA560" s="227"/>
      <c r="BB560" s="227"/>
      <c r="BC560" s="227"/>
      <c r="BD560" s="227"/>
      <c r="BE560" s="227"/>
      <c r="BF560" s="227"/>
      <c r="BG560" s="227"/>
      <c r="BH560" s="227"/>
      <c r="BI560" s="227"/>
      <c r="BJ560" s="227"/>
      <c r="BK560" s="227"/>
      <c r="BL560" s="227"/>
      <c r="BM560" s="227"/>
      <c r="BN560" s="227"/>
      <c r="BO560" s="227"/>
      <c r="BP560" s="227"/>
      <c r="BQ560" s="227"/>
      <c r="BR560" s="227"/>
      <c r="BS560" s="227"/>
      <c r="BT560" s="227"/>
      <c r="BU560" s="227"/>
      <c r="BV560" s="227"/>
      <c r="BW560" s="227"/>
      <c r="BX560" s="227"/>
      <c r="BY560" s="227"/>
      <c r="BZ560" s="227"/>
      <c r="CA560" s="227"/>
      <c r="CB560" s="227"/>
      <c r="CC560" s="227"/>
      <c r="CD560" s="227"/>
      <c r="CE560" s="227"/>
      <c r="CF560" s="227"/>
      <c r="CG560" s="227"/>
      <c r="CH560" s="227"/>
      <c r="CI560" s="227"/>
      <c r="CJ560" s="227"/>
      <c r="CK560" s="227"/>
      <c r="CL560" s="227"/>
      <c r="CM560" s="227"/>
      <c r="CN560" s="227"/>
      <c r="CO560" s="227"/>
      <c r="CP560" s="227"/>
      <c r="CQ560" s="227"/>
      <c r="CR560" s="227"/>
      <c r="CS560" s="227"/>
      <c r="CT560" s="227"/>
      <c r="CU560" s="225"/>
      <c r="CV560" s="227"/>
    </row>
    <row r="561" spans="1:100" ht="20.100000000000001" customHeight="1">
      <c r="A561" s="227">
        <v>277</v>
      </c>
      <c r="B561" s="225"/>
      <c r="C561" s="227"/>
      <c r="D561" s="228">
        <f>(SUMPRODUCT(E561:CU561*$E$6:$CU$6)/100)+(SUMPRODUCT(E561:CU561*$E$6:$CU$6*$E$3:$CU$3)/100)</f>
        <v>0</v>
      </c>
      <c r="E561" s="227"/>
      <c r="F561" s="227"/>
      <c r="G561" s="227"/>
      <c r="H561" s="227"/>
      <c r="I561" s="227"/>
      <c r="J561" s="227"/>
      <c r="K561" s="227"/>
      <c r="L561" s="227"/>
      <c r="M561" s="227"/>
      <c r="N561" s="227"/>
      <c r="O561" s="227"/>
      <c r="P561" s="227"/>
      <c r="Q561" s="227"/>
      <c r="R561" s="227"/>
      <c r="S561" s="227"/>
      <c r="T561" s="227"/>
      <c r="U561" s="227"/>
      <c r="V561" s="227"/>
      <c r="W561" s="227"/>
      <c r="X561" s="227"/>
      <c r="Y561" s="227"/>
      <c r="Z561" s="227"/>
      <c r="AA561" s="227"/>
      <c r="AB561" s="227"/>
      <c r="AC561" s="227"/>
      <c r="AD561" s="227"/>
      <c r="AE561" s="227"/>
      <c r="AF561" s="227"/>
      <c r="AG561" s="227"/>
      <c r="AH561" s="227"/>
      <c r="AI561" s="227"/>
      <c r="AJ561" s="227"/>
      <c r="AK561" s="227"/>
      <c r="AL561" s="227"/>
      <c r="AM561" s="227"/>
      <c r="AN561" s="227"/>
      <c r="AO561" s="227"/>
      <c r="AP561" s="227"/>
      <c r="AQ561" s="227"/>
      <c r="AR561" s="227"/>
      <c r="AS561" s="227"/>
      <c r="AT561" s="227"/>
      <c r="AU561" s="227"/>
      <c r="AV561" s="227"/>
      <c r="AW561" s="227"/>
      <c r="AX561" s="227"/>
      <c r="AY561" s="227"/>
      <c r="AZ561" s="227"/>
      <c r="BA561" s="227"/>
      <c r="BB561" s="227"/>
      <c r="BC561" s="227"/>
      <c r="BD561" s="227"/>
      <c r="BE561" s="227"/>
      <c r="BF561" s="227"/>
      <c r="BG561" s="227"/>
      <c r="BH561" s="227"/>
      <c r="BI561" s="227"/>
      <c r="BJ561" s="227"/>
      <c r="BK561" s="227"/>
      <c r="BL561" s="227"/>
      <c r="BM561" s="227"/>
      <c r="BN561" s="227"/>
      <c r="BO561" s="227"/>
      <c r="BP561" s="227"/>
      <c r="BQ561" s="227"/>
      <c r="BR561" s="227"/>
      <c r="BS561" s="227"/>
      <c r="BT561" s="227"/>
      <c r="BU561" s="227"/>
      <c r="BV561" s="227"/>
      <c r="BW561" s="227"/>
      <c r="BX561" s="227"/>
      <c r="BY561" s="227"/>
      <c r="BZ561" s="227"/>
      <c r="CA561" s="227"/>
      <c r="CB561" s="227"/>
      <c r="CC561" s="227"/>
      <c r="CD561" s="227"/>
      <c r="CE561" s="227"/>
      <c r="CF561" s="227"/>
      <c r="CG561" s="227"/>
      <c r="CH561" s="227"/>
      <c r="CI561" s="227"/>
      <c r="CJ561" s="227"/>
      <c r="CK561" s="227"/>
      <c r="CL561" s="227"/>
      <c r="CM561" s="227"/>
      <c r="CN561" s="227"/>
      <c r="CO561" s="227"/>
      <c r="CP561" s="227"/>
      <c r="CQ561" s="227"/>
      <c r="CR561" s="227"/>
      <c r="CS561" s="227"/>
      <c r="CT561" s="227"/>
      <c r="CU561" s="225"/>
      <c r="CV561" s="227"/>
    </row>
    <row r="562" spans="1:100" ht="20.100000000000001" customHeight="1">
      <c r="A562" s="227"/>
      <c r="B562" s="225"/>
      <c r="C562" s="227"/>
      <c r="D562" s="224"/>
      <c r="E562" s="227"/>
      <c r="F562" s="227"/>
      <c r="G562" s="227"/>
      <c r="H562" s="227"/>
      <c r="I562" s="227"/>
      <c r="J562" s="227"/>
      <c r="K562" s="227"/>
      <c r="L562" s="227"/>
      <c r="M562" s="227"/>
      <c r="N562" s="227"/>
      <c r="O562" s="227"/>
      <c r="P562" s="227"/>
      <c r="Q562" s="227"/>
      <c r="R562" s="227"/>
      <c r="S562" s="227"/>
      <c r="T562" s="227"/>
      <c r="U562" s="227"/>
      <c r="V562" s="227"/>
      <c r="W562" s="227"/>
      <c r="X562" s="227"/>
      <c r="Y562" s="227"/>
      <c r="Z562" s="227"/>
      <c r="AA562" s="227"/>
      <c r="AB562" s="227"/>
      <c r="AC562" s="227"/>
      <c r="AD562" s="227"/>
      <c r="AE562" s="227"/>
      <c r="AF562" s="227"/>
      <c r="AG562" s="227"/>
      <c r="AH562" s="227"/>
      <c r="AI562" s="227"/>
      <c r="AJ562" s="227"/>
      <c r="AK562" s="227"/>
      <c r="AL562" s="227"/>
      <c r="AM562" s="227"/>
      <c r="AN562" s="227"/>
      <c r="AO562" s="227"/>
      <c r="AP562" s="227"/>
      <c r="AQ562" s="227"/>
      <c r="AR562" s="227"/>
      <c r="AS562" s="227"/>
      <c r="AT562" s="227"/>
      <c r="AU562" s="227"/>
      <c r="AV562" s="227"/>
      <c r="AW562" s="227"/>
      <c r="AX562" s="227"/>
      <c r="AY562" s="227"/>
      <c r="AZ562" s="227"/>
      <c r="BA562" s="227"/>
      <c r="BB562" s="227"/>
      <c r="BC562" s="227"/>
      <c r="BD562" s="227"/>
      <c r="BE562" s="227"/>
      <c r="BF562" s="227"/>
      <c r="BG562" s="227"/>
      <c r="BH562" s="227"/>
      <c r="BI562" s="227"/>
      <c r="BJ562" s="227"/>
      <c r="BK562" s="227"/>
      <c r="BL562" s="227"/>
      <c r="BM562" s="227"/>
      <c r="BN562" s="227"/>
      <c r="BO562" s="227"/>
      <c r="BP562" s="227"/>
      <c r="BQ562" s="227"/>
      <c r="BR562" s="227"/>
      <c r="BS562" s="227"/>
      <c r="BT562" s="227"/>
      <c r="BU562" s="227"/>
      <c r="BV562" s="227"/>
      <c r="BW562" s="227"/>
      <c r="BX562" s="227"/>
      <c r="BY562" s="227"/>
      <c r="BZ562" s="227"/>
      <c r="CA562" s="227"/>
      <c r="CB562" s="227"/>
      <c r="CC562" s="227"/>
      <c r="CD562" s="227"/>
      <c r="CE562" s="227"/>
      <c r="CF562" s="227"/>
      <c r="CG562" s="227"/>
      <c r="CH562" s="227"/>
      <c r="CI562" s="227"/>
      <c r="CJ562" s="227"/>
      <c r="CK562" s="227"/>
      <c r="CL562" s="227"/>
      <c r="CM562" s="227"/>
      <c r="CN562" s="227"/>
      <c r="CO562" s="227"/>
      <c r="CP562" s="227"/>
      <c r="CQ562" s="227"/>
      <c r="CR562" s="227"/>
      <c r="CS562" s="227"/>
      <c r="CT562" s="227"/>
      <c r="CU562" s="225"/>
      <c r="CV562" s="227"/>
    </row>
    <row r="563" spans="1:100" ht="20.100000000000001" customHeight="1">
      <c r="A563" s="227">
        <v>278</v>
      </c>
      <c r="B563" s="225"/>
      <c r="C563" s="227"/>
      <c r="D563" s="228">
        <f>(SUMPRODUCT(E563:CU563*$E$6:$CU$6)/100)+(SUMPRODUCT(E563:CU563*$E$6:$CU$6*$E$3:$CU$3)/100)</f>
        <v>0</v>
      </c>
      <c r="E563" s="227"/>
      <c r="F563" s="227"/>
      <c r="G563" s="227"/>
      <c r="H563" s="227"/>
      <c r="I563" s="227"/>
      <c r="J563" s="227"/>
      <c r="K563" s="227"/>
      <c r="L563" s="227"/>
      <c r="M563" s="227"/>
      <c r="N563" s="227"/>
      <c r="O563" s="227"/>
      <c r="P563" s="227"/>
      <c r="Q563" s="227"/>
      <c r="R563" s="227"/>
      <c r="S563" s="227"/>
      <c r="T563" s="227"/>
      <c r="U563" s="227"/>
      <c r="V563" s="227"/>
      <c r="W563" s="227"/>
      <c r="X563" s="227"/>
      <c r="Y563" s="227"/>
      <c r="Z563" s="227"/>
      <c r="AA563" s="227"/>
      <c r="AB563" s="227"/>
      <c r="AC563" s="227"/>
      <c r="AD563" s="227"/>
      <c r="AE563" s="227"/>
      <c r="AF563" s="227"/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27"/>
      <c r="BC563" s="227"/>
      <c r="BD563" s="227"/>
      <c r="BE563" s="227"/>
      <c r="BF563" s="227"/>
      <c r="BG563" s="227"/>
      <c r="BH563" s="227"/>
      <c r="BI563" s="227"/>
      <c r="BJ563" s="227"/>
      <c r="BK563" s="227"/>
      <c r="BL563" s="227"/>
      <c r="BM563" s="227"/>
      <c r="BN563" s="227"/>
      <c r="BO563" s="227"/>
      <c r="BP563" s="227"/>
      <c r="BQ563" s="227"/>
      <c r="BR563" s="227"/>
      <c r="BS563" s="227"/>
      <c r="BT563" s="227"/>
      <c r="BU563" s="227"/>
      <c r="BV563" s="227"/>
      <c r="BW563" s="227"/>
      <c r="BX563" s="227"/>
      <c r="BY563" s="227"/>
      <c r="BZ563" s="227"/>
      <c r="CA563" s="227"/>
      <c r="CB563" s="227"/>
      <c r="CC563" s="227"/>
      <c r="CD563" s="227"/>
      <c r="CE563" s="227"/>
      <c r="CF563" s="227"/>
      <c r="CG563" s="227"/>
      <c r="CH563" s="227"/>
      <c r="CI563" s="227"/>
      <c r="CJ563" s="227"/>
      <c r="CK563" s="227"/>
      <c r="CL563" s="227"/>
      <c r="CM563" s="227"/>
      <c r="CN563" s="227"/>
      <c r="CO563" s="227"/>
      <c r="CP563" s="227"/>
      <c r="CQ563" s="227"/>
      <c r="CR563" s="227"/>
      <c r="CS563" s="227"/>
      <c r="CT563" s="227"/>
      <c r="CU563" s="225"/>
      <c r="CV563" s="227"/>
    </row>
    <row r="564" spans="1:100" ht="20.100000000000001" customHeight="1">
      <c r="A564" s="223"/>
      <c r="B564" s="225"/>
      <c r="C564" s="227"/>
      <c r="D564" s="224"/>
      <c r="E564" s="227"/>
      <c r="F564" s="227"/>
      <c r="G564" s="227"/>
      <c r="H564" s="227"/>
      <c r="I564" s="227"/>
      <c r="J564" s="227"/>
      <c r="K564" s="227"/>
      <c r="L564" s="227"/>
      <c r="M564" s="227"/>
      <c r="N564" s="227"/>
      <c r="O564" s="227"/>
      <c r="P564" s="227"/>
      <c r="Q564" s="227"/>
      <c r="R564" s="227"/>
      <c r="S564" s="227"/>
      <c r="T564" s="227"/>
      <c r="U564" s="227"/>
      <c r="V564" s="227"/>
      <c r="W564" s="227"/>
      <c r="X564" s="227"/>
      <c r="Y564" s="227"/>
      <c r="Z564" s="227"/>
      <c r="AA564" s="227"/>
      <c r="AB564" s="227"/>
      <c r="AC564" s="227"/>
      <c r="AD564" s="227"/>
      <c r="AE564" s="227"/>
      <c r="AF564" s="227"/>
      <c r="AG564" s="227"/>
      <c r="AH564" s="227"/>
      <c r="AI564" s="227"/>
      <c r="AJ564" s="227"/>
      <c r="AK564" s="227"/>
      <c r="AL564" s="227"/>
      <c r="AM564" s="227"/>
      <c r="AN564" s="227"/>
      <c r="AO564" s="227"/>
      <c r="AP564" s="227"/>
      <c r="AQ564" s="227"/>
      <c r="AR564" s="227"/>
      <c r="AS564" s="227"/>
      <c r="AT564" s="227"/>
      <c r="AU564" s="227"/>
      <c r="AV564" s="227"/>
      <c r="AW564" s="227"/>
      <c r="AX564" s="227"/>
      <c r="AY564" s="227"/>
      <c r="AZ564" s="227"/>
      <c r="BA564" s="227"/>
      <c r="BB564" s="227"/>
      <c r="BC564" s="227"/>
      <c r="BD564" s="227"/>
      <c r="BE564" s="227"/>
      <c r="BF564" s="227"/>
      <c r="BG564" s="227"/>
      <c r="BH564" s="227"/>
      <c r="BI564" s="227"/>
      <c r="BJ564" s="227"/>
      <c r="BK564" s="227"/>
      <c r="BL564" s="227"/>
      <c r="BM564" s="227"/>
      <c r="BN564" s="227"/>
      <c r="BO564" s="227"/>
      <c r="BP564" s="227"/>
      <c r="BQ564" s="227"/>
      <c r="BR564" s="227"/>
      <c r="BS564" s="227"/>
      <c r="BT564" s="227"/>
      <c r="BU564" s="227"/>
      <c r="BV564" s="227"/>
      <c r="BW564" s="227"/>
      <c r="BX564" s="227"/>
      <c r="BY564" s="227"/>
      <c r="BZ564" s="227"/>
      <c r="CA564" s="227"/>
      <c r="CB564" s="227"/>
      <c r="CC564" s="227"/>
      <c r="CD564" s="227"/>
      <c r="CE564" s="227"/>
      <c r="CF564" s="227"/>
      <c r="CG564" s="227"/>
      <c r="CH564" s="227"/>
      <c r="CI564" s="227"/>
      <c r="CJ564" s="227"/>
      <c r="CK564" s="227"/>
      <c r="CL564" s="227"/>
      <c r="CM564" s="227"/>
      <c r="CN564" s="227"/>
      <c r="CO564" s="227"/>
      <c r="CP564" s="227"/>
      <c r="CQ564" s="227"/>
      <c r="CR564" s="227"/>
      <c r="CS564" s="227"/>
      <c r="CT564" s="227"/>
      <c r="CU564" s="225"/>
      <c r="CV564" s="227"/>
    </row>
    <row r="565" spans="1:100" ht="20.100000000000001" customHeight="1">
      <c r="A565" s="227">
        <v>279</v>
      </c>
      <c r="B565" s="225"/>
      <c r="C565" s="227"/>
      <c r="D565" s="228">
        <f>(SUMPRODUCT(E565:CU565*$E$6:$CU$6)/100)+(SUMPRODUCT(E565:CU565*$E$6:$CU$6*$E$3:$CU$3)/100)</f>
        <v>0</v>
      </c>
      <c r="E565" s="227"/>
      <c r="F565" s="227"/>
      <c r="G565" s="227"/>
      <c r="H565" s="227"/>
      <c r="I565" s="227"/>
      <c r="J565" s="227"/>
      <c r="K565" s="227"/>
      <c r="L565" s="227"/>
      <c r="M565" s="227"/>
      <c r="N565" s="227"/>
      <c r="O565" s="227"/>
      <c r="P565" s="227"/>
      <c r="Q565" s="227"/>
      <c r="R565" s="227"/>
      <c r="S565" s="227"/>
      <c r="T565" s="227"/>
      <c r="U565" s="227"/>
      <c r="V565" s="227"/>
      <c r="W565" s="227"/>
      <c r="X565" s="227"/>
      <c r="Y565" s="227"/>
      <c r="Z565" s="227"/>
      <c r="AA565" s="227"/>
      <c r="AB565" s="227"/>
      <c r="AC565" s="227"/>
      <c r="AD565" s="227"/>
      <c r="AE565" s="227"/>
      <c r="AF565" s="227"/>
      <c r="AG565" s="227"/>
      <c r="AH565" s="227"/>
      <c r="AI565" s="227"/>
      <c r="AJ565" s="227"/>
      <c r="AK565" s="227"/>
      <c r="AL565" s="227"/>
      <c r="AM565" s="227"/>
      <c r="AN565" s="227"/>
      <c r="AO565" s="227"/>
      <c r="AP565" s="227"/>
      <c r="AQ565" s="227"/>
      <c r="AR565" s="227"/>
      <c r="AS565" s="227"/>
      <c r="AT565" s="227"/>
      <c r="AU565" s="227"/>
      <c r="AV565" s="227"/>
      <c r="AW565" s="227"/>
      <c r="AX565" s="227"/>
      <c r="AY565" s="227"/>
      <c r="AZ565" s="227"/>
      <c r="BA565" s="227"/>
      <c r="BB565" s="227"/>
      <c r="BC565" s="227"/>
      <c r="BD565" s="227"/>
      <c r="BE565" s="227"/>
      <c r="BF565" s="227"/>
      <c r="BG565" s="227"/>
      <c r="BH565" s="227"/>
      <c r="BI565" s="227"/>
      <c r="BJ565" s="227"/>
      <c r="BK565" s="227"/>
      <c r="BL565" s="227"/>
      <c r="BM565" s="227"/>
      <c r="BN565" s="227"/>
      <c r="BO565" s="227"/>
      <c r="BP565" s="227"/>
      <c r="BQ565" s="227"/>
      <c r="BR565" s="227"/>
      <c r="BS565" s="227"/>
      <c r="BT565" s="227"/>
      <c r="BU565" s="227"/>
      <c r="BV565" s="227"/>
      <c r="BW565" s="227"/>
      <c r="BX565" s="227"/>
      <c r="BY565" s="227"/>
      <c r="BZ565" s="227"/>
      <c r="CA565" s="227"/>
      <c r="CB565" s="227"/>
      <c r="CC565" s="227"/>
      <c r="CD565" s="227"/>
      <c r="CE565" s="227"/>
      <c r="CF565" s="227"/>
      <c r="CG565" s="227"/>
      <c r="CH565" s="227"/>
      <c r="CI565" s="227"/>
      <c r="CJ565" s="227"/>
      <c r="CK565" s="227"/>
      <c r="CL565" s="227"/>
      <c r="CM565" s="227"/>
      <c r="CN565" s="227"/>
      <c r="CO565" s="227"/>
      <c r="CP565" s="227"/>
      <c r="CQ565" s="227"/>
      <c r="CR565" s="227"/>
      <c r="CS565" s="227"/>
      <c r="CT565" s="227"/>
      <c r="CU565" s="225"/>
      <c r="CV565" s="227"/>
    </row>
    <row r="566" spans="1:100" ht="20.100000000000001" customHeight="1">
      <c r="A566" s="227"/>
      <c r="B566" s="225"/>
      <c r="C566" s="227"/>
      <c r="D566" s="224"/>
      <c r="E566" s="227"/>
      <c r="F566" s="227"/>
      <c r="G566" s="227"/>
      <c r="H566" s="227"/>
      <c r="I566" s="227"/>
      <c r="J566" s="227"/>
      <c r="K566" s="227"/>
      <c r="L566" s="227"/>
      <c r="M566" s="227"/>
      <c r="N566" s="227"/>
      <c r="O566" s="227"/>
      <c r="P566" s="227"/>
      <c r="Q566" s="227"/>
      <c r="R566" s="227"/>
      <c r="S566" s="227"/>
      <c r="T566" s="227"/>
      <c r="U566" s="227"/>
      <c r="V566" s="227"/>
      <c r="W566" s="227"/>
      <c r="X566" s="227"/>
      <c r="Y566" s="227"/>
      <c r="Z566" s="227"/>
      <c r="AA566" s="227"/>
      <c r="AB566" s="227"/>
      <c r="AC566" s="227"/>
      <c r="AD566" s="227"/>
      <c r="AE566" s="227"/>
      <c r="AF566" s="227"/>
      <c r="AG566" s="227"/>
      <c r="AH566" s="227"/>
      <c r="AI566" s="227"/>
      <c r="AJ566" s="227"/>
      <c r="AK566" s="227"/>
      <c r="AL566" s="227"/>
      <c r="AM566" s="227"/>
      <c r="AN566" s="227"/>
      <c r="AO566" s="227"/>
      <c r="AP566" s="227"/>
      <c r="AQ566" s="227"/>
      <c r="AR566" s="227"/>
      <c r="AS566" s="227"/>
      <c r="AT566" s="227"/>
      <c r="AU566" s="227"/>
      <c r="AV566" s="227"/>
      <c r="AW566" s="227"/>
      <c r="AX566" s="227"/>
      <c r="AY566" s="227"/>
      <c r="AZ566" s="227"/>
      <c r="BA566" s="227"/>
      <c r="BB566" s="227"/>
      <c r="BC566" s="227"/>
      <c r="BD566" s="227"/>
      <c r="BE566" s="227"/>
      <c r="BF566" s="227"/>
      <c r="BG566" s="227"/>
      <c r="BH566" s="227"/>
      <c r="BI566" s="227"/>
      <c r="BJ566" s="227"/>
      <c r="BK566" s="227"/>
      <c r="BL566" s="227"/>
      <c r="BM566" s="227"/>
      <c r="BN566" s="227"/>
      <c r="BO566" s="227"/>
      <c r="BP566" s="227"/>
      <c r="BQ566" s="227"/>
      <c r="BR566" s="227"/>
      <c r="BS566" s="227"/>
      <c r="BT566" s="227"/>
      <c r="BU566" s="227"/>
      <c r="BV566" s="227"/>
      <c r="BW566" s="227"/>
      <c r="BX566" s="227"/>
      <c r="BY566" s="227"/>
      <c r="BZ566" s="227"/>
      <c r="CA566" s="227"/>
      <c r="CB566" s="227"/>
      <c r="CC566" s="227"/>
      <c r="CD566" s="227"/>
      <c r="CE566" s="227"/>
      <c r="CF566" s="227"/>
      <c r="CG566" s="227"/>
      <c r="CH566" s="227"/>
      <c r="CI566" s="227"/>
      <c r="CJ566" s="227"/>
      <c r="CK566" s="227"/>
      <c r="CL566" s="227"/>
      <c r="CM566" s="227"/>
      <c r="CN566" s="227"/>
      <c r="CO566" s="227"/>
      <c r="CP566" s="227"/>
      <c r="CQ566" s="227"/>
      <c r="CR566" s="227"/>
      <c r="CS566" s="227"/>
      <c r="CT566" s="227"/>
      <c r="CU566" s="225"/>
      <c r="CV566" s="227"/>
    </row>
    <row r="567" spans="1:100" ht="20.100000000000001" customHeight="1">
      <c r="A567" s="227">
        <v>280</v>
      </c>
      <c r="B567" s="225"/>
      <c r="C567" s="227"/>
      <c r="D567" s="228">
        <f>(SUMPRODUCT(E567:CU567*$E$6:$CU$6)/100)+(SUMPRODUCT(E567:CU567*$E$6:$CU$6*$E$3:$CU$3)/100)</f>
        <v>0</v>
      </c>
      <c r="E567" s="227"/>
      <c r="F567" s="227"/>
      <c r="G567" s="227"/>
      <c r="H567" s="227"/>
      <c r="I567" s="227"/>
      <c r="J567" s="227"/>
      <c r="K567" s="227"/>
      <c r="L567" s="227"/>
      <c r="M567" s="227"/>
      <c r="N567" s="227"/>
      <c r="O567" s="227"/>
      <c r="P567" s="227"/>
      <c r="Q567" s="227"/>
      <c r="R567" s="227"/>
      <c r="S567" s="227"/>
      <c r="T567" s="227"/>
      <c r="U567" s="227"/>
      <c r="V567" s="227"/>
      <c r="W567" s="227"/>
      <c r="X567" s="227"/>
      <c r="Y567" s="227"/>
      <c r="Z567" s="227"/>
      <c r="AA567" s="227"/>
      <c r="AB567" s="227"/>
      <c r="AC567" s="227"/>
      <c r="AD567" s="227"/>
      <c r="AE567" s="227"/>
      <c r="AF567" s="227"/>
      <c r="AG567" s="227"/>
      <c r="AH567" s="227"/>
      <c r="AI567" s="227"/>
      <c r="AJ567" s="227"/>
      <c r="AK567" s="227"/>
      <c r="AL567" s="227"/>
      <c r="AM567" s="227"/>
      <c r="AN567" s="227"/>
      <c r="AO567" s="227"/>
      <c r="AP567" s="227"/>
      <c r="AQ567" s="227"/>
      <c r="AR567" s="227"/>
      <c r="AS567" s="227"/>
      <c r="AT567" s="227"/>
      <c r="AU567" s="227"/>
      <c r="AV567" s="227"/>
      <c r="AW567" s="227"/>
      <c r="AX567" s="227"/>
      <c r="AY567" s="227"/>
      <c r="AZ567" s="227"/>
      <c r="BA567" s="227"/>
      <c r="BB567" s="227"/>
      <c r="BC567" s="227"/>
      <c r="BD567" s="227"/>
      <c r="BE567" s="227"/>
      <c r="BF567" s="227"/>
      <c r="BG567" s="227"/>
      <c r="BH567" s="227"/>
      <c r="BI567" s="227"/>
      <c r="BJ567" s="227"/>
      <c r="BK567" s="227"/>
      <c r="BL567" s="227"/>
      <c r="BM567" s="227"/>
      <c r="BN567" s="227"/>
      <c r="BO567" s="227"/>
      <c r="BP567" s="227"/>
      <c r="BQ567" s="227"/>
      <c r="BR567" s="227"/>
      <c r="BS567" s="227"/>
      <c r="BT567" s="227"/>
      <c r="BU567" s="227"/>
      <c r="BV567" s="227"/>
      <c r="BW567" s="227"/>
      <c r="BX567" s="227"/>
      <c r="BY567" s="227"/>
      <c r="BZ567" s="227"/>
      <c r="CA567" s="227"/>
      <c r="CB567" s="227"/>
      <c r="CC567" s="227"/>
      <c r="CD567" s="227"/>
      <c r="CE567" s="227"/>
      <c r="CF567" s="227"/>
      <c r="CG567" s="227"/>
      <c r="CH567" s="227"/>
      <c r="CI567" s="227"/>
      <c r="CJ567" s="227"/>
      <c r="CK567" s="227"/>
      <c r="CL567" s="227"/>
      <c r="CM567" s="227"/>
      <c r="CN567" s="227"/>
      <c r="CO567" s="227"/>
      <c r="CP567" s="227"/>
      <c r="CQ567" s="227"/>
      <c r="CR567" s="227"/>
      <c r="CS567" s="227"/>
      <c r="CT567" s="227"/>
      <c r="CU567" s="225"/>
      <c r="CV567" s="227"/>
    </row>
    <row r="568" spans="1:100" ht="20.100000000000001" customHeight="1">
      <c r="A568" s="223"/>
      <c r="B568" s="225"/>
      <c r="C568" s="227"/>
      <c r="D568" s="224"/>
      <c r="E568" s="227"/>
      <c r="F568" s="227"/>
      <c r="G568" s="227"/>
      <c r="H568" s="227"/>
      <c r="I568" s="227"/>
      <c r="J568" s="227"/>
      <c r="K568" s="227"/>
      <c r="L568" s="227"/>
      <c r="M568" s="227"/>
      <c r="N568" s="227"/>
      <c r="O568" s="227"/>
      <c r="P568" s="227"/>
      <c r="Q568" s="227"/>
      <c r="R568" s="227"/>
      <c r="S568" s="227"/>
      <c r="T568" s="227"/>
      <c r="U568" s="227"/>
      <c r="V568" s="227"/>
      <c r="W568" s="227"/>
      <c r="X568" s="227"/>
      <c r="Y568" s="227"/>
      <c r="Z568" s="227"/>
      <c r="AA568" s="227"/>
      <c r="AB568" s="227"/>
      <c r="AC568" s="227"/>
      <c r="AD568" s="227"/>
      <c r="AE568" s="227"/>
      <c r="AF568" s="227"/>
      <c r="AG568" s="227"/>
      <c r="AH568" s="227"/>
      <c r="AI568" s="227"/>
      <c r="AJ568" s="227"/>
      <c r="AK568" s="227"/>
      <c r="AL568" s="227"/>
      <c r="AM568" s="227"/>
      <c r="AN568" s="227"/>
      <c r="AO568" s="227"/>
      <c r="AP568" s="227"/>
      <c r="AQ568" s="227"/>
      <c r="AR568" s="227"/>
      <c r="AS568" s="227"/>
      <c r="AT568" s="227"/>
      <c r="AU568" s="227"/>
      <c r="AV568" s="227"/>
      <c r="AW568" s="227"/>
      <c r="AX568" s="227"/>
      <c r="AY568" s="227"/>
      <c r="AZ568" s="227"/>
      <c r="BA568" s="227"/>
      <c r="BB568" s="227"/>
      <c r="BC568" s="227"/>
      <c r="BD568" s="227"/>
      <c r="BE568" s="227"/>
      <c r="BF568" s="227"/>
      <c r="BG568" s="227"/>
      <c r="BH568" s="227"/>
      <c r="BI568" s="227"/>
      <c r="BJ568" s="227"/>
      <c r="BK568" s="227"/>
      <c r="BL568" s="227"/>
      <c r="BM568" s="227"/>
      <c r="BN568" s="227"/>
      <c r="BO568" s="227"/>
      <c r="BP568" s="227"/>
      <c r="BQ568" s="227"/>
      <c r="BR568" s="227"/>
      <c r="BS568" s="227"/>
      <c r="BT568" s="227"/>
      <c r="BU568" s="227"/>
      <c r="BV568" s="227"/>
      <c r="BW568" s="227"/>
      <c r="BX568" s="227"/>
      <c r="BY568" s="227"/>
      <c r="BZ568" s="227"/>
      <c r="CA568" s="227"/>
      <c r="CB568" s="227"/>
      <c r="CC568" s="227"/>
      <c r="CD568" s="227"/>
      <c r="CE568" s="227"/>
      <c r="CF568" s="227"/>
      <c r="CG568" s="227"/>
      <c r="CH568" s="227"/>
      <c r="CI568" s="227"/>
      <c r="CJ568" s="227"/>
      <c r="CK568" s="227"/>
      <c r="CL568" s="227"/>
      <c r="CM568" s="227"/>
      <c r="CN568" s="227"/>
      <c r="CO568" s="227"/>
      <c r="CP568" s="227"/>
      <c r="CQ568" s="227"/>
      <c r="CR568" s="227"/>
      <c r="CS568" s="227"/>
      <c r="CT568" s="227"/>
      <c r="CU568" s="225"/>
      <c r="CV568" s="227"/>
    </row>
    <row r="569" spans="1:100" ht="20.100000000000001" customHeight="1">
      <c r="A569" s="227">
        <v>281</v>
      </c>
      <c r="B569" s="225"/>
      <c r="C569" s="227"/>
      <c r="D569" s="228">
        <f>(SUMPRODUCT(E569:CU569*$E$6:$CU$6)/100)+(SUMPRODUCT(E569:CU569*$E$6:$CU$6*$E$3:$CU$3)/100)</f>
        <v>0</v>
      </c>
      <c r="E569" s="227"/>
      <c r="F569" s="227"/>
      <c r="G569" s="227"/>
      <c r="H569" s="227"/>
      <c r="I569" s="227"/>
      <c r="J569" s="227"/>
      <c r="K569" s="227"/>
      <c r="L569" s="227"/>
      <c r="M569" s="227"/>
      <c r="N569" s="227"/>
      <c r="O569" s="227"/>
      <c r="P569" s="227"/>
      <c r="Q569" s="227"/>
      <c r="R569" s="227"/>
      <c r="S569" s="227"/>
      <c r="T569" s="227"/>
      <c r="U569" s="227"/>
      <c r="V569" s="227"/>
      <c r="W569" s="227"/>
      <c r="X569" s="227"/>
      <c r="Y569" s="227"/>
      <c r="Z569" s="227"/>
      <c r="AA569" s="227"/>
      <c r="AB569" s="227"/>
      <c r="AC569" s="227"/>
      <c r="AD569" s="227"/>
      <c r="AE569" s="227"/>
      <c r="AF569" s="227"/>
      <c r="AG569" s="227"/>
      <c r="AH569" s="227"/>
      <c r="AI569" s="227"/>
      <c r="AJ569" s="227"/>
      <c r="AK569" s="227"/>
      <c r="AL569" s="227"/>
      <c r="AM569" s="227"/>
      <c r="AN569" s="227"/>
      <c r="AO569" s="227"/>
      <c r="AP569" s="227"/>
      <c r="AQ569" s="227"/>
      <c r="AR569" s="227"/>
      <c r="AS569" s="227"/>
      <c r="AT569" s="227"/>
      <c r="AU569" s="227"/>
      <c r="AV569" s="227"/>
      <c r="AW569" s="227"/>
      <c r="AX569" s="227"/>
      <c r="AY569" s="227"/>
      <c r="AZ569" s="227"/>
      <c r="BA569" s="227"/>
      <c r="BB569" s="227"/>
      <c r="BC569" s="227"/>
      <c r="BD569" s="227"/>
      <c r="BE569" s="227"/>
      <c r="BF569" s="227"/>
      <c r="BG569" s="227"/>
      <c r="BH569" s="227"/>
      <c r="BI569" s="227"/>
      <c r="BJ569" s="227"/>
      <c r="BK569" s="227"/>
      <c r="BL569" s="227"/>
      <c r="BM569" s="227"/>
      <c r="BN569" s="227"/>
      <c r="BO569" s="227"/>
      <c r="BP569" s="227"/>
      <c r="BQ569" s="227"/>
      <c r="BR569" s="227"/>
      <c r="BS569" s="227"/>
      <c r="BT569" s="227"/>
      <c r="BU569" s="227"/>
      <c r="BV569" s="227"/>
      <c r="BW569" s="227"/>
      <c r="BX569" s="227"/>
      <c r="BY569" s="227"/>
      <c r="BZ569" s="227"/>
      <c r="CA569" s="227"/>
      <c r="CB569" s="227"/>
      <c r="CC569" s="227"/>
      <c r="CD569" s="227"/>
      <c r="CE569" s="227"/>
      <c r="CF569" s="227"/>
      <c r="CG569" s="227"/>
      <c r="CH569" s="227"/>
      <c r="CI569" s="227"/>
      <c r="CJ569" s="227"/>
      <c r="CK569" s="227"/>
      <c r="CL569" s="227"/>
      <c r="CM569" s="227"/>
      <c r="CN569" s="227"/>
      <c r="CO569" s="227"/>
      <c r="CP569" s="227"/>
      <c r="CQ569" s="227"/>
      <c r="CR569" s="227"/>
      <c r="CS569" s="227"/>
      <c r="CT569" s="227"/>
      <c r="CU569" s="225"/>
      <c r="CV569" s="227"/>
    </row>
    <row r="570" spans="1:100" ht="20.100000000000001" customHeight="1">
      <c r="A570" s="227"/>
      <c r="B570" s="225"/>
      <c r="C570" s="227"/>
      <c r="D570" s="224"/>
      <c r="E570" s="227"/>
      <c r="F570" s="227"/>
      <c r="G570" s="227"/>
      <c r="H570" s="227"/>
      <c r="I570" s="227"/>
      <c r="J570" s="227"/>
      <c r="K570" s="227"/>
      <c r="L570" s="227"/>
      <c r="M570" s="227"/>
      <c r="N570" s="227"/>
      <c r="O570" s="227"/>
      <c r="P570" s="227"/>
      <c r="Q570" s="227"/>
      <c r="R570" s="227"/>
      <c r="S570" s="227"/>
      <c r="T570" s="227"/>
      <c r="U570" s="227"/>
      <c r="V570" s="227"/>
      <c r="W570" s="227"/>
      <c r="X570" s="227"/>
      <c r="Y570" s="227"/>
      <c r="Z570" s="227"/>
      <c r="AA570" s="227"/>
      <c r="AB570" s="227"/>
      <c r="AC570" s="227"/>
      <c r="AD570" s="227"/>
      <c r="AE570" s="227"/>
      <c r="AF570" s="227"/>
      <c r="AG570" s="227"/>
      <c r="AH570" s="227"/>
      <c r="AI570" s="227"/>
      <c r="AJ570" s="227"/>
      <c r="AK570" s="227"/>
      <c r="AL570" s="227"/>
      <c r="AM570" s="227"/>
      <c r="AN570" s="227"/>
      <c r="AO570" s="227"/>
      <c r="AP570" s="227"/>
      <c r="AQ570" s="227"/>
      <c r="AR570" s="227"/>
      <c r="AS570" s="227"/>
      <c r="AT570" s="227"/>
      <c r="AU570" s="227"/>
      <c r="AV570" s="227"/>
      <c r="AW570" s="227"/>
      <c r="AX570" s="227"/>
      <c r="AY570" s="227"/>
      <c r="AZ570" s="227"/>
      <c r="BA570" s="227"/>
      <c r="BB570" s="227"/>
      <c r="BC570" s="227"/>
      <c r="BD570" s="227"/>
      <c r="BE570" s="227"/>
      <c r="BF570" s="227"/>
      <c r="BG570" s="227"/>
      <c r="BH570" s="227"/>
      <c r="BI570" s="227"/>
      <c r="BJ570" s="227"/>
      <c r="BK570" s="227"/>
      <c r="BL570" s="227"/>
      <c r="BM570" s="227"/>
      <c r="BN570" s="227"/>
      <c r="BO570" s="227"/>
      <c r="BP570" s="227"/>
      <c r="BQ570" s="227"/>
      <c r="BR570" s="227"/>
      <c r="BS570" s="227"/>
      <c r="BT570" s="227"/>
      <c r="BU570" s="227"/>
      <c r="BV570" s="227"/>
      <c r="BW570" s="227"/>
      <c r="BX570" s="227"/>
      <c r="BY570" s="227"/>
      <c r="BZ570" s="227"/>
      <c r="CA570" s="227"/>
      <c r="CB570" s="227"/>
      <c r="CC570" s="227"/>
      <c r="CD570" s="227"/>
      <c r="CE570" s="227"/>
      <c r="CF570" s="227"/>
      <c r="CG570" s="227"/>
      <c r="CH570" s="227"/>
      <c r="CI570" s="227"/>
      <c r="CJ570" s="227"/>
      <c r="CK570" s="227"/>
      <c r="CL570" s="227"/>
      <c r="CM570" s="227"/>
      <c r="CN570" s="227"/>
      <c r="CO570" s="227"/>
      <c r="CP570" s="227"/>
      <c r="CQ570" s="227"/>
      <c r="CR570" s="227"/>
      <c r="CS570" s="227"/>
      <c r="CT570" s="227"/>
      <c r="CU570" s="225"/>
      <c r="CV570" s="227"/>
    </row>
    <row r="571" spans="1:100" ht="20.100000000000001" customHeight="1">
      <c r="A571" s="227">
        <v>282</v>
      </c>
      <c r="B571" s="225"/>
      <c r="C571" s="227"/>
      <c r="D571" s="228">
        <f>(SUMPRODUCT(E571:CU571*$E$6:$CU$6)/100)+(SUMPRODUCT(E571:CU571*$E$6:$CU$6*$E$3:$CU$3)/100)</f>
        <v>0</v>
      </c>
      <c r="E571" s="227"/>
      <c r="F571" s="227"/>
      <c r="G571" s="227"/>
      <c r="H571" s="227"/>
      <c r="I571" s="227"/>
      <c r="J571" s="227"/>
      <c r="K571" s="227"/>
      <c r="L571" s="227"/>
      <c r="M571" s="227"/>
      <c r="N571" s="227"/>
      <c r="O571" s="227"/>
      <c r="P571" s="227"/>
      <c r="Q571" s="227"/>
      <c r="R571" s="227"/>
      <c r="S571" s="227"/>
      <c r="T571" s="227"/>
      <c r="U571" s="227"/>
      <c r="V571" s="227"/>
      <c r="W571" s="227"/>
      <c r="X571" s="227"/>
      <c r="Y571" s="227"/>
      <c r="Z571" s="227"/>
      <c r="AA571" s="227"/>
      <c r="AB571" s="227"/>
      <c r="AC571" s="227"/>
      <c r="AD571" s="227"/>
      <c r="AE571" s="227"/>
      <c r="AF571" s="227"/>
      <c r="AG571" s="227"/>
      <c r="AH571" s="227"/>
      <c r="AI571" s="227"/>
      <c r="AJ571" s="227"/>
      <c r="AK571" s="227"/>
      <c r="AL571" s="227"/>
      <c r="AM571" s="227"/>
      <c r="AN571" s="227"/>
      <c r="AO571" s="227"/>
      <c r="AP571" s="227"/>
      <c r="AQ571" s="227"/>
      <c r="AR571" s="227"/>
      <c r="AS571" s="227"/>
      <c r="AT571" s="227"/>
      <c r="AU571" s="227"/>
      <c r="AV571" s="227"/>
      <c r="AW571" s="227"/>
      <c r="AX571" s="227"/>
      <c r="AY571" s="227"/>
      <c r="AZ571" s="227"/>
      <c r="BA571" s="227"/>
      <c r="BB571" s="227"/>
      <c r="BC571" s="227"/>
      <c r="BD571" s="227"/>
      <c r="BE571" s="227"/>
      <c r="BF571" s="227"/>
      <c r="BG571" s="227"/>
      <c r="BH571" s="227"/>
      <c r="BI571" s="227"/>
      <c r="BJ571" s="227"/>
      <c r="BK571" s="227"/>
      <c r="BL571" s="227"/>
      <c r="BM571" s="227"/>
      <c r="BN571" s="227"/>
      <c r="BO571" s="227"/>
      <c r="BP571" s="227"/>
      <c r="BQ571" s="227"/>
      <c r="BR571" s="227"/>
      <c r="BS571" s="227"/>
      <c r="BT571" s="227"/>
      <c r="BU571" s="227"/>
      <c r="BV571" s="227"/>
      <c r="BW571" s="227"/>
      <c r="BX571" s="227"/>
      <c r="BY571" s="227"/>
      <c r="BZ571" s="227"/>
      <c r="CA571" s="227"/>
      <c r="CB571" s="227"/>
      <c r="CC571" s="227"/>
      <c r="CD571" s="227"/>
      <c r="CE571" s="227"/>
      <c r="CF571" s="227"/>
      <c r="CG571" s="227"/>
      <c r="CH571" s="227"/>
      <c r="CI571" s="227"/>
      <c r="CJ571" s="227"/>
      <c r="CK571" s="227"/>
      <c r="CL571" s="227"/>
      <c r="CM571" s="227"/>
      <c r="CN571" s="227"/>
      <c r="CO571" s="227"/>
      <c r="CP571" s="227"/>
      <c r="CQ571" s="227"/>
      <c r="CR571" s="227"/>
      <c r="CS571" s="227"/>
      <c r="CT571" s="227"/>
      <c r="CU571" s="225"/>
      <c r="CV571" s="227"/>
    </row>
    <row r="572" spans="1:100" ht="20.100000000000001" customHeight="1">
      <c r="A572" s="223"/>
      <c r="B572" s="225"/>
      <c r="C572" s="227"/>
      <c r="D572" s="224"/>
      <c r="E572" s="227"/>
      <c r="F572" s="227"/>
      <c r="G572" s="227"/>
      <c r="H572" s="227"/>
      <c r="I572" s="227"/>
      <c r="J572" s="227"/>
      <c r="K572" s="227"/>
      <c r="L572" s="227"/>
      <c r="M572" s="227"/>
      <c r="N572" s="227"/>
      <c r="O572" s="227"/>
      <c r="P572" s="227"/>
      <c r="Q572" s="227"/>
      <c r="R572" s="227"/>
      <c r="S572" s="227"/>
      <c r="T572" s="227"/>
      <c r="U572" s="227"/>
      <c r="V572" s="227"/>
      <c r="W572" s="227"/>
      <c r="X572" s="227"/>
      <c r="Y572" s="227"/>
      <c r="Z572" s="227"/>
      <c r="AA572" s="227"/>
      <c r="AB572" s="227"/>
      <c r="AC572" s="227"/>
      <c r="AD572" s="227"/>
      <c r="AE572" s="227"/>
      <c r="AF572" s="227"/>
      <c r="AG572" s="227"/>
      <c r="AH572" s="227"/>
      <c r="AI572" s="227"/>
      <c r="AJ572" s="227"/>
      <c r="AK572" s="227"/>
      <c r="AL572" s="227"/>
      <c r="AM572" s="227"/>
      <c r="AN572" s="227"/>
      <c r="AO572" s="227"/>
      <c r="AP572" s="227"/>
      <c r="AQ572" s="227"/>
      <c r="AR572" s="227"/>
      <c r="AS572" s="227"/>
      <c r="AT572" s="227"/>
      <c r="AU572" s="227"/>
      <c r="AV572" s="227"/>
      <c r="AW572" s="227"/>
      <c r="AX572" s="227"/>
      <c r="AY572" s="227"/>
      <c r="AZ572" s="227"/>
      <c r="BA572" s="227"/>
      <c r="BB572" s="227"/>
      <c r="BC572" s="227"/>
      <c r="BD572" s="227"/>
      <c r="BE572" s="227"/>
      <c r="BF572" s="227"/>
      <c r="BG572" s="227"/>
      <c r="BH572" s="227"/>
      <c r="BI572" s="227"/>
      <c r="BJ572" s="227"/>
      <c r="BK572" s="227"/>
      <c r="BL572" s="227"/>
      <c r="BM572" s="227"/>
      <c r="BN572" s="227"/>
      <c r="BO572" s="227"/>
      <c r="BP572" s="227"/>
      <c r="BQ572" s="227"/>
      <c r="BR572" s="227"/>
      <c r="BS572" s="227"/>
      <c r="BT572" s="227"/>
      <c r="BU572" s="227"/>
      <c r="BV572" s="227"/>
      <c r="BW572" s="227"/>
      <c r="BX572" s="227"/>
      <c r="BY572" s="227"/>
      <c r="BZ572" s="227"/>
      <c r="CA572" s="227"/>
      <c r="CB572" s="227"/>
      <c r="CC572" s="227"/>
      <c r="CD572" s="227"/>
      <c r="CE572" s="227"/>
      <c r="CF572" s="227"/>
      <c r="CG572" s="227"/>
      <c r="CH572" s="227"/>
      <c r="CI572" s="227"/>
      <c r="CJ572" s="227"/>
      <c r="CK572" s="227"/>
      <c r="CL572" s="227"/>
      <c r="CM572" s="227"/>
      <c r="CN572" s="227"/>
      <c r="CO572" s="227"/>
      <c r="CP572" s="227"/>
      <c r="CQ572" s="227"/>
      <c r="CR572" s="227"/>
      <c r="CS572" s="227"/>
      <c r="CT572" s="227"/>
      <c r="CU572" s="225"/>
      <c r="CV572" s="227"/>
    </row>
    <row r="573" spans="1:100" ht="20.100000000000001" customHeight="1">
      <c r="A573" s="227">
        <v>283</v>
      </c>
      <c r="B573" s="225"/>
      <c r="C573" s="227"/>
      <c r="D573" s="228">
        <f>(SUMPRODUCT(E573:CU573*$E$6:$CU$6)/100)+(SUMPRODUCT(E573:CU573*$E$6:$CU$6*$E$3:$CU$3)/100)</f>
        <v>0</v>
      </c>
      <c r="E573" s="227"/>
      <c r="F573" s="227"/>
      <c r="G573" s="227"/>
      <c r="H573" s="227"/>
      <c r="I573" s="227"/>
      <c r="J573" s="227"/>
      <c r="K573" s="227"/>
      <c r="L573" s="227"/>
      <c r="M573" s="227"/>
      <c r="N573" s="227"/>
      <c r="O573" s="227"/>
      <c r="P573" s="227"/>
      <c r="Q573" s="227"/>
      <c r="R573" s="227"/>
      <c r="S573" s="227"/>
      <c r="T573" s="227"/>
      <c r="U573" s="227"/>
      <c r="V573" s="227"/>
      <c r="W573" s="227"/>
      <c r="X573" s="227"/>
      <c r="Y573" s="227"/>
      <c r="Z573" s="227"/>
      <c r="AA573" s="227"/>
      <c r="AB573" s="227"/>
      <c r="AC573" s="227"/>
      <c r="AD573" s="227"/>
      <c r="AE573" s="227"/>
      <c r="AF573" s="227"/>
      <c r="AG573" s="227"/>
      <c r="AH573" s="227"/>
      <c r="AI573" s="227"/>
      <c r="AJ573" s="227"/>
      <c r="AK573" s="227"/>
      <c r="AL573" s="227"/>
      <c r="AM573" s="227"/>
      <c r="AN573" s="227"/>
      <c r="AO573" s="227"/>
      <c r="AP573" s="227"/>
      <c r="AQ573" s="227"/>
      <c r="AR573" s="227"/>
      <c r="AS573" s="227"/>
      <c r="AT573" s="227"/>
      <c r="AU573" s="227"/>
      <c r="AV573" s="227"/>
      <c r="AW573" s="227"/>
      <c r="AX573" s="227"/>
      <c r="AY573" s="227"/>
      <c r="AZ573" s="227"/>
      <c r="BA573" s="227"/>
      <c r="BB573" s="227"/>
      <c r="BC573" s="227"/>
      <c r="BD573" s="227"/>
      <c r="BE573" s="227"/>
      <c r="BF573" s="227"/>
      <c r="BG573" s="227"/>
      <c r="BH573" s="227"/>
      <c r="BI573" s="227"/>
      <c r="BJ573" s="227"/>
      <c r="BK573" s="227"/>
      <c r="BL573" s="227"/>
      <c r="BM573" s="227"/>
      <c r="BN573" s="227"/>
      <c r="BO573" s="227"/>
      <c r="BP573" s="227"/>
      <c r="BQ573" s="227"/>
      <c r="BR573" s="227"/>
      <c r="BS573" s="227"/>
      <c r="BT573" s="227"/>
      <c r="BU573" s="227"/>
      <c r="BV573" s="227"/>
      <c r="BW573" s="227"/>
      <c r="BX573" s="227"/>
      <c r="BY573" s="227"/>
      <c r="BZ573" s="227"/>
      <c r="CA573" s="227"/>
      <c r="CB573" s="227"/>
      <c r="CC573" s="227"/>
      <c r="CD573" s="227"/>
      <c r="CE573" s="227"/>
      <c r="CF573" s="227"/>
      <c r="CG573" s="227"/>
      <c r="CH573" s="227"/>
      <c r="CI573" s="227"/>
      <c r="CJ573" s="227"/>
      <c r="CK573" s="227"/>
      <c r="CL573" s="227"/>
      <c r="CM573" s="227"/>
      <c r="CN573" s="227"/>
      <c r="CO573" s="227"/>
      <c r="CP573" s="227"/>
      <c r="CQ573" s="227"/>
      <c r="CR573" s="227"/>
      <c r="CS573" s="227"/>
      <c r="CT573" s="227"/>
      <c r="CU573" s="225"/>
      <c r="CV573" s="227"/>
    </row>
    <row r="574" spans="1:100" ht="20.100000000000001" customHeight="1">
      <c r="A574" s="227"/>
      <c r="B574" s="225"/>
      <c r="C574" s="227"/>
      <c r="D574" s="224"/>
      <c r="E574" s="227"/>
      <c r="F574" s="227"/>
      <c r="G574" s="227"/>
      <c r="H574" s="227"/>
      <c r="I574" s="227"/>
      <c r="J574" s="227"/>
      <c r="K574" s="227"/>
      <c r="L574" s="227"/>
      <c r="M574" s="227"/>
      <c r="N574" s="227"/>
      <c r="O574" s="227"/>
      <c r="P574" s="227"/>
      <c r="Q574" s="227"/>
      <c r="R574" s="227"/>
      <c r="S574" s="227"/>
      <c r="T574" s="227"/>
      <c r="U574" s="227"/>
      <c r="V574" s="227"/>
      <c r="W574" s="227"/>
      <c r="X574" s="227"/>
      <c r="Y574" s="227"/>
      <c r="Z574" s="227"/>
      <c r="AA574" s="227"/>
      <c r="AB574" s="227"/>
      <c r="AC574" s="227"/>
      <c r="AD574" s="227"/>
      <c r="AE574" s="227"/>
      <c r="AF574" s="227"/>
      <c r="AG574" s="227"/>
      <c r="AH574" s="227"/>
      <c r="AI574" s="227"/>
      <c r="AJ574" s="227"/>
      <c r="AK574" s="227"/>
      <c r="AL574" s="227"/>
      <c r="AM574" s="227"/>
      <c r="AN574" s="227"/>
      <c r="AO574" s="227"/>
      <c r="AP574" s="227"/>
      <c r="AQ574" s="227"/>
      <c r="AR574" s="227"/>
      <c r="AS574" s="227"/>
      <c r="AT574" s="227"/>
      <c r="AU574" s="227"/>
      <c r="AV574" s="227"/>
      <c r="AW574" s="227"/>
      <c r="AX574" s="227"/>
      <c r="AY574" s="227"/>
      <c r="AZ574" s="227"/>
      <c r="BA574" s="227"/>
      <c r="BB574" s="227"/>
      <c r="BC574" s="227"/>
      <c r="BD574" s="227"/>
      <c r="BE574" s="227"/>
      <c r="BF574" s="227"/>
      <c r="BG574" s="227"/>
      <c r="BH574" s="227"/>
      <c r="BI574" s="227"/>
      <c r="BJ574" s="227"/>
      <c r="BK574" s="227"/>
      <c r="BL574" s="227"/>
      <c r="BM574" s="227"/>
      <c r="BN574" s="227"/>
      <c r="BO574" s="227"/>
      <c r="BP574" s="227"/>
      <c r="BQ574" s="227"/>
      <c r="BR574" s="227"/>
      <c r="BS574" s="227"/>
      <c r="BT574" s="227"/>
      <c r="BU574" s="227"/>
      <c r="BV574" s="227"/>
      <c r="BW574" s="227"/>
      <c r="BX574" s="227"/>
      <c r="BY574" s="227"/>
      <c r="BZ574" s="227"/>
      <c r="CA574" s="227"/>
      <c r="CB574" s="227"/>
      <c r="CC574" s="227"/>
      <c r="CD574" s="227"/>
      <c r="CE574" s="227"/>
      <c r="CF574" s="227"/>
      <c r="CG574" s="227"/>
      <c r="CH574" s="227"/>
      <c r="CI574" s="227"/>
      <c r="CJ574" s="227"/>
      <c r="CK574" s="227"/>
      <c r="CL574" s="227"/>
      <c r="CM574" s="227"/>
      <c r="CN574" s="227"/>
      <c r="CO574" s="227"/>
      <c r="CP574" s="227"/>
      <c r="CQ574" s="227"/>
      <c r="CR574" s="227"/>
      <c r="CS574" s="227"/>
      <c r="CT574" s="227"/>
      <c r="CU574" s="225"/>
      <c r="CV574" s="227"/>
    </row>
    <row r="575" spans="1:100" ht="20.100000000000001" customHeight="1">
      <c r="A575" s="227">
        <v>284</v>
      </c>
      <c r="B575" s="225"/>
      <c r="C575" s="227"/>
      <c r="D575" s="228">
        <f>(SUMPRODUCT(E575:CU575*$E$6:$CU$6)/100)+(SUMPRODUCT(E575:CU575*$E$6:$CU$6*$E$3:$CU$3)/100)</f>
        <v>0</v>
      </c>
      <c r="E575" s="227"/>
      <c r="F575" s="227"/>
      <c r="G575" s="227"/>
      <c r="H575" s="227"/>
      <c r="I575" s="227"/>
      <c r="J575" s="227"/>
      <c r="K575" s="227"/>
      <c r="L575" s="227"/>
      <c r="M575" s="227"/>
      <c r="N575" s="227"/>
      <c r="O575" s="227"/>
      <c r="P575" s="227"/>
      <c r="Q575" s="227"/>
      <c r="R575" s="227"/>
      <c r="S575" s="227"/>
      <c r="T575" s="227"/>
      <c r="U575" s="227"/>
      <c r="V575" s="227"/>
      <c r="W575" s="227"/>
      <c r="X575" s="227"/>
      <c r="Y575" s="227"/>
      <c r="Z575" s="227"/>
      <c r="AA575" s="227"/>
      <c r="AB575" s="227"/>
      <c r="AC575" s="227"/>
      <c r="AD575" s="227"/>
      <c r="AE575" s="227"/>
      <c r="AF575" s="227"/>
      <c r="AG575" s="227"/>
      <c r="AH575" s="227"/>
      <c r="AI575" s="227"/>
      <c r="AJ575" s="227"/>
      <c r="AK575" s="227"/>
      <c r="AL575" s="227"/>
      <c r="AM575" s="227"/>
      <c r="AN575" s="227"/>
      <c r="AO575" s="227"/>
      <c r="AP575" s="227"/>
      <c r="AQ575" s="227"/>
      <c r="AR575" s="227"/>
      <c r="AS575" s="227"/>
      <c r="AT575" s="227"/>
      <c r="AU575" s="227"/>
      <c r="AV575" s="227"/>
      <c r="AW575" s="227"/>
      <c r="AX575" s="227"/>
      <c r="AY575" s="227"/>
      <c r="AZ575" s="227"/>
      <c r="BA575" s="227"/>
      <c r="BB575" s="227"/>
      <c r="BC575" s="227"/>
      <c r="BD575" s="227"/>
      <c r="BE575" s="227"/>
      <c r="BF575" s="227"/>
      <c r="BG575" s="227"/>
      <c r="BH575" s="227"/>
      <c r="BI575" s="227"/>
      <c r="BJ575" s="227"/>
      <c r="BK575" s="227"/>
      <c r="BL575" s="227"/>
      <c r="BM575" s="227"/>
      <c r="BN575" s="227"/>
      <c r="BO575" s="227"/>
      <c r="BP575" s="227"/>
      <c r="BQ575" s="227"/>
      <c r="BR575" s="227"/>
      <c r="BS575" s="227"/>
      <c r="BT575" s="227"/>
      <c r="BU575" s="227"/>
      <c r="BV575" s="227"/>
      <c r="BW575" s="227"/>
      <c r="BX575" s="227"/>
      <c r="BY575" s="227"/>
      <c r="BZ575" s="227"/>
      <c r="CA575" s="227"/>
      <c r="CB575" s="227"/>
      <c r="CC575" s="227"/>
      <c r="CD575" s="227"/>
      <c r="CE575" s="227"/>
      <c r="CF575" s="227"/>
      <c r="CG575" s="227"/>
      <c r="CH575" s="227"/>
      <c r="CI575" s="227"/>
      <c r="CJ575" s="227"/>
      <c r="CK575" s="227"/>
      <c r="CL575" s="227"/>
      <c r="CM575" s="227"/>
      <c r="CN575" s="227"/>
      <c r="CO575" s="227"/>
      <c r="CP575" s="227"/>
      <c r="CQ575" s="227"/>
      <c r="CR575" s="227"/>
      <c r="CS575" s="227"/>
      <c r="CT575" s="227"/>
      <c r="CU575" s="225"/>
      <c r="CV575" s="227"/>
    </row>
    <row r="576" spans="1:100" ht="20.100000000000001" customHeight="1">
      <c r="A576" s="223"/>
      <c r="B576" s="225"/>
      <c r="C576" s="227"/>
      <c r="D576" s="224"/>
      <c r="E576" s="227"/>
      <c r="F576" s="227"/>
      <c r="G576" s="227"/>
      <c r="H576" s="227"/>
      <c r="I576" s="227"/>
      <c r="J576" s="227"/>
      <c r="K576" s="227"/>
      <c r="L576" s="227"/>
      <c r="M576" s="227"/>
      <c r="N576" s="227"/>
      <c r="O576" s="227"/>
      <c r="P576" s="227"/>
      <c r="Q576" s="227"/>
      <c r="R576" s="227"/>
      <c r="S576" s="227"/>
      <c r="T576" s="227"/>
      <c r="U576" s="227"/>
      <c r="V576" s="227"/>
      <c r="W576" s="227"/>
      <c r="X576" s="227"/>
      <c r="Y576" s="227"/>
      <c r="Z576" s="227"/>
      <c r="AA576" s="227"/>
      <c r="AB576" s="227"/>
      <c r="AC576" s="227"/>
      <c r="AD576" s="227"/>
      <c r="AE576" s="227"/>
      <c r="AF576" s="227"/>
      <c r="AG576" s="227"/>
      <c r="AH576" s="227"/>
      <c r="AI576" s="227"/>
      <c r="AJ576" s="227"/>
      <c r="AK576" s="227"/>
      <c r="AL576" s="227"/>
      <c r="AM576" s="227"/>
      <c r="AN576" s="227"/>
      <c r="AO576" s="227"/>
      <c r="AP576" s="227"/>
      <c r="AQ576" s="227"/>
      <c r="AR576" s="227"/>
      <c r="AS576" s="227"/>
      <c r="AT576" s="227"/>
      <c r="AU576" s="227"/>
      <c r="AV576" s="227"/>
      <c r="AW576" s="227"/>
      <c r="AX576" s="227"/>
      <c r="AY576" s="227"/>
      <c r="AZ576" s="227"/>
      <c r="BA576" s="227"/>
      <c r="BB576" s="227"/>
      <c r="BC576" s="227"/>
      <c r="BD576" s="227"/>
      <c r="BE576" s="227"/>
      <c r="BF576" s="227"/>
      <c r="BG576" s="227"/>
      <c r="BH576" s="227"/>
      <c r="BI576" s="227"/>
      <c r="BJ576" s="227"/>
      <c r="BK576" s="227"/>
      <c r="BL576" s="227"/>
      <c r="BM576" s="227"/>
      <c r="BN576" s="227"/>
      <c r="BO576" s="227"/>
      <c r="BP576" s="227"/>
      <c r="BQ576" s="227"/>
      <c r="BR576" s="227"/>
      <c r="BS576" s="227"/>
      <c r="BT576" s="227"/>
      <c r="BU576" s="227"/>
      <c r="BV576" s="227"/>
      <c r="BW576" s="227"/>
      <c r="BX576" s="227"/>
      <c r="BY576" s="227"/>
      <c r="BZ576" s="227"/>
      <c r="CA576" s="227"/>
      <c r="CB576" s="227"/>
      <c r="CC576" s="227"/>
      <c r="CD576" s="227"/>
      <c r="CE576" s="227"/>
      <c r="CF576" s="227"/>
      <c r="CG576" s="227"/>
      <c r="CH576" s="227"/>
      <c r="CI576" s="227"/>
      <c r="CJ576" s="227"/>
      <c r="CK576" s="227"/>
      <c r="CL576" s="227"/>
      <c r="CM576" s="227"/>
      <c r="CN576" s="227"/>
      <c r="CO576" s="227"/>
      <c r="CP576" s="227"/>
      <c r="CQ576" s="227"/>
      <c r="CR576" s="227"/>
      <c r="CS576" s="227"/>
      <c r="CT576" s="227"/>
      <c r="CU576" s="225"/>
      <c r="CV576" s="227"/>
    </row>
    <row r="577" spans="1:100" ht="20.100000000000001" customHeight="1">
      <c r="A577" s="227">
        <v>285</v>
      </c>
      <c r="B577" s="225"/>
      <c r="C577" s="227"/>
      <c r="D577" s="228">
        <f>(SUMPRODUCT(E577:CU577*$E$6:$CU$6)/100)+(SUMPRODUCT(E577:CU577*$E$6:$CU$6*$E$3:$CU$3)/100)</f>
        <v>0</v>
      </c>
      <c r="E577" s="227"/>
      <c r="F577" s="227"/>
      <c r="G577" s="227"/>
      <c r="H577" s="227"/>
      <c r="I577" s="227"/>
      <c r="J577" s="227"/>
      <c r="K577" s="227"/>
      <c r="L577" s="227"/>
      <c r="M577" s="227"/>
      <c r="N577" s="227"/>
      <c r="O577" s="227"/>
      <c r="P577" s="227"/>
      <c r="Q577" s="227"/>
      <c r="R577" s="227"/>
      <c r="S577" s="227"/>
      <c r="T577" s="227"/>
      <c r="U577" s="227"/>
      <c r="V577" s="227"/>
      <c r="W577" s="227"/>
      <c r="X577" s="227"/>
      <c r="Y577" s="227"/>
      <c r="Z577" s="227"/>
      <c r="AA577" s="227"/>
      <c r="AB577" s="227"/>
      <c r="AC577" s="227"/>
      <c r="AD577" s="227"/>
      <c r="AE577" s="227"/>
      <c r="AF577" s="227"/>
      <c r="AG577" s="227"/>
      <c r="AH577" s="227"/>
      <c r="AI577" s="227"/>
      <c r="AJ577" s="227"/>
      <c r="AK577" s="227"/>
      <c r="AL577" s="227"/>
      <c r="AM577" s="227"/>
      <c r="AN577" s="227"/>
      <c r="AO577" s="227"/>
      <c r="AP577" s="227"/>
      <c r="AQ577" s="227"/>
      <c r="AR577" s="227"/>
      <c r="AS577" s="227"/>
      <c r="AT577" s="227"/>
      <c r="AU577" s="227"/>
      <c r="AV577" s="227"/>
      <c r="AW577" s="227"/>
      <c r="AX577" s="227"/>
      <c r="AY577" s="227"/>
      <c r="AZ577" s="227"/>
      <c r="BA577" s="227"/>
      <c r="BB577" s="227"/>
      <c r="BC577" s="227"/>
      <c r="BD577" s="227"/>
      <c r="BE577" s="227"/>
      <c r="BF577" s="227"/>
      <c r="BG577" s="227"/>
      <c r="BH577" s="227"/>
      <c r="BI577" s="227"/>
      <c r="BJ577" s="227"/>
      <c r="BK577" s="227"/>
      <c r="BL577" s="227"/>
      <c r="BM577" s="227"/>
      <c r="BN577" s="227"/>
      <c r="BO577" s="227"/>
      <c r="BP577" s="227"/>
      <c r="BQ577" s="227"/>
      <c r="BR577" s="227"/>
      <c r="BS577" s="227"/>
      <c r="BT577" s="227"/>
      <c r="BU577" s="227"/>
      <c r="BV577" s="227"/>
      <c r="BW577" s="227"/>
      <c r="BX577" s="227"/>
      <c r="BY577" s="227"/>
      <c r="BZ577" s="227"/>
      <c r="CA577" s="227"/>
      <c r="CB577" s="227"/>
      <c r="CC577" s="227"/>
      <c r="CD577" s="227"/>
      <c r="CE577" s="227"/>
      <c r="CF577" s="227"/>
      <c r="CG577" s="227"/>
      <c r="CH577" s="227"/>
      <c r="CI577" s="227"/>
      <c r="CJ577" s="227"/>
      <c r="CK577" s="227"/>
      <c r="CL577" s="227"/>
      <c r="CM577" s="227"/>
      <c r="CN577" s="227"/>
      <c r="CO577" s="227"/>
      <c r="CP577" s="227"/>
      <c r="CQ577" s="227"/>
      <c r="CR577" s="227"/>
      <c r="CS577" s="227"/>
      <c r="CT577" s="227"/>
      <c r="CU577" s="225"/>
      <c r="CV577" s="227"/>
    </row>
    <row r="578" spans="1:100" ht="20.100000000000001" customHeight="1">
      <c r="A578" s="227"/>
      <c r="B578" s="225"/>
      <c r="C578" s="227"/>
      <c r="D578" s="224"/>
      <c r="E578" s="227"/>
      <c r="F578" s="227"/>
      <c r="G578" s="227"/>
      <c r="H578" s="227"/>
      <c r="I578" s="227"/>
      <c r="J578" s="227"/>
      <c r="K578" s="227"/>
      <c r="L578" s="227"/>
      <c r="M578" s="227"/>
      <c r="N578" s="227"/>
      <c r="O578" s="227"/>
      <c r="P578" s="227"/>
      <c r="Q578" s="227"/>
      <c r="R578" s="227"/>
      <c r="S578" s="227"/>
      <c r="T578" s="227"/>
      <c r="U578" s="227"/>
      <c r="V578" s="227"/>
      <c r="W578" s="227"/>
      <c r="X578" s="227"/>
      <c r="Y578" s="227"/>
      <c r="Z578" s="227"/>
      <c r="AA578" s="227"/>
      <c r="AB578" s="227"/>
      <c r="AC578" s="227"/>
      <c r="AD578" s="227"/>
      <c r="AE578" s="227"/>
      <c r="AF578" s="227"/>
      <c r="AG578" s="227"/>
      <c r="AH578" s="227"/>
      <c r="AI578" s="227"/>
      <c r="AJ578" s="227"/>
      <c r="AK578" s="227"/>
      <c r="AL578" s="227"/>
      <c r="AM578" s="227"/>
      <c r="AN578" s="227"/>
      <c r="AO578" s="227"/>
      <c r="AP578" s="227"/>
      <c r="AQ578" s="227"/>
      <c r="AR578" s="227"/>
      <c r="AS578" s="227"/>
      <c r="AT578" s="227"/>
      <c r="AU578" s="227"/>
      <c r="AV578" s="227"/>
      <c r="AW578" s="227"/>
      <c r="AX578" s="227"/>
      <c r="AY578" s="227"/>
      <c r="AZ578" s="227"/>
      <c r="BA578" s="227"/>
      <c r="BB578" s="227"/>
      <c r="BC578" s="227"/>
      <c r="BD578" s="227"/>
      <c r="BE578" s="227"/>
      <c r="BF578" s="227"/>
      <c r="BG578" s="227"/>
      <c r="BH578" s="227"/>
      <c r="BI578" s="227"/>
      <c r="BJ578" s="227"/>
      <c r="BK578" s="227"/>
      <c r="BL578" s="227"/>
      <c r="BM578" s="227"/>
      <c r="BN578" s="227"/>
      <c r="BO578" s="227"/>
      <c r="BP578" s="227"/>
      <c r="BQ578" s="227"/>
      <c r="BR578" s="227"/>
      <c r="BS578" s="227"/>
      <c r="BT578" s="227"/>
      <c r="BU578" s="227"/>
      <c r="BV578" s="227"/>
      <c r="BW578" s="227"/>
      <c r="BX578" s="227"/>
      <c r="BY578" s="227"/>
      <c r="BZ578" s="227"/>
      <c r="CA578" s="227"/>
      <c r="CB578" s="227"/>
      <c r="CC578" s="227"/>
      <c r="CD578" s="227"/>
      <c r="CE578" s="227"/>
      <c r="CF578" s="227"/>
      <c r="CG578" s="227"/>
      <c r="CH578" s="227"/>
      <c r="CI578" s="227"/>
      <c r="CJ578" s="227"/>
      <c r="CK578" s="227"/>
      <c r="CL578" s="227"/>
      <c r="CM578" s="227"/>
      <c r="CN578" s="227"/>
      <c r="CO578" s="227"/>
      <c r="CP578" s="227"/>
      <c r="CQ578" s="227"/>
      <c r="CR578" s="227"/>
      <c r="CS578" s="227"/>
      <c r="CT578" s="227"/>
      <c r="CU578" s="225"/>
      <c r="CV578" s="227"/>
    </row>
    <row r="579" spans="1:100" ht="20.100000000000001" customHeight="1">
      <c r="A579" s="227">
        <v>286</v>
      </c>
      <c r="B579" s="225"/>
      <c r="C579" s="227"/>
      <c r="D579" s="228">
        <f>(SUMPRODUCT(E579:CU579*$E$6:$CU$6)/100)+(SUMPRODUCT(E579:CU579*$E$6:$CU$6*$E$3:$CU$3)/100)</f>
        <v>0</v>
      </c>
      <c r="E579" s="227"/>
      <c r="F579" s="227"/>
      <c r="G579" s="227"/>
      <c r="H579" s="227"/>
      <c r="I579" s="227"/>
      <c r="J579" s="227"/>
      <c r="K579" s="227"/>
      <c r="L579" s="227"/>
      <c r="M579" s="227"/>
      <c r="N579" s="227"/>
      <c r="O579" s="227"/>
      <c r="P579" s="227"/>
      <c r="Q579" s="227"/>
      <c r="R579" s="227"/>
      <c r="S579" s="227"/>
      <c r="T579" s="227"/>
      <c r="U579" s="227"/>
      <c r="V579" s="227"/>
      <c r="W579" s="227"/>
      <c r="X579" s="227"/>
      <c r="Y579" s="227"/>
      <c r="Z579" s="227"/>
      <c r="AA579" s="227"/>
      <c r="AB579" s="227"/>
      <c r="AC579" s="227"/>
      <c r="AD579" s="227"/>
      <c r="AE579" s="227"/>
      <c r="AF579" s="227"/>
      <c r="AG579" s="227"/>
      <c r="AH579" s="227"/>
      <c r="AI579" s="227"/>
      <c r="AJ579" s="227"/>
      <c r="AK579" s="227"/>
      <c r="AL579" s="227"/>
      <c r="AM579" s="227"/>
      <c r="AN579" s="227"/>
      <c r="AO579" s="227"/>
      <c r="AP579" s="227"/>
      <c r="AQ579" s="227"/>
      <c r="AR579" s="227"/>
      <c r="AS579" s="227"/>
      <c r="AT579" s="227"/>
      <c r="AU579" s="227"/>
      <c r="AV579" s="227"/>
      <c r="AW579" s="227"/>
      <c r="AX579" s="227"/>
      <c r="AY579" s="227"/>
      <c r="AZ579" s="227"/>
      <c r="BA579" s="227"/>
      <c r="BB579" s="227"/>
      <c r="BC579" s="227"/>
      <c r="BD579" s="227"/>
      <c r="BE579" s="227"/>
      <c r="BF579" s="227"/>
      <c r="BG579" s="227"/>
      <c r="BH579" s="227"/>
      <c r="BI579" s="227"/>
      <c r="BJ579" s="227"/>
      <c r="BK579" s="227"/>
      <c r="BL579" s="227"/>
      <c r="BM579" s="227"/>
      <c r="BN579" s="227"/>
      <c r="BO579" s="227"/>
      <c r="BP579" s="227"/>
      <c r="BQ579" s="227"/>
      <c r="BR579" s="227"/>
      <c r="BS579" s="227"/>
      <c r="BT579" s="227"/>
      <c r="BU579" s="227"/>
      <c r="BV579" s="227"/>
      <c r="BW579" s="227"/>
      <c r="BX579" s="227"/>
      <c r="BY579" s="227"/>
      <c r="BZ579" s="227"/>
      <c r="CA579" s="227"/>
      <c r="CB579" s="227"/>
      <c r="CC579" s="227"/>
      <c r="CD579" s="227"/>
      <c r="CE579" s="227"/>
      <c r="CF579" s="227"/>
      <c r="CG579" s="227"/>
      <c r="CH579" s="227"/>
      <c r="CI579" s="227"/>
      <c r="CJ579" s="227"/>
      <c r="CK579" s="227"/>
      <c r="CL579" s="227"/>
      <c r="CM579" s="227"/>
      <c r="CN579" s="227"/>
      <c r="CO579" s="227"/>
      <c r="CP579" s="227"/>
      <c r="CQ579" s="227"/>
      <c r="CR579" s="227"/>
      <c r="CS579" s="227"/>
      <c r="CT579" s="227"/>
      <c r="CU579" s="225"/>
      <c r="CV579" s="227"/>
    </row>
    <row r="580" spans="1:100" ht="20.100000000000001" customHeight="1">
      <c r="A580" s="223"/>
      <c r="B580" s="225"/>
      <c r="C580" s="227"/>
      <c r="D580" s="224"/>
      <c r="E580" s="227"/>
      <c r="F580" s="227"/>
      <c r="G580" s="227"/>
      <c r="H580" s="227"/>
      <c r="I580" s="227"/>
      <c r="J580" s="227"/>
      <c r="K580" s="227"/>
      <c r="L580" s="227"/>
      <c r="M580" s="227"/>
      <c r="N580" s="227"/>
      <c r="O580" s="227"/>
      <c r="P580" s="227"/>
      <c r="Q580" s="227"/>
      <c r="R580" s="227"/>
      <c r="S580" s="227"/>
      <c r="T580" s="227"/>
      <c r="U580" s="227"/>
      <c r="V580" s="227"/>
      <c r="W580" s="227"/>
      <c r="X580" s="227"/>
      <c r="Y580" s="227"/>
      <c r="Z580" s="227"/>
      <c r="AA580" s="227"/>
      <c r="AB580" s="227"/>
      <c r="AC580" s="227"/>
      <c r="AD580" s="227"/>
      <c r="AE580" s="227"/>
      <c r="AF580" s="227"/>
      <c r="AG580" s="227"/>
      <c r="AH580" s="227"/>
      <c r="AI580" s="227"/>
      <c r="AJ580" s="227"/>
      <c r="AK580" s="227"/>
      <c r="AL580" s="227"/>
      <c r="AM580" s="227"/>
      <c r="AN580" s="227"/>
      <c r="AO580" s="227"/>
      <c r="AP580" s="227"/>
      <c r="AQ580" s="227"/>
      <c r="AR580" s="227"/>
      <c r="AS580" s="227"/>
      <c r="AT580" s="227"/>
      <c r="AU580" s="227"/>
      <c r="AV580" s="227"/>
      <c r="AW580" s="227"/>
      <c r="AX580" s="227"/>
      <c r="AY580" s="227"/>
      <c r="AZ580" s="227"/>
      <c r="BA580" s="227"/>
      <c r="BB580" s="227"/>
      <c r="BC580" s="227"/>
      <c r="BD580" s="227"/>
      <c r="BE580" s="227"/>
      <c r="BF580" s="227"/>
      <c r="BG580" s="227"/>
      <c r="BH580" s="227"/>
      <c r="BI580" s="227"/>
      <c r="BJ580" s="227"/>
      <c r="BK580" s="227"/>
      <c r="BL580" s="227"/>
      <c r="BM580" s="227"/>
      <c r="BN580" s="227"/>
      <c r="BO580" s="227"/>
      <c r="BP580" s="227"/>
      <c r="BQ580" s="227"/>
      <c r="BR580" s="227"/>
      <c r="BS580" s="227"/>
      <c r="BT580" s="227"/>
      <c r="BU580" s="227"/>
      <c r="BV580" s="227"/>
      <c r="BW580" s="227"/>
      <c r="BX580" s="227"/>
      <c r="BY580" s="227"/>
      <c r="BZ580" s="227"/>
      <c r="CA580" s="227"/>
      <c r="CB580" s="227"/>
      <c r="CC580" s="227"/>
      <c r="CD580" s="227"/>
      <c r="CE580" s="227"/>
      <c r="CF580" s="227"/>
      <c r="CG580" s="227"/>
      <c r="CH580" s="227"/>
      <c r="CI580" s="227"/>
      <c r="CJ580" s="227"/>
      <c r="CK580" s="227"/>
      <c r="CL580" s="227"/>
      <c r="CM580" s="227"/>
      <c r="CN580" s="227"/>
      <c r="CO580" s="227"/>
      <c r="CP580" s="227"/>
      <c r="CQ580" s="227"/>
      <c r="CR580" s="227"/>
      <c r="CS580" s="227"/>
      <c r="CT580" s="227"/>
      <c r="CU580" s="225"/>
      <c r="CV580" s="227"/>
    </row>
    <row r="581" spans="1:100" ht="20.100000000000001" customHeight="1">
      <c r="A581" s="227">
        <v>287</v>
      </c>
      <c r="B581" s="225"/>
      <c r="C581" s="227"/>
      <c r="D581" s="228">
        <f>(SUMPRODUCT(E581:CU581*$E$6:$CU$6)/100)+(SUMPRODUCT(E581:CU581*$E$6:$CU$6*$E$3:$CU$3)/100)</f>
        <v>0</v>
      </c>
      <c r="E581" s="227"/>
      <c r="F581" s="227"/>
      <c r="G581" s="227"/>
      <c r="H581" s="227"/>
      <c r="I581" s="227"/>
      <c r="J581" s="227"/>
      <c r="K581" s="227"/>
      <c r="L581" s="227"/>
      <c r="M581" s="227"/>
      <c r="N581" s="227"/>
      <c r="O581" s="227"/>
      <c r="P581" s="227"/>
      <c r="Q581" s="227"/>
      <c r="R581" s="227"/>
      <c r="S581" s="227"/>
      <c r="T581" s="227"/>
      <c r="U581" s="227"/>
      <c r="V581" s="227"/>
      <c r="W581" s="227"/>
      <c r="X581" s="227"/>
      <c r="Y581" s="227"/>
      <c r="Z581" s="227"/>
      <c r="AA581" s="227"/>
      <c r="AB581" s="227"/>
      <c r="AC581" s="227"/>
      <c r="AD581" s="227"/>
      <c r="AE581" s="227"/>
      <c r="AF581" s="227"/>
      <c r="AG581" s="227"/>
      <c r="AH581" s="227"/>
      <c r="AI581" s="227"/>
      <c r="AJ581" s="227"/>
      <c r="AK581" s="227"/>
      <c r="AL581" s="227"/>
      <c r="AM581" s="227"/>
      <c r="AN581" s="227"/>
      <c r="AO581" s="227"/>
      <c r="AP581" s="227"/>
      <c r="AQ581" s="227"/>
      <c r="AR581" s="227"/>
      <c r="AS581" s="227"/>
      <c r="AT581" s="227"/>
      <c r="AU581" s="227"/>
      <c r="AV581" s="227"/>
      <c r="AW581" s="227"/>
      <c r="AX581" s="227"/>
      <c r="AY581" s="227"/>
      <c r="AZ581" s="227"/>
      <c r="BA581" s="227"/>
      <c r="BB581" s="227"/>
      <c r="BC581" s="227"/>
      <c r="BD581" s="227"/>
      <c r="BE581" s="227"/>
      <c r="BF581" s="227"/>
      <c r="BG581" s="227"/>
      <c r="BH581" s="227"/>
      <c r="BI581" s="227"/>
      <c r="BJ581" s="227"/>
      <c r="BK581" s="227"/>
      <c r="BL581" s="227"/>
      <c r="BM581" s="227"/>
      <c r="BN581" s="227"/>
      <c r="BO581" s="227"/>
      <c r="BP581" s="227"/>
      <c r="BQ581" s="227"/>
      <c r="BR581" s="227"/>
      <c r="BS581" s="227"/>
      <c r="BT581" s="227"/>
      <c r="BU581" s="227"/>
      <c r="BV581" s="227"/>
      <c r="BW581" s="227"/>
      <c r="BX581" s="227"/>
      <c r="BY581" s="227"/>
      <c r="BZ581" s="227"/>
      <c r="CA581" s="227"/>
      <c r="CB581" s="227"/>
      <c r="CC581" s="227"/>
      <c r="CD581" s="227"/>
      <c r="CE581" s="227"/>
      <c r="CF581" s="227"/>
      <c r="CG581" s="227"/>
      <c r="CH581" s="227"/>
      <c r="CI581" s="227"/>
      <c r="CJ581" s="227"/>
      <c r="CK581" s="227"/>
      <c r="CL581" s="227"/>
      <c r="CM581" s="227"/>
      <c r="CN581" s="227"/>
      <c r="CO581" s="227"/>
      <c r="CP581" s="227"/>
      <c r="CQ581" s="227"/>
      <c r="CR581" s="227"/>
      <c r="CS581" s="227"/>
      <c r="CT581" s="227"/>
      <c r="CU581" s="225"/>
      <c r="CV581" s="227"/>
    </row>
    <row r="582" spans="1:100" ht="20.100000000000001" customHeight="1">
      <c r="A582" s="227"/>
      <c r="B582" s="225"/>
      <c r="C582" s="227"/>
      <c r="D582" s="224"/>
      <c r="E582" s="227"/>
      <c r="F582" s="227"/>
      <c r="G582" s="227"/>
      <c r="H582" s="227"/>
      <c r="I582" s="227"/>
      <c r="J582" s="227"/>
      <c r="K582" s="227"/>
      <c r="L582" s="227"/>
      <c r="M582" s="227"/>
      <c r="N582" s="227"/>
      <c r="O582" s="227"/>
      <c r="P582" s="227"/>
      <c r="Q582" s="227"/>
      <c r="R582" s="227"/>
      <c r="S582" s="227"/>
      <c r="T582" s="227"/>
      <c r="U582" s="227"/>
      <c r="V582" s="227"/>
      <c r="W582" s="227"/>
      <c r="X582" s="227"/>
      <c r="Y582" s="227"/>
      <c r="Z582" s="227"/>
      <c r="AA582" s="227"/>
      <c r="AB582" s="227"/>
      <c r="AC582" s="227"/>
      <c r="AD582" s="227"/>
      <c r="AE582" s="227"/>
      <c r="AF582" s="227"/>
      <c r="AG582" s="227"/>
      <c r="AH582" s="227"/>
      <c r="AI582" s="227"/>
      <c r="AJ582" s="227"/>
      <c r="AK582" s="227"/>
      <c r="AL582" s="227"/>
      <c r="AM582" s="227"/>
      <c r="AN582" s="227"/>
      <c r="AO582" s="227"/>
      <c r="AP582" s="227"/>
      <c r="AQ582" s="227"/>
      <c r="AR582" s="227"/>
      <c r="AS582" s="227"/>
      <c r="AT582" s="227"/>
      <c r="AU582" s="227"/>
      <c r="AV582" s="227"/>
      <c r="AW582" s="227"/>
      <c r="AX582" s="227"/>
      <c r="AY582" s="227"/>
      <c r="AZ582" s="227"/>
      <c r="BA582" s="227"/>
      <c r="BB582" s="227"/>
      <c r="BC582" s="227"/>
      <c r="BD582" s="227"/>
      <c r="BE582" s="227"/>
      <c r="BF582" s="227"/>
      <c r="BG582" s="227"/>
      <c r="BH582" s="227"/>
      <c r="BI582" s="227"/>
      <c r="BJ582" s="227"/>
      <c r="BK582" s="227"/>
      <c r="BL582" s="227"/>
      <c r="BM582" s="227"/>
      <c r="BN582" s="227"/>
      <c r="BO582" s="227"/>
      <c r="BP582" s="227"/>
      <c r="BQ582" s="227"/>
      <c r="BR582" s="227"/>
      <c r="BS582" s="227"/>
      <c r="BT582" s="227"/>
      <c r="BU582" s="227"/>
      <c r="BV582" s="227"/>
      <c r="BW582" s="227"/>
      <c r="BX582" s="227"/>
      <c r="BY582" s="227"/>
      <c r="BZ582" s="227"/>
      <c r="CA582" s="227"/>
      <c r="CB582" s="227"/>
      <c r="CC582" s="227"/>
      <c r="CD582" s="227"/>
      <c r="CE582" s="227"/>
      <c r="CF582" s="227"/>
      <c r="CG582" s="227"/>
      <c r="CH582" s="227"/>
      <c r="CI582" s="227"/>
      <c r="CJ582" s="227"/>
      <c r="CK582" s="227"/>
      <c r="CL582" s="227"/>
      <c r="CM582" s="227"/>
      <c r="CN582" s="227"/>
      <c r="CO582" s="227"/>
      <c r="CP582" s="227"/>
      <c r="CQ582" s="227"/>
      <c r="CR582" s="227"/>
      <c r="CS582" s="227"/>
      <c r="CT582" s="227"/>
      <c r="CU582" s="225"/>
      <c r="CV582" s="227"/>
    </row>
    <row r="583" spans="1:100" ht="20.100000000000001" customHeight="1">
      <c r="A583" s="227">
        <v>288</v>
      </c>
      <c r="B583" s="225"/>
      <c r="C583" s="227"/>
      <c r="D583" s="228">
        <f>(SUMPRODUCT(E583:CU583*$E$6:$CU$6)/100)+(SUMPRODUCT(E583:CU583*$E$6:$CU$6*$E$3:$CU$3)/100)</f>
        <v>0</v>
      </c>
      <c r="E583" s="227"/>
      <c r="F583" s="227"/>
      <c r="G583" s="227"/>
      <c r="H583" s="227"/>
      <c r="I583" s="227"/>
      <c r="J583" s="227"/>
      <c r="K583" s="227"/>
      <c r="L583" s="227"/>
      <c r="M583" s="227"/>
      <c r="N583" s="227"/>
      <c r="O583" s="227"/>
      <c r="P583" s="227"/>
      <c r="Q583" s="227"/>
      <c r="R583" s="227"/>
      <c r="S583" s="227"/>
      <c r="T583" s="227"/>
      <c r="U583" s="227"/>
      <c r="V583" s="227"/>
      <c r="W583" s="227"/>
      <c r="X583" s="227"/>
      <c r="Y583" s="227"/>
      <c r="Z583" s="227"/>
      <c r="AA583" s="227"/>
      <c r="AB583" s="227"/>
      <c r="AC583" s="227"/>
      <c r="AD583" s="227"/>
      <c r="AE583" s="227"/>
      <c r="AF583" s="227"/>
      <c r="AG583" s="227"/>
      <c r="AH583" s="227"/>
      <c r="AI583" s="227"/>
      <c r="AJ583" s="227"/>
      <c r="AK583" s="227"/>
      <c r="AL583" s="227"/>
      <c r="AM583" s="227"/>
      <c r="AN583" s="227"/>
      <c r="AO583" s="227"/>
      <c r="AP583" s="227"/>
      <c r="AQ583" s="227"/>
      <c r="AR583" s="227"/>
      <c r="AS583" s="227"/>
      <c r="AT583" s="227"/>
      <c r="AU583" s="227"/>
      <c r="AV583" s="227"/>
      <c r="AW583" s="227"/>
      <c r="AX583" s="227"/>
      <c r="AY583" s="227"/>
      <c r="AZ583" s="227"/>
      <c r="BA583" s="227"/>
      <c r="BB583" s="227"/>
      <c r="BC583" s="227"/>
      <c r="BD583" s="227"/>
      <c r="BE583" s="227"/>
      <c r="BF583" s="227"/>
      <c r="BG583" s="227"/>
      <c r="BH583" s="227"/>
      <c r="BI583" s="227"/>
      <c r="BJ583" s="227"/>
      <c r="BK583" s="227"/>
      <c r="BL583" s="227"/>
      <c r="BM583" s="227"/>
      <c r="BN583" s="227"/>
      <c r="BO583" s="227"/>
      <c r="BP583" s="227"/>
      <c r="BQ583" s="227"/>
      <c r="BR583" s="227"/>
      <c r="BS583" s="227"/>
      <c r="BT583" s="227"/>
      <c r="BU583" s="227"/>
      <c r="BV583" s="227"/>
      <c r="BW583" s="227"/>
      <c r="BX583" s="227"/>
      <c r="BY583" s="227"/>
      <c r="BZ583" s="227"/>
      <c r="CA583" s="227"/>
      <c r="CB583" s="227"/>
      <c r="CC583" s="227"/>
      <c r="CD583" s="227"/>
      <c r="CE583" s="227"/>
      <c r="CF583" s="227"/>
      <c r="CG583" s="227"/>
      <c r="CH583" s="227"/>
      <c r="CI583" s="227"/>
      <c r="CJ583" s="227"/>
      <c r="CK583" s="227"/>
      <c r="CL583" s="227"/>
      <c r="CM583" s="227"/>
      <c r="CN583" s="227"/>
      <c r="CO583" s="227"/>
      <c r="CP583" s="227"/>
      <c r="CQ583" s="227"/>
      <c r="CR583" s="227"/>
      <c r="CS583" s="227"/>
      <c r="CT583" s="227"/>
      <c r="CU583" s="225"/>
      <c r="CV583" s="227"/>
    </row>
    <row r="584" spans="1:100" ht="20.100000000000001" customHeight="1">
      <c r="A584" s="223"/>
      <c r="B584" s="225"/>
      <c r="C584" s="227"/>
      <c r="D584" s="224"/>
      <c r="E584" s="227"/>
      <c r="F584" s="227"/>
      <c r="G584" s="227"/>
      <c r="H584" s="227"/>
      <c r="I584" s="227"/>
      <c r="J584" s="227"/>
      <c r="K584" s="227"/>
      <c r="L584" s="227"/>
      <c r="M584" s="227"/>
      <c r="N584" s="227"/>
      <c r="O584" s="227"/>
      <c r="P584" s="227"/>
      <c r="Q584" s="227"/>
      <c r="R584" s="227"/>
      <c r="S584" s="227"/>
      <c r="T584" s="227"/>
      <c r="U584" s="227"/>
      <c r="V584" s="227"/>
      <c r="W584" s="227"/>
      <c r="X584" s="227"/>
      <c r="Y584" s="227"/>
      <c r="Z584" s="227"/>
      <c r="AA584" s="227"/>
      <c r="AB584" s="227"/>
      <c r="AC584" s="227"/>
      <c r="AD584" s="227"/>
      <c r="AE584" s="227"/>
      <c r="AF584" s="227"/>
      <c r="AG584" s="227"/>
      <c r="AH584" s="227"/>
      <c r="AI584" s="227"/>
      <c r="AJ584" s="227"/>
      <c r="AK584" s="227"/>
      <c r="AL584" s="227"/>
      <c r="AM584" s="227"/>
      <c r="AN584" s="227"/>
      <c r="AO584" s="227"/>
      <c r="AP584" s="227"/>
      <c r="AQ584" s="227"/>
      <c r="AR584" s="227"/>
      <c r="AS584" s="227"/>
      <c r="AT584" s="227"/>
      <c r="AU584" s="227"/>
      <c r="AV584" s="227"/>
      <c r="AW584" s="227"/>
      <c r="AX584" s="227"/>
      <c r="AY584" s="227"/>
      <c r="AZ584" s="227"/>
      <c r="BA584" s="227"/>
      <c r="BB584" s="227"/>
      <c r="BC584" s="227"/>
      <c r="BD584" s="227"/>
      <c r="BE584" s="227"/>
      <c r="BF584" s="227"/>
      <c r="BG584" s="227"/>
      <c r="BH584" s="227"/>
      <c r="BI584" s="227"/>
      <c r="BJ584" s="227"/>
      <c r="BK584" s="227"/>
      <c r="BL584" s="227"/>
      <c r="BM584" s="227"/>
      <c r="BN584" s="227"/>
      <c r="BO584" s="227"/>
      <c r="BP584" s="227"/>
      <c r="BQ584" s="227"/>
      <c r="BR584" s="227"/>
      <c r="BS584" s="227"/>
      <c r="BT584" s="227"/>
      <c r="BU584" s="227"/>
      <c r="BV584" s="227"/>
      <c r="BW584" s="227"/>
      <c r="BX584" s="227"/>
      <c r="BY584" s="227"/>
      <c r="BZ584" s="227"/>
      <c r="CA584" s="227"/>
      <c r="CB584" s="227"/>
      <c r="CC584" s="227"/>
      <c r="CD584" s="227"/>
      <c r="CE584" s="227"/>
      <c r="CF584" s="227"/>
      <c r="CG584" s="227"/>
      <c r="CH584" s="227"/>
      <c r="CI584" s="227"/>
      <c r="CJ584" s="227"/>
      <c r="CK584" s="227"/>
      <c r="CL584" s="227"/>
      <c r="CM584" s="227"/>
      <c r="CN584" s="227"/>
      <c r="CO584" s="227"/>
      <c r="CP584" s="227"/>
      <c r="CQ584" s="227"/>
      <c r="CR584" s="227"/>
      <c r="CS584" s="227"/>
      <c r="CT584" s="227"/>
      <c r="CU584" s="225"/>
      <c r="CV584" s="227"/>
    </row>
    <row r="585" spans="1:100" ht="20.100000000000001" customHeight="1">
      <c r="A585" s="227">
        <v>289</v>
      </c>
      <c r="B585" s="225"/>
      <c r="C585" s="227"/>
      <c r="D585" s="228">
        <f>(SUMPRODUCT(E585:CU585*$E$6:$CU$6)/100)+(SUMPRODUCT(E585:CU585*$E$6:$CU$6*$E$3:$CU$3)/100)</f>
        <v>0</v>
      </c>
      <c r="E585" s="227"/>
      <c r="F585" s="227"/>
      <c r="G585" s="227"/>
      <c r="H585" s="227"/>
      <c r="I585" s="227"/>
      <c r="J585" s="227"/>
      <c r="K585" s="227"/>
      <c r="L585" s="227"/>
      <c r="M585" s="227"/>
      <c r="N585" s="227"/>
      <c r="O585" s="227"/>
      <c r="P585" s="227"/>
      <c r="Q585" s="227"/>
      <c r="R585" s="227"/>
      <c r="S585" s="227"/>
      <c r="T585" s="227"/>
      <c r="U585" s="227"/>
      <c r="V585" s="227"/>
      <c r="W585" s="227"/>
      <c r="X585" s="227"/>
      <c r="Y585" s="227"/>
      <c r="Z585" s="227"/>
      <c r="AA585" s="227"/>
      <c r="AB585" s="227"/>
      <c r="AC585" s="227"/>
      <c r="AD585" s="227"/>
      <c r="AE585" s="227"/>
      <c r="AF585" s="227"/>
      <c r="AG585" s="227"/>
      <c r="AH585" s="227"/>
      <c r="AI585" s="227"/>
      <c r="AJ585" s="227"/>
      <c r="AK585" s="227"/>
      <c r="AL585" s="227"/>
      <c r="AM585" s="227"/>
      <c r="AN585" s="227"/>
      <c r="AO585" s="227"/>
      <c r="AP585" s="227"/>
      <c r="AQ585" s="227"/>
      <c r="AR585" s="227"/>
      <c r="AS585" s="227"/>
      <c r="AT585" s="227"/>
      <c r="AU585" s="227"/>
      <c r="AV585" s="227"/>
      <c r="AW585" s="227"/>
      <c r="AX585" s="227"/>
      <c r="AY585" s="227"/>
      <c r="AZ585" s="227"/>
      <c r="BA585" s="227"/>
      <c r="BB585" s="227"/>
      <c r="BC585" s="227"/>
      <c r="BD585" s="227"/>
      <c r="BE585" s="227"/>
      <c r="BF585" s="227"/>
      <c r="BG585" s="227"/>
      <c r="BH585" s="227"/>
      <c r="BI585" s="227"/>
      <c r="BJ585" s="227"/>
      <c r="BK585" s="227"/>
      <c r="BL585" s="227"/>
      <c r="BM585" s="227"/>
      <c r="BN585" s="227"/>
      <c r="BO585" s="227"/>
      <c r="BP585" s="227"/>
      <c r="BQ585" s="227"/>
      <c r="BR585" s="227"/>
      <c r="BS585" s="227"/>
      <c r="BT585" s="227"/>
      <c r="BU585" s="227"/>
      <c r="BV585" s="227"/>
      <c r="BW585" s="227"/>
      <c r="BX585" s="227"/>
      <c r="BY585" s="227"/>
      <c r="BZ585" s="227"/>
      <c r="CA585" s="227"/>
      <c r="CB585" s="227"/>
      <c r="CC585" s="227"/>
      <c r="CD585" s="227"/>
      <c r="CE585" s="227"/>
      <c r="CF585" s="227"/>
      <c r="CG585" s="227"/>
      <c r="CH585" s="227"/>
      <c r="CI585" s="227"/>
      <c r="CJ585" s="227"/>
      <c r="CK585" s="227"/>
      <c r="CL585" s="227"/>
      <c r="CM585" s="227"/>
      <c r="CN585" s="227"/>
      <c r="CO585" s="227"/>
      <c r="CP585" s="227"/>
      <c r="CQ585" s="227"/>
      <c r="CR585" s="227"/>
      <c r="CS585" s="227"/>
      <c r="CT585" s="227"/>
      <c r="CU585" s="225"/>
      <c r="CV585" s="227"/>
    </row>
    <row r="586" spans="1:100" ht="20.100000000000001" customHeight="1">
      <c r="A586" s="227"/>
      <c r="B586" s="225"/>
      <c r="C586" s="227"/>
      <c r="D586" s="224"/>
      <c r="E586" s="227"/>
      <c r="F586" s="227"/>
      <c r="G586" s="227"/>
      <c r="H586" s="227"/>
      <c r="I586" s="227"/>
      <c r="J586" s="227"/>
      <c r="K586" s="227"/>
      <c r="L586" s="227"/>
      <c r="M586" s="227"/>
      <c r="N586" s="227"/>
      <c r="O586" s="227"/>
      <c r="P586" s="227"/>
      <c r="Q586" s="227"/>
      <c r="R586" s="227"/>
      <c r="S586" s="227"/>
      <c r="T586" s="227"/>
      <c r="U586" s="227"/>
      <c r="V586" s="227"/>
      <c r="W586" s="227"/>
      <c r="X586" s="227"/>
      <c r="Y586" s="227"/>
      <c r="Z586" s="227"/>
      <c r="AA586" s="227"/>
      <c r="AB586" s="227"/>
      <c r="AC586" s="227"/>
      <c r="AD586" s="227"/>
      <c r="AE586" s="227"/>
      <c r="AF586" s="227"/>
      <c r="AG586" s="227"/>
      <c r="AH586" s="227"/>
      <c r="AI586" s="227"/>
      <c r="AJ586" s="227"/>
      <c r="AK586" s="227"/>
      <c r="AL586" s="227"/>
      <c r="AM586" s="227"/>
      <c r="AN586" s="227"/>
      <c r="AO586" s="227"/>
      <c r="AP586" s="227"/>
      <c r="AQ586" s="227"/>
      <c r="AR586" s="227"/>
      <c r="AS586" s="227"/>
      <c r="AT586" s="227"/>
      <c r="AU586" s="227"/>
      <c r="AV586" s="227"/>
      <c r="AW586" s="227"/>
      <c r="AX586" s="227"/>
      <c r="AY586" s="227"/>
      <c r="AZ586" s="227"/>
      <c r="BA586" s="227"/>
      <c r="BB586" s="227"/>
      <c r="BC586" s="227"/>
      <c r="BD586" s="227"/>
      <c r="BE586" s="227"/>
      <c r="BF586" s="227"/>
      <c r="BG586" s="227"/>
      <c r="BH586" s="227"/>
      <c r="BI586" s="227"/>
      <c r="BJ586" s="227"/>
      <c r="BK586" s="227"/>
      <c r="BL586" s="227"/>
      <c r="BM586" s="227"/>
      <c r="BN586" s="227"/>
      <c r="BO586" s="227"/>
      <c r="BP586" s="227"/>
      <c r="BQ586" s="227"/>
      <c r="BR586" s="227"/>
      <c r="BS586" s="227"/>
      <c r="BT586" s="227"/>
      <c r="BU586" s="227"/>
      <c r="BV586" s="227"/>
      <c r="BW586" s="227"/>
      <c r="BX586" s="227"/>
      <c r="BY586" s="227"/>
      <c r="BZ586" s="227"/>
      <c r="CA586" s="227"/>
      <c r="CB586" s="227"/>
      <c r="CC586" s="227"/>
      <c r="CD586" s="227"/>
      <c r="CE586" s="227"/>
      <c r="CF586" s="227"/>
      <c r="CG586" s="227"/>
      <c r="CH586" s="227"/>
      <c r="CI586" s="227"/>
      <c r="CJ586" s="227"/>
      <c r="CK586" s="227"/>
      <c r="CL586" s="227"/>
      <c r="CM586" s="227"/>
      <c r="CN586" s="227"/>
      <c r="CO586" s="227"/>
      <c r="CP586" s="227"/>
      <c r="CQ586" s="227"/>
      <c r="CR586" s="227"/>
      <c r="CS586" s="227"/>
      <c r="CT586" s="227"/>
      <c r="CU586" s="225"/>
      <c r="CV586" s="227"/>
    </row>
    <row r="587" spans="1:100" ht="20.100000000000001" customHeight="1">
      <c r="A587" s="227">
        <v>290</v>
      </c>
      <c r="B587" s="225"/>
      <c r="C587" s="227"/>
      <c r="D587" s="228">
        <f>(SUMPRODUCT(E587:CU587*$E$6:$CU$6)/100)+(SUMPRODUCT(E587:CU587*$E$6:$CU$6*$E$3:$CU$3)/100)</f>
        <v>0</v>
      </c>
      <c r="E587" s="227"/>
      <c r="F587" s="227"/>
      <c r="G587" s="227"/>
      <c r="H587" s="227"/>
      <c r="I587" s="227"/>
      <c r="J587" s="227"/>
      <c r="K587" s="227"/>
      <c r="L587" s="227"/>
      <c r="M587" s="227"/>
      <c r="N587" s="227"/>
      <c r="O587" s="227"/>
      <c r="P587" s="227"/>
      <c r="Q587" s="227"/>
      <c r="R587" s="227"/>
      <c r="S587" s="227"/>
      <c r="T587" s="227"/>
      <c r="U587" s="227"/>
      <c r="V587" s="227"/>
      <c r="W587" s="227"/>
      <c r="X587" s="227"/>
      <c r="Y587" s="227"/>
      <c r="Z587" s="227"/>
      <c r="AA587" s="227"/>
      <c r="AB587" s="227"/>
      <c r="AC587" s="227"/>
      <c r="AD587" s="227"/>
      <c r="AE587" s="227"/>
      <c r="AF587" s="227"/>
      <c r="AG587" s="227"/>
      <c r="AH587" s="227"/>
      <c r="AI587" s="227"/>
      <c r="AJ587" s="227"/>
      <c r="AK587" s="227"/>
      <c r="AL587" s="227"/>
      <c r="AM587" s="227"/>
      <c r="AN587" s="227"/>
      <c r="AO587" s="227"/>
      <c r="AP587" s="227"/>
      <c r="AQ587" s="227"/>
      <c r="AR587" s="227"/>
      <c r="AS587" s="227"/>
      <c r="AT587" s="227"/>
      <c r="AU587" s="227"/>
      <c r="AV587" s="227"/>
      <c r="AW587" s="227"/>
      <c r="AX587" s="227"/>
      <c r="AY587" s="227"/>
      <c r="AZ587" s="227"/>
      <c r="BA587" s="227"/>
      <c r="BB587" s="227"/>
      <c r="BC587" s="227"/>
      <c r="BD587" s="227"/>
      <c r="BE587" s="227"/>
      <c r="BF587" s="227"/>
      <c r="BG587" s="227"/>
      <c r="BH587" s="227"/>
      <c r="BI587" s="227"/>
      <c r="BJ587" s="227"/>
      <c r="BK587" s="227"/>
      <c r="BL587" s="227"/>
      <c r="BM587" s="227"/>
      <c r="BN587" s="227"/>
      <c r="BO587" s="227"/>
      <c r="BP587" s="227"/>
      <c r="BQ587" s="227"/>
      <c r="BR587" s="227"/>
      <c r="BS587" s="227"/>
      <c r="BT587" s="227"/>
      <c r="BU587" s="227"/>
      <c r="BV587" s="227"/>
      <c r="BW587" s="227"/>
      <c r="BX587" s="227"/>
      <c r="BY587" s="227"/>
      <c r="BZ587" s="227"/>
      <c r="CA587" s="227"/>
      <c r="CB587" s="227"/>
      <c r="CC587" s="227"/>
      <c r="CD587" s="227"/>
      <c r="CE587" s="227"/>
      <c r="CF587" s="227"/>
      <c r="CG587" s="227"/>
      <c r="CH587" s="227"/>
      <c r="CI587" s="227"/>
      <c r="CJ587" s="227"/>
      <c r="CK587" s="227"/>
      <c r="CL587" s="227"/>
      <c r="CM587" s="227"/>
      <c r="CN587" s="227"/>
      <c r="CO587" s="227"/>
      <c r="CP587" s="227"/>
      <c r="CQ587" s="227"/>
      <c r="CR587" s="227"/>
      <c r="CS587" s="227"/>
      <c r="CT587" s="227"/>
      <c r="CU587" s="225"/>
      <c r="CV587" s="227"/>
    </row>
    <row r="588" spans="1:100" ht="20.100000000000001" customHeight="1">
      <c r="A588" s="223"/>
      <c r="B588" s="225"/>
      <c r="C588" s="227"/>
      <c r="D588" s="224"/>
      <c r="E588" s="227"/>
      <c r="F588" s="227"/>
      <c r="G588" s="227"/>
      <c r="H588" s="227"/>
      <c r="I588" s="227"/>
      <c r="J588" s="227"/>
      <c r="K588" s="227"/>
      <c r="L588" s="227"/>
      <c r="M588" s="227"/>
      <c r="N588" s="227"/>
      <c r="O588" s="227"/>
      <c r="P588" s="227"/>
      <c r="Q588" s="227"/>
      <c r="R588" s="227"/>
      <c r="S588" s="227"/>
      <c r="T588" s="227"/>
      <c r="U588" s="227"/>
      <c r="V588" s="227"/>
      <c r="W588" s="227"/>
      <c r="X588" s="227"/>
      <c r="Y588" s="227"/>
      <c r="Z588" s="227"/>
      <c r="AA588" s="227"/>
      <c r="AB588" s="227"/>
      <c r="AC588" s="227"/>
      <c r="AD588" s="227"/>
      <c r="AE588" s="227"/>
      <c r="AF588" s="227"/>
      <c r="AG588" s="227"/>
      <c r="AH588" s="227"/>
      <c r="AI588" s="227"/>
      <c r="AJ588" s="227"/>
      <c r="AK588" s="227"/>
      <c r="AL588" s="227"/>
      <c r="AM588" s="227"/>
      <c r="AN588" s="227"/>
      <c r="AO588" s="227"/>
      <c r="AP588" s="227"/>
      <c r="AQ588" s="227"/>
      <c r="AR588" s="227"/>
      <c r="AS588" s="227"/>
      <c r="AT588" s="227"/>
      <c r="AU588" s="227"/>
      <c r="AV588" s="227"/>
      <c r="AW588" s="227"/>
      <c r="AX588" s="227"/>
      <c r="AY588" s="227"/>
      <c r="AZ588" s="227"/>
      <c r="BA588" s="227"/>
      <c r="BB588" s="227"/>
      <c r="BC588" s="227"/>
      <c r="BD588" s="227"/>
      <c r="BE588" s="227"/>
      <c r="BF588" s="227"/>
      <c r="BG588" s="227"/>
      <c r="BH588" s="227"/>
      <c r="BI588" s="227"/>
      <c r="BJ588" s="227"/>
      <c r="BK588" s="227"/>
      <c r="BL588" s="227"/>
      <c r="BM588" s="227"/>
      <c r="BN588" s="227"/>
      <c r="BO588" s="227"/>
      <c r="BP588" s="227"/>
      <c r="BQ588" s="227"/>
      <c r="BR588" s="227"/>
      <c r="BS588" s="227"/>
      <c r="BT588" s="227"/>
      <c r="BU588" s="227"/>
      <c r="BV588" s="227"/>
      <c r="BW588" s="227"/>
      <c r="BX588" s="227"/>
      <c r="BY588" s="227"/>
      <c r="BZ588" s="227"/>
      <c r="CA588" s="227"/>
      <c r="CB588" s="227"/>
      <c r="CC588" s="227"/>
      <c r="CD588" s="227"/>
      <c r="CE588" s="227"/>
      <c r="CF588" s="227"/>
      <c r="CG588" s="227"/>
      <c r="CH588" s="227"/>
      <c r="CI588" s="227"/>
      <c r="CJ588" s="227"/>
      <c r="CK588" s="227"/>
      <c r="CL588" s="227"/>
      <c r="CM588" s="227"/>
      <c r="CN588" s="227"/>
      <c r="CO588" s="227"/>
      <c r="CP588" s="227"/>
      <c r="CQ588" s="227"/>
      <c r="CR588" s="227"/>
      <c r="CS588" s="227"/>
      <c r="CT588" s="227"/>
      <c r="CU588" s="225"/>
      <c r="CV588" s="227"/>
    </row>
    <row r="589" spans="1:100" ht="20.100000000000001" customHeight="1">
      <c r="A589" s="227">
        <v>291</v>
      </c>
      <c r="B589" s="225"/>
      <c r="C589" s="227"/>
      <c r="D589" s="228">
        <f>(SUMPRODUCT(E589:CU589*$E$6:$CU$6)/100)+(SUMPRODUCT(E589:CU589*$E$6:$CU$6*$E$3:$CU$3)/100)</f>
        <v>0</v>
      </c>
      <c r="E589" s="227"/>
      <c r="F589" s="227"/>
      <c r="G589" s="227"/>
      <c r="H589" s="227"/>
      <c r="I589" s="227"/>
      <c r="J589" s="227"/>
      <c r="K589" s="227"/>
      <c r="L589" s="227"/>
      <c r="M589" s="227"/>
      <c r="N589" s="227"/>
      <c r="O589" s="227"/>
      <c r="P589" s="227"/>
      <c r="Q589" s="227"/>
      <c r="R589" s="227"/>
      <c r="S589" s="227"/>
      <c r="T589" s="227"/>
      <c r="U589" s="227"/>
      <c r="V589" s="227"/>
      <c r="W589" s="227"/>
      <c r="X589" s="227"/>
      <c r="Y589" s="227"/>
      <c r="Z589" s="227"/>
      <c r="AA589" s="227"/>
      <c r="AB589" s="227"/>
      <c r="AC589" s="227"/>
      <c r="AD589" s="227"/>
      <c r="AE589" s="227"/>
      <c r="AF589" s="227"/>
      <c r="AG589" s="227"/>
      <c r="AH589" s="227"/>
      <c r="AI589" s="227"/>
      <c r="AJ589" s="227"/>
      <c r="AK589" s="227"/>
      <c r="AL589" s="227"/>
      <c r="AM589" s="227"/>
      <c r="AN589" s="227"/>
      <c r="AO589" s="227"/>
      <c r="AP589" s="227"/>
      <c r="AQ589" s="227"/>
      <c r="AR589" s="227"/>
      <c r="AS589" s="227"/>
      <c r="AT589" s="227"/>
      <c r="AU589" s="227"/>
      <c r="AV589" s="227"/>
      <c r="AW589" s="227"/>
      <c r="AX589" s="227"/>
      <c r="AY589" s="227"/>
      <c r="AZ589" s="227"/>
      <c r="BA589" s="227"/>
      <c r="BB589" s="227"/>
      <c r="BC589" s="227"/>
      <c r="BD589" s="227"/>
      <c r="BE589" s="227"/>
      <c r="BF589" s="227"/>
      <c r="BG589" s="227"/>
      <c r="BH589" s="227"/>
      <c r="BI589" s="227"/>
      <c r="BJ589" s="227"/>
      <c r="BK589" s="227"/>
      <c r="BL589" s="227"/>
      <c r="BM589" s="227"/>
      <c r="BN589" s="227"/>
      <c r="BO589" s="227"/>
      <c r="BP589" s="227"/>
      <c r="BQ589" s="227"/>
      <c r="BR589" s="227"/>
      <c r="BS589" s="227"/>
      <c r="BT589" s="227"/>
      <c r="BU589" s="227"/>
      <c r="BV589" s="227"/>
      <c r="BW589" s="227"/>
      <c r="BX589" s="227"/>
      <c r="BY589" s="227"/>
      <c r="BZ589" s="227"/>
      <c r="CA589" s="227"/>
      <c r="CB589" s="227"/>
      <c r="CC589" s="227"/>
      <c r="CD589" s="227"/>
      <c r="CE589" s="227"/>
      <c r="CF589" s="227"/>
      <c r="CG589" s="227"/>
      <c r="CH589" s="227"/>
      <c r="CI589" s="227"/>
      <c r="CJ589" s="227"/>
      <c r="CK589" s="227"/>
      <c r="CL589" s="227"/>
      <c r="CM589" s="227"/>
      <c r="CN589" s="227"/>
      <c r="CO589" s="227"/>
      <c r="CP589" s="227"/>
      <c r="CQ589" s="227"/>
      <c r="CR589" s="227"/>
      <c r="CS589" s="227"/>
      <c r="CT589" s="227"/>
      <c r="CU589" s="225"/>
      <c r="CV589" s="227"/>
    </row>
    <row r="590" spans="1:100" ht="20.100000000000001" customHeight="1">
      <c r="A590" s="227"/>
      <c r="B590" s="225"/>
      <c r="C590" s="227"/>
      <c r="D590" s="224"/>
      <c r="E590" s="227"/>
      <c r="F590" s="227"/>
      <c r="G590" s="227"/>
      <c r="H590" s="227"/>
      <c r="I590" s="227"/>
      <c r="J590" s="227"/>
      <c r="K590" s="227"/>
      <c r="L590" s="227"/>
      <c r="M590" s="227"/>
      <c r="N590" s="227"/>
      <c r="O590" s="227"/>
      <c r="P590" s="227"/>
      <c r="Q590" s="227"/>
      <c r="R590" s="227"/>
      <c r="S590" s="227"/>
      <c r="T590" s="227"/>
      <c r="U590" s="227"/>
      <c r="V590" s="227"/>
      <c r="W590" s="227"/>
      <c r="X590" s="227"/>
      <c r="Y590" s="227"/>
      <c r="Z590" s="227"/>
      <c r="AA590" s="227"/>
      <c r="AB590" s="227"/>
      <c r="AC590" s="227"/>
      <c r="AD590" s="227"/>
      <c r="AE590" s="227"/>
      <c r="AF590" s="227"/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27"/>
      <c r="BC590" s="227"/>
      <c r="BD590" s="227"/>
      <c r="BE590" s="227"/>
      <c r="BF590" s="227"/>
      <c r="BG590" s="227"/>
      <c r="BH590" s="227"/>
      <c r="BI590" s="227"/>
      <c r="BJ590" s="227"/>
      <c r="BK590" s="227"/>
      <c r="BL590" s="227"/>
      <c r="BM590" s="227"/>
      <c r="BN590" s="227"/>
      <c r="BO590" s="227"/>
      <c r="BP590" s="227"/>
      <c r="BQ590" s="227"/>
      <c r="BR590" s="227"/>
      <c r="BS590" s="227"/>
      <c r="BT590" s="227"/>
      <c r="BU590" s="227"/>
      <c r="BV590" s="227"/>
      <c r="BW590" s="227"/>
      <c r="BX590" s="227"/>
      <c r="BY590" s="227"/>
      <c r="BZ590" s="227"/>
      <c r="CA590" s="227"/>
      <c r="CB590" s="227"/>
      <c r="CC590" s="227"/>
      <c r="CD590" s="227"/>
      <c r="CE590" s="227"/>
      <c r="CF590" s="227"/>
      <c r="CG590" s="227"/>
      <c r="CH590" s="227"/>
      <c r="CI590" s="227"/>
      <c r="CJ590" s="227"/>
      <c r="CK590" s="227"/>
      <c r="CL590" s="227"/>
      <c r="CM590" s="227"/>
      <c r="CN590" s="227"/>
      <c r="CO590" s="227"/>
      <c r="CP590" s="227"/>
      <c r="CQ590" s="227"/>
      <c r="CR590" s="227"/>
      <c r="CS590" s="227"/>
      <c r="CT590" s="227"/>
      <c r="CU590" s="225"/>
      <c r="CV590" s="227"/>
    </row>
    <row r="591" spans="1:100" ht="20.100000000000001" customHeight="1">
      <c r="A591" s="227">
        <v>292</v>
      </c>
      <c r="B591" s="225"/>
      <c r="C591" s="227"/>
      <c r="D591" s="228">
        <f>(SUMPRODUCT(E591:CU591*$E$6:$CU$6)/100)+(SUMPRODUCT(E591:CU591*$E$6:$CU$6*$E$3:$CU$3)/100)</f>
        <v>0</v>
      </c>
      <c r="E591" s="227"/>
      <c r="F591" s="227"/>
      <c r="G591" s="227"/>
      <c r="H591" s="227"/>
      <c r="I591" s="227"/>
      <c r="J591" s="227"/>
      <c r="K591" s="227"/>
      <c r="L591" s="227"/>
      <c r="M591" s="227"/>
      <c r="N591" s="227"/>
      <c r="O591" s="227"/>
      <c r="P591" s="227"/>
      <c r="Q591" s="227"/>
      <c r="R591" s="227"/>
      <c r="S591" s="227"/>
      <c r="T591" s="227"/>
      <c r="U591" s="227"/>
      <c r="V591" s="227"/>
      <c r="W591" s="227"/>
      <c r="X591" s="227"/>
      <c r="Y591" s="227"/>
      <c r="Z591" s="227"/>
      <c r="AA591" s="227"/>
      <c r="AB591" s="227"/>
      <c r="AC591" s="227"/>
      <c r="AD591" s="227"/>
      <c r="AE591" s="227"/>
      <c r="AF591" s="227"/>
      <c r="AG591" s="227"/>
      <c r="AH591" s="227"/>
      <c r="AI591" s="227"/>
      <c r="AJ591" s="227"/>
      <c r="AK591" s="227"/>
      <c r="AL591" s="227"/>
      <c r="AM591" s="227"/>
      <c r="AN591" s="227"/>
      <c r="AO591" s="227"/>
      <c r="AP591" s="227"/>
      <c r="AQ591" s="227"/>
      <c r="AR591" s="227"/>
      <c r="AS591" s="227"/>
      <c r="AT591" s="227"/>
      <c r="AU591" s="227"/>
      <c r="AV591" s="227"/>
      <c r="AW591" s="227"/>
      <c r="AX591" s="227"/>
      <c r="AY591" s="227"/>
      <c r="AZ591" s="227"/>
      <c r="BA591" s="227"/>
      <c r="BB591" s="227"/>
      <c r="BC591" s="227"/>
      <c r="BD591" s="227"/>
      <c r="BE591" s="227"/>
      <c r="BF591" s="227"/>
      <c r="BG591" s="227"/>
      <c r="BH591" s="227"/>
      <c r="BI591" s="227"/>
      <c r="BJ591" s="227"/>
      <c r="BK591" s="227"/>
      <c r="BL591" s="227"/>
      <c r="BM591" s="227"/>
      <c r="BN591" s="227"/>
      <c r="BO591" s="227"/>
      <c r="BP591" s="227"/>
      <c r="BQ591" s="227"/>
      <c r="BR591" s="227"/>
      <c r="BS591" s="227"/>
      <c r="BT591" s="227"/>
      <c r="BU591" s="227"/>
      <c r="BV591" s="227"/>
      <c r="BW591" s="227"/>
      <c r="BX591" s="227"/>
      <c r="BY591" s="227"/>
      <c r="BZ591" s="227"/>
      <c r="CA591" s="227"/>
      <c r="CB591" s="227"/>
      <c r="CC591" s="227"/>
      <c r="CD591" s="227"/>
      <c r="CE591" s="227"/>
      <c r="CF591" s="227"/>
      <c r="CG591" s="227"/>
      <c r="CH591" s="227"/>
      <c r="CI591" s="227"/>
      <c r="CJ591" s="227"/>
      <c r="CK591" s="227"/>
      <c r="CL591" s="227"/>
      <c r="CM591" s="227"/>
      <c r="CN591" s="227"/>
      <c r="CO591" s="227"/>
      <c r="CP591" s="227"/>
      <c r="CQ591" s="227"/>
      <c r="CR591" s="227"/>
      <c r="CS591" s="227"/>
      <c r="CT591" s="227"/>
      <c r="CU591" s="225"/>
      <c r="CV591" s="227"/>
    </row>
    <row r="592" spans="1:100" ht="20.100000000000001" customHeight="1">
      <c r="A592" s="223"/>
      <c r="B592" s="225"/>
      <c r="C592" s="227"/>
      <c r="D592" s="224"/>
      <c r="E592" s="227"/>
      <c r="F592" s="227"/>
      <c r="G592" s="227"/>
      <c r="H592" s="227"/>
      <c r="I592" s="227"/>
      <c r="J592" s="227"/>
      <c r="K592" s="227"/>
      <c r="L592" s="227"/>
      <c r="M592" s="227"/>
      <c r="N592" s="227"/>
      <c r="O592" s="227"/>
      <c r="P592" s="227"/>
      <c r="Q592" s="227"/>
      <c r="R592" s="227"/>
      <c r="S592" s="227"/>
      <c r="T592" s="227"/>
      <c r="U592" s="227"/>
      <c r="V592" s="227"/>
      <c r="W592" s="227"/>
      <c r="X592" s="227"/>
      <c r="Y592" s="227"/>
      <c r="Z592" s="227"/>
      <c r="AA592" s="227"/>
      <c r="AB592" s="227"/>
      <c r="AC592" s="227"/>
      <c r="AD592" s="227"/>
      <c r="AE592" s="227"/>
      <c r="AF592" s="227"/>
      <c r="AG592" s="227"/>
      <c r="AH592" s="227"/>
      <c r="AI592" s="227"/>
      <c r="AJ592" s="227"/>
      <c r="AK592" s="227"/>
      <c r="AL592" s="227"/>
      <c r="AM592" s="227"/>
      <c r="AN592" s="227"/>
      <c r="AO592" s="227"/>
      <c r="AP592" s="227"/>
      <c r="AQ592" s="227"/>
      <c r="AR592" s="227"/>
      <c r="AS592" s="227"/>
      <c r="AT592" s="227"/>
      <c r="AU592" s="227"/>
      <c r="AV592" s="227"/>
      <c r="AW592" s="227"/>
      <c r="AX592" s="227"/>
      <c r="AY592" s="227"/>
      <c r="AZ592" s="227"/>
      <c r="BA592" s="227"/>
      <c r="BB592" s="227"/>
      <c r="BC592" s="227"/>
      <c r="BD592" s="227"/>
      <c r="BE592" s="227"/>
      <c r="BF592" s="227"/>
      <c r="BG592" s="227"/>
      <c r="BH592" s="227"/>
      <c r="BI592" s="227"/>
      <c r="BJ592" s="227"/>
      <c r="BK592" s="227"/>
      <c r="BL592" s="227"/>
      <c r="BM592" s="227"/>
      <c r="BN592" s="227"/>
      <c r="BO592" s="227"/>
      <c r="BP592" s="227"/>
      <c r="BQ592" s="227"/>
      <c r="BR592" s="227"/>
      <c r="BS592" s="227"/>
      <c r="BT592" s="227"/>
      <c r="BU592" s="227"/>
      <c r="BV592" s="227"/>
      <c r="BW592" s="227"/>
      <c r="BX592" s="227"/>
      <c r="BY592" s="227"/>
      <c r="BZ592" s="227"/>
      <c r="CA592" s="227"/>
      <c r="CB592" s="227"/>
      <c r="CC592" s="227"/>
      <c r="CD592" s="227"/>
      <c r="CE592" s="227"/>
      <c r="CF592" s="227"/>
      <c r="CG592" s="227"/>
      <c r="CH592" s="227"/>
      <c r="CI592" s="227"/>
      <c r="CJ592" s="227"/>
      <c r="CK592" s="227"/>
      <c r="CL592" s="227"/>
      <c r="CM592" s="227"/>
      <c r="CN592" s="227"/>
      <c r="CO592" s="227"/>
      <c r="CP592" s="227"/>
      <c r="CQ592" s="227"/>
      <c r="CR592" s="227"/>
      <c r="CS592" s="227"/>
      <c r="CT592" s="227"/>
      <c r="CU592" s="225"/>
      <c r="CV592" s="227"/>
    </row>
    <row r="593" spans="1:100" ht="20.100000000000001" customHeight="1">
      <c r="A593" s="227">
        <v>293</v>
      </c>
      <c r="B593" s="225"/>
      <c r="C593" s="227"/>
      <c r="D593" s="228">
        <f>(SUMPRODUCT(E593:CU593*$E$6:$CU$6)/100)+(SUMPRODUCT(E593:CU593*$E$6:$CU$6*$E$3:$CU$3)/100)</f>
        <v>0</v>
      </c>
      <c r="E593" s="227"/>
      <c r="F593" s="227"/>
      <c r="G593" s="227"/>
      <c r="H593" s="227"/>
      <c r="I593" s="227"/>
      <c r="J593" s="227"/>
      <c r="K593" s="227"/>
      <c r="L593" s="227"/>
      <c r="M593" s="227"/>
      <c r="N593" s="227"/>
      <c r="O593" s="227"/>
      <c r="P593" s="227"/>
      <c r="Q593" s="227"/>
      <c r="R593" s="227"/>
      <c r="S593" s="227"/>
      <c r="T593" s="227"/>
      <c r="U593" s="227"/>
      <c r="V593" s="227"/>
      <c r="W593" s="227"/>
      <c r="X593" s="227"/>
      <c r="Y593" s="227"/>
      <c r="Z593" s="227"/>
      <c r="AA593" s="227"/>
      <c r="AB593" s="227"/>
      <c r="AC593" s="227"/>
      <c r="AD593" s="227"/>
      <c r="AE593" s="227"/>
      <c r="AF593" s="227"/>
      <c r="AG593" s="227"/>
      <c r="AH593" s="227"/>
      <c r="AI593" s="227"/>
      <c r="AJ593" s="227"/>
      <c r="AK593" s="227"/>
      <c r="AL593" s="227"/>
      <c r="AM593" s="227"/>
      <c r="AN593" s="227"/>
      <c r="AO593" s="227"/>
      <c r="AP593" s="227"/>
      <c r="AQ593" s="227"/>
      <c r="AR593" s="227"/>
      <c r="AS593" s="227"/>
      <c r="AT593" s="227"/>
      <c r="AU593" s="227"/>
      <c r="AV593" s="227"/>
      <c r="AW593" s="227"/>
      <c r="AX593" s="227"/>
      <c r="AY593" s="227"/>
      <c r="AZ593" s="227"/>
      <c r="BA593" s="227"/>
      <c r="BB593" s="227"/>
      <c r="BC593" s="227"/>
      <c r="BD593" s="227"/>
      <c r="BE593" s="227"/>
      <c r="BF593" s="227"/>
      <c r="BG593" s="227"/>
      <c r="BH593" s="227"/>
      <c r="BI593" s="227"/>
      <c r="BJ593" s="227"/>
      <c r="BK593" s="227"/>
      <c r="BL593" s="227"/>
      <c r="BM593" s="227"/>
      <c r="BN593" s="227"/>
      <c r="BO593" s="227"/>
      <c r="BP593" s="227"/>
      <c r="BQ593" s="227"/>
      <c r="BR593" s="227"/>
      <c r="BS593" s="227"/>
      <c r="BT593" s="227"/>
      <c r="BU593" s="227"/>
      <c r="BV593" s="227"/>
      <c r="BW593" s="227"/>
      <c r="BX593" s="227"/>
      <c r="BY593" s="227"/>
      <c r="BZ593" s="227"/>
      <c r="CA593" s="227"/>
      <c r="CB593" s="227"/>
      <c r="CC593" s="227"/>
      <c r="CD593" s="227"/>
      <c r="CE593" s="227"/>
      <c r="CF593" s="227"/>
      <c r="CG593" s="227"/>
      <c r="CH593" s="227"/>
      <c r="CI593" s="227"/>
      <c r="CJ593" s="227"/>
      <c r="CK593" s="227"/>
      <c r="CL593" s="227"/>
      <c r="CM593" s="227"/>
      <c r="CN593" s="227"/>
      <c r="CO593" s="227"/>
      <c r="CP593" s="227"/>
      <c r="CQ593" s="227"/>
      <c r="CR593" s="227"/>
      <c r="CS593" s="227"/>
      <c r="CT593" s="227"/>
      <c r="CU593" s="225"/>
      <c r="CV593" s="227"/>
    </row>
    <row r="594" spans="1:100" ht="20.100000000000001" customHeight="1">
      <c r="A594" s="227"/>
      <c r="B594" s="225"/>
      <c r="C594" s="227"/>
      <c r="D594" s="224"/>
      <c r="E594" s="227"/>
      <c r="F594" s="227"/>
      <c r="G594" s="227"/>
      <c r="H594" s="227"/>
      <c r="I594" s="227"/>
      <c r="J594" s="227"/>
      <c r="K594" s="227"/>
      <c r="L594" s="227"/>
      <c r="M594" s="227"/>
      <c r="N594" s="227"/>
      <c r="O594" s="227"/>
      <c r="P594" s="227"/>
      <c r="Q594" s="227"/>
      <c r="R594" s="227"/>
      <c r="S594" s="227"/>
      <c r="T594" s="227"/>
      <c r="U594" s="227"/>
      <c r="V594" s="227"/>
      <c r="W594" s="227"/>
      <c r="X594" s="227"/>
      <c r="Y594" s="227"/>
      <c r="Z594" s="227"/>
      <c r="AA594" s="227"/>
      <c r="AB594" s="227"/>
      <c r="AC594" s="227"/>
      <c r="AD594" s="227"/>
      <c r="AE594" s="227"/>
      <c r="AF594" s="227"/>
      <c r="AG594" s="227"/>
      <c r="AH594" s="227"/>
      <c r="AI594" s="227"/>
      <c r="AJ594" s="227"/>
      <c r="AK594" s="227"/>
      <c r="AL594" s="227"/>
      <c r="AM594" s="227"/>
      <c r="AN594" s="227"/>
      <c r="AO594" s="227"/>
      <c r="AP594" s="227"/>
      <c r="AQ594" s="227"/>
      <c r="AR594" s="227"/>
      <c r="AS594" s="227"/>
      <c r="AT594" s="227"/>
      <c r="AU594" s="227"/>
      <c r="AV594" s="227"/>
      <c r="AW594" s="227"/>
      <c r="AX594" s="227"/>
      <c r="AY594" s="227"/>
      <c r="AZ594" s="227"/>
      <c r="BA594" s="227"/>
      <c r="BB594" s="227"/>
      <c r="BC594" s="227"/>
      <c r="BD594" s="227"/>
      <c r="BE594" s="227"/>
      <c r="BF594" s="227"/>
      <c r="BG594" s="227"/>
      <c r="BH594" s="227"/>
      <c r="BI594" s="227"/>
      <c r="BJ594" s="227"/>
      <c r="BK594" s="227"/>
      <c r="BL594" s="227"/>
      <c r="BM594" s="227"/>
      <c r="BN594" s="227"/>
      <c r="BO594" s="227"/>
      <c r="BP594" s="227"/>
      <c r="BQ594" s="227"/>
      <c r="BR594" s="227"/>
      <c r="BS594" s="227"/>
      <c r="BT594" s="227"/>
      <c r="BU594" s="227"/>
      <c r="BV594" s="227"/>
      <c r="BW594" s="227"/>
      <c r="BX594" s="227"/>
      <c r="BY594" s="227"/>
      <c r="BZ594" s="227"/>
      <c r="CA594" s="227"/>
      <c r="CB594" s="227"/>
      <c r="CC594" s="227"/>
      <c r="CD594" s="227"/>
      <c r="CE594" s="227"/>
      <c r="CF594" s="227"/>
      <c r="CG594" s="227"/>
      <c r="CH594" s="227"/>
      <c r="CI594" s="227"/>
      <c r="CJ594" s="227"/>
      <c r="CK594" s="227"/>
      <c r="CL594" s="227"/>
      <c r="CM594" s="227"/>
      <c r="CN594" s="227"/>
      <c r="CO594" s="227"/>
      <c r="CP594" s="227"/>
      <c r="CQ594" s="227"/>
      <c r="CR594" s="227"/>
      <c r="CS594" s="227"/>
      <c r="CT594" s="227"/>
      <c r="CU594" s="225"/>
      <c r="CV594" s="227"/>
    </row>
    <row r="595" spans="1:100" ht="20.100000000000001" customHeight="1">
      <c r="A595" s="227">
        <v>294</v>
      </c>
      <c r="B595" s="225"/>
      <c r="C595" s="227"/>
      <c r="D595" s="228">
        <f>(SUMPRODUCT(E595:CU595*$E$6:$CU$6)/100)+(SUMPRODUCT(E595:CU595*$E$6:$CU$6*$E$3:$CU$3)/100)</f>
        <v>0</v>
      </c>
      <c r="E595" s="227"/>
      <c r="F595" s="227"/>
      <c r="G595" s="227"/>
      <c r="H595" s="227"/>
      <c r="I595" s="227"/>
      <c r="J595" s="227"/>
      <c r="K595" s="227"/>
      <c r="L595" s="227"/>
      <c r="M595" s="227"/>
      <c r="N595" s="227"/>
      <c r="O595" s="227"/>
      <c r="P595" s="227"/>
      <c r="Q595" s="227"/>
      <c r="R595" s="227"/>
      <c r="S595" s="227"/>
      <c r="T595" s="227"/>
      <c r="U595" s="227"/>
      <c r="V595" s="227"/>
      <c r="W595" s="227"/>
      <c r="X595" s="227"/>
      <c r="Y595" s="227"/>
      <c r="Z595" s="227"/>
      <c r="AA595" s="227"/>
      <c r="AB595" s="227"/>
      <c r="AC595" s="227"/>
      <c r="AD595" s="227"/>
      <c r="AE595" s="227"/>
      <c r="AF595" s="227"/>
      <c r="AG595" s="227"/>
      <c r="AH595" s="227"/>
      <c r="AI595" s="227"/>
      <c r="AJ595" s="227"/>
      <c r="AK595" s="227"/>
      <c r="AL595" s="227"/>
      <c r="AM595" s="227"/>
      <c r="AN595" s="227"/>
      <c r="AO595" s="227"/>
      <c r="AP595" s="227"/>
      <c r="AQ595" s="227"/>
      <c r="AR595" s="227"/>
      <c r="AS595" s="227"/>
      <c r="AT595" s="227"/>
      <c r="AU595" s="227"/>
      <c r="AV595" s="227"/>
      <c r="AW595" s="227"/>
      <c r="AX595" s="227"/>
      <c r="AY595" s="227"/>
      <c r="AZ595" s="227"/>
      <c r="BA595" s="227"/>
      <c r="BB595" s="227"/>
      <c r="BC595" s="227"/>
      <c r="BD595" s="227"/>
      <c r="BE595" s="227"/>
      <c r="BF595" s="227"/>
      <c r="BG595" s="227"/>
      <c r="BH595" s="227"/>
      <c r="BI595" s="227"/>
      <c r="BJ595" s="227"/>
      <c r="BK595" s="227"/>
      <c r="BL595" s="227"/>
      <c r="BM595" s="227"/>
      <c r="BN595" s="227"/>
      <c r="BO595" s="227"/>
      <c r="BP595" s="227"/>
      <c r="BQ595" s="227"/>
      <c r="BR595" s="227"/>
      <c r="BS595" s="227"/>
      <c r="BT595" s="227"/>
      <c r="BU595" s="227"/>
      <c r="BV595" s="227"/>
      <c r="BW595" s="227"/>
      <c r="BX595" s="227"/>
      <c r="BY595" s="227"/>
      <c r="BZ595" s="227"/>
      <c r="CA595" s="227"/>
      <c r="CB595" s="227"/>
      <c r="CC595" s="227"/>
      <c r="CD595" s="227"/>
      <c r="CE595" s="227"/>
      <c r="CF595" s="227"/>
      <c r="CG595" s="227"/>
      <c r="CH595" s="227"/>
      <c r="CI595" s="227"/>
      <c r="CJ595" s="227"/>
      <c r="CK595" s="227"/>
      <c r="CL595" s="227"/>
      <c r="CM595" s="227"/>
      <c r="CN595" s="227"/>
      <c r="CO595" s="227"/>
      <c r="CP595" s="227"/>
      <c r="CQ595" s="227"/>
      <c r="CR595" s="227"/>
      <c r="CS595" s="227"/>
      <c r="CT595" s="227"/>
      <c r="CU595" s="225"/>
      <c r="CV595" s="227"/>
    </row>
    <row r="596" spans="1:100" ht="20.100000000000001" customHeight="1">
      <c r="A596" s="223"/>
      <c r="B596" s="225"/>
      <c r="C596" s="227"/>
      <c r="D596" s="224"/>
      <c r="E596" s="227"/>
      <c r="F596" s="227"/>
      <c r="G596" s="227"/>
      <c r="H596" s="227"/>
      <c r="I596" s="227"/>
      <c r="J596" s="227"/>
      <c r="K596" s="227"/>
      <c r="L596" s="227"/>
      <c r="M596" s="227"/>
      <c r="N596" s="227"/>
      <c r="O596" s="227"/>
      <c r="P596" s="227"/>
      <c r="Q596" s="227"/>
      <c r="R596" s="227"/>
      <c r="S596" s="227"/>
      <c r="T596" s="227"/>
      <c r="U596" s="227"/>
      <c r="V596" s="227"/>
      <c r="W596" s="227"/>
      <c r="X596" s="227"/>
      <c r="Y596" s="227"/>
      <c r="Z596" s="227"/>
      <c r="AA596" s="227"/>
      <c r="AB596" s="227"/>
      <c r="AC596" s="227"/>
      <c r="AD596" s="227"/>
      <c r="AE596" s="227"/>
      <c r="AF596" s="227"/>
      <c r="AG596" s="227"/>
      <c r="AH596" s="227"/>
      <c r="AI596" s="227"/>
      <c r="AJ596" s="227"/>
      <c r="AK596" s="227"/>
      <c r="AL596" s="227"/>
      <c r="AM596" s="227"/>
      <c r="AN596" s="227"/>
      <c r="AO596" s="227"/>
      <c r="AP596" s="227"/>
      <c r="AQ596" s="227"/>
      <c r="AR596" s="227"/>
      <c r="AS596" s="227"/>
      <c r="AT596" s="227"/>
      <c r="AU596" s="227"/>
      <c r="AV596" s="227"/>
      <c r="AW596" s="227"/>
      <c r="AX596" s="227"/>
      <c r="AY596" s="227"/>
      <c r="AZ596" s="227"/>
      <c r="BA596" s="227"/>
      <c r="BB596" s="227"/>
      <c r="BC596" s="227"/>
      <c r="BD596" s="227"/>
      <c r="BE596" s="227"/>
      <c r="BF596" s="227"/>
      <c r="BG596" s="227"/>
      <c r="BH596" s="227"/>
      <c r="BI596" s="227"/>
      <c r="BJ596" s="227"/>
      <c r="BK596" s="227"/>
      <c r="BL596" s="227"/>
      <c r="BM596" s="227"/>
      <c r="BN596" s="227"/>
      <c r="BO596" s="227"/>
      <c r="BP596" s="227"/>
      <c r="BQ596" s="227"/>
      <c r="BR596" s="227"/>
      <c r="BS596" s="227"/>
      <c r="BT596" s="227"/>
      <c r="BU596" s="227"/>
      <c r="BV596" s="227"/>
      <c r="BW596" s="227"/>
      <c r="BX596" s="227"/>
      <c r="BY596" s="227"/>
      <c r="BZ596" s="227"/>
      <c r="CA596" s="227"/>
      <c r="CB596" s="227"/>
      <c r="CC596" s="227"/>
      <c r="CD596" s="227"/>
      <c r="CE596" s="227"/>
      <c r="CF596" s="227"/>
      <c r="CG596" s="227"/>
      <c r="CH596" s="227"/>
      <c r="CI596" s="227"/>
      <c r="CJ596" s="227"/>
      <c r="CK596" s="227"/>
      <c r="CL596" s="227"/>
      <c r="CM596" s="227"/>
      <c r="CN596" s="227"/>
      <c r="CO596" s="227"/>
      <c r="CP596" s="227"/>
      <c r="CQ596" s="227"/>
      <c r="CR596" s="227"/>
      <c r="CS596" s="227"/>
      <c r="CT596" s="227"/>
      <c r="CU596" s="225"/>
      <c r="CV596" s="227"/>
    </row>
    <row r="597" spans="1:100" ht="20.100000000000001" customHeight="1">
      <c r="A597" s="227">
        <v>295</v>
      </c>
      <c r="B597" s="225"/>
      <c r="C597" s="227"/>
      <c r="D597" s="228">
        <f>(SUMPRODUCT(E597:CU597*$E$6:$CU$6)/100)+(SUMPRODUCT(E597:CU597*$E$6:$CU$6*$E$3:$CU$3)/100)</f>
        <v>0</v>
      </c>
      <c r="E597" s="227"/>
      <c r="F597" s="227"/>
      <c r="G597" s="227"/>
      <c r="H597" s="227"/>
      <c r="I597" s="227"/>
      <c r="J597" s="227"/>
      <c r="K597" s="227"/>
      <c r="L597" s="227"/>
      <c r="M597" s="227"/>
      <c r="N597" s="227"/>
      <c r="O597" s="227"/>
      <c r="P597" s="227"/>
      <c r="Q597" s="227"/>
      <c r="R597" s="227"/>
      <c r="S597" s="227"/>
      <c r="T597" s="227"/>
      <c r="U597" s="227"/>
      <c r="V597" s="227"/>
      <c r="W597" s="227"/>
      <c r="X597" s="227"/>
      <c r="Y597" s="227"/>
      <c r="Z597" s="227"/>
      <c r="AA597" s="227"/>
      <c r="AB597" s="227"/>
      <c r="AC597" s="227"/>
      <c r="AD597" s="227"/>
      <c r="AE597" s="227"/>
      <c r="AF597" s="227"/>
      <c r="AG597" s="227"/>
      <c r="AH597" s="227"/>
      <c r="AI597" s="227"/>
      <c r="AJ597" s="227"/>
      <c r="AK597" s="227"/>
      <c r="AL597" s="227"/>
      <c r="AM597" s="227"/>
      <c r="AN597" s="227"/>
      <c r="AO597" s="227"/>
      <c r="AP597" s="227"/>
      <c r="AQ597" s="227"/>
      <c r="AR597" s="227"/>
      <c r="AS597" s="227"/>
      <c r="AT597" s="227"/>
      <c r="AU597" s="227"/>
      <c r="AV597" s="227"/>
      <c r="AW597" s="227"/>
      <c r="AX597" s="227"/>
      <c r="AY597" s="227"/>
      <c r="AZ597" s="227"/>
      <c r="BA597" s="227"/>
      <c r="BB597" s="227"/>
      <c r="BC597" s="227"/>
      <c r="BD597" s="227"/>
      <c r="BE597" s="227"/>
      <c r="BF597" s="227"/>
      <c r="BG597" s="227"/>
      <c r="BH597" s="227"/>
      <c r="BI597" s="227"/>
      <c r="BJ597" s="227"/>
      <c r="BK597" s="227"/>
      <c r="BL597" s="227"/>
      <c r="BM597" s="227"/>
      <c r="BN597" s="227"/>
      <c r="BO597" s="227"/>
      <c r="BP597" s="227"/>
      <c r="BQ597" s="227"/>
      <c r="BR597" s="227"/>
      <c r="BS597" s="227"/>
      <c r="BT597" s="227"/>
      <c r="BU597" s="227"/>
      <c r="BV597" s="227"/>
      <c r="BW597" s="227"/>
      <c r="BX597" s="227"/>
      <c r="BY597" s="227"/>
      <c r="BZ597" s="227"/>
      <c r="CA597" s="227"/>
      <c r="CB597" s="227"/>
      <c r="CC597" s="227"/>
      <c r="CD597" s="227"/>
      <c r="CE597" s="227"/>
      <c r="CF597" s="227"/>
      <c r="CG597" s="227"/>
      <c r="CH597" s="227"/>
      <c r="CI597" s="227"/>
      <c r="CJ597" s="227"/>
      <c r="CK597" s="227"/>
      <c r="CL597" s="227"/>
      <c r="CM597" s="227"/>
      <c r="CN597" s="227"/>
      <c r="CO597" s="227"/>
      <c r="CP597" s="227"/>
      <c r="CQ597" s="227"/>
      <c r="CR597" s="227"/>
      <c r="CS597" s="227"/>
      <c r="CT597" s="227"/>
      <c r="CU597" s="225"/>
      <c r="CV597" s="227"/>
    </row>
    <row r="598" spans="1:100" ht="20.100000000000001" customHeight="1">
      <c r="A598" s="227"/>
      <c r="B598" s="225"/>
      <c r="C598" s="227"/>
      <c r="D598" s="224"/>
      <c r="E598" s="227"/>
      <c r="F598" s="227"/>
      <c r="G598" s="227"/>
      <c r="H598" s="227"/>
      <c r="I598" s="227"/>
      <c r="J598" s="227"/>
      <c r="K598" s="227"/>
      <c r="L598" s="227"/>
      <c r="M598" s="227"/>
      <c r="N598" s="227"/>
      <c r="O598" s="227"/>
      <c r="P598" s="227"/>
      <c r="Q598" s="227"/>
      <c r="R598" s="227"/>
      <c r="S598" s="227"/>
      <c r="T598" s="227"/>
      <c r="U598" s="227"/>
      <c r="V598" s="227"/>
      <c r="W598" s="227"/>
      <c r="X598" s="227"/>
      <c r="Y598" s="227"/>
      <c r="Z598" s="227"/>
      <c r="AA598" s="227"/>
      <c r="AB598" s="227"/>
      <c r="AC598" s="227"/>
      <c r="AD598" s="227"/>
      <c r="AE598" s="227"/>
      <c r="AF598" s="227"/>
      <c r="AG598" s="227"/>
      <c r="AH598" s="227"/>
      <c r="AI598" s="227"/>
      <c r="AJ598" s="227"/>
      <c r="AK598" s="227"/>
      <c r="AL598" s="227"/>
      <c r="AM598" s="227"/>
      <c r="AN598" s="227"/>
      <c r="AO598" s="227"/>
      <c r="AP598" s="227"/>
      <c r="AQ598" s="227"/>
      <c r="AR598" s="227"/>
      <c r="AS598" s="227"/>
      <c r="AT598" s="227"/>
      <c r="AU598" s="227"/>
      <c r="AV598" s="227"/>
      <c r="AW598" s="227"/>
      <c r="AX598" s="227"/>
      <c r="AY598" s="227"/>
      <c r="AZ598" s="227"/>
      <c r="BA598" s="227"/>
      <c r="BB598" s="227"/>
      <c r="BC598" s="227"/>
      <c r="BD598" s="227"/>
      <c r="BE598" s="227"/>
      <c r="BF598" s="227"/>
      <c r="BG598" s="227"/>
      <c r="BH598" s="227"/>
      <c r="BI598" s="227"/>
      <c r="BJ598" s="227"/>
      <c r="BK598" s="227"/>
      <c r="BL598" s="227"/>
      <c r="BM598" s="227"/>
      <c r="BN598" s="227"/>
      <c r="BO598" s="227"/>
      <c r="BP598" s="227"/>
      <c r="BQ598" s="227"/>
      <c r="BR598" s="227"/>
      <c r="BS598" s="227"/>
      <c r="BT598" s="227"/>
      <c r="BU598" s="227"/>
      <c r="BV598" s="227"/>
      <c r="BW598" s="227"/>
      <c r="BX598" s="227"/>
      <c r="BY598" s="227"/>
      <c r="BZ598" s="227"/>
      <c r="CA598" s="227"/>
      <c r="CB598" s="227"/>
      <c r="CC598" s="227"/>
      <c r="CD598" s="227"/>
      <c r="CE598" s="227"/>
      <c r="CF598" s="227"/>
      <c r="CG598" s="227"/>
      <c r="CH598" s="227"/>
      <c r="CI598" s="227"/>
      <c r="CJ598" s="227"/>
      <c r="CK598" s="227"/>
      <c r="CL598" s="227"/>
      <c r="CM598" s="227"/>
      <c r="CN598" s="227"/>
      <c r="CO598" s="227"/>
      <c r="CP598" s="227"/>
      <c r="CQ598" s="227"/>
      <c r="CR598" s="227"/>
      <c r="CS598" s="227"/>
      <c r="CT598" s="227"/>
      <c r="CU598" s="225"/>
      <c r="CV598" s="227"/>
    </row>
    <row r="599" spans="1:100" ht="20.100000000000001" customHeight="1">
      <c r="A599" s="227">
        <v>296</v>
      </c>
      <c r="B599" s="225"/>
      <c r="C599" s="227"/>
      <c r="D599" s="228">
        <f>(SUMPRODUCT(E599:CU599*$E$6:$CU$6)/100)+(SUMPRODUCT(E599:CU599*$E$6:$CU$6*$E$3:$CU$3)/100)</f>
        <v>0</v>
      </c>
      <c r="E599" s="227"/>
      <c r="F599" s="227"/>
      <c r="G599" s="227"/>
      <c r="H599" s="227"/>
      <c r="I599" s="227"/>
      <c r="J599" s="227"/>
      <c r="K599" s="227"/>
      <c r="L599" s="227"/>
      <c r="M599" s="227"/>
      <c r="N599" s="227"/>
      <c r="O599" s="227"/>
      <c r="P599" s="227"/>
      <c r="Q599" s="227"/>
      <c r="R599" s="227"/>
      <c r="S599" s="227"/>
      <c r="T599" s="227"/>
      <c r="U599" s="227"/>
      <c r="V599" s="227"/>
      <c r="W599" s="227"/>
      <c r="X599" s="227"/>
      <c r="Y599" s="227"/>
      <c r="Z599" s="227"/>
      <c r="AA599" s="227"/>
      <c r="AB599" s="227"/>
      <c r="AC599" s="227"/>
      <c r="AD599" s="227"/>
      <c r="AE599" s="227"/>
      <c r="AF599" s="227"/>
      <c r="AG599" s="227"/>
      <c r="AH599" s="227"/>
      <c r="AI599" s="227"/>
      <c r="AJ599" s="227"/>
      <c r="AK599" s="227"/>
      <c r="AL599" s="227"/>
      <c r="AM599" s="227"/>
      <c r="AN599" s="227"/>
      <c r="AO599" s="227"/>
      <c r="AP599" s="227"/>
      <c r="AQ599" s="227"/>
      <c r="AR599" s="227"/>
      <c r="AS599" s="227"/>
      <c r="AT599" s="227"/>
      <c r="AU599" s="227"/>
      <c r="AV599" s="227"/>
      <c r="AW599" s="227"/>
      <c r="AX599" s="227"/>
      <c r="AY599" s="227"/>
      <c r="AZ599" s="227"/>
      <c r="BA599" s="227"/>
      <c r="BB599" s="227"/>
      <c r="BC599" s="227"/>
      <c r="BD599" s="227"/>
      <c r="BE599" s="227"/>
      <c r="BF599" s="227"/>
      <c r="BG599" s="227"/>
      <c r="BH599" s="227"/>
      <c r="BI599" s="227"/>
      <c r="BJ599" s="227"/>
      <c r="BK599" s="227"/>
      <c r="BL599" s="227"/>
      <c r="BM599" s="227"/>
      <c r="BN599" s="227"/>
      <c r="BO599" s="227"/>
      <c r="BP599" s="227"/>
      <c r="BQ599" s="227"/>
      <c r="BR599" s="227"/>
      <c r="BS599" s="227"/>
      <c r="BT599" s="227"/>
      <c r="BU599" s="227"/>
      <c r="BV599" s="227"/>
      <c r="BW599" s="227"/>
      <c r="BX599" s="227"/>
      <c r="BY599" s="227"/>
      <c r="BZ599" s="227"/>
      <c r="CA599" s="227"/>
      <c r="CB599" s="227"/>
      <c r="CC599" s="227"/>
      <c r="CD599" s="227"/>
      <c r="CE599" s="227"/>
      <c r="CF599" s="227"/>
      <c r="CG599" s="227"/>
      <c r="CH599" s="227"/>
      <c r="CI599" s="227"/>
      <c r="CJ599" s="227"/>
      <c r="CK599" s="227"/>
      <c r="CL599" s="227"/>
      <c r="CM599" s="227"/>
      <c r="CN599" s="227"/>
      <c r="CO599" s="227"/>
      <c r="CP599" s="227"/>
      <c r="CQ599" s="227"/>
      <c r="CR599" s="227"/>
      <c r="CS599" s="227"/>
      <c r="CT599" s="227"/>
      <c r="CU599" s="225"/>
      <c r="CV599" s="227"/>
    </row>
    <row r="600" spans="1:100" ht="20.100000000000001" customHeight="1">
      <c r="A600" s="223"/>
      <c r="B600" s="225"/>
      <c r="C600" s="227"/>
      <c r="D600" s="224"/>
      <c r="E600" s="227"/>
      <c r="F600" s="227"/>
      <c r="G600" s="227"/>
      <c r="H600" s="227"/>
      <c r="I600" s="227"/>
      <c r="J600" s="227"/>
      <c r="K600" s="227"/>
      <c r="L600" s="227"/>
      <c r="M600" s="227"/>
      <c r="N600" s="227"/>
      <c r="O600" s="227"/>
      <c r="P600" s="227"/>
      <c r="Q600" s="227"/>
      <c r="R600" s="227"/>
      <c r="S600" s="227"/>
      <c r="T600" s="227"/>
      <c r="U600" s="227"/>
      <c r="V600" s="227"/>
      <c r="W600" s="227"/>
      <c r="X600" s="227"/>
      <c r="Y600" s="227"/>
      <c r="Z600" s="227"/>
      <c r="AA600" s="227"/>
      <c r="AB600" s="227"/>
      <c r="AC600" s="227"/>
      <c r="AD600" s="227"/>
      <c r="AE600" s="227"/>
      <c r="AF600" s="227"/>
      <c r="AG600" s="227"/>
      <c r="AH600" s="227"/>
      <c r="AI600" s="227"/>
      <c r="AJ600" s="227"/>
      <c r="AK600" s="227"/>
      <c r="AL600" s="227"/>
      <c r="AM600" s="227"/>
      <c r="AN600" s="227"/>
      <c r="AO600" s="227"/>
      <c r="AP600" s="227"/>
      <c r="AQ600" s="227"/>
      <c r="AR600" s="227"/>
      <c r="AS600" s="227"/>
      <c r="AT600" s="227"/>
      <c r="AU600" s="227"/>
      <c r="AV600" s="227"/>
      <c r="AW600" s="227"/>
      <c r="AX600" s="227"/>
      <c r="AY600" s="227"/>
      <c r="AZ600" s="227"/>
      <c r="BA600" s="227"/>
      <c r="BB600" s="227"/>
      <c r="BC600" s="227"/>
      <c r="BD600" s="227"/>
      <c r="BE600" s="227"/>
      <c r="BF600" s="227"/>
      <c r="BG600" s="227"/>
      <c r="BH600" s="227"/>
      <c r="BI600" s="227"/>
      <c r="BJ600" s="227"/>
      <c r="BK600" s="227"/>
      <c r="BL600" s="227"/>
      <c r="BM600" s="227"/>
      <c r="BN600" s="227"/>
      <c r="BO600" s="227"/>
      <c r="BP600" s="227"/>
      <c r="BQ600" s="227"/>
      <c r="BR600" s="227"/>
      <c r="BS600" s="227"/>
      <c r="BT600" s="227"/>
      <c r="BU600" s="227"/>
      <c r="BV600" s="227"/>
      <c r="BW600" s="227"/>
      <c r="BX600" s="227"/>
      <c r="BY600" s="227"/>
      <c r="BZ600" s="227"/>
      <c r="CA600" s="227"/>
      <c r="CB600" s="227"/>
      <c r="CC600" s="227"/>
      <c r="CD600" s="227"/>
      <c r="CE600" s="227"/>
      <c r="CF600" s="227"/>
      <c r="CG600" s="227"/>
      <c r="CH600" s="227"/>
      <c r="CI600" s="227"/>
      <c r="CJ600" s="227"/>
      <c r="CK600" s="227"/>
      <c r="CL600" s="227"/>
      <c r="CM600" s="227"/>
      <c r="CN600" s="227"/>
      <c r="CO600" s="227"/>
      <c r="CP600" s="227"/>
      <c r="CQ600" s="227"/>
      <c r="CR600" s="227"/>
      <c r="CS600" s="227"/>
      <c r="CT600" s="227"/>
      <c r="CU600" s="225"/>
      <c r="CV600" s="227"/>
    </row>
    <row r="601" spans="1:100" ht="20.100000000000001" customHeight="1">
      <c r="A601" s="227">
        <v>297</v>
      </c>
      <c r="B601" s="225"/>
      <c r="C601" s="227"/>
      <c r="D601" s="228">
        <f>(SUMPRODUCT(E601:CU601*$E$6:$CU$6)/100)+(SUMPRODUCT(E601:CU601*$E$6:$CU$6*$E$3:$CU$3)/100)</f>
        <v>0</v>
      </c>
      <c r="E601" s="227"/>
      <c r="F601" s="227"/>
      <c r="G601" s="227"/>
      <c r="H601" s="227"/>
      <c r="I601" s="227"/>
      <c r="J601" s="227"/>
      <c r="K601" s="227"/>
      <c r="L601" s="227"/>
      <c r="M601" s="227"/>
      <c r="N601" s="227"/>
      <c r="O601" s="227"/>
      <c r="P601" s="227"/>
      <c r="Q601" s="227"/>
      <c r="R601" s="227"/>
      <c r="S601" s="227"/>
      <c r="T601" s="227"/>
      <c r="U601" s="227"/>
      <c r="V601" s="227"/>
      <c r="W601" s="227"/>
      <c r="X601" s="227"/>
      <c r="Y601" s="227"/>
      <c r="Z601" s="227"/>
      <c r="AA601" s="227"/>
      <c r="AB601" s="227"/>
      <c r="AC601" s="227"/>
      <c r="AD601" s="227"/>
      <c r="AE601" s="227"/>
      <c r="AF601" s="227"/>
      <c r="AG601" s="227"/>
      <c r="AH601" s="227"/>
      <c r="AI601" s="227"/>
      <c r="AJ601" s="227"/>
      <c r="AK601" s="227"/>
      <c r="AL601" s="227"/>
      <c r="AM601" s="227"/>
      <c r="AN601" s="227"/>
      <c r="AO601" s="227"/>
      <c r="AP601" s="227"/>
      <c r="AQ601" s="227"/>
      <c r="AR601" s="227"/>
      <c r="AS601" s="227"/>
      <c r="AT601" s="227"/>
      <c r="AU601" s="227"/>
      <c r="AV601" s="227"/>
      <c r="AW601" s="227"/>
      <c r="AX601" s="227"/>
      <c r="AY601" s="227"/>
      <c r="AZ601" s="227"/>
      <c r="BA601" s="227"/>
      <c r="BB601" s="227"/>
      <c r="BC601" s="227"/>
      <c r="BD601" s="227"/>
      <c r="BE601" s="227"/>
      <c r="BF601" s="227"/>
      <c r="BG601" s="227"/>
      <c r="BH601" s="227"/>
      <c r="BI601" s="227"/>
      <c r="BJ601" s="227"/>
      <c r="BK601" s="227"/>
      <c r="BL601" s="227"/>
      <c r="BM601" s="227"/>
      <c r="BN601" s="227"/>
      <c r="BO601" s="227"/>
      <c r="BP601" s="227"/>
      <c r="BQ601" s="227"/>
      <c r="BR601" s="227"/>
      <c r="BS601" s="227"/>
      <c r="BT601" s="227"/>
      <c r="BU601" s="227"/>
      <c r="BV601" s="227"/>
      <c r="BW601" s="227"/>
      <c r="BX601" s="227"/>
      <c r="BY601" s="227"/>
      <c r="BZ601" s="227"/>
      <c r="CA601" s="227"/>
      <c r="CB601" s="227"/>
      <c r="CC601" s="227"/>
      <c r="CD601" s="227"/>
      <c r="CE601" s="227"/>
      <c r="CF601" s="227"/>
      <c r="CG601" s="227"/>
      <c r="CH601" s="227"/>
      <c r="CI601" s="227"/>
      <c r="CJ601" s="227"/>
      <c r="CK601" s="227"/>
      <c r="CL601" s="227"/>
      <c r="CM601" s="227"/>
      <c r="CN601" s="227"/>
      <c r="CO601" s="227"/>
      <c r="CP601" s="227"/>
      <c r="CQ601" s="227"/>
      <c r="CR601" s="227"/>
      <c r="CS601" s="227"/>
      <c r="CT601" s="227"/>
      <c r="CU601" s="225"/>
      <c r="CV601" s="227"/>
    </row>
    <row r="602" spans="1:100" ht="20.100000000000001" customHeight="1">
      <c r="A602" s="227"/>
      <c r="B602" s="225"/>
      <c r="C602" s="227"/>
      <c r="D602" s="224"/>
      <c r="E602" s="227"/>
      <c r="F602" s="227"/>
      <c r="G602" s="227"/>
      <c r="H602" s="227"/>
      <c r="I602" s="227"/>
      <c r="J602" s="227"/>
      <c r="K602" s="227"/>
      <c r="L602" s="227"/>
      <c r="M602" s="227"/>
      <c r="N602" s="227"/>
      <c r="O602" s="227"/>
      <c r="P602" s="227"/>
      <c r="Q602" s="227"/>
      <c r="R602" s="227"/>
      <c r="S602" s="227"/>
      <c r="T602" s="227"/>
      <c r="U602" s="227"/>
      <c r="V602" s="227"/>
      <c r="W602" s="227"/>
      <c r="X602" s="227"/>
      <c r="Y602" s="227"/>
      <c r="Z602" s="227"/>
      <c r="AA602" s="227"/>
      <c r="AB602" s="227"/>
      <c r="AC602" s="227"/>
      <c r="AD602" s="227"/>
      <c r="AE602" s="227"/>
      <c r="AF602" s="227"/>
      <c r="AG602" s="227"/>
      <c r="AH602" s="227"/>
      <c r="AI602" s="227"/>
      <c r="AJ602" s="227"/>
      <c r="AK602" s="227"/>
      <c r="AL602" s="227"/>
      <c r="AM602" s="227"/>
      <c r="AN602" s="227"/>
      <c r="AO602" s="227"/>
      <c r="AP602" s="227"/>
      <c r="AQ602" s="227"/>
      <c r="AR602" s="227"/>
      <c r="AS602" s="227"/>
      <c r="AT602" s="227"/>
      <c r="AU602" s="227"/>
      <c r="AV602" s="227"/>
      <c r="AW602" s="227"/>
      <c r="AX602" s="227"/>
      <c r="AY602" s="227"/>
      <c r="AZ602" s="227"/>
      <c r="BA602" s="227"/>
      <c r="BB602" s="227"/>
      <c r="BC602" s="227"/>
      <c r="BD602" s="227"/>
      <c r="BE602" s="227"/>
      <c r="BF602" s="227"/>
      <c r="BG602" s="227"/>
      <c r="BH602" s="227"/>
      <c r="BI602" s="227"/>
      <c r="BJ602" s="227"/>
      <c r="BK602" s="227"/>
      <c r="BL602" s="227"/>
      <c r="BM602" s="227"/>
      <c r="BN602" s="227"/>
      <c r="BO602" s="227"/>
      <c r="BP602" s="227"/>
      <c r="BQ602" s="227"/>
      <c r="BR602" s="227"/>
      <c r="BS602" s="227"/>
      <c r="BT602" s="227"/>
      <c r="BU602" s="227"/>
      <c r="BV602" s="227"/>
      <c r="BW602" s="227"/>
      <c r="BX602" s="227"/>
      <c r="BY602" s="227"/>
      <c r="BZ602" s="227"/>
      <c r="CA602" s="227"/>
      <c r="CB602" s="227"/>
      <c r="CC602" s="227"/>
      <c r="CD602" s="227"/>
      <c r="CE602" s="227"/>
      <c r="CF602" s="227"/>
      <c r="CG602" s="227"/>
      <c r="CH602" s="227"/>
      <c r="CI602" s="227"/>
      <c r="CJ602" s="227"/>
      <c r="CK602" s="227"/>
      <c r="CL602" s="227"/>
      <c r="CM602" s="227"/>
      <c r="CN602" s="227"/>
      <c r="CO602" s="227"/>
      <c r="CP602" s="227"/>
      <c r="CQ602" s="227"/>
      <c r="CR602" s="227"/>
      <c r="CS602" s="227"/>
      <c r="CT602" s="227"/>
      <c r="CU602" s="225"/>
      <c r="CV602" s="227"/>
    </row>
    <row r="603" spans="1:100" ht="20.100000000000001" customHeight="1">
      <c r="A603" s="227">
        <v>298</v>
      </c>
      <c r="B603" s="225"/>
      <c r="C603" s="227"/>
      <c r="D603" s="228">
        <f>(SUMPRODUCT(E603:CU603*$E$6:$CU$6)/100)+(SUMPRODUCT(E603:CU603*$E$6:$CU$6*$E$3:$CU$3)/100)</f>
        <v>0</v>
      </c>
      <c r="E603" s="227"/>
      <c r="F603" s="227"/>
      <c r="G603" s="227"/>
      <c r="H603" s="227"/>
      <c r="I603" s="227"/>
      <c r="J603" s="227"/>
      <c r="K603" s="227"/>
      <c r="L603" s="227"/>
      <c r="M603" s="227"/>
      <c r="N603" s="227"/>
      <c r="O603" s="227"/>
      <c r="P603" s="227"/>
      <c r="Q603" s="227"/>
      <c r="R603" s="227"/>
      <c r="S603" s="227"/>
      <c r="T603" s="227"/>
      <c r="U603" s="227"/>
      <c r="V603" s="227"/>
      <c r="W603" s="227"/>
      <c r="X603" s="227"/>
      <c r="Y603" s="227"/>
      <c r="Z603" s="227"/>
      <c r="AA603" s="227"/>
      <c r="AB603" s="227"/>
      <c r="AC603" s="227"/>
      <c r="AD603" s="227"/>
      <c r="AE603" s="227"/>
      <c r="AF603" s="227"/>
      <c r="AG603" s="227"/>
      <c r="AH603" s="227"/>
      <c r="AI603" s="227"/>
      <c r="AJ603" s="227"/>
      <c r="AK603" s="227"/>
      <c r="AL603" s="227"/>
      <c r="AM603" s="227"/>
      <c r="AN603" s="227"/>
      <c r="AO603" s="227"/>
      <c r="AP603" s="227"/>
      <c r="AQ603" s="227"/>
      <c r="AR603" s="227"/>
      <c r="AS603" s="227"/>
      <c r="AT603" s="227"/>
      <c r="AU603" s="227"/>
      <c r="AV603" s="227"/>
      <c r="AW603" s="227"/>
      <c r="AX603" s="227"/>
      <c r="AY603" s="227"/>
      <c r="AZ603" s="227"/>
      <c r="BA603" s="227"/>
      <c r="BB603" s="227"/>
      <c r="BC603" s="227"/>
      <c r="BD603" s="227"/>
      <c r="BE603" s="227"/>
      <c r="BF603" s="227"/>
      <c r="BG603" s="227"/>
      <c r="BH603" s="227"/>
      <c r="BI603" s="227"/>
      <c r="BJ603" s="227"/>
      <c r="BK603" s="227"/>
      <c r="BL603" s="227"/>
      <c r="BM603" s="227"/>
      <c r="BN603" s="227"/>
      <c r="BO603" s="227"/>
      <c r="BP603" s="227"/>
      <c r="BQ603" s="227"/>
      <c r="BR603" s="227"/>
      <c r="BS603" s="227"/>
      <c r="BT603" s="227"/>
      <c r="BU603" s="227"/>
      <c r="BV603" s="227"/>
      <c r="BW603" s="227"/>
      <c r="BX603" s="227"/>
      <c r="BY603" s="227"/>
      <c r="BZ603" s="227"/>
      <c r="CA603" s="227"/>
      <c r="CB603" s="227"/>
      <c r="CC603" s="227"/>
      <c r="CD603" s="227"/>
      <c r="CE603" s="227"/>
      <c r="CF603" s="227"/>
      <c r="CG603" s="227"/>
      <c r="CH603" s="227"/>
      <c r="CI603" s="227"/>
      <c r="CJ603" s="227"/>
      <c r="CK603" s="227"/>
      <c r="CL603" s="227"/>
      <c r="CM603" s="227"/>
      <c r="CN603" s="227"/>
      <c r="CO603" s="227"/>
      <c r="CP603" s="227"/>
      <c r="CQ603" s="227"/>
      <c r="CR603" s="227"/>
      <c r="CS603" s="227"/>
      <c r="CT603" s="227"/>
      <c r="CU603" s="225"/>
      <c r="CV603" s="227"/>
    </row>
    <row r="604" spans="1:100" ht="20.100000000000001" customHeight="1">
      <c r="A604" s="223"/>
      <c r="B604" s="225"/>
      <c r="C604" s="227"/>
      <c r="D604" s="224"/>
      <c r="E604" s="227"/>
      <c r="F604" s="227"/>
      <c r="G604" s="227"/>
      <c r="H604" s="227"/>
      <c r="I604" s="227"/>
      <c r="J604" s="227"/>
      <c r="K604" s="227"/>
      <c r="L604" s="227"/>
      <c r="M604" s="227"/>
      <c r="N604" s="227"/>
      <c r="O604" s="227"/>
      <c r="P604" s="227"/>
      <c r="Q604" s="227"/>
      <c r="R604" s="227"/>
      <c r="S604" s="227"/>
      <c r="T604" s="227"/>
      <c r="U604" s="227"/>
      <c r="V604" s="227"/>
      <c r="W604" s="227"/>
      <c r="X604" s="227"/>
      <c r="Y604" s="227"/>
      <c r="Z604" s="227"/>
      <c r="AA604" s="227"/>
      <c r="AB604" s="227"/>
      <c r="AC604" s="227"/>
      <c r="AD604" s="227"/>
      <c r="AE604" s="227"/>
      <c r="AF604" s="227"/>
      <c r="AG604" s="227"/>
      <c r="AH604" s="227"/>
      <c r="AI604" s="227"/>
      <c r="AJ604" s="227"/>
      <c r="AK604" s="227"/>
      <c r="AL604" s="227"/>
      <c r="AM604" s="227"/>
      <c r="AN604" s="227"/>
      <c r="AO604" s="227"/>
      <c r="AP604" s="227"/>
      <c r="AQ604" s="227"/>
      <c r="AR604" s="227"/>
      <c r="AS604" s="227"/>
      <c r="AT604" s="227"/>
      <c r="AU604" s="227"/>
      <c r="AV604" s="227"/>
      <c r="AW604" s="227"/>
      <c r="AX604" s="227"/>
      <c r="AY604" s="227"/>
      <c r="AZ604" s="227"/>
      <c r="BA604" s="227"/>
      <c r="BB604" s="227"/>
      <c r="BC604" s="227"/>
      <c r="BD604" s="227"/>
      <c r="BE604" s="227"/>
      <c r="BF604" s="227"/>
      <c r="BG604" s="227"/>
      <c r="BH604" s="227"/>
      <c r="BI604" s="227"/>
      <c r="BJ604" s="227"/>
      <c r="BK604" s="227"/>
      <c r="BL604" s="227"/>
      <c r="BM604" s="227"/>
      <c r="BN604" s="227"/>
      <c r="BO604" s="227"/>
      <c r="BP604" s="227"/>
      <c r="BQ604" s="227"/>
      <c r="BR604" s="227"/>
      <c r="BS604" s="227"/>
      <c r="BT604" s="227"/>
      <c r="BU604" s="227"/>
      <c r="BV604" s="227"/>
      <c r="BW604" s="227"/>
      <c r="BX604" s="227"/>
      <c r="BY604" s="227"/>
      <c r="BZ604" s="227"/>
      <c r="CA604" s="227"/>
      <c r="CB604" s="227"/>
      <c r="CC604" s="227"/>
      <c r="CD604" s="227"/>
      <c r="CE604" s="227"/>
      <c r="CF604" s="227"/>
      <c r="CG604" s="227"/>
      <c r="CH604" s="227"/>
      <c r="CI604" s="227"/>
      <c r="CJ604" s="227"/>
      <c r="CK604" s="227"/>
      <c r="CL604" s="227"/>
      <c r="CM604" s="227"/>
      <c r="CN604" s="227"/>
      <c r="CO604" s="227"/>
      <c r="CP604" s="227"/>
      <c r="CQ604" s="227"/>
      <c r="CR604" s="227"/>
      <c r="CS604" s="227"/>
      <c r="CT604" s="227"/>
      <c r="CU604" s="225"/>
      <c r="CV604" s="227"/>
    </row>
    <row r="605" spans="1:100" ht="20.100000000000001" customHeight="1">
      <c r="A605" s="227">
        <v>299</v>
      </c>
      <c r="B605" s="225"/>
      <c r="C605" s="227"/>
      <c r="D605" s="228">
        <f>(SUMPRODUCT(E605:CU605*$E$6:$CU$6)/100)+(SUMPRODUCT(E605:CU605*$E$6:$CU$6*$E$3:$CU$3)/100)</f>
        <v>0</v>
      </c>
      <c r="E605" s="227"/>
      <c r="F605" s="227"/>
      <c r="G605" s="227"/>
      <c r="H605" s="227"/>
      <c r="I605" s="227"/>
      <c r="J605" s="227"/>
      <c r="K605" s="227"/>
      <c r="L605" s="227"/>
      <c r="M605" s="227"/>
      <c r="N605" s="227"/>
      <c r="O605" s="227"/>
      <c r="P605" s="227"/>
      <c r="Q605" s="227"/>
      <c r="R605" s="227"/>
      <c r="S605" s="227"/>
      <c r="T605" s="227"/>
      <c r="U605" s="227"/>
      <c r="V605" s="227"/>
      <c r="W605" s="227"/>
      <c r="X605" s="227"/>
      <c r="Y605" s="227"/>
      <c r="Z605" s="227"/>
      <c r="AA605" s="227"/>
      <c r="AB605" s="227"/>
      <c r="AC605" s="227"/>
      <c r="AD605" s="227"/>
      <c r="AE605" s="227"/>
      <c r="AF605" s="227"/>
      <c r="AG605" s="227"/>
      <c r="AH605" s="227"/>
      <c r="AI605" s="227"/>
      <c r="AJ605" s="227"/>
      <c r="AK605" s="227"/>
      <c r="AL605" s="227"/>
      <c r="AM605" s="227"/>
      <c r="AN605" s="227"/>
      <c r="AO605" s="227"/>
      <c r="AP605" s="227"/>
      <c r="AQ605" s="227"/>
      <c r="AR605" s="227"/>
      <c r="AS605" s="227"/>
      <c r="AT605" s="227"/>
      <c r="AU605" s="227"/>
      <c r="AV605" s="227"/>
      <c r="AW605" s="227"/>
      <c r="AX605" s="227"/>
      <c r="AY605" s="227"/>
      <c r="AZ605" s="227"/>
      <c r="BA605" s="227"/>
      <c r="BB605" s="227"/>
      <c r="BC605" s="227"/>
      <c r="BD605" s="227"/>
      <c r="BE605" s="227"/>
      <c r="BF605" s="227"/>
      <c r="BG605" s="227"/>
      <c r="BH605" s="227"/>
      <c r="BI605" s="227"/>
      <c r="BJ605" s="227"/>
      <c r="BK605" s="227"/>
      <c r="BL605" s="227"/>
      <c r="BM605" s="227"/>
      <c r="BN605" s="227"/>
      <c r="BO605" s="227"/>
      <c r="BP605" s="227"/>
      <c r="BQ605" s="227"/>
      <c r="BR605" s="227"/>
      <c r="BS605" s="227"/>
      <c r="BT605" s="227"/>
      <c r="BU605" s="227"/>
      <c r="BV605" s="227"/>
      <c r="BW605" s="227"/>
      <c r="BX605" s="227"/>
      <c r="BY605" s="227"/>
      <c r="BZ605" s="227"/>
      <c r="CA605" s="227"/>
      <c r="CB605" s="227"/>
      <c r="CC605" s="227"/>
      <c r="CD605" s="227"/>
      <c r="CE605" s="227"/>
      <c r="CF605" s="227"/>
      <c r="CG605" s="227"/>
      <c r="CH605" s="227"/>
      <c r="CI605" s="227"/>
      <c r="CJ605" s="227"/>
      <c r="CK605" s="227"/>
      <c r="CL605" s="227"/>
      <c r="CM605" s="227"/>
      <c r="CN605" s="227"/>
      <c r="CO605" s="227"/>
      <c r="CP605" s="227"/>
      <c r="CQ605" s="227"/>
      <c r="CR605" s="227"/>
      <c r="CS605" s="227"/>
      <c r="CT605" s="227"/>
      <c r="CU605" s="225"/>
      <c r="CV605" s="227"/>
    </row>
    <row r="606" spans="1:100" ht="20.100000000000001" customHeight="1">
      <c r="A606" s="227"/>
      <c r="B606" s="225"/>
      <c r="C606" s="227"/>
      <c r="D606" s="224"/>
      <c r="E606" s="227"/>
      <c r="F606" s="227"/>
      <c r="G606" s="227"/>
      <c r="H606" s="227"/>
      <c r="I606" s="227"/>
      <c r="J606" s="227"/>
      <c r="K606" s="227"/>
      <c r="L606" s="227"/>
      <c r="M606" s="227"/>
      <c r="N606" s="227"/>
      <c r="O606" s="227"/>
      <c r="P606" s="227"/>
      <c r="Q606" s="227"/>
      <c r="R606" s="227"/>
      <c r="S606" s="227"/>
      <c r="T606" s="227"/>
      <c r="U606" s="227"/>
      <c r="V606" s="227"/>
      <c r="W606" s="227"/>
      <c r="X606" s="227"/>
      <c r="Y606" s="227"/>
      <c r="Z606" s="227"/>
      <c r="AA606" s="227"/>
      <c r="AB606" s="227"/>
      <c r="AC606" s="227"/>
      <c r="AD606" s="227"/>
      <c r="AE606" s="227"/>
      <c r="AF606" s="227"/>
      <c r="AG606" s="227"/>
      <c r="AH606" s="227"/>
      <c r="AI606" s="227"/>
      <c r="AJ606" s="227"/>
      <c r="AK606" s="227"/>
      <c r="AL606" s="227"/>
      <c r="AM606" s="227"/>
      <c r="AN606" s="227"/>
      <c r="AO606" s="227"/>
      <c r="AP606" s="227"/>
      <c r="AQ606" s="227"/>
      <c r="AR606" s="227"/>
      <c r="AS606" s="227"/>
      <c r="AT606" s="227"/>
      <c r="AU606" s="227"/>
      <c r="AV606" s="227"/>
      <c r="AW606" s="227"/>
      <c r="AX606" s="227"/>
      <c r="AY606" s="227"/>
      <c r="AZ606" s="227"/>
      <c r="BA606" s="227"/>
      <c r="BB606" s="227"/>
      <c r="BC606" s="227"/>
      <c r="BD606" s="227"/>
      <c r="BE606" s="227"/>
      <c r="BF606" s="227"/>
      <c r="BG606" s="227"/>
      <c r="BH606" s="227"/>
      <c r="BI606" s="227"/>
      <c r="BJ606" s="227"/>
      <c r="BK606" s="227"/>
      <c r="BL606" s="227"/>
      <c r="BM606" s="227"/>
      <c r="BN606" s="227"/>
      <c r="BO606" s="227"/>
      <c r="BP606" s="227"/>
      <c r="BQ606" s="227"/>
      <c r="BR606" s="227"/>
      <c r="BS606" s="227"/>
      <c r="BT606" s="227"/>
      <c r="BU606" s="227"/>
      <c r="BV606" s="227"/>
      <c r="BW606" s="227"/>
      <c r="BX606" s="227"/>
      <c r="BY606" s="227"/>
      <c r="BZ606" s="227"/>
      <c r="CA606" s="227"/>
      <c r="CB606" s="227"/>
      <c r="CC606" s="227"/>
      <c r="CD606" s="227"/>
      <c r="CE606" s="227"/>
      <c r="CF606" s="227"/>
      <c r="CG606" s="227"/>
      <c r="CH606" s="227"/>
      <c r="CI606" s="227"/>
      <c r="CJ606" s="227"/>
      <c r="CK606" s="227"/>
      <c r="CL606" s="227"/>
      <c r="CM606" s="227"/>
      <c r="CN606" s="227"/>
      <c r="CO606" s="227"/>
      <c r="CP606" s="227"/>
      <c r="CQ606" s="227"/>
      <c r="CR606" s="227"/>
      <c r="CS606" s="227"/>
      <c r="CT606" s="227"/>
      <c r="CU606" s="225"/>
      <c r="CV606" s="227"/>
    </row>
    <row r="607" spans="1:100" ht="20.100000000000001" customHeight="1">
      <c r="A607" s="227">
        <v>300</v>
      </c>
      <c r="B607" s="225"/>
      <c r="C607" s="227"/>
      <c r="D607" s="228">
        <f>(SUMPRODUCT(E607:CU607*$E$6:$CU$6)/100)+(SUMPRODUCT(E607:CU607*$E$6:$CU$6*$E$3:$CU$3)/100)</f>
        <v>0</v>
      </c>
      <c r="E607" s="227"/>
      <c r="F607" s="227"/>
      <c r="G607" s="227"/>
      <c r="H607" s="227"/>
      <c r="I607" s="227"/>
      <c r="J607" s="227"/>
      <c r="K607" s="227"/>
      <c r="L607" s="227"/>
      <c r="M607" s="227"/>
      <c r="N607" s="227"/>
      <c r="O607" s="227"/>
      <c r="P607" s="227"/>
      <c r="Q607" s="227"/>
      <c r="R607" s="227"/>
      <c r="S607" s="227"/>
      <c r="T607" s="227"/>
      <c r="U607" s="227"/>
      <c r="V607" s="227"/>
      <c r="W607" s="227"/>
      <c r="X607" s="227"/>
      <c r="Y607" s="227"/>
      <c r="Z607" s="227"/>
      <c r="AA607" s="227"/>
      <c r="AB607" s="227"/>
      <c r="AC607" s="227"/>
      <c r="AD607" s="227"/>
      <c r="AE607" s="227"/>
      <c r="AF607" s="227"/>
      <c r="AG607" s="227"/>
      <c r="AH607" s="227"/>
      <c r="AI607" s="227"/>
      <c r="AJ607" s="227"/>
      <c r="AK607" s="227"/>
      <c r="AL607" s="227"/>
      <c r="AM607" s="227"/>
      <c r="AN607" s="227"/>
      <c r="AO607" s="227"/>
      <c r="AP607" s="227"/>
      <c r="AQ607" s="227"/>
      <c r="AR607" s="227"/>
      <c r="AS607" s="227"/>
      <c r="AT607" s="227"/>
      <c r="AU607" s="227"/>
      <c r="AV607" s="227"/>
      <c r="AW607" s="227"/>
      <c r="AX607" s="227"/>
      <c r="AY607" s="227"/>
      <c r="AZ607" s="227"/>
      <c r="BA607" s="227"/>
      <c r="BB607" s="227"/>
      <c r="BC607" s="227"/>
      <c r="BD607" s="227"/>
      <c r="BE607" s="227"/>
      <c r="BF607" s="227"/>
      <c r="BG607" s="227"/>
      <c r="BH607" s="227"/>
      <c r="BI607" s="227"/>
      <c r="BJ607" s="227"/>
      <c r="BK607" s="227"/>
      <c r="BL607" s="227"/>
      <c r="BM607" s="227"/>
      <c r="BN607" s="227"/>
      <c r="BO607" s="227"/>
      <c r="BP607" s="227"/>
      <c r="BQ607" s="227"/>
      <c r="BR607" s="227"/>
      <c r="BS607" s="227"/>
      <c r="BT607" s="227"/>
      <c r="BU607" s="227"/>
      <c r="BV607" s="227"/>
      <c r="BW607" s="227"/>
      <c r="BX607" s="227"/>
      <c r="BY607" s="227"/>
      <c r="BZ607" s="227"/>
      <c r="CA607" s="227"/>
      <c r="CB607" s="227"/>
      <c r="CC607" s="227"/>
      <c r="CD607" s="227"/>
      <c r="CE607" s="227"/>
      <c r="CF607" s="227"/>
      <c r="CG607" s="227"/>
      <c r="CH607" s="227"/>
      <c r="CI607" s="227"/>
      <c r="CJ607" s="227"/>
      <c r="CK607" s="227"/>
      <c r="CL607" s="227"/>
      <c r="CM607" s="227"/>
      <c r="CN607" s="227"/>
      <c r="CO607" s="227"/>
      <c r="CP607" s="227"/>
      <c r="CQ607" s="227"/>
      <c r="CR607" s="227"/>
      <c r="CS607" s="227"/>
      <c r="CT607" s="227"/>
      <c r="CU607" s="225"/>
      <c r="CV607" s="227"/>
    </row>
    <row r="608" spans="1:100" ht="20.100000000000001" customHeight="1">
      <c r="A608" s="223"/>
      <c r="B608" s="225"/>
      <c r="C608" s="227"/>
      <c r="D608" s="224"/>
      <c r="E608" s="227"/>
      <c r="F608" s="227"/>
      <c r="G608" s="227"/>
      <c r="H608" s="227"/>
      <c r="I608" s="227"/>
      <c r="J608" s="227"/>
      <c r="K608" s="227"/>
      <c r="L608" s="227"/>
      <c r="M608" s="227"/>
      <c r="N608" s="227"/>
      <c r="O608" s="227"/>
      <c r="P608" s="227"/>
      <c r="Q608" s="227"/>
      <c r="R608" s="227"/>
      <c r="S608" s="227"/>
      <c r="T608" s="227"/>
      <c r="U608" s="227"/>
      <c r="V608" s="227"/>
      <c r="W608" s="227"/>
      <c r="X608" s="227"/>
      <c r="Y608" s="227"/>
      <c r="Z608" s="227"/>
      <c r="AA608" s="227"/>
      <c r="AB608" s="227"/>
      <c r="AC608" s="227"/>
      <c r="AD608" s="227"/>
      <c r="AE608" s="227"/>
      <c r="AF608" s="227"/>
      <c r="AG608" s="227"/>
      <c r="AH608" s="227"/>
      <c r="AI608" s="227"/>
      <c r="AJ608" s="227"/>
      <c r="AK608" s="227"/>
      <c r="AL608" s="227"/>
      <c r="AM608" s="227"/>
      <c r="AN608" s="227"/>
      <c r="AO608" s="227"/>
      <c r="AP608" s="227"/>
      <c r="AQ608" s="227"/>
      <c r="AR608" s="227"/>
      <c r="AS608" s="227"/>
      <c r="AT608" s="227"/>
      <c r="AU608" s="227"/>
      <c r="AV608" s="227"/>
      <c r="AW608" s="227"/>
      <c r="AX608" s="227"/>
      <c r="AY608" s="227"/>
      <c r="AZ608" s="227"/>
      <c r="BA608" s="227"/>
      <c r="BB608" s="227"/>
      <c r="BC608" s="227"/>
      <c r="BD608" s="227"/>
      <c r="BE608" s="227"/>
      <c r="BF608" s="227"/>
      <c r="BG608" s="227"/>
      <c r="BH608" s="227"/>
      <c r="BI608" s="227"/>
      <c r="BJ608" s="227"/>
      <c r="BK608" s="227"/>
      <c r="BL608" s="227"/>
      <c r="BM608" s="227"/>
      <c r="BN608" s="227"/>
      <c r="BO608" s="227"/>
      <c r="BP608" s="227"/>
      <c r="BQ608" s="227"/>
      <c r="BR608" s="227"/>
      <c r="BS608" s="227"/>
      <c r="BT608" s="227"/>
      <c r="BU608" s="227"/>
      <c r="BV608" s="227"/>
      <c r="BW608" s="227"/>
      <c r="BX608" s="227"/>
      <c r="BY608" s="227"/>
      <c r="BZ608" s="227"/>
      <c r="CA608" s="227"/>
      <c r="CB608" s="227"/>
      <c r="CC608" s="227"/>
      <c r="CD608" s="227"/>
      <c r="CE608" s="227"/>
      <c r="CF608" s="227"/>
      <c r="CG608" s="227"/>
      <c r="CH608" s="227"/>
      <c r="CI608" s="227"/>
      <c r="CJ608" s="227"/>
      <c r="CK608" s="227"/>
      <c r="CL608" s="227"/>
      <c r="CM608" s="227"/>
      <c r="CN608" s="227"/>
      <c r="CO608" s="227"/>
      <c r="CP608" s="227"/>
      <c r="CQ608" s="227"/>
      <c r="CR608" s="227"/>
      <c r="CS608" s="227"/>
      <c r="CT608" s="227"/>
      <c r="CU608" s="225"/>
      <c r="CV608" s="227"/>
    </row>
    <row r="609" spans="1:100" ht="20.100000000000001" customHeight="1">
      <c r="A609" s="227">
        <v>301</v>
      </c>
      <c r="B609" s="225"/>
      <c r="C609" s="227"/>
      <c r="D609" s="228">
        <f>(SUMPRODUCT(E609:CU609*$E$6:$CU$6)/100)+(SUMPRODUCT(E609:CU609*$E$6:$CU$6*$E$3:$CU$3)/100)</f>
        <v>0</v>
      </c>
      <c r="E609" s="227"/>
      <c r="F609" s="227"/>
      <c r="G609" s="227"/>
      <c r="H609" s="227"/>
      <c r="I609" s="227"/>
      <c r="J609" s="227"/>
      <c r="K609" s="227"/>
      <c r="L609" s="227"/>
      <c r="M609" s="227"/>
      <c r="N609" s="227"/>
      <c r="O609" s="227"/>
      <c r="P609" s="227"/>
      <c r="Q609" s="227"/>
      <c r="R609" s="227"/>
      <c r="S609" s="227"/>
      <c r="T609" s="227"/>
      <c r="U609" s="227"/>
      <c r="V609" s="227"/>
      <c r="W609" s="227"/>
      <c r="X609" s="227"/>
      <c r="Y609" s="227"/>
      <c r="Z609" s="227"/>
      <c r="AA609" s="227"/>
      <c r="AB609" s="227"/>
      <c r="AC609" s="227"/>
      <c r="AD609" s="227"/>
      <c r="AE609" s="227"/>
      <c r="AF609" s="227"/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27"/>
      <c r="BC609" s="227"/>
      <c r="BD609" s="227"/>
      <c r="BE609" s="227"/>
      <c r="BF609" s="227"/>
      <c r="BG609" s="227"/>
      <c r="BH609" s="227"/>
      <c r="BI609" s="227"/>
      <c r="BJ609" s="227"/>
      <c r="BK609" s="227"/>
      <c r="BL609" s="227"/>
      <c r="BM609" s="227"/>
      <c r="BN609" s="227"/>
      <c r="BO609" s="227"/>
      <c r="BP609" s="227"/>
      <c r="BQ609" s="227"/>
      <c r="BR609" s="227"/>
      <c r="BS609" s="227"/>
      <c r="BT609" s="227"/>
      <c r="BU609" s="227"/>
      <c r="BV609" s="227"/>
      <c r="BW609" s="227"/>
      <c r="BX609" s="227"/>
      <c r="BY609" s="227"/>
      <c r="BZ609" s="227"/>
      <c r="CA609" s="227"/>
      <c r="CB609" s="227"/>
      <c r="CC609" s="227"/>
      <c r="CD609" s="227"/>
      <c r="CE609" s="227"/>
      <c r="CF609" s="227"/>
      <c r="CG609" s="227"/>
      <c r="CH609" s="227"/>
      <c r="CI609" s="227"/>
      <c r="CJ609" s="227"/>
      <c r="CK609" s="227"/>
      <c r="CL609" s="227"/>
      <c r="CM609" s="227"/>
      <c r="CN609" s="227"/>
      <c r="CO609" s="227"/>
      <c r="CP609" s="227"/>
      <c r="CQ609" s="227"/>
      <c r="CR609" s="227"/>
      <c r="CS609" s="227"/>
      <c r="CT609" s="227"/>
      <c r="CU609" s="225"/>
      <c r="CV609" s="227"/>
    </row>
    <row r="610" spans="1:100" ht="20.100000000000001" customHeight="1">
      <c r="A610" s="227"/>
      <c r="B610" s="225"/>
      <c r="C610" s="227"/>
      <c r="D610" s="224"/>
      <c r="E610" s="227"/>
      <c r="F610" s="227"/>
      <c r="G610" s="227"/>
      <c r="H610" s="227"/>
      <c r="I610" s="227"/>
      <c r="J610" s="227"/>
      <c r="K610" s="227"/>
      <c r="L610" s="227"/>
      <c r="M610" s="227"/>
      <c r="N610" s="227"/>
      <c r="O610" s="227"/>
      <c r="P610" s="227"/>
      <c r="Q610" s="227"/>
      <c r="R610" s="227"/>
      <c r="S610" s="227"/>
      <c r="T610" s="227"/>
      <c r="U610" s="227"/>
      <c r="V610" s="227"/>
      <c r="W610" s="227"/>
      <c r="X610" s="227"/>
      <c r="Y610" s="227"/>
      <c r="Z610" s="227"/>
      <c r="AA610" s="227"/>
      <c r="AB610" s="227"/>
      <c r="AC610" s="227"/>
      <c r="AD610" s="227"/>
      <c r="AE610" s="227"/>
      <c r="AF610" s="227"/>
      <c r="AG610" s="227"/>
      <c r="AH610" s="227"/>
      <c r="AI610" s="227"/>
      <c r="AJ610" s="227"/>
      <c r="AK610" s="227"/>
      <c r="AL610" s="227"/>
      <c r="AM610" s="227"/>
      <c r="AN610" s="227"/>
      <c r="AO610" s="227"/>
      <c r="AP610" s="227"/>
      <c r="AQ610" s="227"/>
      <c r="AR610" s="227"/>
      <c r="AS610" s="227"/>
      <c r="AT610" s="227"/>
      <c r="AU610" s="227"/>
      <c r="AV610" s="227"/>
      <c r="AW610" s="227"/>
      <c r="AX610" s="227"/>
      <c r="AY610" s="227"/>
      <c r="AZ610" s="227"/>
      <c r="BA610" s="227"/>
      <c r="BB610" s="227"/>
      <c r="BC610" s="227"/>
      <c r="BD610" s="227"/>
      <c r="BE610" s="227"/>
      <c r="BF610" s="227"/>
      <c r="BG610" s="227"/>
      <c r="BH610" s="227"/>
      <c r="BI610" s="227"/>
      <c r="BJ610" s="227"/>
      <c r="BK610" s="227"/>
      <c r="BL610" s="227"/>
      <c r="BM610" s="227"/>
      <c r="BN610" s="227"/>
      <c r="BO610" s="227"/>
      <c r="BP610" s="227"/>
      <c r="BQ610" s="227"/>
      <c r="BR610" s="227"/>
      <c r="BS610" s="227"/>
      <c r="BT610" s="227"/>
      <c r="BU610" s="227"/>
      <c r="BV610" s="227"/>
      <c r="BW610" s="227"/>
      <c r="BX610" s="227"/>
      <c r="BY610" s="227"/>
      <c r="BZ610" s="227"/>
      <c r="CA610" s="227"/>
      <c r="CB610" s="227"/>
      <c r="CC610" s="227"/>
      <c r="CD610" s="227"/>
      <c r="CE610" s="227"/>
      <c r="CF610" s="227"/>
      <c r="CG610" s="227"/>
      <c r="CH610" s="227"/>
      <c r="CI610" s="227"/>
      <c r="CJ610" s="227"/>
      <c r="CK610" s="227"/>
      <c r="CL610" s="227"/>
      <c r="CM610" s="227"/>
      <c r="CN610" s="227"/>
      <c r="CO610" s="227"/>
      <c r="CP610" s="227"/>
      <c r="CQ610" s="227"/>
      <c r="CR610" s="227"/>
      <c r="CS610" s="227"/>
      <c r="CT610" s="227"/>
      <c r="CU610" s="225"/>
      <c r="CV610" s="227"/>
    </row>
    <row r="611" spans="1:100" ht="20.100000000000001" customHeight="1">
      <c r="A611" s="227">
        <v>302</v>
      </c>
      <c r="B611" s="225"/>
      <c r="C611" s="227"/>
      <c r="D611" s="228">
        <f>(SUMPRODUCT(E611:CU611*$E$6:$CU$6)/100)+(SUMPRODUCT(E611:CU611*$E$6:$CU$6*$E$3:$CU$3)/100)</f>
        <v>0</v>
      </c>
      <c r="E611" s="227"/>
      <c r="F611" s="227"/>
      <c r="G611" s="227"/>
      <c r="H611" s="227"/>
      <c r="I611" s="227"/>
      <c r="J611" s="227"/>
      <c r="K611" s="227"/>
      <c r="L611" s="227"/>
      <c r="M611" s="227"/>
      <c r="N611" s="227"/>
      <c r="O611" s="227"/>
      <c r="P611" s="227"/>
      <c r="Q611" s="227"/>
      <c r="R611" s="227"/>
      <c r="S611" s="227"/>
      <c r="T611" s="227"/>
      <c r="U611" s="227"/>
      <c r="V611" s="227"/>
      <c r="W611" s="227"/>
      <c r="X611" s="227"/>
      <c r="Y611" s="227"/>
      <c r="Z611" s="227"/>
      <c r="AA611" s="227"/>
      <c r="AB611" s="227"/>
      <c r="AC611" s="227"/>
      <c r="AD611" s="227"/>
      <c r="AE611" s="227"/>
      <c r="AF611" s="227"/>
      <c r="AG611" s="227"/>
      <c r="AH611" s="227"/>
      <c r="AI611" s="227"/>
      <c r="AJ611" s="227"/>
      <c r="AK611" s="227"/>
      <c r="AL611" s="227"/>
      <c r="AM611" s="227"/>
      <c r="AN611" s="227"/>
      <c r="AO611" s="227"/>
      <c r="AP611" s="227"/>
      <c r="AQ611" s="227"/>
      <c r="AR611" s="227"/>
      <c r="AS611" s="227"/>
      <c r="AT611" s="227"/>
      <c r="AU611" s="227"/>
      <c r="AV611" s="227"/>
      <c r="AW611" s="227"/>
      <c r="AX611" s="227"/>
      <c r="AY611" s="227"/>
      <c r="AZ611" s="227"/>
      <c r="BA611" s="227"/>
      <c r="BB611" s="227"/>
      <c r="BC611" s="227"/>
      <c r="BD611" s="227"/>
      <c r="BE611" s="227"/>
      <c r="BF611" s="227"/>
      <c r="BG611" s="227"/>
      <c r="BH611" s="227"/>
      <c r="BI611" s="227"/>
      <c r="BJ611" s="227"/>
      <c r="BK611" s="227"/>
      <c r="BL611" s="227"/>
      <c r="BM611" s="227"/>
      <c r="BN611" s="227"/>
      <c r="BO611" s="227"/>
      <c r="BP611" s="227"/>
      <c r="BQ611" s="227"/>
      <c r="BR611" s="227"/>
      <c r="BS611" s="227"/>
      <c r="BT611" s="227"/>
      <c r="BU611" s="227"/>
      <c r="BV611" s="227"/>
      <c r="BW611" s="227"/>
      <c r="BX611" s="227"/>
      <c r="BY611" s="227"/>
      <c r="BZ611" s="227"/>
      <c r="CA611" s="227"/>
      <c r="CB611" s="227"/>
      <c r="CC611" s="227"/>
      <c r="CD611" s="227"/>
      <c r="CE611" s="227"/>
      <c r="CF611" s="227"/>
      <c r="CG611" s="227"/>
      <c r="CH611" s="227"/>
      <c r="CI611" s="227"/>
      <c r="CJ611" s="227"/>
      <c r="CK611" s="227"/>
      <c r="CL611" s="227"/>
      <c r="CM611" s="227"/>
      <c r="CN611" s="227"/>
      <c r="CO611" s="227"/>
      <c r="CP611" s="227"/>
      <c r="CQ611" s="227"/>
      <c r="CR611" s="227"/>
      <c r="CS611" s="227"/>
      <c r="CT611" s="227"/>
      <c r="CU611" s="225"/>
      <c r="CV611" s="227"/>
    </row>
    <row r="612" spans="1:100" ht="20.100000000000001" customHeight="1">
      <c r="A612" s="223"/>
      <c r="B612" s="225"/>
      <c r="C612" s="227"/>
      <c r="D612" s="224"/>
      <c r="E612" s="227"/>
      <c r="F612" s="227"/>
      <c r="G612" s="227"/>
      <c r="H612" s="227"/>
      <c r="I612" s="227"/>
      <c r="J612" s="227"/>
      <c r="K612" s="227"/>
      <c r="L612" s="227"/>
      <c r="M612" s="227"/>
      <c r="N612" s="227"/>
      <c r="O612" s="227"/>
      <c r="P612" s="227"/>
      <c r="Q612" s="227"/>
      <c r="R612" s="227"/>
      <c r="S612" s="227"/>
      <c r="T612" s="227"/>
      <c r="U612" s="227"/>
      <c r="V612" s="227"/>
      <c r="W612" s="227"/>
      <c r="X612" s="227"/>
      <c r="Y612" s="227"/>
      <c r="Z612" s="227"/>
      <c r="AA612" s="227"/>
      <c r="AB612" s="227"/>
      <c r="AC612" s="227"/>
      <c r="AD612" s="227"/>
      <c r="AE612" s="227"/>
      <c r="AF612" s="227"/>
      <c r="AG612" s="227"/>
      <c r="AH612" s="227"/>
      <c r="AI612" s="227"/>
      <c r="AJ612" s="227"/>
      <c r="AK612" s="227"/>
      <c r="AL612" s="227"/>
      <c r="AM612" s="227"/>
      <c r="AN612" s="227"/>
      <c r="AO612" s="227"/>
      <c r="AP612" s="227"/>
      <c r="AQ612" s="227"/>
      <c r="AR612" s="227"/>
      <c r="AS612" s="227"/>
      <c r="AT612" s="227"/>
      <c r="AU612" s="227"/>
      <c r="AV612" s="227"/>
      <c r="AW612" s="227"/>
      <c r="AX612" s="227"/>
      <c r="AY612" s="227"/>
      <c r="AZ612" s="227"/>
      <c r="BA612" s="227"/>
      <c r="BB612" s="227"/>
      <c r="BC612" s="227"/>
      <c r="BD612" s="227"/>
      <c r="BE612" s="227"/>
      <c r="BF612" s="227"/>
      <c r="BG612" s="227"/>
      <c r="BH612" s="227"/>
      <c r="BI612" s="227"/>
      <c r="BJ612" s="227"/>
      <c r="BK612" s="227"/>
      <c r="BL612" s="227"/>
      <c r="BM612" s="227"/>
      <c r="BN612" s="227"/>
      <c r="BO612" s="227"/>
      <c r="BP612" s="227"/>
      <c r="BQ612" s="227"/>
      <c r="BR612" s="227"/>
      <c r="BS612" s="227"/>
      <c r="BT612" s="227"/>
      <c r="BU612" s="227"/>
      <c r="BV612" s="227"/>
      <c r="BW612" s="227"/>
      <c r="BX612" s="227"/>
      <c r="BY612" s="227"/>
      <c r="BZ612" s="227"/>
      <c r="CA612" s="227"/>
      <c r="CB612" s="227"/>
      <c r="CC612" s="227"/>
      <c r="CD612" s="227"/>
      <c r="CE612" s="227"/>
      <c r="CF612" s="227"/>
      <c r="CG612" s="227"/>
      <c r="CH612" s="227"/>
      <c r="CI612" s="227"/>
      <c r="CJ612" s="227"/>
      <c r="CK612" s="227"/>
      <c r="CL612" s="227"/>
      <c r="CM612" s="227"/>
      <c r="CN612" s="227"/>
      <c r="CO612" s="227"/>
      <c r="CP612" s="227"/>
      <c r="CQ612" s="227"/>
      <c r="CR612" s="227"/>
      <c r="CS612" s="227"/>
      <c r="CT612" s="227"/>
      <c r="CU612" s="225"/>
      <c r="CV612" s="227"/>
    </row>
    <row r="613" spans="1:100" ht="20.100000000000001" customHeight="1">
      <c r="A613" s="227">
        <v>303</v>
      </c>
      <c r="B613" s="225"/>
      <c r="C613" s="227"/>
      <c r="D613" s="228">
        <f>(SUMPRODUCT(E613:CU613*$E$6:$CU$6)/100)+(SUMPRODUCT(E613:CU613*$E$6:$CU$6*$E$3:$CU$3)/100)</f>
        <v>0</v>
      </c>
      <c r="E613" s="227"/>
      <c r="F613" s="227"/>
      <c r="G613" s="227"/>
      <c r="H613" s="227"/>
      <c r="I613" s="227"/>
      <c r="J613" s="227"/>
      <c r="K613" s="227"/>
      <c r="L613" s="227"/>
      <c r="M613" s="227"/>
      <c r="N613" s="227"/>
      <c r="O613" s="227"/>
      <c r="P613" s="227"/>
      <c r="Q613" s="227"/>
      <c r="R613" s="227"/>
      <c r="S613" s="227"/>
      <c r="T613" s="227"/>
      <c r="U613" s="227"/>
      <c r="V613" s="227"/>
      <c r="W613" s="227"/>
      <c r="X613" s="227"/>
      <c r="Y613" s="227"/>
      <c r="Z613" s="227"/>
      <c r="AA613" s="227"/>
      <c r="AB613" s="227"/>
      <c r="AC613" s="227"/>
      <c r="AD613" s="227"/>
      <c r="AE613" s="227"/>
      <c r="AF613" s="227"/>
      <c r="AG613" s="227"/>
      <c r="AH613" s="227"/>
      <c r="AI613" s="227"/>
      <c r="AJ613" s="227"/>
      <c r="AK613" s="227"/>
      <c r="AL613" s="227"/>
      <c r="AM613" s="227"/>
      <c r="AN613" s="227"/>
      <c r="AO613" s="227"/>
      <c r="AP613" s="227"/>
      <c r="AQ613" s="227"/>
      <c r="AR613" s="227"/>
      <c r="AS613" s="227"/>
      <c r="AT613" s="227"/>
      <c r="AU613" s="227"/>
      <c r="AV613" s="227"/>
      <c r="AW613" s="227"/>
      <c r="AX613" s="227"/>
      <c r="AY613" s="227"/>
      <c r="AZ613" s="227"/>
      <c r="BA613" s="227"/>
      <c r="BB613" s="227"/>
      <c r="BC613" s="227"/>
      <c r="BD613" s="227"/>
      <c r="BE613" s="227"/>
      <c r="BF613" s="227"/>
      <c r="BG613" s="227"/>
      <c r="BH613" s="227"/>
      <c r="BI613" s="227"/>
      <c r="BJ613" s="227"/>
      <c r="BK613" s="227"/>
      <c r="BL613" s="227"/>
      <c r="BM613" s="227"/>
      <c r="BN613" s="227"/>
      <c r="BO613" s="227"/>
      <c r="BP613" s="227"/>
      <c r="BQ613" s="227"/>
      <c r="BR613" s="227"/>
      <c r="BS613" s="227"/>
      <c r="BT613" s="227"/>
      <c r="BU613" s="227"/>
      <c r="BV613" s="227"/>
      <c r="BW613" s="227"/>
      <c r="BX613" s="227"/>
      <c r="BY613" s="227"/>
      <c r="BZ613" s="227"/>
      <c r="CA613" s="227"/>
      <c r="CB613" s="227"/>
      <c r="CC613" s="227"/>
      <c r="CD613" s="227"/>
      <c r="CE613" s="227"/>
      <c r="CF613" s="227"/>
      <c r="CG613" s="227"/>
      <c r="CH613" s="227"/>
      <c r="CI613" s="227"/>
      <c r="CJ613" s="227"/>
      <c r="CK613" s="227"/>
      <c r="CL613" s="227"/>
      <c r="CM613" s="227"/>
      <c r="CN613" s="227"/>
      <c r="CO613" s="227"/>
      <c r="CP613" s="227"/>
      <c r="CQ613" s="227"/>
      <c r="CR613" s="227"/>
      <c r="CS613" s="227"/>
      <c r="CT613" s="227"/>
      <c r="CU613" s="225"/>
      <c r="CV613" s="227"/>
    </row>
    <row r="614" spans="1:100" ht="20.100000000000001" customHeight="1">
      <c r="A614" s="227"/>
      <c r="B614" s="225"/>
      <c r="C614" s="227"/>
      <c r="D614" s="224"/>
      <c r="E614" s="227"/>
      <c r="F614" s="227"/>
      <c r="G614" s="227"/>
      <c r="H614" s="227"/>
      <c r="I614" s="227"/>
      <c r="J614" s="227"/>
      <c r="K614" s="227"/>
      <c r="L614" s="227"/>
      <c r="M614" s="227"/>
      <c r="N614" s="227"/>
      <c r="O614" s="227"/>
      <c r="P614" s="227"/>
      <c r="Q614" s="227"/>
      <c r="R614" s="227"/>
      <c r="S614" s="227"/>
      <c r="T614" s="227"/>
      <c r="U614" s="227"/>
      <c r="V614" s="227"/>
      <c r="W614" s="227"/>
      <c r="X614" s="227"/>
      <c r="Y614" s="227"/>
      <c r="Z614" s="227"/>
      <c r="AA614" s="227"/>
      <c r="AB614" s="227"/>
      <c r="AC614" s="227"/>
      <c r="AD614" s="227"/>
      <c r="AE614" s="227"/>
      <c r="AF614" s="227"/>
      <c r="AG614" s="227"/>
      <c r="AH614" s="227"/>
      <c r="AI614" s="227"/>
      <c r="AJ614" s="227"/>
      <c r="AK614" s="227"/>
      <c r="AL614" s="227"/>
      <c r="AM614" s="227"/>
      <c r="AN614" s="227"/>
      <c r="AO614" s="227"/>
      <c r="AP614" s="227"/>
      <c r="AQ614" s="227"/>
      <c r="AR614" s="227"/>
      <c r="AS614" s="227"/>
      <c r="AT614" s="227"/>
      <c r="AU614" s="227"/>
      <c r="AV614" s="227"/>
      <c r="AW614" s="227"/>
      <c r="AX614" s="227"/>
      <c r="AY614" s="227"/>
      <c r="AZ614" s="227"/>
      <c r="BA614" s="227"/>
      <c r="BB614" s="227"/>
      <c r="BC614" s="227"/>
      <c r="BD614" s="227"/>
      <c r="BE614" s="227"/>
      <c r="BF614" s="227"/>
      <c r="BG614" s="227"/>
      <c r="BH614" s="227"/>
      <c r="BI614" s="227"/>
      <c r="BJ614" s="227"/>
      <c r="BK614" s="227"/>
      <c r="BL614" s="227"/>
      <c r="BM614" s="227"/>
      <c r="BN614" s="227"/>
      <c r="BO614" s="227"/>
      <c r="BP614" s="227"/>
      <c r="BQ614" s="227"/>
      <c r="BR614" s="227"/>
      <c r="BS614" s="227"/>
      <c r="BT614" s="227"/>
      <c r="BU614" s="227"/>
      <c r="BV614" s="227"/>
      <c r="BW614" s="227"/>
      <c r="BX614" s="227"/>
      <c r="BY614" s="227"/>
      <c r="BZ614" s="227"/>
      <c r="CA614" s="227"/>
      <c r="CB614" s="227"/>
      <c r="CC614" s="227"/>
      <c r="CD614" s="227"/>
      <c r="CE614" s="227"/>
      <c r="CF614" s="227"/>
      <c r="CG614" s="227"/>
      <c r="CH614" s="227"/>
      <c r="CI614" s="227"/>
      <c r="CJ614" s="227"/>
      <c r="CK614" s="227"/>
      <c r="CL614" s="227"/>
      <c r="CM614" s="227"/>
      <c r="CN614" s="227"/>
      <c r="CO614" s="227"/>
      <c r="CP614" s="227"/>
      <c r="CQ614" s="227"/>
      <c r="CR614" s="227"/>
      <c r="CS614" s="227"/>
      <c r="CT614" s="227"/>
      <c r="CU614" s="225"/>
      <c r="CV614" s="227"/>
    </row>
    <row r="615" spans="1:100" ht="20.100000000000001" customHeight="1">
      <c r="A615" s="227">
        <v>304</v>
      </c>
      <c r="B615" s="225"/>
      <c r="C615" s="227"/>
      <c r="D615" s="228">
        <f>(SUMPRODUCT(E615:CU615*$E$6:$CU$6)/100)+(SUMPRODUCT(E615:CU615*$E$6:$CU$6*$E$3:$CU$3)/100)</f>
        <v>0</v>
      </c>
      <c r="E615" s="227"/>
      <c r="F615" s="227"/>
      <c r="G615" s="227"/>
      <c r="H615" s="227"/>
      <c r="I615" s="227"/>
      <c r="J615" s="227"/>
      <c r="K615" s="227"/>
      <c r="L615" s="227"/>
      <c r="M615" s="227"/>
      <c r="N615" s="227"/>
      <c r="O615" s="227"/>
      <c r="P615" s="227"/>
      <c r="Q615" s="227"/>
      <c r="R615" s="227"/>
      <c r="S615" s="227"/>
      <c r="T615" s="227"/>
      <c r="U615" s="227"/>
      <c r="V615" s="227"/>
      <c r="W615" s="227"/>
      <c r="X615" s="227"/>
      <c r="Y615" s="227"/>
      <c r="Z615" s="227"/>
      <c r="AA615" s="227"/>
      <c r="AB615" s="227"/>
      <c r="AC615" s="227"/>
      <c r="AD615" s="227"/>
      <c r="AE615" s="227"/>
      <c r="AF615" s="227"/>
      <c r="AG615" s="227"/>
      <c r="AH615" s="227"/>
      <c r="AI615" s="227"/>
      <c r="AJ615" s="227"/>
      <c r="AK615" s="227"/>
      <c r="AL615" s="227"/>
      <c r="AM615" s="227"/>
      <c r="AN615" s="227"/>
      <c r="AO615" s="227"/>
      <c r="AP615" s="227"/>
      <c r="AQ615" s="227"/>
      <c r="AR615" s="227"/>
      <c r="AS615" s="227"/>
      <c r="AT615" s="227"/>
      <c r="AU615" s="227"/>
      <c r="AV615" s="227"/>
      <c r="AW615" s="227"/>
      <c r="AX615" s="227"/>
      <c r="AY615" s="227"/>
      <c r="AZ615" s="227"/>
      <c r="BA615" s="227"/>
      <c r="BB615" s="227"/>
      <c r="BC615" s="227"/>
      <c r="BD615" s="227"/>
      <c r="BE615" s="227"/>
      <c r="BF615" s="227"/>
      <c r="BG615" s="227"/>
      <c r="BH615" s="227"/>
      <c r="BI615" s="227"/>
      <c r="BJ615" s="227"/>
      <c r="BK615" s="227"/>
      <c r="BL615" s="227"/>
      <c r="BM615" s="227"/>
      <c r="BN615" s="227"/>
      <c r="BO615" s="227"/>
      <c r="BP615" s="227"/>
      <c r="BQ615" s="227"/>
      <c r="BR615" s="227"/>
      <c r="BS615" s="227"/>
      <c r="BT615" s="227"/>
      <c r="BU615" s="227"/>
      <c r="BV615" s="227"/>
      <c r="BW615" s="227"/>
      <c r="BX615" s="227"/>
      <c r="BY615" s="227"/>
      <c r="BZ615" s="227"/>
      <c r="CA615" s="227"/>
      <c r="CB615" s="227"/>
      <c r="CC615" s="227"/>
      <c r="CD615" s="227"/>
      <c r="CE615" s="227"/>
      <c r="CF615" s="227"/>
      <c r="CG615" s="227"/>
      <c r="CH615" s="227"/>
      <c r="CI615" s="227"/>
      <c r="CJ615" s="227"/>
      <c r="CK615" s="227"/>
      <c r="CL615" s="227"/>
      <c r="CM615" s="227"/>
      <c r="CN615" s="227"/>
      <c r="CO615" s="227"/>
      <c r="CP615" s="227"/>
      <c r="CQ615" s="227"/>
      <c r="CR615" s="227"/>
      <c r="CS615" s="227"/>
      <c r="CT615" s="227"/>
      <c r="CU615" s="225"/>
      <c r="CV615" s="227"/>
    </row>
    <row r="616" spans="1:100" ht="20.100000000000001" customHeight="1">
      <c r="A616" s="223"/>
      <c r="B616" s="225"/>
      <c r="C616" s="227"/>
      <c r="D616" s="224"/>
      <c r="E616" s="227"/>
      <c r="F616" s="227"/>
      <c r="G616" s="227"/>
      <c r="H616" s="227"/>
      <c r="I616" s="227"/>
      <c r="J616" s="227"/>
      <c r="K616" s="227"/>
      <c r="L616" s="227"/>
      <c r="M616" s="227"/>
      <c r="N616" s="227"/>
      <c r="O616" s="227"/>
      <c r="P616" s="227"/>
      <c r="Q616" s="227"/>
      <c r="R616" s="227"/>
      <c r="S616" s="227"/>
      <c r="T616" s="227"/>
      <c r="U616" s="227"/>
      <c r="V616" s="227"/>
      <c r="W616" s="227"/>
      <c r="X616" s="227"/>
      <c r="Y616" s="227"/>
      <c r="Z616" s="227"/>
      <c r="AA616" s="227"/>
      <c r="AB616" s="227"/>
      <c r="AC616" s="227"/>
      <c r="AD616" s="227"/>
      <c r="AE616" s="227"/>
      <c r="AF616" s="227"/>
      <c r="AG616" s="227"/>
      <c r="AH616" s="227"/>
      <c r="AI616" s="227"/>
      <c r="AJ616" s="227"/>
      <c r="AK616" s="227"/>
      <c r="AL616" s="227"/>
      <c r="AM616" s="227"/>
      <c r="AN616" s="227"/>
      <c r="AO616" s="227"/>
      <c r="AP616" s="227"/>
      <c r="AQ616" s="227"/>
      <c r="AR616" s="227"/>
      <c r="AS616" s="227"/>
      <c r="AT616" s="227"/>
      <c r="AU616" s="227"/>
      <c r="AV616" s="227"/>
      <c r="AW616" s="227"/>
      <c r="AX616" s="227"/>
      <c r="AY616" s="227"/>
      <c r="AZ616" s="227"/>
      <c r="BA616" s="227"/>
      <c r="BB616" s="227"/>
      <c r="BC616" s="227"/>
      <c r="BD616" s="227"/>
      <c r="BE616" s="227"/>
      <c r="BF616" s="227"/>
      <c r="BG616" s="227"/>
      <c r="BH616" s="227"/>
      <c r="BI616" s="227"/>
      <c r="BJ616" s="227"/>
      <c r="BK616" s="227"/>
      <c r="BL616" s="227"/>
      <c r="BM616" s="227"/>
      <c r="BN616" s="227"/>
      <c r="BO616" s="227"/>
      <c r="BP616" s="227"/>
      <c r="BQ616" s="227"/>
      <c r="BR616" s="227"/>
      <c r="BS616" s="227"/>
      <c r="BT616" s="227"/>
      <c r="BU616" s="227"/>
      <c r="BV616" s="227"/>
      <c r="BW616" s="227"/>
      <c r="BX616" s="227"/>
      <c r="BY616" s="227"/>
      <c r="BZ616" s="227"/>
      <c r="CA616" s="227"/>
      <c r="CB616" s="227"/>
      <c r="CC616" s="227"/>
      <c r="CD616" s="227"/>
      <c r="CE616" s="227"/>
      <c r="CF616" s="227"/>
      <c r="CG616" s="227"/>
      <c r="CH616" s="227"/>
      <c r="CI616" s="227"/>
      <c r="CJ616" s="227"/>
      <c r="CK616" s="227"/>
      <c r="CL616" s="227"/>
      <c r="CM616" s="227"/>
      <c r="CN616" s="227"/>
      <c r="CO616" s="227"/>
      <c r="CP616" s="227"/>
      <c r="CQ616" s="227"/>
      <c r="CR616" s="227"/>
      <c r="CS616" s="227"/>
      <c r="CT616" s="227"/>
      <c r="CU616" s="225"/>
      <c r="CV616" s="227"/>
    </row>
    <row r="617" spans="1:100" ht="20.100000000000001" customHeight="1">
      <c r="A617" s="227">
        <v>305</v>
      </c>
      <c r="B617" s="225"/>
      <c r="C617" s="227"/>
      <c r="D617" s="228">
        <f>(SUMPRODUCT(E617:CU617*$E$6:$CU$6)/100)+(SUMPRODUCT(E617:CU617*$E$6:$CU$6*$E$3:$CU$3)/100)</f>
        <v>0</v>
      </c>
      <c r="E617" s="227"/>
      <c r="F617" s="227"/>
      <c r="G617" s="227"/>
      <c r="H617" s="227"/>
      <c r="I617" s="227"/>
      <c r="J617" s="227"/>
      <c r="K617" s="227"/>
      <c r="L617" s="227"/>
      <c r="M617" s="227"/>
      <c r="N617" s="227"/>
      <c r="O617" s="227"/>
      <c r="P617" s="227"/>
      <c r="Q617" s="227"/>
      <c r="R617" s="227"/>
      <c r="S617" s="227"/>
      <c r="T617" s="227"/>
      <c r="U617" s="227"/>
      <c r="V617" s="227"/>
      <c r="W617" s="227"/>
      <c r="X617" s="227"/>
      <c r="Y617" s="227"/>
      <c r="Z617" s="227"/>
      <c r="AA617" s="227"/>
      <c r="AB617" s="227"/>
      <c r="AC617" s="227"/>
      <c r="AD617" s="227"/>
      <c r="AE617" s="227"/>
      <c r="AF617" s="227"/>
      <c r="AG617" s="227"/>
      <c r="AH617" s="227"/>
      <c r="AI617" s="227"/>
      <c r="AJ617" s="227"/>
      <c r="AK617" s="227"/>
      <c r="AL617" s="227"/>
      <c r="AM617" s="227"/>
      <c r="AN617" s="227"/>
      <c r="AO617" s="227"/>
      <c r="AP617" s="227"/>
      <c r="AQ617" s="227"/>
      <c r="AR617" s="227"/>
      <c r="AS617" s="227"/>
      <c r="AT617" s="227"/>
      <c r="AU617" s="227"/>
      <c r="AV617" s="227"/>
      <c r="AW617" s="227"/>
      <c r="AX617" s="227"/>
      <c r="AY617" s="227"/>
      <c r="AZ617" s="227"/>
      <c r="BA617" s="227"/>
      <c r="BB617" s="227"/>
      <c r="BC617" s="227"/>
      <c r="BD617" s="227"/>
      <c r="BE617" s="227"/>
      <c r="BF617" s="227"/>
      <c r="BG617" s="227"/>
      <c r="BH617" s="227"/>
      <c r="BI617" s="227"/>
      <c r="BJ617" s="227"/>
      <c r="BK617" s="227"/>
      <c r="BL617" s="227"/>
      <c r="BM617" s="227"/>
      <c r="BN617" s="227"/>
      <c r="BO617" s="227"/>
      <c r="BP617" s="227"/>
      <c r="BQ617" s="227"/>
      <c r="BR617" s="227"/>
      <c r="BS617" s="227"/>
      <c r="BT617" s="227"/>
      <c r="BU617" s="227"/>
      <c r="BV617" s="227"/>
      <c r="BW617" s="227"/>
      <c r="BX617" s="227"/>
      <c r="BY617" s="227"/>
      <c r="BZ617" s="227"/>
      <c r="CA617" s="227"/>
      <c r="CB617" s="227"/>
      <c r="CC617" s="227"/>
      <c r="CD617" s="227"/>
      <c r="CE617" s="227"/>
      <c r="CF617" s="227"/>
      <c r="CG617" s="227"/>
      <c r="CH617" s="227"/>
      <c r="CI617" s="227"/>
      <c r="CJ617" s="227"/>
      <c r="CK617" s="227"/>
      <c r="CL617" s="227"/>
      <c r="CM617" s="227"/>
      <c r="CN617" s="227"/>
      <c r="CO617" s="227"/>
      <c r="CP617" s="227"/>
      <c r="CQ617" s="227"/>
      <c r="CR617" s="227"/>
      <c r="CS617" s="227"/>
      <c r="CT617" s="227"/>
      <c r="CU617" s="225"/>
      <c r="CV617" s="227"/>
    </row>
    <row r="618" spans="1:100" ht="20.100000000000001" customHeight="1">
      <c r="A618" s="227"/>
      <c r="B618" s="225"/>
      <c r="C618" s="227"/>
      <c r="D618" s="224"/>
      <c r="E618" s="227"/>
      <c r="F618" s="227"/>
      <c r="G618" s="227"/>
      <c r="H618" s="227"/>
      <c r="I618" s="227"/>
      <c r="J618" s="227"/>
      <c r="K618" s="227"/>
      <c r="L618" s="227"/>
      <c r="M618" s="227"/>
      <c r="N618" s="227"/>
      <c r="O618" s="227"/>
      <c r="P618" s="227"/>
      <c r="Q618" s="227"/>
      <c r="R618" s="227"/>
      <c r="S618" s="227"/>
      <c r="T618" s="227"/>
      <c r="U618" s="227"/>
      <c r="V618" s="227"/>
      <c r="W618" s="227"/>
      <c r="X618" s="227"/>
      <c r="Y618" s="227"/>
      <c r="Z618" s="227"/>
      <c r="AA618" s="227"/>
      <c r="AB618" s="227"/>
      <c r="AC618" s="227"/>
      <c r="AD618" s="227"/>
      <c r="AE618" s="227"/>
      <c r="AF618" s="227"/>
      <c r="AG618" s="227"/>
      <c r="AH618" s="227"/>
      <c r="AI618" s="227"/>
      <c r="AJ618" s="227"/>
      <c r="AK618" s="227"/>
      <c r="AL618" s="227"/>
      <c r="AM618" s="227"/>
      <c r="AN618" s="227"/>
      <c r="AO618" s="227"/>
      <c r="AP618" s="227"/>
      <c r="AQ618" s="227"/>
      <c r="AR618" s="227"/>
      <c r="AS618" s="227"/>
      <c r="AT618" s="227"/>
      <c r="AU618" s="227"/>
      <c r="AV618" s="227"/>
      <c r="AW618" s="227"/>
      <c r="AX618" s="227"/>
      <c r="AY618" s="227"/>
      <c r="AZ618" s="227"/>
      <c r="BA618" s="227"/>
      <c r="BB618" s="227"/>
      <c r="BC618" s="227"/>
      <c r="BD618" s="227"/>
      <c r="BE618" s="227"/>
      <c r="BF618" s="227"/>
      <c r="BG618" s="227"/>
      <c r="BH618" s="227"/>
      <c r="BI618" s="227"/>
      <c r="BJ618" s="227"/>
      <c r="BK618" s="227"/>
      <c r="BL618" s="227"/>
      <c r="BM618" s="227"/>
      <c r="BN618" s="227"/>
      <c r="BO618" s="227"/>
      <c r="BP618" s="227"/>
      <c r="BQ618" s="227"/>
      <c r="BR618" s="227"/>
      <c r="BS618" s="227"/>
      <c r="BT618" s="227"/>
      <c r="BU618" s="227"/>
      <c r="BV618" s="227"/>
      <c r="BW618" s="227"/>
      <c r="BX618" s="227"/>
      <c r="BY618" s="227"/>
      <c r="BZ618" s="227"/>
      <c r="CA618" s="227"/>
      <c r="CB618" s="227"/>
      <c r="CC618" s="227"/>
      <c r="CD618" s="227"/>
      <c r="CE618" s="227"/>
      <c r="CF618" s="227"/>
      <c r="CG618" s="227"/>
      <c r="CH618" s="227"/>
      <c r="CI618" s="227"/>
      <c r="CJ618" s="227"/>
      <c r="CK618" s="227"/>
      <c r="CL618" s="227"/>
      <c r="CM618" s="227"/>
      <c r="CN618" s="227"/>
      <c r="CO618" s="227"/>
      <c r="CP618" s="227"/>
      <c r="CQ618" s="227"/>
      <c r="CR618" s="227"/>
      <c r="CS618" s="227"/>
      <c r="CT618" s="227"/>
      <c r="CU618" s="225"/>
      <c r="CV618" s="227"/>
    </row>
    <row r="619" spans="1:100" ht="20.100000000000001" customHeight="1">
      <c r="A619" s="227">
        <v>306</v>
      </c>
      <c r="B619" s="225"/>
      <c r="C619" s="227"/>
      <c r="D619" s="228">
        <f>(SUMPRODUCT(E619:CU619*$E$6:$CU$6)/100)+(SUMPRODUCT(E619:CU619*$E$6:$CU$6*$E$3:$CU$3)/100)</f>
        <v>0</v>
      </c>
      <c r="E619" s="227"/>
      <c r="F619" s="227"/>
      <c r="G619" s="227"/>
      <c r="H619" s="227"/>
      <c r="I619" s="227"/>
      <c r="J619" s="227"/>
      <c r="K619" s="227"/>
      <c r="L619" s="227"/>
      <c r="M619" s="227"/>
      <c r="N619" s="227"/>
      <c r="O619" s="227"/>
      <c r="P619" s="227"/>
      <c r="Q619" s="227"/>
      <c r="R619" s="227"/>
      <c r="S619" s="227"/>
      <c r="T619" s="227"/>
      <c r="U619" s="227"/>
      <c r="V619" s="227"/>
      <c r="W619" s="227"/>
      <c r="X619" s="227"/>
      <c r="Y619" s="227"/>
      <c r="Z619" s="227"/>
      <c r="AA619" s="227"/>
      <c r="AB619" s="227"/>
      <c r="AC619" s="227"/>
      <c r="AD619" s="227"/>
      <c r="AE619" s="227"/>
      <c r="AF619" s="227"/>
      <c r="AG619" s="227"/>
      <c r="AH619" s="227"/>
      <c r="AI619" s="227"/>
      <c r="AJ619" s="227"/>
      <c r="AK619" s="227"/>
      <c r="AL619" s="227"/>
      <c r="AM619" s="227"/>
      <c r="AN619" s="227"/>
      <c r="AO619" s="227"/>
      <c r="AP619" s="227"/>
      <c r="AQ619" s="227"/>
      <c r="AR619" s="227"/>
      <c r="AS619" s="227"/>
      <c r="AT619" s="227"/>
      <c r="AU619" s="227"/>
      <c r="AV619" s="227"/>
      <c r="AW619" s="227"/>
      <c r="AX619" s="227"/>
      <c r="AY619" s="227"/>
      <c r="AZ619" s="227"/>
      <c r="BA619" s="227"/>
      <c r="BB619" s="227"/>
      <c r="BC619" s="227"/>
      <c r="BD619" s="227"/>
      <c r="BE619" s="227"/>
      <c r="BF619" s="227"/>
      <c r="BG619" s="227"/>
      <c r="BH619" s="227"/>
      <c r="BI619" s="227"/>
      <c r="BJ619" s="227"/>
      <c r="BK619" s="227"/>
      <c r="BL619" s="227"/>
      <c r="BM619" s="227"/>
      <c r="BN619" s="227"/>
      <c r="BO619" s="227"/>
      <c r="BP619" s="227"/>
      <c r="BQ619" s="227"/>
      <c r="BR619" s="227"/>
      <c r="BS619" s="227"/>
      <c r="BT619" s="227"/>
      <c r="BU619" s="227"/>
      <c r="BV619" s="227"/>
      <c r="BW619" s="227"/>
      <c r="BX619" s="227"/>
      <c r="BY619" s="227"/>
      <c r="BZ619" s="227"/>
      <c r="CA619" s="227"/>
      <c r="CB619" s="227"/>
      <c r="CC619" s="227"/>
      <c r="CD619" s="227"/>
      <c r="CE619" s="227"/>
      <c r="CF619" s="227"/>
      <c r="CG619" s="227"/>
      <c r="CH619" s="227"/>
      <c r="CI619" s="227"/>
      <c r="CJ619" s="227"/>
      <c r="CK619" s="227"/>
      <c r="CL619" s="227"/>
      <c r="CM619" s="227"/>
      <c r="CN619" s="227"/>
      <c r="CO619" s="227"/>
      <c r="CP619" s="227"/>
      <c r="CQ619" s="227"/>
      <c r="CR619" s="227"/>
      <c r="CS619" s="227"/>
      <c r="CT619" s="227"/>
      <c r="CU619" s="225"/>
      <c r="CV619" s="227"/>
    </row>
    <row r="620" spans="1:100" ht="20.100000000000001" customHeight="1">
      <c r="A620" s="223"/>
      <c r="B620" s="225"/>
      <c r="C620" s="227"/>
      <c r="D620" s="224"/>
      <c r="E620" s="227"/>
      <c r="F620" s="227"/>
      <c r="G620" s="227"/>
      <c r="H620" s="227"/>
      <c r="I620" s="227"/>
      <c r="J620" s="227"/>
      <c r="K620" s="227"/>
      <c r="L620" s="227"/>
      <c r="M620" s="227"/>
      <c r="N620" s="227"/>
      <c r="O620" s="227"/>
      <c r="P620" s="227"/>
      <c r="Q620" s="227"/>
      <c r="R620" s="227"/>
      <c r="S620" s="227"/>
      <c r="T620" s="227"/>
      <c r="U620" s="227"/>
      <c r="V620" s="227"/>
      <c r="W620" s="227"/>
      <c r="X620" s="227"/>
      <c r="Y620" s="227"/>
      <c r="Z620" s="227"/>
      <c r="AA620" s="227"/>
      <c r="AB620" s="227"/>
      <c r="AC620" s="227"/>
      <c r="AD620" s="227"/>
      <c r="AE620" s="227"/>
      <c r="AF620" s="227"/>
      <c r="AG620" s="227"/>
      <c r="AH620" s="227"/>
      <c r="AI620" s="227"/>
      <c r="AJ620" s="227"/>
      <c r="AK620" s="227"/>
      <c r="AL620" s="227"/>
      <c r="AM620" s="227"/>
      <c r="AN620" s="227"/>
      <c r="AO620" s="227"/>
      <c r="AP620" s="227"/>
      <c r="AQ620" s="227"/>
      <c r="AR620" s="227"/>
      <c r="AS620" s="227"/>
      <c r="AT620" s="227"/>
      <c r="AU620" s="227"/>
      <c r="AV620" s="227"/>
      <c r="AW620" s="227"/>
      <c r="AX620" s="227"/>
      <c r="AY620" s="227"/>
      <c r="AZ620" s="227"/>
      <c r="BA620" s="227"/>
      <c r="BB620" s="227"/>
      <c r="BC620" s="227"/>
      <c r="BD620" s="227"/>
      <c r="BE620" s="227"/>
      <c r="BF620" s="227"/>
      <c r="BG620" s="227"/>
      <c r="BH620" s="227"/>
      <c r="BI620" s="227"/>
      <c r="BJ620" s="227"/>
      <c r="BK620" s="227"/>
      <c r="BL620" s="227"/>
      <c r="BM620" s="227"/>
      <c r="BN620" s="227"/>
      <c r="BO620" s="227"/>
      <c r="BP620" s="227"/>
      <c r="BQ620" s="227"/>
      <c r="BR620" s="227"/>
      <c r="BS620" s="227"/>
      <c r="BT620" s="227"/>
      <c r="BU620" s="227"/>
      <c r="BV620" s="227"/>
      <c r="BW620" s="227"/>
      <c r="BX620" s="227"/>
      <c r="BY620" s="227"/>
      <c r="BZ620" s="227"/>
      <c r="CA620" s="227"/>
      <c r="CB620" s="227"/>
      <c r="CC620" s="227"/>
      <c r="CD620" s="227"/>
      <c r="CE620" s="227"/>
      <c r="CF620" s="227"/>
      <c r="CG620" s="227"/>
      <c r="CH620" s="227"/>
      <c r="CI620" s="227"/>
      <c r="CJ620" s="227"/>
      <c r="CK620" s="227"/>
      <c r="CL620" s="227"/>
      <c r="CM620" s="227"/>
      <c r="CN620" s="227"/>
      <c r="CO620" s="227"/>
      <c r="CP620" s="227"/>
      <c r="CQ620" s="227"/>
      <c r="CR620" s="227"/>
      <c r="CS620" s="227"/>
      <c r="CT620" s="227"/>
      <c r="CU620" s="225"/>
      <c r="CV620" s="227"/>
    </row>
    <row r="621" spans="1:100" ht="20.100000000000001" customHeight="1">
      <c r="A621" s="227">
        <v>307</v>
      </c>
      <c r="B621" s="225"/>
      <c r="C621" s="227"/>
      <c r="D621" s="228">
        <f>(SUMPRODUCT(E621:CU621*$E$6:$CU$6)/100)+(SUMPRODUCT(E621:CU621*$E$6:$CU$6*$E$3:$CU$3)/100)</f>
        <v>0</v>
      </c>
      <c r="E621" s="227"/>
      <c r="F621" s="227"/>
      <c r="G621" s="227"/>
      <c r="H621" s="227"/>
      <c r="I621" s="227"/>
      <c r="J621" s="227"/>
      <c r="K621" s="227"/>
      <c r="L621" s="227"/>
      <c r="M621" s="227"/>
      <c r="N621" s="227"/>
      <c r="O621" s="227"/>
      <c r="P621" s="227"/>
      <c r="Q621" s="227"/>
      <c r="R621" s="227"/>
      <c r="S621" s="227"/>
      <c r="T621" s="227"/>
      <c r="U621" s="227"/>
      <c r="V621" s="227"/>
      <c r="W621" s="227"/>
      <c r="X621" s="227"/>
      <c r="Y621" s="227"/>
      <c r="Z621" s="227"/>
      <c r="AA621" s="227"/>
      <c r="AB621" s="227"/>
      <c r="AC621" s="227"/>
      <c r="AD621" s="227"/>
      <c r="AE621" s="227"/>
      <c r="AF621" s="227"/>
      <c r="AG621" s="227"/>
      <c r="AH621" s="227"/>
      <c r="AI621" s="227"/>
      <c r="AJ621" s="227"/>
      <c r="AK621" s="227"/>
      <c r="AL621" s="227"/>
      <c r="AM621" s="227"/>
      <c r="AN621" s="227"/>
      <c r="AO621" s="227"/>
      <c r="AP621" s="227"/>
      <c r="AQ621" s="227"/>
      <c r="AR621" s="227"/>
      <c r="AS621" s="227"/>
      <c r="AT621" s="227"/>
      <c r="AU621" s="227"/>
      <c r="AV621" s="227"/>
      <c r="AW621" s="227"/>
      <c r="AX621" s="227"/>
      <c r="AY621" s="227"/>
      <c r="AZ621" s="227"/>
      <c r="BA621" s="227"/>
      <c r="BB621" s="227"/>
      <c r="BC621" s="227"/>
      <c r="BD621" s="227"/>
      <c r="BE621" s="227"/>
      <c r="BF621" s="227"/>
      <c r="BG621" s="227"/>
      <c r="BH621" s="227"/>
      <c r="BI621" s="227"/>
      <c r="BJ621" s="227"/>
      <c r="BK621" s="227"/>
      <c r="BL621" s="227"/>
      <c r="BM621" s="227"/>
      <c r="BN621" s="227"/>
      <c r="BO621" s="227"/>
      <c r="BP621" s="227"/>
      <c r="BQ621" s="227"/>
      <c r="BR621" s="227"/>
      <c r="BS621" s="227"/>
      <c r="BT621" s="227"/>
      <c r="BU621" s="227"/>
      <c r="BV621" s="227"/>
      <c r="BW621" s="227"/>
      <c r="BX621" s="227"/>
      <c r="BY621" s="227"/>
      <c r="BZ621" s="227"/>
      <c r="CA621" s="227"/>
      <c r="CB621" s="227"/>
      <c r="CC621" s="227"/>
      <c r="CD621" s="227"/>
      <c r="CE621" s="227"/>
      <c r="CF621" s="227"/>
      <c r="CG621" s="227"/>
      <c r="CH621" s="227"/>
      <c r="CI621" s="227"/>
      <c r="CJ621" s="227"/>
      <c r="CK621" s="227"/>
      <c r="CL621" s="227"/>
      <c r="CM621" s="227"/>
      <c r="CN621" s="227"/>
      <c r="CO621" s="227"/>
      <c r="CP621" s="227"/>
      <c r="CQ621" s="227"/>
      <c r="CR621" s="227"/>
      <c r="CS621" s="227"/>
      <c r="CT621" s="227"/>
      <c r="CU621" s="225"/>
      <c r="CV621" s="227"/>
    </row>
    <row r="622" spans="1:100" ht="20.100000000000001" customHeight="1">
      <c r="A622" s="227"/>
      <c r="B622" s="225"/>
      <c r="C622" s="227"/>
      <c r="D622" s="224"/>
      <c r="E622" s="227"/>
      <c r="F622" s="227"/>
      <c r="G622" s="227"/>
      <c r="H622" s="227"/>
      <c r="I622" s="227"/>
      <c r="J622" s="227"/>
      <c r="K622" s="227"/>
      <c r="L622" s="227"/>
      <c r="M622" s="227"/>
      <c r="N622" s="227"/>
      <c r="O622" s="227"/>
      <c r="P622" s="227"/>
      <c r="Q622" s="227"/>
      <c r="R622" s="227"/>
      <c r="S622" s="227"/>
      <c r="T622" s="227"/>
      <c r="U622" s="227"/>
      <c r="V622" s="227"/>
      <c r="W622" s="227"/>
      <c r="X622" s="227"/>
      <c r="Y622" s="227"/>
      <c r="Z622" s="227"/>
      <c r="AA622" s="227"/>
      <c r="AB622" s="227"/>
      <c r="AC622" s="227"/>
      <c r="AD622" s="227"/>
      <c r="AE622" s="227"/>
      <c r="AF622" s="227"/>
      <c r="AG622" s="227"/>
      <c r="AH622" s="227"/>
      <c r="AI622" s="227"/>
      <c r="AJ622" s="227"/>
      <c r="AK622" s="227"/>
      <c r="AL622" s="227"/>
      <c r="AM622" s="227"/>
      <c r="AN622" s="227"/>
      <c r="AO622" s="227"/>
      <c r="AP622" s="227"/>
      <c r="AQ622" s="227"/>
      <c r="AR622" s="227"/>
      <c r="AS622" s="227"/>
      <c r="AT622" s="227"/>
      <c r="AU622" s="227"/>
      <c r="AV622" s="227"/>
      <c r="AW622" s="227"/>
      <c r="AX622" s="227"/>
      <c r="AY622" s="227"/>
      <c r="AZ622" s="227"/>
      <c r="BA622" s="227"/>
      <c r="BB622" s="227"/>
      <c r="BC622" s="227"/>
      <c r="BD622" s="227"/>
      <c r="BE622" s="227"/>
      <c r="BF622" s="227"/>
      <c r="BG622" s="227"/>
      <c r="BH622" s="227"/>
      <c r="BI622" s="227"/>
      <c r="BJ622" s="227"/>
      <c r="BK622" s="227"/>
      <c r="BL622" s="227"/>
      <c r="BM622" s="227"/>
      <c r="BN622" s="227"/>
      <c r="BO622" s="227"/>
      <c r="BP622" s="227"/>
      <c r="BQ622" s="227"/>
      <c r="BR622" s="227"/>
      <c r="BS622" s="227"/>
      <c r="BT622" s="227"/>
      <c r="BU622" s="227"/>
      <c r="BV622" s="227"/>
      <c r="BW622" s="227"/>
      <c r="BX622" s="227"/>
      <c r="BY622" s="227"/>
      <c r="BZ622" s="227"/>
      <c r="CA622" s="227"/>
      <c r="CB622" s="227"/>
      <c r="CC622" s="227"/>
      <c r="CD622" s="227"/>
      <c r="CE622" s="227"/>
      <c r="CF622" s="227"/>
      <c r="CG622" s="227"/>
      <c r="CH622" s="227"/>
      <c r="CI622" s="227"/>
      <c r="CJ622" s="227"/>
      <c r="CK622" s="227"/>
      <c r="CL622" s="227"/>
      <c r="CM622" s="227"/>
      <c r="CN622" s="227"/>
      <c r="CO622" s="227"/>
      <c r="CP622" s="227"/>
      <c r="CQ622" s="227"/>
      <c r="CR622" s="227"/>
      <c r="CS622" s="227"/>
      <c r="CT622" s="227"/>
      <c r="CU622" s="225"/>
      <c r="CV622" s="227"/>
    </row>
    <row r="623" spans="1:100" ht="20.100000000000001" customHeight="1">
      <c r="A623" s="227">
        <v>308</v>
      </c>
      <c r="B623" s="225"/>
      <c r="C623" s="227"/>
      <c r="D623" s="228">
        <f>(SUMPRODUCT(E623:CU623*$E$6:$CU$6)/100)+(SUMPRODUCT(E623:CU623*$E$6:$CU$6*$E$3:$CU$3)/100)</f>
        <v>0</v>
      </c>
      <c r="E623" s="227"/>
      <c r="F623" s="227"/>
      <c r="G623" s="227"/>
      <c r="H623" s="227"/>
      <c r="I623" s="227"/>
      <c r="J623" s="227"/>
      <c r="K623" s="227"/>
      <c r="L623" s="227"/>
      <c r="M623" s="227"/>
      <c r="N623" s="227"/>
      <c r="O623" s="227"/>
      <c r="P623" s="227"/>
      <c r="Q623" s="227"/>
      <c r="R623" s="227"/>
      <c r="S623" s="227"/>
      <c r="T623" s="227"/>
      <c r="U623" s="227"/>
      <c r="V623" s="227"/>
      <c r="W623" s="227"/>
      <c r="X623" s="227"/>
      <c r="Y623" s="227"/>
      <c r="Z623" s="227"/>
      <c r="AA623" s="227"/>
      <c r="AB623" s="227"/>
      <c r="AC623" s="227"/>
      <c r="AD623" s="227"/>
      <c r="AE623" s="227"/>
      <c r="AF623" s="227"/>
      <c r="AG623" s="227"/>
      <c r="AH623" s="227"/>
      <c r="AI623" s="227"/>
      <c r="AJ623" s="227"/>
      <c r="AK623" s="227"/>
      <c r="AL623" s="227"/>
      <c r="AM623" s="227"/>
      <c r="AN623" s="227"/>
      <c r="AO623" s="227"/>
      <c r="AP623" s="227"/>
      <c r="AQ623" s="227"/>
      <c r="AR623" s="227"/>
      <c r="AS623" s="227"/>
      <c r="AT623" s="227"/>
      <c r="AU623" s="227"/>
      <c r="AV623" s="227"/>
      <c r="AW623" s="227"/>
      <c r="AX623" s="227"/>
      <c r="AY623" s="227"/>
      <c r="AZ623" s="227"/>
      <c r="BA623" s="227"/>
      <c r="BB623" s="227"/>
      <c r="BC623" s="227"/>
      <c r="BD623" s="227"/>
      <c r="BE623" s="227"/>
      <c r="BF623" s="227"/>
      <c r="BG623" s="227"/>
      <c r="BH623" s="227"/>
      <c r="BI623" s="227"/>
      <c r="BJ623" s="227"/>
      <c r="BK623" s="227"/>
      <c r="BL623" s="227"/>
      <c r="BM623" s="227"/>
      <c r="BN623" s="227"/>
      <c r="BO623" s="227"/>
      <c r="BP623" s="227"/>
      <c r="BQ623" s="227"/>
      <c r="BR623" s="227"/>
      <c r="BS623" s="227"/>
      <c r="BT623" s="227"/>
      <c r="BU623" s="227"/>
      <c r="BV623" s="227"/>
      <c r="BW623" s="227"/>
      <c r="BX623" s="227"/>
      <c r="BY623" s="227"/>
      <c r="BZ623" s="227"/>
      <c r="CA623" s="227"/>
      <c r="CB623" s="227"/>
      <c r="CC623" s="227"/>
      <c r="CD623" s="227"/>
      <c r="CE623" s="227"/>
      <c r="CF623" s="227"/>
      <c r="CG623" s="227"/>
      <c r="CH623" s="227"/>
      <c r="CI623" s="227"/>
      <c r="CJ623" s="227"/>
      <c r="CK623" s="227"/>
      <c r="CL623" s="227"/>
      <c r="CM623" s="227"/>
      <c r="CN623" s="227"/>
      <c r="CO623" s="227"/>
      <c r="CP623" s="227"/>
      <c r="CQ623" s="227"/>
      <c r="CR623" s="227"/>
      <c r="CS623" s="227"/>
      <c r="CT623" s="227"/>
      <c r="CU623" s="225"/>
      <c r="CV623" s="227"/>
    </row>
    <row r="624" spans="1:100" ht="20.100000000000001" customHeight="1">
      <c r="A624" s="223"/>
      <c r="B624" s="225"/>
      <c r="C624" s="227"/>
      <c r="D624" s="224"/>
      <c r="E624" s="227"/>
      <c r="F624" s="227"/>
      <c r="G624" s="227"/>
      <c r="H624" s="227"/>
      <c r="I624" s="227"/>
      <c r="J624" s="227"/>
      <c r="K624" s="227"/>
      <c r="L624" s="227"/>
      <c r="M624" s="227"/>
      <c r="N624" s="227"/>
      <c r="O624" s="227"/>
      <c r="P624" s="227"/>
      <c r="Q624" s="227"/>
      <c r="R624" s="227"/>
      <c r="S624" s="227"/>
      <c r="T624" s="227"/>
      <c r="U624" s="227"/>
      <c r="V624" s="227"/>
      <c r="W624" s="227"/>
      <c r="X624" s="227"/>
      <c r="Y624" s="227"/>
      <c r="Z624" s="227"/>
      <c r="AA624" s="227"/>
      <c r="AB624" s="227"/>
      <c r="AC624" s="227"/>
      <c r="AD624" s="227"/>
      <c r="AE624" s="227"/>
      <c r="AF624" s="227"/>
      <c r="AG624" s="227"/>
      <c r="AH624" s="227"/>
      <c r="AI624" s="227"/>
      <c r="AJ624" s="227"/>
      <c r="AK624" s="227"/>
      <c r="AL624" s="227"/>
      <c r="AM624" s="227"/>
      <c r="AN624" s="227"/>
      <c r="AO624" s="227"/>
      <c r="AP624" s="227"/>
      <c r="AQ624" s="227"/>
      <c r="AR624" s="227"/>
      <c r="AS624" s="227"/>
      <c r="AT624" s="227"/>
      <c r="AU624" s="227"/>
      <c r="AV624" s="227"/>
      <c r="AW624" s="227"/>
      <c r="AX624" s="227"/>
      <c r="AY624" s="227"/>
      <c r="AZ624" s="227"/>
      <c r="BA624" s="227"/>
      <c r="BB624" s="227"/>
      <c r="BC624" s="227"/>
      <c r="BD624" s="227"/>
      <c r="BE624" s="227"/>
      <c r="BF624" s="227"/>
      <c r="BG624" s="227"/>
      <c r="BH624" s="227"/>
      <c r="BI624" s="227"/>
      <c r="BJ624" s="227"/>
      <c r="BK624" s="227"/>
      <c r="BL624" s="227"/>
      <c r="BM624" s="227"/>
      <c r="BN624" s="227"/>
      <c r="BO624" s="227"/>
      <c r="BP624" s="227"/>
      <c r="BQ624" s="227"/>
      <c r="BR624" s="227"/>
      <c r="BS624" s="227"/>
      <c r="BT624" s="227"/>
      <c r="BU624" s="227"/>
      <c r="BV624" s="227"/>
      <c r="BW624" s="227"/>
      <c r="BX624" s="227"/>
      <c r="BY624" s="227"/>
      <c r="BZ624" s="227"/>
      <c r="CA624" s="227"/>
      <c r="CB624" s="227"/>
      <c r="CC624" s="227"/>
      <c r="CD624" s="227"/>
      <c r="CE624" s="227"/>
      <c r="CF624" s="227"/>
      <c r="CG624" s="227"/>
      <c r="CH624" s="227"/>
      <c r="CI624" s="227"/>
      <c r="CJ624" s="227"/>
      <c r="CK624" s="227"/>
      <c r="CL624" s="227"/>
      <c r="CM624" s="227"/>
      <c r="CN624" s="227"/>
      <c r="CO624" s="227"/>
      <c r="CP624" s="227"/>
      <c r="CQ624" s="227"/>
      <c r="CR624" s="227"/>
      <c r="CS624" s="227"/>
      <c r="CT624" s="227"/>
      <c r="CU624" s="225"/>
      <c r="CV624" s="227"/>
    </row>
    <row r="625" spans="1:100" ht="20.100000000000001" customHeight="1">
      <c r="A625" s="227">
        <v>309</v>
      </c>
      <c r="B625" s="225"/>
      <c r="C625" s="227"/>
      <c r="D625" s="228">
        <f>(SUMPRODUCT(E625:CU625*$E$6:$CU$6)/100)+(SUMPRODUCT(E625:CU625*$E$6:$CU$6*$E$3:$CU$3)/100)</f>
        <v>0</v>
      </c>
      <c r="E625" s="227"/>
      <c r="F625" s="227"/>
      <c r="G625" s="227"/>
      <c r="H625" s="227"/>
      <c r="I625" s="227"/>
      <c r="J625" s="227"/>
      <c r="K625" s="227"/>
      <c r="L625" s="227"/>
      <c r="M625" s="227"/>
      <c r="N625" s="227"/>
      <c r="O625" s="227"/>
      <c r="P625" s="227"/>
      <c r="Q625" s="227"/>
      <c r="R625" s="227"/>
      <c r="S625" s="227"/>
      <c r="T625" s="227"/>
      <c r="U625" s="227"/>
      <c r="V625" s="227"/>
      <c r="W625" s="227"/>
      <c r="X625" s="227"/>
      <c r="Y625" s="227"/>
      <c r="Z625" s="227"/>
      <c r="AA625" s="227"/>
      <c r="AB625" s="227"/>
      <c r="AC625" s="227"/>
      <c r="AD625" s="227"/>
      <c r="AE625" s="227"/>
      <c r="AF625" s="227"/>
      <c r="AG625" s="227"/>
      <c r="AH625" s="227"/>
      <c r="AI625" s="227"/>
      <c r="AJ625" s="227"/>
      <c r="AK625" s="227"/>
      <c r="AL625" s="227"/>
      <c r="AM625" s="227"/>
      <c r="AN625" s="227"/>
      <c r="AO625" s="227"/>
      <c r="AP625" s="227"/>
      <c r="AQ625" s="227"/>
      <c r="AR625" s="227"/>
      <c r="AS625" s="227"/>
      <c r="AT625" s="227"/>
      <c r="AU625" s="227"/>
      <c r="AV625" s="227"/>
      <c r="AW625" s="227"/>
      <c r="AX625" s="227"/>
      <c r="AY625" s="227"/>
      <c r="AZ625" s="227"/>
      <c r="BA625" s="227"/>
      <c r="BB625" s="227"/>
      <c r="BC625" s="227"/>
      <c r="BD625" s="227"/>
      <c r="BE625" s="227"/>
      <c r="BF625" s="227"/>
      <c r="BG625" s="227"/>
      <c r="BH625" s="227"/>
      <c r="BI625" s="227"/>
      <c r="BJ625" s="227"/>
      <c r="BK625" s="227"/>
      <c r="BL625" s="227"/>
      <c r="BM625" s="227"/>
      <c r="BN625" s="227"/>
      <c r="BO625" s="227"/>
      <c r="BP625" s="227"/>
      <c r="BQ625" s="227"/>
      <c r="BR625" s="227"/>
      <c r="BS625" s="227"/>
      <c r="BT625" s="227"/>
      <c r="BU625" s="227"/>
      <c r="BV625" s="227"/>
      <c r="BW625" s="227"/>
      <c r="BX625" s="227"/>
      <c r="BY625" s="227"/>
      <c r="BZ625" s="227"/>
      <c r="CA625" s="227"/>
      <c r="CB625" s="227"/>
      <c r="CC625" s="227"/>
      <c r="CD625" s="227"/>
      <c r="CE625" s="227"/>
      <c r="CF625" s="227"/>
      <c r="CG625" s="227"/>
      <c r="CH625" s="227"/>
      <c r="CI625" s="227"/>
      <c r="CJ625" s="227"/>
      <c r="CK625" s="227"/>
      <c r="CL625" s="227"/>
      <c r="CM625" s="227"/>
      <c r="CN625" s="227"/>
      <c r="CO625" s="227"/>
      <c r="CP625" s="227"/>
      <c r="CQ625" s="227"/>
      <c r="CR625" s="227"/>
      <c r="CS625" s="227"/>
      <c r="CT625" s="227"/>
      <c r="CU625" s="225"/>
      <c r="CV625" s="227"/>
    </row>
    <row r="626" spans="1:100" ht="20.100000000000001" customHeight="1">
      <c r="A626" s="227"/>
      <c r="B626" s="225"/>
      <c r="C626" s="227"/>
      <c r="D626" s="224"/>
      <c r="E626" s="227"/>
      <c r="F626" s="227"/>
      <c r="G626" s="227"/>
      <c r="H626" s="227"/>
      <c r="I626" s="227"/>
      <c r="J626" s="227"/>
      <c r="K626" s="227"/>
      <c r="L626" s="227"/>
      <c r="M626" s="227"/>
      <c r="N626" s="227"/>
      <c r="O626" s="227"/>
      <c r="P626" s="227"/>
      <c r="Q626" s="227"/>
      <c r="R626" s="227"/>
      <c r="S626" s="227"/>
      <c r="T626" s="227"/>
      <c r="U626" s="227"/>
      <c r="V626" s="227"/>
      <c r="W626" s="227"/>
      <c r="X626" s="227"/>
      <c r="Y626" s="227"/>
      <c r="Z626" s="227"/>
      <c r="AA626" s="227"/>
      <c r="AB626" s="227"/>
      <c r="AC626" s="227"/>
      <c r="AD626" s="227"/>
      <c r="AE626" s="227"/>
      <c r="AF626" s="227"/>
      <c r="AG626" s="227"/>
      <c r="AH626" s="227"/>
      <c r="AI626" s="227"/>
      <c r="AJ626" s="227"/>
      <c r="AK626" s="227"/>
      <c r="AL626" s="227"/>
      <c r="AM626" s="227"/>
      <c r="AN626" s="227"/>
      <c r="AO626" s="227"/>
      <c r="AP626" s="227"/>
      <c r="AQ626" s="227"/>
      <c r="AR626" s="227"/>
      <c r="AS626" s="227"/>
      <c r="AT626" s="227"/>
      <c r="AU626" s="227"/>
      <c r="AV626" s="227"/>
      <c r="AW626" s="227"/>
      <c r="AX626" s="227"/>
      <c r="AY626" s="227"/>
      <c r="AZ626" s="227"/>
      <c r="BA626" s="227"/>
      <c r="BB626" s="227"/>
      <c r="BC626" s="227"/>
      <c r="BD626" s="227"/>
      <c r="BE626" s="227"/>
      <c r="BF626" s="227"/>
      <c r="BG626" s="227"/>
      <c r="BH626" s="227"/>
      <c r="BI626" s="227"/>
      <c r="BJ626" s="227"/>
      <c r="BK626" s="227"/>
      <c r="BL626" s="227"/>
      <c r="BM626" s="227"/>
      <c r="BN626" s="227"/>
      <c r="BO626" s="227"/>
      <c r="BP626" s="227"/>
      <c r="BQ626" s="227"/>
      <c r="BR626" s="227"/>
      <c r="BS626" s="227"/>
      <c r="BT626" s="227"/>
      <c r="BU626" s="227"/>
      <c r="BV626" s="227"/>
      <c r="BW626" s="227"/>
      <c r="BX626" s="227"/>
      <c r="BY626" s="227"/>
      <c r="BZ626" s="227"/>
      <c r="CA626" s="227"/>
      <c r="CB626" s="227"/>
      <c r="CC626" s="227"/>
      <c r="CD626" s="227"/>
      <c r="CE626" s="227"/>
      <c r="CF626" s="227"/>
      <c r="CG626" s="227"/>
      <c r="CH626" s="227"/>
      <c r="CI626" s="227"/>
      <c r="CJ626" s="227"/>
      <c r="CK626" s="227"/>
      <c r="CL626" s="227"/>
      <c r="CM626" s="227"/>
      <c r="CN626" s="227"/>
      <c r="CO626" s="227"/>
      <c r="CP626" s="227"/>
      <c r="CQ626" s="227"/>
      <c r="CR626" s="227"/>
      <c r="CS626" s="227"/>
      <c r="CT626" s="227"/>
      <c r="CU626" s="225"/>
      <c r="CV626" s="227"/>
    </row>
    <row r="627" spans="1:100" ht="20.100000000000001" customHeight="1">
      <c r="A627" s="227">
        <v>310</v>
      </c>
      <c r="B627" s="225"/>
      <c r="C627" s="227"/>
      <c r="D627" s="228">
        <f>(SUMPRODUCT(E627:CU627*$E$6:$CU$6)/100)+(SUMPRODUCT(E627:CU627*$E$6:$CU$6*$E$3:$CU$3)/100)</f>
        <v>0</v>
      </c>
      <c r="E627" s="227"/>
      <c r="F627" s="227"/>
      <c r="G627" s="227"/>
      <c r="H627" s="227"/>
      <c r="I627" s="227"/>
      <c r="J627" s="227"/>
      <c r="K627" s="227"/>
      <c r="L627" s="227"/>
      <c r="M627" s="227"/>
      <c r="N627" s="227"/>
      <c r="O627" s="227"/>
      <c r="P627" s="227"/>
      <c r="Q627" s="227"/>
      <c r="R627" s="227"/>
      <c r="S627" s="227"/>
      <c r="T627" s="227"/>
      <c r="U627" s="227"/>
      <c r="V627" s="227"/>
      <c r="W627" s="227"/>
      <c r="X627" s="227"/>
      <c r="Y627" s="227"/>
      <c r="Z627" s="227"/>
      <c r="AA627" s="227"/>
      <c r="AB627" s="227"/>
      <c r="AC627" s="227"/>
      <c r="AD627" s="227"/>
      <c r="AE627" s="227"/>
      <c r="AF627" s="227"/>
      <c r="AG627" s="227"/>
      <c r="AH627" s="227"/>
      <c r="AI627" s="227"/>
      <c r="AJ627" s="227"/>
      <c r="AK627" s="227"/>
      <c r="AL627" s="227"/>
      <c r="AM627" s="227"/>
      <c r="AN627" s="227"/>
      <c r="AO627" s="227"/>
      <c r="AP627" s="227"/>
      <c r="AQ627" s="227"/>
      <c r="AR627" s="227"/>
      <c r="AS627" s="227"/>
      <c r="AT627" s="227"/>
      <c r="AU627" s="227"/>
      <c r="AV627" s="227"/>
      <c r="AW627" s="227"/>
      <c r="AX627" s="227"/>
      <c r="AY627" s="227"/>
      <c r="AZ627" s="227"/>
      <c r="BA627" s="227"/>
      <c r="BB627" s="227"/>
      <c r="BC627" s="227"/>
      <c r="BD627" s="227"/>
      <c r="BE627" s="227"/>
      <c r="BF627" s="227"/>
      <c r="BG627" s="227"/>
      <c r="BH627" s="227"/>
      <c r="BI627" s="227"/>
      <c r="BJ627" s="227"/>
      <c r="BK627" s="227"/>
      <c r="BL627" s="227"/>
      <c r="BM627" s="227"/>
      <c r="BN627" s="227"/>
      <c r="BO627" s="227"/>
      <c r="BP627" s="227"/>
      <c r="BQ627" s="227"/>
      <c r="BR627" s="227"/>
      <c r="BS627" s="227"/>
      <c r="BT627" s="227"/>
      <c r="BU627" s="227"/>
      <c r="BV627" s="227"/>
      <c r="BW627" s="227"/>
      <c r="BX627" s="227"/>
      <c r="BY627" s="227"/>
      <c r="BZ627" s="227"/>
      <c r="CA627" s="227"/>
      <c r="CB627" s="227"/>
      <c r="CC627" s="227"/>
      <c r="CD627" s="227"/>
      <c r="CE627" s="227"/>
      <c r="CF627" s="227"/>
      <c r="CG627" s="227"/>
      <c r="CH627" s="227"/>
      <c r="CI627" s="227"/>
      <c r="CJ627" s="227"/>
      <c r="CK627" s="227"/>
      <c r="CL627" s="227"/>
      <c r="CM627" s="227"/>
      <c r="CN627" s="227"/>
      <c r="CO627" s="227"/>
      <c r="CP627" s="227"/>
      <c r="CQ627" s="227"/>
      <c r="CR627" s="227"/>
      <c r="CS627" s="227"/>
      <c r="CT627" s="227"/>
      <c r="CU627" s="225"/>
      <c r="CV627" s="227"/>
    </row>
    <row r="628" spans="1:100" ht="20.100000000000001" customHeight="1">
      <c r="A628" s="223"/>
      <c r="B628" s="225"/>
      <c r="C628" s="227"/>
      <c r="D628" s="224"/>
      <c r="E628" s="227"/>
      <c r="F628" s="227"/>
      <c r="G628" s="227"/>
      <c r="H628" s="227"/>
      <c r="I628" s="227"/>
      <c r="J628" s="227"/>
      <c r="K628" s="227"/>
      <c r="L628" s="227"/>
      <c r="M628" s="227"/>
      <c r="N628" s="227"/>
      <c r="O628" s="227"/>
      <c r="P628" s="227"/>
      <c r="Q628" s="227"/>
      <c r="R628" s="227"/>
      <c r="S628" s="227"/>
      <c r="T628" s="227"/>
      <c r="U628" s="227"/>
      <c r="V628" s="227"/>
      <c r="W628" s="227"/>
      <c r="X628" s="227"/>
      <c r="Y628" s="227"/>
      <c r="Z628" s="227"/>
      <c r="AA628" s="227"/>
      <c r="AB628" s="227"/>
      <c r="AC628" s="227"/>
      <c r="AD628" s="227"/>
      <c r="AE628" s="227"/>
      <c r="AF628" s="227"/>
      <c r="AG628" s="227"/>
      <c r="AH628" s="227"/>
      <c r="AI628" s="227"/>
      <c r="AJ628" s="227"/>
      <c r="AK628" s="227"/>
      <c r="AL628" s="227"/>
      <c r="AM628" s="227"/>
      <c r="AN628" s="227"/>
      <c r="AO628" s="227"/>
      <c r="AP628" s="227"/>
      <c r="AQ628" s="227"/>
      <c r="AR628" s="227"/>
      <c r="AS628" s="227"/>
      <c r="AT628" s="227"/>
      <c r="AU628" s="227"/>
      <c r="AV628" s="227"/>
      <c r="AW628" s="227"/>
      <c r="AX628" s="227"/>
      <c r="AY628" s="227"/>
      <c r="AZ628" s="227"/>
      <c r="BA628" s="227"/>
      <c r="BB628" s="227"/>
      <c r="BC628" s="227"/>
      <c r="BD628" s="227"/>
      <c r="BE628" s="227"/>
      <c r="BF628" s="227"/>
      <c r="BG628" s="227"/>
      <c r="BH628" s="227"/>
      <c r="BI628" s="227"/>
      <c r="BJ628" s="227"/>
      <c r="BK628" s="227"/>
      <c r="BL628" s="227"/>
      <c r="BM628" s="227"/>
      <c r="BN628" s="227"/>
      <c r="BO628" s="227"/>
      <c r="BP628" s="227"/>
      <c r="BQ628" s="227"/>
      <c r="BR628" s="227"/>
      <c r="BS628" s="227"/>
      <c r="BT628" s="227"/>
      <c r="BU628" s="227"/>
      <c r="BV628" s="227"/>
      <c r="BW628" s="227"/>
      <c r="BX628" s="227"/>
      <c r="BY628" s="227"/>
      <c r="BZ628" s="227"/>
      <c r="CA628" s="227"/>
      <c r="CB628" s="227"/>
      <c r="CC628" s="227"/>
      <c r="CD628" s="227"/>
      <c r="CE628" s="227"/>
      <c r="CF628" s="227"/>
      <c r="CG628" s="227"/>
      <c r="CH628" s="227"/>
      <c r="CI628" s="227"/>
      <c r="CJ628" s="227"/>
      <c r="CK628" s="227"/>
      <c r="CL628" s="227"/>
      <c r="CM628" s="227"/>
      <c r="CN628" s="227"/>
      <c r="CO628" s="227"/>
      <c r="CP628" s="227"/>
      <c r="CQ628" s="227"/>
      <c r="CR628" s="227"/>
      <c r="CS628" s="227"/>
      <c r="CT628" s="227"/>
      <c r="CU628" s="225"/>
      <c r="CV628" s="227"/>
    </row>
    <row r="629" spans="1:100" ht="20.100000000000001" customHeight="1">
      <c r="A629" s="227">
        <v>311</v>
      </c>
      <c r="B629" s="225"/>
      <c r="C629" s="227"/>
      <c r="D629" s="228">
        <f>(SUMPRODUCT(E629:CU629*$E$6:$CU$6)/100)+(SUMPRODUCT(E629:CU629*$E$6:$CU$6*$E$3:$CU$3)/100)</f>
        <v>0</v>
      </c>
      <c r="E629" s="227"/>
      <c r="F629" s="227"/>
      <c r="G629" s="227"/>
      <c r="H629" s="227"/>
      <c r="I629" s="227"/>
      <c r="J629" s="227"/>
      <c r="K629" s="227"/>
      <c r="L629" s="227"/>
      <c r="M629" s="227"/>
      <c r="N629" s="227"/>
      <c r="O629" s="227"/>
      <c r="P629" s="227"/>
      <c r="Q629" s="227"/>
      <c r="R629" s="227"/>
      <c r="S629" s="227"/>
      <c r="T629" s="227"/>
      <c r="U629" s="227"/>
      <c r="V629" s="227"/>
      <c r="W629" s="227"/>
      <c r="X629" s="227"/>
      <c r="Y629" s="227"/>
      <c r="Z629" s="227"/>
      <c r="AA629" s="227"/>
      <c r="AB629" s="227"/>
      <c r="AC629" s="227"/>
      <c r="AD629" s="227"/>
      <c r="AE629" s="227"/>
      <c r="AF629" s="227"/>
      <c r="AG629" s="227"/>
      <c r="AH629" s="227"/>
      <c r="AI629" s="227"/>
      <c r="AJ629" s="227"/>
      <c r="AK629" s="227"/>
      <c r="AL629" s="227"/>
      <c r="AM629" s="227"/>
      <c r="AN629" s="227"/>
      <c r="AO629" s="227"/>
      <c r="AP629" s="227"/>
      <c r="AQ629" s="227"/>
      <c r="AR629" s="227"/>
      <c r="AS629" s="227"/>
      <c r="AT629" s="227"/>
      <c r="AU629" s="227"/>
      <c r="AV629" s="227"/>
      <c r="AW629" s="227"/>
      <c r="AX629" s="227"/>
      <c r="AY629" s="227"/>
      <c r="AZ629" s="227"/>
      <c r="BA629" s="227"/>
      <c r="BB629" s="227"/>
      <c r="BC629" s="227"/>
      <c r="BD629" s="227"/>
      <c r="BE629" s="227"/>
      <c r="BF629" s="227"/>
      <c r="BG629" s="227"/>
      <c r="BH629" s="227"/>
      <c r="BI629" s="227"/>
      <c r="BJ629" s="227"/>
      <c r="BK629" s="227"/>
      <c r="BL629" s="227"/>
      <c r="BM629" s="227"/>
      <c r="BN629" s="227"/>
      <c r="BO629" s="227"/>
      <c r="BP629" s="227"/>
      <c r="BQ629" s="227"/>
      <c r="BR629" s="227"/>
      <c r="BS629" s="227"/>
      <c r="BT629" s="227"/>
      <c r="BU629" s="227"/>
      <c r="BV629" s="227"/>
      <c r="BW629" s="227"/>
      <c r="BX629" s="227"/>
      <c r="BY629" s="227"/>
      <c r="BZ629" s="227"/>
      <c r="CA629" s="227"/>
      <c r="CB629" s="227"/>
      <c r="CC629" s="227"/>
      <c r="CD629" s="227"/>
      <c r="CE629" s="227"/>
      <c r="CF629" s="227"/>
      <c r="CG629" s="227"/>
      <c r="CH629" s="227"/>
      <c r="CI629" s="227"/>
      <c r="CJ629" s="227"/>
      <c r="CK629" s="227"/>
      <c r="CL629" s="227"/>
      <c r="CM629" s="227"/>
      <c r="CN629" s="227"/>
      <c r="CO629" s="227"/>
      <c r="CP629" s="227"/>
      <c r="CQ629" s="227"/>
      <c r="CR629" s="227"/>
      <c r="CS629" s="227"/>
      <c r="CT629" s="227"/>
      <c r="CU629" s="225"/>
      <c r="CV629" s="227"/>
    </row>
    <row r="630" spans="1:100" ht="20.100000000000001" customHeight="1">
      <c r="A630" s="227"/>
      <c r="B630" s="225"/>
      <c r="C630" s="227"/>
      <c r="D630" s="224"/>
      <c r="E630" s="227"/>
      <c r="F630" s="227"/>
      <c r="G630" s="227"/>
      <c r="H630" s="227"/>
      <c r="I630" s="227"/>
      <c r="J630" s="227"/>
      <c r="K630" s="227"/>
      <c r="L630" s="227"/>
      <c r="M630" s="227"/>
      <c r="N630" s="227"/>
      <c r="O630" s="227"/>
      <c r="P630" s="227"/>
      <c r="Q630" s="227"/>
      <c r="R630" s="227"/>
      <c r="S630" s="227"/>
      <c r="T630" s="227"/>
      <c r="U630" s="227"/>
      <c r="V630" s="227"/>
      <c r="W630" s="227"/>
      <c r="X630" s="227"/>
      <c r="Y630" s="227"/>
      <c r="Z630" s="227"/>
      <c r="AA630" s="227"/>
      <c r="AB630" s="227"/>
      <c r="AC630" s="227"/>
      <c r="AD630" s="227"/>
      <c r="AE630" s="227"/>
      <c r="AF630" s="227"/>
      <c r="AG630" s="227"/>
      <c r="AH630" s="227"/>
      <c r="AI630" s="227"/>
      <c r="AJ630" s="227"/>
      <c r="AK630" s="227"/>
      <c r="AL630" s="227"/>
      <c r="AM630" s="227"/>
      <c r="AN630" s="227"/>
      <c r="AO630" s="227"/>
      <c r="AP630" s="227"/>
      <c r="AQ630" s="227"/>
      <c r="AR630" s="227"/>
      <c r="AS630" s="227"/>
      <c r="AT630" s="227"/>
      <c r="AU630" s="227"/>
      <c r="AV630" s="227"/>
      <c r="AW630" s="227"/>
      <c r="AX630" s="227"/>
      <c r="AY630" s="227"/>
      <c r="AZ630" s="227"/>
      <c r="BA630" s="227"/>
      <c r="BB630" s="227"/>
      <c r="BC630" s="227"/>
      <c r="BD630" s="227"/>
      <c r="BE630" s="227"/>
      <c r="BF630" s="227"/>
      <c r="BG630" s="227"/>
      <c r="BH630" s="227"/>
      <c r="BI630" s="227"/>
      <c r="BJ630" s="227"/>
      <c r="BK630" s="227"/>
      <c r="BL630" s="227"/>
      <c r="BM630" s="227"/>
      <c r="BN630" s="227"/>
      <c r="BO630" s="227"/>
      <c r="BP630" s="227"/>
      <c r="BQ630" s="227"/>
      <c r="BR630" s="227"/>
      <c r="BS630" s="227"/>
      <c r="BT630" s="227"/>
      <c r="BU630" s="227"/>
      <c r="BV630" s="227"/>
      <c r="BW630" s="227"/>
      <c r="BX630" s="227"/>
      <c r="BY630" s="227"/>
      <c r="BZ630" s="227"/>
      <c r="CA630" s="227"/>
      <c r="CB630" s="227"/>
      <c r="CC630" s="227"/>
      <c r="CD630" s="227"/>
      <c r="CE630" s="227"/>
      <c r="CF630" s="227"/>
      <c r="CG630" s="227"/>
      <c r="CH630" s="227"/>
      <c r="CI630" s="227"/>
      <c r="CJ630" s="227"/>
      <c r="CK630" s="227"/>
      <c r="CL630" s="227"/>
      <c r="CM630" s="227"/>
      <c r="CN630" s="227"/>
      <c r="CO630" s="227"/>
      <c r="CP630" s="227"/>
      <c r="CQ630" s="227"/>
      <c r="CR630" s="227"/>
      <c r="CS630" s="227"/>
      <c r="CT630" s="227"/>
      <c r="CU630" s="225"/>
      <c r="CV630" s="227"/>
    </row>
    <row r="631" spans="1:100" ht="20.100000000000001" customHeight="1">
      <c r="A631" s="227">
        <v>312</v>
      </c>
      <c r="B631" s="225"/>
      <c r="C631" s="227"/>
      <c r="D631" s="228">
        <f>(SUMPRODUCT(E631:CU631*$E$6:$CU$6)/100)+(SUMPRODUCT(E631:CU631*$E$6:$CU$6*$E$3:$CU$3)/100)</f>
        <v>0</v>
      </c>
      <c r="E631" s="227"/>
      <c r="F631" s="227"/>
      <c r="G631" s="227"/>
      <c r="H631" s="227"/>
      <c r="I631" s="227"/>
      <c r="J631" s="227"/>
      <c r="K631" s="227"/>
      <c r="L631" s="227"/>
      <c r="M631" s="227"/>
      <c r="N631" s="227"/>
      <c r="O631" s="227"/>
      <c r="P631" s="227"/>
      <c r="Q631" s="227"/>
      <c r="R631" s="227"/>
      <c r="S631" s="227"/>
      <c r="T631" s="227"/>
      <c r="U631" s="227"/>
      <c r="V631" s="227"/>
      <c r="W631" s="227"/>
      <c r="X631" s="227"/>
      <c r="Y631" s="227"/>
      <c r="Z631" s="227"/>
      <c r="AA631" s="227"/>
      <c r="AB631" s="227"/>
      <c r="AC631" s="227"/>
      <c r="AD631" s="227"/>
      <c r="AE631" s="227"/>
      <c r="AF631" s="227"/>
      <c r="AG631" s="227"/>
      <c r="AH631" s="227"/>
      <c r="AI631" s="227"/>
      <c r="AJ631" s="227"/>
      <c r="AK631" s="227"/>
      <c r="AL631" s="227"/>
      <c r="AM631" s="227"/>
      <c r="AN631" s="227"/>
      <c r="AO631" s="227"/>
      <c r="AP631" s="227"/>
      <c r="AQ631" s="227"/>
      <c r="AR631" s="227"/>
      <c r="AS631" s="227"/>
      <c r="AT631" s="227"/>
      <c r="AU631" s="227"/>
      <c r="AV631" s="227"/>
      <c r="AW631" s="227"/>
      <c r="AX631" s="227"/>
      <c r="AY631" s="227"/>
      <c r="AZ631" s="227"/>
      <c r="BA631" s="227"/>
      <c r="BB631" s="227"/>
      <c r="BC631" s="227"/>
      <c r="BD631" s="227"/>
      <c r="BE631" s="227"/>
      <c r="BF631" s="227"/>
      <c r="BG631" s="227"/>
      <c r="BH631" s="227"/>
      <c r="BI631" s="227"/>
      <c r="BJ631" s="227"/>
      <c r="BK631" s="227"/>
      <c r="BL631" s="227"/>
      <c r="BM631" s="227"/>
      <c r="BN631" s="227"/>
      <c r="BO631" s="227"/>
      <c r="BP631" s="227"/>
      <c r="BQ631" s="227"/>
      <c r="BR631" s="227"/>
      <c r="BS631" s="227"/>
      <c r="BT631" s="227"/>
      <c r="BU631" s="227"/>
      <c r="BV631" s="227"/>
      <c r="BW631" s="227"/>
      <c r="BX631" s="227"/>
      <c r="BY631" s="227"/>
      <c r="BZ631" s="227"/>
      <c r="CA631" s="227"/>
      <c r="CB631" s="227"/>
      <c r="CC631" s="227"/>
      <c r="CD631" s="227"/>
      <c r="CE631" s="227"/>
      <c r="CF631" s="227"/>
      <c r="CG631" s="227"/>
      <c r="CH631" s="227"/>
      <c r="CI631" s="227"/>
      <c r="CJ631" s="227"/>
      <c r="CK631" s="227"/>
      <c r="CL631" s="227"/>
      <c r="CM631" s="227"/>
      <c r="CN631" s="227"/>
      <c r="CO631" s="227"/>
      <c r="CP631" s="227"/>
      <c r="CQ631" s="227"/>
      <c r="CR631" s="227"/>
      <c r="CS631" s="227"/>
      <c r="CT631" s="227"/>
      <c r="CU631" s="225"/>
      <c r="CV631" s="227"/>
    </row>
    <row r="632" spans="1:100" ht="20.100000000000001" customHeight="1">
      <c r="A632" s="223"/>
      <c r="B632" s="225"/>
      <c r="C632" s="227"/>
      <c r="D632" s="224"/>
      <c r="E632" s="227"/>
      <c r="F632" s="227"/>
      <c r="G632" s="227"/>
      <c r="H632" s="227"/>
      <c r="I632" s="227"/>
      <c r="J632" s="227"/>
      <c r="K632" s="227"/>
      <c r="L632" s="227"/>
      <c r="M632" s="227"/>
      <c r="N632" s="227"/>
      <c r="O632" s="227"/>
      <c r="P632" s="227"/>
      <c r="Q632" s="227"/>
      <c r="R632" s="227"/>
      <c r="S632" s="227"/>
      <c r="T632" s="227"/>
      <c r="U632" s="227"/>
      <c r="V632" s="227"/>
      <c r="W632" s="227"/>
      <c r="X632" s="227"/>
      <c r="Y632" s="227"/>
      <c r="Z632" s="227"/>
      <c r="AA632" s="227"/>
      <c r="AB632" s="227"/>
      <c r="AC632" s="227"/>
      <c r="AD632" s="227"/>
      <c r="AE632" s="227"/>
      <c r="AF632" s="227"/>
      <c r="AG632" s="227"/>
      <c r="AH632" s="227"/>
      <c r="AI632" s="227"/>
      <c r="AJ632" s="227"/>
      <c r="AK632" s="227"/>
      <c r="AL632" s="227"/>
      <c r="AM632" s="227"/>
      <c r="AN632" s="227"/>
      <c r="AO632" s="227"/>
      <c r="AP632" s="227"/>
      <c r="AQ632" s="227"/>
      <c r="AR632" s="227"/>
      <c r="AS632" s="227"/>
      <c r="AT632" s="227"/>
      <c r="AU632" s="227"/>
      <c r="AV632" s="227"/>
      <c r="AW632" s="227"/>
      <c r="AX632" s="227"/>
      <c r="AY632" s="227"/>
      <c r="AZ632" s="227"/>
      <c r="BA632" s="227"/>
      <c r="BB632" s="227"/>
      <c r="BC632" s="227"/>
      <c r="BD632" s="227"/>
      <c r="BE632" s="227"/>
      <c r="BF632" s="227"/>
      <c r="BG632" s="227"/>
      <c r="BH632" s="227"/>
      <c r="BI632" s="227"/>
      <c r="BJ632" s="227"/>
      <c r="BK632" s="227"/>
      <c r="BL632" s="227"/>
      <c r="BM632" s="227"/>
      <c r="BN632" s="227"/>
      <c r="BO632" s="227"/>
      <c r="BP632" s="227"/>
      <c r="BQ632" s="227"/>
      <c r="BR632" s="227"/>
      <c r="BS632" s="227"/>
      <c r="BT632" s="227"/>
      <c r="BU632" s="227"/>
      <c r="BV632" s="227"/>
      <c r="BW632" s="227"/>
      <c r="BX632" s="227"/>
      <c r="BY632" s="227"/>
      <c r="BZ632" s="227"/>
      <c r="CA632" s="227"/>
      <c r="CB632" s="227"/>
      <c r="CC632" s="227"/>
      <c r="CD632" s="227"/>
      <c r="CE632" s="227"/>
      <c r="CF632" s="227"/>
      <c r="CG632" s="227"/>
      <c r="CH632" s="227"/>
      <c r="CI632" s="227"/>
      <c r="CJ632" s="227"/>
      <c r="CK632" s="227"/>
      <c r="CL632" s="227"/>
      <c r="CM632" s="227"/>
      <c r="CN632" s="227"/>
      <c r="CO632" s="227"/>
      <c r="CP632" s="227"/>
      <c r="CQ632" s="227"/>
      <c r="CR632" s="227"/>
      <c r="CS632" s="227"/>
      <c r="CT632" s="227"/>
      <c r="CU632" s="225"/>
      <c r="CV632" s="227"/>
    </row>
    <row r="633" spans="1:100" ht="20.100000000000001" customHeight="1">
      <c r="A633" s="227">
        <v>313</v>
      </c>
      <c r="B633" s="225"/>
      <c r="C633" s="227"/>
      <c r="D633" s="228">
        <f>(SUMPRODUCT(E633:CU633*$E$6:$CU$6)/100)+(SUMPRODUCT(E633:CU633*$E$6:$CU$6*$E$3:$CU$3)/100)</f>
        <v>0</v>
      </c>
      <c r="E633" s="227"/>
      <c r="F633" s="227"/>
      <c r="G633" s="227"/>
      <c r="H633" s="227"/>
      <c r="I633" s="227"/>
      <c r="J633" s="227"/>
      <c r="K633" s="227"/>
      <c r="L633" s="227"/>
      <c r="M633" s="227"/>
      <c r="N633" s="227"/>
      <c r="O633" s="227"/>
      <c r="P633" s="227"/>
      <c r="Q633" s="227"/>
      <c r="R633" s="227"/>
      <c r="S633" s="227"/>
      <c r="T633" s="227"/>
      <c r="U633" s="227"/>
      <c r="V633" s="227"/>
      <c r="W633" s="227"/>
      <c r="X633" s="227"/>
      <c r="Y633" s="227"/>
      <c r="Z633" s="227"/>
      <c r="AA633" s="227"/>
      <c r="AB633" s="227"/>
      <c r="AC633" s="227"/>
      <c r="AD633" s="227"/>
      <c r="AE633" s="227"/>
      <c r="AF633" s="227"/>
      <c r="AG633" s="227"/>
      <c r="AH633" s="227"/>
      <c r="AI633" s="227"/>
      <c r="AJ633" s="227"/>
      <c r="AK633" s="227"/>
      <c r="AL633" s="227"/>
      <c r="AM633" s="227"/>
      <c r="AN633" s="227"/>
      <c r="AO633" s="227"/>
      <c r="AP633" s="227"/>
      <c r="AQ633" s="227"/>
      <c r="AR633" s="227"/>
      <c r="AS633" s="227"/>
      <c r="AT633" s="227"/>
      <c r="AU633" s="227"/>
      <c r="AV633" s="227"/>
      <c r="AW633" s="227"/>
      <c r="AX633" s="227"/>
      <c r="AY633" s="227"/>
      <c r="AZ633" s="227"/>
      <c r="BA633" s="227"/>
      <c r="BB633" s="227"/>
      <c r="BC633" s="227"/>
      <c r="BD633" s="227"/>
      <c r="BE633" s="227"/>
      <c r="BF633" s="227"/>
      <c r="BG633" s="227"/>
      <c r="BH633" s="227"/>
      <c r="BI633" s="227"/>
      <c r="BJ633" s="227"/>
      <c r="BK633" s="227"/>
      <c r="BL633" s="227"/>
      <c r="BM633" s="227"/>
      <c r="BN633" s="227"/>
      <c r="BO633" s="227"/>
      <c r="BP633" s="227"/>
      <c r="BQ633" s="227"/>
      <c r="BR633" s="227"/>
      <c r="BS633" s="227"/>
      <c r="BT633" s="227"/>
      <c r="BU633" s="227"/>
      <c r="BV633" s="227"/>
      <c r="BW633" s="227"/>
      <c r="BX633" s="227"/>
      <c r="BY633" s="227"/>
      <c r="BZ633" s="227"/>
      <c r="CA633" s="227"/>
      <c r="CB633" s="227"/>
      <c r="CC633" s="227"/>
      <c r="CD633" s="227"/>
      <c r="CE633" s="227"/>
      <c r="CF633" s="227"/>
      <c r="CG633" s="227"/>
      <c r="CH633" s="227"/>
      <c r="CI633" s="227"/>
      <c r="CJ633" s="227"/>
      <c r="CK633" s="227"/>
      <c r="CL633" s="227"/>
      <c r="CM633" s="227"/>
      <c r="CN633" s="227"/>
      <c r="CO633" s="227"/>
      <c r="CP633" s="227"/>
      <c r="CQ633" s="227"/>
      <c r="CR633" s="227"/>
      <c r="CS633" s="227"/>
      <c r="CT633" s="227"/>
      <c r="CU633" s="225"/>
      <c r="CV633" s="227"/>
    </row>
    <row r="634" spans="1:100" ht="20.100000000000001" customHeight="1">
      <c r="A634" s="227"/>
      <c r="B634" s="225"/>
      <c r="C634" s="227"/>
      <c r="D634" s="224"/>
      <c r="E634" s="227"/>
      <c r="F634" s="227"/>
      <c r="G634" s="227"/>
      <c r="H634" s="227"/>
      <c r="I634" s="227"/>
      <c r="J634" s="227"/>
      <c r="K634" s="227"/>
      <c r="L634" s="227"/>
      <c r="M634" s="227"/>
      <c r="N634" s="227"/>
      <c r="O634" s="227"/>
      <c r="P634" s="227"/>
      <c r="Q634" s="227"/>
      <c r="R634" s="227"/>
      <c r="S634" s="227"/>
      <c r="T634" s="227"/>
      <c r="U634" s="227"/>
      <c r="V634" s="227"/>
      <c r="W634" s="227"/>
      <c r="X634" s="227"/>
      <c r="Y634" s="227"/>
      <c r="Z634" s="227"/>
      <c r="AA634" s="227"/>
      <c r="AB634" s="227"/>
      <c r="AC634" s="227"/>
      <c r="AD634" s="227"/>
      <c r="AE634" s="227"/>
      <c r="AF634" s="227"/>
      <c r="AG634" s="227"/>
      <c r="AH634" s="227"/>
      <c r="AI634" s="227"/>
      <c r="AJ634" s="227"/>
      <c r="AK634" s="227"/>
      <c r="AL634" s="227"/>
      <c r="AM634" s="227"/>
      <c r="AN634" s="227"/>
      <c r="AO634" s="227"/>
      <c r="AP634" s="227"/>
      <c r="AQ634" s="227"/>
      <c r="AR634" s="227"/>
      <c r="AS634" s="227"/>
      <c r="AT634" s="227"/>
      <c r="AU634" s="227"/>
      <c r="AV634" s="227"/>
      <c r="AW634" s="227"/>
      <c r="AX634" s="227"/>
      <c r="AY634" s="227"/>
      <c r="AZ634" s="227"/>
      <c r="BA634" s="227"/>
      <c r="BB634" s="227"/>
      <c r="BC634" s="227"/>
      <c r="BD634" s="227"/>
      <c r="BE634" s="227"/>
      <c r="BF634" s="227"/>
      <c r="BG634" s="227"/>
      <c r="BH634" s="227"/>
      <c r="BI634" s="227"/>
      <c r="BJ634" s="227"/>
      <c r="BK634" s="227"/>
      <c r="BL634" s="227"/>
      <c r="BM634" s="227"/>
      <c r="BN634" s="227"/>
      <c r="BO634" s="227"/>
      <c r="BP634" s="227"/>
      <c r="BQ634" s="227"/>
      <c r="BR634" s="227"/>
      <c r="BS634" s="227"/>
      <c r="BT634" s="227"/>
      <c r="BU634" s="227"/>
      <c r="BV634" s="227"/>
      <c r="BW634" s="227"/>
      <c r="BX634" s="227"/>
      <c r="BY634" s="227"/>
      <c r="BZ634" s="227"/>
      <c r="CA634" s="227"/>
      <c r="CB634" s="227"/>
      <c r="CC634" s="227"/>
      <c r="CD634" s="227"/>
      <c r="CE634" s="227"/>
      <c r="CF634" s="227"/>
      <c r="CG634" s="227"/>
      <c r="CH634" s="227"/>
      <c r="CI634" s="227"/>
      <c r="CJ634" s="227"/>
      <c r="CK634" s="227"/>
      <c r="CL634" s="227"/>
      <c r="CM634" s="227"/>
      <c r="CN634" s="227"/>
      <c r="CO634" s="227"/>
      <c r="CP634" s="227"/>
      <c r="CQ634" s="227"/>
      <c r="CR634" s="227"/>
      <c r="CS634" s="227"/>
      <c r="CT634" s="227"/>
      <c r="CU634" s="225"/>
      <c r="CV634" s="227"/>
    </row>
    <row r="635" spans="1:100" ht="20.100000000000001" customHeight="1">
      <c r="A635" s="227">
        <v>314</v>
      </c>
      <c r="B635" s="225"/>
      <c r="C635" s="227"/>
      <c r="D635" s="228">
        <f>(SUMPRODUCT(E635:CU635*$E$6:$CU$6)/100)+(SUMPRODUCT(E635:CU635*$E$6:$CU$6*$E$3:$CU$3)/100)</f>
        <v>0</v>
      </c>
      <c r="E635" s="227"/>
      <c r="F635" s="227"/>
      <c r="G635" s="227"/>
      <c r="H635" s="227"/>
      <c r="I635" s="227"/>
      <c r="J635" s="227"/>
      <c r="K635" s="227"/>
      <c r="L635" s="227"/>
      <c r="M635" s="227"/>
      <c r="N635" s="227"/>
      <c r="O635" s="227"/>
      <c r="P635" s="227"/>
      <c r="Q635" s="227"/>
      <c r="R635" s="227"/>
      <c r="S635" s="227"/>
      <c r="T635" s="227"/>
      <c r="U635" s="227"/>
      <c r="V635" s="227"/>
      <c r="W635" s="227"/>
      <c r="X635" s="227"/>
      <c r="Y635" s="227"/>
      <c r="Z635" s="227"/>
      <c r="AA635" s="227"/>
      <c r="AB635" s="227"/>
      <c r="AC635" s="227"/>
      <c r="AD635" s="227"/>
      <c r="AE635" s="227"/>
      <c r="AF635" s="227"/>
      <c r="AG635" s="227"/>
      <c r="AH635" s="227"/>
      <c r="AI635" s="227"/>
      <c r="AJ635" s="227"/>
      <c r="AK635" s="227"/>
      <c r="AL635" s="227"/>
      <c r="AM635" s="227"/>
      <c r="AN635" s="227"/>
      <c r="AO635" s="227"/>
      <c r="AP635" s="227"/>
      <c r="AQ635" s="227"/>
      <c r="AR635" s="227"/>
      <c r="AS635" s="227"/>
      <c r="AT635" s="227"/>
      <c r="AU635" s="227"/>
      <c r="AV635" s="227"/>
      <c r="AW635" s="227"/>
      <c r="AX635" s="227"/>
      <c r="AY635" s="227"/>
      <c r="AZ635" s="227"/>
      <c r="BA635" s="227"/>
      <c r="BB635" s="227"/>
      <c r="BC635" s="227"/>
      <c r="BD635" s="227"/>
      <c r="BE635" s="227"/>
      <c r="BF635" s="227"/>
      <c r="BG635" s="227"/>
      <c r="BH635" s="227"/>
      <c r="BI635" s="227"/>
      <c r="BJ635" s="227"/>
      <c r="BK635" s="227"/>
      <c r="BL635" s="227"/>
      <c r="BM635" s="227"/>
      <c r="BN635" s="227"/>
      <c r="BO635" s="227"/>
      <c r="BP635" s="227"/>
      <c r="BQ635" s="227"/>
      <c r="BR635" s="227"/>
      <c r="BS635" s="227"/>
      <c r="BT635" s="227"/>
      <c r="BU635" s="227"/>
      <c r="BV635" s="227"/>
      <c r="BW635" s="227"/>
      <c r="BX635" s="227"/>
      <c r="BY635" s="227"/>
      <c r="BZ635" s="227"/>
      <c r="CA635" s="227"/>
      <c r="CB635" s="227"/>
      <c r="CC635" s="227"/>
      <c r="CD635" s="227"/>
      <c r="CE635" s="227"/>
      <c r="CF635" s="227"/>
      <c r="CG635" s="227"/>
      <c r="CH635" s="227"/>
      <c r="CI635" s="227"/>
      <c r="CJ635" s="227"/>
      <c r="CK635" s="227"/>
      <c r="CL635" s="227"/>
      <c r="CM635" s="227"/>
      <c r="CN635" s="227"/>
      <c r="CO635" s="227"/>
      <c r="CP635" s="227"/>
      <c r="CQ635" s="227"/>
      <c r="CR635" s="227"/>
      <c r="CS635" s="227"/>
      <c r="CT635" s="227"/>
      <c r="CU635" s="225"/>
      <c r="CV635" s="227"/>
    </row>
    <row r="636" spans="1:100" ht="20.100000000000001" customHeight="1">
      <c r="A636" s="223"/>
      <c r="B636" s="225"/>
      <c r="C636" s="227"/>
      <c r="D636" s="224"/>
      <c r="E636" s="227"/>
      <c r="F636" s="227"/>
      <c r="G636" s="227"/>
      <c r="H636" s="227"/>
      <c r="I636" s="227"/>
      <c r="J636" s="227"/>
      <c r="K636" s="227"/>
      <c r="L636" s="227"/>
      <c r="M636" s="227"/>
      <c r="N636" s="227"/>
      <c r="O636" s="227"/>
      <c r="P636" s="227"/>
      <c r="Q636" s="227"/>
      <c r="R636" s="227"/>
      <c r="S636" s="227"/>
      <c r="T636" s="227"/>
      <c r="U636" s="227"/>
      <c r="V636" s="227"/>
      <c r="W636" s="227"/>
      <c r="X636" s="227"/>
      <c r="Y636" s="227"/>
      <c r="Z636" s="227"/>
      <c r="AA636" s="227"/>
      <c r="AB636" s="227"/>
      <c r="AC636" s="227"/>
      <c r="AD636" s="227"/>
      <c r="AE636" s="227"/>
      <c r="AF636" s="227"/>
      <c r="AG636" s="227"/>
      <c r="AH636" s="227"/>
      <c r="AI636" s="227"/>
      <c r="AJ636" s="227"/>
      <c r="AK636" s="227"/>
      <c r="AL636" s="227"/>
      <c r="AM636" s="227"/>
      <c r="AN636" s="227"/>
      <c r="AO636" s="227"/>
      <c r="AP636" s="227"/>
      <c r="AQ636" s="227"/>
      <c r="AR636" s="227"/>
      <c r="AS636" s="227"/>
      <c r="AT636" s="227"/>
      <c r="AU636" s="227"/>
      <c r="AV636" s="227"/>
      <c r="AW636" s="227"/>
      <c r="AX636" s="227"/>
      <c r="AY636" s="227"/>
      <c r="AZ636" s="227"/>
      <c r="BA636" s="227"/>
      <c r="BB636" s="227"/>
      <c r="BC636" s="227"/>
      <c r="BD636" s="227"/>
      <c r="BE636" s="227"/>
      <c r="BF636" s="227"/>
      <c r="BG636" s="227"/>
      <c r="BH636" s="227"/>
      <c r="BI636" s="227"/>
      <c r="BJ636" s="227"/>
      <c r="BK636" s="227"/>
      <c r="BL636" s="227"/>
      <c r="BM636" s="227"/>
      <c r="BN636" s="227"/>
      <c r="BO636" s="227"/>
      <c r="BP636" s="227"/>
      <c r="BQ636" s="227"/>
      <c r="BR636" s="227"/>
      <c r="BS636" s="227"/>
      <c r="BT636" s="227"/>
      <c r="BU636" s="227"/>
      <c r="BV636" s="227"/>
      <c r="BW636" s="227"/>
      <c r="BX636" s="227"/>
      <c r="BY636" s="227"/>
      <c r="BZ636" s="227"/>
      <c r="CA636" s="227"/>
      <c r="CB636" s="227"/>
      <c r="CC636" s="227"/>
      <c r="CD636" s="227"/>
      <c r="CE636" s="227"/>
      <c r="CF636" s="227"/>
      <c r="CG636" s="227"/>
      <c r="CH636" s="227"/>
      <c r="CI636" s="227"/>
      <c r="CJ636" s="227"/>
      <c r="CK636" s="227"/>
      <c r="CL636" s="227"/>
      <c r="CM636" s="227"/>
      <c r="CN636" s="227"/>
      <c r="CO636" s="227"/>
      <c r="CP636" s="227"/>
      <c r="CQ636" s="227"/>
      <c r="CR636" s="227"/>
      <c r="CS636" s="227"/>
      <c r="CT636" s="227"/>
      <c r="CU636" s="225"/>
      <c r="CV636" s="227"/>
    </row>
    <row r="637" spans="1:100" ht="20.100000000000001" customHeight="1">
      <c r="A637" s="227">
        <v>315</v>
      </c>
      <c r="B637" s="225"/>
      <c r="C637" s="227"/>
      <c r="D637" s="228">
        <f>(SUMPRODUCT(E637:CU637*$E$6:$CU$6)/100)+(SUMPRODUCT(E637:CU637*$E$6:$CU$6*$E$3:$CU$3)/100)</f>
        <v>0</v>
      </c>
      <c r="E637" s="227"/>
      <c r="F637" s="227"/>
      <c r="G637" s="227"/>
      <c r="H637" s="227"/>
      <c r="I637" s="227"/>
      <c r="J637" s="227"/>
      <c r="K637" s="227"/>
      <c r="L637" s="227"/>
      <c r="M637" s="227"/>
      <c r="N637" s="227"/>
      <c r="O637" s="227"/>
      <c r="P637" s="227"/>
      <c r="Q637" s="227"/>
      <c r="R637" s="227"/>
      <c r="S637" s="227"/>
      <c r="T637" s="227"/>
      <c r="U637" s="227"/>
      <c r="V637" s="227"/>
      <c r="W637" s="227"/>
      <c r="X637" s="227"/>
      <c r="Y637" s="227"/>
      <c r="Z637" s="227"/>
      <c r="AA637" s="227"/>
      <c r="AB637" s="227"/>
      <c r="AC637" s="227"/>
      <c r="AD637" s="227"/>
      <c r="AE637" s="227"/>
      <c r="AF637" s="227"/>
      <c r="AG637" s="227"/>
      <c r="AH637" s="227"/>
      <c r="AI637" s="227"/>
      <c r="AJ637" s="227"/>
      <c r="AK637" s="227"/>
      <c r="AL637" s="227"/>
      <c r="AM637" s="227"/>
      <c r="AN637" s="227"/>
      <c r="AO637" s="227"/>
      <c r="AP637" s="227"/>
      <c r="AQ637" s="227"/>
      <c r="AR637" s="227"/>
      <c r="AS637" s="227"/>
      <c r="AT637" s="227"/>
      <c r="AU637" s="227"/>
      <c r="AV637" s="227"/>
      <c r="AW637" s="227"/>
      <c r="AX637" s="227"/>
      <c r="AY637" s="227"/>
      <c r="AZ637" s="227"/>
      <c r="BA637" s="227"/>
      <c r="BB637" s="227"/>
      <c r="BC637" s="227"/>
      <c r="BD637" s="227"/>
      <c r="BE637" s="227"/>
      <c r="BF637" s="227"/>
      <c r="BG637" s="227"/>
      <c r="BH637" s="227"/>
      <c r="BI637" s="227"/>
      <c r="BJ637" s="227"/>
      <c r="BK637" s="227"/>
      <c r="BL637" s="227"/>
      <c r="BM637" s="227"/>
      <c r="BN637" s="227"/>
      <c r="BO637" s="227"/>
      <c r="BP637" s="227"/>
      <c r="BQ637" s="227"/>
      <c r="BR637" s="227"/>
      <c r="BS637" s="227"/>
      <c r="BT637" s="227"/>
      <c r="BU637" s="227"/>
      <c r="BV637" s="227"/>
      <c r="BW637" s="227"/>
      <c r="BX637" s="227"/>
      <c r="BY637" s="227"/>
      <c r="BZ637" s="227"/>
      <c r="CA637" s="227"/>
      <c r="CB637" s="227"/>
      <c r="CC637" s="227"/>
      <c r="CD637" s="227"/>
      <c r="CE637" s="227"/>
      <c r="CF637" s="227"/>
      <c r="CG637" s="227"/>
      <c r="CH637" s="227"/>
      <c r="CI637" s="227"/>
      <c r="CJ637" s="227"/>
      <c r="CK637" s="227"/>
      <c r="CL637" s="227"/>
      <c r="CM637" s="227"/>
      <c r="CN637" s="227"/>
      <c r="CO637" s="227"/>
      <c r="CP637" s="227"/>
      <c r="CQ637" s="227"/>
      <c r="CR637" s="227"/>
      <c r="CS637" s="227"/>
      <c r="CT637" s="227"/>
      <c r="CU637" s="225"/>
      <c r="CV637" s="227"/>
    </row>
    <row r="638" spans="1:100" ht="20.100000000000001" customHeight="1">
      <c r="A638" s="227"/>
      <c r="B638" s="225"/>
      <c r="C638" s="227"/>
      <c r="D638" s="224"/>
      <c r="E638" s="227"/>
      <c r="F638" s="227"/>
      <c r="G638" s="227"/>
      <c r="H638" s="227"/>
      <c r="I638" s="227"/>
      <c r="J638" s="227"/>
      <c r="K638" s="227"/>
      <c r="L638" s="227"/>
      <c r="M638" s="227"/>
      <c r="N638" s="227"/>
      <c r="O638" s="227"/>
      <c r="P638" s="227"/>
      <c r="Q638" s="227"/>
      <c r="R638" s="227"/>
      <c r="S638" s="227"/>
      <c r="T638" s="227"/>
      <c r="U638" s="227"/>
      <c r="V638" s="227"/>
      <c r="W638" s="227"/>
      <c r="X638" s="227"/>
      <c r="Y638" s="227"/>
      <c r="Z638" s="227"/>
      <c r="AA638" s="227"/>
      <c r="AB638" s="227"/>
      <c r="AC638" s="227"/>
      <c r="AD638" s="227"/>
      <c r="AE638" s="227"/>
      <c r="AF638" s="227"/>
      <c r="AG638" s="227"/>
      <c r="AH638" s="227"/>
      <c r="AI638" s="227"/>
      <c r="AJ638" s="227"/>
      <c r="AK638" s="227"/>
      <c r="AL638" s="227"/>
      <c r="AM638" s="227"/>
      <c r="AN638" s="227"/>
      <c r="AO638" s="227"/>
      <c r="AP638" s="227"/>
      <c r="AQ638" s="227"/>
      <c r="AR638" s="227"/>
      <c r="AS638" s="227"/>
      <c r="AT638" s="227"/>
      <c r="AU638" s="227"/>
      <c r="AV638" s="227"/>
      <c r="AW638" s="227"/>
      <c r="AX638" s="227"/>
      <c r="AY638" s="227"/>
      <c r="AZ638" s="227"/>
      <c r="BA638" s="227"/>
      <c r="BB638" s="227"/>
      <c r="BC638" s="227"/>
      <c r="BD638" s="227"/>
      <c r="BE638" s="227"/>
      <c r="BF638" s="227"/>
      <c r="BG638" s="227"/>
      <c r="BH638" s="227"/>
      <c r="BI638" s="227"/>
      <c r="BJ638" s="227"/>
      <c r="BK638" s="227"/>
      <c r="BL638" s="227"/>
      <c r="BM638" s="227"/>
      <c r="BN638" s="227"/>
      <c r="BO638" s="227"/>
      <c r="BP638" s="227"/>
      <c r="BQ638" s="227"/>
      <c r="BR638" s="227"/>
      <c r="BS638" s="227"/>
      <c r="BT638" s="227"/>
      <c r="BU638" s="227"/>
      <c r="BV638" s="227"/>
      <c r="BW638" s="227"/>
      <c r="BX638" s="227"/>
      <c r="BY638" s="227"/>
      <c r="BZ638" s="227"/>
      <c r="CA638" s="227"/>
      <c r="CB638" s="227"/>
      <c r="CC638" s="227"/>
      <c r="CD638" s="227"/>
      <c r="CE638" s="227"/>
      <c r="CF638" s="227"/>
      <c r="CG638" s="227"/>
      <c r="CH638" s="227"/>
      <c r="CI638" s="227"/>
      <c r="CJ638" s="227"/>
      <c r="CK638" s="227"/>
      <c r="CL638" s="227"/>
      <c r="CM638" s="227"/>
      <c r="CN638" s="227"/>
      <c r="CO638" s="227"/>
      <c r="CP638" s="227"/>
      <c r="CQ638" s="227"/>
      <c r="CR638" s="227"/>
      <c r="CS638" s="227"/>
      <c r="CT638" s="227"/>
      <c r="CU638" s="225"/>
      <c r="CV638" s="227"/>
    </row>
    <row r="639" spans="1:100" ht="20.100000000000001" customHeight="1">
      <c r="A639" s="227">
        <v>316</v>
      </c>
      <c r="B639" s="225"/>
      <c r="C639" s="227"/>
      <c r="D639" s="228">
        <f>(SUMPRODUCT(E639:CU639*$E$6:$CU$6)/100)+(SUMPRODUCT(E639:CU639*$E$6:$CU$6*$E$3:$CU$3)/100)</f>
        <v>0</v>
      </c>
      <c r="E639" s="227"/>
      <c r="F639" s="227"/>
      <c r="G639" s="227"/>
      <c r="H639" s="227"/>
      <c r="I639" s="227"/>
      <c r="J639" s="227"/>
      <c r="K639" s="227"/>
      <c r="L639" s="227"/>
      <c r="M639" s="227"/>
      <c r="N639" s="227"/>
      <c r="O639" s="227"/>
      <c r="P639" s="227"/>
      <c r="Q639" s="227"/>
      <c r="R639" s="227"/>
      <c r="S639" s="227"/>
      <c r="T639" s="227"/>
      <c r="U639" s="227"/>
      <c r="V639" s="227"/>
      <c r="W639" s="227"/>
      <c r="X639" s="227"/>
      <c r="Y639" s="227"/>
      <c r="Z639" s="227"/>
      <c r="AA639" s="227"/>
      <c r="AB639" s="227"/>
      <c r="AC639" s="227"/>
      <c r="AD639" s="227"/>
      <c r="AE639" s="227"/>
      <c r="AF639" s="227"/>
      <c r="AG639" s="227"/>
      <c r="AH639" s="227"/>
      <c r="AI639" s="227"/>
      <c r="AJ639" s="227"/>
      <c r="AK639" s="227"/>
      <c r="AL639" s="227"/>
      <c r="AM639" s="227"/>
      <c r="AN639" s="227"/>
      <c r="AO639" s="227"/>
      <c r="AP639" s="227"/>
      <c r="AQ639" s="227"/>
      <c r="AR639" s="227"/>
      <c r="AS639" s="227"/>
      <c r="AT639" s="227"/>
      <c r="AU639" s="227"/>
      <c r="AV639" s="227"/>
      <c r="AW639" s="227"/>
      <c r="AX639" s="227"/>
      <c r="AY639" s="227"/>
      <c r="AZ639" s="227"/>
      <c r="BA639" s="227"/>
      <c r="BB639" s="227"/>
      <c r="BC639" s="227"/>
      <c r="BD639" s="227"/>
      <c r="BE639" s="227"/>
      <c r="BF639" s="227"/>
      <c r="BG639" s="227"/>
      <c r="BH639" s="227"/>
      <c r="BI639" s="227"/>
      <c r="BJ639" s="227"/>
      <c r="BK639" s="227"/>
      <c r="BL639" s="227"/>
      <c r="BM639" s="227"/>
      <c r="BN639" s="227"/>
      <c r="BO639" s="227"/>
      <c r="BP639" s="227"/>
      <c r="BQ639" s="227"/>
      <c r="BR639" s="227"/>
      <c r="BS639" s="227"/>
      <c r="BT639" s="227"/>
      <c r="BU639" s="227"/>
      <c r="BV639" s="227"/>
      <c r="BW639" s="227"/>
      <c r="BX639" s="227"/>
      <c r="BY639" s="227"/>
      <c r="BZ639" s="227"/>
      <c r="CA639" s="227"/>
      <c r="CB639" s="227"/>
      <c r="CC639" s="227"/>
      <c r="CD639" s="227"/>
      <c r="CE639" s="227"/>
      <c r="CF639" s="227"/>
      <c r="CG639" s="227"/>
      <c r="CH639" s="227"/>
      <c r="CI639" s="227"/>
      <c r="CJ639" s="227"/>
      <c r="CK639" s="227"/>
      <c r="CL639" s="227"/>
      <c r="CM639" s="227"/>
      <c r="CN639" s="227"/>
      <c r="CO639" s="227"/>
      <c r="CP639" s="227"/>
      <c r="CQ639" s="227"/>
      <c r="CR639" s="227"/>
      <c r="CS639" s="227"/>
      <c r="CT639" s="227"/>
      <c r="CU639" s="225"/>
      <c r="CV639" s="227"/>
    </row>
    <row r="640" spans="1:100" ht="20.100000000000001" customHeight="1">
      <c r="A640" s="223"/>
      <c r="B640" s="225"/>
      <c r="C640" s="227"/>
      <c r="D640" s="224"/>
      <c r="E640" s="227"/>
      <c r="F640" s="227"/>
      <c r="G640" s="227"/>
      <c r="H640" s="227"/>
      <c r="I640" s="227"/>
      <c r="J640" s="227"/>
      <c r="K640" s="227"/>
      <c r="L640" s="227"/>
      <c r="M640" s="227"/>
      <c r="N640" s="227"/>
      <c r="O640" s="227"/>
      <c r="P640" s="227"/>
      <c r="Q640" s="227"/>
      <c r="R640" s="227"/>
      <c r="S640" s="227"/>
      <c r="T640" s="227"/>
      <c r="U640" s="227"/>
      <c r="V640" s="227"/>
      <c r="W640" s="227"/>
      <c r="X640" s="227"/>
      <c r="Y640" s="227"/>
      <c r="Z640" s="227"/>
      <c r="AA640" s="227"/>
      <c r="AB640" s="227"/>
      <c r="AC640" s="227"/>
      <c r="AD640" s="227"/>
      <c r="AE640" s="227"/>
      <c r="AF640" s="227"/>
      <c r="AG640" s="227"/>
      <c r="AH640" s="227"/>
      <c r="AI640" s="227"/>
      <c r="AJ640" s="227"/>
      <c r="AK640" s="227"/>
      <c r="AL640" s="227"/>
      <c r="AM640" s="227"/>
      <c r="AN640" s="227"/>
      <c r="AO640" s="227"/>
      <c r="AP640" s="227"/>
      <c r="AQ640" s="227"/>
      <c r="AR640" s="227"/>
      <c r="AS640" s="227"/>
      <c r="AT640" s="227"/>
      <c r="AU640" s="227"/>
      <c r="AV640" s="227"/>
      <c r="AW640" s="227"/>
      <c r="AX640" s="227"/>
      <c r="AY640" s="227"/>
      <c r="AZ640" s="227"/>
      <c r="BA640" s="227"/>
      <c r="BB640" s="227"/>
      <c r="BC640" s="227"/>
      <c r="BD640" s="227"/>
      <c r="BE640" s="227"/>
      <c r="BF640" s="227"/>
      <c r="BG640" s="227"/>
      <c r="BH640" s="227"/>
      <c r="BI640" s="227"/>
      <c r="BJ640" s="227"/>
      <c r="BK640" s="227"/>
      <c r="BL640" s="227"/>
      <c r="BM640" s="227"/>
      <c r="BN640" s="227"/>
      <c r="BO640" s="227"/>
      <c r="BP640" s="227"/>
      <c r="BQ640" s="227"/>
      <c r="BR640" s="227"/>
      <c r="BS640" s="227"/>
      <c r="BT640" s="227"/>
      <c r="BU640" s="227"/>
      <c r="BV640" s="227"/>
      <c r="BW640" s="227"/>
      <c r="BX640" s="227"/>
      <c r="BY640" s="227"/>
      <c r="BZ640" s="227"/>
      <c r="CA640" s="227"/>
      <c r="CB640" s="227"/>
      <c r="CC640" s="227"/>
      <c r="CD640" s="227"/>
      <c r="CE640" s="227"/>
      <c r="CF640" s="227"/>
      <c r="CG640" s="227"/>
      <c r="CH640" s="227"/>
      <c r="CI640" s="227"/>
      <c r="CJ640" s="227"/>
      <c r="CK640" s="227"/>
      <c r="CL640" s="227"/>
      <c r="CM640" s="227"/>
      <c r="CN640" s="227"/>
      <c r="CO640" s="227"/>
      <c r="CP640" s="227"/>
      <c r="CQ640" s="227"/>
      <c r="CR640" s="227"/>
      <c r="CS640" s="227"/>
      <c r="CT640" s="227"/>
      <c r="CU640" s="225"/>
      <c r="CV640" s="227"/>
    </row>
    <row r="641" spans="1:100" ht="20.100000000000001" customHeight="1">
      <c r="A641" s="227">
        <v>317</v>
      </c>
      <c r="B641" s="225"/>
      <c r="C641" s="227"/>
      <c r="D641" s="228">
        <f>(SUMPRODUCT(E641:CU641*$E$6:$CU$6)/100)+(SUMPRODUCT(E641:CU641*$E$6:$CU$6*$E$3:$CU$3)/100)</f>
        <v>0</v>
      </c>
      <c r="E641" s="227"/>
      <c r="F641" s="227"/>
      <c r="G641" s="227"/>
      <c r="H641" s="227"/>
      <c r="I641" s="227"/>
      <c r="J641" s="227"/>
      <c r="K641" s="227"/>
      <c r="L641" s="227"/>
      <c r="M641" s="227"/>
      <c r="N641" s="227"/>
      <c r="O641" s="227"/>
      <c r="P641" s="227"/>
      <c r="Q641" s="227"/>
      <c r="R641" s="227"/>
      <c r="S641" s="227"/>
      <c r="T641" s="227"/>
      <c r="U641" s="227"/>
      <c r="V641" s="227"/>
      <c r="W641" s="227"/>
      <c r="X641" s="227"/>
      <c r="Y641" s="227"/>
      <c r="Z641" s="227"/>
      <c r="AA641" s="227"/>
      <c r="AB641" s="227"/>
      <c r="AC641" s="227"/>
      <c r="AD641" s="227"/>
      <c r="AE641" s="227"/>
      <c r="AF641" s="227"/>
      <c r="AG641" s="227"/>
      <c r="AH641" s="227"/>
      <c r="AI641" s="227"/>
      <c r="AJ641" s="227"/>
      <c r="AK641" s="227"/>
      <c r="AL641" s="227"/>
      <c r="AM641" s="227"/>
      <c r="AN641" s="227"/>
      <c r="AO641" s="227"/>
      <c r="AP641" s="227"/>
      <c r="AQ641" s="227"/>
      <c r="AR641" s="227"/>
      <c r="AS641" s="227"/>
      <c r="AT641" s="227"/>
      <c r="AU641" s="227"/>
      <c r="AV641" s="227"/>
      <c r="AW641" s="227"/>
      <c r="AX641" s="227"/>
      <c r="AY641" s="227"/>
      <c r="AZ641" s="227"/>
      <c r="BA641" s="227"/>
      <c r="BB641" s="227"/>
      <c r="BC641" s="227"/>
      <c r="BD641" s="227"/>
      <c r="BE641" s="227"/>
      <c r="BF641" s="227"/>
      <c r="BG641" s="227"/>
      <c r="BH641" s="227"/>
      <c r="BI641" s="227"/>
      <c r="BJ641" s="227"/>
      <c r="BK641" s="227"/>
      <c r="BL641" s="227"/>
      <c r="BM641" s="227"/>
      <c r="BN641" s="227"/>
      <c r="BO641" s="227"/>
      <c r="BP641" s="227"/>
      <c r="BQ641" s="227"/>
      <c r="BR641" s="227"/>
      <c r="BS641" s="227"/>
      <c r="BT641" s="227"/>
      <c r="BU641" s="227"/>
      <c r="BV641" s="227"/>
      <c r="BW641" s="227"/>
      <c r="BX641" s="227"/>
      <c r="BY641" s="227"/>
      <c r="BZ641" s="227"/>
      <c r="CA641" s="227"/>
      <c r="CB641" s="227"/>
      <c r="CC641" s="227"/>
      <c r="CD641" s="227"/>
      <c r="CE641" s="227"/>
      <c r="CF641" s="227"/>
      <c r="CG641" s="227"/>
      <c r="CH641" s="227"/>
      <c r="CI641" s="227"/>
      <c r="CJ641" s="227"/>
      <c r="CK641" s="227"/>
      <c r="CL641" s="227"/>
      <c r="CM641" s="227"/>
      <c r="CN641" s="227"/>
      <c r="CO641" s="227"/>
      <c r="CP641" s="227"/>
      <c r="CQ641" s="227"/>
      <c r="CR641" s="227"/>
      <c r="CS641" s="227"/>
      <c r="CT641" s="227"/>
      <c r="CU641" s="225"/>
      <c r="CV641" s="227"/>
    </row>
    <row r="642" spans="1:100" ht="20.100000000000001" customHeight="1">
      <c r="A642" s="227"/>
      <c r="B642" s="225"/>
      <c r="C642" s="227"/>
      <c r="D642" s="224"/>
      <c r="E642" s="227"/>
      <c r="F642" s="227"/>
      <c r="G642" s="227"/>
      <c r="H642" s="227"/>
      <c r="I642" s="227"/>
      <c r="J642" s="227"/>
      <c r="K642" s="227"/>
      <c r="L642" s="227"/>
      <c r="M642" s="227"/>
      <c r="N642" s="227"/>
      <c r="O642" s="227"/>
      <c r="P642" s="227"/>
      <c r="Q642" s="227"/>
      <c r="R642" s="227"/>
      <c r="S642" s="227"/>
      <c r="T642" s="227"/>
      <c r="U642" s="227"/>
      <c r="V642" s="227"/>
      <c r="W642" s="227"/>
      <c r="X642" s="227"/>
      <c r="Y642" s="227"/>
      <c r="Z642" s="227"/>
      <c r="AA642" s="227"/>
      <c r="AB642" s="227"/>
      <c r="AC642" s="227"/>
      <c r="AD642" s="227"/>
      <c r="AE642" s="227"/>
      <c r="AF642" s="227"/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27"/>
      <c r="BC642" s="227"/>
      <c r="BD642" s="227"/>
      <c r="BE642" s="227"/>
      <c r="BF642" s="227"/>
      <c r="BG642" s="227"/>
      <c r="BH642" s="227"/>
      <c r="BI642" s="227"/>
      <c r="BJ642" s="227"/>
      <c r="BK642" s="227"/>
      <c r="BL642" s="227"/>
      <c r="BM642" s="227"/>
      <c r="BN642" s="227"/>
      <c r="BO642" s="227"/>
      <c r="BP642" s="227"/>
      <c r="BQ642" s="227"/>
      <c r="BR642" s="227"/>
      <c r="BS642" s="227"/>
      <c r="BT642" s="227"/>
      <c r="BU642" s="227"/>
      <c r="BV642" s="227"/>
      <c r="BW642" s="227"/>
      <c r="BX642" s="227"/>
      <c r="BY642" s="227"/>
      <c r="BZ642" s="227"/>
      <c r="CA642" s="227"/>
      <c r="CB642" s="227"/>
      <c r="CC642" s="227"/>
      <c r="CD642" s="227"/>
      <c r="CE642" s="227"/>
      <c r="CF642" s="227"/>
      <c r="CG642" s="227"/>
      <c r="CH642" s="227"/>
      <c r="CI642" s="227"/>
      <c r="CJ642" s="227"/>
      <c r="CK642" s="227"/>
      <c r="CL642" s="227"/>
      <c r="CM642" s="227"/>
      <c r="CN642" s="227"/>
      <c r="CO642" s="227"/>
      <c r="CP642" s="227"/>
      <c r="CQ642" s="227"/>
      <c r="CR642" s="227"/>
      <c r="CS642" s="227"/>
      <c r="CT642" s="227"/>
      <c r="CU642" s="225"/>
      <c r="CV642" s="227"/>
    </row>
    <row r="643" spans="1:100" ht="20.100000000000001" customHeight="1">
      <c r="A643" s="227">
        <v>318</v>
      </c>
      <c r="B643" s="225"/>
      <c r="C643" s="227"/>
      <c r="D643" s="228">
        <f>(SUMPRODUCT(E643:CU643*$E$6:$CU$6)/100)+(SUMPRODUCT(E643:CU643*$E$6:$CU$6*$E$3:$CU$3)/100)</f>
        <v>0</v>
      </c>
      <c r="E643" s="227"/>
      <c r="F643" s="227"/>
      <c r="G643" s="227"/>
      <c r="H643" s="227"/>
      <c r="I643" s="227"/>
      <c r="J643" s="227"/>
      <c r="K643" s="227"/>
      <c r="L643" s="227"/>
      <c r="M643" s="227"/>
      <c r="N643" s="227"/>
      <c r="O643" s="227"/>
      <c r="P643" s="227"/>
      <c r="Q643" s="227"/>
      <c r="R643" s="227"/>
      <c r="S643" s="227"/>
      <c r="T643" s="227"/>
      <c r="U643" s="227"/>
      <c r="V643" s="227"/>
      <c r="W643" s="227"/>
      <c r="X643" s="227"/>
      <c r="Y643" s="227"/>
      <c r="Z643" s="227"/>
      <c r="AA643" s="227"/>
      <c r="AB643" s="227"/>
      <c r="AC643" s="227"/>
      <c r="AD643" s="227"/>
      <c r="AE643" s="227"/>
      <c r="AF643" s="227"/>
      <c r="AG643" s="227"/>
      <c r="AH643" s="227"/>
      <c r="AI643" s="227"/>
      <c r="AJ643" s="227"/>
      <c r="AK643" s="227"/>
      <c r="AL643" s="227"/>
      <c r="AM643" s="227"/>
      <c r="AN643" s="227"/>
      <c r="AO643" s="227"/>
      <c r="AP643" s="227"/>
      <c r="AQ643" s="227"/>
      <c r="AR643" s="227"/>
      <c r="AS643" s="227"/>
      <c r="AT643" s="227"/>
      <c r="AU643" s="227"/>
      <c r="AV643" s="227"/>
      <c r="AW643" s="227"/>
      <c r="AX643" s="227"/>
      <c r="AY643" s="227"/>
      <c r="AZ643" s="227"/>
      <c r="BA643" s="227"/>
      <c r="BB643" s="227"/>
      <c r="BC643" s="227"/>
      <c r="BD643" s="227"/>
      <c r="BE643" s="227"/>
      <c r="BF643" s="227"/>
      <c r="BG643" s="227"/>
      <c r="BH643" s="227"/>
      <c r="BI643" s="227"/>
      <c r="BJ643" s="227"/>
      <c r="BK643" s="227"/>
      <c r="BL643" s="227"/>
      <c r="BM643" s="227"/>
      <c r="BN643" s="227"/>
      <c r="BO643" s="227"/>
      <c r="BP643" s="227"/>
      <c r="BQ643" s="227"/>
      <c r="BR643" s="227"/>
      <c r="BS643" s="227"/>
      <c r="BT643" s="227"/>
      <c r="BU643" s="227"/>
      <c r="BV643" s="227"/>
      <c r="BW643" s="227"/>
      <c r="BX643" s="227"/>
      <c r="BY643" s="227"/>
      <c r="BZ643" s="227"/>
      <c r="CA643" s="227"/>
      <c r="CB643" s="227"/>
      <c r="CC643" s="227"/>
      <c r="CD643" s="227"/>
      <c r="CE643" s="227"/>
      <c r="CF643" s="227"/>
      <c r="CG643" s="227"/>
      <c r="CH643" s="227"/>
      <c r="CI643" s="227"/>
      <c r="CJ643" s="227"/>
      <c r="CK643" s="227"/>
      <c r="CL643" s="227"/>
      <c r="CM643" s="227"/>
      <c r="CN643" s="227"/>
      <c r="CO643" s="227"/>
      <c r="CP643" s="227"/>
      <c r="CQ643" s="227"/>
      <c r="CR643" s="227"/>
      <c r="CS643" s="227"/>
      <c r="CT643" s="227"/>
      <c r="CU643" s="225"/>
      <c r="CV643" s="227"/>
    </row>
    <row r="644" spans="1:100" ht="20.100000000000001" customHeight="1">
      <c r="A644" s="223"/>
      <c r="B644" s="225"/>
      <c r="C644" s="227"/>
      <c r="D644" s="224"/>
      <c r="E644" s="227"/>
      <c r="F644" s="227"/>
      <c r="G644" s="227"/>
      <c r="H644" s="227"/>
      <c r="I644" s="227"/>
      <c r="J644" s="227"/>
      <c r="K644" s="227"/>
      <c r="L644" s="227"/>
      <c r="M644" s="227"/>
      <c r="N644" s="227"/>
      <c r="O644" s="227"/>
      <c r="P644" s="227"/>
      <c r="Q644" s="227"/>
      <c r="R644" s="227"/>
      <c r="S644" s="227"/>
      <c r="T644" s="227"/>
      <c r="U644" s="227"/>
      <c r="V644" s="227"/>
      <c r="W644" s="227"/>
      <c r="X644" s="227"/>
      <c r="Y644" s="227"/>
      <c r="Z644" s="227"/>
      <c r="AA644" s="227"/>
      <c r="AB644" s="227"/>
      <c r="AC644" s="227"/>
      <c r="AD644" s="227"/>
      <c r="AE644" s="227"/>
      <c r="AF644" s="227"/>
      <c r="AG644" s="227"/>
      <c r="AH644" s="227"/>
      <c r="AI644" s="227"/>
      <c r="AJ644" s="227"/>
      <c r="AK644" s="227"/>
      <c r="AL644" s="227"/>
      <c r="AM644" s="227"/>
      <c r="AN644" s="227"/>
      <c r="AO644" s="227"/>
      <c r="AP644" s="227"/>
      <c r="AQ644" s="227"/>
      <c r="AR644" s="227"/>
      <c r="AS644" s="227"/>
      <c r="AT644" s="227"/>
      <c r="AU644" s="227"/>
      <c r="AV644" s="227"/>
      <c r="AW644" s="227"/>
      <c r="AX644" s="227"/>
      <c r="AY644" s="227"/>
      <c r="AZ644" s="227"/>
      <c r="BA644" s="227"/>
      <c r="BB644" s="227"/>
      <c r="BC644" s="227"/>
      <c r="BD644" s="227"/>
      <c r="BE644" s="227"/>
      <c r="BF644" s="227"/>
      <c r="BG644" s="227"/>
      <c r="BH644" s="227"/>
      <c r="BI644" s="227"/>
      <c r="BJ644" s="227"/>
      <c r="BK644" s="227"/>
      <c r="BL644" s="227"/>
      <c r="BM644" s="227"/>
      <c r="BN644" s="227"/>
      <c r="BO644" s="227"/>
      <c r="BP644" s="227"/>
      <c r="BQ644" s="227"/>
      <c r="BR644" s="227"/>
      <c r="BS644" s="227"/>
      <c r="BT644" s="227"/>
      <c r="BU644" s="227"/>
      <c r="BV644" s="227"/>
      <c r="BW644" s="227"/>
      <c r="BX644" s="227"/>
      <c r="BY644" s="227"/>
      <c r="BZ644" s="227"/>
      <c r="CA644" s="227"/>
      <c r="CB644" s="227"/>
      <c r="CC644" s="227"/>
      <c r="CD644" s="227"/>
      <c r="CE644" s="227"/>
      <c r="CF644" s="227"/>
      <c r="CG644" s="227"/>
      <c r="CH644" s="227"/>
      <c r="CI644" s="227"/>
      <c r="CJ644" s="227"/>
      <c r="CK644" s="227"/>
      <c r="CL644" s="227"/>
      <c r="CM644" s="227"/>
      <c r="CN644" s="227"/>
      <c r="CO644" s="227"/>
      <c r="CP644" s="227"/>
      <c r="CQ644" s="227"/>
      <c r="CR644" s="227"/>
      <c r="CS644" s="227"/>
      <c r="CT644" s="227"/>
      <c r="CU644" s="225"/>
      <c r="CV644" s="227"/>
    </row>
    <row r="645" spans="1:100" ht="20.100000000000001" customHeight="1">
      <c r="A645" s="227">
        <v>319</v>
      </c>
      <c r="B645" s="225"/>
      <c r="C645" s="227"/>
      <c r="D645" s="228">
        <f>(SUMPRODUCT(E645:CU645*$E$6:$CU$6)/100)+(SUMPRODUCT(E645:CU645*$E$6:$CU$6*$E$3:$CU$3)/100)</f>
        <v>0</v>
      </c>
      <c r="E645" s="227"/>
      <c r="F645" s="227"/>
      <c r="G645" s="227"/>
      <c r="H645" s="227"/>
      <c r="I645" s="227"/>
      <c r="J645" s="227"/>
      <c r="K645" s="227"/>
      <c r="L645" s="227"/>
      <c r="M645" s="227"/>
      <c r="N645" s="227"/>
      <c r="O645" s="227"/>
      <c r="P645" s="227"/>
      <c r="Q645" s="227"/>
      <c r="R645" s="227"/>
      <c r="S645" s="227"/>
      <c r="T645" s="227"/>
      <c r="U645" s="227"/>
      <c r="V645" s="227"/>
      <c r="W645" s="227"/>
      <c r="X645" s="227"/>
      <c r="Y645" s="227"/>
      <c r="Z645" s="227"/>
      <c r="AA645" s="227"/>
      <c r="AB645" s="227"/>
      <c r="AC645" s="227"/>
      <c r="AD645" s="227"/>
      <c r="AE645" s="227"/>
      <c r="AF645" s="227"/>
      <c r="AG645" s="227"/>
      <c r="AH645" s="227"/>
      <c r="AI645" s="227"/>
      <c r="AJ645" s="227"/>
      <c r="AK645" s="227"/>
      <c r="AL645" s="227"/>
      <c r="AM645" s="227"/>
      <c r="AN645" s="227"/>
      <c r="AO645" s="227"/>
      <c r="AP645" s="227"/>
      <c r="AQ645" s="227"/>
      <c r="AR645" s="227"/>
      <c r="AS645" s="227"/>
      <c r="AT645" s="227"/>
      <c r="AU645" s="227"/>
      <c r="AV645" s="227"/>
      <c r="AW645" s="227"/>
      <c r="AX645" s="227"/>
      <c r="AY645" s="227"/>
      <c r="AZ645" s="227"/>
      <c r="BA645" s="227"/>
      <c r="BB645" s="227"/>
      <c r="BC645" s="227"/>
      <c r="BD645" s="227"/>
      <c r="BE645" s="227"/>
      <c r="BF645" s="227"/>
      <c r="BG645" s="227"/>
      <c r="BH645" s="227"/>
      <c r="BI645" s="227"/>
      <c r="BJ645" s="227"/>
      <c r="BK645" s="227"/>
      <c r="BL645" s="227"/>
      <c r="BM645" s="227"/>
      <c r="BN645" s="227"/>
      <c r="BO645" s="227"/>
      <c r="BP645" s="227"/>
      <c r="BQ645" s="227"/>
      <c r="BR645" s="227"/>
      <c r="BS645" s="227"/>
      <c r="BT645" s="227"/>
      <c r="BU645" s="227"/>
      <c r="BV645" s="227"/>
      <c r="BW645" s="227"/>
      <c r="BX645" s="227"/>
      <c r="BY645" s="227"/>
      <c r="BZ645" s="227"/>
      <c r="CA645" s="227"/>
      <c r="CB645" s="227"/>
      <c r="CC645" s="227"/>
      <c r="CD645" s="227"/>
      <c r="CE645" s="227"/>
      <c r="CF645" s="227"/>
      <c r="CG645" s="227"/>
      <c r="CH645" s="227"/>
      <c r="CI645" s="227"/>
      <c r="CJ645" s="227"/>
      <c r="CK645" s="227"/>
      <c r="CL645" s="227"/>
      <c r="CM645" s="227"/>
      <c r="CN645" s="227"/>
      <c r="CO645" s="227"/>
      <c r="CP645" s="227"/>
      <c r="CQ645" s="227"/>
      <c r="CR645" s="227"/>
      <c r="CS645" s="227"/>
      <c r="CT645" s="227"/>
      <c r="CU645" s="225"/>
      <c r="CV645" s="227"/>
    </row>
    <row r="646" spans="1:100" ht="20.100000000000001" customHeight="1">
      <c r="A646" s="227"/>
      <c r="B646" s="225"/>
      <c r="C646" s="227"/>
      <c r="D646" s="224"/>
      <c r="E646" s="227"/>
      <c r="F646" s="227"/>
      <c r="G646" s="227"/>
      <c r="H646" s="227"/>
      <c r="I646" s="227"/>
      <c r="J646" s="227"/>
      <c r="K646" s="227"/>
      <c r="L646" s="227"/>
      <c r="M646" s="227"/>
      <c r="N646" s="227"/>
      <c r="O646" s="227"/>
      <c r="P646" s="227"/>
      <c r="Q646" s="227"/>
      <c r="R646" s="227"/>
      <c r="S646" s="227"/>
      <c r="T646" s="227"/>
      <c r="U646" s="227"/>
      <c r="V646" s="227"/>
      <c r="W646" s="227"/>
      <c r="X646" s="227"/>
      <c r="Y646" s="227"/>
      <c r="Z646" s="227"/>
      <c r="AA646" s="227"/>
      <c r="AB646" s="227"/>
      <c r="AC646" s="227"/>
      <c r="AD646" s="227"/>
      <c r="AE646" s="227"/>
      <c r="AF646" s="227"/>
      <c r="AG646" s="227"/>
      <c r="AH646" s="227"/>
      <c r="AI646" s="227"/>
      <c r="AJ646" s="227"/>
      <c r="AK646" s="227"/>
      <c r="AL646" s="227"/>
      <c r="AM646" s="227"/>
      <c r="AN646" s="227"/>
      <c r="AO646" s="227"/>
      <c r="AP646" s="227"/>
      <c r="AQ646" s="227"/>
      <c r="AR646" s="227"/>
      <c r="AS646" s="227"/>
      <c r="AT646" s="227"/>
      <c r="AU646" s="227"/>
      <c r="AV646" s="227"/>
      <c r="AW646" s="227"/>
      <c r="AX646" s="227"/>
      <c r="AY646" s="227"/>
      <c r="AZ646" s="227"/>
      <c r="BA646" s="227"/>
      <c r="BB646" s="227"/>
      <c r="BC646" s="227"/>
      <c r="BD646" s="227"/>
      <c r="BE646" s="227"/>
      <c r="BF646" s="227"/>
      <c r="BG646" s="227"/>
      <c r="BH646" s="227"/>
      <c r="BI646" s="227"/>
      <c r="BJ646" s="227"/>
      <c r="BK646" s="227"/>
      <c r="BL646" s="227"/>
      <c r="BM646" s="227"/>
      <c r="BN646" s="227"/>
      <c r="BO646" s="227"/>
      <c r="BP646" s="227"/>
      <c r="BQ646" s="227"/>
      <c r="BR646" s="227"/>
      <c r="BS646" s="227"/>
      <c r="BT646" s="227"/>
      <c r="BU646" s="227"/>
      <c r="BV646" s="227"/>
      <c r="BW646" s="227"/>
      <c r="BX646" s="227"/>
      <c r="BY646" s="227"/>
      <c r="BZ646" s="227"/>
      <c r="CA646" s="227"/>
      <c r="CB646" s="227"/>
      <c r="CC646" s="227"/>
      <c r="CD646" s="227"/>
      <c r="CE646" s="227"/>
      <c r="CF646" s="227"/>
      <c r="CG646" s="227"/>
      <c r="CH646" s="227"/>
      <c r="CI646" s="227"/>
      <c r="CJ646" s="227"/>
      <c r="CK646" s="227"/>
      <c r="CL646" s="227"/>
      <c r="CM646" s="227"/>
      <c r="CN646" s="227"/>
      <c r="CO646" s="227"/>
      <c r="CP646" s="227"/>
      <c r="CQ646" s="227"/>
      <c r="CR646" s="227"/>
      <c r="CS646" s="227"/>
      <c r="CT646" s="227"/>
      <c r="CU646" s="225"/>
      <c r="CV646" s="227"/>
    </row>
    <row r="647" spans="1:100" ht="20.100000000000001" customHeight="1">
      <c r="A647" s="227">
        <v>320</v>
      </c>
      <c r="B647" s="225"/>
      <c r="C647" s="227"/>
      <c r="D647" s="228">
        <f>(SUMPRODUCT(E647:CU647*$E$6:$CU$6)/100)+(SUMPRODUCT(E647:CU647*$E$6:$CU$6*$E$3:$CU$3)/100)</f>
        <v>0</v>
      </c>
      <c r="E647" s="227"/>
      <c r="F647" s="227"/>
      <c r="G647" s="227"/>
      <c r="H647" s="227"/>
      <c r="I647" s="227"/>
      <c r="J647" s="227"/>
      <c r="K647" s="227"/>
      <c r="L647" s="227"/>
      <c r="M647" s="227"/>
      <c r="N647" s="227"/>
      <c r="O647" s="227"/>
      <c r="P647" s="227"/>
      <c r="Q647" s="227"/>
      <c r="R647" s="227"/>
      <c r="S647" s="227"/>
      <c r="T647" s="227"/>
      <c r="U647" s="227"/>
      <c r="V647" s="227"/>
      <c r="W647" s="227"/>
      <c r="X647" s="227"/>
      <c r="Y647" s="227"/>
      <c r="Z647" s="227"/>
      <c r="AA647" s="227"/>
      <c r="AB647" s="227"/>
      <c r="AC647" s="227"/>
      <c r="AD647" s="227"/>
      <c r="AE647" s="227"/>
      <c r="AF647" s="227"/>
      <c r="AG647" s="227"/>
      <c r="AH647" s="227"/>
      <c r="AI647" s="227"/>
      <c r="AJ647" s="227"/>
      <c r="AK647" s="227"/>
      <c r="AL647" s="227"/>
      <c r="AM647" s="227"/>
      <c r="AN647" s="227"/>
      <c r="AO647" s="227"/>
      <c r="AP647" s="227"/>
      <c r="AQ647" s="227"/>
      <c r="AR647" s="227"/>
      <c r="AS647" s="227"/>
      <c r="AT647" s="227"/>
      <c r="AU647" s="227"/>
      <c r="AV647" s="227"/>
      <c r="AW647" s="227"/>
      <c r="AX647" s="227"/>
      <c r="AY647" s="227"/>
      <c r="AZ647" s="227"/>
      <c r="BA647" s="227"/>
      <c r="BB647" s="227"/>
      <c r="BC647" s="227"/>
      <c r="BD647" s="227"/>
      <c r="BE647" s="227"/>
      <c r="BF647" s="227"/>
      <c r="BG647" s="227"/>
      <c r="BH647" s="227"/>
      <c r="BI647" s="227"/>
      <c r="BJ647" s="227"/>
      <c r="BK647" s="227"/>
      <c r="BL647" s="227"/>
      <c r="BM647" s="227"/>
      <c r="BN647" s="227"/>
      <c r="BO647" s="227"/>
      <c r="BP647" s="227"/>
      <c r="BQ647" s="227"/>
      <c r="BR647" s="227"/>
      <c r="BS647" s="227"/>
      <c r="BT647" s="227"/>
      <c r="BU647" s="227"/>
      <c r="BV647" s="227"/>
      <c r="BW647" s="227"/>
      <c r="BX647" s="227"/>
      <c r="BY647" s="227"/>
      <c r="BZ647" s="227"/>
      <c r="CA647" s="227"/>
      <c r="CB647" s="227"/>
      <c r="CC647" s="227"/>
      <c r="CD647" s="227"/>
      <c r="CE647" s="227"/>
      <c r="CF647" s="227"/>
      <c r="CG647" s="227"/>
      <c r="CH647" s="227"/>
      <c r="CI647" s="227"/>
      <c r="CJ647" s="227"/>
      <c r="CK647" s="227"/>
      <c r="CL647" s="227"/>
      <c r="CM647" s="227"/>
      <c r="CN647" s="227"/>
      <c r="CO647" s="227"/>
      <c r="CP647" s="227"/>
      <c r="CQ647" s="227"/>
      <c r="CR647" s="227"/>
      <c r="CS647" s="227"/>
      <c r="CT647" s="227"/>
      <c r="CU647" s="225"/>
      <c r="CV647" s="227"/>
    </row>
    <row r="648" spans="1:100" ht="20.100000000000001" customHeight="1">
      <c r="A648" s="223"/>
      <c r="B648" s="225"/>
      <c r="C648" s="227"/>
      <c r="D648" s="224"/>
      <c r="E648" s="227"/>
      <c r="F648" s="227"/>
      <c r="G648" s="227"/>
      <c r="H648" s="227"/>
      <c r="I648" s="227"/>
      <c r="J648" s="227"/>
      <c r="K648" s="227"/>
      <c r="L648" s="227"/>
      <c r="M648" s="227"/>
      <c r="N648" s="227"/>
      <c r="O648" s="227"/>
      <c r="P648" s="227"/>
      <c r="Q648" s="227"/>
      <c r="R648" s="227"/>
      <c r="S648" s="227"/>
      <c r="T648" s="227"/>
      <c r="U648" s="227"/>
      <c r="V648" s="227"/>
      <c r="W648" s="227"/>
      <c r="X648" s="227"/>
      <c r="Y648" s="227"/>
      <c r="Z648" s="227"/>
      <c r="AA648" s="227"/>
      <c r="AB648" s="227"/>
      <c r="AC648" s="227"/>
      <c r="AD648" s="227"/>
      <c r="AE648" s="227"/>
      <c r="AF648" s="227"/>
      <c r="AG648" s="227"/>
      <c r="AH648" s="227"/>
      <c r="AI648" s="227"/>
      <c r="AJ648" s="227"/>
      <c r="AK648" s="227"/>
      <c r="AL648" s="227"/>
      <c r="AM648" s="227"/>
      <c r="AN648" s="227"/>
      <c r="AO648" s="227"/>
      <c r="AP648" s="227"/>
      <c r="AQ648" s="227"/>
      <c r="AR648" s="227"/>
      <c r="AS648" s="227"/>
      <c r="AT648" s="227"/>
      <c r="AU648" s="227"/>
      <c r="AV648" s="227"/>
      <c r="AW648" s="227"/>
      <c r="AX648" s="227"/>
      <c r="AY648" s="227"/>
      <c r="AZ648" s="227"/>
      <c r="BA648" s="227"/>
      <c r="BB648" s="227"/>
      <c r="BC648" s="227"/>
      <c r="BD648" s="227"/>
      <c r="BE648" s="227"/>
      <c r="BF648" s="227"/>
      <c r="BG648" s="227"/>
      <c r="BH648" s="227"/>
      <c r="BI648" s="227"/>
      <c r="BJ648" s="227"/>
      <c r="BK648" s="227"/>
      <c r="BL648" s="227"/>
      <c r="BM648" s="227"/>
      <c r="BN648" s="227"/>
      <c r="BO648" s="227"/>
      <c r="BP648" s="227"/>
      <c r="BQ648" s="227"/>
      <c r="BR648" s="227"/>
      <c r="BS648" s="227"/>
      <c r="BT648" s="227"/>
      <c r="BU648" s="227"/>
      <c r="BV648" s="227"/>
      <c r="BW648" s="227"/>
      <c r="BX648" s="227"/>
      <c r="BY648" s="227"/>
      <c r="BZ648" s="227"/>
      <c r="CA648" s="227"/>
      <c r="CB648" s="227"/>
      <c r="CC648" s="227"/>
      <c r="CD648" s="227"/>
      <c r="CE648" s="227"/>
      <c r="CF648" s="227"/>
      <c r="CG648" s="227"/>
      <c r="CH648" s="227"/>
      <c r="CI648" s="227"/>
      <c r="CJ648" s="227"/>
      <c r="CK648" s="227"/>
      <c r="CL648" s="227"/>
      <c r="CM648" s="227"/>
      <c r="CN648" s="227"/>
      <c r="CO648" s="227"/>
      <c r="CP648" s="227"/>
      <c r="CQ648" s="227"/>
      <c r="CR648" s="227"/>
      <c r="CS648" s="227"/>
      <c r="CT648" s="227"/>
      <c r="CU648" s="225"/>
      <c r="CV648" s="227"/>
    </row>
    <row r="649" spans="1:100" ht="20.100000000000001" customHeight="1">
      <c r="A649" s="227">
        <v>321</v>
      </c>
      <c r="B649" s="225"/>
      <c r="C649" s="227"/>
      <c r="D649" s="228">
        <f>(SUMPRODUCT(E649:CU649*$E$6:$CU$6)/100)+(SUMPRODUCT(E649:CU649*$E$6:$CU$6*$E$3:$CU$3)/100)</f>
        <v>0</v>
      </c>
      <c r="E649" s="227"/>
      <c r="F649" s="227"/>
      <c r="G649" s="227"/>
      <c r="H649" s="227"/>
      <c r="I649" s="227"/>
      <c r="J649" s="227"/>
      <c r="K649" s="227"/>
      <c r="L649" s="227"/>
      <c r="M649" s="227"/>
      <c r="N649" s="227"/>
      <c r="O649" s="227"/>
      <c r="P649" s="227"/>
      <c r="Q649" s="227"/>
      <c r="R649" s="227"/>
      <c r="S649" s="227"/>
      <c r="T649" s="227"/>
      <c r="U649" s="227"/>
      <c r="V649" s="227"/>
      <c r="W649" s="227"/>
      <c r="X649" s="227"/>
      <c r="Y649" s="227"/>
      <c r="Z649" s="227"/>
      <c r="AA649" s="227"/>
      <c r="AB649" s="227"/>
      <c r="AC649" s="227"/>
      <c r="AD649" s="227"/>
      <c r="AE649" s="227"/>
      <c r="AF649" s="227"/>
      <c r="AG649" s="227"/>
      <c r="AH649" s="227"/>
      <c r="AI649" s="227"/>
      <c r="AJ649" s="227"/>
      <c r="AK649" s="227"/>
      <c r="AL649" s="227"/>
      <c r="AM649" s="227"/>
      <c r="AN649" s="227"/>
      <c r="AO649" s="227"/>
      <c r="AP649" s="227"/>
      <c r="AQ649" s="227"/>
      <c r="AR649" s="227"/>
      <c r="AS649" s="227"/>
      <c r="AT649" s="227"/>
      <c r="AU649" s="227"/>
      <c r="AV649" s="227"/>
      <c r="AW649" s="227"/>
      <c r="AX649" s="227"/>
      <c r="AY649" s="227"/>
      <c r="AZ649" s="227"/>
      <c r="BA649" s="227"/>
      <c r="BB649" s="227"/>
      <c r="BC649" s="227"/>
      <c r="BD649" s="227"/>
      <c r="BE649" s="227"/>
      <c r="BF649" s="227"/>
      <c r="BG649" s="227"/>
      <c r="BH649" s="227"/>
      <c r="BI649" s="227"/>
      <c r="BJ649" s="227"/>
      <c r="BK649" s="227"/>
      <c r="BL649" s="227"/>
      <c r="BM649" s="227"/>
      <c r="BN649" s="227"/>
      <c r="BO649" s="227"/>
      <c r="BP649" s="227"/>
      <c r="BQ649" s="227"/>
      <c r="BR649" s="227"/>
      <c r="BS649" s="227"/>
      <c r="BT649" s="227"/>
      <c r="BU649" s="227"/>
      <c r="BV649" s="227"/>
      <c r="BW649" s="227"/>
      <c r="BX649" s="227"/>
      <c r="BY649" s="227"/>
      <c r="BZ649" s="227"/>
      <c r="CA649" s="227"/>
      <c r="CB649" s="227"/>
      <c r="CC649" s="227"/>
      <c r="CD649" s="227"/>
      <c r="CE649" s="227"/>
      <c r="CF649" s="227"/>
      <c r="CG649" s="227"/>
      <c r="CH649" s="227"/>
      <c r="CI649" s="227"/>
      <c r="CJ649" s="227"/>
      <c r="CK649" s="227"/>
      <c r="CL649" s="227"/>
      <c r="CM649" s="227"/>
      <c r="CN649" s="227"/>
      <c r="CO649" s="227"/>
      <c r="CP649" s="227"/>
      <c r="CQ649" s="227"/>
      <c r="CR649" s="227"/>
      <c r="CS649" s="227"/>
      <c r="CT649" s="227"/>
      <c r="CU649" s="225"/>
      <c r="CV649" s="227"/>
    </row>
    <row r="650" spans="1:100" ht="20.100000000000001" customHeight="1">
      <c r="A650" s="227"/>
      <c r="B650" s="225"/>
      <c r="C650" s="227"/>
      <c r="D650" s="224"/>
      <c r="E650" s="227"/>
      <c r="F650" s="227"/>
      <c r="G650" s="227"/>
      <c r="H650" s="227"/>
      <c r="I650" s="227"/>
      <c r="J650" s="227"/>
      <c r="K650" s="227"/>
      <c r="L650" s="227"/>
      <c r="M650" s="227"/>
      <c r="N650" s="227"/>
      <c r="O650" s="227"/>
      <c r="P650" s="227"/>
      <c r="Q650" s="227"/>
      <c r="R650" s="227"/>
      <c r="S650" s="227"/>
      <c r="T650" s="227"/>
      <c r="U650" s="227"/>
      <c r="V650" s="227"/>
      <c r="W650" s="227"/>
      <c r="X650" s="227"/>
      <c r="Y650" s="227"/>
      <c r="Z650" s="227"/>
      <c r="AA650" s="227"/>
      <c r="AB650" s="227"/>
      <c r="AC650" s="227"/>
      <c r="AD650" s="227"/>
      <c r="AE650" s="227"/>
      <c r="AF650" s="227"/>
      <c r="AG650" s="227"/>
      <c r="AH650" s="227"/>
      <c r="AI650" s="227"/>
      <c r="AJ650" s="227"/>
      <c r="AK650" s="227"/>
      <c r="AL650" s="227"/>
      <c r="AM650" s="227"/>
      <c r="AN650" s="227"/>
      <c r="AO650" s="227"/>
      <c r="AP650" s="227"/>
      <c r="AQ650" s="227"/>
      <c r="AR650" s="227"/>
      <c r="AS650" s="227"/>
      <c r="AT650" s="227"/>
      <c r="AU650" s="227"/>
      <c r="AV650" s="227"/>
      <c r="AW650" s="227"/>
      <c r="AX650" s="227"/>
      <c r="AY650" s="227"/>
      <c r="AZ650" s="227"/>
      <c r="BA650" s="227"/>
      <c r="BB650" s="227"/>
      <c r="BC650" s="227"/>
      <c r="BD650" s="227"/>
      <c r="BE650" s="227"/>
      <c r="BF650" s="227"/>
      <c r="BG650" s="227"/>
      <c r="BH650" s="227"/>
      <c r="BI650" s="227"/>
      <c r="BJ650" s="227"/>
      <c r="BK650" s="227"/>
      <c r="BL650" s="227"/>
      <c r="BM650" s="227"/>
      <c r="BN650" s="227"/>
      <c r="BO650" s="227"/>
      <c r="BP650" s="227"/>
      <c r="BQ650" s="227"/>
      <c r="BR650" s="227"/>
      <c r="BS650" s="227"/>
      <c r="BT650" s="227"/>
      <c r="BU650" s="227"/>
      <c r="BV650" s="227"/>
      <c r="BW650" s="227"/>
      <c r="BX650" s="227"/>
      <c r="BY650" s="227"/>
      <c r="BZ650" s="227"/>
      <c r="CA650" s="227"/>
      <c r="CB650" s="227"/>
      <c r="CC650" s="227"/>
      <c r="CD650" s="227"/>
      <c r="CE650" s="227"/>
      <c r="CF650" s="227"/>
      <c r="CG650" s="227"/>
      <c r="CH650" s="227"/>
      <c r="CI650" s="227"/>
      <c r="CJ650" s="227"/>
      <c r="CK650" s="227"/>
      <c r="CL650" s="227"/>
      <c r="CM650" s="227"/>
      <c r="CN650" s="227"/>
      <c r="CO650" s="227"/>
      <c r="CP650" s="227"/>
      <c r="CQ650" s="227"/>
      <c r="CR650" s="227"/>
      <c r="CS650" s="227"/>
      <c r="CT650" s="227"/>
      <c r="CU650" s="225"/>
      <c r="CV650" s="227"/>
    </row>
    <row r="651" spans="1:100" ht="20.100000000000001" customHeight="1">
      <c r="A651" s="227">
        <v>322</v>
      </c>
      <c r="B651" s="225"/>
      <c r="C651" s="227"/>
      <c r="D651" s="228">
        <f>(SUMPRODUCT(E651:CU651*$E$6:$CU$6)/100)+(SUMPRODUCT(E651:CU651*$E$6:$CU$6*$E$3:$CU$3)/100)</f>
        <v>0</v>
      </c>
      <c r="E651" s="227"/>
      <c r="F651" s="227"/>
      <c r="G651" s="227"/>
      <c r="H651" s="227"/>
      <c r="I651" s="227"/>
      <c r="J651" s="227"/>
      <c r="K651" s="227"/>
      <c r="L651" s="227"/>
      <c r="M651" s="227"/>
      <c r="N651" s="227"/>
      <c r="O651" s="227"/>
      <c r="P651" s="227"/>
      <c r="Q651" s="227"/>
      <c r="R651" s="227"/>
      <c r="S651" s="227"/>
      <c r="T651" s="227"/>
      <c r="U651" s="227"/>
      <c r="V651" s="227"/>
      <c r="W651" s="227"/>
      <c r="X651" s="227"/>
      <c r="Y651" s="227"/>
      <c r="Z651" s="227"/>
      <c r="AA651" s="227"/>
      <c r="AB651" s="227"/>
      <c r="AC651" s="227"/>
      <c r="AD651" s="227"/>
      <c r="AE651" s="227"/>
      <c r="AF651" s="227"/>
      <c r="AG651" s="227"/>
      <c r="AH651" s="227"/>
      <c r="AI651" s="227"/>
      <c r="AJ651" s="227"/>
      <c r="AK651" s="227"/>
      <c r="AL651" s="227"/>
      <c r="AM651" s="227"/>
      <c r="AN651" s="227"/>
      <c r="AO651" s="227"/>
      <c r="AP651" s="227"/>
      <c r="AQ651" s="227"/>
      <c r="AR651" s="227"/>
      <c r="AS651" s="227"/>
      <c r="AT651" s="227"/>
      <c r="AU651" s="227"/>
      <c r="AV651" s="227"/>
      <c r="AW651" s="227"/>
      <c r="AX651" s="227"/>
      <c r="AY651" s="227"/>
      <c r="AZ651" s="227"/>
      <c r="BA651" s="227"/>
      <c r="BB651" s="227"/>
      <c r="BC651" s="227"/>
      <c r="BD651" s="227"/>
      <c r="BE651" s="227"/>
      <c r="BF651" s="227"/>
      <c r="BG651" s="227"/>
      <c r="BH651" s="227"/>
      <c r="BI651" s="227"/>
      <c r="BJ651" s="227"/>
      <c r="BK651" s="227"/>
      <c r="BL651" s="227"/>
      <c r="BM651" s="227"/>
      <c r="BN651" s="227"/>
      <c r="BO651" s="227"/>
      <c r="BP651" s="227"/>
      <c r="BQ651" s="227"/>
      <c r="BR651" s="227"/>
      <c r="BS651" s="227"/>
      <c r="BT651" s="227"/>
      <c r="BU651" s="227"/>
      <c r="BV651" s="227"/>
      <c r="BW651" s="227"/>
      <c r="BX651" s="227"/>
      <c r="BY651" s="227"/>
      <c r="BZ651" s="227"/>
      <c r="CA651" s="227"/>
      <c r="CB651" s="227"/>
      <c r="CC651" s="227"/>
      <c r="CD651" s="227"/>
      <c r="CE651" s="227"/>
      <c r="CF651" s="227"/>
      <c r="CG651" s="227"/>
      <c r="CH651" s="227"/>
      <c r="CI651" s="227"/>
      <c r="CJ651" s="227"/>
      <c r="CK651" s="227"/>
      <c r="CL651" s="227"/>
      <c r="CM651" s="227"/>
      <c r="CN651" s="227"/>
      <c r="CO651" s="227"/>
      <c r="CP651" s="227"/>
      <c r="CQ651" s="227"/>
      <c r="CR651" s="227"/>
      <c r="CS651" s="227"/>
      <c r="CT651" s="227"/>
      <c r="CU651" s="225"/>
      <c r="CV651" s="227"/>
    </row>
    <row r="652" spans="1:100" ht="20.100000000000001" customHeight="1">
      <c r="A652" s="223"/>
      <c r="B652" s="225"/>
      <c r="C652" s="227"/>
      <c r="D652" s="224"/>
      <c r="E652" s="227"/>
      <c r="F652" s="227"/>
      <c r="G652" s="227"/>
      <c r="H652" s="227"/>
      <c r="I652" s="227"/>
      <c r="J652" s="227"/>
      <c r="K652" s="227"/>
      <c r="L652" s="227"/>
      <c r="M652" s="227"/>
      <c r="N652" s="227"/>
      <c r="O652" s="227"/>
      <c r="P652" s="227"/>
      <c r="Q652" s="227"/>
      <c r="R652" s="227"/>
      <c r="S652" s="227"/>
      <c r="T652" s="227"/>
      <c r="U652" s="227"/>
      <c r="V652" s="227"/>
      <c r="W652" s="227"/>
      <c r="X652" s="227"/>
      <c r="Y652" s="227"/>
      <c r="Z652" s="227"/>
      <c r="AA652" s="227"/>
      <c r="AB652" s="227"/>
      <c r="AC652" s="227"/>
      <c r="AD652" s="227"/>
      <c r="AE652" s="227"/>
      <c r="AF652" s="227"/>
      <c r="AG652" s="227"/>
      <c r="AH652" s="227"/>
      <c r="AI652" s="227"/>
      <c r="AJ652" s="227"/>
      <c r="AK652" s="227"/>
      <c r="AL652" s="227"/>
      <c r="AM652" s="227"/>
      <c r="AN652" s="227"/>
      <c r="AO652" s="227"/>
      <c r="AP652" s="227"/>
      <c r="AQ652" s="227"/>
      <c r="AR652" s="227"/>
      <c r="AS652" s="227"/>
      <c r="AT652" s="227"/>
      <c r="AU652" s="227"/>
      <c r="AV652" s="227"/>
      <c r="AW652" s="227"/>
      <c r="AX652" s="227"/>
      <c r="AY652" s="227"/>
      <c r="AZ652" s="227"/>
      <c r="BA652" s="227"/>
      <c r="BB652" s="227"/>
      <c r="BC652" s="227"/>
      <c r="BD652" s="227"/>
      <c r="BE652" s="227"/>
      <c r="BF652" s="227"/>
      <c r="BG652" s="227"/>
      <c r="BH652" s="227"/>
      <c r="BI652" s="227"/>
      <c r="BJ652" s="227"/>
      <c r="BK652" s="227"/>
      <c r="BL652" s="227"/>
      <c r="BM652" s="227"/>
      <c r="BN652" s="227"/>
      <c r="BO652" s="227"/>
      <c r="BP652" s="227"/>
      <c r="BQ652" s="227"/>
      <c r="BR652" s="227"/>
      <c r="BS652" s="227"/>
      <c r="BT652" s="227"/>
      <c r="BU652" s="227"/>
      <c r="BV652" s="227"/>
      <c r="BW652" s="227"/>
      <c r="BX652" s="227"/>
      <c r="BY652" s="227"/>
      <c r="BZ652" s="227"/>
      <c r="CA652" s="227"/>
      <c r="CB652" s="227"/>
      <c r="CC652" s="227"/>
      <c r="CD652" s="227"/>
      <c r="CE652" s="227"/>
      <c r="CF652" s="227"/>
      <c r="CG652" s="227"/>
      <c r="CH652" s="227"/>
      <c r="CI652" s="227"/>
      <c r="CJ652" s="227"/>
      <c r="CK652" s="227"/>
      <c r="CL652" s="227"/>
      <c r="CM652" s="227"/>
      <c r="CN652" s="227"/>
      <c r="CO652" s="227"/>
      <c r="CP652" s="227"/>
      <c r="CQ652" s="227"/>
      <c r="CR652" s="227"/>
      <c r="CS652" s="227"/>
      <c r="CT652" s="227"/>
      <c r="CU652" s="225"/>
      <c r="CV652" s="227"/>
    </row>
    <row r="653" spans="1:100" ht="20.100000000000001" customHeight="1">
      <c r="A653" s="227">
        <v>323</v>
      </c>
      <c r="B653" s="225"/>
      <c r="C653" s="227"/>
      <c r="D653" s="228">
        <f>(SUMPRODUCT(E653:CU653*$E$6:$CU$6)/100)+(SUMPRODUCT(E653:CU653*$E$6:$CU$6*$E$3:$CU$3)/100)</f>
        <v>0</v>
      </c>
      <c r="E653" s="227"/>
      <c r="F653" s="227"/>
      <c r="G653" s="227"/>
      <c r="H653" s="227"/>
      <c r="I653" s="227"/>
      <c r="J653" s="227"/>
      <c r="K653" s="227"/>
      <c r="L653" s="227"/>
      <c r="M653" s="227"/>
      <c r="N653" s="227"/>
      <c r="O653" s="227"/>
      <c r="P653" s="227"/>
      <c r="Q653" s="227"/>
      <c r="R653" s="227"/>
      <c r="S653" s="227"/>
      <c r="T653" s="227"/>
      <c r="U653" s="227"/>
      <c r="V653" s="227"/>
      <c r="W653" s="227"/>
      <c r="X653" s="227"/>
      <c r="Y653" s="227"/>
      <c r="Z653" s="227"/>
      <c r="AA653" s="227"/>
      <c r="AB653" s="227"/>
      <c r="AC653" s="227"/>
      <c r="AD653" s="227"/>
      <c r="AE653" s="227"/>
      <c r="AF653" s="227"/>
      <c r="AG653" s="227"/>
      <c r="AH653" s="227"/>
      <c r="AI653" s="227"/>
      <c r="AJ653" s="227"/>
      <c r="AK653" s="227"/>
      <c r="AL653" s="227"/>
      <c r="AM653" s="227"/>
      <c r="AN653" s="227"/>
      <c r="AO653" s="227"/>
      <c r="AP653" s="227"/>
      <c r="AQ653" s="227"/>
      <c r="AR653" s="227"/>
      <c r="AS653" s="227"/>
      <c r="AT653" s="227"/>
      <c r="AU653" s="227"/>
      <c r="AV653" s="227"/>
      <c r="AW653" s="227"/>
      <c r="AX653" s="227"/>
      <c r="AY653" s="227"/>
      <c r="AZ653" s="227"/>
      <c r="BA653" s="227"/>
      <c r="BB653" s="227"/>
      <c r="BC653" s="227"/>
      <c r="BD653" s="227"/>
      <c r="BE653" s="227"/>
      <c r="BF653" s="227"/>
      <c r="BG653" s="227"/>
      <c r="BH653" s="227"/>
      <c r="BI653" s="227"/>
      <c r="BJ653" s="227"/>
      <c r="BK653" s="227"/>
      <c r="BL653" s="227"/>
      <c r="BM653" s="227"/>
      <c r="BN653" s="227"/>
      <c r="BO653" s="227"/>
      <c r="BP653" s="227"/>
      <c r="BQ653" s="227"/>
      <c r="BR653" s="227"/>
      <c r="BS653" s="227"/>
      <c r="BT653" s="227"/>
      <c r="BU653" s="227"/>
      <c r="BV653" s="227"/>
      <c r="BW653" s="227"/>
      <c r="BX653" s="227"/>
      <c r="BY653" s="227"/>
      <c r="BZ653" s="227"/>
      <c r="CA653" s="227"/>
      <c r="CB653" s="227"/>
      <c r="CC653" s="227"/>
      <c r="CD653" s="227"/>
      <c r="CE653" s="227"/>
      <c r="CF653" s="227"/>
      <c r="CG653" s="227"/>
      <c r="CH653" s="227"/>
      <c r="CI653" s="227"/>
      <c r="CJ653" s="227"/>
      <c r="CK653" s="227"/>
      <c r="CL653" s="227"/>
      <c r="CM653" s="227"/>
      <c r="CN653" s="227"/>
      <c r="CO653" s="227"/>
      <c r="CP653" s="227"/>
      <c r="CQ653" s="227"/>
      <c r="CR653" s="227"/>
      <c r="CS653" s="227"/>
      <c r="CT653" s="227"/>
      <c r="CU653" s="225"/>
      <c r="CV653" s="227"/>
    </row>
    <row r="654" spans="1:100" ht="20.100000000000001" customHeight="1">
      <c r="A654" s="227"/>
      <c r="B654" s="225"/>
      <c r="C654" s="227"/>
      <c r="D654" s="224"/>
      <c r="E654" s="227"/>
      <c r="F654" s="227"/>
      <c r="G654" s="227"/>
      <c r="H654" s="227"/>
      <c r="I654" s="227"/>
      <c r="J654" s="227"/>
      <c r="K654" s="227"/>
      <c r="L654" s="227"/>
      <c r="M654" s="227"/>
      <c r="N654" s="227"/>
      <c r="O654" s="227"/>
      <c r="P654" s="227"/>
      <c r="Q654" s="227"/>
      <c r="R654" s="227"/>
      <c r="S654" s="227"/>
      <c r="T654" s="227"/>
      <c r="U654" s="227"/>
      <c r="V654" s="227"/>
      <c r="W654" s="227"/>
      <c r="X654" s="227"/>
      <c r="Y654" s="227"/>
      <c r="Z654" s="227"/>
      <c r="AA654" s="227"/>
      <c r="AB654" s="227"/>
      <c r="AC654" s="227"/>
      <c r="AD654" s="227"/>
      <c r="AE654" s="227"/>
      <c r="AF654" s="227"/>
      <c r="AG654" s="227"/>
      <c r="AH654" s="227"/>
      <c r="AI654" s="227"/>
      <c r="AJ654" s="227"/>
      <c r="AK654" s="227"/>
      <c r="AL654" s="227"/>
      <c r="AM654" s="227"/>
      <c r="AN654" s="227"/>
      <c r="AO654" s="227"/>
      <c r="AP654" s="227"/>
      <c r="AQ654" s="227"/>
      <c r="AR654" s="227"/>
      <c r="AS654" s="227"/>
      <c r="AT654" s="227"/>
      <c r="AU654" s="227"/>
      <c r="AV654" s="227"/>
      <c r="AW654" s="227"/>
      <c r="AX654" s="227"/>
      <c r="AY654" s="227"/>
      <c r="AZ654" s="227"/>
      <c r="BA654" s="227"/>
      <c r="BB654" s="227"/>
      <c r="BC654" s="227"/>
      <c r="BD654" s="227"/>
      <c r="BE654" s="227"/>
      <c r="BF654" s="227"/>
      <c r="BG654" s="227"/>
      <c r="BH654" s="227"/>
      <c r="BI654" s="227"/>
      <c r="BJ654" s="227"/>
      <c r="BK654" s="227"/>
      <c r="BL654" s="227"/>
      <c r="BM654" s="227"/>
      <c r="BN654" s="227"/>
      <c r="BO654" s="227"/>
      <c r="BP654" s="227"/>
      <c r="BQ654" s="227"/>
      <c r="BR654" s="227"/>
      <c r="BS654" s="227"/>
      <c r="BT654" s="227"/>
      <c r="BU654" s="227"/>
      <c r="BV654" s="227"/>
      <c r="BW654" s="227"/>
      <c r="BX654" s="227"/>
      <c r="BY654" s="227"/>
      <c r="BZ654" s="227"/>
      <c r="CA654" s="227"/>
      <c r="CB654" s="227"/>
      <c r="CC654" s="227"/>
      <c r="CD654" s="227"/>
      <c r="CE654" s="227"/>
      <c r="CF654" s="227"/>
      <c r="CG654" s="227"/>
      <c r="CH654" s="227"/>
      <c r="CI654" s="227"/>
      <c r="CJ654" s="227"/>
      <c r="CK654" s="227"/>
      <c r="CL654" s="227"/>
      <c r="CM654" s="227"/>
      <c r="CN654" s="227"/>
      <c r="CO654" s="227"/>
      <c r="CP654" s="227"/>
      <c r="CQ654" s="227"/>
      <c r="CR654" s="227"/>
      <c r="CS654" s="227"/>
      <c r="CT654" s="227"/>
      <c r="CU654" s="225"/>
      <c r="CV654" s="227"/>
    </row>
    <row r="655" spans="1:100" ht="20.100000000000001" customHeight="1">
      <c r="A655" s="227">
        <v>324</v>
      </c>
      <c r="B655" s="225"/>
      <c r="C655" s="227"/>
      <c r="D655" s="228">
        <f>(SUMPRODUCT(E655:CU655*$E$6:$CU$6)/100)+(SUMPRODUCT(E655:CU655*$E$6:$CU$6*$E$3:$CU$3)/100)</f>
        <v>0</v>
      </c>
      <c r="E655" s="227"/>
      <c r="F655" s="227"/>
      <c r="G655" s="227"/>
      <c r="H655" s="227"/>
      <c r="I655" s="227"/>
      <c r="J655" s="227"/>
      <c r="K655" s="227"/>
      <c r="L655" s="227"/>
      <c r="M655" s="227"/>
      <c r="N655" s="227"/>
      <c r="O655" s="227"/>
      <c r="P655" s="227"/>
      <c r="Q655" s="227"/>
      <c r="R655" s="227"/>
      <c r="S655" s="227"/>
      <c r="T655" s="227"/>
      <c r="U655" s="227"/>
      <c r="V655" s="227"/>
      <c r="W655" s="227"/>
      <c r="X655" s="227"/>
      <c r="Y655" s="227"/>
      <c r="Z655" s="227"/>
      <c r="AA655" s="227"/>
      <c r="AB655" s="227"/>
      <c r="AC655" s="227"/>
      <c r="AD655" s="227"/>
      <c r="AE655" s="227"/>
      <c r="AF655" s="227"/>
      <c r="AG655" s="227"/>
      <c r="AH655" s="227"/>
      <c r="AI655" s="227"/>
      <c r="AJ655" s="227"/>
      <c r="AK655" s="227"/>
      <c r="AL655" s="227"/>
      <c r="AM655" s="227"/>
      <c r="AN655" s="227"/>
      <c r="AO655" s="227"/>
      <c r="AP655" s="227"/>
      <c r="AQ655" s="227"/>
      <c r="AR655" s="227"/>
      <c r="AS655" s="227"/>
      <c r="AT655" s="227"/>
      <c r="AU655" s="227"/>
      <c r="AV655" s="227"/>
      <c r="AW655" s="227"/>
      <c r="AX655" s="227"/>
      <c r="AY655" s="227"/>
      <c r="AZ655" s="227"/>
      <c r="BA655" s="227"/>
      <c r="BB655" s="227"/>
      <c r="BC655" s="227"/>
      <c r="BD655" s="227"/>
      <c r="BE655" s="227"/>
      <c r="BF655" s="227"/>
      <c r="BG655" s="227"/>
      <c r="BH655" s="227"/>
      <c r="BI655" s="227"/>
      <c r="BJ655" s="227"/>
      <c r="BK655" s="227"/>
      <c r="BL655" s="227"/>
      <c r="BM655" s="227"/>
      <c r="BN655" s="227"/>
      <c r="BO655" s="227"/>
      <c r="BP655" s="227"/>
      <c r="BQ655" s="227"/>
      <c r="BR655" s="227"/>
      <c r="BS655" s="227"/>
      <c r="BT655" s="227"/>
      <c r="BU655" s="227"/>
      <c r="BV655" s="227"/>
      <c r="BW655" s="227"/>
      <c r="BX655" s="227"/>
      <c r="BY655" s="227"/>
      <c r="BZ655" s="227"/>
      <c r="CA655" s="227"/>
      <c r="CB655" s="227"/>
      <c r="CC655" s="227"/>
      <c r="CD655" s="227"/>
      <c r="CE655" s="227"/>
      <c r="CF655" s="227"/>
      <c r="CG655" s="227"/>
      <c r="CH655" s="227"/>
      <c r="CI655" s="227"/>
      <c r="CJ655" s="227"/>
      <c r="CK655" s="227"/>
      <c r="CL655" s="227"/>
      <c r="CM655" s="227"/>
      <c r="CN655" s="227"/>
      <c r="CO655" s="227"/>
      <c r="CP655" s="227"/>
      <c r="CQ655" s="227"/>
      <c r="CR655" s="227"/>
      <c r="CS655" s="227"/>
      <c r="CT655" s="227"/>
      <c r="CU655" s="225"/>
      <c r="CV655" s="227"/>
    </row>
    <row r="656" spans="1:100" ht="20.100000000000001" customHeight="1">
      <c r="A656" s="223"/>
      <c r="B656" s="225"/>
      <c r="C656" s="227"/>
      <c r="D656" s="224"/>
      <c r="E656" s="227"/>
      <c r="F656" s="227"/>
      <c r="G656" s="227"/>
      <c r="H656" s="227"/>
      <c r="I656" s="227"/>
      <c r="J656" s="227"/>
      <c r="K656" s="227"/>
      <c r="L656" s="227"/>
      <c r="M656" s="227"/>
      <c r="N656" s="227"/>
      <c r="O656" s="227"/>
      <c r="P656" s="227"/>
      <c r="Q656" s="227"/>
      <c r="R656" s="227"/>
      <c r="S656" s="227"/>
      <c r="T656" s="227"/>
      <c r="U656" s="227"/>
      <c r="V656" s="227"/>
      <c r="W656" s="227"/>
      <c r="X656" s="227"/>
      <c r="Y656" s="227"/>
      <c r="Z656" s="227"/>
      <c r="AA656" s="227"/>
      <c r="AB656" s="227"/>
      <c r="AC656" s="227"/>
      <c r="AD656" s="227"/>
      <c r="AE656" s="227"/>
      <c r="AF656" s="227"/>
      <c r="AG656" s="227"/>
      <c r="AH656" s="227"/>
      <c r="AI656" s="227"/>
      <c r="AJ656" s="227"/>
      <c r="AK656" s="227"/>
      <c r="AL656" s="227"/>
      <c r="AM656" s="227"/>
      <c r="AN656" s="227"/>
      <c r="AO656" s="227"/>
      <c r="AP656" s="227"/>
      <c r="AQ656" s="227"/>
      <c r="AR656" s="227"/>
      <c r="AS656" s="227"/>
      <c r="AT656" s="227"/>
      <c r="AU656" s="227"/>
      <c r="AV656" s="227"/>
      <c r="AW656" s="227"/>
      <c r="AX656" s="227"/>
      <c r="AY656" s="227"/>
      <c r="AZ656" s="227"/>
      <c r="BA656" s="227"/>
      <c r="BB656" s="227"/>
      <c r="BC656" s="227"/>
      <c r="BD656" s="227"/>
      <c r="BE656" s="227"/>
      <c r="BF656" s="227"/>
      <c r="BG656" s="227"/>
      <c r="BH656" s="227"/>
      <c r="BI656" s="227"/>
      <c r="BJ656" s="227"/>
      <c r="BK656" s="227"/>
      <c r="BL656" s="227"/>
      <c r="BM656" s="227"/>
      <c r="BN656" s="227"/>
      <c r="BO656" s="227"/>
      <c r="BP656" s="227"/>
      <c r="BQ656" s="227"/>
      <c r="BR656" s="227"/>
      <c r="BS656" s="227"/>
      <c r="BT656" s="227"/>
      <c r="BU656" s="227"/>
      <c r="BV656" s="227"/>
      <c r="BW656" s="227"/>
      <c r="BX656" s="227"/>
      <c r="BY656" s="227"/>
      <c r="BZ656" s="227"/>
      <c r="CA656" s="227"/>
      <c r="CB656" s="227"/>
      <c r="CC656" s="227"/>
      <c r="CD656" s="227"/>
      <c r="CE656" s="227"/>
      <c r="CF656" s="227"/>
      <c r="CG656" s="227"/>
      <c r="CH656" s="227"/>
      <c r="CI656" s="227"/>
      <c r="CJ656" s="227"/>
      <c r="CK656" s="227"/>
      <c r="CL656" s="227"/>
      <c r="CM656" s="227"/>
      <c r="CN656" s="227"/>
      <c r="CO656" s="227"/>
      <c r="CP656" s="227"/>
      <c r="CQ656" s="227"/>
      <c r="CR656" s="227"/>
      <c r="CS656" s="227"/>
      <c r="CT656" s="227"/>
      <c r="CU656" s="225"/>
      <c r="CV656" s="227"/>
    </row>
    <row r="657" spans="1:100" ht="20.100000000000001" customHeight="1">
      <c r="A657" s="227">
        <v>325</v>
      </c>
      <c r="B657" s="225"/>
      <c r="C657" s="227"/>
      <c r="D657" s="228">
        <f>(SUMPRODUCT(E657:CU657*$E$6:$CU$6)/100)+(SUMPRODUCT(E657:CU657*$E$6:$CU$6*$E$3:$CU$3)/100)</f>
        <v>0</v>
      </c>
      <c r="E657" s="227"/>
      <c r="F657" s="227"/>
      <c r="G657" s="227"/>
      <c r="H657" s="227"/>
      <c r="I657" s="227"/>
      <c r="J657" s="227"/>
      <c r="K657" s="227"/>
      <c r="L657" s="227"/>
      <c r="M657" s="227"/>
      <c r="N657" s="227"/>
      <c r="O657" s="227"/>
      <c r="P657" s="227"/>
      <c r="Q657" s="227"/>
      <c r="R657" s="227"/>
      <c r="S657" s="227"/>
      <c r="T657" s="227"/>
      <c r="U657" s="227"/>
      <c r="V657" s="227"/>
      <c r="W657" s="227"/>
      <c r="X657" s="227"/>
      <c r="Y657" s="227"/>
      <c r="Z657" s="227"/>
      <c r="AA657" s="227"/>
      <c r="AB657" s="227"/>
      <c r="AC657" s="227"/>
      <c r="AD657" s="227"/>
      <c r="AE657" s="227"/>
      <c r="AF657" s="227"/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27"/>
      <c r="BC657" s="227"/>
      <c r="BD657" s="227"/>
      <c r="BE657" s="227"/>
      <c r="BF657" s="227"/>
      <c r="BG657" s="227"/>
      <c r="BH657" s="227"/>
      <c r="BI657" s="227"/>
      <c r="BJ657" s="227"/>
      <c r="BK657" s="227"/>
      <c r="BL657" s="227"/>
      <c r="BM657" s="227"/>
      <c r="BN657" s="227"/>
      <c r="BO657" s="227"/>
      <c r="BP657" s="227"/>
      <c r="BQ657" s="227"/>
      <c r="BR657" s="227"/>
      <c r="BS657" s="227"/>
      <c r="BT657" s="227"/>
      <c r="BU657" s="227"/>
      <c r="BV657" s="227"/>
      <c r="BW657" s="227"/>
      <c r="BX657" s="227"/>
      <c r="BY657" s="227"/>
      <c r="BZ657" s="227"/>
      <c r="CA657" s="227"/>
      <c r="CB657" s="227"/>
      <c r="CC657" s="227"/>
      <c r="CD657" s="227"/>
      <c r="CE657" s="227"/>
      <c r="CF657" s="227"/>
      <c r="CG657" s="227"/>
      <c r="CH657" s="227"/>
      <c r="CI657" s="227"/>
      <c r="CJ657" s="227"/>
      <c r="CK657" s="227"/>
      <c r="CL657" s="227"/>
      <c r="CM657" s="227"/>
      <c r="CN657" s="227"/>
      <c r="CO657" s="227"/>
      <c r="CP657" s="227"/>
      <c r="CQ657" s="227"/>
      <c r="CR657" s="227"/>
      <c r="CS657" s="227"/>
      <c r="CT657" s="227"/>
      <c r="CU657" s="225"/>
      <c r="CV657" s="227"/>
    </row>
    <row r="658" spans="1:100" ht="20.100000000000001" customHeight="1">
      <c r="A658" s="227"/>
      <c r="B658" s="225"/>
      <c r="C658" s="227"/>
      <c r="D658" s="224"/>
      <c r="E658" s="227"/>
      <c r="F658" s="227"/>
      <c r="G658" s="227"/>
      <c r="H658" s="227"/>
      <c r="I658" s="227"/>
      <c r="J658" s="227"/>
      <c r="K658" s="227"/>
      <c r="L658" s="227"/>
      <c r="M658" s="227"/>
      <c r="N658" s="227"/>
      <c r="O658" s="227"/>
      <c r="P658" s="227"/>
      <c r="Q658" s="227"/>
      <c r="R658" s="227"/>
      <c r="S658" s="227"/>
      <c r="T658" s="227"/>
      <c r="U658" s="227"/>
      <c r="V658" s="227"/>
      <c r="W658" s="227"/>
      <c r="X658" s="227"/>
      <c r="Y658" s="227"/>
      <c r="Z658" s="227"/>
      <c r="AA658" s="227"/>
      <c r="AB658" s="227"/>
      <c r="AC658" s="227"/>
      <c r="AD658" s="227"/>
      <c r="AE658" s="227"/>
      <c r="AF658" s="227"/>
      <c r="AG658" s="227"/>
      <c r="AH658" s="227"/>
      <c r="AI658" s="227"/>
      <c r="AJ658" s="227"/>
      <c r="AK658" s="227"/>
      <c r="AL658" s="227"/>
      <c r="AM658" s="227"/>
      <c r="AN658" s="227"/>
      <c r="AO658" s="227"/>
      <c r="AP658" s="227"/>
      <c r="AQ658" s="227"/>
      <c r="AR658" s="227"/>
      <c r="AS658" s="227"/>
      <c r="AT658" s="227"/>
      <c r="AU658" s="227"/>
      <c r="AV658" s="227"/>
      <c r="AW658" s="227"/>
      <c r="AX658" s="227"/>
      <c r="AY658" s="227"/>
      <c r="AZ658" s="227"/>
      <c r="BA658" s="227"/>
      <c r="BB658" s="227"/>
      <c r="BC658" s="227"/>
      <c r="BD658" s="227"/>
      <c r="BE658" s="227"/>
      <c r="BF658" s="227"/>
      <c r="BG658" s="227"/>
      <c r="BH658" s="227"/>
      <c r="BI658" s="227"/>
      <c r="BJ658" s="227"/>
      <c r="BK658" s="227"/>
      <c r="BL658" s="227"/>
      <c r="BM658" s="227"/>
      <c r="BN658" s="227"/>
      <c r="BO658" s="227"/>
      <c r="BP658" s="227"/>
      <c r="BQ658" s="227"/>
      <c r="BR658" s="227"/>
      <c r="BS658" s="227"/>
      <c r="BT658" s="227"/>
      <c r="BU658" s="227"/>
      <c r="BV658" s="227"/>
      <c r="BW658" s="227"/>
      <c r="BX658" s="227"/>
      <c r="BY658" s="227"/>
      <c r="BZ658" s="227"/>
      <c r="CA658" s="227"/>
      <c r="CB658" s="227"/>
      <c r="CC658" s="227"/>
      <c r="CD658" s="227"/>
      <c r="CE658" s="227"/>
      <c r="CF658" s="227"/>
      <c r="CG658" s="227"/>
      <c r="CH658" s="227"/>
      <c r="CI658" s="227"/>
      <c r="CJ658" s="227"/>
      <c r="CK658" s="227"/>
      <c r="CL658" s="227"/>
      <c r="CM658" s="227"/>
      <c r="CN658" s="227"/>
      <c r="CO658" s="227"/>
      <c r="CP658" s="227"/>
      <c r="CQ658" s="227"/>
      <c r="CR658" s="227"/>
      <c r="CS658" s="227"/>
      <c r="CT658" s="227"/>
      <c r="CU658" s="225"/>
      <c r="CV658" s="227"/>
    </row>
    <row r="659" spans="1:100" ht="20.100000000000001" customHeight="1">
      <c r="A659" s="227">
        <v>326</v>
      </c>
      <c r="B659" s="225"/>
      <c r="C659" s="227"/>
      <c r="D659" s="228">
        <f>(SUMPRODUCT(E659:CU659*$E$6:$CU$6)/100)+(SUMPRODUCT(E659:CU659*$E$6:$CU$6*$E$3:$CU$3)/100)</f>
        <v>0</v>
      </c>
      <c r="E659" s="227"/>
      <c r="F659" s="227"/>
      <c r="G659" s="227"/>
      <c r="H659" s="227"/>
      <c r="I659" s="227"/>
      <c r="J659" s="227"/>
      <c r="K659" s="227"/>
      <c r="L659" s="227"/>
      <c r="M659" s="227"/>
      <c r="N659" s="227"/>
      <c r="O659" s="227"/>
      <c r="P659" s="227"/>
      <c r="Q659" s="227"/>
      <c r="R659" s="227"/>
      <c r="S659" s="227"/>
      <c r="T659" s="227"/>
      <c r="U659" s="227"/>
      <c r="V659" s="227"/>
      <c r="W659" s="227"/>
      <c r="X659" s="227"/>
      <c r="Y659" s="227"/>
      <c r="Z659" s="227"/>
      <c r="AA659" s="227"/>
      <c r="AB659" s="227"/>
      <c r="AC659" s="227"/>
      <c r="AD659" s="227"/>
      <c r="AE659" s="227"/>
      <c r="AF659" s="227"/>
      <c r="AG659" s="227"/>
      <c r="AH659" s="227"/>
      <c r="AI659" s="227"/>
      <c r="AJ659" s="227"/>
      <c r="AK659" s="227"/>
      <c r="AL659" s="227"/>
      <c r="AM659" s="227"/>
      <c r="AN659" s="227"/>
      <c r="AO659" s="227"/>
      <c r="AP659" s="227"/>
      <c r="AQ659" s="227"/>
      <c r="AR659" s="227"/>
      <c r="AS659" s="227"/>
      <c r="AT659" s="227"/>
      <c r="AU659" s="227"/>
      <c r="AV659" s="227"/>
      <c r="AW659" s="227"/>
      <c r="AX659" s="227"/>
      <c r="AY659" s="227"/>
      <c r="AZ659" s="227"/>
      <c r="BA659" s="227"/>
      <c r="BB659" s="227"/>
      <c r="BC659" s="227"/>
      <c r="BD659" s="227"/>
      <c r="BE659" s="227"/>
      <c r="BF659" s="227"/>
      <c r="BG659" s="227"/>
      <c r="BH659" s="227"/>
      <c r="BI659" s="227"/>
      <c r="BJ659" s="227"/>
      <c r="BK659" s="227"/>
      <c r="BL659" s="227"/>
      <c r="BM659" s="227"/>
      <c r="BN659" s="227"/>
      <c r="BO659" s="227"/>
      <c r="BP659" s="227"/>
      <c r="BQ659" s="227"/>
      <c r="BR659" s="227"/>
      <c r="BS659" s="227"/>
      <c r="BT659" s="227"/>
      <c r="BU659" s="227"/>
      <c r="BV659" s="227"/>
      <c r="BW659" s="227"/>
      <c r="BX659" s="227"/>
      <c r="BY659" s="227"/>
      <c r="BZ659" s="227"/>
      <c r="CA659" s="227"/>
      <c r="CB659" s="227"/>
      <c r="CC659" s="227"/>
      <c r="CD659" s="227"/>
      <c r="CE659" s="227"/>
      <c r="CF659" s="227"/>
      <c r="CG659" s="227"/>
      <c r="CH659" s="227"/>
      <c r="CI659" s="227"/>
      <c r="CJ659" s="227"/>
      <c r="CK659" s="227"/>
      <c r="CL659" s="227"/>
      <c r="CM659" s="227"/>
      <c r="CN659" s="227"/>
      <c r="CO659" s="227"/>
      <c r="CP659" s="227"/>
      <c r="CQ659" s="227"/>
      <c r="CR659" s="227"/>
      <c r="CS659" s="227"/>
      <c r="CT659" s="227"/>
      <c r="CU659" s="225"/>
      <c r="CV659" s="227"/>
    </row>
    <row r="660" spans="1:100" ht="20.100000000000001" customHeight="1">
      <c r="A660" s="223"/>
      <c r="B660" s="225"/>
      <c r="C660" s="227"/>
      <c r="D660" s="224"/>
      <c r="E660" s="227"/>
      <c r="F660" s="227"/>
      <c r="G660" s="227"/>
      <c r="H660" s="227"/>
      <c r="I660" s="227"/>
      <c r="J660" s="227"/>
      <c r="K660" s="227"/>
      <c r="L660" s="227"/>
      <c r="M660" s="227"/>
      <c r="N660" s="227"/>
      <c r="O660" s="227"/>
      <c r="P660" s="227"/>
      <c r="Q660" s="227"/>
      <c r="R660" s="227"/>
      <c r="S660" s="227"/>
      <c r="T660" s="227"/>
      <c r="U660" s="227"/>
      <c r="V660" s="227"/>
      <c r="W660" s="227"/>
      <c r="X660" s="227"/>
      <c r="Y660" s="227"/>
      <c r="Z660" s="227"/>
      <c r="AA660" s="227"/>
      <c r="AB660" s="227"/>
      <c r="AC660" s="227"/>
      <c r="AD660" s="227"/>
      <c r="AE660" s="227"/>
      <c r="AF660" s="227"/>
      <c r="AG660" s="227"/>
      <c r="AH660" s="227"/>
      <c r="AI660" s="227"/>
      <c r="AJ660" s="227"/>
      <c r="AK660" s="227"/>
      <c r="AL660" s="227"/>
      <c r="AM660" s="227"/>
      <c r="AN660" s="227"/>
      <c r="AO660" s="227"/>
      <c r="AP660" s="227"/>
      <c r="AQ660" s="227"/>
      <c r="AR660" s="227"/>
      <c r="AS660" s="227"/>
      <c r="AT660" s="227"/>
      <c r="AU660" s="227"/>
      <c r="AV660" s="227"/>
      <c r="AW660" s="227"/>
      <c r="AX660" s="227"/>
      <c r="AY660" s="227"/>
      <c r="AZ660" s="227"/>
      <c r="BA660" s="227"/>
      <c r="BB660" s="227"/>
      <c r="BC660" s="227"/>
      <c r="BD660" s="227"/>
      <c r="BE660" s="227"/>
      <c r="BF660" s="227"/>
      <c r="BG660" s="227"/>
      <c r="BH660" s="227"/>
      <c r="BI660" s="227"/>
      <c r="BJ660" s="227"/>
      <c r="BK660" s="227"/>
      <c r="BL660" s="227"/>
      <c r="BM660" s="227"/>
      <c r="BN660" s="227"/>
      <c r="BO660" s="227"/>
      <c r="BP660" s="227"/>
      <c r="BQ660" s="227"/>
      <c r="BR660" s="227"/>
      <c r="BS660" s="227"/>
      <c r="BT660" s="227"/>
      <c r="BU660" s="227"/>
      <c r="BV660" s="227"/>
      <c r="BW660" s="227"/>
      <c r="BX660" s="227"/>
      <c r="BY660" s="227"/>
      <c r="BZ660" s="227"/>
      <c r="CA660" s="227"/>
      <c r="CB660" s="227"/>
      <c r="CC660" s="227"/>
      <c r="CD660" s="227"/>
      <c r="CE660" s="227"/>
      <c r="CF660" s="227"/>
      <c r="CG660" s="227"/>
      <c r="CH660" s="227"/>
      <c r="CI660" s="227"/>
      <c r="CJ660" s="227"/>
      <c r="CK660" s="227"/>
      <c r="CL660" s="227"/>
      <c r="CM660" s="227"/>
      <c r="CN660" s="227"/>
      <c r="CO660" s="227"/>
      <c r="CP660" s="227"/>
      <c r="CQ660" s="227"/>
      <c r="CR660" s="227"/>
      <c r="CS660" s="227"/>
      <c r="CT660" s="227"/>
      <c r="CU660" s="225"/>
      <c r="CV660" s="227"/>
    </row>
    <row r="661" spans="1:100" ht="20.100000000000001" customHeight="1">
      <c r="A661" s="227">
        <v>327</v>
      </c>
      <c r="B661" s="225"/>
      <c r="C661" s="227"/>
      <c r="D661" s="228">
        <f>(SUMPRODUCT(E661:CU661*$E$6:$CU$6)/100)+(SUMPRODUCT(E661:CU661*$E$6:$CU$6*$E$3:$CU$3)/100)</f>
        <v>0</v>
      </c>
      <c r="E661" s="227"/>
      <c r="F661" s="227"/>
      <c r="G661" s="227"/>
      <c r="H661" s="227"/>
      <c r="I661" s="227"/>
      <c r="J661" s="227"/>
      <c r="K661" s="227"/>
      <c r="L661" s="227"/>
      <c r="M661" s="227"/>
      <c r="N661" s="227"/>
      <c r="O661" s="227"/>
      <c r="P661" s="227"/>
      <c r="Q661" s="227"/>
      <c r="R661" s="227"/>
      <c r="S661" s="227"/>
      <c r="T661" s="227"/>
      <c r="U661" s="227"/>
      <c r="V661" s="227"/>
      <c r="W661" s="227"/>
      <c r="X661" s="227"/>
      <c r="Y661" s="227"/>
      <c r="Z661" s="227"/>
      <c r="AA661" s="227"/>
      <c r="AB661" s="227"/>
      <c r="AC661" s="227"/>
      <c r="AD661" s="227"/>
      <c r="AE661" s="227"/>
      <c r="AF661" s="227"/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27"/>
      <c r="BC661" s="227"/>
      <c r="BD661" s="227"/>
      <c r="BE661" s="227"/>
      <c r="BF661" s="227"/>
      <c r="BG661" s="227"/>
      <c r="BH661" s="227"/>
      <c r="BI661" s="227"/>
      <c r="BJ661" s="227"/>
      <c r="BK661" s="227"/>
      <c r="BL661" s="227"/>
      <c r="BM661" s="227"/>
      <c r="BN661" s="227"/>
      <c r="BO661" s="227"/>
      <c r="BP661" s="227"/>
      <c r="BQ661" s="227"/>
      <c r="BR661" s="227"/>
      <c r="BS661" s="227"/>
      <c r="BT661" s="227"/>
      <c r="BU661" s="227"/>
      <c r="BV661" s="227"/>
      <c r="BW661" s="227"/>
      <c r="BX661" s="227"/>
      <c r="BY661" s="227"/>
      <c r="BZ661" s="227"/>
      <c r="CA661" s="227"/>
      <c r="CB661" s="227"/>
      <c r="CC661" s="227"/>
      <c r="CD661" s="227"/>
      <c r="CE661" s="227"/>
      <c r="CF661" s="227"/>
      <c r="CG661" s="227"/>
      <c r="CH661" s="227"/>
      <c r="CI661" s="227"/>
      <c r="CJ661" s="227"/>
      <c r="CK661" s="227"/>
      <c r="CL661" s="227"/>
      <c r="CM661" s="227"/>
      <c r="CN661" s="227"/>
      <c r="CO661" s="227"/>
      <c r="CP661" s="227"/>
      <c r="CQ661" s="227"/>
      <c r="CR661" s="227"/>
      <c r="CS661" s="227"/>
      <c r="CT661" s="227"/>
      <c r="CU661" s="225"/>
      <c r="CV661" s="227"/>
    </row>
    <row r="662" spans="1:100" ht="20.100000000000001" customHeight="1">
      <c r="A662" s="227"/>
      <c r="B662" s="225"/>
      <c r="C662" s="227"/>
      <c r="D662" s="224"/>
      <c r="E662" s="227"/>
      <c r="F662" s="227"/>
      <c r="G662" s="227"/>
      <c r="H662" s="227"/>
      <c r="I662" s="227"/>
      <c r="J662" s="227"/>
      <c r="K662" s="227"/>
      <c r="L662" s="227"/>
      <c r="M662" s="227"/>
      <c r="N662" s="227"/>
      <c r="O662" s="227"/>
      <c r="P662" s="227"/>
      <c r="Q662" s="227"/>
      <c r="R662" s="227"/>
      <c r="S662" s="227"/>
      <c r="T662" s="227"/>
      <c r="U662" s="227"/>
      <c r="V662" s="227"/>
      <c r="W662" s="227"/>
      <c r="X662" s="227"/>
      <c r="Y662" s="227"/>
      <c r="Z662" s="227"/>
      <c r="AA662" s="227"/>
      <c r="AB662" s="227"/>
      <c r="AC662" s="227"/>
      <c r="AD662" s="227"/>
      <c r="AE662" s="227"/>
      <c r="AF662" s="227"/>
      <c r="AG662" s="227"/>
      <c r="AH662" s="227"/>
      <c r="AI662" s="227"/>
      <c r="AJ662" s="227"/>
      <c r="AK662" s="227"/>
      <c r="AL662" s="227"/>
      <c r="AM662" s="227"/>
      <c r="AN662" s="227"/>
      <c r="AO662" s="227"/>
      <c r="AP662" s="227"/>
      <c r="AQ662" s="227"/>
      <c r="AR662" s="227"/>
      <c r="AS662" s="227"/>
      <c r="AT662" s="227"/>
      <c r="AU662" s="227"/>
      <c r="AV662" s="227"/>
      <c r="AW662" s="227"/>
      <c r="AX662" s="227"/>
      <c r="AY662" s="227"/>
      <c r="AZ662" s="227"/>
      <c r="BA662" s="227"/>
      <c r="BB662" s="227"/>
      <c r="BC662" s="227"/>
      <c r="BD662" s="227"/>
      <c r="BE662" s="227"/>
      <c r="BF662" s="227"/>
      <c r="BG662" s="227"/>
      <c r="BH662" s="227"/>
      <c r="BI662" s="227"/>
      <c r="BJ662" s="227"/>
      <c r="BK662" s="227"/>
      <c r="BL662" s="227"/>
      <c r="BM662" s="227"/>
      <c r="BN662" s="227"/>
      <c r="BO662" s="227"/>
      <c r="BP662" s="227"/>
      <c r="BQ662" s="227"/>
      <c r="BR662" s="227"/>
      <c r="BS662" s="227"/>
      <c r="BT662" s="227"/>
      <c r="BU662" s="227"/>
      <c r="BV662" s="227"/>
      <c r="BW662" s="227"/>
      <c r="BX662" s="227"/>
      <c r="BY662" s="227"/>
      <c r="BZ662" s="227"/>
      <c r="CA662" s="227"/>
      <c r="CB662" s="227"/>
      <c r="CC662" s="227"/>
      <c r="CD662" s="227"/>
      <c r="CE662" s="227"/>
      <c r="CF662" s="227"/>
      <c r="CG662" s="227"/>
      <c r="CH662" s="227"/>
      <c r="CI662" s="227"/>
      <c r="CJ662" s="227"/>
      <c r="CK662" s="227"/>
      <c r="CL662" s="227"/>
      <c r="CM662" s="227"/>
      <c r="CN662" s="227"/>
      <c r="CO662" s="227"/>
      <c r="CP662" s="227"/>
      <c r="CQ662" s="227"/>
      <c r="CR662" s="227"/>
      <c r="CS662" s="227"/>
      <c r="CT662" s="227"/>
      <c r="CU662" s="225"/>
      <c r="CV662" s="227"/>
    </row>
    <row r="663" spans="1:100" ht="20.100000000000001" customHeight="1">
      <c r="A663" s="227">
        <v>328</v>
      </c>
      <c r="B663" s="225"/>
      <c r="C663" s="227"/>
      <c r="D663" s="228">
        <f>(SUMPRODUCT(E663:CU663*$E$6:$CU$6)/100)+(SUMPRODUCT(E663:CU663*$E$6:$CU$6*$E$3:$CU$3)/100)</f>
        <v>0</v>
      </c>
      <c r="E663" s="227"/>
      <c r="F663" s="227"/>
      <c r="G663" s="227"/>
      <c r="H663" s="227"/>
      <c r="I663" s="227"/>
      <c r="J663" s="227"/>
      <c r="K663" s="227"/>
      <c r="L663" s="227"/>
      <c r="M663" s="227"/>
      <c r="N663" s="227"/>
      <c r="O663" s="227"/>
      <c r="P663" s="227"/>
      <c r="Q663" s="227"/>
      <c r="R663" s="227"/>
      <c r="S663" s="227"/>
      <c r="T663" s="227"/>
      <c r="U663" s="227"/>
      <c r="V663" s="227"/>
      <c r="W663" s="227"/>
      <c r="X663" s="227"/>
      <c r="Y663" s="227"/>
      <c r="Z663" s="227"/>
      <c r="AA663" s="227"/>
      <c r="AB663" s="227"/>
      <c r="AC663" s="227"/>
      <c r="AD663" s="227"/>
      <c r="AE663" s="227"/>
      <c r="AF663" s="227"/>
      <c r="AG663" s="227"/>
      <c r="AH663" s="227"/>
      <c r="AI663" s="227"/>
      <c r="AJ663" s="227"/>
      <c r="AK663" s="227"/>
      <c r="AL663" s="227"/>
      <c r="AM663" s="227"/>
      <c r="AN663" s="227"/>
      <c r="AO663" s="227"/>
      <c r="AP663" s="227"/>
      <c r="AQ663" s="227"/>
      <c r="AR663" s="227"/>
      <c r="AS663" s="227"/>
      <c r="AT663" s="227"/>
      <c r="AU663" s="227"/>
      <c r="AV663" s="227"/>
      <c r="AW663" s="227"/>
      <c r="AX663" s="227"/>
      <c r="AY663" s="227"/>
      <c r="AZ663" s="227"/>
      <c r="BA663" s="227"/>
      <c r="BB663" s="227"/>
      <c r="BC663" s="227"/>
      <c r="BD663" s="227"/>
      <c r="BE663" s="227"/>
      <c r="BF663" s="227"/>
      <c r="BG663" s="227"/>
      <c r="BH663" s="227"/>
      <c r="BI663" s="227"/>
      <c r="BJ663" s="227"/>
      <c r="BK663" s="227"/>
      <c r="BL663" s="227"/>
      <c r="BM663" s="227"/>
      <c r="BN663" s="227"/>
      <c r="BO663" s="227"/>
      <c r="BP663" s="227"/>
      <c r="BQ663" s="227"/>
      <c r="BR663" s="227"/>
      <c r="BS663" s="227"/>
      <c r="BT663" s="227"/>
      <c r="BU663" s="227"/>
      <c r="BV663" s="227"/>
      <c r="BW663" s="227"/>
      <c r="BX663" s="227"/>
      <c r="BY663" s="227"/>
      <c r="BZ663" s="227"/>
      <c r="CA663" s="227"/>
      <c r="CB663" s="227"/>
      <c r="CC663" s="227"/>
      <c r="CD663" s="227"/>
      <c r="CE663" s="227"/>
      <c r="CF663" s="227"/>
      <c r="CG663" s="227"/>
      <c r="CH663" s="227"/>
      <c r="CI663" s="227"/>
      <c r="CJ663" s="227"/>
      <c r="CK663" s="227"/>
      <c r="CL663" s="227"/>
      <c r="CM663" s="227"/>
      <c r="CN663" s="227"/>
      <c r="CO663" s="227"/>
      <c r="CP663" s="227"/>
      <c r="CQ663" s="227"/>
      <c r="CR663" s="227"/>
      <c r="CS663" s="227"/>
      <c r="CT663" s="227"/>
      <c r="CU663" s="225"/>
      <c r="CV663" s="227"/>
    </row>
    <row r="664" spans="1:100" ht="20.100000000000001" customHeight="1">
      <c r="A664" s="223"/>
      <c r="B664" s="225"/>
      <c r="C664" s="227"/>
      <c r="D664" s="224"/>
      <c r="E664" s="227"/>
      <c r="F664" s="227"/>
      <c r="G664" s="227"/>
      <c r="H664" s="227"/>
      <c r="I664" s="227"/>
      <c r="J664" s="227"/>
      <c r="K664" s="227"/>
      <c r="L664" s="227"/>
      <c r="M664" s="227"/>
      <c r="N664" s="227"/>
      <c r="O664" s="227"/>
      <c r="P664" s="227"/>
      <c r="Q664" s="227"/>
      <c r="R664" s="227"/>
      <c r="S664" s="227"/>
      <c r="T664" s="227"/>
      <c r="U664" s="227"/>
      <c r="V664" s="227"/>
      <c r="W664" s="227"/>
      <c r="X664" s="227"/>
      <c r="Y664" s="227"/>
      <c r="Z664" s="227"/>
      <c r="AA664" s="227"/>
      <c r="AB664" s="227"/>
      <c r="AC664" s="227"/>
      <c r="AD664" s="227"/>
      <c r="AE664" s="227"/>
      <c r="AF664" s="227"/>
      <c r="AG664" s="227"/>
      <c r="AH664" s="227"/>
      <c r="AI664" s="227"/>
      <c r="AJ664" s="227"/>
      <c r="AK664" s="227"/>
      <c r="AL664" s="227"/>
      <c r="AM664" s="227"/>
      <c r="AN664" s="227"/>
      <c r="AO664" s="227"/>
      <c r="AP664" s="227"/>
      <c r="AQ664" s="227"/>
      <c r="AR664" s="227"/>
      <c r="AS664" s="227"/>
      <c r="AT664" s="227"/>
      <c r="AU664" s="227"/>
      <c r="AV664" s="227"/>
      <c r="AW664" s="227"/>
      <c r="AX664" s="227"/>
      <c r="AY664" s="227"/>
      <c r="AZ664" s="227"/>
      <c r="BA664" s="227"/>
      <c r="BB664" s="227"/>
      <c r="BC664" s="227"/>
      <c r="BD664" s="227"/>
      <c r="BE664" s="227"/>
      <c r="BF664" s="227"/>
      <c r="BG664" s="227"/>
      <c r="BH664" s="227"/>
      <c r="BI664" s="227"/>
      <c r="BJ664" s="227"/>
      <c r="BK664" s="227"/>
      <c r="BL664" s="227"/>
      <c r="BM664" s="227"/>
      <c r="BN664" s="227"/>
      <c r="BO664" s="227"/>
      <c r="BP664" s="227"/>
      <c r="BQ664" s="227"/>
      <c r="BR664" s="227"/>
      <c r="BS664" s="227"/>
      <c r="BT664" s="227"/>
      <c r="BU664" s="227"/>
      <c r="BV664" s="227"/>
      <c r="BW664" s="227"/>
      <c r="BX664" s="227"/>
      <c r="BY664" s="227"/>
      <c r="BZ664" s="227"/>
      <c r="CA664" s="227"/>
      <c r="CB664" s="227"/>
      <c r="CC664" s="227"/>
      <c r="CD664" s="227"/>
      <c r="CE664" s="227"/>
      <c r="CF664" s="227"/>
      <c r="CG664" s="227"/>
      <c r="CH664" s="227"/>
      <c r="CI664" s="227"/>
      <c r="CJ664" s="227"/>
      <c r="CK664" s="227"/>
      <c r="CL664" s="227"/>
      <c r="CM664" s="227"/>
      <c r="CN664" s="227"/>
      <c r="CO664" s="227"/>
      <c r="CP664" s="227"/>
      <c r="CQ664" s="227"/>
      <c r="CR664" s="227"/>
      <c r="CS664" s="227"/>
      <c r="CT664" s="227"/>
      <c r="CU664" s="225"/>
      <c r="CV664" s="227"/>
    </row>
    <row r="665" spans="1:100" ht="20.100000000000001" customHeight="1">
      <c r="A665" s="227">
        <v>329</v>
      </c>
      <c r="B665" s="225"/>
      <c r="C665" s="227"/>
      <c r="D665" s="228">
        <f>(SUMPRODUCT(E665:CU665*$E$6:$CU$6)/100)+(SUMPRODUCT(E665:CU665*$E$6:$CU$6*$E$3:$CU$3)/100)</f>
        <v>0</v>
      </c>
      <c r="E665" s="227"/>
      <c r="F665" s="227"/>
      <c r="G665" s="227"/>
      <c r="H665" s="227"/>
      <c r="I665" s="227"/>
      <c r="J665" s="227"/>
      <c r="K665" s="227"/>
      <c r="L665" s="227"/>
      <c r="M665" s="227"/>
      <c r="N665" s="227"/>
      <c r="O665" s="227"/>
      <c r="P665" s="227"/>
      <c r="Q665" s="227"/>
      <c r="R665" s="227"/>
      <c r="S665" s="227"/>
      <c r="T665" s="227"/>
      <c r="U665" s="227"/>
      <c r="V665" s="227"/>
      <c r="W665" s="227"/>
      <c r="X665" s="227"/>
      <c r="Y665" s="227"/>
      <c r="Z665" s="227"/>
      <c r="AA665" s="227"/>
      <c r="AB665" s="227"/>
      <c r="AC665" s="227"/>
      <c r="AD665" s="227"/>
      <c r="AE665" s="227"/>
      <c r="AF665" s="227"/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27"/>
      <c r="BC665" s="227"/>
      <c r="BD665" s="227"/>
      <c r="BE665" s="227"/>
      <c r="BF665" s="227"/>
      <c r="BG665" s="227"/>
      <c r="BH665" s="227"/>
      <c r="BI665" s="227"/>
      <c r="BJ665" s="227"/>
      <c r="BK665" s="227"/>
      <c r="BL665" s="227"/>
      <c r="BM665" s="227"/>
      <c r="BN665" s="227"/>
      <c r="BO665" s="227"/>
      <c r="BP665" s="227"/>
      <c r="BQ665" s="227"/>
      <c r="BR665" s="227"/>
      <c r="BS665" s="227"/>
      <c r="BT665" s="227"/>
      <c r="BU665" s="227"/>
      <c r="BV665" s="227"/>
      <c r="BW665" s="227"/>
      <c r="BX665" s="227"/>
      <c r="BY665" s="227"/>
      <c r="BZ665" s="227"/>
      <c r="CA665" s="227"/>
      <c r="CB665" s="227"/>
      <c r="CC665" s="227"/>
      <c r="CD665" s="227"/>
      <c r="CE665" s="227"/>
      <c r="CF665" s="227"/>
      <c r="CG665" s="227"/>
      <c r="CH665" s="227"/>
      <c r="CI665" s="227"/>
      <c r="CJ665" s="227"/>
      <c r="CK665" s="227"/>
      <c r="CL665" s="227"/>
      <c r="CM665" s="227"/>
      <c r="CN665" s="227"/>
      <c r="CO665" s="227"/>
      <c r="CP665" s="227"/>
      <c r="CQ665" s="227"/>
      <c r="CR665" s="227"/>
      <c r="CS665" s="227"/>
      <c r="CT665" s="227"/>
      <c r="CU665" s="225"/>
      <c r="CV665" s="227"/>
    </row>
    <row r="666" spans="1:100" ht="20.100000000000001" customHeight="1">
      <c r="A666" s="227"/>
      <c r="B666" s="225"/>
      <c r="C666" s="227"/>
      <c r="D666" s="224"/>
      <c r="E666" s="227"/>
      <c r="F666" s="227"/>
      <c r="G666" s="227"/>
      <c r="H666" s="227"/>
      <c r="I666" s="227"/>
      <c r="J666" s="227"/>
      <c r="K666" s="227"/>
      <c r="L666" s="227"/>
      <c r="M666" s="227"/>
      <c r="N666" s="227"/>
      <c r="O666" s="227"/>
      <c r="P666" s="227"/>
      <c r="Q666" s="227"/>
      <c r="R666" s="227"/>
      <c r="S666" s="227"/>
      <c r="T666" s="227"/>
      <c r="U666" s="227"/>
      <c r="V666" s="227"/>
      <c r="W666" s="227"/>
      <c r="X666" s="227"/>
      <c r="Y666" s="227"/>
      <c r="Z666" s="227"/>
      <c r="AA666" s="227"/>
      <c r="AB666" s="227"/>
      <c r="AC666" s="227"/>
      <c r="AD666" s="227"/>
      <c r="AE666" s="227"/>
      <c r="AF666" s="227"/>
      <c r="AG666" s="227"/>
      <c r="AH666" s="227"/>
      <c r="AI666" s="227"/>
      <c r="AJ666" s="227"/>
      <c r="AK666" s="227"/>
      <c r="AL666" s="227"/>
      <c r="AM666" s="227"/>
      <c r="AN666" s="227"/>
      <c r="AO666" s="227"/>
      <c r="AP666" s="227"/>
      <c r="AQ666" s="227"/>
      <c r="AR666" s="227"/>
      <c r="AS666" s="227"/>
      <c r="AT666" s="227"/>
      <c r="AU666" s="227"/>
      <c r="AV666" s="227"/>
      <c r="AW666" s="227"/>
      <c r="AX666" s="227"/>
      <c r="AY666" s="227"/>
      <c r="AZ666" s="227"/>
      <c r="BA666" s="227"/>
      <c r="BB666" s="227"/>
      <c r="BC666" s="227"/>
      <c r="BD666" s="227"/>
      <c r="BE666" s="227"/>
      <c r="BF666" s="227"/>
      <c r="BG666" s="227"/>
      <c r="BH666" s="227"/>
      <c r="BI666" s="227"/>
      <c r="BJ666" s="227"/>
      <c r="BK666" s="227"/>
      <c r="BL666" s="227"/>
      <c r="BM666" s="227"/>
      <c r="BN666" s="227"/>
      <c r="BO666" s="227"/>
      <c r="BP666" s="227"/>
      <c r="BQ666" s="227"/>
      <c r="BR666" s="227"/>
      <c r="BS666" s="227"/>
      <c r="BT666" s="227"/>
      <c r="BU666" s="227"/>
      <c r="BV666" s="227"/>
      <c r="BW666" s="227"/>
      <c r="BX666" s="227"/>
      <c r="BY666" s="227"/>
      <c r="BZ666" s="227"/>
      <c r="CA666" s="227"/>
      <c r="CB666" s="227"/>
      <c r="CC666" s="227"/>
      <c r="CD666" s="227"/>
      <c r="CE666" s="227"/>
      <c r="CF666" s="227"/>
      <c r="CG666" s="227"/>
      <c r="CH666" s="227"/>
      <c r="CI666" s="227"/>
      <c r="CJ666" s="227"/>
      <c r="CK666" s="227"/>
      <c r="CL666" s="227"/>
      <c r="CM666" s="227"/>
      <c r="CN666" s="227"/>
      <c r="CO666" s="227"/>
      <c r="CP666" s="227"/>
      <c r="CQ666" s="227"/>
      <c r="CR666" s="227"/>
      <c r="CS666" s="227"/>
      <c r="CT666" s="227"/>
      <c r="CU666" s="225"/>
      <c r="CV666" s="227"/>
    </row>
    <row r="667" spans="1:100" ht="20.100000000000001" customHeight="1">
      <c r="A667" s="227">
        <v>330</v>
      </c>
      <c r="B667" s="225"/>
      <c r="C667" s="227"/>
      <c r="D667" s="228">
        <f>(SUMPRODUCT(E667:CU667*$E$6:$CU$6)/100)+(SUMPRODUCT(E667:CU667*$E$6:$CU$6*$E$3:$CU$3)/100)</f>
        <v>0</v>
      </c>
      <c r="E667" s="227"/>
      <c r="F667" s="227"/>
      <c r="G667" s="227"/>
      <c r="H667" s="227"/>
      <c r="I667" s="227"/>
      <c r="J667" s="227"/>
      <c r="K667" s="227"/>
      <c r="L667" s="227"/>
      <c r="M667" s="227"/>
      <c r="N667" s="227"/>
      <c r="O667" s="227"/>
      <c r="P667" s="227"/>
      <c r="Q667" s="227"/>
      <c r="R667" s="227"/>
      <c r="S667" s="227"/>
      <c r="T667" s="227"/>
      <c r="U667" s="227"/>
      <c r="V667" s="227"/>
      <c r="W667" s="227"/>
      <c r="X667" s="227"/>
      <c r="Y667" s="227"/>
      <c r="Z667" s="227"/>
      <c r="AA667" s="227"/>
      <c r="AB667" s="227"/>
      <c r="AC667" s="227"/>
      <c r="AD667" s="227"/>
      <c r="AE667" s="227"/>
      <c r="AF667" s="227"/>
      <c r="AG667" s="227"/>
      <c r="AH667" s="227"/>
      <c r="AI667" s="227"/>
      <c r="AJ667" s="227"/>
      <c r="AK667" s="227"/>
      <c r="AL667" s="227"/>
      <c r="AM667" s="227"/>
      <c r="AN667" s="227"/>
      <c r="AO667" s="227"/>
      <c r="AP667" s="227"/>
      <c r="AQ667" s="227"/>
      <c r="AR667" s="227"/>
      <c r="AS667" s="227"/>
      <c r="AT667" s="227"/>
      <c r="AU667" s="227"/>
      <c r="AV667" s="227"/>
      <c r="AW667" s="227"/>
      <c r="AX667" s="227"/>
      <c r="AY667" s="227"/>
      <c r="AZ667" s="227"/>
      <c r="BA667" s="227"/>
      <c r="BB667" s="227"/>
      <c r="BC667" s="227"/>
      <c r="BD667" s="227"/>
      <c r="BE667" s="227"/>
      <c r="BF667" s="227"/>
      <c r="BG667" s="227"/>
      <c r="BH667" s="227"/>
      <c r="BI667" s="227"/>
      <c r="BJ667" s="227"/>
      <c r="BK667" s="227"/>
      <c r="BL667" s="227"/>
      <c r="BM667" s="227"/>
      <c r="BN667" s="227"/>
      <c r="BO667" s="227"/>
      <c r="BP667" s="227"/>
      <c r="BQ667" s="227"/>
      <c r="BR667" s="227"/>
      <c r="BS667" s="227"/>
      <c r="BT667" s="227"/>
      <c r="BU667" s="227"/>
      <c r="BV667" s="227"/>
      <c r="BW667" s="227"/>
      <c r="BX667" s="227"/>
      <c r="BY667" s="227"/>
      <c r="BZ667" s="227"/>
      <c r="CA667" s="227"/>
      <c r="CB667" s="227"/>
      <c r="CC667" s="227"/>
      <c r="CD667" s="227"/>
      <c r="CE667" s="227"/>
      <c r="CF667" s="227"/>
      <c r="CG667" s="227"/>
      <c r="CH667" s="227"/>
      <c r="CI667" s="227"/>
      <c r="CJ667" s="227"/>
      <c r="CK667" s="227"/>
      <c r="CL667" s="227"/>
      <c r="CM667" s="227"/>
      <c r="CN667" s="227"/>
      <c r="CO667" s="227"/>
      <c r="CP667" s="227"/>
      <c r="CQ667" s="227"/>
      <c r="CR667" s="227"/>
      <c r="CS667" s="227"/>
      <c r="CT667" s="227"/>
      <c r="CU667" s="225"/>
      <c r="CV667" s="227"/>
    </row>
    <row r="668" spans="1:100" ht="20.100000000000001" customHeight="1">
      <c r="A668" s="223"/>
      <c r="B668" s="225"/>
      <c r="C668" s="227"/>
      <c r="D668" s="224"/>
      <c r="E668" s="227"/>
      <c r="F668" s="227"/>
      <c r="G668" s="227"/>
      <c r="H668" s="227"/>
      <c r="I668" s="227"/>
      <c r="J668" s="227"/>
      <c r="K668" s="227"/>
      <c r="L668" s="227"/>
      <c r="M668" s="227"/>
      <c r="N668" s="227"/>
      <c r="O668" s="227"/>
      <c r="P668" s="227"/>
      <c r="Q668" s="227"/>
      <c r="R668" s="227"/>
      <c r="S668" s="227"/>
      <c r="T668" s="227"/>
      <c r="U668" s="227"/>
      <c r="V668" s="227"/>
      <c r="W668" s="227"/>
      <c r="X668" s="227"/>
      <c r="Y668" s="227"/>
      <c r="Z668" s="227"/>
      <c r="AA668" s="227"/>
      <c r="AB668" s="227"/>
      <c r="AC668" s="227"/>
      <c r="AD668" s="227"/>
      <c r="AE668" s="227"/>
      <c r="AF668" s="227"/>
      <c r="AG668" s="227"/>
      <c r="AH668" s="227"/>
      <c r="AI668" s="227"/>
      <c r="AJ668" s="227"/>
      <c r="AK668" s="227"/>
      <c r="AL668" s="227"/>
      <c r="AM668" s="227"/>
      <c r="AN668" s="227"/>
      <c r="AO668" s="227"/>
      <c r="AP668" s="227"/>
      <c r="AQ668" s="227"/>
      <c r="AR668" s="227"/>
      <c r="AS668" s="227"/>
      <c r="AT668" s="227"/>
      <c r="AU668" s="227"/>
      <c r="AV668" s="227"/>
      <c r="AW668" s="227"/>
      <c r="AX668" s="227"/>
      <c r="AY668" s="227"/>
      <c r="AZ668" s="227"/>
      <c r="BA668" s="227"/>
      <c r="BB668" s="227"/>
      <c r="BC668" s="227"/>
      <c r="BD668" s="227"/>
      <c r="BE668" s="227"/>
      <c r="BF668" s="227"/>
      <c r="BG668" s="227"/>
      <c r="BH668" s="227"/>
      <c r="BI668" s="227"/>
      <c r="BJ668" s="227"/>
      <c r="BK668" s="227"/>
      <c r="BL668" s="227"/>
      <c r="BM668" s="227"/>
      <c r="BN668" s="227"/>
      <c r="BO668" s="227"/>
      <c r="BP668" s="227"/>
      <c r="BQ668" s="227"/>
      <c r="BR668" s="227"/>
      <c r="BS668" s="227"/>
      <c r="BT668" s="227"/>
      <c r="BU668" s="227"/>
      <c r="BV668" s="227"/>
      <c r="BW668" s="227"/>
      <c r="BX668" s="227"/>
      <c r="BY668" s="227"/>
      <c r="BZ668" s="227"/>
      <c r="CA668" s="227"/>
      <c r="CB668" s="227"/>
      <c r="CC668" s="227"/>
      <c r="CD668" s="227"/>
      <c r="CE668" s="227"/>
      <c r="CF668" s="227"/>
      <c r="CG668" s="227"/>
      <c r="CH668" s="227"/>
      <c r="CI668" s="227"/>
      <c r="CJ668" s="227"/>
      <c r="CK668" s="227"/>
      <c r="CL668" s="227"/>
      <c r="CM668" s="227"/>
      <c r="CN668" s="227"/>
      <c r="CO668" s="227"/>
      <c r="CP668" s="227"/>
      <c r="CQ668" s="227"/>
      <c r="CR668" s="227"/>
      <c r="CS668" s="227"/>
      <c r="CT668" s="227"/>
      <c r="CU668" s="225"/>
      <c r="CV668" s="227"/>
    </row>
    <row r="669" spans="1:100" ht="20.100000000000001" customHeight="1">
      <c r="A669" s="227">
        <v>331</v>
      </c>
      <c r="B669" s="225"/>
      <c r="C669" s="227"/>
      <c r="D669" s="228">
        <f>(SUMPRODUCT(E669:CU669*$E$6:$CU$6)/100)+(SUMPRODUCT(E669:CU669*$E$6:$CU$6*$E$3:$CU$3)/100)</f>
        <v>0</v>
      </c>
      <c r="E669" s="227"/>
      <c r="F669" s="227"/>
      <c r="G669" s="227"/>
      <c r="H669" s="227"/>
      <c r="I669" s="227"/>
      <c r="J669" s="227"/>
      <c r="K669" s="227"/>
      <c r="L669" s="227"/>
      <c r="M669" s="227"/>
      <c r="N669" s="227"/>
      <c r="O669" s="227"/>
      <c r="P669" s="227"/>
      <c r="Q669" s="227"/>
      <c r="R669" s="227"/>
      <c r="S669" s="227"/>
      <c r="T669" s="227"/>
      <c r="U669" s="227"/>
      <c r="V669" s="227"/>
      <c r="W669" s="227"/>
      <c r="X669" s="227"/>
      <c r="Y669" s="227"/>
      <c r="Z669" s="227"/>
      <c r="AA669" s="227"/>
      <c r="AB669" s="227"/>
      <c r="AC669" s="227"/>
      <c r="AD669" s="227"/>
      <c r="AE669" s="227"/>
      <c r="AF669" s="227"/>
      <c r="AG669" s="227"/>
      <c r="AH669" s="227"/>
      <c r="AI669" s="227"/>
      <c r="AJ669" s="227"/>
      <c r="AK669" s="227"/>
      <c r="AL669" s="227"/>
      <c r="AM669" s="227"/>
      <c r="AN669" s="227"/>
      <c r="AO669" s="227"/>
      <c r="AP669" s="227"/>
      <c r="AQ669" s="227"/>
      <c r="AR669" s="227"/>
      <c r="AS669" s="227"/>
      <c r="AT669" s="227"/>
      <c r="AU669" s="227"/>
      <c r="AV669" s="227"/>
      <c r="AW669" s="227"/>
      <c r="AX669" s="227"/>
      <c r="AY669" s="227"/>
      <c r="AZ669" s="227"/>
      <c r="BA669" s="227"/>
      <c r="BB669" s="227"/>
      <c r="BC669" s="227"/>
      <c r="BD669" s="227"/>
      <c r="BE669" s="227"/>
      <c r="BF669" s="227"/>
      <c r="BG669" s="227"/>
      <c r="BH669" s="227"/>
      <c r="BI669" s="227"/>
      <c r="BJ669" s="227"/>
      <c r="BK669" s="227"/>
      <c r="BL669" s="227"/>
      <c r="BM669" s="227"/>
      <c r="BN669" s="227"/>
      <c r="BO669" s="227"/>
      <c r="BP669" s="227"/>
      <c r="BQ669" s="227"/>
      <c r="BR669" s="227"/>
      <c r="BS669" s="227"/>
      <c r="BT669" s="227"/>
      <c r="BU669" s="227"/>
      <c r="BV669" s="227"/>
      <c r="BW669" s="227"/>
      <c r="BX669" s="227"/>
      <c r="BY669" s="227"/>
      <c r="BZ669" s="227"/>
      <c r="CA669" s="227"/>
      <c r="CB669" s="227"/>
      <c r="CC669" s="227"/>
      <c r="CD669" s="227"/>
      <c r="CE669" s="227"/>
      <c r="CF669" s="227"/>
      <c r="CG669" s="227"/>
      <c r="CH669" s="227"/>
      <c r="CI669" s="227"/>
      <c r="CJ669" s="227"/>
      <c r="CK669" s="227"/>
      <c r="CL669" s="227"/>
      <c r="CM669" s="227"/>
      <c r="CN669" s="227"/>
      <c r="CO669" s="227"/>
      <c r="CP669" s="227"/>
      <c r="CQ669" s="227"/>
      <c r="CR669" s="227"/>
      <c r="CS669" s="227"/>
      <c r="CT669" s="227"/>
      <c r="CU669" s="225"/>
      <c r="CV669" s="227"/>
    </row>
    <row r="670" spans="1:100" ht="20.100000000000001" customHeight="1">
      <c r="A670" s="227"/>
      <c r="B670" s="225"/>
      <c r="C670" s="227"/>
      <c r="D670" s="224"/>
      <c r="E670" s="227"/>
      <c r="F670" s="227"/>
      <c r="G670" s="227"/>
      <c r="H670" s="227"/>
      <c r="I670" s="227"/>
      <c r="J670" s="227"/>
      <c r="K670" s="227"/>
      <c r="L670" s="227"/>
      <c r="M670" s="227"/>
      <c r="N670" s="227"/>
      <c r="O670" s="227"/>
      <c r="P670" s="227"/>
      <c r="Q670" s="227"/>
      <c r="R670" s="227"/>
      <c r="S670" s="227"/>
      <c r="T670" s="227"/>
      <c r="U670" s="227"/>
      <c r="V670" s="227"/>
      <c r="W670" s="227"/>
      <c r="X670" s="227"/>
      <c r="Y670" s="227"/>
      <c r="Z670" s="227"/>
      <c r="AA670" s="227"/>
      <c r="AB670" s="227"/>
      <c r="AC670" s="227"/>
      <c r="AD670" s="227"/>
      <c r="AE670" s="227"/>
      <c r="AF670" s="227"/>
      <c r="AG670" s="227"/>
      <c r="AH670" s="227"/>
      <c r="AI670" s="227"/>
      <c r="AJ670" s="227"/>
      <c r="AK670" s="227"/>
      <c r="AL670" s="227"/>
      <c r="AM670" s="227"/>
      <c r="AN670" s="227"/>
      <c r="AO670" s="227"/>
      <c r="AP670" s="227"/>
      <c r="AQ670" s="227"/>
      <c r="AR670" s="227"/>
      <c r="AS670" s="227"/>
      <c r="AT670" s="227"/>
      <c r="AU670" s="227"/>
      <c r="AV670" s="227"/>
      <c r="AW670" s="227"/>
      <c r="AX670" s="227"/>
      <c r="AY670" s="227"/>
      <c r="AZ670" s="227"/>
      <c r="BA670" s="227"/>
      <c r="BB670" s="227"/>
      <c r="BC670" s="227"/>
      <c r="BD670" s="227"/>
      <c r="BE670" s="227"/>
      <c r="BF670" s="227"/>
      <c r="BG670" s="227"/>
      <c r="BH670" s="227"/>
      <c r="BI670" s="227"/>
      <c r="BJ670" s="227"/>
      <c r="BK670" s="227"/>
      <c r="BL670" s="227"/>
      <c r="BM670" s="227"/>
      <c r="BN670" s="227"/>
      <c r="BO670" s="227"/>
      <c r="BP670" s="227"/>
      <c r="BQ670" s="227"/>
      <c r="BR670" s="227"/>
      <c r="BS670" s="227"/>
      <c r="BT670" s="227"/>
      <c r="BU670" s="227"/>
      <c r="BV670" s="227"/>
      <c r="BW670" s="227"/>
      <c r="BX670" s="227"/>
      <c r="BY670" s="227"/>
      <c r="BZ670" s="227"/>
      <c r="CA670" s="227"/>
      <c r="CB670" s="227"/>
      <c r="CC670" s="227"/>
      <c r="CD670" s="227"/>
      <c r="CE670" s="227"/>
      <c r="CF670" s="227"/>
      <c r="CG670" s="227"/>
      <c r="CH670" s="227"/>
      <c r="CI670" s="227"/>
      <c r="CJ670" s="227"/>
      <c r="CK670" s="227"/>
      <c r="CL670" s="227"/>
      <c r="CM670" s="227"/>
      <c r="CN670" s="227"/>
      <c r="CO670" s="227"/>
      <c r="CP670" s="227"/>
      <c r="CQ670" s="227"/>
      <c r="CR670" s="227"/>
      <c r="CS670" s="227"/>
      <c r="CT670" s="227"/>
      <c r="CU670" s="225"/>
      <c r="CV670" s="227"/>
    </row>
    <row r="671" spans="1:100" ht="20.100000000000001" customHeight="1">
      <c r="A671" s="227">
        <v>332</v>
      </c>
      <c r="B671" s="225"/>
      <c r="C671" s="227"/>
      <c r="D671" s="228">
        <f>(SUMPRODUCT(E671:CU671*$E$6:$CU$6)/100)+(SUMPRODUCT(E671:CU671*$E$6:$CU$6*$E$3:$CU$3)/100)</f>
        <v>0</v>
      </c>
      <c r="E671" s="227"/>
      <c r="F671" s="227"/>
      <c r="G671" s="227"/>
      <c r="H671" s="227"/>
      <c r="I671" s="227"/>
      <c r="J671" s="227"/>
      <c r="K671" s="227"/>
      <c r="L671" s="227"/>
      <c r="M671" s="227"/>
      <c r="N671" s="227"/>
      <c r="O671" s="227"/>
      <c r="P671" s="227"/>
      <c r="Q671" s="227"/>
      <c r="R671" s="227"/>
      <c r="S671" s="227"/>
      <c r="T671" s="227"/>
      <c r="U671" s="227"/>
      <c r="V671" s="227"/>
      <c r="W671" s="227"/>
      <c r="X671" s="227"/>
      <c r="Y671" s="227"/>
      <c r="Z671" s="227"/>
      <c r="AA671" s="227"/>
      <c r="AB671" s="227"/>
      <c r="AC671" s="227"/>
      <c r="AD671" s="227"/>
      <c r="AE671" s="227"/>
      <c r="AF671" s="227"/>
      <c r="AG671" s="227"/>
      <c r="AH671" s="227"/>
      <c r="AI671" s="227"/>
      <c r="AJ671" s="227"/>
      <c r="AK671" s="227"/>
      <c r="AL671" s="227"/>
      <c r="AM671" s="227"/>
      <c r="AN671" s="227"/>
      <c r="AO671" s="227"/>
      <c r="AP671" s="227"/>
      <c r="AQ671" s="227"/>
      <c r="AR671" s="227"/>
      <c r="AS671" s="227"/>
      <c r="AT671" s="227"/>
      <c r="AU671" s="227"/>
      <c r="AV671" s="227"/>
      <c r="AW671" s="227"/>
      <c r="AX671" s="227"/>
      <c r="AY671" s="227"/>
      <c r="AZ671" s="227"/>
      <c r="BA671" s="227"/>
      <c r="BB671" s="227"/>
      <c r="BC671" s="227"/>
      <c r="BD671" s="227"/>
      <c r="BE671" s="227"/>
      <c r="BF671" s="227"/>
      <c r="BG671" s="227"/>
      <c r="BH671" s="227"/>
      <c r="BI671" s="227"/>
      <c r="BJ671" s="227"/>
      <c r="BK671" s="227"/>
      <c r="BL671" s="227"/>
      <c r="BM671" s="227"/>
      <c r="BN671" s="227"/>
      <c r="BO671" s="227"/>
      <c r="BP671" s="227"/>
      <c r="BQ671" s="227"/>
      <c r="BR671" s="227"/>
      <c r="BS671" s="227"/>
      <c r="BT671" s="227"/>
      <c r="BU671" s="227"/>
      <c r="BV671" s="227"/>
      <c r="BW671" s="227"/>
      <c r="BX671" s="227"/>
      <c r="BY671" s="227"/>
      <c r="BZ671" s="227"/>
      <c r="CA671" s="227"/>
      <c r="CB671" s="227"/>
      <c r="CC671" s="227"/>
      <c r="CD671" s="227"/>
      <c r="CE671" s="227"/>
      <c r="CF671" s="227"/>
      <c r="CG671" s="227"/>
      <c r="CH671" s="227"/>
      <c r="CI671" s="227"/>
      <c r="CJ671" s="227"/>
      <c r="CK671" s="227"/>
      <c r="CL671" s="227"/>
      <c r="CM671" s="227"/>
      <c r="CN671" s="227"/>
      <c r="CO671" s="227"/>
      <c r="CP671" s="227"/>
      <c r="CQ671" s="227"/>
      <c r="CR671" s="227"/>
      <c r="CS671" s="227"/>
      <c r="CT671" s="227"/>
      <c r="CU671" s="225"/>
      <c r="CV671" s="227"/>
    </row>
    <row r="672" spans="1:100" ht="20.100000000000001" customHeight="1">
      <c r="A672" s="223"/>
      <c r="B672" s="225"/>
      <c r="C672" s="227"/>
      <c r="D672" s="224"/>
      <c r="E672" s="227"/>
      <c r="F672" s="227"/>
      <c r="G672" s="227"/>
      <c r="H672" s="227"/>
      <c r="I672" s="227"/>
      <c r="J672" s="227"/>
      <c r="K672" s="227"/>
      <c r="L672" s="227"/>
      <c r="M672" s="227"/>
      <c r="N672" s="227"/>
      <c r="O672" s="227"/>
      <c r="P672" s="227"/>
      <c r="Q672" s="227"/>
      <c r="R672" s="227"/>
      <c r="S672" s="227"/>
      <c r="T672" s="227"/>
      <c r="U672" s="227"/>
      <c r="V672" s="227"/>
      <c r="W672" s="227"/>
      <c r="X672" s="227"/>
      <c r="Y672" s="227"/>
      <c r="Z672" s="227"/>
      <c r="AA672" s="227"/>
      <c r="AB672" s="227"/>
      <c r="AC672" s="227"/>
      <c r="AD672" s="227"/>
      <c r="AE672" s="227"/>
      <c r="AF672" s="227"/>
      <c r="AG672" s="227"/>
      <c r="AH672" s="227"/>
      <c r="AI672" s="227"/>
      <c r="AJ672" s="227"/>
      <c r="AK672" s="227"/>
      <c r="AL672" s="227"/>
      <c r="AM672" s="227"/>
      <c r="AN672" s="227"/>
      <c r="AO672" s="227"/>
      <c r="AP672" s="227"/>
      <c r="AQ672" s="227"/>
      <c r="AR672" s="227"/>
      <c r="AS672" s="227"/>
      <c r="AT672" s="227"/>
      <c r="AU672" s="227"/>
      <c r="AV672" s="227"/>
      <c r="AW672" s="227"/>
      <c r="AX672" s="227"/>
      <c r="AY672" s="227"/>
      <c r="AZ672" s="227"/>
      <c r="BA672" s="227"/>
      <c r="BB672" s="227"/>
      <c r="BC672" s="227"/>
      <c r="BD672" s="227"/>
      <c r="BE672" s="227"/>
      <c r="BF672" s="227"/>
      <c r="BG672" s="227"/>
      <c r="BH672" s="227"/>
      <c r="BI672" s="227"/>
      <c r="BJ672" s="227"/>
      <c r="BK672" s="227"/>
      <c r="BL672" s="227"/>
      <c r="BM672" s="227"/>
      <c r="BN672" s="227"/>
      <c r="BO672" s="227"/>
      <c r="BP672" s="227"/>
      <c r="BQ672" s="227"/>
      <c r="BR672" s="227"/>
      <c r="BS672" s="227"/>
      <c r="BT672" s="227"/>
      <c r="BU672" s="227"/>
      <c r="BV672" s="227"/>
      <c r="BW672" s="227"/>
      <c r="BX672" s="227"/>
      <c r="BY672" s="227"/>
      <c r="BZ672" s="227"/>
      <c r="CA672" s="227"/>
      <c r="CB672" s="227"/>
      <c r="CC672" s="227"/>
      <c r="CD672" s="227"/>
      <c r="CE672" s="227"/>
      <c r="CF672" s="227"/>
      <c r="CG672" s="227"/>
      <c r="CH672" s="227"/>
      <c r="CI672" s="227"/>
      <c r="CJ672" s="227"/>
      <c r="CK672" s="227"/>
      <c r="CL672" s="227"/>
      <c r="CM672" s="227"/>
      <c r="CN672" s="227"/>
      <c r="CO672" s="227"/>
      <c r="CP672" s="227"/>
      <c r="CQ672" s="227"/>
      <c r="CR672" s="227"/>
      <c r="CS672" s="227"/>
      <c r="CT672" s="227"/>
      <c r="CU672" s="225"/>
      <c r="CV672" s="227"/>
    </row>
    <row r="673" spans="1:100" ht="20.100000000000001" customHeight="1">
      <c r="A673" s="227">
        <v>333</v>
      </c>
      <c r="B673" s="225"/>
      <c r="C673" s="227"/>
      <c r="D673" s="228">
        <f>(SUMPRODUCT(E673:CU673*$E$6:$CU$6)/100)+(SUMPRODUCT(E673:CU673*$E$6:$CU$6*$E$3:$CU$3)/100)</f>
        <v>0</v>
      </c>
      <c r="E673" s="227"/>
      <c r="F673" s="227"/>
      <c r="G673" s="227"/>
      <c r="H673" s="227"/>
      <c r="I673" s="227"/>
      <c r="J673" s="227"/>
      <c r="K673" s="227"/>
      <c r="L673" s="227"/>
      <c r="M673" s="227"/>
      <c r="N673" s="227"/>
      <c r="O673" s="227"/>
      <c r="P673" s="227"/>
      <c r="Q673" s="227"/>
      <c r="R673" s="227"/>
      <c r="S673" s="227"/>
      <c r="T673" s="227"/>
      <c r="U673" s="227"/>
      <c r="V673" s="227"/>
      <c r="W673" s="227"/>
      <c r="X673" s="227"/>
      <c r="Y673" s="227"/>
      <c r="Z673" s="227"/>
      <c r="AA673" s="227"/>
      <c r="AB673" s="227"/>
      <c r="AC673" s="227"/>
      <c r="AD673" s="227"/>
      <c r="AE673" s="227"/>
      <c r="AF673" s="227"/>
      <c r="AG673" s="227"/>
      <c r="AH673" s="227"/>
      <c r="AI673" s="227"/>
      <c r="AJ673" s="227"/>
      <c r="AK673" s="227"/>
      <c r="AL673" s="227"/>
      <c r="AM673" s="227"/>
      <c r="AN673" s="227"/>
      <c r="AO673" s="227"/>
      <c r="AP673" s="227"/>
      <c r="AQ673" s="227"/>
      <c r="AR673" s="227"/>
      <c r="AS673" s="227"/>
      <c r="AT673" s="227"/>
      <c r="AU673" s="227"/>
      <c r="AV673" s="227"/>
      <c r="AW673" s="227"/>
      <c r="AX673" s="227"/>
      <c r="AY673" s="227"/>
      <c r="AZ673" s="227"/>
      <c r="BA673" s="227"/>
      <c r="BB673" s="227"/>
      <c r="BC673" s="227"/>
      <c r="BD673" s="227"/>
      <c r="BE673" s="227"/>
      <c r="BF673" s="227"/>
      <c r="BG673" s="227"/>
      <c r="BH673" s="227"/>
      <c r="BI673" s="227"/>
      <c r="BJ673" s="227"/>
      <c r="BK673" s="227"/>
      <c r="BL673" s="227"/>
      <c r="BM673" s="227"/>
      <c r="BN673" s="227"/>
      <c r="BO673" s="227"/>
      <c r="BP673" s="227"/>
      <c r="BQ673" s="227"/>
      <c r="BR673" s="227"/>
      <c r="BS673" s="227"/>
      <c r="BT673" s="227"/>
      <c r="BU673" s="227"/>
      <c r="BV673" s="227"/>
      <c r="BW673" s="227"/>
      <c r="BX673" s="227"/>
      <c r="BY673" s="227"/>
      <c r="BZ673" s="227"/>
      <c r="CA673" s="227"/>
      <c r="CB673" s="227"/>
      <c r="CC673" s="227"/>
      <c r="CD673" s="227"/>
      <c r="CE673" s="227"/>
      <c r="CF673" s="227"/>
      <c r="CG673" s="227"/>
      <c r="CH673" s="227"/>
      <c r="CI673" s="227"/>
      <c r="CJ673" s="227"/>
      <c r="CK673" s="227"/>
      <c r="CL673" s="227"/>
      <c r="CM673" s="227"/>
      <c r="CN673" s="227"/>
      <c r="CO673" s="227"/>
      <c r="CP673" s="227"/>
      <c r="CQ673" s="227"/>
      <c r="CR673" s="227"/>
      <c r="CS673" s="227"/>
      <c r="CT673" s="227"/>
      <c r="CU673" s="225"/>
      <c r="CV673" s="227"/>
    </row>
    <row r="674" spans="1:100" ht="20.100000000000001" customHeight="1">
      <c r="A674" s="227"/>
      <c r="B674" s="225"/>
      <c r="C674" s="227"/>
      <c r="D674" s="224"/>
      <c r="E674" s="227"/>
      <c r="F674" s="227"/>
      <c r="G674" s="227"/>
      <c r="H674" s="227"/>
      <c r="I674" s="227"/>
      <c r="J674" s="227"/>
      <c r="K674" s="227"/>
      <c r="L674" s="227"/>
      <c r="M674" s="227"/>
      <c r="N674" s="227"/>
      <c r="O674" s="227"/>
      <c r="P674" s="227"/>
      <c r="Q674" s="227"/>
      <c r="R674" s="227"/>
      <c r="S674" s="227"/>
      <c r="T674" s="227"/>
      <c r="U674" s="227"/>
      <c r="V674" s="227"/>
      <c r="W674" s="227"/>
      <c r="X674" s="227"/>
      <c r="Y674" s="227"/>
      <c r="Z674" s="227"/>
      <c r="AA674" s="227"/>
      <c r="AB674" s="227"/>
      <c r="AC674" s="227"/>
      <c r="AD674" s="227"/>
      <c r="AE674" s="227"/>
      <c r="AF674" s="227"/>
      <c r="AG674" s="227"/>
      <c r="AH674" s="227"/>
      <c r="AI674" s="227"/>
      <c r="AJ674" s="227"/>
      <c r="AK674" s="227"/>
      <c r="AL674" s="227"/>
      <c r="AM674" s="227"/>
      <c r="AN674" s="227"/>
      <c r="AO674" s="227"/>
      <c r="AP674" s="227"/>
      <c r="AQ674" s="227"/>
      <c r="AR674" s="227"/>
      <c r="AS674" s="227"/>
      <c r="AT674" s="227"/>
      <c r="AU674" s="227"/>
      <c r="AV674" s="227"/>
      <c r="AW674" s="227"/>
      <c r="AX674" s="227"/>
      <c r="AY674" s="227"/>
      <c r="AZ674" s="227"/>
      <c r="BA674" s="227"/>
      <c r="BB674" s="227"/>
      <c r="BC674" s="227"/>
      <c r="BD674" s="227"/>
      <c r="BE674" s="227"/>
      <c r="BF674" s="227"/>
      <c r="BG674" s="227"/>
      <c r="BH674" s="227"/>
      <c r="BI674" s="227"/>
      <c r="BJ674" s="227"/>
      <c r="BK674" s="227"/>
      <c r="BL674" s="227"/>
      <c r="BM674" s="227"/>
      <c r="BN674" s="227"/>
      <c r="BO674" s="227"/>
      <c r="BP674" s="227"/>
      <c r="BQ674" s="227"/>
      <c r="BR674" s="227"/>
      <c r="BS674" s="227"/>
      <c r="BT674" s="227"/>
      <c r="BU674" s="227"/>
      <c r="BV674" s="227"/>
      <c r="BW674" s="227"/>
      <c r="BX674" s="227"/>
      <c r="BY674" s="227"/>
      <c r="BZ674" s="227"/>
      <c r="CA674" s="227"/>
      <c r="CB674" s="227"/>
      <c r="CC674" s="227"/>
      <c r="CD674" s="227"/>
      <c r="CE674" s="227"/>
      <c r="CF674" s="227"/>
      <c r="CG674" s="227"/>
      <c r="CH674" s="227"/>
      <c r="CI674" s="227"/>
      <c r="CJ674" s="227"/>
      <c r="CK674" s="227"/>
      <c r="CL674" s="227"/>
      <c r="CM674" s="227"/>
      <c r="CN674" s="227"/>
      <c r="CO674" s="227"/>
      <c r="CP674" s="227"/>
      <c r="CQ674" s="227"/>
      <c r="CR674" s="227"/>
      <c r="CS674" s="227"/>
      <c r="CT674" s="227"/>
      <c r="CU674" s="225"/>
      <c r="CV674" s="227"/>
    </row>
    <row r="675" spans="1:100" ht="20.100000000000001" customHeight="1">
      <c r="A675" s="227">
        <v>334</v>
      </c>
      <c r="B675" s="225"/>
      <c r="C675" s="227"/>
      <c r="D675" s="228">
        <f>(SUMPRODUCT(E675:CU675*$E$6:$CU$6)/100)+(SUMPRODUCT(E675:CU675*$E$6:$CU$6*$E$3:$CU$3)/100)</f>
        <v>0</v>
      </c>
      <c r="E675" s="227"/>
      <c r="F675" s="227"/>
      <c r="G675" s="227"/>
      <c r="H675" s="227"/>
      <c r="I675" s="227"/>
      <c r="J675" s="227"/>
      <c r="K675" s="227"/>
      <c r="L675" s="227"/>
      <c r="M675" s="227"/>
      <c r="N675" s="227"/>
      <c r="O675" s="227"/>
      <c r="P675" s="227"/>
      <c r="Q675" s="227"/>
      <c r="R675" s="227"/>
      <c r="S675" s="227"/>
      <c r="T675" s="227"/>
      <c r="U675" s="227"/>
      <c r="V675" s="227"/>
      <c r="W675" s="227"/>
      <c r="X675" s="227"/>
      <c r="Y675" s="227"/>
      <c r="Z675" s="227"/>
      <c r="AA675" s="227"/>
      <c r="AB675" s="227"/>
      <c r="AC675" s="227"/>
      <c r="AD675" s="227"/>
      <c r="AE675" s="227"/>
      <c r="AF675" s="227"/>
      <c r="AG675" s="227"/>
      <c r="AH675" s="227"/>
      <c r="AI675" s="227"/>
      <c r="AJ675" s="227"/>
      <c r="AK675" s="227"/>
      <c r="AL675" s="227"/>
      <c r="AM675" s="227"/>
      <c r="AN675" s="227"/>
      <c r="AO675" s="227"/>
      <c r="AP675" s="227"/>
      <c r="AQ675" s="227"/>
      <c r="AR675" s="227"/>
      <c r="AS675" s="227"/>
      <c r="AT675" s="227"/>
      <c r="AU675" s="227"/>
      <c r="AV675" s="227"/>
      <c r="AW675" s="227"/>
      <c r="AX675" s="227"/>
      <c r="AY675" s="227"/>
      <c r="AZ675" s="227"/>
      <c r="BA675" s="227"/>
      <c r="BB675" s="227"/>
      <c r="BC675" s="227"/>
      <c r="BD675" s="227"/>
      <c r="BE675" s="227"/>
      <c r="BF675" s="227"/>
      <c r="BG675" s="227"/>
      <c r="BH675" s="227"/>
      <c r="BI675" s="227"/>
      <c r="BJ675" s="227"/>
      <c r="BK675" s="227"/>
      <c r="BL675" s="227"/>
      <c r="BM675" s="227"/>
      <c r="BN675" s="227"/>
      <c r="BO675" s="227"/>
      <c r="BP675" s="227"/>
      <c r="BQ675" s="227"/>
      <c r="BR675" s="227"/>
      <c r="BS675" s="227"/>
      <c r="BT675" s="227"/>
      <c r="BU675" s="227"/>
      <c r="BV675" s="227"/>
      <c r="BW675" s="227"/>
      <c r="BX675" s="227"/>
      <c r="BY675" s="227"/>
      <c r="BZ675" s="227"/>
      <c r="CA675" s="227"/>
      <c r="CB675" s="227"/>
      <c r="CC675" s="227"/>
      <c r="CD675" s="227"/>
      <c r="CE675" s="227"/>
      <c r="CF675" s="227"/>
      <c r="CG675" s="227"/>
      <c r="CH675" s="227"/>
      <c r="CI675" s="227"/>
      <c r="CJ675" s="227"/>
      <c r="CK675" s="227"/>
      <c r="CL675" s="227"/>
      <c r="CM675" s="227"/>
      <c r="CN675" s="227"/>
      <c r="CO675" s="227"/>
      <c r="CP675" s="227"/>
      <c r="CQ675" s="227"/>
      <c r="CR675" s="227"/>
      <c r="CS675" s="227"/>
      <c r="CT675" s="227"/>
      <c r="CU675" s="225"/>
      <c r="CV675" s="227"/>
    </row>
    <row r="676" spans="1:100" ht="20.100000000000001" customHeight="1">
      <c r="A676" s="223"/>
      <c r="B676" s="225"/>
      <c r="C676" s="227"/>
      <c r="D676" s="224"/>
      <c r="E676" s="227"/>
      <c r="F676" s="227"/>
      <c r="G676" s="227"/>
      <c r="H676" s="227"/>
      <c r="I676" s="227"/>
      <c r="J676" s="227"/>
      <c r="K676" s="227"/>
      <c r="L676" s="227"/>
      <c r="M676" s="227"/>
      <c r="N676" s="227"/>
      <c r="O676" s="227"/>
      <c r="P676" s="227"/>
      <c r="Q676" s="227"/>
      <c r="R676" s="227"/>
      <c r="S676" s="227"/>
      <c r="T676" s="227"/>
      <c r="U676" s="227"/>
      <c r="V676" s="227"/>
      <c r="W676" s="227"/>
      <c r="X676" s="227"/>
      <c r="Y676" s="227"/>
      <c r="Z676" s="227"/>
      <c r="AA676" s="227"/>
      <c r="AB676" s="227"/>
      <c r="AC676" s="227"/>
      <c r="AD676" s="227"/>
      <c r="AE676" s="227"/>
      <c r="AF676" s="227"/>
      <c r="AG676" s="227"/>
      <c r="AH676" s="227"/>
      <c r="AI676" s="227"/>
      <c r="AJ676" s="227"/>
      <c r="AK676" s="227"/>
      <c r="AL676" s="227"/>
      <c r="AM676" s="227"/>
      <c r="AN676" s="227"/>
      <c r="AO676" s="227"/>
      <c r="AP676" s="227"/>
      <c r="AQ676" s="227"/>
      <c r="AR676" s="227"/>
      <c r="AS676" s="227"/>
      <c r="AT676" s="227"/>
      <c r="AU676" s="227"/>
      <c r="AV676" s="227"/>
      <c r="AW676" s="227"/>
      <c r="AX676" s="227"/>
      <c r="AY676" s="227"/>
      <c r="AZ676" s="227"/>
      <c r="BA676" s="227"/>
      <c r="BB676" s="227"/>
      <c r="BC676" s="227"/>
      <c r="BD676" s="227"/>
      <c r="BE676" s="227"/>
      <c r="BF676" s="227"/>
      <c r="BG676" s="227"/>
      <c r="BH676" s="227"/>
      <c r="BI676" s="227"/>
      <c r="BJ676" s="227"/>
      <c r="BK676" s="227"/>
      <c r="BL676" s="227"/>
      <c r="BM676" s="227"/>
      <c r="BN676" s="227"/>
      <c r="BO676" s="227"/>
      <c r="BP676" s="227"/>
      <c r="BQ676" s="227"/>
      <c r="BR676" s="227"/>
      <c r="BS676" s="227"/>
      <c r="BT676" s="227"/>
      <c r="BU676" s="227"/>
      <c r="BV676" s="227"/>
      <c r="BW676" s="227"/>
      <c r="BX676" s="227"/>
      <c r="BY676" s="227"/>
      <c r="BZ676" s="227"/>
      <c r="CA676" s="227"/>
      <c r="CB676" s="227"/>
      <c r="CC676" s="227"/>
      <c r="CD676" s="227"/>
      <c r="CE676" s="227"/>
      <c r="CF676" s="227"/>
      <c r="CG676" s="227"/>
      <c r="CH676" s="227"/>
      <c r="CI676" s="227"/>
      <c r="CJ676" s="227"/>
      <c r="CK676" s="227"/>
      <c r="CL676" s="227"/>
      <c r="CM676" s="227"/>
      <c r="CN676" s="227"/>
      <c r="CO676" s="227"/>
      <c r="CP676" s="227"/>
      <c r="CQ676" s="227"/>
      <c r="CR676" s="227"/>
      <c r="CS676" s="227"/>
      <c r="CT676" s="227"/>
      <c r="CU676" s="225"/>
      <c r="CV676" s="227"/>
    </row>
    <row r="677" spans="1:100" ht="20.100000000000001" customHeight="1">
      <c r="A677" s="227">
        <v>335</v>
      </c>
      <c r="B677" s="225"/>
      <c r="C677" s="227"/>
      <c r="D677" s="228">
        <f>(SUMPRODUCT(E677:CU677*$E$6:$CU$6)/100)+(SUMPRODUCT(E677:CU677*$E$6:$CU$6*$E$3:$CU$3)/100)</f>
        <v>0</v>
      </c>
      <c r="E677" s="227"/>
      <c r="F677" s="227"/>
      <c r="G677" s="227"/>
      <c r="H677" s="227"/>
      <c r="I677" s="227"/>
      <c r="J677" s="227"/>
      <c r="K677" s="227"/>
      <c r="L677" s="227"/>
      <c r="M677" s="227"/>
      <c r="N677" s="227"/>
      <c r="O677" s="227"/>
      <c r="P677" s="227"/>
      <c r="Q677" s="227"/>
      <c r="R677" s="227"/>
      <c r="S677" s="227"/>
      <c r="T677" s="227"/>
      <c r="U677" s="227"/>
      <c r="V677" s="227"/>
      <c r="W677" s="227"/>
      <c r="X677" s="227"/>
      <c r="Y677" s="227"/>
      <c r="Z677" s="227"/>
      <c r="AA677" s="227"/>
      <c r="AB677" s="227"/>
      <c r="AC677" s="227"/>
      <c r="AD677" s="227"/>
      <c r="AE677" s="227"/>
      <c r="AF677" s="227"/>
      <c r="AG677" s="227"/>
      <c r="AH677" s="227"/>
      <c r="AI677" s="227"/>
      <c r="AJ677" s="227"/>
      <c r="AK677" s="227"/>
      <c r="AL677" s="227"/>
      <c r="AM677" s="227"/>
      <c r="AN677" s="227"/>
      <c r="AO677" s="227"/>
      <c r="AP677" s="227"/>
      <c r="AQ677" s="227"/>
      <c r="AR677" s="227"/>
      <c r="AS677" s="227"/>
      <c r="AT677" s="227"/>
      <c r="AU677" s="227"/>
      <c r="AV677" s="227"/>
      <c r="AW677" s="227"/>
      <c r="AX677" s="227"/>
      <c r="AY677" s="227"/>
      <c r="AZ677" s="227"/>
      <c r="BA677" s="227"/>
      <c r="BB677" s="227"/>
      <c r="BC677" s="227"/>
      <c r="BD677" s="227"/>
      <c r="BE677" s="227"/>
      <c r="BF677" s="227"/>
      <c r="BG677" s="227"/>
      <c r="BH677" s="227"/>
      <c r="BI677" s="227"/>
      <c r="BJ677" s="227"/>
      <c r="BK677" s="227"/>
      <c r="BL677" s="227"/>
      <c r="BM677" s="227"/>
      <c r="BN677" s="227"/>
      <c r="BO677" s="227"/>
      <c r="BP677" s="227"/>
      <c r="BQ677" s="227"/>
      <c r="BR677" s="227"/>
      <c r="BS677" s="227"/>
      <c r="BT677" s="227"/>
      <c r="BU677" s="227"/>
      <c r="BV677" s="227"/>
      <c r="BW677" s="227"/>
      <c r="BX677" s="227"/>
      <c r="BY677" s="227"/>
      <c r="BZ677" s="227"/>
      <c r="CA677" s="227"/>
      <c r="CB677" s="227"/>
      <c r="CC677" s="227"/>
      <c r="CD677" s="227"/>
      <c r="CE677" s="227"/>
      <c r="CF677" s="227"/>
      <c r="CG677" s="227"/>
      <c r="CH677" s="227"/>
      <c r="CI677" s="227"/>
      <c r="CJ677" s="227"/>
      <c r="CK677" s="227"/>
      <c r="CL677" s="227"/>
      <c r="CM677" s="227"/>
      <c r="CN677" s="227"/>
      <c r="CO677" s="227"/>
      <c r="CP677" s="227"/>
      <c r="CQ677" s="227"/>
      <c r="CR677" s="227"/>
      <c r="CS677" s="227"/>
      <c r="CT677" s="227"/>
      <c r="CU677" s="225"/>
      <c r="CV677" s="227"/>
    </row>
    <row r="678" spans="1:100" ht="20.100000000000001" customHeight="1">
      <c r="A678" s="227"/>
      <c r="B678" s="225"/>
      <c r="C678" s="227"/>
      <c r="D678" s="224"/>
      <c r="E678" s="227"/>
      <c r="F678" s="227"/>
      <c r="G678" s="227"/>
      <c r="H678" s="227"/>
      <c r="I678" s="227"/>
      <c r="J678" s="227"/>
      <c r="K678" s="227"/>
      <c r="L678" s="227"/>
      <c r="M678" s="227"/>
      <c r="N678" s="227"/>
      <c r="O678" s="227"/>
      <c r="P678" s="227"/>
      <c r="Q678" s="227"/>
      <c r="R678" s="227"/>
      <c r="S678" s="227"/>
      <c r="T678" s="227"/>
      <c r="U678" s="227"/>
      <c r="V678" s="227"/>
      <c r="W678" s="227"/>
      <c r="X678" s="227"/>
      <c r="Y678" s="227"/>
      <c r="Z678" s="227"/>
      <c r="AA678" s="227"/>
      <c r="AB678" s="227"/>
      <c r="AC678" s="227"/>
      <c r="AD678" s="227"/>
      <c r="AE678" s="227"/>
      <c r="AF678" s="227"/>
      <c r="AG678" s="227"/>
      <c r="AH678" s="227"/>
      <c r="AI678" s="227"/>
      <c r="AJ678" s="227"/>
      <c r="AK678" s="227"/>
      <c r="AL678" s="227"/>
      <c r="AM678" s="227"/>
      <c r="AN678" s="227"/>
      <c r="AO678" s="227"/>
      <c r="AP678" s="227"/>
      <c r="AQ678" s="227"/>
      <c r="AR678" s="227"/>
      <c r="AS678" s="227"/>
      <c r="AT678" s="227"/>
      <c r="AU678" s="227"/>
      <c r="AV678" s="227"/>
      <c r="AW678" s="227"/>
      <c r="AX678" s="227"/>
      <c r="AY678" s="227"/>
      <c r="AZ678" s="227"/>
      <c r="BA678" s="227"/>
      <c r="BB678" s="227"/>
      <c r="BC678" s="227"/>
      <c r="BD678" s="227"/>
      <c r="BE678" s="227"/>
      <c r="BF678" s="227"/>
      <c r="BG678" s="227"/>
      <c r="BH678" s="227"/>
      <c r="BI678" s="227"/>
      <c r="BJ678" s="227"/>
      <c r="BK678" s="227"/>
      <c r="BL678" s="227"/>
      <c r="BM678" s="227"/>
      <c r="BN678" s="227"/>
      <c r="BO678" s="227"/>
      <c r="BP678" s="227"/>
      <c r="BQ678" s="227"/>
      <c r="BR678" s="227"/>
      <c r="BS678" s="227"/>
      <c r="BT678" s="227"/>
      <c r="BU678" s="227"/>
      <c r="BV678" s="227"/>
      <c r="BW678" s="227"/>
      <c r="BX678" s="227"/>
      <c r="BY678" s="227"/>
      <c r="BZ678" s="227"/>
      <c r="CA678" s="227"/>
      <c r="CB678" s="227"/>
      <c r="CC678" s="227"/>
      <c r="CD678" s="227"/>
      <c r="CE678" s="227"/>
      <c r="CF678" s="227"/>
      <c r="CG678" s="227"/>
      <c r="CH678" s="227"/>
      <c r="CI678" s="227"/>
      <c r="CJ678" s="227"/>
      <c r="CK678" s="227"/>
      <c r="CL678" s="227"/>
      <c r="CM678" s="227"/>
      <c r="CN678" s="227"/>
      <c r="CO678" s="227"/>
      <c r="CP678" s="227"/>
      <c r="CQ678" s="227"/>
      <c r="CR678" s="227"/>
      <c r="CS678" s="227"/>
      <c r="CT678" s="227"/>
      <c r="CU678" s="225"/>
      <c r="CV678" s="227"/>
    </row>
    <row r="679" spans="1:100" ht="20.100000000000001" customHeight="1">
      <c r="A679" s="227">
        <v>336</v>
      </c>
      <c r="B679" s="225"/>
      <c r="C679" s="227"/>
      <c r="D679" s="228">
        <f>(SUMPRODUCT(E679:CU679*$E$6:$CU$6)/100)+(SUMPRODUCT(E679:CU679*$E$6:$CU$6*$E$3:$CU$3)/100)</f>
        <v>0</v>
      </c>
      <c r="E679" s="227"/>
      <c r="F679" s="227"/>
      <c r="G679" s="227"/>
      <c r="H679" s="227"/>
      <c r="I679" s="227"/>
      <c r="J679" s="227"/>
      <c r="K679" s="227"/>
      <c r="L679" s="227"/>
      <c r="M679" s="227"/>
      <c r="N679" s="227"/>
      <c r="O679" s="227"/>
      <c r="P679" s="227"/>
      <c r="Q679" s="227"/>
      <c r="R679" s="227"/>
      <c r="S679" s="227"/>
      <c r="T679" s="227"/>
      <c r="U679" s="227"/>
      <c r="V679" s="227"/>
      <c r="W679" s="227"/>
      <c r="X679" s="227"/>
      <c r="Y679" s="227"/>
      <c r="Z679" s="227"/>
      <c r="AA679" s="227"/>
      <c r="AB679" s="227"/>
      <c r="AC679" s="227"/>
      <c r="AD679" s="227"/>
      <c r="AE679" s="227"/>
      <c r="AF679" s="227"/>
      <c r="AG679" s="227"/>
      <c r="AH679" s="227"/>
      <c r="AI679" s="227"/>
      <c r="AJ679" s="227"/>
      <c r="AK679" s="227"/>
      <c r="AL679" s="227"/>
      <c r="AM679" s="227"/>
      <c r="AN679" s="227"/>
      <c r="AO679" s="227"/>
      <c r="AP679" s="227"/>
      <c r="AQ679" s="227"/>
      <c r="AR679" s="227"/>
      <c r="AS679" s="227"/>
      <c r="AT679" s="227"/>
      <c r="AU679" s="227"/>
      <c r="AV679" s="227"/>
      <c r="AW679" s="227"/>
      <c r="AX679" s="227"/>
      <c r="AY679" s="227"/>
      <c r="AZ679" s="227"/>
      <c r="BA679" s="227"/>
      <c r="BB679" s="227"/>
      <c r="BC679" s="227"/>
      <c r="BD679" s="227"/>
      <c r="BE679" s="227"/>
      <c r="BF679" s="227"/>
      <c r="BG679" s="227"/>
      <c r="BH679" s="227"/>
      <c r="BI679" s="227"/>
      <c r="BJ679" s="227"/>
      <c r="BK679" s="227"/>
      <c r="BL679" s="227"/>
      <c r="BM679" s="227"/>
      <c r="BN679" s="227"/>
      <c r="BO679" s="227"/>
      <c r="BP679" s="227"/>
      <c r="BQ679" s="227"/>
      <c r="BR679" s="227"/>
      <c r="BS679" s="227"/>
      <c r="BT679" s="227"/>
      <c r="BU679" s="227"/>
      <c r="BV679" s="227"/>
      <c r="BW679" s="227"/>
      <c r="BX679" s="227"/>
      <c r="BY679" s="227"/>
      <c r="BZ679" s="227"/>
      <c r="CA679" s="227"/>
      <c r="CB679" s="227"/>
      <c r="CC679" s="227"/>
      <c r="CD679" s="227"/>
      <c r="CE679" s="227"/>
      <c r="CF679" s="227"/>
      <c r="CG679" s="227"/>
      <c r="CH679" s="227"/>
      <c r="CI679" s="227"/>
      <c r="CJ679" s="227"/>
      <c r="CK679" s="227"/>
      <c r="CL679" s="227"/>
      <c r="CM679" s="227"/>
      <c r="CN679" s="227"/>
      <c r="CO679" s="227"/>
      <c r="CP679" s="227"/>
      <c r="CQ679" s="227"/>
      <c r="CR679" s="227"/>
      <c r="CS679" s="227"/>
      <c r="CT679" s="227"/>
      <c r="CU679" s="225"/>
      <c r="CV679" s="227"/>
    </row>
    <row r="680" spans="1:100" ht="20.100000000000001" customHeight="1">
      <c r="A680" s="223"/>
      <c r="B680" s="225"/>
      <c r="C680" s="227"/>
      <c r="D680" s="224"/>
      <c r="E680" s="227"/>
      <c r="F680" s="227"/>
      <c r="G680" s="227"/>
      <c r="H680" s="227"/>
      <c r="I680" s="227"/>
      <c r="J680" s="227"/>
      <c r="K680" s="227"/>
      <c r="L680" s="227"/>
      <c r="M680" s="227"/>
      <c r="N680" s="227"/>
      <c r="O680" s="227"/>
      <c r="P680" s="227"/>
      <c r="Q680" s="227"/>
      <c r="R680" s="227"/>
      <c r="S680" s="227"/>
      <c r="T680" s="227"/>
      <c r="U680" s="227"/>
      <c r="V680" s="227"/>
      <c r="W680" s="227"/>
      <c r="X680" s="227"/>
      <c r="Y680" s="227"/>
      <c r="Z680" s="227"/>
      <c r="AA680" s="227"/>
      <c r="AB680" s="227"/>
      <c r="AC680" s="227"/>
      <c r="AD680" s="227"/>
      <c r="AE680" s="227"/>
      <c r="AF680" s="227"/>
      <c r="AG680" s="227"/>
      <c r="AH680" s="227"/>
      <c r="AI680" s="227"/>
      <c r="AJ680" s="227"/>
      <c r="AK680" s="227"/>
      <c r="AL680" s="227"/>
      <c r="AM680" s="227"/>
      <c r="AN680" s="227"/>
      <c r="AO680" s="227"/>
      <c r="AP680" s="227"/>
      <c r="AQ680" s="227"/>
      <c r="AR680" s="227"/>
      <c r="AS680" s="227"/>
      <c r="AT680" s="227"/>
      <c r="AU680" s="227"/>
      <c r="AV680" s="227"/>
      <c r="AW680" s="227"/>
      <c r="AX680" s="227"/>
      <c r="AY680" s="227"/>
      <c r="AZ680" s="227"/>
      <c r="BA680" s="227"/>
      <c r="BB680" s="227"/>
      <c r="BC680" s="227"/>
      <c r="BD680" s="227"/>
      <c r="BE680" s="227"/>
      <c r="BF680" s="227"/>
      <c r="BG680" s="227"/>
      <c r="BH680" s="227"/>
      <c r="BI680" s="227"/>
      <c r="BJ680" s="227"/>
      <c r="BK680" s="227"/>
      <c r="BL680" s="227"/>
      <c r="BM680" s="227"/>
      <c r="BN680" s="227"/>
      <c r="BO680" s="227"/>
      <c r="BP680" s="227"/>
      <c r="BQ680" s="227"/>
      <c r="BR680" s="227"/>
      <c r="BS680" s="227"/>
      <c r="BT680" s="227"/>
      <c r="BU680" s="227"/>
      <c r="BV680" s="227"/>
      <c r="BW680" s="227"/>
      <c r="BX680" s="227"/>
      <c r="BY680" s="227"/>
      <c r="BZ680" s="227"/>
      <c r="CA680" s="227"/>
      <c r="CB680" s="227"/>
      <c r="CC680" s="227"/>
      <c r="CD680" s="227"/>
      <c r="CE680" s="227"/>
      <c r="CF680" s="227"/>
      <c r="CG680" s="227"/>
      <c r="CH680" s="227"/>
      <c r="CI680" s="227"/>
      <c r="CJ680" s="227"/>
      <c r="CK680" s="227"/>
      <c r="CL680" s="227"/>
      <c r="CM680" s="227"/>
      <c r="CN680" s="227"/>
      <c r="CO680" s="227"/>
      <c r="CP680" s="227"/>
      <c r="CQ680" s="227"/>
      <c r="CR680" s="227"/>
      <c r="CS680" s="227"/>
      <c r="CT680" s="227"/>
      <c r="CU680" s="225"/>
      <c r="CV680" s="227"/>
    </row>
    <row r="681" spans="1:100" ht="20.100000000000001" customHeight="1">
      <c r="A681" s="227">
        <v>337</v>
      </c>
      <c r="B681" s="225"/>
      <c r="C681" s="227"/>
      <c r="D681" s="228">
        <f>(SUMPRODUCT(E681:CU681*$E$6:$CU$6)/100)+(SUMPRODUCT(E681:CU681*$E$6:$CU$6*$E$3:$CU$3)/100)</f>
        <v>0</v>
      </c>
      <c r="E681" s="227"/>
      <c r="F681" s="227"/>
      <c r="G681" s="227"/>
      <c r="H681" s="227"/>
      <c r="I681" s="227"/>
      <c r="J681" s="227"/>
      <c r="K681" s="227"/>
      <c r="L681" s="227"/>
      <c r="M681" s="227"/>
      <c r="N681" s="227"/>
      <c r="O681" s="227"/>
      <c r="P681" s="227"/>
      <c r="Q681" s="227"/>
      <c r="R681" s="227"/>
      <c r="S681" s="227"/>
      <c r="T681" s="227"/>
      <c r="U681" s="227"/>
      <c r="V681" s="227"/>
      <c r="W681" s="227"/>
      <c r="X681" s="227"/>
      <c r="Y681" s="227"/>
      <c r="Z681" s="227"/>
      <c r="AA681" s="227"/>
      <c r="AB681" s="227"/>
      <c r="AC681" s="227"/>
      <c r="AD681" s="227"/>
      <c r="AE681" s="227"/>
      <c r="AF681" s="227"/>
      <c r="AG681" s="227"/>
      <c r="AH681" s="227"/>
      <c r="AI681" s="227"/>
      <c r="AJ681" s="227"/>
      <c r="AK681" s="227"/>
      <c r="AL681" s="227"/>
      <c r="AM681" s="227"/>
      <c r="AN681" s="227"/>
      <c r="AO681" s="227"/>
      <c r="AP681" s="227"/>
      <c r="AQ681" s="227"/>
      <c r="AR681" s="227"/>
      <c r="AS681" s="227"/>
      <c r="AT681" s="227"/>
      <c r="AU681" s="227"/>
      <c r="AV681" s="227"/>
      <c r="AW681" s="227"/>
      <c r="AX681" s="227"/>
      <c r="AY681" s="227"/>
      <c r="AZ681" s="227"/>
      <c r="BA681" s="227"/>
      <c r="BB681" s="227"/>
      <c r="BC681" s="227"/>
      <c r="BD681" s="227"/>
      <c r="BE681" s="227"/>
      <c r="BF681" s="227"/>
      <c r="BG681" s="227"/>
      <c r="BH681" s="227"/>
      <c r="BI681" s="227"/>
      <c r="BJ681" s="227"/>
      <c r="BK681" s="227"/>
      <c r="BL681" s="227"/>
      <c r="BM681" s="227"/>
      <c r="BN681" s="227"/>
      <c r="BO681" s="227"/>
      <c r="BP681" s="227"/>
      <c r="BQ681" s="227"/>
      <c r="BR681" s="227"/>
      <c r="BS681" s="227"/>
      <c r="BT681" s="227"/>
      <c r="BU681" s="227"/>
      <c r="BV681" s="227"/>
      <c r="BW681" s="227"/>
      <c r="BX681" s="227"/>
      <c r="BY681" s="227"/>
      <c r="BZ681" s="227"/>
      <c r="CA681" s="227"/>
      <c r="CB681" s="227"/>
      <c r="CC681" s="227"/>
      <c r="CD681" s="227"/>
      <c r="CE681" s="227"/>
      <c r="CF681" s="227"/>
      <c r="CG681" s="227"/>
      <c r="CH681" s="227"/>
      <c r="CI681" s="227"/>
      <c r="CJ681" s="227"/>
      <c r="CK681" s="227"/>
      <c r="CL681" s="227"/>
      <c r="CM681" s="227"/>
      <c r="CN681" s="227"/>
      <c r="CO681" s="227"/>
      <c r="CP681" s="227"/>
      <c r="CQ681" s="227"/>
      <c r="CR681" s="227"/>
      <c r="CS681" s="227"/>
      <c r="CT681" s="227"/>
      <c r="CU681" s="225"/>
      <c r="CV681" s="227"/>
    </row>
    <row r="682" spans="1:100" ht="20.100000000000001" customHeight="1">
      <c r="A682" s="227"/>
      <c r="B682" s="225"/>
      <c r="C682" s="227"/>
      <c r="D682" s="224"/>
      <c r="E682" s="227"/>
      <c r="F682" s="227"/>
      <c r="G682" s="227"/>
      <c r="H682" s="227"/>
      <c r="I682" s="227"/>
      <c r="J682" s="227"/>
      <c r="K682" s="227"/>
      <c r="L682" s="227"/>
      <c r="M682" s="227"/>
      <c r="N682" s="227"/>
      <c r="O682" s="227"/>
      <c r="P682" s="227"/>
      <c r="Q682" s="227"/>
      <c r="R682" s="227"/>
      <c r="S682" s="227"/>
      <c r="T682" s="227"/>
      <c r="U682" s="227"/>
      <c r="V682" s="227"/>
      <c r="W682" s="227"/>
      <c r="X682" s="227"/>
      <c r="Y682" s="227"/>
      <c r="Z682" s="227"/>
      <c r="AA682" s="227"/>
      <c r="AB682" s="227"/>
      <c r="AC682" s="227"/>
      <c r="AD682" s="227"/>
      <c r="AE682" s="227"/>
      <c r="AF682" s="227"/>
      <c r="AG682" s="227"/>
      <c r="AH682" s="227"/>
      <c r="AI682" s="227"/>
      <c r="AJ682" s="227"/>
      <c r="AK682" s="227"/>
      <c r="AL682" s="227"/>
      <c r="AM682" s="227"/>
      <c r="AN682" s="227"/>
      <c r="AO682" s="227"/>
      <c r="AP682" s="227"/>
      <c r="AQ682" s="227"/>
      <c r="AR682" s="227"/>
      <c r="AS682" s="227"/>
      <c r="AT682" s="227"/>
      <c r="AU682" s="227"/>
      <c r="AV682" s="227"/>
      <c r="AW682" s="227"/>
      <c r="AX682" s="227"/>
      <c r="AY682" s="227"/>
      <c r="AZ682" s="227"/>
      <c r="BA682" s="227"/>
      <c r="BB682" s="227"/>
      <c r="BC682" s="227"/>
      <c r="BD682" s="227"/>
      <c r="BE682" s="227"/>
      <c r="BF682" s="227"/>
      <c r="BG682" s="227"/>
      <c r="BH682" s="227"/>
      <c r="BI682" s="227"/>
      <c r="BJ682" s="227"/>
      <c r="BK682" s="227"/>
      <c r="BL682" s="227"/>
      <c r="BM682" s="227"/>
      <c r="BN682" s="227"/>
      <c r="BO682" s="227"/>
      <c r="BP682" s="227"/>
      <c r="BQ682" s="227"/>
      <c r="BR682" s="227"/>
      <c r="BS682" s="227"/>
      <c r="BT682" s="227"/>
      <c r="BU682" s="227"/>
      <c r="BV682" s="227"/>
      <c r="BW682" s="227"/>
      <c r="BX682" s="227"/>
      <c r="BY682" s="227"/>
      <c r="BZ682" s="227"/>
      <c r="CA682" s="227"/>
      <c r="CB682" s="227"/>
      <c r="CC682" s="227"/>
      <c r="CD682" s="227"/>
      <c r="CE682" s="227"/>
      <c r="CF682" s="227"/>
      <c r="CG682" s="227"/>
      <c r="CH682" s="227"/>
      <c r="CI682" s="227"/>
      <c r="CJ682" s="227"/>
      <c r="CK682" s="227"/>
      <c r="CL682" s="227"/>
      <c r="CM682" s="227"/>
      <c r="CN682" s="227"/>
      <c r="CO682" s="227"/>
      <c r="CP682" s="227"/>
      <c r="CQ682" s="227"/>
      <c r="CR682" s="227"/>
      <c r="CS682" s="227"/>
      <c r="CT682" s="227"/>
      <c r="CU682" s="225"/>
      <c r="CV682" s="227"/>
    </row>
    <row r="683" spans="1:100" ht="20.100000000000001" customHeight="1">
      <c r="A683" s="227">
        <v>338</v>
      </c>
      <c r="B683" s="225"/>
      <c r="C683" s="227"/>
      <c r="D683" s="228">
        <f>(SUMPRODUCT(E683:CU683*$E$6:$CU$6)/100)+(SUMPRODUCT(E683:CU683*$E$6:$CU$6*$E$3:$CU$3)/100)</f>
        <v>0</v>
      </c>
      <c r="E683" s="227"/>
      <c r="F683" s="227"/>
      <c r="G683" s="227"/>
      <c r="H683" s="227"/>
      <c r="I683" s="227"/>
      <c r="J683" s="227"/>
      <c r="K683" s="227"/>
      <c r="L683" s="227"/>
      <c r="M683" s="227"/>
      <c r="N683" s="227"/>
      <c r="O683" s="227"/>
      <c r="P683" s="227"/>
      <c r="Q683" s="227"/>
      <c r="R683" s="227"/>
      <c r="S683" s="227"/>
      <c r="T683" s="227"/>
      <c r="U683" s="227"/>
      <c r="V683" s="227"/>
      <c r="W683" s="227"/>
      <c r="X683" s="227"/>
      <c r="Y683" s="227"/>
      <c r="Z683" s="227"/>
      <c r="AA683" s="227"/>
      <c r="AB683" s="227"/>
      <c r="AC683" s="227"/>
      <c r="AD683" s="227"/>
      <c r="AE683" s="227"/>
      <c r="AF683" s="227"/>
      <c r="AG683" s="227"/>
      <c r="AH683" s="227"/>
      <c r="AI683" s="227"/>
      <c r="AJ683" s="227"/>
      <c r="AK683" s="227"/>
      <c r="AL683" s="227"/>
      <c r="AM683" s="227"/>
      <c r="AN683" s="227"/>
      <c r="AO683" s="227"/>
      <c r="AP683" s="227"/>
      <c r="AQ683" s="227"/>
      <c r="AR683" s="227"/>
      <c r="AS683" s="227"/>
      <c r="AT683" s="227"/>
      <c r="AU683" s="227"/>
      <c r="AV683" s="227"/>
      <c r="AW683" s="227"/>
      <c r="AX683" s="227"/>
      <c r="AY683" s="227"/>
      <c r="AZ683" s="227"/>
      <c r="BA683" s="227"/>
      <c r="BB683" s="227"/>
      <c r="BC683" s="227"/>
      <c r="BD683" s="227"/>
      <c r="BE683" s="227"/>
      <c r="BF683" s="227"/>
      <c r="BG683" s="227"/>
      <c r="BH683" s="227"/>
      <c r="BI683" s="227"/>
      <c r="BJ683" s="227"/>
      <c r="BK683" s="227"/>
      <c r="BL683" s="227"/>
      <c r="BM683" s="227"/>
      <c r="BN683" s="227"/>
      <c r="BO683" s="227"/>
      <c r="BP683" s="227"/>
      <c r="BQ683" s="227"/>
      <c r="BR683" s="227"/>
      <c r="BS683" s="227"/>
      <c r="BT683" s="227"/>
      <c r="BU683" s="227"/>
      <c r="BV683" s="227"/>
      <c r="BW683" s="227"/>
      <c r="BX683" s="227"/>
      <c r="BY683" s="227"/>
      <c r="BZ683" s="227"/>
      <c r="CA683" s="227"/>
      <c r="CB683" s="227"/>
      <c r="CC683" s="227"/>
      <c r="CD683" s="227"/>
      <c r="CE683" s="227"/>
      <c r="CF683" s="227"/>
      <c r="CG683" s="227"/>
      <c r="CH683" s="227"/>
      <c r="CI683" s="227"/>
      <c r="CJ683" s="227"/>
      <c r="CK683" s="227"/>
      <c r="CL683" s="227"/>
      <c r="CM683" s="227"/>
      <c r="CN683" s="227"/>
      <c r="CO683" s="227"/>
      <c r="CP683" s="227"/>
      <c r="CQ683" s="227"/>
      <c r="CR683" s="227"/>
      <c r="CS683" s="227"/>
      <c r="CT683" s="227"/>
      <c r="CU683" s="225"/>
      <c r="CV683" s="227"/>
    </row>
    <row r="684" spans="1:100" ht="20.100000000000001" customHeight="1">
      <c r="A684" s="223"/>
      <c r="B684" s="225"/>
      <c r="C684" s="227"/>
      <c r="D684" s="224"/>
      <c r="E684" s="227"/>
      <c r="F684" s="227"/>
      <c r="G684" s="227"/>
      <c r="H684" s="227"/>
      <c r="I684" s="227"/>
      <c r="J684" s="227"/>
      <c r="K684" s="227"/>
      <c r="L684" s="227"/>
      <c r="M684" s="227"/>
      <c r="N684" s="227"/>
      <c r="O684" s="227"/>
      <c r="P684" s="227"/>
      <c r="Q684" s="227"/>
      <c r="R684" s="227"/>
      <c r="S684" s="227"/>
      <c r="T684" s="227"/>
      <c r="U684" s="227"/>
      <c r="V684" s="227"/>
      <c r="W684" s="227"/>
      <c r="X684" s="227"/>
      <c r="Y684" s="227"/>
      <c r="Z684" s="227"/>
      <c r="AA684" s="227"/>
      <c r="AB684" s="227"/>
      <c r="AC684" s="227"/>
      <c r="AD684" s="227"/>
      <c r="AE684" s="227"/>
      <c r="AF684" s="227"/>
      <c r="AG684" s="227"/>
      <c r="AH684" s="227"/>
      <c r="AI684" s="227"/>
      <c r="AJ684" s="227"/>
      <c r="AK684" s="227"/>
      <c r="AL684" s="227"/>
      <c r="AM684" s="227"/>
      <c r="AN684" s="227"/>
      <c r="AO684" s="227"/>
      <c r="AP684" s="227"/>
      <c r="AQ684" s="227"/>
      <c r="AR684" s="227"/>
      <c r="AS684" s="227"/>
      <c r="AT684" s="227"/>
      <c r="AU684" s="227"/>
      <c r="AV684" s="227"/>
      <c r="AW684" s="227"/>
      <c r="AX684" s="227"/>
      <c r="AY684" s="227"/>
      <c r="AZ684" s="227"/>
      <c r="BA684" s="227"/>
      <c r="BB684" s="227"/>
      <c r="BC684" s="227"/>
      <c r="BD684" s="227"/>
      <c r="BE684" s="227"/>
      <c r="BF684" s="227"/>
      <c r="BG684" s="227"/>
      <c r="BH684" s="227"/>
      <c r="BI684" s="227"/>
      <c r="BJ684" s="227"/>
      <c r="BK684" s="227"/>
      <c r="BL684" s="227"/>
      <c r="BM684" s="227"/>
      <c r="BN684" s="227"/>
      <c r="BO684" s="227"/>
      <c r="BP684" s="227"/>
      <c r="BQ684" s="227"/>
      <c r="BR684" s="227"/>
      <c r="BS684" s="227"/>
      <c r="BT684" s="227"/>
      <c r="BU684" s="227"/>
      <c r="BV684" s="227"/>
      <c r="BW684" s="227"/>
      <c r="BX684" s="227"/>
      <c r="BY684" s="227"/>
      <c r="BZ684" s="227"/>
      <c r="CA684" s="227"/>
      <c r="CB684" s="227"/>
      <c r="CC684" s="227"/>
      <c r="CD684" s="227"/>
      <c r="CE684" s="227"/>
      <c r="CF684" s="227"/>
      <c r="CG684" s="227"/>
      <c r="CH684" s="227"/>
      <c r="CI684" s="227"/>
      <c r="CJ684" s="227"/>
      <c r="CK684" s="227"/>
      <c r="CL684" s="227"/>
      <c r="CM684" s="227"/>
      <c r="CN684" s="227"/>
      <c r="CO684" s="227"/>
      <c r="CP684" s="227"/>
      <c r="CQ684" s="227"/>
      <c r="CR684" s="227"/>
      <c r="CS684" s="227"/>
      <c r="CT684" s="227"/>
      <c r="CU684" s="225"/>
      <c r="CV684" s="227"/>
    </row>
    <row r="685" spans="1:100" ht="20.100000000000001" customHeight="1">
      <c r="A685" s="227">
        <v>339</v>
      </c>
      <c r="B685" s="225"/>
      <c r="C685" s="227"/>
      <c r="D685" s="228">
        <f>(SUMPRODUCT(E685:CU685*$E$6:$CU$6)/100)+(SUMPRODUCT(E685:CU685*$E$6:$CU$6*$E$3:$CU$3)/100)</f>
        <v>0</v>
      </c>
      <c r="E685" s="227"/>
      <c r="F685" s="227"/>
      <c r="G685" s="227"/>
      <c r="H685" s="227"/>
      <c r="I685" s="227"/>
      <c r="J685" s="227"/>
      <c r="K685" s="227"/>
      <c r="L685" s="227"/>
      <c r="M685" s="227"/>
      <c r="N685" s="227"/>
      <c r="O685" s="227"/>
      <c r="P685" s="227"/>
      <c r="Q685" s="227"/>
      <c r="R685" s="227"/>
      <c r="S685" s="227"/>
      <c r="T685" s="227"/>
      <c r="U685" s="227"/>
      <c r="V685" s="227"/>
      <c r="W685" s="227"/>
      <c r="X685" s="227"/>
      <c r="Y685" s="227"/>
      <c r="Z685" s="227"/>
      <c r="AA685" s="227"/>
      <c r="AB685" s="227"/>
      <c r="AC685" s="227"/>
      <c r="AD685" s="227"/>
      <c r="AE685" s="227"/>
      <c r="AF685" s="227"/>
      <c r="AG685" s="227"/>
      <c r="AH685" s="227"/>
      <c r="AI685" s="227"/>
      <c r="AJ685" s="227"/>
      <c r="AK685" s="227"/>
      <c r="AL685" s="227"/>
      <c r="AM685" s="227"/>
      <c r="AN685" s="227"/>
      <c r="AO685" s="227"/>
      <c r="AP685" s="227"/>
      <c r="AQ685" s="227"/>
      <c r="AR685" s="227"/>
      <c r="AS685" s="227"/>
      <c r="AT685" s="227"/>
      <c r="AU685" s="227"/>
      <c r="AV685" s="227"/>
      <c r="AW685" s="227"/>
      <c r="AX685" s="227"/>
      <c r="AY685" s="227"/>
      <c r="AZ685" s="227"/>
      <c r="BA685" s="227"/>
      <c r="BB685" s="227"/>
      <c r="BC685" s="227"/>
      <c r="BD685" s="227"/>
      <c r="BE685" s="227"/>
      <c r="BF685" s="227"/>
      <c r="BG685" s="227"/>
      <c r="BH685" s="227"/>
      <c r="BI685" s="227"/>
      <c r="BJ685" s="227"/>
      <c r="BK685" s="227"/>
      <c r="BL685" s="227"/>
      <c r="BM685" s="227"/>
      <c r="BN685" s="227"/>
      <c r="BO685" s="227"/>
      <c r="BP685" s="227"/>
      <c r="BQ685" s="227"/>
      <c r="BR685" s="227"/>
      <c r="BS685" s="227"/>
      <c r="BT685" s="227"/>
      <c r="BU685" s="227"/>
      <c r="BV685" s="227"/>
      <c r="BW685" s="227"/>
      <c r="BX685" s="227"/>
      <c r="BY685" s="227"/>
      <c r="BZ685" s="227"/>
      <c r="CA685" s="227"/>
      <c r="CB685" s="227"/>
      <c r="CC685" s="227"/>
      <c r="CD685" s="227"/>
      <c r="CE685" s="227"/>
      <c r="CF685" s="227"/>
      <c r="CG685" s="227"/>
      <c r="CH685" s="227"/>
      <c r="CI685" s="227"/>
      <c r="CJ685" s="227"/>
      <c r="CK685" s="227"/>
      <c r="CL685" s="227"/>
      <c r="CM685" s="227"/>
      <c r="CN685" s="227"/>
      <c r="CO685" s="227"/>
      <c r="CP685" s="227"/>
      <c r="CQ685" s="227"/>
      <c r="CR685" s="227"/>
      <c r="CS685" s="227"/>
      <c r="CT685" s="227"/>
      <c r="CU685" s="225"/>
      <c r="CV685" s="227"/>
    </row>
    <row r="686" spans="1:100" ht="20.100000000000001" customHeight="1">
      <c r="A686" s="227"/>
      <c r="B686" s="225"/>
      <c r="C686" s="227"/>
      <c r="D686" s="224"/>
      <c r="E686" s="227"/>
      <c r="F686" s="227"/>
      <c r="G686" s="227"/>
      <c r="H686" s="227"/>
      <c r="I686" s="227"/>
      <c r="J686" s="227"/>
      <c r="K686" s="227"/>
      <c r="L686" s="227"/>
      <c r="M686" s="227"/>
      <c r="N686" s="227"/>
      <c r="O686" s="227"/>
      <c r="P686" s="227"/>
      <c r="Q686" s="227"/>
      <c r="R686" s="227"/>
      <c r="S686" s="227"/>
      <c r="T686" s="227"/>
      <c r="U686" s="227"/>
      <c r="V686" s="227"/>
      <c r="W686" s="227"/>
      <c r="X686" s="227"/>
      <c r="Y686" s="227"/>
      <c r="Z686" s="227"/>
      <c r="AA686" s="227"/>
      <c r="AB686" s="227"/>
      <c r="AC686" s="227"/>
      <c r="AD686" s="227"/>
      <c r="AE686" s="227"/>
      <c r="AF686" s="227"/>
      <c r="AG686" s="227"/>
      <c r="AH686" s="227"/>
      <c r="AI686" s="227"/>
      <c r="AJ686" s="227"/>
      <c r="AK686" s="227"/>
      <c r="AL686" s="227"/>
      <c r="AM686" s="227"/>
      <c r="AN686" s="227"/>
      <c r="AO686" s="227"/>
      <c r="AP686" s="227"/>
      <c r="AQ686" s="227"/>
      <c r="AR686" s="227"/>
      <c r="AS686" s="227"/>
      <c r="AT686" s="227"/>
      <c r="AU686" s="227"/>
      <c r="AV686" s="227"/>
      <c r="AW686" s="227"/>
      <c r="AX686" s="227"/>
      <c r="AY686" s="227"/>
      <c r="AZ686" s="227"/>
      <c r="BA686" s="227"/>
      <c r="BB686" s="227"/>
      <c r="BC686" s="227"/>
      <c r="BD686" s="227"/>
      <c r="BE686" s="227"/>
      <c r="BF686" s="227"/>
      <c r="BG686" s="227"/>
      <c r="BH686" s="227"/>
      <c r="BI686" s="227"/>
      <c r="BJ686" s="227"/>
      <c r="BK686" s="227"/>
      <c r="BL686" s="227"/>
      <c r="BM686" s="227"/>
      <c r="BN686" s="227"/>
      <c r="BO686" s="227"/>
      <c r="BP686" s="227"/>
      <c r="BQ686" s="227"/>
      <c r="BR686" s="227"/>
      <c r="BS686" s="227"/>
      <c r="BT686" s="227"/>
      <c r="BU686" s="227"/>
      <c r="BV686" s="227"/>
      <c r="BW686" s="227"/>
      <c r="BX686" s="227"/>
      <c r="BY686" s="227"/>
      <c r="BZ686" s="227"/>
      <c r="CA686" s="227"/>
      <c r="CB686" s="227"/>
      <c r="CC686" s="227"/>
      <c r="CD686" s="227"/>
      <c r="CE686" s="227"/>
      <c r="CF686" s="227"/>
      <c r="CG686" s="227"/>
      <c r="CH686" s="227"/>
      <c r="CI686" s="227"/>
      <c r="CJ686" s="227"/>
      <c r="CK686" s="227"/>
      <c r="CL686" s="227"/>
      <c r="CM686" s="227"/>
      <c r="CN686" s="227"/>
      <c r="CO686" s="227"/>
      <c r="CP686" s="227"/>
      <c r="CQ686" s="227"/>
      <c r="CR686" s="227"/>
      <c r="CS686" s="227"/>
      <c r="CT686" s="227"/>
      <c r="CU686" s="225"/>
      <c r="CV686" s="227"/>
    </row>
    <row r="687" spans="1:100" ht="20.100000000000001" customHeight="1">
      <c r="A687" s="227">
        <v>340</v>
      </c>
      <c r="B687" s="225"/>
      <c r="C687" s="227"/>
      <c r="D687" s="228">
        <f>(SUMPRODUCT(E687:CU687*$E$6:$CU$6)/100)+(SUMPRODUCT(E687:CU687*$E$6:$CU$6*$E$3:$CU$3)/100)</f>
        <v>0</v>
      </c>
      <c r="E687" s="227"/>
      <c r="F687" s="227"/>
      <c r="G687" s="227"/>
      <c r="H687" s="227"/>
      <c r="I687" s="227"/>
      <c r="J687" s="227"/>
      <c r="K687" s="227"/>
      <c r="L687" s="227"/>
      <c r="M687" s="227"/>
      <c r="N687" s="227"/>
      <c r="O687" s="227"/>
      <c r="P687" s="227"/>
      <c r="Q687" s="227"/>
      <c r="R687" s="227"/>
      <c r="S687" s="227"/>
      <c r="T687" s="227"/>
      <c r="U687" s="227"/>
      <c r="V687" s="227"/>
      <c r="W687" s="227"/>
      <c r="X687" s="227"/>
      <c r="Y687" s="227"/>
      <c r="Z687" s="227"/>
      <c r="AA687" s="227"/>
      <c r="AB687" s="227"/>
      <c r="AC687" s="227"/>
      <c r="AD687" s="227"/>
      <c r="AE687" s="227"/>
      <c r="AF687" s="227"/>
      <c r="AG687" s="227"/>
      <c r="AH687" s="227"/>
      <c r="AI687" s="227"/>
      <c r="AJ687" s="227"/>
      <c r="AK687" s="227"/>
      <c r="AL687" s="227"/>
      <c r="AM687" s="227"/>
      <c r="AN687" s="227"/>
      <c r="AO687" s="227"/>
      <c r="AP687" s="227"/>
      <c r="AQ687" s="227"/>
      <c r="AR687" s="227"/>
      <c r="AS687" s="227"/>
      <c r="AT687" s="227"/>
      <c r="AU687" s="227"/>
      <c r="AV687" s="227"/>
      <c r="AW687" s="227"/>
      <c r="AX687" s="227"/>
      <c r="AY687" s="227"/>
      <c r="AZ687" s="227"/>
      <c r="BA687" s="227"/>
      <c r="BB687" s="227"/>
      <c r="BC687" s="227"/>
      <c r="BD687" s="227"/>
      <c r="BE687" s="227"/>
      <c r="BF687" s="227"/>
      <c r="BG687" s="227"/>
      <c r="BH687" s="227"/>
      <c r="BI687" s="227"/>
      <c r="BJ687" s="227"/>
      <c r="BK687" s="227"/>
      <c r="BL687" s="227"/>
      <c r="BM687" s="227"/>
      <c r="BN687" s="227"/>
      <c r="BO687" s="227"/>
      <c r="BP687" s="227"/>
      <c r="BQ687" s="227"/>
      <c r="BR687" s="227"/>
      <c r="BS687" s="227"/>
      <c r="BT687" s="227"/>
      <c r="BU687" s="227"/>
      <c r="BV687" s="227"/>
      <c r="BW687" s="227"/>
      <c r="BX687" s="227"/>
      <c r="BY687" s="227"/>
      <c r="BZ687" s="227"/>
      <c r="CA687" s="227"/>
      <c r="CB687" s="227"/>
      <c r="CC687" s="227"/>
      <c r="CD687" s="227"/>
      <c r="CE687" s="227"/>
      <c r="CF687" s="227"/>
      <c r="CG687" s="227"/>
      <c r="CH687" s="227"/>
      <c r="CI687" s="227"/>
      <c r="CJ687" s="227"/>
      <c r="CK687" s="227"/>
      <c r="CL687" s="227"/>
      <c r="CM687" s="227"/>
      <c r="CN687" s="227"/>
      <c r="CO687" s="227"/>
      <c r="CP687" s="227"/>
      <c r="CQ687" s="227"/>
      <c r="CR687" s="227"/>
      <c r="CS687" s="227"/>
      <c r="CT687" s="227"/>
      <c r="CU687" s="225"/>
      <c r="CV687" s="227"/>
    </row>
    <row r="688" spans="1:100" ht="20.100000000000001" customHeight="1">
      <c r="A688" s="223"/>
      <c r="B688" s="225"/>
      <c r="C688" s="227"/>
      <c r="D688" s="224"/>
      <c r="E688" s="227"/>
      <c r="F688" s="227"/>
      <c r="G688" s="227"/>
      <c r="H688" s="227"/>
      <c r="I688" s="227"/>
      <c r="J688" s="227"/>
      <c r="K688" s="227"/>
      <c r="L688" s="227"/>
      <c r="M688" s="227"/>
      <c r="N688" s="227"/>
      <c r="O688" s="227"/>
      <c r="P688" s="227"/>
      <c r="Q688" s="227"/>
      <c r="R688" s="227"/>
      <c r="S688" s="227"/>
      <c r="T688" s="227"/>
      <c r="U688" s="227"/>
      <c r="V688" s="227"/>
      <c r="W688" s="227"/>
      <c r="X688" s="227"/>
      <c r="Y688" s="227"/>
      <c r="Z688" s="227"/>
      <c r="AA688" s="227"/>
      <c r="AB688" s="227"/>
      <c r="AC688" s="227"/>
      <c r="AD688" s="227"/>
      <c r="AE688" s="227"/>
      <c r="AF688" s="227"/>
      <c r="AG688" s="227"/>
      <c r="AH688" s="227"/>
      <c r="AI688" s="227"/>
      <c r="AJ688" s="227"/>
      <c r="AK688" s="227"/>
      <c r="AL688" s="227"/>
      <c r="AM688" s="227"/>
      <c r="AN688" s="227"/>
      <c r="AO688" s="227"/>
      <c r="AP688" s="227"/>
      <c r="AQ688" s="227"/>
      <c r="AR688" s="227"/>
      <c r="AS688" s="227"/>
      <c r="AT688" s="227"/>
      <c r="AU688" s="227"/>
      <c r="AV688" s="227"/>
      <c r="AW688" s="227"/>
      <c r="AX688" s="227"/>
      <c r="AY688" s="227"/>
      <c r="AZ688" s="227"/>
      <c r="BA688" s="227"/>
      <c r="BB688" s="227"/>
      <c r="BC688" s="227"/>
      <c r="BD688" s="227"/>
      <c r="BE688" s="227"/>
      <c r="BF688" s="227"/>
      <c r="BG688" s="227"/>
      <c r="BH688" s="227"/>
      <c r="BI688" s="227"/>
      <c r="BJ688" s="227"/>
      <c r="BK688" s="227"/>
      <c r="BL688" s="227"/>
      <c r="BM688" s="227"/>
      <c r="BN688" s="227"/>
      <c r="BO688" s="227"/>
      <c r="BP688" s="227"/>
      <c r="BQ688" s="227"/>
      <c r="BR688" s="227"/>
      <c r="BS688" s="227"/>
      <c r="BT688" s="227"/>
      <c r="BU688" s="227"/>
      <c r="BV688" s="227"/>
      <c r="BW688" s="227"/>
      <c r="BX688" s="227"/>
      <c r="BY688" s="227"/>
      <c r="BZ688" s="227"/>
      <c r="CA688" s="227"/>
      <c r="CB688" s="227"/>
      <c r="CC688" s="227"/>
      <c r="CD688" s="227"/>
      <c r="CE688" s="227"/>
      <c r="CF688" s="227"/>
      <c r="CG688" s="227"/>
      <c r="CH688" s="227"/>
      <c r="CI688" s="227"/>
      <c r="CJ688" s="227"/>
      <c r="CK688" s="227"/>
      <c r="CL688" s="227"/>
      <c r="CM688" s="227"/>
      <c r="CN688" s="227"/>
      <c r="CO688" s="227"/>
      <c r="CP688" s="227"/>
      <c r="CQ688" s="227"/>
      <c r="CR688" s="227"/>
      <c r="CS688" s="227"/>
      <c r="CT688" s="227"/>
      <c r="CU688" s="225"/>
      <c r="CV688" s="227"/>
    </row>
    <row r="689" spans="1:100" ht="20.100000000000001" customHeight="1">
      <c r="A689" s="227">
        <v>341</v>
      </c>
      <c r="B689" s="225"/>
      <c r="C689" s="227"/>
      <c r="D689" s="228">
        <f>(SUMPRODUCT(E689:CU689*$E$6:$CU$6)/100)+(SUMPRODUCT(E689:CU689*$E$6:$CU$6*$E$3:$CU$3)/100)</f>
        <v>0</v>
      </c>
      <c r="E689" s="227"/>
      <c r="F689" s="227"/>
      <c r="G689" s="227"/>
      <c r="H689" s="227"/>
      <c r="I689" s="227"/>
      <c r="J689" s="227"/>
      <c r="K689" s="227"/>
      <c r="L689" s="227"/>
      <c r="M689" s="227"/>
      <c r="N689" s="227"/>
      <c r="O689" s="227"/>
      <c r="P689" s="227"/>
      <c r="Q689" s="227"/>
      <c r="R689" s="227"/>
      <c r="S689" s="227"/>
      <c r="T689" s="227"/>
      <c r="U689" s="227"/>
      <c r="V689" s="227"/>
      <c r="W689" s="227"/>
      <c r="X689" s="227"/>
      <c r="Y689" s="227"/>
      <c r="Z689" s="227"/>
      <c r="AA689" s="227"/>
      <c r="AB689" s="227"/>
      <c r="AC689" s="227"/>
      <c r="AD689" s="227"/>
      <c r="AE689" s="227"/>
      <c r="AF689" s="227"/>
      <c r="AG689" s="227"/>
      <c r="AH689" s="227"/>
      <c r="AI689" s="227"/>
      <c r="AJ689" s="227"/>
      <c r="AK689" s="227"/>
      <c r="AL689" s="227"/>
      <c r="AM689" s="227"/>
      <c r="AN689" s="227"/>
      <c r="AO689" s="227"/>
      <c r="AP689" s="227"/>
      <c r="AQ689" s="227"/>
      <c r="AR689" s="227"/>
      <c r="AS689" s="227"/>
      <c r="AT689" s="227"/>
      <c r="AU689" s="227"/>
      <c r="AV689" s="227"/>
      <c r="AW689" s="227"/>
      <c r="AX689" s="227"/>
      <c r="AY689" s="227"/>
      <c r="AZ689" s="227"/>
      <c r="BA689" s="227"/>
      <c r="BB689" s="227"/>
      <c r="BC689" s="227"/>
      <c r="BD689" s="227"/>
      <c r="BE689" s="227"/>
      <c r="BF689" s="227"/>
      <c r="BG689" s="227"/>
      <c r="BH689" s="227"/>
      <c r="BI689" s="227"/>
      <c r="BJ689" s="227"/>
      <c r="BK689" s="227"/>
      <c r="BL689" s="227"/>
      <c r="BM689" s="227"/>
      <c r="BN689" s="227"/>
      <c r="BO689" s="227"/>
      <c r="BP689" s="227"/>
      <c r="BQ689" s="227"/>
      <c r="BR689" s="227"/>
      <c r="BS689" s="227"/>
      <c r="BT689" s="227"/>
      <c r="BU689" s="227"/>
      <c r="BV689" s="227"/>
      <c r="BW689" s="227"/>
      <c r="BX689" s="227"/>
      <c r="BY689" s="227"/>
      <c r="BZ689" s="227"/>
      <c r="CA689" s="227"/>
      <c r="CB689" s="227"/>
      <c r="CC689" s="227"/>
      <c r="CD689" s="227"/>
      <c r="CE689" s="227"/>
      <c r="CF689" s="227"/>
      <c r="CG689" s="227"/>
      <c r="CH689" s="227"/>
      <c r="CI689" s="227"/>
      <c r="CJ689" s="227"/>
      <c r="CK689" s="227"/>
      <c r="CL689" s="227"/>
      <c r="CM689" s="227"/>
      <c r="CN689" s="227"/>
      <c r="CO689" s="227"/>
      <c r="CP689" s="227"/>
      <c r="CQ689" s="227"/>
      <c r="CR689" s="227"/>
      <c r="CS689" s="227"/>
      <c r="CT689" s="227"/>
      <c r="CU689" s="225"/>
      <c r="CV689" s="227"/>
    </row>
    <row r="690" spans="1:100" ht="20.100000000000001" customHeight="1">
      <c r="A690" s="227"/>
      <c r="B690" s="225"/>
      <c r="C690" s="227"/>
      <c r="D690" s="224"/>
      <c r="E690" s="227"/>
      <c r="F690" s="227"/>
      <c r="G690" s="227"/>
      <c r="H690" s="227"/>
      <c r="I690" s="227"/>
      <c r="J690" s="227"/>
      <c r="K690" s="227"/>
      <c r="L690" s="227"/>
      <c r="M690" s="227"/>
      <c r="N690" s="227"/>
      <c r="O690" s="227"/>
      <c r="P690" s="227"/>
      <c r="Q690" s="227"/>
      <c r="R690" s="227"/>
      <c r="S690" s="227"/>
      <c r="T690" s="227"/>
      <c r="U690" s="227"/>
      <c r="V690" s="227"/>
      <c r="W690" s="227"/>
      <c r="X690" s="227"/>
      <c r="Y690" s="227"/>
      <c r="Z690" s="227"/>
      <c r="AA690" s="227"/>
      <c r="AB690" s="227"/>
      <c r="AC690" s="227"/>
      <c r="AD690" s="227"/>
      <c r="AE690" s="227"/>
      <c r="AF690" s="227"/>
      <c r="AG690" s="227"/>
      <c r="AH690" s="227"/>
      <c r="AI690" s="227"/>
      <c r="AJ690" s="227"/>
      <c r="AK690" s="227"/>
      <c r="AL690" s="227"/>
      <c r="AM690" s="227"/>
      <c r="AN690" s="227"/>
      <c r="AO690" s="227"/>
      <c r="AP690" s="227"/>
      <c r="AQ690" s="227"/>
      <c r="AR690" s="227"/>
      <c r="AS690" s="227"/>
      <c r="AT690" s="227"/>
      <c r="AU690" s="227"/>
      <c r="AV690" s="227"/>
      <c r="AW690" s="227"/>
      <c r="AX690" s="227"/>
      <c r="AY690" s="227"/>
      <c r="AZ690" s="227"/>
      <c r="BA690" s="227"/>
      <c r="BB690" s="227"/>
      <c r="BC690" s="227"/>
      <c r="BD690" s="227"/>
      <c r="BE690" s="227"/>
      <c r="BF690" s="227"/>
      <c r="BG690" s="227"/>
      <c r="BH690" s="227"/>
      <c r="BI690" s="227"/>
      <c r="BJ690" s="227"/>
      <c r="BK690" s="227"/>
      <c r="BL690" s="227"/>
      <c r="BM690" s="227"/>
      <c r="BN690" s="227"/>
      <c r="BO690" s="227"/>
      <c r="BP690" s="227"/>
      <c r="BQ690" s="227"/>
      <c r="BR690" s="227"/>
      <c r="BS690" s="227"/>
      <c r="BT690" s="227"/>
      <c r="BU690" s="227"/>
      <c r="BV690" s="227"/>
      <c r="BW690" s="227"/>
      <c r="BX690" s="227"/>
      <c r="BY690" s="227"/>
      <c r="BZ690" s="227"/>
      <c r="CA690" s="227"/>
      <c r="CB690" s="227"/>
      <c r="CC690" s="227"/>
      <c r="CD690" s="227"/>
      <c r="CE690" s="227"/>
      <c r="CF690" s="227"/>
      <c r="CG690" s="227"/>
      <c r="CH690" s="227"/>
      <c r="CI690" s="227"/>
      <c r="CJ690" s="227"/>
      <c r="CK690" s="227"/>
      <c r="CL690" s="227"/>
      <c r="CM690" s="227"/>
      <c r="CN690" s="227"/>
      <c r="CO690" s="227"/>
      <c r="CP690" s="227"/>
      <c r="CQ690" s="227"/>
      <c r="CR690" s="227"/>
      <c r="CS690" s="227"/>
      <c r="CT690" s="227"/>
      <c r="CU690" s="225"/>
      <c r="CV690" s="227"/>
    </row>
    <row r="691" spans="1:100" ht="20.100000000000001" customHeight="1">
      <c r="A691" s="227">
        <v>342</v>
      </c>
      <c r="B691" s="225"/>
      <c r="C691" s="227"/>
      <c r="D691" s="228">
        <f>(SUMPRODUCT(E691:CU691*$E$6:$CU$6)/100)+(SUMPRODUCT(E691:CU691*$E$6:$CU$6*$E$3:$CU$3)/100)</f>
        <v>0</v>
      </c>
      <c r="E691" s="227"/>
      <c r="F691" s="227"/>
      <c r="G691" s="227"/>
      <c r="H691" s="227"/>
      <c r="I691" s="227"/>
      <c r="J691" s="227"/>
      <c r="K691" s="227"/>
      <c r="L691" s="227"/>
      <c r="M691" s="227"/>
      <c r="N691" s="227"/>
      <c r="O691" s="227"/>
      <c r="P691" s="227"/>
      <c r="Q691" s="227"/>
      <c r="R691" s="227"/>
      <c r="S691" s="227"/>
      <c r="T691" s="227"/>
      <c r="U691" s="227"/>
      <c r="V691" s="227"/>
      <c r="W691" s="227"/>
      <c r="X691" s="227"/>
      <c r="Y691" s="227"/>
      <c r="Z691" s="227"/>
      <c r="AA691" s="227"/>
      <c r="AB691" s="227"/>
      <c r="AC691" s="227"/>
      <c r="AD691" s="227"/>
      <c r="AE691" s="227"/>
      <c r="AF691" s="227"/>
      <c r="AG691" s="227"/>
      <c r="AH691" s="227"/>
      <c r="AI691" s="227"/>
      <c r="AJ691" s="227"/>
      <c r="AK691" s="227"/>
      <c r="AL691" s="227"/>
      <c r="AM691" s="227"/>
      <c r="AN691" s="227"/>
      <c r="AO691" s="227"/>
      <c r="AP691" s="227"/>
      <c r="AQ691" s="227"/>
      <c r="AR691" s="227"/>
      <c r="AS691" s="227"/>
      <c r="AT691" s="227"/>
      <c r="AU691" s="227"/>
      <c r="AV691" s="227"/>
      <c r="AW691" s="227"/>
      <c r="AX691" s="227"/>
      <c r="AY691" s="227"/>
      <c r="AZ691" s="227"/>
      <c r="BA691" s="227"/>
      <c r="BB691" s="227"/>
      <c r="BC691" s="227"/>
      <c r="BD691" s="227"/>
      <c r="BE691" s="227"/>
      <c r="BF691" s="227"/>
      <c r="BG691" s="227"/>
      <c r="BH691" s="227"/>
      <c r="BI691" s="227"/>
      <c r="BJ691" s="227"/>
      <c r="BK691" s="227"/>
      <c r="BL691" s="227"/>
      <c r="BM691" s="227"/>
      <c r="BN691" s="227"/>
      <c r="BO691" s="227"/>
      <c r="BP691" s="227"/>
      <c r="BQ691" s="227"/>
      <c r="BR691" s="227"/>
      <c r="BS691" s="227"/>
      <c r="BT691" s="227"/>
      <c r="BU691" s="227"/>
      <c r="BV691" s="227"/>
      <c r="BW691" s="227"/>
      <c r="BX691" s="227"/>
      <c r="BY691" s="227"/>
      <c r="BZ691" s="227"/>
      <c r="CA691" s="227"/>
      <c r="CB691" s="227"/>
      <c r="CC691" s="227"/>
      <c r="CD691" s="227"/>
      <c r="CE691" s="227"/>
      <c r="CF691" s="227"/>
      <c r="CG691" s="227"/>
      <c r="CH691" s="227"/>
      <c r="CI691" s="227"/>
      <c r="CJ691" s="227"/>
      <c r="CK691" s="227"/>
      <c r="CL691" s="227"/>
      <c r="CM691" s="227"/>
      <c r="CN691" s="227"/>
      <c r="CO691" s="227"/>
      <c r="CP691" s="227"/>
      <c r="CQ691" s="227"/>
      <c r="CR691" s="227"/>
      <c r="CS691" s="227"/>
      <c r="CT691" s="227"/>
      <c r="CU691" s="225"/>
      <c r="CV691" s="227"/>
    </row>
    <row r="692" spans="1:100" ht="20.100000000000001" customHeight="1">
      <c r="A692" s="223"/>
      <c r="B692" s="225"/>
      <c r="C692" s="227"/>
      <c r="D692" s="224"/>
      <c r="E692" s="227"/>
      <c r="F692" s="227"/>
      <c r="G692" s="227"/>
      <c r="H692" s="227"/>
      <c r="I692" s="227"/>
      <c r="J692" s="227"/>
      <c r="K692" s="227"/>
      <c r="L692" s="227"/>
      <c r="M692" s="227"/>
      <c r="N692" s="227"/>
      <c r="O692" s="227"/>
      <c r="P692" s="227"/>
      <c r="Q692" s="227"/>
      <c r="R692" s="227"/>
      <c r="S692" s="227"/>
      <c r="T692" s="227"/>
      <c r="U692" s="227"/>
      <c r="V692" s="227"/>
      <c r="W692" s="227"/>
      <c r="X692" s="227"/>
      <c r="Y692" s="227"/>
      <c r="Z692" s="227"/>
      <c r="AA692" s="227"/>
      <c r="AB692" s="227"/>
      <c r="AC692" s="227"/>
      <c r="AD692" s="227"/>
      <c r="AE692" s="227"/>
      <c r="AF692" s="227"/>
      <c r="AG692" s="227"/>
      <c r="AH692" s="227"/>
      <c r="AI692" s="227"/>
      <c r="AJ692" s="227"/>
      <c r="AK692" s="227"/>
      <c r="AL692" s="227"/>
      <c r="AM692" s="227"/>
      <c r="AN692" s="227"/>
      <c r="AO692" s="227"/>
      <c r="AP692" s="227"/>
      <c r="AQ692" s="227"/>
      <c r="AR692" s="227"/>
      <c r="AS692" s="227"/>
      <c r="AT692" s="227"/>
      <c r="AU692" s="227"/>
      <c r="AV692" s="227"/>
      <c r="AW692" s="227"/>
      <c r="AX692" s="227"/>
      <c r="AY692" s="227"/>
      <c r="AZ692" s="227"/>
      <c r="BA692" s="227"/>
      <c r="BB692" s="227"/>
      <c r="BC692" s="227"/>
      <c r="BD692" s="227"/>
      <c r="BE692" s="227"/>
      <c r="BF692" s="227"/>
      <c r="BG692" s="227"/>
      <c r="BH692" s="227"/>
      <c r="BI692" s="227"/>
      <c r="BJ692" s="227"/>
      <c r="BK692" s="227"/>
      <c r="BL692" s="227"/>
      <c r="BM692" s="227"/>
      <c r="BN692" s="227"/>
      <c r="BO692" s="227"/>
      <c r="BP692" s="227"/>
      <c r="BQ692" s="227"/>
      <c r="BR692" s="227"/>
      <c r="BS692" s="227"/>
      <c r="BT692" s="227"/>
      <c r="BU692" s="227"/>
      <c r="BV692" s="227"/>
      <c r="BW692" s="227"/>
      <c r="BX692" s="227"/>
      <c r="BY692" s="227"/>
      <c r="BZ692" s="227"/>
      <c r="CA692" s="227"/>
      <c r="CB692" s="227"/>
      <c r="CC692" s="227"/>
      <c r="CD692" s="227"/>
      <c r="CE692" s="227"/>
      <c r="CF692" s="227"/>
      <c r="CG692" s="227"/>
      <c r="CH692" s="227"/>
      <c r="CI692" s="227"/>
      <c r="CJ692" s="227"/>
      <c r="CK692" s="227"/>
      <c r="CL692" s="227"/>
      <c r="CM692" s="227"/>
      <c r="CN692" s="227"/>
      <c r="CO692" s="227"/>
      <c r="CP692" s="227"/>
      <c r="CQ692" s="227"/>
      <c r="CR692" s="227"/>
      <c r="CS692" s="227"/>
      <c r="CT692" s="227"/>
      <c r="CU692" s="225"/>
      <c r="CV692" s="227"/>
    </row>
    <row r="693" spans="1:100" ht="20.100000000000001" customHeight="1">
      <c r="A693" s="227">
        <v>343</v>
      </c>
      <c r="B693" s="225"/>
      <c r="C693" s="227"/>
      <c r="D693" s="228">
        <f>(SUMPRODUCT(E693:CU693*$E$6:$CU$6)/100)+(SUMPRODUCT(E693:CU693*$E$6:$CU$6*$E$3:$CU$3)/100)</f>
        <v>0</v>
      </c>
      <c r="E693" s="227"/>
      <c r="F693" s="227"/>
      <c r="G693" s="227"/>
      <c r="H693" s="227"/>
      <c r="I693" s="227"/>
      <c r="J693" s="227"/>
      <c r="K693" s="227"/>
      <c r="L693" s="227"/>
      <c r="M693" s="227"/>
      <c r="N693" s="227"/>
      <c r="O693" s="227"/>
      <c r="P693" s="227"/>
      <c r="Q693" s="227"/>
      <c r="R693" s="227"/>
      <c r="S693" s="227"/>
      <c r="T693" s="227"/>
      <c r="U693" s="227"/>
      <c r="V693" s="227"/>
      <c r="W693" s="227"/>
      <c r="X693" s="227"/>
      <c r="Y693" s="227"/>
      <c r="Z693" s="227"/>
      <c r="AA693" s="227"/>
      <c r="AB693" s="227"/>
      <c r="AC693" s="227"/>
      <c r="AD693" s="227"/>
      <c r="AE693" s="227"/>
      <c r="AF693" s="227"/>
      <c r="AG693" s="227"/>
      <c r="AH693" s="227"/>
      <c r="AI693" s="227"/>
      <c r="AJ693" s="227"/>
      <c r="AK693" s="227"/>
      <c r="AL693" s="227"/>
      <c r="AM693" s="227"/>
      <c r="AN693" s="227"/>
      <c r="AO693" s="227"/>
      <c r="AP693" s="227"/>
      <c r="AQ693" s="227"/>
      <c r="AR693" s="227"/>
      <c r="AS693" s="227"/>
      <c r="AT693" s="227"/>
      <c r="AU693" s="227"/>
      <c r="AV693" s="227"/>
      <c r="AW693" s="227"/>
      <c r="AX693" s="227"/>
      <c r="AY693" s="227"/>
      <c r="AZ693" s="227"/>
      <c r="BA693" s="227"/>
      <c r="BB693" s="227"/>
      <c r="BC693" s="227"/>
      <c r="BD693" s="227"/>
      <c r="BE693" s="227"/>
      <c r="BF693" s="227"/>
      <c r="BG693" s="227"/>
      <c r="BH693" s="227"/>
      <c r="BI693" s="227"/>
      <c r="BJ693" s="227"/>
      <c r="BK693" s="227"/>
      <c r="BL693" s="227"/>
      <c r="BM693" s="227"/>
      <c r="BN693" s="227"/>
      <c r="BO693" s="227"/>
      <c r="BP693" s="227"/>
      <c r="BQ693" s="227"/>
      <c r="BR693" s="227"/>
      <c r="BS693" s="227"/>
      <c r="BT693" s="227"/>
      <c r="BU693" s="227"/>
      <c r="BV693" s="227"/>
      <c r="BW693" s="227"/>
      <c r="BX693" s="227"/>
      <c r="BY693" s="227"/>
      <c r="BZ693" s="227"/>
      <c r="CA693" s="227"/>
      <c r="CB693" s="227"/>
      <c r="CC693" s="227"/>
      <c r="CD693" s="227"/>
      <c r="CE693" s="227"/>
      <c r="CF693" s="227"/>
      <c r="CG693" s="227"/>
      <c r="CH693" s="227"/>
      <c r="CI693" s="227"/>
      <c r="CJ693" s="227"/>
      <c r="CK693" s="227"/>
      <c r="CL693" s="227"/>
      <c r="CM693" s="227"/>
      <c r="CN693" s="227"/>
      <c r="CO693" s="227"/>
      <c r="CP693" s="227"/>
      <c r="CQ693" s="227"/>
      <c r="CR693" s="227"/>
      <c r="CS693" s="227"/>
      <c r="CT693" s="227"/>
      <c r="CU693" s="225"/>
      <c r="CV693" s="227"/>
    </row>
    <row r="694" spans="1:100" ht="20.100000000000001" customHeight="1">
      <c r="A694" s="227"/>
      <c r="B694" s="225"/>
      <c r="C694" s="227"/>
      <c r="D694" s="224"/>
      <c r="E694" s="227"/>
      <c r="F694" s="227"/>
      <c r="G694" s="227"/>
      <c r="H694" s="227"/>
      <c r="I694" s="227"/>
      <c r="J694" s="227"/>
      <c r="K694" s="227"/>
      <c r="L694" s="227"/>
      <c r="M694" s="227"/>
      <c r="N694" s="227"/>
      <c r="O694" s="227"/>
      <c r="P694" s="227"/>
      <c r="Q694" s="227"/>
      <c r="R694" s="227"/>
      <c r="S694" s="227"/>
      <c r="T694" s="227"/>
      <c r="U694" s="227"/>
      <c r="V694" s="227"/>
      <c r="W694" s="227"/>
      <c r="X694" s="227"/>
      <c r="Y694" s="227"/>
      <c r="Z694" s="227"/>
      <c r="AA694" s="227"/>
      <c r="AB694" s="227"/>
      <c r="AC694" s="227"/>
      <c r="AD694" s="227"/>
      <c r="AE694" s="227"/>
      <c r="AF694" s="227"/>
      <c r="AG694" s="227"/>
      <c r="AH694" s="227"/>
      <c r="AI694" s="227"/>
      <c r="AJ694" s="227"/>
      <c r="AK694" s="227"/>
      <c r="AL694" s="227"/>
      <c r="AM694" s="227"/>
      <c r="AN694" s="227"/>
      <c r="AO694" s="227"/>
      <c r="AP694" s="227"/>
      <c r="AQ694" s="227"/>
      <c r="AR694" s="227"/>
      <c r="AS694" s="227"/>
      <c r="AT694" s="227"/>
      <c r="AU694" s="227"/>
      <c r="AV694" s="227"/>
      <c r="AW694" s="227"/>
      <c r="AX694" s="227"/>
      <c r="AY694" s="227"/>
      <c r="AZ694" s="227"/>
      <c r="BA694" s="227"/>
      <c r="BB694" s="227"/>
      <c r="BC694" s="227"/>
      <c r="BD694" s="227"/>
      <c r="BE694" s="227"/>
      <c r="BF694" s="227"/>
      <c r="BG694" s="227"/>
      <c r="BH694" s="227"/>
      <c r="BI694" s="227"/>
      <c r="BJ694" s="227"/>
      <c r="BK694" s="227"/>
      <c r="BL694" s="227"/>
      <c r="BM694" s="227"/>
      <c r="BN694" s="227"/>
      <c r="BO694" s="227"/>
      <c r="BP694" s="227"/>
      <c r="BQ694" s="227"/>
      <c r="BR694" s="227"/>
      <c r="BS694" s="227"/>
      <c r="BT694" s="227"/>
      <c r="BU694" s="227"/>
      <c r="BV694" s="227"/>
      <c r="BW694" s="227"/>
      <c r="BX694" s="227"/>
      <c r="BY694" s="227"/>
      <c r="BZ694" s="227"/>
      <c r="CA694" s="227"/>
      <c r="CB694" s="227"/>
      <c r="CC694" s="227"/>
      <c r="CD694" s="227"/>
      <c r="CE694" s="227"/>
      <c r="CF694" s="227"/>
      <c r="CG694" s="227"/>
      <c r="CH694" s="227"/>
      <c r="CI694" s="227"/>
      <c r="CJ694" s="227"/>
      <c r="CK694" s="227"/>
      <c r="CL694" s="227"/>
      <c r="CM694" s="227"/>
      <c r="CN694" s="227"/>
      <c r="CO694" s="227"/>
      <c r="CP694" s="227"/>
      <c r="CQ694" s="227"/>
      <c r="CR694" s="227"/>
      <c r="CS694" s="227"/>
      <c r="CT694" s="227"/>
      <c r="CU694" s="225"/>
      <c r="CV694" s="227"/>
    </row>
    <row r="695" spans="1:100" ht="20.100000000000001" customHeight="1">
      <c r="A695" s="227">
        <v>344</v>
      </c>
      <c r="B695" s="225"/>
      <c r="C695" s="227"/>
      <c r="D695" s="228">
        <f>(SUMPRODUCT(E695:CU695*$E$6:$CU$6)/100)+(SUMPRODUCT(E695:CU695*$E$6:$CU$6*$E$3:$CU$3)/100)</f>
        <v>0</v>
      </c>
      <c r="E695" s="227"/>
      <c r="F695" s="227"/>
      <c r="G695" s="227"/>
      <c r="H695" s="227"/>
      <c r="I695" s="227"/>
      <c r="J695" s="227"/>
      <c r="K695" s="227"/>
      <c r="L695" s="227"/>
      <c r="M695" s="227"/>
      <c r="N695" s="227"/>
      <c r="O695" s="227"/>
      <c r="P695" s="227"/>
      <c r="Q695" s="227"/>
      <c r="R695" s="227"/>
      <c r="S695" s="227"/>
      <c r="T695" s="227"/>
      <c r="U695" s="227"/>
      <c r="V695" s="227"/>
      <c r="W695" s="227"/>
      <c r="X695" s="227"/>
      <c r="Y695" s="227"/>
      <c r="Z695" s="227"/>
      <c r="AA695" s="227"/>
      <c r="AB695" s="227"/>
      <c r="AC695" s="227"/>
      <c r="AD695" s="227"/>
      <c r="AE695" s="227"/>
      <c r="AF695" s="227"/>
      <c r="AG695" s="227"/>
      <c r="AH695" s="227"/>
      <c r="AI695" s="227"/>
      <c r="AJ695" s="227"/>
      <c r="AK695" s="227"/>
      <c r="AL695" s="227"/>
      <c r="AM695" s="227"/>
      <c r="AN695" s="227"/>
      <c r="AO695" s="227"/>
      <c r="AP695" s="227"/>
      <c r="AQ695" s="227"/>
      <c r="AR695" s="227"/>
      <c r="AS695" s="227"/>
      <c r="AT695" s="227"/>
      <c r="AU695" s="227"/>
      <c r="AV695" s="227"/>
      <c r="AW695" s="227"/>
      <c r="AX695" s="227"/>
      <c r="AY695" s="227"/>
      <c r="AZ695" s="227"/>
      <c r="BA695" s="227"/>
      <c r="BB695" s="227"/>
      <c r="BC695" s="227"/>
      <c r="BD695" s="227"/>
      <c r="BE695" s="227"/>
      <c r="BF695" s="227"/>
      <c r="BG695" s="227"/>
      <c r="BH695" s="227"/>
      <c r="BI695" s="227"/>
      <c r="BJ695" s="227"/>
      <c r="BK695" s="227"/>
      <c r="BL695" s="227"/>
      <c r="BM695" s="227"/>
      <c r="BN695" s="227"/>
      <c r="BO695" s="227"/>
      <c r="BP695" s="227"/>
      <c r="BQ695" s="227"/>
      <c r="BR695" s="227"/>
      <c r="BS695" s="227"/>
      <c r="BT695" s="227"/>
      <c r="BU695" s="227"/>
      <c r="BV695" s="227"/>
      <c r="BW695" s="227"/>
      <c r="BX695" s="227"/>
      <c r="BY695" s="227"/>
      <c r="BZ695" s="227"/>
      <c r="CA695" s="227"/>
      <c r="CB695" s="227"/>
      <c r="CC695" s="227"/>
      <c r="CD695" s="227"/>
      <c r="CE695" s="227"/>
      <c r="CF695" s="227"/>
      <c r="CG695" s="227"/>
      <c r="CH695" s="227"/>
      <c r="CI695" s="227"/>
      <c r="CJ695" s="227"/>
      <c r="CK695" s="227"/>
      <c r="CL695" s="227"/>
      <c r="CM695" s="227"/>
      <c r="CN695" s="227"/>
      <c r="CO695" s="227"/>
      <c r="CP695" s="227"/>
      <c r="CQ695" s="227"/>
      <c r="CR695" s="227"/>
      <c r="CS695" s="227"/>
      <c r="CT695" s="227"/>
      <c r="CU695" s="225"/>
      <c r="CV695" s="227"/>
    </row>
    <row r="696" spans="1:100" ht="20.100000000000001" customHeight="1">
      <c r="A696" s="223"/>
      <c r="B696" s="225"/>
      <c r="C696" s="227"/>
      <c r="D696" s="224"/>
      <c r="E696" s="227"/>
      <c r="F696" s="227"/>
      <c r="G696" s="227"/>
      <c r="H696" s="227"/>
      <c r="I696" s="227"/>
      <c r="J696" s="227"/>
      <c r="K696" s="227"/>
      <c r="L696" s="227"/>
      <c r="M696" s="227"/>
      <c r="N696" s="227"/>
      <c r="O696" s="227"/>
      <c r="P696" s="227"/>
      <c r="Q696" s="227"/>
      <c r="R696" s="227"/>
      <c r="S696" s="227"/>
      <c r="T696" s="227"/>
      <c r="U696" s="227"/>
      <c r="V696" s="227"/>
      <c r="W696" s="227"/>
      <c r="X696" s="227"/>
      <c r="Y696" s="227"/>
      <c r="Z696" s="227"/>
      <c r="AA696" s="227"/>
      <c r="AB696" s="227"/>
      <c r="AC696" s="227"/>
      <c r="AD696" s="227"/>
      <c r="AE696" s="227"/>
      <c r="AF696" s="227"/>
      <c r="AG696" s="227"/>
      <c r="AH696" s="227"/>
      <c r="AI696" s="227"/>
      <c r="AJ696" s="227"/>
      <c r="AK696" s="227"/>
      <c r="AL696" s="227"/>
      <c r="AM696" s="227"/>
      <c r="AN696" s="227"/>
      <c r="AO696" s="227"/>
      <c r="AP696" s="227"/>
      <c r="AQ696" s="227"/>
      <c r="AR696" s="227"/>
      <c r="AS696" s="227"/>
      <c r="AT696" s="227"/>
      <c r="AU696" s="227"/>
      <c r="AV696" s="227"/>
      <c r="AW696" s="227"/>
      <c r="AX696" s="227"/>
      <c r="AY696" s="227"/>
      <c r="AZ696" s="227"/>
      <c r="BA696" s="227"/>
      <c r="BB696" s="227"/>
      <c r="BC696" s="227"/>
      <c r="BD696" s="227"/>
      <c r="BE696" s="227"/>
      <c r="BF696" s="227"/>
      <c r="BG696" s="227"/>
      <c r="BH696" s="227"/>
      <c r="BI696" s="227"/>
      <c r="BJ696" s="227"/>
      <c r="BK696" s="227"/>
      <c r="BL696" s="227"/>
      <c r="BM696" s="227"/>
      <c r="BN696" s="227"/>
      <c r="BO696" s="227"/>
      <c r="BP696" s="227"/>
      <c r="BQ696" s="227"/>
      <c r="BR696" s="227"/>
      <c r="BS696" s="227"/>
      <c r="BT696" s="227"/>
      <c r="BU696" s="227"/>
      <c r="BV696" s="227"/>
      <c r="BW696" s="227"/>
      <c r="BX696" s="227"/>
      <c r="BY696" s="227"/>
      <c r="BZ696" s="227"/>
      <c r="CA696" s="227"/>
      <c r="CB696" s="227"/>
      <c r="CC696" s="227"/>
      <c r="CD696" s="227"/>
      <c r="CE696" s="227"/>
      <c r="CF696" s="227"/>
      <c r="CG696" s="227"/>
      <c r="CH696" s="227"/>
      <c r="CI696" s="227"/>
      <c r="CJ696" s="227"/>
      <c r="CK696" s="227"/>
      <c r="CL696" s="227"/>
      <c r="CM696" s="227"/>
      <c r="CN696" s="227"/>
      <c r="CO696" s="227"/>
      <c r="CP696" s="227"/>
      <c r="CQ696" s="227"/>
      <c r="CR696" s="227"/>
      <c r="CS696" s="227"/>
      <c r="CT696" s="227"/>
      <c r="CU696" s="225"/>
      <c r="CV696" s="227"/>
    </row>
    <row r="697" spans="1:100" ht="20.100000000000001" customHeight="1">
      <c r="A697" s="227">
        <v>345</v>
      </c>
      <c r="B697" s="225"/>
      <c r="C697" s="227"/>
      <c r="D697" s="228">
        <f>(SUMPRODUCT(E697:CU697*$E$6:$CU$6)/100)+(SUMPRODUCT(E697:CU697*$E$6:$CU$6*$E$3:$CU$3)/100)</f>
        <v>0</v>
      </c>
      <c r="E697" s="227"/>
      <c r="F697" s="227"/>
      <c r="G697" s="227"/>
      <c r="H697" s="227"/>
      <c r="I697" s="227"/>
      <c r="J697" s="227"/>
      <c r="K697" s="227"/>
      <c r="L697" s="227"/>
      <c r="M697" s="227"/>
      <c r="N697" s="227"/>
      <c r="O697" s="227"/>
      <c r="P697" s="227"/>
      <c r="Q697" s="227"/>
      <c r="R697" s="227"/>
      <c r="S697" s="227"/>
      <c r="T697" s="227"/>
      <c r="U697" s="227"/>
      <c r="V697" s="227"/>
      <c r="W697" s="227"/>
      <c r="X697" s="227"/>
      <c r="Y697" s="227"/>
      <c r="Z697" s="227"/>
      <c r="AA697" s="227"/>
      <c r="AB697" s="227"/>
      <c r="AC697" s="227"/>
      <c r="AD697" s="227"/>
      <c r="AE697" s="227"/>
      <c r="AF697" s="227"/>
      <c r="AG697" s="227"/>
      <c r="AH697" s="227"/>
      <c r="AI697" s="227"/>
      <c r="AJ697" s="227"/>
      <c r="AK697" s="227"/>
      <c r="AL697" s="227"/>
      <c r="AM697" s="227"/>
      <c r="AN697" s="227"/>
      <c r="AO697" s="227"/>
      <c r="AP697" s="227"/>
      <c r="AQ697" s="227"/>
      <c r="AR697" s="227"/>
      <c r="AS697" s="227"/>
      <c r="AT697" s="227"/>
      <c r="AU697" s="227"/>
      <c r="AV697" s="227"/>
      <c r="AW697" s="227"/>
      <c r="AX697" s="227"/>
      <c r="AY697" s="227"/>
      <c r="AZ697" s="227"/>
      <c r="BA697" s="227"/>
      <c r="BB697" s="227"/>
      <c r="BC697" s="227"/>
      <c r="BD697" s="227"/>
      <c r="BE697" s="227"/>
      <c r="BF697" s="227"/>
      <c r="BG697" s="227"/>
      <c r="BH697" s="227"/>
      <c r="BI697" s="227"/>
      <c r="BJ697" s="227"/>
      <c r="BK697" s="227"/>
      <c r="BL697" s="227"/>
      <c r="BM697" s="227"/>
      <c r="BN697" s="227"/>
      <c r="BO697" s="227"/>
      <c r="BP697" s="227"/>
      <c r="BQ697" s="227"/>
      <c r="BR697" s="227"/>
      <c r="BS697" s="227"/>
      <c r="BT697" s="227"/>
      <c r="BU697" s="227"/>
      <c r="BV697" s="227"/>
      <c r="BW697" s="227"/>
      <c r="BX697" s="227"/>
      <c r="BY697" s="227"/>
      <c r="BZ697" s="227"/>
      <c r="CA697" s="227"/>
      <c r="CB697" s="227"/>
      <c r="CC697" s="227"/>
      <c r="CD697" s="227"/>
      <c r="CE697" s="227"/>
      <c r="CF697" s="227"/>
      <c r="CG697" s="227"/>
      <c r="CH697" s="227"/>
      <c r="CI697" s="227"/>
      <c r="CJ697" s="227"/>
      <c r="CK697" s="227"/>
      <c r="CL697" s="227"/>
      <c r="CM697" s="227"/>
      <c r="CN697" s="227"/>
      <c r="CO697" s="227"/>
      <c r="CP697" s="227"/>
      <c r="CQ697" s="227"/>
      <c r="CR697" s="227"/>
      <c r="CS697" s="227"/>
      <c r="CT697" s="227"/>
      <c r="CU697" s="225"/>
      <c r="CV697" s="227"/>
    </row>
    <row r="698" spans="1:100" ht="20.100000000000001" customHeight="1">
      <c r="A698" s="227"/>
      <c r="B698" s="225"/>
      <c r="C698" s="227"/>
      <c r="D698" s="224"/>
      <c r="E698" s="227"/>
      <c r="F698" s="227"/>
      <c r="G698" s="227"/>
      <c r="H698" s="227"/>
      <c r="I698" s="227"/>
      <c r="J698" s="227"/>
      <c r="K698" s="227"/>
      <c r="L698" s="227"/>
      <c r="M698" s="227"/>
      <c r="N698" s="227"/>
      <c r="O698" s="227"/>
      <c r="P698" s="227"/>
      <c r="Q698" s="227"/>
      <c r="R698" s="227"/>
      <c r="S698" s="227"/>
      <c r="T698" s="227"/>
      <c r="U698" s="227"/>
      <c r="V698" s="227"/>
      <c r="W698" s="227"/>
      <c r="X698" s="227"/>
      <c r="Y698" s="227"/>
      <c r="Z698" s="227"/>
      <c r="AA698" s="227"/>
      <c r="AB698" s="227"/>
      <c r="AC698" s="227"/>
      <c r="AD698" s="227"/>
      <c r="AE698" s="227"/>
      <c r="AF698" s="227"/>
      <c r="AG698" s="227"/>
      <c r="AH698" s="227"/>
      <c r="AI698" s="227"/>
      <c r="AJ698" s="227"/>
      <c r="AK698" s="227"/>
      <c r="AL698" s="227"/>
      <c r="AM698" s="227"/>
      <c r="AN698" s="227"/>
      <c r="AO698" s="227"/>
      <c r="AP698" s="227"/>
      <c r="AQ698" s="227"/>
      <c r="AR698" s="227"/>
      <c r="AS698" s="227"/>
      <c r="AT698" s="227"/>
      <c r="AU698" s="227"/>
      <c r="AV698" s="227"/>
      <c r="AW698" s="227"/>
      <c r="AX698" s="227"/>
      <c r="AY698" s="227"/>
      <c r="AZ698" s="227"/>
      <c r="BA698" s="227"/>
      <c r="BB698" s="227"/>
      <c r="BC698" s="227"/>
      <c r="BD698" s="227"/>
      <c r="BE698" s="227"/>
      <c r="BF698" s="227"/>
      <c r="BG698" s="227"/>
      <c r="BH698" s="227"/>
      <c r="BI698" s="227"/>
      <c r="BJ698" s="227"/>
      <c r="BK698" s="227"/>
      <c r="BL698" s="227"/>
      <c r="BM698" s="227"/>
      <c r="BN698" s="227"/>
      <c r="BO698" s="227"/>
      <c r="BP698" s="227"/>
      <c r="BQ698" s="227"/>
      <c r="BR698" s="227"/>
      <c r="BS698" s="227"/>
      <c r="BT698" s="227"/>
      <c r="BU698" s="227"/>
      <c r="BV698" s="227"/>
      <c r="BW698" s="227"/>
      <c r="BX698" s="227"/>
      <c r="BY698" s="227"/>
      <c r="BZ698" s="227"/>
      <c r="CA698" s="227"/>
      <c r="CB698" s="227"/>
      <c r="CC698" s="227"/>
      <c r="CD698" s="227"/>
      <c r="CE698" s="227"/>
      <c r="CF698" s="227"/>
      <c r="CG698" s="227"/>
      <c r="CH698" s="227"/>
      <c r="CI698" s="227"/>
      <c r="CJ698" s="227"/>
      <c r="CK698" s="227"/>
      <c r="CL698" s="227"/>
      <c r="CM698" s="227"/>
      <c r="CN698" s="227"/>
      <c r="CO698" s="227"/>
      <c r="CP698" s="227"/>
      <c r="CQ698" s="227"/>
      <c r="CR698" s="227"/>
      <c r="CS698" s="227"/>
      <c r="CT698" s="227"/>
      <c r="CU698" s="225"/>
      <c r="CV698" s="227"/>
    </row>
    <row r="699" spans="1:100" ht="20.100000000000001" customHeight="1">
      <c r="A699" s="227">
        <v>346</v>
      </c>
      <c r="B699" s="225"/>
      <c r="C699" s="227"/>
      <c r="D699" s="228">
        <f>(SUMPRODUCT(E699:CU699*$E$6:$CU$6)/100)+(SUMPRODUCT(E699:CU699*$E$6:$CU$6*$E$3:$CU$3)/100)</f>
        <v>0</v>
      </c>
      <c r="E699" s="227"/>
      <c r="F699" s="227"/>
      <c r="G699" s="227"/>
      <c r="H699" s="227"/>
      <c r="I699" s="227"/>
      <c r="J699" s="227"/>
      <c r="K699" s="227"/>
      <c r="L699" s="227"/>
      <c r="M699" s="227"/>
      <c r="N699" s="227"/>
      <c r="O699" s="227"/>
      <c r="P699" s="227"/>
      <c r="Q699" s="227"/>
      <c r="R699" s="227"/>
      <c r="S699" s="227"/>
      <c r="T699" s="227"/>
      <c r="U699" s="227"/>
      <c r="V699" s="227"/>
      <c r="W699" s="227"/>
      <c r="X699" s="227"/>
      <c r="Y699" s="227"/>
      <c r="Z699" s="227"/>
      <c r="AA699" s="227"/>
      <c r="AB699" s="227"/>
      <c r="AC699" s="227"/>
      <c r="AD699" s="227"/>
      <c r="AE699" s="227"/>
      <c r="AF699" s="227"/>
      <c r="AG699" s="227"/>
      <c r="AH699" s="227"/>
      <c r="AI699" s="227"/>
      <c r="AJ699" s="227"/>
      <c r="AK699" s="227"/>
      <c r="AL699" s="227"/>
      <c r="AM699" s="227"/>
      <c r="AN699" s="227"/>
      <c r="AO699" s="227"/>
      <c r="AP699" s="227"/>
      <c r="AQ699" s="227"/>
      <c r="AR699" s="227"/>
      <c r="AS699" s="227"/>
      <c r="AT699" s="227"/>
      <c r="AU699" s="227"/>
      <c r="AV699" s="227"/>
      <c r="AW699" s="227"/>
      <c r="AX699" s="227"/>
      <c r="AY699" s="227"/>
      <c r="AZ699" s="227"/>
      <c r="BA699" s="227"/>
      <c r="BB699" s="227"/>
      <c r="BC699" s="227"/>
      <c r="BD699" s="227"/>
      <c r="BE699" s="227"/>
      <c r="BF699" s="227"/>
      <c r="BG699" s="227"/>
      <c r="BH699" s="227"/>
      <c r="BI699" s="227"/>
      <c r="BJ699" s="227"/>
      <c r="BK699" s="227"/>
      <c r="BL699" s="227"/>
      <c r="BM699" s="227"/>
      <c r="BN699" s="227"/>
      <c r="BO699" s="227"/>
      <c r="BP699" s="227"/>
      <c r="BQ699" s="227"/>
      <c r="BR699" s="227"/>
      <c r="BS699" s="227"/>
      <c r="BT699" s="227"/>
      <c r="BU699" s="227"/>
      <c r="BV699" s="227"/>
      <c r="BW699" s="227"/>
      <c r="BX699" s="227"/>
      <c r="BY699" s="227"/>
      <c r="BZ699" s="227"/>
      <c r="CA699" s="227"/>
      <c r="CB699" s="227"/>
      <c r="CC699" s="227"/>
      <c r="CD699" s="227"/>
      <c r="CE699" s="227"/>
      <c r="CF699" s="227"/>
      <c r="CG699" s="227"/>
      <c r="CH699" s="227"/>
      <c r="CI699" s="227"/>
      <c r="CJ699" s="227"/>
      <c r="CK699" s="227"/>
      <c r="CL699" s="227"/>
      <c r="CM699" s="227"/>
      <c r="CN699" s="227"/>
      <c r="CO699" s="227"/>
      <c r="CP699" s="227"/>
      <c r="CQ699" s="227"/>
      <c r="CR699" s="227"/>
      <c r="CS699" s="227"/>
      <c r="CT699" s="227"/>
      <c r="CU699" s="225"/>
      <c r="CV699" s="227"/>
    </row>
    <row r="700" spans="1:100" ht="20.100000000000001" customHeight="1">
      <c r="A700" s="223"/>
      <c r="B700" s="225"/>
      <c r="C700" s="227"/>
      <c r="D700" s="224"/>
      <c r="E700" s="227"/>
      <c r="F700" s="227"/>
      <c r="G700" s="227"/>
      <c r="H700" s="227"/>
      <c r="I700" s="227"/>
      <c r="J700" s="227"/>
      <c r="K700" s="227"/>
      <c r="L700" s="227"/>
      <c r="M700" s="227"/>
      <c r="N700" s="227"/>
      <c r="O700" s="227"/>
      <c r="P700" s="227"/>
      <c r="Q700" s="227"/>
      <c r="R700" s="227"/>
      <c r="S700" s="227"/>
      <c r="T700" s="227"/>
      <c r="U700" s="227"/>
      <c r="V700" s="227"/>
      <c r="W700" s="227"/>
      <c r="X700" s="227"/>
      <c r="Y700" s="227"/>
      <c r="Z700" s="227"/>
      <c r="AA700" s="227"/>
      <c r="AB700" s="227"/>
      <c r="AC700" s="227"/>
      <c r="AD700" s="227"/>
      <c r="AE700" s="227"/>
      <c r="AF700" s="227"/>
      <c r="AG700" s="227"/>
      <c r="AH700" s="227"/>
      <c r="AI700" s="227"/>
      <c r="AJ700" s="227"/>
      <c r="AK700" s="227"/>
      <c r="AL700" s="227"/>
      <c r="AM700" s="227"/>
      <c r="AN700" s="227"/>
      <c r="AO700" s="227"/>
      <c r="AP700" s="227"/>
      <c r="AQ700" s="227"/>
      <c r="AR700" s="227"/>
      <c r="AS700" s="227"/>
      <c r="AT700" s="227"/>
      <c r="AU700" s="227"/>
      <c r="AV700" s="227"/>
      <c r="AW700" s="227"/>
      <c r="AX700" s="227"/>
      <c r="AY700" s="227"/>
      <c r="AZ700" s="227"/>
      <c r="BA700" s="227"/>
      <c r="BB700" s="227"/>
      <c r="BC700" s="227"/>
      <c r="BD700" s="227"/>
      <c r="BE700" s="227"/>
      <c r="BF700" s="227"/>
      <c r="BG700" s="227"/>
      <c r="BH700" s="227"/>
      <c r="BI700" s="227"/>
      <c r="BJ700" s="227"/>
      <c r="BK700" s="227"/>
      <c r="BL700" s="227"/>
      <c r="BM700" s="227"/>
      <c r="BN700" s="227"/>
      <c r="BO700" s="227"/>
      <c r="BP700" s="227"/>
      <c r="BQ700" s="227"/>
      <c r="BR700" s="227"/>
      <c r="BS700" s="227"/>
      <c r="BT700" s="227"/>
      <c r="BU700" s="227"/>
      <c r="BV700" s="227"/>
      <c r="BW700" s="227"/>
      <c r="BX700" s="227"/>
      <c r="BY700" s="227"/>
      <c r="BZ700" s="227"/>
      <c r="CA700" s="227"/>
      <c r="CB700" s="227"/>
      <c r="CC700" s="227"/>
      <c r="CD700" s="227"/>
      <c r="CE700" s="227"/>
      <c r="CF700" s="227"/>
      <c r="CG700" s="227"/>
      <c r="CH700" s="227"/>
      <c r="CI700" s="227"/>
      <c r="CJ700" s="227"/>
      <c r="CK700" s="227"/>
      <c r="CL700" s="227"/>
      <c r="CM700" s="227"/>
      <c r="CN700" s="227"/>
      <c r="CO700" s="227"/>
      <c r="CP700" s="227"/>
      <c r="CQ700" s="227"/>
      <c r="CR700" s="227"/>
      <c r="CS700" s="227"/>
      <c r="CT700" s="227"/>
      <c r="CU700" s="225"/>
      <c r="CV700" s="227"/>
    </row>
    <row r="701" spans="1:100" ht="20.100000000000001" customHeight="1">
      <c r="A701" s="227">
        <v>347</v>
      </c>
      <c r="B701" s="225"/>
      <c r="C701" s="227"/>
      <c r="D701" s="228">
        <f>(SUMPRODUCT(E701:CU701*$E$6:$CU$6)/100)+(SUMPRODUCT(E701:CU701*$E$6:$CU$6*$E$3:$CU$3)/100)</f>
        <v>0</v>
      </c>
      <c r="E701" s="227"/>
      <c r="F701" s="227"/>
      <c r="G701" s="227"/>
      <c r="H701" s="227"/>
      <c r="I701" s="227"/>
      <c r="J701" s="227"/>
      <c r="K701" s="227"/>
      <c r="L701" s="227"/>
      <c r="M701" s="227"/>
      <c r="N701" s="227"/>
      <c r="O701" s="227"/>
      <c r="P701" s="227"/>
      <c r="Q701" s="227"/>
      <c r="R701" s="227"/>
      <c r="S701" s="227"/>
      <c r="T701" s="227"/>
      <c r="U701" s="227"/>
      <c r="V701" s="227"/>
      <c r="W701" s="227"/>
      <c r="X701" s="227"/>
      <c r="Y701" s="227"/>
      <c r="Z701" s="227"/>
      <c r="AA701" s="227"/>
      <c r="AB701" s="227"/>
      <c r="AC701" s="227"/>
      <c r="AD701" s="227"/>
      <c r="AE701" s="227"/>
      <c r="AF701" s="227"/>
      <c r="AG701" s="227"/>
      <c r="AH701" s="227"/>
      <c r="AI701" s="227"/>
      <c r="AJ701" s="227"/>
      <c r="AK701" s="227"/>
      <c r="AL701" s="227"/>
      <c r="AM701" s="227"/>
      <c r="AN701" s="227"/>
      <c r="AO701" s="227"/>
      <c r="AP701" s="227"/>
      <c r="AQ701" s="227"/>
      <c r="AR701" s="227"/>
      <c r="AS701" s="227"/>
      <c r="AT701" s="227"/>
      <c r="AU701" s="227"/>
      <c r="AV701" s="227"/>
      <c r="AW701" s="227"/>
      <c r="AX701" s="227"/>
      <c r="AY701" s="227"/>
      <c r="AZ701" s="227"/>
      <c r="BA701" s="227"/>
      <c r="BB701" s="227"/>
      <c r="BC701" s="227"/>
      <c r="BD701" s="227"/>
      <c r="BE701" s="227"/>
      <c r="BF701" s="227"/>
      <c r="BG701" s="227"/>
      <c r="BH701" s="227"/>
      <c r="BI701" s="227"/>
      <c r="BJ701" s="227"/>
      <c r="BK701" s="227"/>
      <c r="BL701" s="227"/>
      <c r="BM701" s="227"/>
      <c r="BN701" s="227"/>
      <c r="BO701" s="227"/>
      <c r="BP701" s="227"/>
      <c r="BQ701" s="227"/>
      <c r="BR701" s="227"/>
      <c r="BS701" s="227"/>
      <c r="BT701" s="227"/>
      <c r="BU701" s="227"/>
      <c r="BV701" s="227"/>
      <c r="BW701" s="227"/>
      <c r="BX701" s="227"/>
      <c r="BY701" s="227"/>
      <c r="BZ701" s="227"/>
      <c r="CA701" s="227"/>
      <c r="CB701" s="227"/>
      <c r="CC701" s="227"/>
      <c r="CD701" s="227"/>
      <c r="CE701" s="227"/>
      <c r="CF701" s="227"/>
      <c r="CG701" s="227"/>
      <c r="CH701" s="227"/>
      <c r="CI701" s="227"/>
      <c r="CJ701" s="227"/>
      <c r="CK701" s="227"/>
      <c r="CL701" s="227"/>
      <c r="CM701" s="227"/>
      <c r="CN701" s="227"/>
      <c r="CO701" s="227"/>
      <c r="CP701" s="227"/>
      <c r="CQ701" s="227"/>
      <c r="CR701" s="227"/>
      <c r="CS701" s="227"/>
      <c r="CT701" s="227"/>
      <c r="CU701" s="225"/>
      <c r="CV701" s="227"/>
    </row>
    <row r="702" spans="1:100" ht="20.100000000000001" customHeight="1">
      <c r="A702" s="227"/>
      <c r="B702" s="225"/>
      <c r="C702" s="227"/>
      <c r="D702" s="224"/>
      <c r="E702" s="227"/>
      <c r="F702" s="227"/>
      <c r="G702" s="227"/>
      <c r="H702" s="227"/>
      <c r="I702" s="227"/>
      <c r="J702" s="227"/>
      <c r="K702" s="227"/>
      <c r="L702" s="227"/>
      <c r="M702" s="227"/>
      <c r="N702" s="227"/>
      <c r="O702" s="227"/>
      <c r="P702" s="227"/>
      <c r="Q702" s="227"/>
      <c r="R702" s="227"/>
      <c r="S702" s="227"/>
      <c r="T702" s="227"/>
      <c r="U702" s="227"/>
      <c r="V702" s="227"/>
      <c r="W702" s="227"/>
      <c r="X702" s="227"/>
      <c r="Y702" s="227"/>
      <c r="Z702" s="227"/>
      <c r="AA702" s="227"/>
      <c r="AB702" s="227"/>
      <c r="AC702" s="227"/>
      <c r="AD702" s="227"/>
      <c r="AE702" s="227"/>
      <c r="AF702" s="227"/>
      <c r="AG702" s="227"/>
      <c r="AH702" s="227"/>
      <c r="AI702" s="227"/>
      <c r="AJ702" s="227"/>
      <c r="AK702" s="227"/>
      <c r="AL702" s="227"/>
      <c r="AM702" s="227"/>
      <c r="AN702" s="227"/>
      <c r="AO702" s="227"/>
      <c r="AP702" s="227"/>
      <c r="AQ702" s="227"/>
      <c r="AR702" s="227"/>
      <c r="AS702" s="227"/>
      <c r="AT702" s="227"/>
      <c r="AU702" s="227"/>
      <c r="AV702" s="227"/>
      <c r="AW702" s="227"/>
      <c r="AX702" s="227"/>
      <c r="AY702" s="227"/>
      <c r="AZ702" s="227"/>
      <c r="BA702" s="227"/>
      <c r="BB702" s="227"/>
      <c r="BC702" s="227"/>
      <c r="BD702" s="227"/>
      <c r="BE702" s="227"/>
      <c r="BF702" s="227"/>
      <c r="BG702" s="227"/>
      <c r="BH702" s="227"/>
      <c r="BI702" s="227"/>
      <c r="BJ702" s="227"/>
      <c r="BK702" s="227"/>
      <c r="BL702" s="227"/>
      <c r="BM702" s="227"/>
      <c r="BN702" s="227"/>
      <c r="BO702" s="227"/>
      <c r="BP702" s="227"/>
      <c r="BQ702" s="227"/>
      <c r="BR702" s="227"/>
      <c r="BS702" s="227"/>
      <c r="BT702" s="227"/>
      <c r="BU702" s="227"/>
      <c r="BV702" s="227"/>
      <c r="BW702" s="227"/>
      <c r="BX702" s="227"/>
      <c r="BY702" s="227"/>
      <c r="BZ702" s="227"/>
      <c r="CA702" s="227"/>
      <c r="CB702" s="227"/>
      <c r="CC702" s="227"/>
      <c r="CD702" s="227"/>
      <c r="CE702" s="227"/>
      <c r="CF702" s="227"/>
      <c r="CG702" s="227"/>
      <c r="CH702" s="227"/>
      <c r="CI702" s="227"/>
      <c r="CJ702" s="227"/>
      <c r="CK702" s="227"/>
      <c r="CL702" s="227"/>
      <c r="CM702" s="227"/>
      <c r="CN702" s="227"/>
      <c r="CO702" s="227"/>
      <c r="CP702" s="227"/>
      <c r="CQ702" s="227"/>
      <c r="CR702" s="227"/>
      <c r="CS702" s="227"/>
      <c r="CT702" s="227"/>
      <c r="CU702" s="225"/>
      <c r="CV702" s="227"/>
    </row>
    <row r="703" spans="1:100" ht="20.100000000000001" customHeight="1">
      <c r="A703" s="227">
        <v>348</v>
      </c>
      <c r="B703" s="225"/>
      <c r="C703" s="227"/>
      <c r="D703" s="228">
        <f>(SUMPRODUCT(E703:CU703*$E$6:$CU$6)/100)+(SUMPRODUCT(E703:CU703*$E$6:$CU$6*$E$3:$CU$3)/100)</f>
        <v>0</v>
      </c>
      <c r="E703" s="227"/>
      <c r="F703" s="227"/>
      <c r="G703" s="227"/>
      <c r="H703" s="227"/>
      <c r="I703" s="227"/>
      <c r="J703" s="227"/>
      <c r="K703" s="227"/>
      <c r="L703" s="227"/>
      <c r="M703" s="227"/>
      <c r="N703" s="227"/>
      <c r="O703" s="227"/>
      <c r="P703" s="227"/>
      <c r="Q703" s="227"/>
      <c r="R703" s="227"/>
      <c r="S703" s="227"/>
      <c r="T703" s="227"/>
      <c r="U703" s="227"/>
      <c r="V703" s="227"/>
      <c r="W703" s="227"/>
      <c r="X703" s="227"/>
      <c r="Y703" s="227"/>
      <c r="Z703" s="227"/>
      <c r="AA703" s="227"/>
      <c r="AB703" s="227"/>
      <c r="AC703" s="227"/>
      <c r="AD703" s="227"/>
      <c r="AE703" s="227"/>
      <c r="AF703" s="227"/>
      <c r="AG703" s="227"/>
      <c r="AH703" s="227"/>
      <c r="AI703" s="227"/>
      <c r="AJ703" s="227"/>
      <c r="AK703" s="227"/>
      <c r="AL703" s="227"/>
      <c r="AM703" s="227"/>
      <c r="AN703" s="227"/>
      <c r="AO703" s="227"/>
      <c r="AP703" s="227"/>
      <c r="AQ703" s="227"/>
      <c r="AR703" s="227"/>
      <c r="AS703" s="227"/>
      <c r="AT703" s="227"/>
      <c r="AU703" s="227"/>
      <c r="AV703" s="227"/>
      <c r="AW703" s="227"/>
      <c r="AX703" s="227"/>
      <c r="AY703" s="227"/>
      <c r="AZ703" s="227"/>
      <c r="BA703" s="227"/>
      <c r="BB703" s="227"/>
      <c r="BC703" s="227"/>
      <c r="BD703" s="227"/>
      <c r="BE703" s="227"/>
      <c r="BF703" s="227"/>
      <c r="BG703" s="227"/>
      <c r="BH703" s="227"/>
      <c r="BI703" s="227"/>
      <c r="BJ703" s="227"/>
      <c r="BK703" s="227"/>
      <c r="BL703" s="227"/>
      <c r="BM703" s="227"/>
      <c r="BN703" s="227"/>
      <c r="BO703" s="227"/>
      <c r="BP703" s="227"/>
      <c r="BQ703" s="227"/>
      <c r="BR703" s="227"/>
      <c r="BS703" s="227"/>
      <c r="BT703" s="227"/>
      <c r="BU703" s="227"/>
      <c r="BV703" s="227"/>
      <c r="BW703" s="227"/>
      <c r="BX703" s="227"/>
      <c r="BY703" s="227"/>
      <c r="BZ703" s="227"/>
      <c r="CA703" s="227"/>
      <c r="CB703" s="227"/>
      <c r="CC703" s="227"/>
      <c r="CD703" s="227"/>
      <c r="CE703" s="227"/>
      <c r="CF703" s="227"/>
      <c r="CG703" s="227"/>
      <c r="CH703" s="227"/>
      <c r="CI703" s="227"/>
      <c r="CJ703" s="227"/>
      <c r="CK703" s="227"/>
      <c r="CL703" s="227"/>
      <c r="CM703" s="227"/>
      <c r="CN703" s="227"/>
      <c r="CO703" s="227"/>
      <c r="CP703" s="227"/>
      <c r="CQ703" s="227"/>
      <c r="CR703" s="227"/>
      <c r="CS703" s="227"/>
      <c r="CT703" s="227"/>
      <c r="CU703" s="225"/>
      <c r="CV703" s="227"/>
    </row>
    <row r="704" spans="1:100" ht="20.100000000000001" customHeight="1">
      <c r="A704" s="223"/>
      <c r="B704" s="225"/>
      <c r="C704" s="227"/>
      <c r="D704" s="224"/>
      <c r="E704" s="227"/>
      <c r="F704" s="227"/>
      <c r="G704" s="227"/>
      <c r="H704" s="227"/>
      <c r="I704" s="227"/>
      <c r="J704" s="227"/>
      <c r="K704" s="227"/>
      <c r="L704" s="227"/>
      <c r="M704" s="227"/>
      <c r="N704" s="227"/>
      <c r="O704" s="227"/>
      <c r="P704" s="227"/>
      <c r="Q704" s="227"/>
      <c r="R704" s="227"/>
      <c r="S704" s="227"/>
      <c r="T704" s="227"/>
      <c r="U704" s="227"/>
      <c r="V704" s="227"/>
      <c r="W704" s="227"/>
      <c r="X704" s="227"/>
      <c r="Y704" s="227"/>
      <c r="Z704" s="227"/>
      <c r="AA704" s="227"/>
      <c r="AB704" s="227"/>
      <c r="AC704" s="227"/>
      <c r="AD704" s="227"/>
      <c r="AE704" s="227"/>
      <c r="AF704" s="227"/>
      <c r="AG704" s="227"/>
      <c r="AH704" s="227"/>
      <c r="AI704" s="227"/>
      <c r="AJ704" s="227"/>
      <c r="AK704" s="227"/>
      <c r="AL704" s="227"/>
      <c r="AM704" s="227"/>
      <c r="AN704" s="227"/>
      <c r="AO704" s="227"/>
      <c r="AP704" s="227"/>
      <c r="AQ704" s="227"/>
      <c r="AR704" s="227"/>
      <c r="AS704" s="227"/>
      <c r="AT704" s="227"/>
      <c r="AU704" s="227"/>
      <c r="AV704" s="227"/>
      <c r="AW704" s="227"/>
      <c r="AX704" s="227"/>
      <c r="AY704" s="227"/>
      <c r="AZ704" s="227"/>
      <c r="BA704" s="227"/>
      <c r="BB704" s="227"/>
      <c r="BC704" s="227"/>
      <c r="BD704" s="227"/>
      <c r="BE704" s="227"/>
      <c r="BF704" s="227"/>
      <c r="BG704" s="227"/>
      <c r="BH704" s="227"/>
      <c r="BI704" s="227"/>
      <c r="BJ704" s="227"/>
      <c r="BK704" s="227"/>
      <c r="BL704" s="227"/>
      <c r="BM704" s="227"/>
      <c r="BN704" s="227"/>
      <c r="BO704" s="227"/>
      <c r="BP704" s="227"/>
      <c r="BQ704" s="227"/>
      <c r="BR704" s="227"/>
      <c r="BS704" s="227"/>
      <c r="BT704" s="227"/>
      <c r="BU704" s="227"/>
      <c r="BV704" s="227"/>
      <c r="BW704" s="227"/>
      <c r="BX704" s="227"/>
      <c r="BY704" s="227"/>
      <c r="BZ704" s="227"/>
      <c r="CA704" s="227"/>
      <c r="CB704" s="227"/>
      <c r="CC704" s="227"/>
      <c r="CD704" s="227"/>
      <c r="CE704" s="227"/>
      <c r="CF704" s="227"/>
      <c r="CG704" s="227"/>
      <c r="CH704" s="227"/>
      <c r="CI704" s="227"/>
      <c r="CJ704" s="227"/>
      <c r="CK704" s="227"/>
      <c r="CL704" s="227"/>
      <c r="CM704" s="227"/>
      <c r="CN704" s="227"/>
      <c r="CO704" s="227"/>
      <c r="CP704" s="227"/>
      <c r="CQ704" s="227"/>
      <c r="CR704" s="227"/>
      <c r="CS704" s="227"/>
      <c r="CT704" s="227"/>
      <c r="CU704" s="225"/>
      <c r="CV704" s="227"/>
    </row>
    <row r="705" spans="1:100" ht="20.100000000000001" customHeight="1">
      <c r="A705" s="227">
        <v>349</v>
      </c>
      <c r="B705" s="225"/>
      <c r="C705" s="227"/>
      <c r="D705" s="228">
        <f>(SUMPRODUCT(E705:CU705*$E$6:$CU$6)/100)+(SUMPRODUCT(E705:CU705*$E$6:$CU$6*$E$3:$CU$3)/100)</f>
        <v>0</v>
      </c>
      <c r="E705" s="227"/>
      <c r="F705" s="227"/>
      <c r="G705" s="227"/>
      <c r="H705" s="227"/>
      <c r="I705" s="227"/>
      <c r="J705" s="227"/>
      <c r="K705" s="227"/>
      <c r="L705" s="227"/>
      <c r="M705" s="227"/>
      <c r="N705" s="227"/>
      <c r="O705" s="227"/>
      <c r="P705" s="227"/>
      <c r="Q705" s="227"/>
      <c r="R705" s="227"/>
      <c r="S705" s="227"/>
      <c r="T705" s="227"/>
      <c r="U705" s="227"/>
      <c r="V705" s="227"/>
      <c r="W705" s="227"/>
      <c r="X705" s="227"/>
      <c r="Y705" s="227"/>
      <c r="Z705" s="227"/>
      <c r="AA705" s="227"/>
      <c r="AB705" s="227"/>
      <c r="AC705" s="227"/>
      <c r="AD705" s="227"/>
      <c r="AE705" s="227"/>
      <c r="AF705" s="227"/>
      <c r="AG705" s="227"/>
      <c r="AH705" s="227"/>
      <c r="AI705" s="227"/>
      <c r="AJ705" s="227"/>
      <c r="AK705" s="227"/>
      <c r="AL705" s="227"/>
      <c r="AM705" s="227"/>
      <c r="AN705" s="227"/>
      <c r="AO705" s="227"/>
      <c r="AP705" s="227"/>
      <c r="AQ705" s="227"/>
      <c r="AR705" s="227"/>
      <c r="AS705" s="227"/>
      <c r="AT705" s="227"/>
      <c r="AU705" s="227"/>
      <c r="AV705" s="227"/>
      <c r="AW705" s="227"/>
      <c r="AX705" s="227"/>
      <c r="AY705" s="227"/>
      <c r="AZ705" s="227"/>
      <c r="BA705" s="227"/>
      <c r="BB705" s="227"/>
      <c r="BC705" s="227"/>
      <c r="BD705" s="227"/>
      <c r="BE705" s="227"/>
      <c r="BF705" s="227"/>
      <c r="BG705" s="227"/>
      <c r="BH705" s="227"/>
      <c r="BI705" s="227"/>
      <c r="BJ705" s="227"/>
      <c r="BK705" s="227"/>
      <c r="BL705" s="227"/>
      <c r="BM705" s="227"/>
      <c r="BN705" s="227"/>
      <c r="BO705" s="227"/>
      <c r="BP705" s="227"/>
      <c r="BQ705" s="227"/>
      <c r="BR705" s="227"/>
      <c r="BS705" s="227"/>
      <c r="BT705" s="227"/>
      <c r="BU705" s="227"/>
      <c r="BV705" s="227"/>
      <c r="BW705" s="227"/>
      <c r="BX705" s="227"/>
      <c r="BY705" s="227"/>
      <c r="BZ705" s="227"/>
      <c r="CA705" s="227"/>
      <c r="CB705" s="227"/>
      <c r="CC705" s="227"/>
      <c r="CD705" s="227"/>
      <c r="CE705" s="227"/>
      <c r="CF705" s="227"/>
      <c r="CG705" s="227"/>
      <c r="CH705" s="227"/>
      <c r="CI705" s="227"/>
      <c r="CJ705" s="227"/>
      <c r="CK705" s="227"/>
      <c r="CL705" s="227"/>
      <c r="CM705" s="227"/>
      <c r="CN705" s="227"/>
      <c r="CO705" s="227"/>
      <c r="CP705" s="227"/>
      <c r="CQ705" s="227"/>
      <c r="CR705" s="227"/>
      <c r="CS705" s="227"/>
      <c r="CT705" s="227"/>
      <c r="CU705" s="225"/>
      <c r="CV705" s="227"/>
    </row>
    <row r="706" spans="1:100" ht="20.100000000000001" customHeight="1">
      <c r="A706" s="227"/>
      <c r="B706" s="225"/>
      <c r="C706" s="227"/>
      <c r="D706" s="224"/>
      <c r="E706" s="227"/>
      <c r="F706" s="227"/>
      <c r="G706" s="227"/>
      <c r="H706" s="227"/>
      <c r="I706" s="227"/>
      <c r="J706" s="227"/>
      <c r="K706" s="227"/>
      <c r="L706" s="227"/>
      <c r="M706" s="227"/>
      <c r="N706" s="227"/>
      <c r="O706" s="227"/>
      <c r="P706" s="227"/>
      <c r="Q706" s="227"/>
      <c r="R706" s="227"/>
      <c r="S706" s="227"/>
      <c r="T706" s="227"/>
      <c r="U706" s="227"/>
      <c r="V706" s="227"/>
      <c r="W706" s="227"/>
      <c r="X706" s="227"/>
      <c r="Y706" s="227"/>
      <c r="Z706" s="227"/>
      <c r="AA706" s="227"/>
      <c r="AB706" s="227"/>
      <c r="AC706" s="227"/>
      <c r="AD706" s="227"/>
      <c r="AE706" s="227"/>
      <c r="AF706" s="227"/>
      <c r="AG706" s="227"/>
      <c r="AH706" s="227"/>
      <c r="AI706" s="227"/>
      <c r="AJ706" s="227"/>
      <c r="AK706" s="227"/>
      <c r="AL706" s="227"/>
      <c r="AM706" s="227"/>
      <c r="AN706" s="227"/>
      <c r="AO706" s="227"/>
      <c r="AP706" s="227"/>
      <c r="AQ706" s="227"/>
      <c r="AR706" s="227"/>
      <c r="AS706" s="227"/>
      <c r="AT706" s="227"/>
      <c r="AU706" s="227"/>
      <c r="AV706" s="227"/>
      <c r="AW706" s="227"/>
      <c r="AX706" s="227"/>
      <c r="AY706" s="227"/>
      <c r="AZ706" s="227"/>
      <c r="BA706" s="227"/>
      <c r="BB706" s="227"/>
      <c r="BC706" s="227"/>
      <c r="BD706" s="227"/>
      <c r="BE706" s="227"/>
      <c r="BF706" s="227"/>
      <c r="BG706" s="227"/>
      <c r="BH706" s="227"/>
      <c r="BI706" s="227"/>
      <c r="BJ706" s="227"/>
      <c r="BK706" s="227"/>
      <c r="BL706" s="227"/>
      <c r="BM706" s="227"/>
      <c r="BN706" s="227"/>
      <c r="BO706" s="227"/>
      <c r="BP706" s="227"/>
      <c r="BQ706" s="227"/>
      <c r="BR706" s="227"/>
      <c r="BS706" s="227"/>
      <c r="BT706" s="227"/>
      <c r="BU706" s="227"/>
      <c r="BV706" s="227"/>
      <c r="BW706" s="227"/>
      <c r="BX706" s="227"/>
      <c r="BY706" s="227"/>
      <c r="BZ706" s="227"/>
      <c r="CA706" s="227"/>
      <c r="CB706" s="227"/>
      <c r="CC706" s="227"/>
      <c r="CD706" s="227"/>
      <c r="CE706" s="227"/>
      <c r="CF706" s="227"/>
      <c r="CG706" s="227"/>
      <c r="CH706" s="227"/>
      <c r="CI706" s="227"/>
      <c r="CJ706" s="227"/>
      <c r="CK706" s="227"/>
      <c r="CL706" s="227"/>
      <c r="CM706" s="227"/>
      <c r="CN706" s="227"/>
      <c r="CO706" s="227"/>
      <c r="CP706" s="227"/>
      <c r="CQ706" s="227"/>
      <c r="CR706" s="227"/>
      <c r="CS706" s="227"/>
      <c r="CT706" s="227"/>
      <c r="CU706" s="225"/>
      <c r="CV706" s="227"/>
    </row>
    <row r="707" spans="1:100" ht="20.100000000000001" customHeight="1">
      <c r="A707" s="227">
        <v>350</v>
      </c>
      <c r="B707" s="225"/>
      <c r="C707" s="227"/>
      <c r="D707" s="228">
        <f>(SUMPRODUCT(E707:CU707*$E$6:$CU$6)/100)+(SUMPRODUCT(E707:CU707*$E$6:$CU$6*$E$3:$CU$3)/100)</f>
        <v>0</v>
      </c>
      <c r="E707" s="227"/>
      <c r="F707" s="227"/>
      <c r="G707" s="227"/>
      <c r="H707" s="227"/>
      <c r="I707" s="227"/>
      <c r="J707" s="227"/>
      <c r="K707" s="227"/>
      <c r="L707" s="227"/>
      <c r="M707" s="227"/>
      <c r="N707" s="227"/>
      <c r="O707" s="227"/>
      <c r="P707" s="227"/>
      <c r="Q707" s="227"/>
      <c r="R707" s="227"/>
      <c r="S707" s="227"/>
      <c r="T707" s="227"/>
      <c r="U707" s="227"/>
      <c r="V707" s="227"/>
      <c r="W707" s="227"/>
      <c r="X707" s="227"/>
      <c r="Y707" s="227"/>
      <c r="Z707" s="227"/>
      <c r="AA707" s="227"/>
      <c r="AB707" s="227"/>
      <c r="AC707" s="227"/>
      <c r="AD707" s="227"/>
      <c r="AE707" s="227"/>
      <c r="AF707" s="227"/>
      <c r="AG707" s="227"/>
      <c r="AH707" s="227"/>
      <c r="AI707" s="227"/>
      <c r="AJ707" s="227"/>
      <c r="AK707" s="227"/>
      <c r="AL707" s="227"/>
      <c r="AM707" s="227"/>
      <c r="AN707" s="227"/>
      <c r="AO707" s="227"/>
      <c r="AP707" s="227"/>
      <c r="AQ707" s="227"/>
      <c r="AR707" s="227"/>
      <c r="AS707" s="227"/>
      <c r="AT707" s="227"/>
      <c r="AU707" s="227"/>
      <c r="AV707" s="227"/>
      <c r="AW707" s="227"/>
      <c r="AX707" s="227"/>
      <c r="AY707" s="227"/>
      <c r="AZ707" s="227"/>
      <c r="BA707" s="227"/>
      <c r="BB707" s="227"/>
      <c r="BC707" s="227"/>
      <c r="BD707" s="227"/>
      <c r="BE707" s="227"/>
      <c r="BF707" s="227"/>
      <c r="BG707" s="227"/>
      <c r="BH707" s="227"/>
      <c r="BI707" s="227"/>
      <c r="BJ707" s="227"/>
      <c r="BK707" s="227"/>
      <c r="BL707" s="227"/>
      <c r="BM707" s="227"/>
      <c r="BN707" s="227"/>
      <c r="BO707" s="227"/>
      <c r="BP707" s="227"/>
      <c r="BQ707" s="227"/>
      <c r="BR707" s="227"/>
      <c r="BS707" s="227"/>
      <c r="BT707" s="227"/>
      <c r="BU707" s="227"/>
      <c r="BV707" s="227"/>
      <c r="BW707" s="227"/>
      <c r="BX707" s="227"/>
      <c r="BY707" s="227"/>
      <c r="BZ707" s="227"/>
      <c r="CA707" s="227"/>
      <c r="CB707" s="227"/>
      <c r="CC707" s="227"/>
      <c r="CD707" s="227"/>
      <c r="CE707" s="227"/>
      <c r="CF707" s="227"/>
      <c r="CG707" s="227"/>
      <c r="CH707" s="227"/>
      <c r="CI707" s="227"/>
      <c r="CJ707" s="227"/>
      <c r="CK707" s="227"/>
      <c r="CL707" s="227"/>
      <c r="CM707" s="227"/>
      <c r="CN707" s="227"/>
      <c r="CO707" s="227"/>
      <c r="CP707" s="227"/>
      <c r="CQ707" s="227"/>
      <c r="CR707" s="227"/>
      <c r="CS707" s="227"/>
      <c r="CT707" s="227"/>
      <c r="CU707" s="225"/>
      <c r="CV707" s="227"/>
    </row>
    <row r="708" spans="1:100" ht="20.100000000000001" customHeight="1">
      <c r="A708" s="223"/>
      <c r="B708" s="225"/>
      <c r="C708" s="227"/>
      <c r="D708" s="224"/>
      <c r="E708" s="227"/>
      <c r="F708" s="227"/>
      <c r="G708" s="227"/>
      <c r="H708" s="227"/>
      <c r="I708" s="227"/>
      <c r="J708" s="227"/>
      <c r="K708" s="227"/>
      <c r="L708" s="227"/>
      <c r="M708" s="227"/>
      <c r="N708" s="227"/>
      <c r="O708" s="227"/>
      <c r="P708" s="227"/>
      <c r="Q708" s="227"/>
      <c r="R708" s="227"/>
      <c r="S708" s="227"/>
      <c r="T708" s="227"/>
      <c r="U708" s="227"/>
      <c r="V708" s="227"/>
      <c r="W708" s="227"/>
      <c r="X708" s="227"/>
      <c r="Y708" s="227"/>
      <c r="Z708" s="227"/>
      <c r="AA708" s="227"/>
      <c r="AB708" s="227"/>
      <c r="AC708" s="227"/>
      <c r="AD708" s="227"/>
      <c r="AE708" s="227"/>
      <c r="AF708" s="227"/>
      <c r="AG708" s="227"/>
      <c r="AH708" s="227"/>
      <c r="AI708" s="227"/>
      <c r="AJ708" s="227"/>
      <c r="AK708" s="227"/>
      <c r="AL708" s="227"/>
      <c r="AM708" s="227"/>
      <c r="AN708" s="227"/>
      <c r="AO708" s="227"/>
      <c r="AP708" s="227"/>
      <c r="AQ708" s="227"/>
      <c r="AR708" s="227"/>
      <c r="AS708" s="227"/>
      <c r="AT708" s="227"/>
      <c r="AU708" s="227"/>
      <c r="AV708" s="227"/>
      <c r="AW708" s="227"/>
      <c r="AX708" s="227"/>
      <c r="AY708" s="227"/>
      <c r="AZ708" s="227"/>
      <c r="BA708" s="227"/>
      <c r="BB708" s="227"/>
      <c r="BC708" s="227"/>
      <c r="BD708" s="227"/>
      <c r="BE708" s="227"/>
      <c r="BF708" s="227"/>
      <c r="BG708" s="227"/>
      <c r="BH708" s="227"/>
      <c r="BI708" s="227"/>
      <c r="BJ708" s="227"/>
      <c r="BK708" s="227"/>
      <c r="BL708" s="227"/>
      <c r="BM708" s="227"/>
      <c r="BN708" s="227"/>
      <c r="BO708" s="227"/>
      <c r="BP708" s="227"/>
      <c r="BQ708" s="227"/>
      <c r="BR708" s="227"/>
      <c r="BS708" s="227"/>
      <c r="BT708" s="227"/>
      <c r="BU708" s="227"/>
      <c r="BV708" s="227"/>
      <c r="BW708" s="227"/>
      <c r="BX708" s="227"/>
      <c r="BY708" s="227"/>
      <c r="BZ708" s="227"/>
      <c r="CA708" s="227"/>
      <c r="CB708" s="227"/>
      <c r="CC708" s="227"/>
      <c r="CD708" s="227"/>
      <c r="CE708" s="227"/>
      <c r="CF708" s="227"/>
      <c r="CG708" s="227"/>
      <c r="CH708" s="227"/>
      <c r="CI708" s="227"/>
      <c r="CJ708" s="227"/>
      <c r="CK708" s="227"/>
      <c r="CL708" s="227"/>
      <c r="CM708" s="227"/>
      <c r="CN708" s="227"/>
      <c r="CO708" s="227"/>
      <c r="CP708" s="227"/>
      <c r="CQ708" s="227"/>
      <c r="CR708" s="227"/>
      <c r="CS708" s="227"/>
      <c r="CT708" s="227"/>
      <c r="CU708" s="225"/>
      <c r="CV708" s="227"/>
    </row>
    <row r="709" spans="1:100" ht="20.100000000000001" customHeight="1">
      <c r="A709" s="227">
        <v>351</v>
      </c>
      <c r="B709" s="225"/>
      <c r="C709" s="227"/>
      <c r="D709" s="228">
        <f>(SUMPRODUCT(E709:CU709*$E$6:$CU$6)/100)+(SUMPRODUCT(E709:CU709*$E$6:$CU$6*$E$3:$CU$3)/100)</f>
        <v>0</v>
      </c>
      <c r="E709" s="227"/>
      <c r="F709" s="227"/>
      <c r="G709" s="227"/>
      <c r="H709" s="227"/>
      <c r="I709" s="227"/>
      <c r="J709" s="227"/>
      <c r="K709" s="227"/>
      <c r="L709" s="227"/>
      <c r="M709" s="227"/>
      <c r="N709" s="227"/>
      <c r="O709" s="227"/>
      <c r="P709" s="227"/>
      <c r="Q709" s="227"/>
      <c r="R709" s="227"/>
      <c r="S709" s="227"/>
      <c r="T709" s="227"/>
      <c r="U709" s="227"/>
      <c r="V709" s="227"/>
      <c r="W709" s="227"/>
      <c r="X709" s="227"/>
      <c r="Y709" s="227"/>
      <c r="Z709" s="227"/>
      <c r="AA709" s="227"/>
      <c r="AB709" s="227"/>
      <c r="AC709" s="227"/>
      <c r="AD709" s="227"/>
      <c r="AE709" s="227"/>
      <c r="AF709" s="227"/>
      <c r="AG709" s="227"/>
      <c r="AH709" s="227"/>
      <c r="AI709" s="227"/>
      <c r="AJ709" s="227"/>
      <c r="AK709" s="227"/>
      <c r="AL709" s="227"/>
      <c r="AM709" s="227"/>
      <c r="AN709" s="227"/>
      <c r="AO709" s="227"/>
      <c r="AP709" s="227"/>
      <c r="AQ709" s="227"/>
      <c r="AR709" s="227"/>
      <c r="AS709" s="227"/>
      <c r="AT709" s="227"/>
      <c r="AU709" s="227"/>
      <c r="AV709" s="227"/>
      <c r="AW709" s="227"/>
      <c r="AX709" s="227"/>
      <c r="AY709" s="227"/>
      <c r="AZ709" s="227"/>
      <c r="BA709" s="227"/>
      <c r="BB709" s="227"/>
      <c r="BC709" s="227"/>
      <c r="BD709" s="227"/>
      <c r="BE709" s="227"/>
      <c r="BF709" s="227"/>
      <c r="BG709" s="227"/>
      <c r="BH709" s="227"/>
      <c r="BI709" s="227"/>
      <c r="BJ709" s="227"/>
      <c r="BK709" s="227"/>
      <c r="BL709" s="227"/>
      <c r="BM709" s="227"/>
      <c r="BN709" s="227"/>
      <c r="BO709" s="227"/>
      <c r="BP709" s="227"/>
      <c r="BQ709" s="227"/>
      <c r="BR709" s="227"/>
      <c r="BS709" s="227"/>
      <c r="BT709" s="227"/>
      <c r="BU709" s="227"/>
      <c r="BV709" s="227"/>
      <c r="BW709" s="227"/>
      <c r="BX709" s="227"/>
      <c r="BY709" s="227"/>
      <c r="BZ709" s="227"/>
      <c r="CA709" s="227"/>
      <c r="CB709" s="227"/>
      <c r="CC709" s="227"/>
      <c r="CD709" s="227"/>
      <c r="CE709" s="227"/>
      <c r="CF709" s="227"/>
      <c r="CG709" s="227"/>
      <c r="CH709" s="227"/>
      <c r="CI709" s="227"/>
      <c r="CJ709" s="227"/>
      <c r="CK709" s="227"/>
      <c r="CL709" s="227"/>
      <c r="CM709" s="227"/>
      <c r="CN709" s="227"/>
      <c r="CO709" s="227"/>
      <c r="CP709" s="227"/>
      <c r="CQ709" s="227"/>
      <c r="CR709" s="227"/>
      <c r="CS709" s="227"/>
      <c r="CT709" s="227"/>
      <c r="CU709" s="225"/>
      <c r="CV709" s="227"/>
    </row>
    <row r="710" spans="1:100" ht="20.100000000000001" customHeight="1">
      <c r="A710" s="227"/>
      <c r="B710" s="225"/>
      <c r="C710" s="227"/>
      <c r="D710" s="224"/>
      <c r="E710" s="227"/>
      <c r="F710" s="227"/>
      <c r="G710" s="227"/>
      <c r="H710" s="227"/>
      <c r="I710" s="227"/>
      <c r="J710" s="227"/>
      <c r="K710" s="227"/>
      <c r="L710" s="227"/>
      <c r="M710" s="227"/>
      <c r="N710" s="227"/>
      <c r="O710" s="227"/>
      <c r="P710" s="227"/>
      <c r="Q710" s="227"/>
      <c r="R710" s="227"/>
      <c r="S710" s="227"/>
      <c r="T710" s="227"/>
      <c r="U710" s="227"/>
      <c r="V710" s="227"/>
      <c r="W710" s="227"/>
      <c r="X710" s="227"/>
      <c r="Y710" s="227"/>
      <c r="Z710" s="227"/>
      <c r="AA710" s="227"/>
      <c r="AB710" s="227"/>
      <c r="AC710" s="227"/>
      <c r="AD710" s="227"/>
      <c r="AE710" s="227"/>
      <c r="AF710" s="227"/>
      <c r="AG710" s="227"/>
      <c r="AH710" s="227"/>
      <c r="AI710" s="227"/>
      <c r="AJ710" s="227"/>
      <c r="AK710" s="227"/>
      <c r="AL710" s="227"/>
      <c r="AM710" s="227"/>
      <c r="AN710" s="227"/>
      <c r="AO710" s="227"/>
      <c r="AP710" s="227"/>
      <c r="AQ710" s="227"/>
      <c r="AR710" s="227"/>
      <c r="AS710" s="227"/>
      <c r="AT710" s="227"/>
      <c r="AU710" s="227"/>
      <c r="AV710" s="227"/>
      <c r="AW710" s="227"/>
      <c r="AX710" s="227"/>
      <c r="AY710" s="227"/>
      <c r="AZ710" s="227"/>
      <c r="BA710" s="227"/>
      <c r="BB710" s="227"/>
      <c r="BC710" s="227"/>
      <c r="BD710" s="227"/>
      <c r="BE710" s="227"/>
      <c r="BF710" s="227"/>
      <c r="BG710" s="227"/>
      <c r="BH710" s="227"/>
      <c r="BI710" s="227"/>
      <c r="BJ710" s="227"/>
      <c r="BK710" s="227"/>
      <c r="BL710" s="227"/>
      <c r="BM710" s="227"/>
      <c r="BN710" s="227"/>
      <c r="BO710" s="227"/>
      <c r="BP710" s="227"/>
      <c r="BQ710" s="227"/>
      <c r="BR710" s="227"/>
      <c r="BS710" s="227"/>
      <c r="BT710" s="227"/>
      <c r="BU710" s="227"/>
      <c r="BV710" s="227"/>
      <c r="BW710" s="227"/>
      <c r="BX710" s="227"/>
      <c r="BY710" s="227"/>
      <c r="BZ710" s="227"/>
      <c r="CA710" s="227"/>
      <c r="CB710" s="227"/>
      <c r="CC710" s="227"/>
      <c r="CD710" s="227"/>
      <c r="CE710" s="227"/>
      <c r="CF710" s="227"/>
      <c r="CG710" s="227"/>
      <c r="CH710" s="227"/>
      <c r="CI710" s="227"/>
      <c r="CJ710" s="227"/>
      <c r="CK710" s="227"/>
      <c r="CL710" s="227"/>
      <c r="CM710" s="227"/>
      <c r="CN710" s="227"/>
      <c r="CO710" s="227"/>
      <c r="CP710" s="227"/>
      <c r="CQ710" s="227"/>
      <c r="CR710" s="227"/>
      <c r="CS710" s="227"/>
      <c r="CT710" s="227"/>
      <c r="CU710" s="225"/>
      <c r="CV710" s="227"/>
    </row>
    <row r="711" spans="1:100" ht="20.100000000000001" customHeight="1">
      <c r="A711" s="227">
        <v>352</v>
      </c>
      <c r="B711" s="225"/>
      <c r="C711" s="227"/>
      <c r="D711" s="228">
        <f>(SUMPRODUCT(E711:CU711*$E$6:$CU$6)/100)+(SUMPRODUCT(E711:CU711*$E$6:$CU$6*$E$3:$CU$3)/100)</f>
        <v>0</v>
      </c>
      <c r="E711" s="227"/>
      <c r="F711" s="227"/>
      <c r="G711" s="227"/>
      <c r="H711" s="227"/>
      <c r="I711" s="227"/>
      <c r="J711" s="227"/>
      <c r="K711" s="227"/>
      <c r="L711" s="227"/>
      <c r="M711" s="227"/>
      <c r="N711" s="227"/>
      <c r="O711" s="227"/>
      <c r="P711" s="227"/>
      <c r="Q711" s="227"/>
      <c r="R711" s="227"/>
      <c r="S711" s="227"/>
      <c r="T711" s="227"/>
      <c r="U711" s="227"/>
      <c r="V711" s="227"/>
      <c r="W711" s="227"/>
      <c r="X711" s="227"/>
      <c r="Y711" s="227"/>
      <c r="Z711" s="227"/>
      <c r="AA711" s="227"/>
      <c r="AB711" s="227"/>
      <c r="AC711" s="227"/>
      <c r="AD711" s="227"/>
      <c r="AE711" s="227"/>
      <c r="AF711" s="227"/>
      <c r="AG711" s="227"/>
      <c r="AH711" s="227"/>
      <c r="AI711" s="227"/>
      <c r="AJ711" s="227"/>
      <c r="AK711" s="227"/>
      <c r="AL711" s="227"/>
      <c r="AM711" s="227"/>
      <c r="AN711" s="227"/>
      <c r="AO711" s="227"/>
      <c r="AP711" s="227"/>
      <c r="AQ711" s="227"/>
      <c r="AR711" s="227"/>
      <c r="AS711" s="227"/>
      <c r="AT711" s="227"/>
      <c r="AU711" s="227"/>
      <c r="AV711" s="227"/>
      <c r="AW711" s="227"/>
      <c r="AX711" s="227"/>
      <c r="AY711" s="227"/>
      <c r="AZ711" s="227"/>
      <c r="BA711" s="227"/>
      <c r="BB711" s="227"/>
      <c r="BC711" s="227"/>
      <c r="BD711" s="227"/>
      <c r="BE711" s="227"/>
      <c r="BF711" s="227"/>
      <c r="BG711" s="227"/>
      <c r="BH711" s="227"/>
      <c r="BI711" s="227"/>
      <c r="BJ711" s="227"/>
      <c r="BK711" s="227"/>
      <c r="BL711" s="227"/>
      <c r="BM711" s="227"/>
      <c r="BN711" s="227"/>
      <c r="BO711" s="227"/>
      <c r="BP711" s="227"/>
      <c r="BQ711" s="227"/>
      <c r="BR711" s="227"/>
      <c r="BS711" s="227"/>
      <c r="BT711" s="227"/>
      <c r="BU711" s="227"/>
      <c r="BV711" s="227"/>
      <c r="BW711" s="227"/>
      <c r="BX711" s="227"/>
      <c r="BY711" s="227"/>
      <c r="BZ711" s="227"/>
      <c r="CA711" s="227"/>
      <c r="CB711" s="227"/>
      <c r="CC711" s="227"/>
      <c r="CD711" s="227"/>
      <c r="CE711" s="227"/>
      <c r="CF711" s="227"/>
      <c r="CG711" s="227"/>
      <c r="CH711" s="227"/>
      <c r="CI711" s="227"/>
      <c r="CJ711" s="227"/>
      <c r="CK711" s="227"/>
      <c r="CL711" s="227"/>
      <c r="CM711" s="227"/>
      <c r="CN711" s="227"/>
      <c r="CO711" s="227"/>
      <c r="CP711" s="227"/>
      <c r="CQ711" s="227"/>
      <c r="CR711" s="227"/>
      <c r="CS711" s="227"/>
      <c r="CT711" s="227"/>
      <c r="CU711" s="225"/>
      <c r="CV711" s="227"/>
    </row>
    <row r="712" spans="1:100" ht="20.100000000000001" customHeight="1">
      <c r="A712" s="223"/>
      <c r="B712" s="225"/>
      <c r="C712" s="227"/>
      <c r="D712" s="224"/>
      <c r="E712" s="227"/>
      <c r="F712" s="227"/>
      <c r="G712" s="227"/>
      <c r="H712" s="227"/>
      <c r="I712" s="227"/>
      <c r="J712" s="227"/>
      <c r="K712" s="227"/>
      <c r="L712" s="227"/>
      <c r="M712" s="227"/>
      <c r="N712" s="227"/>
      <c r="O712" s="227"/>
      <c r="P712" s="227"/>
      <c r="Q712" s="227"/>
      <c r="R712" s="227"/>
      <c r="S712" s="227"/>
      <c r="T712" s="227"/>
      <c r="U712" s="227"/>
      <c r="V712" s="227"/>
      <c r="W712" s="227"/>
      <c r="X712" s="227"/>
      <c r="Y712" s="227"/>
      <c r="Z712" s="227"/>
      <c r="AA712" s="227"/>
      <c r="AB712" s="227"/>
      <c r="AC712" s="227"/>
      <c r="AD712" s="227"/>
      <c r="AE712" s="227"/>
      <c r="AF712" s="227"/>
      <c r="AG712" s="227"/>
      <c r="AH712" s="227"/>
      <c r="AI712" s="227"/>
      <c r="AJ712" s="227"/>
      <c r="AK712" s="227"/>
      <c r="AL712" s="227"/>
      <c r="AM712" s="227"/>
      <c r="AN712" s="227"/>
      <c r="AO712" s="227"/>
      <c r="AP712" s="227"/>
      <c r="AQ712" s="227"/>
      <c r="AR712" s="227"/>
      <c r="AS712" s="227"/>
      <c r="AT712" s="227"/>
      <c r="AU712" s="227"/>
      <c r="AV712" s="227"/>
      <c r="AW712" s="227"/>
      <c r="AX712" s="227"/>
      <c r="AY712" s="227"/>
      <c r="AZ712" s="227"/>
      <c r="BA712" s="227"/>
      <c r="BB712" s="227"/>
      <c r="BC712" s="227"/>
      <c r="BD712" s="227"/>
      <c r="BE712" s="227"/>
      <c r="BF712" s="227"/>
      <c r="BG712" s="227"/>
      <c r="BH712" s="227"/>
      <c r="BI712" s="227"/>
      <c r="BJ712" s="227"/>
      <c r="BK712" s="227"/>
      <c r="BL712" s="227"/>
      <c r="BM712" s="227"/>
      <c r="BN712" s="227"/>
      <c r="BO712" s="227"/>
      <c r="BP712" s="227"/>
      <c r="BQ712" s="227"/>
      <c r="BR712" s="227"/>
      <c r="BS712" s="227"/>
      <c r="BT712" s="227"/>
      <c r="BU712" s="227"/>
      <c r="BV712" s="227"/>
      <c r="BW712" s="227"/>
      <c r="BX712" s="227"/>
      <c r="BY712" s="227"/>
      <c r="BZ712" s="227"/>
      <c r="CA712" s="227"/>
      <c r="CB712" s="227"/>
      <c r="CC712" s="227"/>
      <c r="CD712" s="227"/>
      <c r="CE712" s="227"/>
      <c r="CF712" s="227"/>
      <c r="CG712" s="227"/>
      <c r="CH712" s="227"/>
      <c r="CI712" s="227"/>
      <c r="CJ712" s="227"/>
      <c r="CK712" s="227"/>
      <c r="CL712" s="227"/>
      <c r="CM712" s="227"/>
      <c r="CN712" s="227"/>
      <c r="CO712" s="227"/>
      <c r="CP712" s="227"/>
      <c r="CQ712" s="227"/>
      <c r="CR712" s="227"/>
      <c r="CS712" s="227"/>
      <c r="CT712" s="227"/>
      <c r="CU712" s="225"/>
      <c r="CV712" s="227"/>
    </row>
    <row r="713" spans="1:100" ht="20.100000000000001" customHeight="1">
      <c r="A713" s="227">
        <v>353</v>
      </c>
      <c r="B713" s="225"/>
      <c r="C713" s="227"/>
      <c r="D713" s="228">
        <f>(SUMPRODUCT(E713:CU713*$E$6:$CU$6)/100)+(SUMPRODUCT(E713:CU713*$E$6:$CU$6*$E$3:$CU$3)/100)</f>
        <v>0</v>
      </c>
      <c r="E713" s="227"/>
      <c r="F713" s="227"/>
      <c r="G713" s="227"/>
      <c r="H713" s="227"/>
      <c r="I713" s="227"/>
      <c r="J713" s="227"/>
      <c r="K713" s="227"/>
      <c r="L713" s="227"/>
      <c r="M713" s="227"/>
      <c r="N713" s="227"/>
      <c r="O713" s="227"/>
      <c r="P713" s="227"/>
      <c r="Q713" s="227"/>
      <c r="R713" s="227"/>
      <c r="S713" s="227"/>
      <c r="T713" s="227"/>
      <c r="U713" s="227"/>
      <c r="V713" s="227"/>
      <c r="W713" s="227"/>
      <c r="X713" s="227"/>
      <c r="Y713" s="227"/>
      <c r="Z713" s="227"/>
      <c r="AA713" s="227"/>
      <c r="AB713" s="227"/>
      <c r="AC713" s="227"/>
      <c r="AD713" s="227"/>
      <c r="AE713" s="227"/>
      <c r="AF713" s="227"/>
      <c r="AG713" s="227"/>
      <c r="AH713" s="227"/>
      <c r="AI713" s="227"/>
      <c r="AJ713" s="227"/>
      <c r="AK713" s="227"/>
      <c r="AL713" s="227"/>
      <c r="AM713" s="227"/>
      <c r="AN713" s="227"/>
      <c r="AO713" s="227"/>
      <c r="AP713" s="227"/>
      <c r="AQ713" s="227"/>
      <c r="AR713" s="227"/>
      <c r="AS713" s="227"/>
      <c r="AT713" s="227"/>
      <c r="AU713" s="227"/>
      <c r="AV713" s="227"/>
      <c r="AW713" s="227"/>
      <c r="AX713" s="227"/>
      <c r="AY713" s="227"/>
      <c r="AZ713" s="227"/>
      <c r="BA713" s="227"/>
      <c r="BB713" s="227"/>
      <c r="BC713" s="227"/>
      <c r="BD713" s="227"/>
      <c r="BE713" s="227"/>
      <c r="BF713" s="227"/>
      <c r="BG713" s="227"/>
      <c r="BH713" s="227"/>
      <c r="BI713" s="227"/>
      <c r="BJ713" s="227"/>
      <c r="BK713" s="227"/>
      <c r="BL713" s="227"/>
      <c r="BM713" s="227"/>
      <c r="BN713" s="227"/>
      <c r="BO713" s="227"/>
      <c r="BP713" s="227"/>
      <c r="BQ713" s="227"/>
      <c r="BR713" s="227"/>
      <c r="BS713" s="227"/>
      <c r="BT713" s="227"/>
      <c r="BU713" s="227"/>
      <c r="BV713" s="227"/>
      <c r="BW713" s="227"/>
      <c r="BX713" s="227"/>
      <c r="BY713" s="227"/>
      <c r="BZ713" s="227"/>
      <c r="CA713" s="227"/>
      <c r="CB713" s="227"/>
      <c r="CC713" s="227"/>
      <c r="CD713" s="227"/>
      <c r="CE713" s="227"/>
      <c r="CF713" s="227"/>
      <c r="CG713" s="227"/>
      <c r="CH713" s="227"/>
      <c r="CI713" s="227"/>
      <c r="CJ713" s="227"/>
      <c r="CK713" s="227"/>
      <c r="CL713" s="227"/>
      <c r="CM713" s="227"/>
      <c r="CN713" s="227"/>
      <c r="CO713" s="227"/>
      <c r="CP713" s="227"/>
      <c r="CQ713" s="227"/>
      <c r="CR713" s="227"/>
      <c r="CS713" s="227"/>
      <c r="CT713" s="227"/>
      <c r="CU713" s="225"/>
      <c r="CV713" s="227"/>
    </row>
    <row r="714" spans="1:100" ht="20.100000000000001" customHeight="1">
      <c r="A714" s="227"/>
      <c r="B714" s="225"/>
      <c r="C714" s="227"/>
      <c r="D714" s="224"/>
      <c r="E714" s="227"/>
      <c r="F714" s="227"/>
      <c r="G714" s="227"/>
      <c r="H714" s="227"/>
      <c r="I714" s="227"/>
      <c r="J714" s="227"/>
      <c r="K714" s="227"/>
      <c r="L714" s="227"/>
      <c r="M714" s="227"/>
      <c r="N714" s="227"/>
      <c r="O714" s="227"/>
      <c r="P714" s="227"/>
      <c r="Q714" s="227"/>
      <c r="R714" s="227"/>
      <c r="S714" s="227"/>
      <c r="T714" s="227"/>
      <c r="U714" s="227"/>
      <c r="V714" s="227"/>
      <c r="W714" s="227"/>
      <c r="X714" s="227"/>
      <c r="Y714" s="227"/>
      <c r="Z714" s="227"/>
      <c r="AA714" s="227"/>
      <c r="AB714" s="227"/>
      <c r="AC714" s="227"/>
      <c r="AD714" s="227"/>
      <c r="AE714" s="227"/>
      <c r="AF714" s="227"/>
      <c r="AG714" s="227"/>
      <c r="AH714" s="227"/>
      <c r="AI714" s="227"/>
      <c r="AJ714" s="227"/>
      <c r="AK714" s="227"/>
      <c r="AL714" s="227"/>
      <c r="AM714" s="227"/>
      <c r="AN714" s="227"/>
      <c r="AO714" s="227"/>
      <c r="AP714" s="227"/>
      <c r="AQ714" s="227"/>
      <c r="AR714" s="227"/>
      <c r="AS714" s="227"/>
      <c r="AT714" s="227"/>
      <c r="AU714" s="227"/>
      <c r="AV714" s="227"/>
      <c r="AW714" s="227"/>
      <c r="AX714" s="227"/>
      <c r="AY714" s="227"/>
      <c r="AZ714" s="227"/>
      <c r="BA714" s="227"/>
      <c r="BB714" s="227"/>
      <c r="BC714" s="227"/>
      <c r="BD714" s="227"/>
      <c r="BE714" s="227"/>
      <c r="BF714" s="227"/>
      <c r="BG714" s="227"/>
      <c r="BH714" s="227"/>
      <c r="BI714" s="227"/>
      <c r="BJ714" s="227"/>
      <c r="BK714" s="227"/>
      <c r="BL714" s="227"/>
      <c r="BM714" s="227"/>
      <c r="BN714" s="227"/>
      <c r="BO714" s="227"/>
      <c r="BP714" s="227"/>
      <c r="BQ714" s="227"/>
      <c r="BR714" s="227"/>
      <c r="BS714" s="227"/>
      <c r="BT714" s="227"/>
      <c r="BU714" s="227"/>
      <c r="BV714" s="227"/>
      <c r="BW714" s="227"/>
      <c r="BX714" s="227"/>
      <c r="BY714" s="227"/>
      <c r="BZ714" s="227"/>
      <c r="CA714" s="227"/>
      <c r="CB714" s="227"/>
      <c r="CC714" s="227"/>
      <c r="CD714" s="227"/>
      <c r="CE714" s="227"/>
      <c r="CF714" s="227"/>
      <c r="CG714" s="227"/>
      <c r="CH714" s="227"/>
      <c r="CI714" s="227"/>
      <c r="CJ714" s="227"/>
      <c r="CK714" s="227"/>
      <c r="CL714" s="227"/>
      <c r="CM714" s="227"/>
      <c r="CN714" s="227"/>
      <c r="CO714" s="227"/>
      <c r="CP714" s="227"/>
      <c r="CQ714" s="227"/>
      <c r="CR714" s="227"/>
      <c r="CS714" s="227"/>
      <c r="CT714" s="227"/>
      <c r="CU714" s="225"/>
      <c r="CV714" s="227"/>
    </row>
    <row r="715" spans="1:100" ht="20.100000000000001" customHeight="1">
      <c r="A715" s="227"/>
      <c r="B715" s="225"/>
      <c r="C715" s="227"/>
      <c r="D715" s="228">
        <f>(SUMPRODUCT(E715:CU715*$E$6:$CU$6)/100)+(SUMPRODUCT(E715:CU715*$E$6:$CU$6*$E$3:$CU$3)/100)</f>
        <v>0</v>
      </c>
      <c r="E715" s="227"/>
      <c r="F715" s="227"/>
      <c r="G715" s="227"/>
      <c r="H715" s="227"/>
      <c r="I715" s="227"/>
      <c r="J715" s="227"/>
      <c r="K715" s="227"/>
      <c r="L715" s="227"/>
      <c r="M715" s="227"/>
      <c r="N715" s="227"/>
      <c r="O715" s="227"/>
      <c r="P715" s="227"/>
      <c r="Q715" s="227"/>
      <c r="R715" s="227"/>
      <c r="S715" s="227"/>
      <c r="T715" s="227"/>
      <c r="U715" s="227"/>
      <c r="V715" s="227"/>
      <c r="W715" s="227"/>
      <c r="X715" s="227"/>
      <c r="Y715" s="227"/>
      <c r="Z715" s="227"/>
      <c r="AA715" s="227"/>
      <c r="AB715" s="227"/>
      <c r="AC715" s="227"/>
      <c r="AD715" s="227"/>
      <c r="AE715" s="227"/>
      <c r="AF715" s="227"/>
      <c r="AG715" s="227"/>
      <c r="AH715" s="227"/>
      <c r="AI715" s="227"/>
      <c r="AJ715" s="227"/>
      <c r="AK715" s="227"/>
      <c r="AL715" s="227"/>
      <c r="AM715" s="227"/>
      <c r="AN715" s="227"/>
      <c r="AO715" s="227"/>
      <c r="AP715" s="227"/>
      <c r="AQ715" s="227"/>
      <c r="AR715" s="227"/>
      <c r="AS715" s="227"/>
      <c r="AT715" s="227"/>
      <c r="AU715" s="227"/>
      <c r="AV715" s="227"/>
      <c r="AW715" s="227"/>
      <c r="AX715" s="227"/>
      <c r="AY715" s="227"/>
      <c r="AZ715" s="227"/>
      <c r="BA715" s="227"/>
      <c r="BB715" s="227"/>
      <c r="BC715" s="227"/>
      <c r="BD715" s="227"/>
      <c r="BE715" s="227"/>
      <c r="BF715" s="227"/>
      <c r="BG715" s="227"/>
      <c r="BH715" s="227"/>
      <c r="BI715" s="227"/>
      <c r="BJ715" s="227"/>
      <c r="BK715" s="227"/>
      <c r="BL715" s="227"/>
      <c r="BM715" s="227"/>
      <c r="BN715" s="227"/>
      <c r="BO715" s="227"/>
      <c r="BP715" s="227"/>
      <c r="BQ715" s="227"/>
      <c r="BR715" s="227"/>
      <c r="BS715" s="227"/>
      <c r="BT715" s="227"/>
      <c r="BU715" s="227"/>
      <c r="BV715" s="227"/>
      <c r="BW715" s="227"/>
      <c r="BX715" s="227"/>
      <c r="BY715" s="227"/>
      <c r="BZ715" s="227"/>
      <c r="CA715" s="227"/>
      <c r="CB715" s="227"/>
      <c r="CC715" s="227"/>
      <c r="CD715" s="227"/>
      <c r="CE715" s="227"/>
      <c r="CF715" s="227"/>
      <c r="CG715" s="227"/>
      <c r="CH715" s="227"/>
      <c r="CI715" s="227"/>
      <c r="CJ715" s="227"/>
      <c r="CK715" s="227"/>
      <c r="CL715" s="227"/>
      <c r="CM715" s="227"/>
      <c r="CN715" s="227"/>
      <c r="CO715" s="227"/>
      <c r="CP715" s="227"/>
      <c r="CQ715" s="227"/>
      <c r="CR715" s="227"/>
      <c r="CS715" s="227"/>
      <c r="CT715" s="227"/>
      <c r="CU715" s="225"/>
      <c r="CV715" s="227"/>
    </row>
    <row r="716" spans="1:100" ht="20.100000000000001" customHeight="1">
      <c r="A716" s="227"/>
      <c r="B716" s="225"/>
      <c r="C716" s="227"/>
      <c r="D716" s="224"/>
      <c r="E716" s="227"/>
      <c r="F716" s="227"/>
      <c r="G716" s="227"/>
      <c r="H716" s="227"/>
      <c r="I716" s="227"/>
      <c r="J716" s="227"/>
      <c r="K716" s="227"/>
      <c r="L716" s="227"/>
      <c r="M716" s="227"/>
      <c r="N716" s="227"/>
      <c r="O716" s="227"/>
      <c r="P716" s="227"/>
      <c r="Q716" s="227"/>
      <c r="R716" s="227"/>
      <c r="S716" s="227"/>
      <c r="T716" s="227"/>
      <c r="U716" s="227"/>
      <c r="V716" s="227"/>
      <c r="W716" s="227"/>
      <c r="X716" s="227"/>
      <c r="Y716" s="227"/>
      <c r="Z716" s="227"/>
      <c r="AA716" s="227"/>
      <c r="AB716" s="227"/>
      <c r="AC716" s="227"/>
      <c r="AD716" s="227"/>
      <c r="AE716" s="227"/>
      <c r="AF716" s="227"/>
      <c r="AG716" s="227"/>
      <c r="AH716" s="227"/>
      <c r="AI716" s="227"/>
      <c r="AJ716" s="227"/>
      <c r="AK716" s="227"/>
      <c r="AL716" s="227"/>
      <c r="AM716" s="227"/>
      <c r="AN716" s="227"/>
      <c r="AO716" s="227"/>
      <c r="AP716" s="227"/>
      <c r="AQ716" s="227"/>
      <c r="AR716" s="227"/>
      <c r="AS716" s="227"/>
      <c r="AT716" s="227"/>
      <c r="AU716" s="227"/>
      <c r="AV716" s="227"/>
      <c r="AW716" s="227"/>
      <c r="AX716" s="227"/>
      <c r="AY716" s="227"/>
      <c r="AZ716" s="227"/>
      <c r="BA716" s="227"/>
      <c r="BB716" s="227"/>
      <c r="BC716" s="227"/>
      <c r="BD716" s="227"/>
      <c r="BE716" s="227"/>
      <c r="BF716" s="227"/>
      <c r="BG716" s="227"/>
      <c r="BH716" s="227"/>
      <c r="BI716" s="227"/>
      <c r="BJ716" s="227"/>
      <c r="BK716" s="227"/>
      <c r="BL716" s="227"/>
      <c r="BM716" s="227"/>
      <c r="BN716" s="227"/>
      <c r="BO716" s="227"/>
      <c r="BP716" s="227"/>
      <c r="BQ716" s="227"/>
      <c r="BR716" s="227"/>
      <c r="BS716" s="227"/>
      <c r="BT716" s="227"/>
      <c r="BU716" s="227"/>
      <c r="BV716" s="227"/>
      <c r="BW716" s="227"/>
      <c r="BX716" s="227"/>
      <c r="BY716" s="227"/>
      <c r="BZ716" s="227"/>
      <c r="CA716" s="227"/>
      <c r="CB716" s="227"/>
      <c r="CC716" s="227"/>
      <c r="CD716" s="227"/>
      <c r="CE716" s="227"/>
      <c r="CF716" s="227"/>
      <c r="CG716" s="227"/>
      <c r="CH716" s="227"/>
      <c r="CI716" s="227"/>
      <c r="CJ716" s="227"/>
      <c r="CK716" s="227"/>
      <c r="CL716" s="227"/>
      <c r="CM716" s="227"/>
      <c r="CN716" s="227"/>
      <c r="CO716" s="227"/>
      <c r="CP716" s="227"/>
      <c r="CQ716" s="227"/>
      <c r="CR716" s="227"/>
      <c r="CS716" s="227"/>
      <c r="CT716" s="227"/>
      <c r="CU716" s="225"/>
      <c r="CV716" s="227"/>
    </row>
    <row r="717" spans="1:100" ht="20.100000000000001" customHeight="1">
      <c r="A717" s="227"/>
      <c r="B717" s="225"/>
      <c r="C717" s="227"/>
      <c r="D717" s="228">
        <f>(SUMPRODUCT(E717:CU717*$E$6:$CU$6)/100)+(SUMPRODUCT(E717:CU717*$E$6:$CU$6*$E$3:$CU$3)/100)</f>
        <v>0</v>
      </c>
      <c r="E717" s="227"/>
      <c r="F717" s="227"/>
      <c r="G717" s="227"/>
      <c r="H717" s="227"/>
      <c r="I717" s="227"/>
      <c r="J717" s="227"/>
      <c r="K717" s="227"/>
      <c r="L717" s="227"/>
      <c r="M717" s="227"/>
      <c r="N717" s="227"/>
      <c r="O717" s="227"/>
      <c r="P717" s="227"/>
      <c r="Q717" s="227"/>
      <c r="R717" s="227"/>
      <c r="S717" s="227"/>
      <c r="T717" s="227"/>
      <c r="U717" s="227"/>
      <c r="V717" s="227"/>
      <c r="W717" s="227"/>
      <c r="X717" s="227"/>
      <c r="Y717" s="227"/>
      <c r="Z717" s="227"/>
      <c r="AA717" s="227"/>
      <c r="AB717" s="227"/>
      <c r="AC717" s="227"/>
      <c r="AD717" s="227"/>
      <c r="AE717" s="227"/>
      <c r="AF717" s="227"/>
      <c r="AG717" s="227"/>
      <c r="AH717" s="227"/>
      <c r="AI717" s="227"/>
      <c r="AJ717" s="227"/>
      <c r="AK717" s="227"/>
      <c r="AL717" s="227"/>
      <c r="AM717" s="227"/>
      <c r="AN717" s="227"/>
      <c r="AO717" s="227"/>
      <c r="AP717" s="227"/>
      <c r="AQ717" s="227"/>
      <c r="AR717" s="227"/>
      <c r="AS717" s="227"/>
      <c r="AT717" s="227"/>
      <c r="AU717" s="227"/>
      <c r="AV717" s="227"/>
      <c r="AW717" s="227"/>
      <c r="AX717" s="227"/>
      <c r="AY717" s="227"/>
      <c r="AZ717" s="227"/>
      <c r="BA717" s="227"/>
      <c r="BB717" s="227"/>
      <c r="BC717" s="227"/>
      <c r="BD717" s="227"/>
      <c r="BE717" s="227"/>
      <c r="BF717" s="227"/>
      <c r="BG717" s="227"/>
      <c r="BH717" s="227"/>
      <c r="BI717" s="227"/>
      <c r="BJ717" s="227"/>
      <c r="BK717" s="227"/>
      <c r="BL717" s="227"/>
      <c r="BM717" s="227"/>
      <c r="BN717" s="227"/>
      <c r="BO717" s="227"/>
      <c r="BP717" s="227"/>
      <c r="BQ717" s="227"/>
      <c r="BR717" s="227"/>
      <c r="BS717" s="227"/>
      <c r="BT717" s="227"/>
      <c r="BU717" s="227"/>
      <c r="BV717" s="227"/>
      <c r="BW717" s="227"/>
      <c r="BX717" s="227"/>
      <c r="BY717" s="227"/>
      <c r="BZ717" s="227"/>
      <c r="CA717" s="227"/>
      <c r="CB717" s="227"/>
      <c r="CC717" s="227"/>
      <c r="CD717" s="227"/>
      <c r="CE717" s="227"/>
      <c r="CF717" s="227"/>
      <c r="CG717" s="227"/>
      <c r="CH717" s="227"/>
      <c r="CI717" s="227"/>
      <c r="CJ717" s="227"/>
      <c r="CK717" s="227"/>
      <c r="CL717" s="227"/>
      <c r="CM717" s="227"/>
      <c r="CN717" s="227"/>
      <c r="CO717" s="227"/>
      <c r="CP717" s="227"/>
      <c r="CQ717" s="227"/>
      <c r="CR717" s="227"/>
      <c r="CS717" s="227"/>
      <c r="CT717" s="227"/>
      <c r="CU717" s="225"/>
      <c r="CV717" s="227"/>
    </row>
    <row r="718" spans="1:100" ht="20.100000000000001" customHeight="1">
      <c r="A718" s="227"/>
      <c r="B718" s="225"/>
      <c r="C718" s="227"/>
      <c r="D718" s="224"/>
      <c r="E718" s="227"/>
      <c r="F718" s="227"/>
      <c r="G718" s="227"/>
      <c r="H718" s="227"/>
      <c r="I718" s="227"/>
      <c r="J718" s="227"/>
      <c r="K718" s="227"/>
      <c r="L718" s="227"/>
      <c r="M718" s="227"/>
      <c r="N718" s="227"/>
      <c r="O718" s="227"/>
      <c r="P718" s="227"/>
      <c r="Q718" s="227"/>
      <c r="R718" s="227"/>
      <c r="S718" s="227"/>
      <c r="T718" s="227"/>
      <c r="U718" s="227"/>
      <c r="V718" s="227"/>
      <c r="W718" s="227"/>
      <c r="X718" s="227"/>
      <c r="Y718" s="227"/>
      <c r="Z718" s="227"/>
      <c r="AA718" s="227"/>
      <c r="AB718" s="227"/>
      <c r="AC718" s="227"/>
      <c r="AD718" s="227"/>
      <c r="AE718" s="227"/>
      <c r="AF718" s="227"/>
      <c r="AG718" s="227"/>
      <c r="AH718" s="227"/>
      <c r="AI718" s="227"/>
      <c r="AJ718" s="227"/>
      <c r="AK718" s="227"/>
      <c r="AL718" s="227"/>
      <c r="AM718" s="227"/>
      <c r="AN718" s="227"/>
      <c r="AO718" s="227"/>
      <c r="AP718" s="227"/>
      <c r="AQ718" s="227"/>
      <c r="AR718" s="227"/>
      <c r="AS718" s="227"/>
      <c r="AT718" s="227"/>
      <c r="AU718" s="227"/>
      <c r="AV718" s="227"/>
      <c r="AW718" s="227"/>
      <c r="AX718" s="227"/>
      <c r="AY718" s="227"/>
      <c r="AZ718" s="227"/>
      <c r="BA718" s="227"/>
      <c r="BB718" s="227"/>
      <c r="BC718" s="227"/>
      <c r="BD718" s="227"/>
      <c r="BE718" s="227"/>
      <c r="BF718" s="227"/>
      <c r="BG718" s="227"/>
      <c r="BH718" s="227"/>
      <c r="BI718" s="227"/>
      <c r="BJ718" s="227"/>
      <c r="BK718" s="227"/>
      <c r="BL718" s="227"/>
      <c r="BM718" s="227"/>
      <c r="BN718" s="227"/>
      <c r="BO718" s="227"/>
      <c r="BP718" s="227"/>
      <c r="BQ718" s="227"/>
      <c r="BR718" s="227"/>
      <c r="BS718" s="227"/>
      <c r="BT718" s="227"/>
      <c r="BU718" s="227"/>
      <c r="BV718" s="227"/>
      <c r="BW718" s="227"/>
      <c r="BX718" s="227"/>
      <c r="BY718" s="227"/>
      <c r="BZ718" s="227"/>
      <c r="CA718" s="227"/>
      <c r="CB718" s="227"/>
      <c r="CC718" s="227"/>
      <c r="CD718" s="227"/>
      <c r="CE718" s="227"/>
      <c r="CF718" s="227"/>
      <c r="CG718" s="227"/>
      <c r="CH718" s="227"/>
      <c r="CI718" s="227"/>
      <c r="CJ718" s="227"/>
      <c r="CK718" s="227"/>
      <c r="CL718" s="227"/>
      <c r="CM718" s="227"/>
      <c r="CN718" s="227"/>
      <c r="CO718" s="227"/>
      <c r="CP718" s="227"/>
      <c r="CQ718" s="227"/>
      <c r="CR718" s="227"/>
      <c r="CS718" s="227"/>
      <c r="CT718" s="227"/>
      <c r="CU718" s="225"/>
      <c r="CV718" s="227"/>
    </row>
    <row r="719" spans="1:100" ht="20.100000000000001" customHeight="1">
      <c r="A719" s="227"/>
      <c r="B719" s="225"/>
      <c r="C719" s="227"/>
      <c r="D719" s="228">
        <f>(SUMPRODUCT(E719:CU719*$E$6:$CU$6)/100)+(SUMPRODUCT(E719:CU719*$E$6:$CU$6*$E$3:$CU$3)/100)</f>
        <v>0</v>
      </c>
      <c r="E719" s="227"/>
      <c r="F719" s="227"/>
      <c r="G719" s="227"/>
      <c r="H719" s="227"/>
      <c r="I719" s="227"/>
      <c r="J719" s="227"/>
      <c r="K719" s="227"/>
      <c r="L719" s="227"/>
      <c r="M719" s="227"/>
      <c r="N719" s="227"/>
      <c r="O719" s="227"/>
      <c r="P719" s="227"/>
      <c r="Q719" s="227"/>
      <c r="R719" s="227"/>
      <c r="S719" s="227"/>
      <c r="T719" s="227"/>
      <c r="U719" s="227"/>
      <c r="V719" s="227"/>
      <c r="W719" s="227"/>
      <c r="X719" s="227"/>
      <c r="Y719" s="227"/>
      <c r="Z719" s="227"/>
      <c r="AA719" s="227"/>
      <c r="AB719" s="227"/>
      <c r="AC719" s="227"/>
      <c r="AD719" s="227"/>
      <c r="AE719" s="227"/>
      <c r="AF719" s="227"/>
      <c r="AG719" s="227"/>
      <c r="AH719" s="227"/>
      <c r="AI719" s="227"/>
      <c r="AJ719" s="227"/>
      <c r="AK719" s="227"/>
      <c r="AL719" s="227"/>
      <c r="AM719" s="227"/>
      <c r="AN719" s="227"/>
      <c r="AO719" s="227"/>
      <c r="AP719" s="227"/>
      <c r="AQ719" s="227"/>
      <c r="AR719" s="227"/>
      <c r="AS719" s="227"/>
      <c r="AT719" s="227"/>
      <c r="AU719" s="227"/>
      <c r="AV719" s="227"/>
      <c r="AW719" s="227"/>
      <c r="AX719" s="227"/>
      <c r="AY719" s="227"/>
      <c r="AZ719" s="227"/>
      <c r="BA719" s="227"/>
      <c r="BB719" s="227"/>
      <c r="BC719" s="227"/>
      <c r="BD719" s="227"/>
      <c r="BE719" s="227"/>
      <c r="BF719" s="227"/>
      <c r="BG719" s="227"/>
      <c r="BH719" s="227"/>
      <c r="BI719" s="227"/>
      <c r="BJ719" s="227"/>
      <c r="BK719" s="227"/>
      <c r="BL719" s="227"/>
      <c r="BM719" s="227"/>
      <c r="BN719" s="227"/>
      <c r="BO719" s="227"/>
      <c r="BP719" s="227"/>
      <c r="BQ719" s="227"/>
      <c r="BR719" s="227"/>
      <c r="BS719" s="227"/>
      <c r="BT719" s="227"/>
      <c r="BU719" s="227"/>
      <c r="BV719" s="227"/>
      <c r="BW719" s="227"/>
      <c r="BX719" s="227"/>
      <c r="BY719" s="227"/>
      <c r="BZ719" s="227"/>
      <c r="CA719" s="227"/>
      <c r="CB719" s="227"/>
      <c r="CC719" s="227"/>
      <c r="CD719" s="227"/>
      <c r="CE719" s="227"/>
      <c r="CF719" s="227"/>
      <c r="CG719" s="227"/>
      <c r="CH719" s="227"/>
      <c r="CI719" s="227"/>
      <c r="CJ719" s="227"/>
      <c r="CK719" s="227"/>
      <c r="CL719" s="227"/>
      <c r="CM719" s="227"/>
      <c r="CN719" s="227"/>
      <c r="CO719" s="227"/>
      <c r="CP719" s="227"/>
      <c r="CQ719" s="227"/>
      <c r="CR719" s="227"/>
      <c r="CS719" s="227"/>
      <c r="CT719" s="227"/>
      <c r="CU719" s="225"/>
      <c r="CV719" s="227"/>
    </row>
    <row r="720" spans="1:100" ht="20.100000000000001" customHeight="1">
      <c r="A720" s="227"/>
      <c r="B720" s="225"/>
      <c r="C720" s="227"/>
      <c r="D720" s="224"/>
      <c r="E720" s="227"/>
      <c r="F720" s="227"/>
      <c r="G720" s="227"/>
      <c r="H720" s="227"/>
      <c r="I720" s="227"/>
      <c r="J720" s="227"/>
      <c r="K720" s="227"/>
      <c r="L720" s="227"/>
      <c r="M720" s="227"/>
      <c r="N720" s="227"/>
      <c r="O720" s="227"/>
      <c r="P720" s="227"/>
      <c r="Q720" s="227"/>
      <c r="R720" s="227"/>
      <c r="S720" s="227"/>
      <c r="T720" s="227"/>
      <c r="U720" s="227"/>
      <c r="V720" s="227"/>
      <c r="W720" s="227"/>
      <c r="X720" s="227"/>
      <c r="Y720" s="227"/>
      <c r="Z720" s="227"/>
      <c r="AA720" s="227"/>
      <c r="AB720" s="227"/>
      <c r="AC720" s="227"/>
      <c r="AD720" s="227"/>
      <c r="AE720" s="227"/>
      <c r="AF720" s="227"/>
      <c r="AG720" s="227"/>
      <c r="AH720" s="227"/>
      <c r="AI720" s="227"/>
      <c r="AJ720" s="227"/>
      <c r="AK720" s="227"/>
      <c r="AL720" s="227"/>
      <c r="AM720" s="227"/>
      <c r="AN720" s="227"/>
      <c r="AO720" s="227"/>
      <c r="AP720" s="227"/>
      <c r="AQ720" s="227"/>
      <c r="AR720" s="227"/>
      <c r="AS720" s="227"/>
      <c r="AT720" s="227"/>
      <c r="AU720" s="227"/>
      <c r="AV720" s="227"/>
      <c r="AW720" s="227"/>
      <c r="AX720" s="227"/>
      <c r="AY720" s="227"/>
      <c r="AZ720" s="227"/>
      <c r="BA720" s="227"/>
      <c r="BB720" s="227"/>
      <c r="BC720" s="227"/>
      <c r="BD720" s="227"/>
      <c r="BE720" s="227"/>
      <c r="BF720" s="227"/>
      <c r="BG720" s="227"/>
      <c r="BH720" s="227"/>
      <c r="BI720" s="227"/>
      <c r="BJ720" s="227"/>
      <c r="BK720" s="227"/>
      <c r="BL720" s="227"/>
      <c r="BM720" s="227"/>
      <c r="BN720" s="227"/>
      <c r="BO720" s="227"/>
      <c r="BP720" s="227"/>
      <c r="BQ720" s="227"/>
      <c r="BR720" s="227"/>
      <c r="BS720" s="227"/>
      <c r="BT720" s="227"/>
      <c r="BU720" s="227"/>
      <c r="BV720" s="227"/>
      <c r="BW720" s="227"/>
      <c r="BX720" s="227"/>
      <c r="BY720" s="227"/>
      <c r="BZ720" s="227"/>
      <c r="CA720" s="227"/>
      <c r="CB720" s="227"/>
      <c r="CC720" s="227"/>
      <c r="CD720" s="227"/>
      <c r="CE720" s="227"/>
      <c r="CF720" s="227"/>
      <c r="CG720" s="227"/>
      <c r="CH720" s="227"/>
      <c r="CI720" s="227"/>
      <c r="CJ720" s="227"/>
      <c r="CK720" s="227"/>
      <c r="CL720" s="227"/>
      <c r="CM720" s="227"/>
      <c r="CN720" s="227"/>
      <c r="CO720" s="227"/>
      <c r="CP720" s="227"/>
      <c r="CQ720" s="227"/>
      <c r="CR720" s="227"/>
      <c r="CS720" s="227"/>
      <c r="CT720" s="227"/>
      <c r="CU720" s="225"/>
      <c r="CV720" s="227"/>
    </row>
    <row r="721" spans="1:100" ht="20.100000000000001" customHeight="1">
      <c r="A721" s="227"/>
      <c r="B721" s="225"/>
      <c r="C721" s="227"/>
      <c r="D721" s="228">
        <f>(SUMPRODUCT(E721:CU721*$E$6:$CU$6)/100)+(SUMPRODUCT(E721:CU721*$E$6:$CU$6*$E$3:$CU$3)/100)</f>
        <v>0</v>
      </c>
      <c r="E721" s="227"/>
      <c r="F721" s="227"/>
      <c r="G721" s="227"/>
      <c r="H721" s="227"/>
      <c r="I721" s="227"/>
      <c r="J721" s="227"/>
      <c r="K721" s="227"/>
      <c r="L721" s="227"/>
      <c r="M721" s="227"/>
      <c r="N721" s="227"/>
      <c r="O721" s="227"/>
      <c r="P721" s="227"/>
      <c r="Q721" s="227"/>
      <c r="R721" s="227"/>
      <c r="S721" s="227"/>
      <c r="T721" s="227"/>
      <c r="U721" s="227"/>
      <c r="V721" s="227"/>
      <c r="W721" s="227"/>
      <c r="X721" s="227"/>
      <c r="Y721" s="227"/>
      <c r="Z721" s="227"/>
      <c r="AA721" s="227"/>
      <c r="AB721" s="227"/>
      <c r="AC721" s="227"/>
      <c r="AD721" s="227"/>
      <c r="AE721" s="227"/>
      <c r="AF721" s="227"/>
      <c r="AG721" s="227"/>
      <c r="AH721" s="227"/>
      <c r="AI721" s="227"/>
      <c r="AJ721" s="227"/>
      <c r="AK721" s="227"/>
      <c r="AL721" s="227"/>
      <c r="AM721" s="227"/>
      <c r="AN721" s="227"/>
      <c r="AO721" s="227"/>
      <c r="AP721" s="227"/>
      <c r="AQ721" s="227"/>
      <c r="AR721" s="227"/>
      <c r="AS721" s="227"/>
      <c r="AT721" s="227"/>
      <c r="AU721" s="227"/>
      <c r="AV721" s="227"/>
      <c r="AW721" s="227"/>
      <c r="AX721" s="227"/>
      <c r="AY721" s="227"/>
      <c r="AZ721" s="227"/>
      <c r="BA721" s="227"/>
      <c r="BB721" s="227"/>
      <c r="BC721" s="227"/>
      <c r="BD721" s="227"/>
      <c r="BE721" s="227"/>
      <c r="BF721" s="227"/>
      <c r="BG721" s="227"/>
      <c r="BH721" s="227"/>
      <c r="BI721" s="227"/>
      <c r="BJ721" s="227"/>
      <c r="BK721" s="227"/>
      <c r="BL721" s="227"/>
      <c r="BM721" s="227"/>
      <c r="BN721" s="227"/>
      <c r="BO721" s="227"/>
      <c r="BP721" s="227"/>
      <c r="BQ721" s="227"/>
      <c r="BR721" s="227"/>
      <c r="BS721" s="227"/>
      <c r="BT721" s="227"/>
      <c r="BU721" s="227"/>
      <c r="BV721" s="227"/>
      <c r="BW721" s="227"/>
      <c r="BX721" s="227"/>
      <c r="BY721" s="227"/>
      <c r="BZ721" s="227"/>
      <c r="CA721" s="227"/>
      <c r="CB721" s="227"/>
      <c r="CC721" s="227"/>
      <c r="CD721" s="227"/>
      <c r="CE721" s="227"/>
      <c r="CF721" s="227"/>
      <c r="CG721" s="227"/>
      <c r="CH721" s="227"/>
      <c r="CI721" s="227"/>
      <c r="CJ721" s="227"/>
      <c r="CK721" s="227"/>
      <c r="CL721" s="227"/>
      <c r="CM721" s="227"/>
      <c r="CN721" s="227"/>
      <c r="CO721" s="227"/>
      <c r="CP721" s="227"/>
      <c r="CQ721" s="227"/>
      <c r="CR721" s="227"/>
      <c r="CS721" s="227"/>
      <c r="CT721" s="227"/>
      <c r="CU721" s="225"/>
      <c r="CV721" s="227"/>
    </row>
    <row r="722" spans="1:100" ht="20.100000000000001" customHeight="1">
      <c r="A722" s="227"/>
      <c r="B722" s="225"/>
      <c r="C722" s="227"/>
      <c r="D722" s="224"/>
      <c r="E722" s="227"/>
      <c r="F722" s="227"/>
      <c r="G722" s="227"/>
      <c r="H722" s="227"/>
      <c r="I722" s="227"/>
      <c r="J722" s="227"/>
      <c r="K722" s="227"/>
      <c r="L722" s="227"/>
      <c r="M722" s="227"/>
      <c r="N722" s="227"/>
      <c r="O722" s="227"/>
      <c r="P722" s="227"/>
      <c r="Q722" s="227"/>
      <c r="R722" s="227"/>
      <c r="S722" s="227"/>
      <c r="T722" s="227"/>
      <c r="U722" s="227"/>
      <c r="V722" s="227"/>
      <c r="W722" s="227"/>
      <c r="X722" s="227"/>
      <c r="Y722" s="227"/>
      <c r="Z722" s="227"/>
      <c r="AA722" s="227"/>
      <c r="AB722" s="227"/>
      <c r="AC722" s="227"/>
      <c r="AD722" s="227"/>
      <c r="AE722" s="227"/>
      <c r="AF722" s="227"/>
      <c r="AG722" s="227"/>
      <c r="AH722" s="227"/>
      <c r="AI722" s="227"/>
      <c r="AJ722" s="227"/>
      <c r="AK722" s="227"/>
      <c r="AL722" s="227"/>
      <c r="AM722" s="227"/>
      <c r="AN722" s="227"/>
      <c r="AO722" s="227"/>
      <c r="AP722" s="227"/>
      <c r="AQ722" s="227"/>
      <c r="AR722" s="227"/>
      <c r="AS722" s="227"/>
      <c r="AT722" s="227"/>
      <c r="AU722" s="227"/>
      <c r="AV722" s="227"/>
      <c r="AW722" s="227"/>
      <c r="AX722" s="227"/>
      <c r="AY722" s="227"/>
      <c r="AZ722" s="227"/>
      <c r="BA722" s="227"/>
      <c r="BB722" s="227"/>
      <c r="BC722" s="227"/>
      <c r="BD722" s="227"/>
      <c r="BE722" s="227"/>
      <c r="BF722" s="227"/>
      <c r="BG722" s="227"/>
      <c r="BH722" s="227"/>
      <c r="BI722" s="227"/>
      <c r="BJ722" s="227"/>
      <c r="BK722" s="227"/>
      <c r="BL722" s="227"/>
      <c r="BM722" s="227"/>
      <c r="BN722" s="227"/>
      <c r="BO722" s="227"/>
      <c r="BP722" s="227"/>
      <c r="BQ722" s="227"/>
      <c r="BR722" s="227"/>
      <c r="BS722" s="227"/>
      <c r="BT722" s="227"/>
      <c r="BU722" s="227"/>
      <c r="BV722" s="227"/>
      <c r="BW722" s="227"/>
      <c r="BX722" s="227"/>
      <c r="BY722" s="227"/>
      <c r="BZ722" s="227"/>
      <c r="CA722" s="227"/>
      <c r="CB722" s="227"/>
      <c r="CC722" s="227"/>
      <c r="CD722" s="227"/>
      <c r="CE722" s="227"/>
      <c r="CF722" s="227"/>
      <c r="CG722" s="227"/>
      <c r="CH722" s="227"/>
      <c r="CI722" s="227"/>
      <c r="CJ722" s="227"/>
      <c r="CK722" s="227"/>
      <c r="CL722" s="227"/>
      <c r="CM722" s="227"/>
      <c r="CN722" s="227"/>
      <c r="CO722" s="227"/>
      <c r="CP722" s="227"/>
      <c r="CQ722" s="227"/>
      <c r="CR722" s="227"/>
      <c r="CS722" s="227"/>
      <c r="CT722" s="227"/>
      <c r="CU722" s="225"/>
      <c r="CV722" s="227"/>
    </row>
    <row r="723" spans="1:100" ht="20.100000000000001" customHeight="1">
      <c r="A723" s="227"/>
      <c r="B723" s="225"/>
      <c r="C723" s="227"/>
      <c r="D723" s="228">
        <f>(SUMPRODUCT(E723:CU723*$E$6:$CU$6)/100)+(SUMPRODUCT(E723:CU723*$E$6:$CU$6*$E$3:$CU$3)/100)</f>
        <v>0</v>
      </c>
      <c r="E723" s="227"/>
      <c r="F723" s="227"/>
      <c r="G723" s="227"/>
      <c r="H723" s="227"/>
      <c r="I723" s="227"/>
      <c r="J723" s="227"/>
      <c r="K723" s="227"/>
      <c r="L723" s="227"/>
      <c r="M723" s="227"/>
      <c r="N723" s="227"/>
      <c r="O723" s="227"/>
      <c r="P723" s="227"/>
      <c r="Q723" s="227"/>
      <c r="R723" s="227"/>
      <c r="S723" s="227"/>
      <c r="T723" s="227"/>
      <c r="U723" s="227"/>
      <c r="V723" s="227"/>
      <c r="W723" s="227"/>
      <c r="X723" s="227"/>
      <c r="Y723" s="227"/>
      <c r="Z723" s="227"/>
      <c r="AA723" s="227"/>
      <c r="AB723" s="227"/>
      <c r="AC723" s="227"/>
      <c r="AD723" s="227"/>
      <c r="AE723" s="227"/>
      <c r="AF723" s="227"/>
      <c r="AG723" s="227"/>
      <c r="AH723" s="227"/>
      <c r="AI723" s="227"/>
      <c r="AJ723" s="227"/>
      <c r="AK723" s="227"/>
      <c r="AL723" s="227"/>
      <c r="AM723" s="227"/>
      <c r="AN723" s="227"/>
      <c r="AO723" s="227"/>
      <c r="AP723" s="227"/>
      <c r="AQ723" s="227"/>
      <c r="AR723" s="227"/>
      <c r="AS723" s="227"/>
      <c r="AT723" s="227"/>
      <c r="AU723" s="227"/>
      <c r="AV723" s="227"/>
      <c r="AW723" s="227"/>
      <c r="AX723" s="227"/>
      <c r="AY723" s="227"/>
      <c r="AZ723" s="227"/>
      <c r="BA723" s="227"/>
      <c r="BB723" s="227"/>
      <c r="BC723" s="227"/>
      <c r="BD723" s="227"/>
      <c r="BE723" s="227"/>
      <c r="BF723" s="227"/>
      <c r="BG723" s="227"/>
      <c r="BH723" s="227"/>
      <c r="BI723" s="227"/>
      <c r="BJ723" s="227"/>
      <c r="BK723" s="227"/>
      <c r="BL723" s="227"/>
      <c r="BM723" s="227"/>
      <c r="BN723" s="227"/>
      <c r="BO723" s="227"/>
      <c r="BP723" s="227"/>
      <c r="BQ723" s="227"/>
      <c r="BR723" s="227"/>
      <c r="BS723" s="227"/>
      <c r="BT723" s="227"/>
      <c r="BU723" s="227"/>
      <c r="BV723" s="227"/>
      <c r="BW723" s="227"/>
      <c r="BX723" s="227"/>
      <c r="BY723" s="227"/>
      <c r="BZ723" s="227"/>
      <c r="CA723" s="227"/>
      <c r="CB723" s="227"/>
      <c r="CC723" s="227"/>
      <c r="CD723" s="227"/>
      <c r="CE723" s="227"/>
      <c r="CF723" s="227"/>
      <c r="CG723" s="227"/>
      <c r="CH723" s="227"/>
      <c r="CI723" s="227"/>
      <c r="CJ723" s="227"/>
      <c r="CK723" s="227"/>
      <c r="CL723" s="227"/>
      <c r="CM723" s="227"/>
      <c r="CN723" s="227"/>
      <c r="CO723" s="227"/>
      <c r="CP723" s="227"/>
      <c r="CQ723" s="227"/>
      <c r="CR723" s="227"/>
      <c r="CS723" s="227"/>
      <c r="CT723" s="227"/>
      <c r="CU723" s="225"/>
      <c r="CV723" s="227"/>
    </row>
    <row r="724" spans="1:100" ht="20.100000000000001" customHeight="1">
      <c r="A724" s="227"/>
      <c r="B724" s="225"/>
      <c r="C724" s="227"/>
      <c r="D724" s="224"/>
      <c r="E724" s="227"/>
      <c r="F724" s="227"/>
      <c r="G724" s="227"/>
      <c r="H724" s="227"/>
      <c r="I724" s="227"/>
      <c r="J724" s="227"/>
      <c r="K724" s="227"/>
      <c r="L724" s="227"/>
      <c r="M724" s="227"/>
      <c r="N724" s="227"/>
      <c r="O724" s="227"/>
      <c r="P724" s="227"/>
      <c r="Q724" s="227"/>
      <c r="R724" s="227"/>
      <c r="S724" s="227"/>
      <c r="T724" s="227"/>
      <c r="U724" s="227"/>
      <c r="V724" s="227"/>
      <c r="W724" s="227"/>
      <c r="X724" s="227"/>
      <c r="Y724" s="227"/>
      <c r="Z724" s="227"/>
      <c r="AA724" s="227"/>
      <c r="AB724" s="227"/>
      <c r="AC724" s="227"/>
      <c r="AD724" s="227"/>
      <c r="AE724" s="227"/>
      <c r="AF724" s="227"/>
      <c r="AG724" s="227"/>
      <c r="AH724" s="227"/>
      <c r="AI724" s="227"/>
      <c r="AJ724" s="227"/>
      <c r="AK724" s="227"/>
      <c r="AL724" s="227"/>
      <c r="AM724" s="227"/>
      <c r="AN724" s="227"/>
      <c r="AO724" s="227"/>
      <c r="AP724" s="227"/>
      <c r="AQ724" s="227"/>
      <c r="AR724" s="227"/>
      <c r="AS724" s="227"/>
      <c r="AT724" s="227"/>
      <c r="AU724" s="227"/>
      <c r="AV724" s="227"/>
      <c r="AW724" s="227"/>
      <c r="AX724" s="227"/>
      <c r="AY724" s="227"/>
      <c r="AZ724" s="227"/>
      <c r="BA724" s="227"/>
      <c r="BB724" s="227"/>
      <c r="BC724" s="227"/>
      <c r="BD724" s="227"/>
      <c r="BE724" s="227"/>
      <c r="BF724" s="227"/>
      <c r="BG724" s="227"/>
      <c r="BH724" s="227"/>
      <c r="BI724" s="227"/>
      <c r="BJ724" s="227"/>
      <c r="BK724" s="227"/>
      <c r="BL724" s="227"/>
      <c r="BM724" s="227"/>
      <c r="BN724" s="227"/>
      <c r="BO724" s="227"/>
      <c r="BP724" s="227"/>
      <c r="BQ724" s="227"/>
      <c r="BR724" s="227"/>
      <c r="BS724" s="227"/>
      <c r="BT724" s="227"/>
      <c r="BU724" s="227"/>
      <c r="BV724" s="227"/>
      <c r="BW724" s="227"/>
      <c r="BX724" s="227"/>
      <c r="BY724" s="227"/>
      <c r="BZ724" s="227"/>
      <c r="CA724" s="227"/>
      <c r="CB724" s="227"/>
      <c r="CC724" s="227"/>
      <c r="CD724" s="227"/>
      <c r="CE724" s="227"/>
      <c r="CF724" s="227"/>
      <c r="CG724" s="227"/>
      <c r="CH724" s="227"/>
      <c r="CI724" s="227"/>
      <c r="CJ724" s="227"/>
      <c r="CK724" s="227"/>
      <c r="CL724" s="227"/>
      <c r="CM724" s="227"/>
      <c r="CN724" s="227"/>
      <c r="CO724" s="227"/>
      <c r="CP724" s="227"/>
      <c r="CQ724" s="227"/>
      <c r="CR724" s="227"/>
      <c r="CS724" s="227"/>
      <c r="CT724" s="227"/>
      <c r="CU724" s="225"/>
      <c r="CV724" s="227"/>
    </row>
    <row r="725" spans="1:100" ht="20.100000000000001" customHeight="1">
      <c r="A725" s="227"/>
      <c r="B725" s="225"/>
      <c r="C725" s="227"/>
      <c r="D725" s="228">
        <f>(SUMPRODUCT(E725:CU725*$E$6:$CU$6)/100)+(SUMPRODUCT(E725:CU725*$E$6:$CU$6*$E$3:$CU$3)/100)</f>
        <v>0</v>
      </c>
      <c r="E725" s="227"/>
      <c r="F725" s="227"/>
      <c r="G725" s="227"/>
      <c r="H725" s="227"/>
      <c r="I725" s="227"/>
      <c r="J725" s="227"/>
      <c r="K725" s="227"/>
      <c r="L725" s="227"/>
      <c r="M725" s="227"/>
      <c r="N725" s="227"/>
      <c r="O725" s="227"/>
      <c r="P725" s="227"/>
      <c r="Q725" s="227"/>
      <c r="R725" s="227"/>
      <c r="S725" s="227"/>
      <c r="T725" s="227"/>
      <c r="U725" s="227"/>
      <c r="V725" s="227"/>
      <c r="W725" s="227"/>
      <c r="X725" s="227"/>
      <c r="Y725" s="227"/>
      <c r="Z725" s="227"/>
      <c r="AA725" s="227"/>
      <c r="AB725" s="227"/>
      <c r="AC725" s="227"/>
      <c r="AD725" s="227"/>
      <c r="AE725" s="227"/>
      <c r="AF725" s="227"/>
      <c r="AG725" s="227"/>
      <c r="AH725" s="227"/>
      <c r="AI725" s="227"/>
      <c r="AJ725" s="227"/>
      <c r="AK725" s="227"/>
      <c r="AL725" s="227"/>
      <c r="AM725" s="227"/>
      <c r="AN725" s="227"/>
      <c r="AO725" s="227"/>
      <c r="AP725" s="227"/>
      <c r="AQ725" s="227"/>
      <c r="AR725" s="227"/>
      <c r="AS725" s="227"/>
      <c r="AT725" s="227"/>
      <c r="AU725" s="227"/>
      <c r="AV725" s="227"/>
      <c r="AW725" s="227"/>
      <c r="AX725" s="227"/>
      <c r="AY725" s="227"/>
      <c r="AZ725" s="227"/>
      <c r="BA725" s="227"/>
      <c r="BB725" s="227"/>
      <c r="BC725" s="227"/>
      <c r="BD725" s="227"/>
      <c r="BE725" s="227"/>
      <c r="BF725" s="227"/>
      <c r="BG725" s="227"/>
      <c r="BH725" s="227"/>
      <c r="BI725" s="227"/>
      <c r="BJ725" s="227"/>
      <c r="BK725" s="227"/>
      <c r="BL725" s="227"/>
      <c r="BM725" s="227"/>
      <c r="BN725" s="227"/>
      <c r="BO725" s="227"/>
      <c r="BP725" s="227"/>
      <c r="BQ725" s="227"/>
      <c r="BR725" s="227"/>
      <c r="BS725" s="227"/>
      <c r="BT725" s="227"/>
      <c r="BU725" s="227"/>
      <c r="BV725" s="227"/>
      <c r="BW725" s="227"/>
      <c r="BX725" s="227"/>
      <c r="BY725" s="227"/>
      <c r="BZ725" s="227"/>
      <c r="CA725" s="227"/>
      <c r="CB725" s="227"/>
      <c r="CC725" s="227"/>
      <c r="CD725" s="227"/>
      <c r="CE725" s="227"/>
      <c r="CF725" s="227"/>
      <c r="CG725" s="227"/>
      <c r="CH725" s="227"/>
      <c r="CI725" s="227"/>
      <c r="CJ725" s="227"/>
      <c r="CK725" s="227"/>
      <c r="CL725" s="227"/>
      <c r="CM725" s="227"/>
      <c r="CN725" s="227"/>
      <c r="CO725" s="227"/>
      <c r="CP725" s="227"/>
      <c r="CQ725" s="227"/>
      <c r="CR725" s="227"/>
      <c r="CS725" s="227"/>
      <c r="CT725" s="227"/>
      <c r="CU725" s="225"/>
      <c r="CV725" s="227"/>
    </row>
    <row r="726" spans="1:100" ht="20.100000000000001" customHeight="1">
      <c r="A726" s="227"/>
      <c r="B726" s="225"/>
      <c r="C726" s="227"/>
      <c r="D726" s="224"/>
      <c r="E726" s="227"/>
      <c r="F726" s="227"/>
      <c r="G726" s="227"/>
      <c r="H726" s="227"/>
      <c r="I726" s="227"/>
      <c r="J726" s="227"/>
      <c r="K726" s="227"/>
      <c r="L726" s="227"/>
      <c r="M726" s="227"/>
      <c r="N726" s="227"/>
      <c r="O726" s="227"/>
      <c r="P726" s="227"/>
      <c r="Q726" s="227"/>
      <c r="R726" s="227"/>
      <c r="S726" s="227"/>
      <c r="T726" s="227"/>
      <c r="U726" s="227"/>
      <c r="V726" s="227"/>
      <c r="W726" s="227"/>
      <c r="X726" s="227"/>
      <c r="Y726" s="227"/>
      <c r="Z726" s="227"/>
      <c r="AA726" s="227"/>
      <c r="AB726" s="227"/>
      <c r="AC726" s="227"/>
      <c r="AD726" s="227"/>
      <c r="AE726" s="227"/>
      <c r="AF726" s="227"/>
      <c r="AG726" s="227"/>
      <c r="AH726" s="227"/>
      <c r="AI726" s="227"/>
      <c r="AJ726" s="227"/>
      <c r="AK726" s="227"/>
      <c r="AL726" s="227"/>
      <c r="AM726" s="227"/>
      <c r="AN726" s="227"/>
      <c r="AO726" s="227"/>
      <c r="AP726" s="227"/>
      <c r="AQ726" s="227"/>
      <c r="AR726" s="227"/>
      <c r="AS726" s="227"/>
      <c r="AT726" s="227"/>
      <c r="AU726" s="227"/>
      <c r="AV726" s="227"/>
      <c r="AW726" s="227"/>
      <c r="AX726" s="227"/>
      <c r="AY726" s="227"/>
      <c r="AZ726" s="227"/>
      <c r="BA726" s="227"/>
      <c r="BB726" s="227"/>
      <c r="BC726" s="227"/>
      <c r="BD726" s="227"/>
      <c r="BE726" s="227"/>
      <c r="BF726" s="227"/>
      <c r="BG726" s="227"/>
      <c r="BH726" s="227"/>
      <c r="BI726" s="227"/>
      <c r="BJ726" s="227"/>
      <c r="BK726" s="227"/>
      <c r="BL726" s="227"/>
      <c r="BM726" s="227"/>
      <c r="BN726" s="227"/>
      <c r="BO726" s="227"/>
      <c r="BP726" s="227"/>
      <c r="BQ726" s="227"/>
      <c r="BR726" s="227"/>
      <c r="BS726" s="227"/>
      <c r="BT726" s="227"/>
      <c r="BU726" s="227"/>
      <c r="BV726" s="227"/>
      <c r="BW726" s="227"/>
      <c r="BX726" s="227"/>
      <c r="BY726" s="227"/>
      <c r="BZ726" s="227"/>
      <c r="CA726" s="227"/>
      <c r="CB726" s="227"/>
      <c r="CC726" s="227"/>
      <c r="CD726" s="227"/>
      <c r="CE726" s="227"/>
      <c r="CF726" s="227"/>
      <c r="CG726" s="227"/>
      <c r="CH726" s="227"/>
      <c r="CI726" s="227"/>
      <c r="CJ726" s="227"/>
      <c r="CK726" s="227"/>
      <c r="CL726" s="227"/>
      <c r="CM726" s="227"/>
      <c r="CN726" s="227"/>
      <c r="CO726" s="227"/>
      <c r="CP726" s="227"/>
      <c r="CQ726" s="227"/>
      <c r="CR726" s="227"/>
      <c r="CS726" s="227"/>
      <c r="CT726" s="227"/>
      <c r="CU726" s="225"/>
      <c r="CV726" s="227"/>
    </row>
    <row r="727" spans="1:100" ht="20.100000000000001" customHeight="1">
      <c r="A727" s="227"/>
      <c r="B727" s="225"/>
      <c r="C727" s="227"/>
      <c r="D727" s="228">
        <f>(SUMPRODUCT(E727:CU727*$E$6:$CU$6)/100)+(SUMPRODUCT(E727:CU727*$E$6:$CU$6*$E$3:$CU$3)/100)</f>
        <v>0</v>
      </c>
      <c r="E727" s="227"/>
      <c r="F727" s="227"/>
      <c r="G727" s="227"/>
      <c r="H727" s="227"/>
      <c r="I727" s="227"/>
      <c r="J727" s="227"/>
      <c r="K727" s="227"/>
      <c r="L727" s="227"/>
      <c r="M727" s="227"/>
      <c r="N727" s="227"/>
      <c r="O727" s="227"/>
      <c r="P727" s="227"/>
      <c r="Q727" s="227"/>
      <c r="R727" s="227"/>
      <c r="S727" s="227"/>
      <c r="T727" s="227"/>
      <c r="U727" s="227"/>
      <c r="V727" s="227"/>
      <c r="W727" s="227"/>
      <c r="X727" s="227"/>
      <c r="Y727" s="227"/>
      <c r="Z727" s="227"/>
      <c r="AA727" s="227"/>
      <c r="AB727" s="227"/>
      <c r="AC727" s="227"/>
      <c r="AD727" s="227"/>
      <c r="AE727" s="227"/>
      <c r="AF727" s="227"/>
      <c r="AG727" s="227"/>
      <c r="AH727" s="227"/>
      <c r="AI727" s="227"/>
      <c r="AJ727" s="227"/>
      <c r="AK727" s="227"/>
      <c r="AL727" s="227"/>
      <c r="AM727" s="227"/>
      <c r="AN727" s="227"/>
      <c r="AO727" s="227"/>
      <c r="AP727" s="227"/>
      <c r="AQ727" s="227"/>
      <c r="AR727" s="227"/>
      <c r="AS727" s="227"/>
      <c r="AT727" s="227"/>
      <c r="AU727" s="227"/>
      <c r="AV727" s="227"/>
      <c r="AW727" s="227"/>
      <c r="AX727" s="227"/>
      <c r="AY727" s="227"/>
      <c r="AZ727" s="227"/>
      <c r="BA727" s="227"/>
      <c r="BB727" s="227"/>
      <c r="BC727" s="227"/>
      <c r="BD727" s="227"/>
      <c r="BE727" s="227"/>
      <c r="BF727" s="227"/>
      <c r="BG727" s="227"/>
      <c r="BH727" s="227"/>
      <c r="BI727" s="227"/>
      <c r="BJ727" s="227"/>
      <c r="BK727" s="227"/>
      <c r="BL727" s="227"/>
      <c r="BM727" s="227"/>
      <c r="BN727" s="227"/>
      <c r="BO727" s="227"/>
      <c r="BP727" s="227"/>
      <c r="BQ727" s="227"/>
      <c r="BR727" s="227"/>
      <c r="BS727" s="227"/>
      <c r="BT727" s="227"/>
      <c r="BU727" s="227"/>
      <c r="BV727" s="227"/>
      <c r="BW727" s="227"/>
      <c r="BX727" s="227"/>
      <c r="BY727" s="227"/>
      <c r="BZ727" s="227"/>
      <c r="CA727" s="227"/>
      <c r="CB727" s="227"/>
      <c r="CC727" s="227"/>
      <c r="CD727" s="227"/>
      <c r="CE727" s="227"/>
      <c r="CF727" s="227"/>
      <c r="CG727" s="227"/>
      <c r="CH727" s="227"/>
      <c r="CI727" s="227"/>
      <c r="CJ727" s="227"/>
      <c r="CK727" s="227"/>
      <c r="CL727" s="227"/>
      <c r="CM727" s="227"/>
      <c r="CN727" s="227"/>
      <c r="CO727" s="227"/>
      <c r="CP727" s="227"/>
      <c r="CQ727" s="227"/>
      <c r="CR727" s="227"/>
      <c r="CS727" s="227"/>
      <c r="CT727" s="227"/>
      <c r="CU727" s="225"/>
      <c r="CV727" s="227"/>
    </row>
    <row r="728" spans="1:100" ht="20.100000000000001" customHeight="1">
      <c r="A728" s="227"/>
      <c r="B728" s="225"/>
      <c r="C728" s="227"/>
      <c r="D728" s="224"/>
      <c r="E728" s="227"/>
      <c r="F728" s="227"/>
      <c r="G728" s="227"/>
      <c r="H728" s="227"/>
      <c r="I728" s="227"/>
      <c r="J728" s="227"/>
      <c r="K728" s="227"/>
      <c r="L728" s="227"/>
      <c r="M728" s="227"/>
      <c r="N728" s="227"/>
      <c r="O728" s="227"/>
      <c r="P728" s="227"/>
      <c r="Q728" s="227"/>
      <c r="R728" s="227"/>
      <c r="S728" s="227"/>
      <c r="T728" s="227"/>
      <c r="U728" s="227"/>
      <c r="V728" s="227"/>
      <c r="W728" s="227"/>
      <c r="X728" s="227"/>
      <c r="Y728" s="227"/>
      <c r="Z728" s="227"/>
      <c r="AA728" s="227"/>
      <c r="AB728" s="227"/>
      <c r="AC728" s="227"/>
      <c r="AD728" s="227"/>
      <c r="AE728" s="227"/>
      <c r="AF728" s="227"/>
      <c r="AG728" s="227"/>
      <c r="AH728" s="227"/>
      <c r="AI728" s="227"/>
      <c r="AJ728" s="227"/>
      <c r="AK728" s="227"/>
      <c r="AL728" s="227"/>
      <c r="AM728" s="227"/>
      <c r="AN728" s="227"/>
      <c r="AO728" s="227"/>
      <c r="AP728" s="227"/>
      <c r="AQ728" s="227"/>
      <c r="AR728" s="227"/>
      <c r="AS728" s="227"/>
      <c r="AT728" s="227"/>
      <c r="AU728" s="227"/>
      <c r="AV728" s="227"/>
      <c r="AW728" s="227"/>
      <c r="AX728" s="227"/>
      <c r="AY728" s="227"/>
      <c r="AZ728" s="227"/>
      <c r="BA728" s="227"/>
      <c r="BB728" s="227"/>
      <c r="BC728" s="227"/>
      <c r="BD728" s="227"/>
      <c r="BE728" s="227"/>
      <c r="BF728" s="227"/>
      <c r="BG728" s="227"/>
      <c r="BH728" s="227"/>
      <c r="BI728" s="227"/>
      <c r="BJ728" s="227"/>
      <c r="BK728" s="227"/>
      <c r="BL728" s="227"/>
      <c r="BM728" s="227"/>
      <c r="BN728" s="227"/>
      <c r="BO728" s="227"/>
      <c r="BP728" s="227"/>
      <c r="BQ728" s="227"/>
      <c r="BR728" s="227"/>
      <c r="BS728" s="227"/>
      <c r="BT728" s="227"/>
      <c r="BU728" s="227"/>
      <c r="BV728" s="227"/>
      <c r="BW728" s="227"/>
      <c r="BX728" s="227"/>
      <c r="BY728" s="227"/>
      <c r="BZ728" s="227"/>
      <c r="CA728" s="227"/>
      <c r="CB728" s="227"/>
      <c r="CC728" s="227"/>
      <c r="CD728" s="227"/>
      <c r="CE728" s="227"/>
      <c r="CF728" s="227"/>
      <c r="CG728" s="227"/>
      <c r="CH728" s="227"/>
      <c r="CI728" s="227"/>
      <c r="CJ728" s="227"/>
      <c r="CK728" s="227"/>
      <c r="CL728" s="227"/>
      <c r="CM728" s="227"/>
      <c r="CN728" s="227"/>
      <c r="CO728" s="227"/>
      <c r="CP728" s="227"/>
      <c r="CQ728" s="227"/>
      <c r="CR728" s="227"/>
      <c r="CS728" s="227"/>
      <c r="CT728" s="227"/>
      <c r="CU728" s="225"/>
      <c r="CV728" s="227"/>
    </row>
    <row r="729" spans="1:100" ht="20.100000000000001" customHeight="1">
      <c r="A729" s="227"/>
      <c r="B729" s="225"/>
      <c r="C729" s="227"/>
      <c r="D729" s="228">
        <f>(SUMPRODUCT(E729:CU729*$E$6:$CU$6)/100)+(SUMPRODUCT(E729:CU729*$E$6:$CU$6*$E$3:$CU$3)/100)</f>
        <v>0</v>
      </c>
      <c r="E729" s="227"/>
      <c r="F729" s="227"/>
      <c r="G729" s="227"/>
      <c r="H729" s="227"/>
      <c r="I729" s="227"/>
      <c r="J729" s="227"/>
      <c r="K729" s="227"/>
      <c r="L729" s="227"/>
      <c r="M729" s="227"/>
      <c r="N729" s="227"/>
      <c r="O729" s="227"/>
      <c r="P729" s="227"/>
      <c r="Q729" s="227"/>
      <c r="R729" s="227"/>
      <c r="S729" s="227"/>
      <c r="T729" s="227"/>
      <c r="U729" s="227"/>
      <c r="V729" s="227"/>
      <c r="W729" s="227"/>
      <c r="X729" s="227"/>
      <c r="Y729" s="227"/>
      <c r="Z729" s="227"/>
      <c r="AA729" s="227"/>
      <c r="AB729" s="227"/>
      <c r="AC729" s="227"/>
      <c r="AD729" s="227"/>
      <c r="AE729" s="227"/>
      <c r="AF729" s="227"/>
      <c r="AG729" s="227"/>
      <c r="AH729" s="227"/>
      <c r="AI729" s="227"/>
      <c r="AJ729" s="227"/>
      <c r="AK729" s="227"/>
      <c r="AL729" s="227"/>
      <c r="AM729" s="227"/>
      <c r="AN729" s="227"/>
      <c r="AO729" s="227"/>
      <c r="AP729" s="227"/>
      <c r="AQ729" s="227"/>
      <c r="AR729" s="227"/>
      <c r="AS729" s="227"/>
      <c r="AT729" s="227"/>
      <c r="AU729" s="227"/>
      <c r="AV729" s="227"/>
      <c r="AW729" s="227"/>
      <c r="AX729" s="227"/>
      <c r="AY729" s="227"/>
      <c r="AZ729" s="227"/>
      <c r="BA729" s="227"/>
      <c r="BB729" s="227"/>
      <c r="BC729" s="227"/>
      <c r="BD729" s="227"/>
      <c r="BE729" s="227"/>
      <c r="BF729" s="227"/>
      <c r="BG729" s="227"/>
      <c r="BH729" s="227"/>
      <c r="BI729" s="227"/>
      <c r="BJ729" s="227"/>
      <c r="BK729" s="227"/>
      <c r="BL729" s="227"/>
      <c r="BM729" s="227"/>
      <c r="BN729" s="227"/>
      <c r="BO729" s="227"/>
      <c r="BP729" s="227"/>
      <c r="BQ729" s="227"/>
      <c r="BR729" s="227"/>
      <c r="BS729" s="227"/>
      <c r="BT729" s="227"/>
      <c r="BU729" s="227"/>
      <c r="BV729" s="227"/>
      <c r="BW729" s="227"/>
      <c r="BX729" s="227"/>
      <c r="BY729" s="227"/>
      <c r="BZ729" s="227"/>
      <c r="CA729" s="227"/>
      <c r="CB729" s="227"/>
      <c r="CC729" s="227"/>
      <c r="CD729" s="227"/>
      <c r="CE729" s="227"/>
      <c r="CF729" s="227"/>
      <c r="CG729" s="227"/>
      <c r="CH729" s="227"/>
      <c r="CI729" s="227"/>
      <c r="CJ729" s="227"/>
      <c r="CK729" s="227"/>
      <c r="CL729" s="227"/>
      <c r="CM729" s="227"/>
      <c r="CN729" s="227"/>
      <c r="CO729" s="227"/>
      <c r="CP729" s="227"/>
      <c r="CQ729" s="227"/>
      <c r="CR729" s="227"/>
      <c r="CS729" s="227"/>
      <c r="CT729" s="227"/>
      <c r="CU729" s="225"/>
      <c r="CV729" s="227"/>
    </row>
    <row r="730" spans="1:100" ht="20.100000000000001" customHeight="1">
      <c r="A730" s="227"/>
      <c r="B730" s="225"/>
      <c r="C730" s="227"/>
      <c r="D730" s="224"/>
      <c r="E730" s="227"/>
      <c r="F730" s="227"/>
      <c r="G730" s="227"/>
      <c r="H730" s="227"/>
      <c r="I730" s="227"/>
      <c r="J730" s="227"/>
      <c r="K730" s="227"/>
      <c r="L730" s="227"/>
      <c r="M730" s="227"/>
      <c r="N730" s="227"/>
      <c r="O730" s="227"/>
      <c r="P730" s="227"/>
      <c r="Q730" s="227"/>
      <c r="R730" s="227"/>
      <c r="S730" s="227"/>
      <c r="T730" s="227"/>
      <c r="U730" s="227"/>
      <c r="V730" s="227"/>
      <c r="W730" s="227"/>
      <c r="X730" s="227"/>
      <c r="Y730" s="227"/>
      <c r="Z730" s="227"/>
      <c r="AA730" s="227"/>
      <c r="AB730" s="227"/>
      <c r="AC730" s="227"/>
      <c r="AD730" s="227"/>
      <c r="AE730" s="227"/>
      <c r="AF730" s="227"/>
      <c r="AG730" s="227"/>
      <c r="AH730" s="227"/>
      <c r="AI730" s="227"/>
      <c r="AJ730" s="227"/>
      <c r="AK730" s="227"/>
      <c r="AL730" s="227"/>
      <c r="AM730" s="227"/>
      <c r="AN730" s="227"/>
      <c r="AO730" s="227"/>
      <c r="AP730" s="227"/>
      <c r="AQ730" s="227"/>
      <c r="AR730" s="227"/>
      <c r="AS730" s="227"/>
      <c r="AT730" s="227"/>
      <c r="AU730" s="227"/>
      <c r="AV730" s="227"/>
      <c r="AW730" s="227"/>
      <c r="AX730" s="227"/>
      <c r="AY730" s="227"/>
      <c r="AZ730" s="227"/>
      <c r="BA730" s="227"/>
      <c r="BB730" s="227"/>
      <c r="BC730" s="227"/>
      <c r="BD730" s="227"/>
      <c r="BE730" s="227"/>
      <c r="BF730" s="227"/>
      <c r="BG730" s="227"/>
      <c r="BH730" s="227"/>
      <c r="BI730" s="227"/>
      <c r="BJ730" s="227"/>
      <c r="BK730" s="227"/>
      <c r="BL730" s="227"/>
      <c r="BM730" s="227"/>
      <c r="BN730" s="227"/>
      <c r="BO730" s="227"/>
      <c r="BP730" s="227"/>
      <c r="BQ730" s="227"/>
      <c r="BR730" s="227"/>
      <c r="BS730" s="227"/>
      <c r="BT730" s="227"/>
      <c r="BU730" s="227"/>
      <c r="BV730" s="227"/>
      <c r="BW730" s="227"/>
      <c r="BX730" s="227"/>
      <c r="BY730" s="227"/>
      <c r="BZ730" s="227"/>
      <c r="CA730" s="227"/>
      <c r="CB730" s="227"/>
      <c r="CC730" s="227"/>
      <c r="CD730" s="227"/>
      <c r="CE730" s="227"/>
      <c r="CF730" s="227"/>
      <c r="CG730" s="227"/>
      <c r="CH730" s="227"/>
      <c r="CI730" s="227"/>
      <c r="CJ730" s="227"/>
      <c r="CK730" s="227"/>
      <c r="CL730" s="227"/>
      <c r="CM730" s="227"/>
      <c r="CN730" s="227"/>
      <c r="CO730" s="227"/>
      <c r="CP730" s="227"/>
      <c r="CQ730" s="227"/>
      <c r="CR730" s="227"/>
      <c r="CS730" s="227"/>
      <c r="CT730" s="227"/>
      <c r="CU730" s="225"/>
      <c r="CV730" s="227"/>
    </row>
    <row r="731" spans="1:100" ht="20.100000000000001" customHeight="1">
      <c r="A731" s="227"/>
      <c r="B731" s="225"/>
      <c r="C731" s="227"/>
      <c r="D731" s="228">
        <f>(SUMPRODUCT(E731:CU731*$E$6:$CU$6)/100)+(SUMPRODUCT(E731:CU731*$E$6:$CU$6*$E$3:$CU$3)/100)</f>
        <v>0</v>
      </c>
      <c r="E731" s="227"/>
      <c r="F731" s="227"/>
      <c r="G731" s="227"/>
      <c r="H731" s="227"/>
      <c r="I731" s="227"/>
      <c r="J731" s="227"/>
      <c r="K731" s="227"/>
      <c r="L731" s="227"/>
      <c r="M731" s="227"/>
      <c r="N731" s="227"/>
      <c r="O731" s="227"/>
      <c r="P731" s="227"/>
      <c r="Q731" s="227"/>
      <c r="R731" s="227"/>
      <c r="S731" s="227"/>
      <c r="T731" s="227"/>
      <c r="U731" s="227"/>
      <c r="V731" s="227"/>
      <c r="W731" s="227"/>
      <c r="X731" s="227"/>
      <c r="Y731" s="227"/>
      <c r="Z731" s="227"/>
      <c r="AA731" s="227"/>
      <c r="AB731" s="227"/>
      <c r="AC731" s="227"/>
      <c r="AD731" s="227"/>
      <c r="AE731" s="227"/>
      <c r="AF731" s="227"/>
      <c r="AG731" s="227"/>
      <c r="AH731" s="227"/>
      <c r="AI731" s="227"/>
      <c r="AJ731" s="227"/>
      <c r="AK731" s="227"/>
      <c r="AL731" s="227"/>
      <c r="AM731" s="227"/>
      <c r="AN731" s="227"/>
      <c r="AO731" s="227"/>
      <c r="AP731" s="227"/>
      <c r="AQ731" s="227"/>
      <c r="AR731" s="227"/>
      <c r="AS731" s="227"/>
      <c r="AT731" s="227"/>
      <c r="AU731" s="227"/>
      <c r="AV731" s="227"/>
      <c r="AW731" s="227"/>
      <c r="AX731" s="227"/>
      <c r="AY731" s="227"/>
      <c r="AZ731" s="227"/>
      <c r="BA731" s="227"/>
      <c r="BB731" s="227"/>
      <c r="BC731" s="227"/>
      <c r="BD731" s="227"/>
      <c r="BE731" s="227"/>
      <c r="BF731" s="227"/>
      <c r="BG731" s="227"/>
      <c r="BH731" s="227"/>
      <c r="BI731" s="227"/>
      <c r="BJ731" s="227"/>
      <c r="BK731" s="227"/>
      <c r="BL731" s="227"/>
      <c r="BM731" s="227"/>
      <c r="BN731" s="227"/>
      <c r="BO731" s="227"/>
      <c r="BP731" s="227"/>
      <c r="BQ731" s="227"/>
      <c r="BR731" s="227"/>
      <c r="BS731" s="227"/>
      <c r="BT731" s="227"/>
      <c r="BU731" s="227"/>
      <c r="BV731" s="227"/>
      <c r="BW731" s="227"/>
      <c r="BX731" s="227"/>
      <c r="BY731" s="227"/>
      <c r="BZ731" s="227"/>
      <c r="CA731" s="227"/>
      <c r="CB731" s="227"/>
      <c r="CC731" s="227"/>
      <c r="CD731" s="227"/>
      <c r="CE731" s="227"/>
      <c r="CF731" s="227"/>
      <c r="CG731" s="227"/>
      <c r="CH731" s="227"/>
      <c r="CI731" s="227"/>
      <c r="CJ731" s="227"/>
      <c r="CK731" s="227"/>
      <c r="CL731" s="227"/>
      <c r="CM731" s="227"/>
      <c r="CN731" s="227"/>
      <c r="CO731" s="227"/>
      <c r="CP731" s="227"/>
      <c r="CQ731" s="227"/>
      <c r="CR731" s="227"/>
      <c r="CS731" s="227"/>
      <c r="CT731" s="227"/>
      <c r="CU731" s="225"/>
      <c r="CV731" s="227"/>
    </row>
    <row r="732" spans="1:100" ht="20.100000000000001" customHeight="1">
      <c r="A732" s="227"/>
      <c r="B732" s="225"/>
      <c r="C732" s="227"/>
      <c r="D732" s="224"/>
      <c r="E732" s="227"/>
      <c r="F732" s="227"/>
      <c r="G732" s="227"/>
      <c r="H732" s="227"/>
      <c r="I732" s="227"/>
      <c r="J732" s="227"/>
      <c r="K732" s="227"/>
      <c r="L732" s="227"/>
      <c r="M732" s="227"/>
      <c r="N732" s="227"/>
      <c r="O732" s="227"/>
      <c r="P732" s="227"/>
      <c r="Q732" s="227"/>
      <c r="R732" s="227"/>
      <c r="S732" s="227"/>
      <c r="T732" s="227"/>
      <c r="U732" s="227"/>
      <c r="V732" s="227"/>
      <c r="W732" s="227"/>
      <c r="X732" s="227"/>
      <c r="Y732" s="227"/>
      <c r="Z732" s="227"/>
      <c r="AA732" s="227"/>
      <c r="AB732" s="227"/>
      <c r="AC732" s="227"/>
      <c r="AD732" s="227"/>
      <c r="AE732" s="227"/>
      <c r="AF732" s="227"/>
      <c r="AG732" s="227"/>
      <c r="AH732" s="227"/>
      <c r="AI732" s="227"/>
      <c r="AJ732" s="227"/>
      <c r="AK732" s="227"/>
      <c r="AL732" s="227"/>
      <c r="AM732" s="227"/>
      <c r="AN732" s="227"/>
      <c r="AO732" s="227"/>
      <c r="AP732" s="227"/>
      <c r="AQ732" s="227"/>
      <c r="AR732" s="227"/>
      <c r="AS732" s="227"/>
      <c r="AT732" s="227"/>
      <c r="AU732" s="227"/>
      <c r="AV732" s="227"/>
      <c r="AW732" s="227"/>
      <c r="AX732" s="227"/>
      <c r="AY732" s="227"/>
      <c r="AZ732" s="227"/>
      <c r="BA732" s="227"/>
      <c r="BB732" s="227"/>
      <c r="BC732" s="227"/>
      <c r="BD732" s="227"/>
      <c r="BE732" s="227"/>
      <c r="BF732" s="227"/>
      <c r="BG732" s="227"/>
      <c r="BH732" s="227"/>
      <c r="BI732" s="227"/>
      <c r="BJ732" s="227"/>
      <c r="BK732" s="227"/>
      <c r="BL732" s="227"/>
      <c r="BM732" s="227"/>
      <c r="BN732" s="227"/>
      <c r="BO732" s="227"/>
      <c r="BP732" s="227"/>
      <c r="BQ732" s="227"/>
      <c r="BR732" s="227"/>
      <c r="BS732" s="227"/>
      <c r="BT732" s="227"/>
      <c r="BU732" s="227"/>
      <c r="BV732" s="227"/>
      <c r="BW732" s="227"/>
      <c r="BX732" s="227"/>
      <c r="BY732" s="227"/>
      <c r="BZ732" s="227"/>
      <c r="CA732" s="227"/>
      <c r="CB732" s="227"/>
      <c r="CC732" s="227"/>
      <c r="CD732" s="227"/>
      <c r="CE732" s="227"/>
      <c r="CF732" s="227"/>
      <c r="CG732" s="227"/>
      <c r="CH732" s="227"/>
      <c r="CI732" s="227"/>
      <c r="CJ732" s="227"/>
      <c r="CK732" s="227"/>
      <c r="CL732" s="227"/>
      <c r="CM732" s="227"/>
      <c r="CN732" s="227"/>
      <c r="CO732" s="227"/>
      <c r="CP732" s="227"/>
      <c r="CQ732" s="227"/>
      <c r="CR732" s="227"/>
      <c r="CS732" s="227"/>
      <c r="CT732" s="227"/>
      <c r="CU732" s="225"/>
      <c r="CV732" s="227"/>
    </row>
    <row r="733" spans="1:100" ht="20.100000000000001" customHeight="1">
      <c r="A733" s="227"/>
      <c r="B733" s="225"/>
      <c r="C733" s="227"/>
      <c r="D733" s="228">
        <f>(SUMPRODUCT(E733:CU733*$E$6:$CU$6)/100)+(SUMPRODUCT(E733:CU733*$E$6:$CU$6*$E$3:$CU$3)/100)</f>
        <v>0</v>
      </c>
      <c r="E733" s="227"/>
      <c r="F733" s="227"/>
      <c r="G733" s="227"/>
      <c r="H733" s="227"/>
      <c r="I733" s="227"/>
      <c r="J733" s="227"/>
      <c r="K733" s="227"/>
      <c r="L733" s="227"/>
      <c r="M733" s="227"/>
      <c r="N733" s="227"/>
      <c r="O733" s="227"/>
      <c r="P733" s="227"/>
      <c r="Q733" s="227"/>
      <c r="R733" s="227"/>
      <c r="S733" s="227"/>
      <c r="T733" s="227"/>
      <c r="U733" s="227"/>
      <c r="V733" s="227"/>
      <c r="W733" s="227"/>
      <c r="X733" s="227"/>
      <c r="Y733" s="227"/>
      <c r="Z733" s="227"/>
      <c r="AA733" s="227"/>
      <c r="AB733" s="227"/>
      <c r="AC733" s="227"/>
      <c r="AD733" s="227"/>
      <c r="AE733" s="227"/>
      <c r="AF733" s="227"/>
      <c r="AG733" s="227"/>
      <c r="AH733" s="227"/>
      <c r="AI733" s="227"/>
      <c r="AJ733" s="227"/>
      <c r="AK733" s="227"/>
      <c r="AL733" s="227"/>
      <c r="AM733" s="227"/>
      <c r="AN733" s="227"/>
      <c r="AO733" s="227"/>
      <c r="AP733" s="227"/>
      <c r="AQ733" s="227"/>
      <c r="AR733" s="227"/>
      <c r="AS733" s="227"/>
      <c r="AT733" s="227"/>
      <c r="AU733" s="227"/>
      <c r="AV733" s="227"/>
      <c r="AW733" s="227"/>
      <c r="AX733" s="227"/>
      <c r="AY733" s="227"/>
      <c r="AZ733" s="227"/>
      <c r="BA733" s="227"/>
      <c r="BB733" s="227"/>
      <c r="BC733" s="227"/>
      <c r="BD733" s="227"/>
      <c r="BE733" s="227"/>
      <c r="BF733" s="227"/>
      <c r="BG733" s="227"/>
      <c r="BH733" s="227"/>
      <c r="BI733" s="227"/>
      <c r="BJ733" s="227"/>
      <c r="BK733" s="227"/>
      <c r="BL733" s="227"/>
      <c r="BM733" s="227"/>
      <c r="BN733" s="227"/>
      <c r="BO733" s="227"/>
      <c r="BP733" s="227"/>
      <c r="BQ733" s="227"/>
      <c r="BR733" s="227"/>
      <c r="BS733" s="227"/>
      <c r="BT733" s="227"/>
      <c r="BU733" s="227"/>
      <c r="BV733" s="227"/>
      <c r="BW733" s="227"/>
      <c r="BX733" s="227"/>
      <c r="BY733" s="227"/>
      <c r="BZ733" s="227"/>
      <c r="CA733" s="227"/>
      <c r="CB733" s="227"/>
      <c r="CC733" s="227"/>
      <c r="CD733" s="227"/>
      <c r="CE733" s="227"/>
      <c r="CF733" s="227"/>
      <c r="CG733" s="227"/>
      <c r="CH733" s="227"/>
      <c r="CI733" s="227"/>
      <c r="CJ733" s="227"/>
      <c r="CK733" s="227"/>
      <c r="CL733" s="227"/>
      <c r="CM733" s="227"/>
      <c r="CN733" s="227"/>
      <c r="CO733" s="227"/>
      <c r="CP733" s="227"/>
      <c r="CQ733" s="227"/>
      <c r="CR733" s="227"/>
      <c r="CS733" s="227"/>
      <c r="CT733" s="227"/>
      <c r="CU733" s="225"/>
      <c r="CV733" s="227"/>
    </row>
    <row r="734" spans="1:100" ht="20.100000000000001" customHeight="1">
      <c r="A734" s="227"/>
      <c r="B734" s="225"/>
      <c r="C734" s="227"/>
      <c r="D734" s="224"/>
      <c r="E734" s="227"/>
      <c r="F734" s="227"/>
      <c r="G734" s="227"/>
      <c r="H734" s="227"/>
      <c r="I734" s="227"/>
      <c r="J734" s="227"/>
      <c r="K734" s="227"/>
      <c r="L734" s="227"/>
      <c r="M734" s="227"/>
      <c r="N734" s="227"/>
      <c r="O734" s="227"/>
      <c r="P734" s="227"/>
      <c r="Q734" s="227"/>
      <c r="R734" s="227"/>
      <c r="S734" s="227"/>
      <c r="T734" s="227"/>
      <c r="U734" s="227"/>
      <c r="V734" s="227"/>
      <c r="W734" s="227"/>
      <c r="X734" s="227"/>
      <c r="Y734" s="227"/>
      <c r="Z734" s="227"/>
      <c r="AA734" s="227"/>
      <c r="AB734" s="227"/>
      <c r="AC734" s="227"/>
      <c r="AD734" s="227"/>
      <c r="AE734" s="227"/>
      <c r="AF734" s="227"/>
      <c r="AG734" s="227"/>
      <c r="AH734" s="227"/>
      <c r="AI734" s="227"/>
      <c r="AJ734" s="227"/>
      <c r="AK734" s="227"/>
      <c r="AL734" s="227"/>
      <c r="AM734" s="227"/>
      <c r="AN734" s="227"/>
      <c r="AO734" s="227"/>
      <c r="AP734" s="227"/>
      <c r="AQ734" s="227"/>
      <c r="AR734" s="227"/>
      <c r="AS734" s="227"/>
      <c r="AT734" s="227"/>
      <c r="AU734" s="227"/>
      <c r="AV734" s="227"/>
      <c r="AW734" s="227"/>
      <c r="AX734" s="227"/>
      <c r="AY734" s="227"/>
      <c r="AZ734" s="227"/>
      <c r="BA734" s="227"/>
      <c r="BB734" s="227"/>
      <c r="BC734" s="227"/>
      <c r="BD734" s="227"/>
      <c r="BE734" s="227"/>
      <c r="BF734" s="227"/>
      <c r="BG734" s="227"/>
      <c r="BH734" s="227"/>
      <c r="BI734" s="227"/>
      <c r="BJ734" s="227"/>
      <c r="BK734" s="227"/>
      <c r="BL734" s="227"/>
      <c r="BM734" s="227"/>
      <c r="BN734" s="227"/>
      <c r="BO734" s="227"/>
      <c r="BP734" s="227"/>
      <c r="BQ734" s="227"/>
      <c r="BR734" s="227"/>
      <c r="BS734" s="227"/>
      <c r="BT734" s="227"/>
      <c r="BU734" s="227"/>
      <c r="BV734" s="227"/>
      <c r="BW734" s="227"/>
      <c r="BX734" s="227"/>
      <c r="BY734" s="227"/>
      <c r="BZ734" s="227"/>
      <c r="CA734" s="227"/>
      <c r="CB734" s="227"/>
      <c r="CC734" s="227"/>
      <c r="CD734" s="227"/>
      <c r="CE734" s="227"/>
      <c r="CF734" s="227"/>
      <c r="CG734" s="227"/>
      <c r="CH734" s="227"/>
      <c r="CI734" s="227"/>
      <c r="CJ734" s="227"/>
      <c r="CK734" s="227"/>
      <c r="CL734" s="227"/>
      <c r="CM734" s="227"/>
      <c r="CN734" s="227"/>
      <c r="CO734" s="227"/>
      <c r="CP734" s="227"/>
      <c r="CQ734" s="227"/>
      <c r="CR734" s="227"/>
      <c r="CS734" s="227"/>
      <c r="CT734" s="227"/>
      <c r="CU734" s="225"/>
      <c r="CV734" s="227"/>
    </row>
    <row r="735" spans="1:100" ht="20.100000000000001" customHeight="1">
      <c r="A735" s="227"/>
      <c r="B735" s="225"/>
      <c r="C735" s="227"/>
      <c r="D735" s="228">
        <f>(SUMPRODUCT(E735:CU735*$E$6:$CU$6)/100)+(SUMPRODUCT(E735:CU735*$E$6:$CU$6*$E$3:$CU$3)/100)</f>
        <v>0</v>
      </c>
      <c r="E735" s="227"/>
      <c r="F735" s="227"/>
      <c r="G735" s="227"/>
      <c r="H735" s="227"/>
      <c r="I735" s="227"/>
      <c r="J735" s="227"/>
      <c r="K735" s="227"/>
      <c r="L735" s="227"/>
      <c r="M735" s="227"/>
      <c r="N735" s="227"/>
      <c r="O735" s="227"/>
      <c r="P735" s="227"/>
      <c r="Q735" s="227"/>
      <c r="R735" s="227"/>
      <c r="S735" s="227"/>
      <c r="T735" s="227"/>
      <c r="U735" s="227"/>
      <c r="V735" s="227"/>
      <c r="W735" s="227"/>
      <c r="X735" s="227"/>
      <c r="Y735" s="227"/>
      <c r="Z735" s="227"/>
      <c r="AA735" s="227"/>
      <c r="AB735" s="227"/>
      <c r="AC735" s="227"/>
      <c r="AD735" s="227"/>
      <c r="AE735" s="227"/>
      <c r="AF735" s="227"/>
      <c r="AG735" s="227"/>
      <c r="AH735" s="227"/>
      <c r="AI735" s="227"/>
      <c r="AJ735" s="227"/>
      <c r="AK735" s="227"/>
      <c r="AL735" s="227"/>
      <c r="AM735" s="227"/>
      <c r="AN735" s="227"/>
      <c r="AO735" s="227"/>
      <c r="AP735" s="227"/>
      <c r="AQ735" s="227"/>
      <c r="AR735" s="227"/>
      <c r="AS735" s="227"/>
      <c r="AT735" s="227"/>
      <c r="AU735" s="227"/>
      <c r="AV735" s="227"/>
      <c r="AW735" s="227"/>
      <c r="AX735" s="227"/>
      <c r="AY735" s="227"/>
      <c r="AZ735" s="227"/>
      <c r="BA735" s="227"/>
      <c r="BB735" s="227"/>
      <c r="BC735" s="227"/>
      <c r="BD735" s="227"/>
      <c r="BE735" s="227"/>
      <c r="BF735" s="227"/>
      <c r="BG735" s="227"/>
      <c r="BH735" s="227"/>
      <c r="BI735" s="227"/>
      <c r="BJ735" s="227"/>
      <c r="BK735" s="227"/>
      <c r="BL735" s="227"/>
      <c r="BM735" s="227"/>
      <c r="BN735" s="227"/>
      <c r="BO735" s="227"/>
      <c r="BP735" s="227"/>
      <c r="BQ735" s="227"/>
      <c r="BR735" s="227"/>
      <c r="BS735" s="227"/>
      <c r="BT735" s="227"/>
      <c r="BU735" s="227"/>
      <c r="BV735" s="227"/>
      <c r="BW735" s="227"/>
      <c r="BX735" s="227"/>
      <c r="BY735" s="227"/>
      <c r="BZ735" s="227"/>
      <c r="CA735" s="227"/>
      <c r="CB735" s="227"/>
      <c r="CC735" s="227"/>
      <c r="CD735" s="227"/>
      <c r="CE735" s="227"/>
      <c r="CF735" s="227"/>
      <c r="CG735" s="227"/>
      <c r="CH735" s="227"/>
      <c r="CI735" s="227"/>
      <c r="CJ735" s="227"/>
      <c r="CK735" s="227"/>
      <c r="CL735" s="227"/>
      <c r="CM735" s="227"/>
      <c r="CN735" s="227"/>
      <c r="CO735" s="227"/>
      <c r="CP735" s="227"/>
      <c r="CQ735" s="227"/>
      <c r="CR735" s="227"/>
      <c r="CS735" s="227"/>
      <c r="CT735" s="227"/>
      <c r="CU735" s="225"/>
      <c r="CV735" s="227"/>
    </row>
    <row r="736" spans="1:100" ht="20.100000000000001" customHeight="1">
      <c r="A736" s="227"/>
      <c r="B736" s="225"/>
      <c r="C736" s="227"/>
      <c r="D736" s="224"/>
      <c r="E736" s="227"/>
      <c r="F736" s="227"/>
      <c r="G736" s="227"/>
      <c r="H736" s="227"/>
      <c r="I736" s="227"/>
      <c r="J736" s="227"/>
      <c r="K736" s="227"/>
      <c r="L736" s="227"/>
      <c r="M736" s="227"/>
      <c r="N736" s="227"/>
      <c r="O736" s="227"/>
      <c r="P736" s="227"/>
      <c r="Q736" s="227"/>
      <c r="R736" s="227"/>
      <c r="S736" s="227"/>
      <c r="T736" s="227"/>
      <c r="U736" s="227"/>
      <c r="V736" s="227"/>
      <c r="W736" s="227"/>
      <c r="X736" s="227"/>
      <c r="Y736" s="227"/>
      <c r="Z736" s="227"/>
      <c r="AA736" s="227"/>
      <c r="AB736" s="227"/>
      <c r="AC736" s="227"/>
      <c r="AD736" s="227"/>
      <c r="AE736" s="227"/>
      <c r="AF736" s="227"/>
      <c r="AG736" s="227"/>
      <c r="AH736" s="227"/>
      <c r="AI736" s="227"/>
      <c r="AJ736" s="227"/>
      <c r="AK736" s="227"/>
      <c r="AL736" s="227"/>
      <c r="AM736" s="227"/>
      <c r="AN736" s="227"/>
      <c r="AO736" s="227"/>
      <c r="AP736" s="227"/>
      <c r="AQ736" s="227"/>
      <c r="AR736" s="227"/>
      <c r="AS736" s="227"/>
      <c r="AT736" s="227"/>
      <c r="AU736" s="227"/>
      <c r="AV736" s="227"/>
      <c r="AW736" s="227"/>
      <c r="AX736" s="227"/>
      <c r="AY736" s="227"/>
      <c r="AZ736" s="227"/>
      <c r="BA736" s="227"/>
      <c r="BB736" s="227"/>
      <c r="BC736" s="227"/>
      <c r="BD736" s="227"/>
      <c r="BE736" s="227"/>
      <c r="BF736" s="227"/>
      <c r="BG736" s="227"/>
      <c r="BH736" s="227"/>
      <c r="BI736" s="227"/>
      <c r="BJ736" s="227"/>
      <c r="BK736" s="227"/>
      <c r="BL736" s="227"/>
      <c r="BM736" s="227"/>
      <c r="BN736" s="227"/>
      <c r="BO736" s="227"/>
      <c r="BP736" s="227"/>
      <c r="BQ736" s="227"/>
      <c r="BR736" s="227"/>
      <c r="BS736" s="227"/>
      <c r="BT736" s="227"/>
      <c r="BU736" s="227"/>
      <c r="BV736" s="227"/>
      <c r="BW736" s="227"/>
      <c r="BX736" s="227"/>
      <c r="BY736" s="227"/>
      <c r="BZ736" s="227"/>
      <c r="CA736" s="227"/>
      <c r="CB736" s="227"/>
      <c r="CC736" s="227"/>
      <c r="CD736" s="227"/>
      <c r="CE736" s="227"/>
      <c r="CF736" s="227"/>
      <c r="CG736" s="227"/>
      <c r="CH736" s="227"/>
      <c r="CI736" s="227"/>
      <c r="CJ736" s="227"/>
      <c r="CK736" s="227"/>
      <c r="CL736" s="227"/>
      <c r="CM736" s="227"/>
      <c r="CN736" s="227"/>
      <c r="CO736" s="227"/>
      <c r="CP736" s="227"/>
      <c r="CQ736" s="227"/>
      <c r="CR736" s="227"/>
      <c r="CS736" s="227"/>
      <c r="CT736" s="227"/>
      <c r="CU736" s="225"/>
      <c r="CV736" s="227"/>
    </row>
    <row r="737" spans="1:100" ht="20.100000000000001" customHeight="1">
      <c r="A737" s="227"/>
      <c r="B737" s="225"/>
      <c r="C737" s="227"/>
      <c r="D737" s="228">
        <f>(SUMPRODUCT(E737:CU737*$E$6:$CU$6)/100)+(SUMPRODUCT(E737:CU737*$E$6:$CU$6*$E$3:$CU$3)/100)</f>
        <v>0</v>
      </c>
      <c r="E737" s="227"/>
      <c r="F737" s="227"/>
      <c r="G737" s="227"/>
      <c r="H737" s="227"/>
      <c r="I737" s="227"/>
      <c r="J737" s="227"/>
      <c r="K737" s="227"/>
      <c r="L737" s="227"/>
      <c r="M737" s="227"/>
      <c r="N737" s="227"/>
      <c r="O737" s="227"/>
      <c r="P737" s="227"/>
      <c r="Q737" s="227"/>
      <c r="R737" s="227"/>
      <c r="S737" s="227"/>
      <c r="T737" s="227"/>
      <c r="U737" s="227"/>
      <c r="V737" s="227"/>
      <c r="W737" s="227"/>
      <c r="X737" s="227"/>
      <c r="Y737" s="227"/>
      <c r="Z737" s="227"/>
      <c r="AA737" s="227"/>
      <c r="AB737" s="227"/>
      <c r="AC737" s="227"/>
      <c r="AD737" s="227"/>
      <c r="AE737" s="227"/>
      <c r="AF737" s="227"/>
      <c r="AG737" s="227"/>
      <c r="AH737" s="227"/>
      <c r="AI737" s="227"/>
      <c r="AJ737" s="227"/>
      <c r="AK737" s="227"/>
      <c r="AL737" s="227"/>
      <c r="AM737" s="227"/>
      <c r="AN737" s="227"/>
      <c r="AO737" s="227"/>
      <c r="AP737" s="227"/>
      <c r="AQ737" s="227"/>
      <c r="AR737" s="227"/>
      <c r="AS737" s="227"/>
      <c r="AT737" s="227"/>
      <c r="AU737" s="227"/>
      <c r="AV737" s="227"/>
      <c r="AW737" s="227"/>
      <c r="AX737" s="227"/>
      <c r="AY737" s="227"/>
      <c r="AZ737" s="227"/>
      <c r="BA737" s="227"/>
      <c r="BB737" s="227"/>
      <c r="BC737" s="227"/>
      <c r="BD737" s="227"/>
      <c r="BE737" s="227"/>
      <c r="BF737" s="227"/>
      <c r="BG737" s="227"/>
      <c r="BH737" s="227"/>
      <c r="BI737" s="227"/>
      <c r="BJ737" s="227"/>
      <c r="BK737" s="227"/>
      <c r="BL737" s="227"/>
      <c r="BM737" s="227"/>
      <c r="BN737" s="227"/>
      <c r="BO737" s="227"/>
      <c r="BP737" s="227"/>
      <c r="BQ737" s="227"/>
      <c r="BR737" s="227"/>
      <c r="BS737" s="227"/>
      <c r="BT737" s="227"/>
      <c r="BU737" s="227"/>
      <c r="BV737" s="227"/>
      <c r="BW737" s="227"/>
      <c r="BX737" s="227"/>
      <c r="BY737" s="227"/>
      <c r="BZ737" s="227"/>
      <c r="CA737" s="227"/>
      <c r="CB737" s="227"/>
      <c r="CC737" s="227"/>
      <c r="CD737" s="227"/>
      <c r="CE737" s="227"/>
      <c r="CF737" s="227"/>
      <c r="CG737" s="227"/>
      <c r="CH737" s="227"/>
      <c r="CI737" s="227"/>
      <c r="CJ737" s="227"/>
      <c r="CK737" s="227"/>
      <c r="CL737" s="227"/>
      <c r="CM737" s="227"/>
      <c r="CN737" s="227"/>
      <c r="CO737" s="227"/>
      <c r="CP737" s="227"/>
      <c r="CQ737" s="227"/>
      <c r="CR737" s="227"/>
      <c r="CS737" s="227"/>
      <c r="CT737" s="227"/>
      <c r="CU737" s="225"/>
      <c r="CV737" s="227"/>
    </row>
    <row r="738" spans="1:100" ht="20.100000000000001" customHeight="1">
      <c r="A738" s="227"/>
      <c r="B738" s="225"/>
      <c r="C738" s="227"/>
      <c r="D738" s="224"/>
      <c r="E738" s="227"/>
      <c r="F738" s="227"/>
      <c r="G738" s="227"/>
      <c r="H738" s="227"/>
      <c r="I738" s="227"/>
      <c r="J738" s="227"/>
      <c r="K738" s="227"/>
      <c r="L738" s="227"/>
      <c r="M738" s="227"/>
      <c r="N738" s="227"/>
      <c r="O738" s="227"/>
      <c r="P738" s="227"/>
      <c r="Q738" s="227"/>
      <c r="R738" s="227"/>
      <c r="S738" s="227"/>
      <c r="T738" s="227"/>
      <c r="U738" s="227"/>
      <c r="V738" s="227"/>
      <c r="W738" s="227"/>
      <c r="X738" s="227"/>
      <c r="Y738" s="227"/>
      <c r="Z738" s="227"/>
      <c r="AA738" s="227"/>
      <c r="AB738" s="227"/>
      <c r="AC738" s="227"/>
      <c r="AD738" s="227"/>
      <c r="AE738" s="227"/>
      <c r="AF738" s="227"/>
      <c r="AG738" s="227"/>
      <c r="AH738" s="227"/>
      <c r="AI738" s="227"/>
      <c r="AJ738" s="227"/>
      <c r="AK738" s="227"/>
      <c r="AL738" s="227"/>
      <c r="AM738" s="227"/>
      <c r="AN738" s="227"/>
      <c r="AO738" s="227"/>
      <c r="AP738" s="227"/>
      <c r="AQ738" s="227"/>
      <c r="AR738" s="227"/>
      <c r="AS738" s="227"/>
      <c r="AT738" s="227"/>
      <c r="AU738" s="227"/>
      <c r="AV738" s="227"/>
      <c r="AW738" s="227"/>
      <c r="AX738" s="227"/>
      <c r="AY738" s="227"/>
      <c r="AZ738" s="227"/>
      <c r="BA738" s="227"/>
      <c r="BB738" s="227"/>
      <c r="BC738" s="227"/>
      <c r="BD738" s="227"/>
      <c r="BE738" s="227"/>
      <c r="BF738" s="227"/>
      <c r="BG738" s="227"/>
      <c r="BH738" s="227"/>
      <c r="BI738" s="227"/>
      <c r="BJ738" s="227"/>
      <c r="BK738" s="227"/>
      <c r="BL738" s="227"/>
      <c r="BM738" s="227"/>
      <c r="BN738" s="227"/>
      <c r="BO738" s="227"/>
      <c r="BP738" s="227"/>
      <c r="BQ738" s="227"/>
      <c r="BR738" s="227"/>
      <c r="BS738" s="227"/>
      <c r="BT738" s="227"/>
      <c r="BU738" s="227"/>
      <c r="BV738" s="227"/>
      <c r="BW738" s="227"/>
      <c r="BX738" s="227"/>
      <c r="BY738" s="227"/>
      <c r="BZ738" s="227"/>
      <c r="CA738" s="227"/>
      <c r="CB738" s="227"/>
      <c r="CC738" s="227"/>
      <c r="CD738" s="227"/>
      <c r="CE738" s="227"/>
      <c r="CF738" s="227"/>
      <c r="CG738" s="227"/>
      <c r="CH738" s="227"/>
      <c r="CI738" s="227"/>
      <c r="CJ738" s="227"/>
      <c r="CK738" s="227"/>
      <c r="CL738" s="227"/>
      <c r="CM738" s="227"/>
      <c r="CN738" s="227"/>
      <c r="CO738" s="227"/>
      <c r="CP738" s="227"/>
      <c r="CQ738" s="227"/>
      <c r="CR738" s="227"/>
      <c r="CS738" s="227"/>
      <c r="CT738" s="227"/>
      <c r="CU738" s="225"/>
      <c r="CV738" s="227"/>
    </row>
    <row r="739" spans="1:100" ht="20.100000000000001" customHeight="1">
      <c r="A739" s="227"/>
      <c r="B739" s="225"/>
      <c r="C739" s="227"/>
      <c r="D739" s="228">
        <f>(SUMPRODUCT(E739:CU739*$E$6:$CU$6)/100)+(SUMPRODUCT(E739:CU739*$E$6:$CU$6*$E$3:$CU$3)/100)</f>
        <v>0</v>
      </c>
      <c r="E739" s="227"/>
      <c r="F739" s="227"/>
      <c r="G739" s="227"/>
      <c r="H739" s="227"/>
      <c r="I739" s="227"/>
      <c r="J739" s="227"/>
      <c r="K739" s="227"/>
      <c r="L739" s="227"/>
      <c r="M739" s="227"/>
      <c r="N739" s="227"/>
      <c r="O739" s="227"/>
      <c r="P739" s="227"/>
      <c r="Q739" s="227"/>
      <c r="R739" s="227"/>
      <c r="S739" s="227"/>
      <c r="T739" s="227"/>
      <c r="U739" s="227"/>
      <c r="V739" s="227"/>
      <c r="W739" s="227"/>
      <c r="X739" s="227"/>
      <c r="Y739" s="227"/>
      <c r="Z739" s="227"/>
      <c r="AA739" s="227"/>
      <c r="AB739" s="227"/>
      <c r="AC739" s="227"/>
      <c r="AD739" s="227"/>
      <c r="AE739" s="227"/>
      <c r="AF739" s="227"/>
      <c r="AG739" s="227"/>
      <c r="AH739" s="227"/>
      <c r="AI739" s="227"/>
      <c r="AJ739" s="227"/>
      <c r="AK739" s="227"/>
      <c r="AL739" s="227"/>
      <c r="AM739" s="227"/>
      <c r="AN739" s="227"/>
      <c r="AO739" s="227"/>
      <c r="AP739" s="227"/>
      <c r="AQ739" s="227"/>
      <c r="AR739" s="227"/>
      <c r="AS739" s="227"/>
      <c r="AT739" s="227"/>
      <c r="AU739" s="227"/>
      <c r="AV739" s="227"/>
      <c r="AW739" s="227"/>
      <c r="AX739" s="227"/>
      <c r="AY739" s="227"/>
      <c r="AZ739" s="227"/>
      <c r="BA739" s="227"/>
      <c r="BB739" s="227"/>
      <c r="BC739" s="227"/>
      <c r="BD739" s="227"/>
      <c r="BE739" s="227"/>
      <c r="BF739" s="227"/>
      <c r="BG739" s="227"/>
      <c r="BH739" s="227"/>
      <c r="BI739" s="227"/>
      <c r="BJ739" s="227"/>
      <c r="BK739" s="227"/>
      <c r="BL739" s="227"/>
      <c r="BM739" s="227"/>
      <c r="BN739" s="227"/>
      <c r="BO739" s="227"/>
      <c r="BP739" s="227"/>
      <c r="BQ739" s="227"/>
      <c r="BR739" s="227"/>
      <c r="BS739" s="227"/>
      <c r="BT739" s="227"/>
      <c r="BU739" s="227"/>
      <c r="BV739" s="227"/>
      <c r="BW739" s="227"/>
      <c r="BX739" s="227"/>
      <c r="BY739" s="227"/>
      <c r="BZ739" s="227"/>
      <c r="CA739" s="227"/>
      <c r="CB739" s="227"/>
      <c r="CC739" s="227"/>
      <c r="CD739" s="227"/>
      <c r="CE739" s="227"/>
      <c r="CF739" s="227"/>
      <c r="CG739" s="227"/>
      <c r="CH739" s="227"/>
      <c r="CI739" s="227"/>
      <c r="CJ739" s="227"/>
      <c r="CK739" s="227"/>
      <c r="CL739" s="227"/>
      <c r="CM739" s="227"/>
      <c r="CN739" s="227"/>
      <c r="CO739" s="227"/>
      <c r="CP739" s="227"/>
      <c r="CQ739" s="227"/>
      <c r="CR739" s="227"/>
      <c r="CS739" s="227"/>
      <c r="CT739" s="227"/>
      <c r="CU739" s="225"/>
      <c r="CV739" s="227"/>
    </row>
    <row r="740" spans="1:100" ht="20.100000000000001" customHeight="1">
      <c r="A740" s="227"/>
      <c r="B740" s="225"/>
      <c r="C740" s="227"/>
      <c r="D740" s="224"/>
      <c r="E740" s="227"/>
      <c r="F740" s="227"/>
      <c r="G740" s="227"/>
      <c r="H740" s="227"/>
      <c r="I740" s="227"/>
      <c r="J740" s="227"/>
      <c r="K740" s="227"/>
      <c r="L740" s="227"/>
      <c r="M740" s="227"/>
      <c r="N740" s="227"/>
      <c r="O740" s="227"/>
      <c r="P740" s="227"/>
      <c r="Q740" s="227"/>
      <c r="R740" s="227"/>
      <c r="S740" s="227"/>
      <c r="T740" s="227"/>
      <c r="U740" s="227"/>
      <c r="V740" s="227"/>
      <c r="W740" s="227"/>
      <c r="X740" s="227"/>
      <c r="Y740" s="227"/>
      <c r="Z740" s="227"/>
      <c r="AA740" s="227"/>
      <c r="AB740" s="227"/>
      <c r="AC740" s="227"/>
      <c r="AD740" s="227"/>
      <c r="AE740" s="227"/>
      <c r="AF740" s="227"/>
      <c r="AG740" s="227"/>
      <c r="AH740" s="227"/>
      <c r="AI740" s="227"/>
      <c r="AJ740" s="227"/>
      <c r="AK740" s="227"/>
      <c r="AL740" s="227"/>
      <c r="AM740" s="227"/>
      <c r="AN740" s="227"/>
      <c r="AO740" s="227"/>
      <c r="AP740" s="227"/>
      <c r="AQ740" s="227"/>
      <c r="AR740" s="227"/>
      <c r="AS740" s="227"/>
      <c r="AT740" s="227"/>
      <c r="AU740" s="227"/>
      <c r="AV740" s="227"/>
      <c r="AW740" s="227"/>
      <c r="AX740" s="227"/>
      <c r="AY740" s="227"/>
      <c r="AZ740" s="227"/>
      <c r="BA740" s="227"/>
      <c r="BB740" s="227"/>
      <c r="BC740" s="227"/>
      <c r="BD740" s="227"/>
      <c r="BE740" s="227"/>
      <c r="BF740" s="227"/>
      <c r="BG740" s="227"/>
      <c r="BH740" s="227"/>
      <c r="BI740" s="227"/>
      <c r="BJ740" s="227"/>
      <c r="BK740" s="227"/>
      <c r="BL740" s="227"/>
      <c r="BM740" s="227"/>
      <c r="BN740" s="227"/>
      <c r="BO740" s="227"/>
      <c r="BP740" s="227"/>
      <c r="BQ740" s="227"/>
      <c r="BR740" s="227"/>
      <c r="BS740" s="227"/>
      <c r="BT740" s="227"/>
      <c r="BU740" s="227"/>
      <c r="BV740" s="227"/>
      <c r="BW740" s="227"/>
      <c r="BX740" s="227"/>
      <c r="BY740" s="227"/>
      <c r="BZ740" s="227"/>
      <c r="CA740" s="227"/>
      <c r="CB740" s="227"/>
      <c r="CC740" s="227"/>
      <c r="CD740" s="227"/>
      <c r="CE740" s="227"/>
      <c r="CF740" s="227"/>
      <c r="CG740" s="227"/>
      <c r="CH740" s="227"/>
      <c r="CI740" s="227"/>
      <c r="CJ740" s="227"/>
      <c r="CK740" s="227"/>
      <c r="CL740" s="227"/>
      <c r="CM740" s="227"/>
      <c r="CN740" s="227"/>
      <c r="CO740" s="227"/>
      <c r="CP740" s="227"/>
      <c r="CQ740" s="227"/>
      <c r="CR740" s="227"/>
      <c r="CS740" s="227"/>
      <c r="CT740" s="227"/>
      <c r="CU740" s="225"/>
      <c r="CV740" s="227"/>
    </row>
    <row r="741" spans="1:100" ht="20.100000000000001" customHeight="1">
      <c r="A741" s="227"/>
      <c r="B741" s="225"/>
      <c r="C741" s="227"/>
      <c r="D741" s="228">
        <f>(SUMPRODUCT(E741:CU741*$E$6:$CU$6)/100)+(SUMPRODUCT(E741:CU741*$E$6:$CU$6*$E$3:$CU$3)/100)</f>
        <v>0</v>
      </c>
      <c r="E741" s="227"/>
      <c r="F741" s="227"/>
      <c r="G741" s="227"/>
      <c r="H741" s="227"/>
      <c r="I741" s="227"/>
      <c r="J741" s="227"/>
      <c r="K741" s="227"/>
      <c r="L741" s="227"/>
      <c r="M741" s="227"/>
      <c r="N741" s="227"/>
      <c r="O741" s="227"/>
      <c r="P741" s="227"/>
      <c r="Q741" s="227"/>
      <c r="R741" s="227"/>
      <c r="S741" s="227"/>
      <c r="T741" s="227"/>
      <c r="U741" s="227"/>
      <c r="V741" s="227"/>
      <c r="W741" s="227"/>
      <c r="X741" s="227"/>
      <c r="Y741" s="227"/>
      <c r="Z741" s="227"/>
      <c r="AA741" s="227"/>
      <c r="AB741" s="227"/>
      <c r="AC741" s="227"/>
      <c r="AD741" s="227"/>
      <c r="AE741" s="227"/>
      <c r="AF741" s="227"/>
      <c r="AG741" s="227"/>
      <c r="AH741" s="227"/>
      <c r="AI741" s="227"/>
      <c r="AJ741" s="227"/>
      <c r="AK741" s="227"/>
      <c r="AL741" s="227"/>
      <c r="AM741" s="227"/>
      <c r="AN741" s="227"/>
      <c r="AO741" s="227"/>
      <c r="AP741" s="227"/>
      <c r="AQ741" s="227"/>
      <c r="AR741" s="227"/>
      <c r="AS741" s="227"/>
      <c r="AT741" s="227"/>
      <c r="AU741" s="227"/>
      <c r="AV741" s="227"/>
      <c r="AW741" s="227"/>
      <c r="AX741" s="227"/>
      <c r="AY741" s="227"/>
      <c r="AZ741" s="227"/>
      <c r="BA741" s="227"/>
      <c r="BB741" s="227"/>
      <c r="BC741" s="227"/>
      <c r="BD741" s="227"/>
      <c r="BE741" s="227"/>
      <c r="BF741" s="227"/>
      <c r="BG741" s="227"/>
      <c r="BH741" s="227"/>
      <c r="BI741" s="227"/>
      <c r="BJ741" s="227"/>
      <c r="BK741" s="227"/>
      <c r="BL741" s="227"/>
      <c r="BM741" s="227"/>
      <c r="BN741" s="227"/>
      <c r="BO741" s="227"/>
      <c r="BP741" s="227"/>
      <c r="BQ741" s="227"/>
      <c r="BR741" s="227"/>
      <c r="BS741" s="227"/>
      <c r="BT741" s="227"/>
      <c r="BU741" s="227"/>
      <c r="BV741" s="227"/>
      <c r="BW741" s="227"/>
      <c r="BX741" s="227"/>
      <c r="BY741" s="227"/>
      <c r="BZ741" s="227"/>
      <c r="CA741" s="227"/>
      <c r="CB741" s="227"/>
      <c r="CC741" s="227"/>
      <c r="CD741" s="227"/>
      <c r="CE741" s="227"/>
      <c r="CF741" s="227"/>
      <c r="CG741" s="227"/>
      <c r="CH741" s="227"/>
      <c r="CI741" s="227"/>
      <c r="CJ741" s="227"/>
      <c r="CK741" s="227"/>
      <c r="CL741" s="227"/>
      <c r="CM741" s="227"/>
      <c r="CN741" s="227"/>
      <c r="CO741" s="227"/>
      <c r="CP741" s="227"/>
      <c r="CQ741" s="227"/>
      <c r="CR741" s="227"/>
      <c r="CS741" s="227"/>
      <c r="CT741" s="227"/>
      <c r="CU741" s="225"/>
      <c r="CV741" s="227"/>
    </row>
    <row r="742" spans="1:100" ht="20.100000000000001" customHeight="1">
      <c r="A742" s="227"/>
      <c r="B742" s="225"/>
      <c r="C742" s="227"/>
      <c r="D742" s="224"/>
      <c r="E742" s="227"/>
      <c r="F742" s="227"/>
      <c r="G742" s="227"/>
      <c r="H742" s="227"/>
      <c r="I742" s="227"/>
      <c r="J742" s="227"/>
      <c r="K742" s="227"/>
      <c r="L742" s="227"/>
      <c r="M742" s="227"/>
      <c r="N742" s="227"/>
      <c r="O742" s="227"/>
      <c r="P742" s="227"/>
      <c r="Q742" s="227"/>
      <c r="R742" s="227"/>
      <c r="S742" s="227"/>
      <c r="T742" s="227"/>
      <c r="U742" s="227"/>
      <c r="V742" s="227"/>
      <c r="W742" s="227"/>
      <c r="X742" s="227"/>
      <c r="Y742" s="227"/>
      <c r="Z742" s="227"/>
      <c r="AA742" s="227"/>
      <c r="AB742" s="227"/>
      <c r="AC742" s="227"/>
      <c r="AD742" s="227"/>
      <c r="AE742" s="227"/>
      <c r="AF742" s="227"/>
      <c r="AG742" s="227"/>
      <c r="AH742" s="227"/>
      <c r="AI742" s="227"/>
      <c r="AJ742" s="227"/>
      <c r="AK742" s="227"/>
      <c r="AL742" s="227"/>
      <c r="AM742" s="227"/>
      <c r="AN742" s="227"/>
      <c r="AO742" s="227"/>
      <c r="AP742" s="227"/>
      <c r="AQ742" s="227"/>
      <c r="AR742" s="227"/>
      <c r="AS742" s="227"/>
      <c r="AT742" s="227"/>
      <c r="AU742" s="227"/>
      <c r="AV742" s="227"/>
      <c r="AW742" s="227"/>
      <c r="AX742" s="227"/>
      <c r="AY742" s="227"/>
      <c r="AZ742" s="227"/>
      <c r="BA742" s="227"/>
      <c r="BB742" s="227"/>
      <c r="BC742" s="227"/>
      <c r="BD742" s="227"/>
      <c r="BE742" s="227"/>
      <c r="BF742" s="227"/>
      <c r="BG742" s="227"/>
      <c r="BH742" s="227"/>
      <c r="BI742" s="227"/>
      <c r="BJ742" s="227"/>
      <c r="BK742" s="227"/>
      <c r="BL742" s="227"/>
      <c r="BM742" s="227"/>
      <c r="BN742" s="227"/>
      <c r="BO742" s="227"/>
      <c r="BP742" s="227"/>
      <c r="BQ742" s="227"/>
      <c r="BR742" s="227"/>
      <c r="BS742" s="227"/>
      <c r="BT742" s="227"/>
      <c r="BU742" s="227"/>
      <c r="BV742" s="227"/>
      <c r="BW742" s="227"/>
      <c r="BX742" s="227"/>
      <c r="BY742" s="227"/>
      <c r="BZ742" s="227"/>
      <c r="CA742" s="227"/>
      <c r="CB742" s="227"/>
      <c r="CC742" s="227"/>
      <c r="CD742" s="227"/>
      <c r="CE742" s="227"/>
      <c r="CF742" s="227"/>
      <c r="CG742" s="227"/>
      <c r="CH742" s="227"/>
      <c r="CI742" s="227"/>
      <c r="CJ742" s="227"/>
      <c r="CK742" s="227"/>
      <c r="CL742" s="227"/>
      <c r="CM742" s="227"/>
      <c r="CN742" s="227"/>
      <c r="CO742" s="227"/>
      <c r="CP742" s="227"/>
      <c r="CQ742" s="227"/>
      <c r="CR742" s="227"/>
      <c r="CS742" s="227"/>
      <c r="CT742" s="227"/>
      <c r="CU742" s="225"/>
      <c r="CV742" s="227"/>
    </row>
    <row r="743" spans="1:100" ht="20.100000000000001" customHeight="1">
      <c r="A743" s="227"/>
      <c r="B743" s="225"/>
      <c r="C743" s="227"/>
      <c r="D743" s="228">
        <f>(SUMPRODUCT(E743:CU743*$E$6:$CU$6)/100)+(SUMPRODUCT(E743:CU743*$E$6:$CU$6*$E$3:$CU$3)/100)</f>
        <v>0</v>
      </c>
      <c r="E743" s="227"/>
      <c r="F743" s="227"/>
      <c r="G743" s="227"/>
      <c r="H743" s="227"/>
      <c r="I743" s="227"/>
      <c r="J743" s="227"/>
      <c r="K743" s="227"/>
      <c r="L743" s="227"/>
      <c r="M743" s="227"/>
      <c r="N743" s="227"/>
      <c r="O743" s="227"/>
      <c r="P743" s="227"/>
      <c r="Q743" s="227"/>
      <c r="R743" s="227"/>
      <c r="S743" s="227"/>
      <c r="T743" s="227"/>
      <c r="U743" s="227"/>
      <c r="V743" s="227"/>
      <c r="W743" s="227"/>
      <c r="X743" s="227"/>
      <c r="Y743" s="227"/>
      <c r="Z743" s="227"/>
      <c r="AA743" s="227"/>
      <c r="AB743" s="227"/>
      <c r="AC743" s="227"/>
      <c r="AD743" s="227"/>
      <c r="AE743" s="227"/>
      <c r="AF743" s="227"/>
      <c r="AG743" s="227"/>
      <c r="AH743" s="227"/>
      <c r="AI743" s="227"/>
      <c r="AJ743" s="227"/>
      <c r="AK743" s="227"/>
      <c r="AL743" s="227"/>
      <c r="AM743" s="227"/>
      <c r="AN743" s="227"/>
      <c r="AO743" s="227"/>
      <c r="AP743" s="227"/>
      <c r="AQ743" s="227"/>
      <c r="AR743" s="227"/>
      <c r="AS743" s="227"/>
      <c r="AT743" s="227"/>
      <c r="AU743" s="227"/>
      <c r="AV743" s="227"/>
      <c r="AW743" s="227"/>
      <c r="AX743" s="227"/>
      <c r="AY743" s="227"/>
      <c r="AZ743" s="227"/>
      <c r="BA743" s="227"/>
      <c r="BB743" s="227"/>
      <c r="BC743" s="227"/>
      <c r="BD743" s="227"/>
      <c r="BE743" s="227"/>
      <c r="BF743" s="227"/>
      <c r="BG743" s="227"/>
      <c r="BH743" s="227"/>
      <c r="BI743" s="227"/>
      <c r="BJ743" s="227"/>
      <c r="BK743" s="227"/>
      <c r="BL743" s="227"/>
      <c r="BM743" s="227"/>
      <c r="BN743" s="227"/>
      <c r="BO743" s="227"/>
      <c r="BP743" s="227"/>
      <c r="BQ743" s="227"/>
      <c r="BR743" s="227"/>
      <c r="BS743" s="227"/>
      <c r="BT743" s="227"/>
      <c r="BU743" s="227"/>
      <c r="BV743" s="227"/>
      <c r="BW743" s="227"/>
      <c r="BX743" s="227"/>
      <c r="BY743" s="227"/>
      <c r="BZ743" s="227"/>
      <c r="CA743" s="227"/>
      <c r="CB743" s="227"/>
      <c r="CC743" s="227"/>
      <c r="CD743" s="227"/>
      <c r="CE743" s="227"/>
      <c r="CF743" s="227"/>
      <c r="CG743" s="227"/>
      <c r="CH743" s="227"/>
      <c r="CI743" s="227"/>
      <c r="CJ743" s="227"/>
      <c r="CK743" s="227"/>
      <c r="CL743" s="227"/>
      <c r="CM743" s="227"/>
      <c r="CN743" s="227"/>
      <c r="CO743" s="227"/>
      <c r="CP743" s="227"/>
      <c r="CQ743" s="227"/>
      <c r="CR743" s="227"/>
      <c r="CS743" s="227"/>
      <c r="CT743" s="227"/>
      <c r="CU743" s="225"/>
      <c r="CV743" s="227"/>
    </row>
    <row r="744" spans="1:100" ht="20.100000000000001" customHeight="1">
      <c r="A744" s="227"/>
      <c r="B744" s="225"/>
      <c r="C744" s="227"/>
      <c r="D744" s="224"/>
      <c r="E744" s="227"/>
      <c r="F744" s="227"/>
      <c r="G744" s="227"/>
      <c r="H744" s="227"/>
      <c r="I744" s="227"/>
      <c r="J744" s="227"/>
      <c r="K744" s="227"/>
      <c r="L744" s="227"/>
      <c r="M744" s="227"/>
      <c r="N744" s="227"/>
      <c r="O744" s="227"/>
      <c r="P744" s="227"/>
      <c r="Q744" s="227"/>
      <c r="R744" s="227"/>
      <c r="S744" s="227"/>
      <c r="T744" s="227"/>
      <c r="U744" s="227"/>
      <c r="V744" s="227"/>
      <c r="W744" s="227"/>
      <c r="X744" s="227"/>
      <c r="Y744" s="227"/>
      <c r="Z744" s="227"/>
      <c r="AA744" s="227"/>
      <c r="AB744" s="227"/>
      <c r="AC744" s="227"/>
      <c r="AD744" s="227"/>
      <c r="AE744" s="227"/>
      <c r="AF744" s="227"/>
      <c r="AG744" s="227"/>
      <c r="AH744" s="227"/>
      <c r="AI744" s="227"/>
      <c r="AJ744" s="227"/>
      <c r="AK744" s="227"/>
      <c r="AL744" s="227"/>
      <c r="AM744" s="227"/>
      <c r="AN744" s="227"/>
      <c r="AO744" s="227"/>
      <c r="AP744" s="227"/>
      <c r="AQ744" s="227"/>
      <c r="AR744" s="227"/>
      <c r="AS744" s="227"/>
      <c r="AT744" s="227"/>
      <c r="AU744" s="227"/>
      <c r="AV744" s="227"/>
      <c r="AW744" s="227"/>
      <c r="AX744" s="227"/>
      <c r="AY744" s="227"/>
      <c r="AZ744" s="227"/>
      <c r="BA744" s="227"/>
      <c r="BB744" s="227"/>
      <c r="BC744" s="227"/>
      <c r="BD744" s="227"/>
      <c r="BE744" s="227"/>
      <c r="BF744" s="227"/>
      <c r="BG744" s="227"/>
      <c r="BH744" s="227"/>
      <c r="BI744" s="227"/>
      <c r="BJ744" s="227"/>
      <c r="BK744" s="227"/>
      <c r="BL744" s="227"/>
      <c r="BM744" s="227"/>
      <c r="BN744" s="227"/>
      <c r="BO744" s="227"/>
      <c r="BP744" s="227"/>
      <c r="BQ744" s="227"/>
      <c r="BR744" s="227"/>
      <c r="BS744" s="227"/>
      <c r="BT744" s="227"/>
      <c r="BU744" s="227"/>
      <c r="BV744" s="227"/>
      <c r="BW744" s="227"/>
      <c r="BX744" s="227"/>
      <c r="BY744" s="227"/>
      <c r="BZ744" s="227"/>
      <c r="CA744" s="227"/>
      <c r="CB744" s="227"/>
      <c r="CC744" s="227"/>
      <c r="CD744" s="227"/>
      <c r="CE744" s="227"/>
      <c r="CF744" s="227"/>
      <c r="CG744" s="227"/>
      <c r="CH744" s="227"/>
      <c r="CI744" s="227"/>
      <c r="CJ744" s="227"/>
      <c r="CK744" s="227"/>
      <c r="CL744" s="227"/>
      <c r="CM744" s="227"/>
      <c r="CN744" s="227"/>
      <c r="CO744" s="227"/>
      <c r="CP744" s="227"/>
      <c r="CQ744" s="227"/>
      <c r="CR744" s="227"/>
      <c r="CS744" s="227"/>
      <c r="CT744" s="227"/>
      <c r="CU744" s="225"/>
      <c r="CV744" s="227"/>
    </row>
    <row r="745" spans="1:100" ht="20.100000000000001" customHeight="1">
      <c r="A745" s="227"/>
      <c r="B745" s="225"/>
      <c r="C745" s="227"/>
      <c r="D745" s="228">
        <f>(SUMPRODUCT(E745:CU745*$E$6:$CU$6)/100)+(SUMPRODUCT(E745:CU745*$E$6:$CU$6*$E$3:$CU$3)/100)</f>
        <v>0</v>
      </c>
      <c r="E745" s="227"/>
      <c r="F745" s="227"/>
      <c r="G745" s="227"/>
      <c r="H745" s="227"/>
      <c r="I745" s="227"/>
      <c r="J745" s="227"/>
      <c r="K745" s="227"/>
      <c r="L745" s="227"/>
      <c r="M745" s="227"/>
      <c r="N745" s="227"/>
      <c r="O745" s="227"/>
      <c r="P745" s="227"/>
      <c r="Q745" s="227"/>
      <c r="R745" s="227"/>
      <c r="S745" s="227"/>
      <c r="T745" s="227"/>
      <c r="U745" s="227"/>
      <c r="V745" s="227"/>
      <c r="W745" s="227"/>
      <c r="X745" s="227"/>
      <c r="Y745" s="227"/>
      <c r="Z745" s="227"/>
      <c r="AA745" s="227"/>
      <c r="AB745" s="227"/>
      <c r="AC745" s="227"/>
      <c r="AD745" s="227"/>
      <c r="AE745" s="227"/>
      <c r="AF745" s="227"/>
      <c r="AG745" s="227"/>
      <c r="AH745" s="227"/>
      <c r="AI745" s="227"/>
      <c r="AJ745" s="227"/>
      <c r="AK745" s="227"/>
      <c r="AL745" s="227"/>
      <c r="AM745" s="227"/>
      <c r="AN745" s="227"/>
      <c r="AO745" s="227"/>
      <c r="AP745" s="227"/>
      <c r="AQ745" s="227"/>
      <c r="AR745" s="227"/>
      <c r="AS745" s="227"/>
      <c r="AT745" s="227"/>
      <c r="AU745" s="227"/>
      <c r="AV745" s="227"/>
      <c r="AW745" s="227"/>
      <c r="AX745" s="227"/>
      <c r="AY745" s="227"/>
      <c r="AZ745" s="227"/>
      <c r="BA745" s="227"/>
      <c r="BB745" s="227"/>
      <c r="BC745" s="227"/>
      <c r="BD745" s="227"/>
      <c r="BE745" s="227"/>
      <c r="BF745" s="227"/>
      <c r="BG745" s="227"/>
      <c r="BH745" s="227"/>
      <c r="BI745" s="227"/>
      <c r="BJ745" s="227"/>
      <c r="BK745" s="227"/>
      <c r="BL745" s="227"/>
      <c r="BM745" s="227"/>
      <c r="BN745" s="227"/>
      <c r="BO745" s="227"/>
      <c r="BP745" s="227"/>
      <c r="BQ745" s="227"/>
      <c r="BR745" s="227"/>
      <c r="BS745" s="227"/>
      <c r="BT745" s="227"/>
      <c r="BU745" s="227"/>
      <c r="BV745" s="227"/>
      <c r="BW745" s="227"/>
      <c r="BX745" s="227"/>
      <c r="BY745" s="227"/>
      <c r="BZ745" s="227"/>
      <c r="CA745" s="227"/>
      <c r="CB745" s="227"/>
      <c r="CC745" s="227"/>
      <c r="CD745" s="227"/>
      <c r="CE745" s="227"/>
      <c r="CF745" s="227"/>
      <c r="CG745" s="227"/>
      <c r="CH745" s="227"/>
      <c r="CI745" s="227"/>
      <c r="CJ745" s="227"/>
      <c r="CK745" s="227"/>
      <c r="CL745" s="227"/>
      <c r="CM745" s="227"/>
      <c r="CN745" s="227"/>
      <c r="CO745" s="227"/>
      <c r="CP745" s="227"/>
      <c r="CQ745" s="227"/>
      <c r="CR745" s="227"/>
      <c r="CS745" s="227"/>
      <c r="CT745" s="227"/>
      <c r="CU745" s="225"/>
      <c r="CV745" s="227"/>
    </row>
    <row r="746" spans="1:100" ht="20.100000000000001" customHeight="1">
      <c r="A746" s="227"/>
      <c r="B746" s="225"/>
      <c r="C746" s="227"/>
      <c r="D746" s="224"/>
      <c r="E746" s="227"/>
      <c r="F746" s="227"/>
      <c r="G746" s="227"/>
      <c r="H746" s="227"/>
      <c r="I746" s="227"/>
      <c r="J746" s="227"/>
      <c r="K746" s="227"/>
      <c r="L746" s="227"/>
      <c r="M746" s="227"/>
      <c r="N746" s="227"/>
      <c r="O746" s="227"/>
      <c r="P746" s="227"/>
      <c r="Q746" s="227"/>
      <c r="R746" s="227"/>
      <c r="S746" s="227"/>
      <c r="T746" s="227"/>
      <c r="U746" s="227"/>
      <c r="V746" s="227"/>
      <c r="W746" s="227"/>
      <c r="X746" s="227"/>
      <c r="Y746" s="227"/>
      <c r="Z746" s="227"/>
      <c r="AA746" s="227"/>
      <c r="AB746" s="227"/>
      <c r="AC746" s="227"/>
      <c r="AD746" s="227"/>
      <c r="AE746" s="227"/>
      <c r="AF746" s="227"/>
      <c r="AG746" s="227"/>
      <c r="AH746" s="227"/>
      <c r="AI746" s="227"/>
      <c r="AJ746" s="227"/>
      <c r="AK746" s="227"/>
      <c r="AL746" s="227"/>
      <c r="AM746" s="227"/>
      <c r="AN746" s="227"/>
      <c r="AO746" s="227"/>
      <c r="AP746" s="227"/>
      <c r="AQ746" s="227"/>
      <c r="AR746" s="227"/>
      <c r="AS746" s="227"/>
      <c r="AT746" s="227"/>
      <c r="AU746" s="227"/>
      <c r="AV746" s="227"/>
      <c r="AW746" s="227"/>
      <c r="AX746" s="227"/>
      <c r="AY746" s="227"/>
      <c r="AZ746" s="227"/>
      <c r="BA746" s="227"/>
      <c r="BB746" s="227"/>
      <c r="BC746" s="227"/>
      <c r="BD746" s="227"/>
      <c r="BE746" s="227"/>
      <c r="BF746" s="227"/>
      <c r="BG746" s="227"/>
      <c r="BH746" s="227"/>
      <c r="BI746" s="227"/>
      <c r="BJ746" s="227"/>
      <c r="BK746" s="227"/>
      <c r="BL746" s="227"/>
      <c r="BM746" s="227"/>
      <c r="BN746" s="227"/>
      <c r="BO746" s="227"/>
      <c r="BP746" s="227"/>
      <c r="BQ746" s="227"/>
      <c r="BR746" s="227"/>
      <c r="BS746" s="227"/>
      <c r="BT746" s="227"/>
      <c r="BU746" s="227"/>
      <c r="BV746" s="227"/>
      <c r="BW746" s="227"/>
      <c r="BX746" s="227"/>
      <c r="BY746" s="227"/>
      <c r="BZ746" s="227"/>
      <c r="CA746" s="227"/>
      <c r="CB746" s="227"/>
      <c r="CC746" s="227"/>
      <c r="CD746" s="227"/>
      <c r="CE746" s="227"/>
      <c r="CF746" s="227"/>
      <c r="CG746" s="227"/>
      <c r="CH746" s="227"/>
      <c r="CI746" s="227"/>
      <c r="CJ746" s="227"/>
      <c r="CK746" s="227"/>
      <c r="CL746" s="227"/>
      <c r="CM746" s="227"/>
      <c r="CN746" s="227"/>
      <c r="CO746" s="227"/>
      <c r="CP746" s="227"/>
      <c r="CQ746" s="227"/>
      <c r="CR746" s="227"/>
      <c r="CS746" s="227"/>
      <c r="CT746" s="227"/>
      <c r="CU746" s="225"/>
      <c r="CV746" s="227"/>
    </row>
    <row r="747" spans="1:100" ht="20.100000000000001" customHeight="1">
      <c r="A747" s="227"/>
      <c r="B747" s="225"/>
      <c r="C747" s="227"/>
      <c r="D747" s="228">
        <f>(SUMPRODUCT(E747:CU747*$E$6:$CU$6)/100)+(SUMPRODUCT(E747:CU747*$E$6:$CU$6*$E$3:$CU$3)/100)</f>
        <v>0</v>
      </c>
      <c r="E747" s="227"/>
      <c r="F747" s="227"/>
      <c r="G747" s="227"/>
      <c r="H747" s="227"/>
      <c r="I747" s="227"/>
      <c r="J747" s="227"/>
      <c r="K747" s="227"/>
      <c r="L747" s="227"/>
      <c r="M747" s="227"/>
      <c r="N747" s="227"/>
      <c r="O747" s="227"/>
      <c r="P747" s="227"/>
      <c r="Q747" s="227"/>
      <c r="R747" s="227"/>
      <c r="S747" s="227"/>
      <c r="T747" s="227"/>
      <c r="U747" s="227"/>
      <c r="V747" s="227"/>
      <c r="W747" s="227"/>
      <c r="X747" s="227"/>
      <c r="Y747" s="227"/>
      <c r="Z747" s="227"/>
      <c r="AA747" s="227"/>
      <c r="AB747" s="227"/>
      <c r="AC747" s="227"/>
      <c r="AD747" s="227"/>
      <c r="AE747" s="227"/>
      <c r="AF747" s="227"/>
      <c r="AG747" s="227"/>
      <c r="AH747" s="227"/>
      <c r="AI747" s="227"/>
      <c r="AJ747" s="227"/>
      <c r="AK747" s="227"/>
      <c r="AL747" s="227"/>
      <c r="AM747" s="227"/>
      <c r="AN747" s="227"/>
      <c r="AO747" s="227"/>
      <c r="AP747" s="227"/>
      <c r="AQ747" s="227"/>
      <c r="AR747" s="227"/>
      <c r="AS747" s="227"/>
      <c r="AT747" s="227"/>
      <c r="AU747" s="227"/>
      <c r="AV747" s="227"/>
      <c r="AW747" s="227"/>
      <c r="AX747" s="227"/>
      <c r="AY747" s="227"/>
      <c r="AZ747" s="227"/>
      <c r="BA747" s="227"/>
      <c r="BB747" s="227"/>
      <c r="BC747" s="227"/>
      <c r="BD747" s="227"/>
      <c r="BE747" s="227"/>
      <c r="BF747" s="227"/>
      <c r="BG747" s="227"/>
      <c r="BH747" s="227"/>
      <c r="BI747" s="227"/>
      <c r="BJ747" s="227"/>
      <c r="BK747" s="227"/>
      <c r="BL747" s="227"/>
      <c r="BM747" s="227"/>
      <c r="BN747" s="227"/>
      <c r="BO747" s="227"/>
      <c r="BP747" s="227"/>
      <c r="BQ747" s="227"/>
      <c r="BR747" s="227"/>
      <c r="BS747" s="227"/>
      <c r="BT747" s="227"/>
      <c r="BU747" s="227"/>
      <c r="BV747" s="227"/>
      <c r="BW747" s="227"/>
      <c r="BX747" s="227"/>
      <c r="BY747" s="227"/>
      <c r="BZ747" s="227"/>
      <c r="CA747" s="227"/>
      <c r="CB747" s="227"/>
      <c r="CC747" s="227"/>
      <c r="CD747" s="227"/>
      <c r="CE747" s="227"/>
      <c r="CF747" s="227"/>
      <c r="CG747" s="227"/>
      <c r="CH747" s="227"/>
      <c r="CI747" s="227"/>
      <c r="CJ747" s="227"/>
      <c r="CK747" s="227"/>
      <c r="CL747" s="227"/>
      <c r="CM747" s="227"/>
      <c r="CN747" s="227"/>
      <c r="CO747" s="227"/>
      <c r="CP747" s="227"/>
      <c r="CQ747" s="227"/>
      <c r="CR747" s="227"/>
      <c r="CS747" s="227"/>
      <c r="CT747" s="227"/>
      <c r="CU747" s="225"/>
      <c r="CV747" s="227"/>
    </row>
    <row r="748" spans="1:100" ht="20.100000000000001" customHeight="1">
      <c r="A748" s="227"/>
      <c r="B748" s="225"/>
      <c r="C748" s="227"/>
      <c r="D748" s="224"/>
      <c r="E748" s="227"/>
      <c r="F748" s="227"/>
      <c r="G748" s="227"/>
      <c r="H748" s="227"/>
      <c r="I748" s="227"/>
      <c r="J748" s="227"/>
      <c r="K748" s="227"/>
      <c r="L748" s="227"/>
      <c r="M748" s="227"/>
      <c r="N748" s="227"/>
      <c r="O748" s="227"/>
      <c r="P748" s="227"/>
      <c r="Q748" s="227"/>
      <c r="R748" s="227"/>
      <c r="S748" s="227"/>
      <c r="T748" s="227"/>
      <c r="U748" s="227"/>
      <c r="V748" s="227"/>
      <c r="W748" s="227"/>
      <c r="X748" s="227"/>
      <c r="Y748" s="227"/>
      <c r="Z748" s="227"/>
      <c r="AA748" s="227"/>
      <c r="AB748" s="227"/>
      <c r="AC748" s="227"/>
      <c r="AD748" s="227"/>
      <c r="AE748" s="227"/>
      <c r="AF748" s="227"/>
      <c r="AG748" s="227"/>
      <c r="AH748" s="227"/>
      <c r="AI748" s="227"/>
      <c r="AJ748" s="227"/>
      <c r="AK748" s="227"/>
      <c r="AL748" s="227"/>
      <c r="AM748" s="227"/>
      <c r="AN748" s="227"/>
      <c r="AO748" s="227"/>
      <c r="AP748" s="227"/>
      <c r="AQ748" s="227"/>
      <c r="AR748" s="227"/>
      <c r="AS748" s="227"/>
      <c r="AT748" s="227"/>
      <c r="AU748" s="227"/>
      <c r="AV748" s="227"/>
      <c r="AW748" s="227"/>
      <c r="AX748" s="227"/>
      <c r="AY748" s="227"/>
      <c r="AZ748" s="227"/>
      <c r="BA748" s="227"/>
      <c r="BB748" s="227"/>
      <c r="BC748" s="227"/>
      <c r="BD748" s="227"/>
      <c r="BE748" s="227"/>
      <c r="BF748" s="227"/>
      <c r="BG748" s="227"/>
      <c r="BH748" s="227"/>
      <c r="BI748" s="227"/>
      <c r="BJ748" s="227"/>
      <c r="BK748" s="227"/>
      <c r="BL748" s="227"/>
      <c r="BM748" s="227"/>
      <c r="BN748" s="227"/>
      <c r="BO748" s="227"/>
      <c r="BP748" s="227"/>
      <c r="BQ748" s="227"/>
      <c r="BR748" s="227"/>
      <c r="BS748" s="227"/>
      <c r="BT748" s="227"/>
      <c r="BU748" s="227"/>
      <c r="BV748" s="227"/>
      <c r="BW748" s="227"/>
      <c r="BX748" s="227"/>
      <c r="BY748" s="227"/>
      <c r="BZ748" s="227"/>
      <c r="CA748" s="227"/>
      <c r="CB748" s="227"/>
      <c r="CC748" s="227"/>
      <c r="CD748" s="227"/>
      <c r="CE748" s="227"/>
      <c r="CF748" s="227"/>
      <c r="CG748" s="227"/>
      <c r="CH748" s="227"/>
      <c r="CI748" s="227"/>
      <c r="CJ748" s="227"/>
      <c r="CK748" s="227"/>
      <c r="CL748" s="227"/>
      <c r="CM748" s="227"/>
      <c r="CN748" s="227"/>
      <c r="CO748" s="227"/>
      <c r="CP748" s="227"/>
      <c r="CQ748" s="227"/>
      <c r="CR748" s="227"/>
      <c r="CS748" s="227"/>
      <c r="CT748" s="227"/>
      <c r="CU748" s="225"/>
      <c r="CV748" s="227"/>
    </row>
    <row r="749" spans="1:100" ht="20.100000000000001" customHeight="1">
      <c r="A749" s="227"/>
      <c r="B749" s="225"/>
      <c r="C749" s="227"/>
      <c r="D749" s="228">
        <f>(SUMPRODUCT(E749:CU749*$E$6:$CU$6)/100)+(SUMPRODUCT(E749:CU749*$E$6:$CU$6*$E$3:$CU$3)/100)</f>
        <v>0</v>
      </c>
      <c r="E749" s="227"/>
      <c r="F749" s="227"/>
      <c r="G749" s="227"/>
      <c r="H749" s="227"/>
      <c r="I749" s="227"/>
      <c r="J749" s="227"/>
      <c r="K749" s="227"/>
      <c r="L749" s="227"/>
      <c r="M749" s="227"/>
      <c r="N749" s="227"/>
      <c r="O749" s="227"/>
      <c r="P749" s="227"/>
      <c r="Q749" s="227"/>
      <c r="R749" s="227"/>
      <c r="S749" s="227"/>
      <c r="T749" s="227"/>
      <c r="U749" s="227"/>
      <c r="V749" s="227"/>
      <c r="W749" s="227"/>
      <c r="X749" s="227"/>
      <c r="Y749" s="227"/>
      <c r="Z749" s="227"/>
      <c r="AA749" s="227"/>
      <c r="AB749" s="227"/>
      <c r="AC749" s="227"/>
      <c r="AD749" s="227"/>
      <c r="AE749" s="227"/>
      <c r="AF749" s="227"/>
      <c r="AG749" s="227"/>
      <c r="AH749" s="227"/>
      <c r="AI749" s="227"/>
      <c r="AJ749" s="227"/>
      <c r="AK749" s="227"/>
      <c r="AL749" s="227"/>
      <c r="AM749" s="227"/>
      <c r="AN749" s="227"/>
      <c r="AO749" s="227"/>
      <c r="AP749" s="227"/>
      <c r="AQ749" s="227"/>
      <c r="AR749" s="227"/>
      <c r="AS749" s="227"/>
      <c r="AT749" s="227"/>
      <c r="AU749" s="227"/>
      <c r="AV749" s="227"/>
      <c r="AW749" s="227"/>
      <c r="AX749" s="227"/>
      <c r="AY749" s="227"/>
      <c r="AZ749" s="227"/>
      <c r="BA749" s="227"/>
      <c r="BB749" s="227"/>
      <c r="BC749" s="227"/>
      <c r="BD749" s="227"/>
      <c r="BE749" s="227"/>
      <c r="BF749" s="227"/>
      <c r="BG749" s="227"/>
      <c r="BH749" s="227"/>
      <c r="BI749" s="227"/>
      <c r="BJ749" s="227"/>
      <c r="BK749" s="227"/>
      <c r="BL749" s="227"/>
      <c r="BM749" s="227"/>
      <c r="BN749" s="227"/>
      <c r="BO749" s="227"/>
      <c r="BP749" s="227"/>
      <c r="BQ749" s="227"/>
      <c r="BR749" s="227"/>
      <c r="BS749" s="227"/>
      <c r="BT749" s="227"/>
      <c r="BU749" s="227"/>
      <c r="BV749" s="227"/>
      <c r="BW749" s="227"/>
      <c r="BX749" s="227"/>
      <c r="BY749" s="227"/>
      <c r="BZ749" s="227"/>
      <c r="CA749" s="227"/>
      <c r="CB749" s="227"/>
      <c r="CC749" s="227"/>
      <c r="CD749" s="227"/>
      <c r="CE749" s="227"/>
      <c r="CF749" s="227"/>
      <c r="CG749" s="227"/>
      <c r="CH749" s="227"/>
      <c r="CI749" s="227"/>
      <c r="CJ749" s="227"/>
      <c r="CK749" s="227"/>
      <c r="CL749" s="227"/>
      <c r="CM749" s="227"/>
      <c r="CN749" s="227"/>
      <c r="CO749" s="227"/>
      <c r="CP749" s="227"/>
      <c r="CQ749" s="227"/>
      <c r="CR749" s="227"/>
      <c r="CS749" s="227"/>
      <c r="CT749" s="227"/>
      <c r="CU749" s="225"/>
      <c r="CV749" s="227"/>
    </row>
    <row r="750" spans="1:100" ht="20.100000000000001" customHeight="1">
      <c r="A750" s="227"/>
      <c r="B750" s="225"/>
      <c r="C750" s="227"/>
      <c r="D750" s="224"/>
      <c r="E750" s="227"/>
      <c r="F750" s="227"/>
      <c r="G750" s="227"/>
      <c r="H750" s="227"/>
      <c r="I750" s="227"/>
      <c r="J750" s="227"/>
      <c r="K750" s="227"/>
      <c r="L750" s="227"/>
      <c r="M750" s="227"/>
      <c r="N750" s="227"/>
      <c r="O750" s="227"/>
      <c r="P750" s="227"/>
      <c r="Q750" s="227"/>
      <c r="R750" s="227"/>
      <c r="S750" s="227"/>
      <c r="T750" s="227"/>
      <c r="U750" s="227"/>
      <c r="V750" s="227"/>
      <c r="W750" s="227"/>
      <c r="X750" s="227"/>
      <c r="Y750" s="227"/>
      <c r="Z750" s="227"/>
      <c r="AA750" s="227"/>
      <c r="AB750" s="227"/>
      <c r="AC750" s="227"/>
      <c r="AD750" s="227"/>
      <c r="AE750" s="227"/>
      <c r="AF750" s="227"/>
      <c r="AG750" s="227"/>
      <c r="AH750" s="227"/>
      <c r="AI750" s="227"/>
      <c r="AJ750" s="227"/>
      <c r="AK750" s="227"/>
      <c r="AL750" s="227"/>
      <c r="AM750" s="227"/>
      <c r="AN750" s="227"/>
      <c r="AO750" s="227"/>
      <c r="AP750" s="227"/>
      <c r="AQ750" s="227"/>
      <c r="AR750" s="227"/>
      <c r="AS750" s="227"/>
      <c r="AT750" s="227"/>
      <c r="AU750" s="227"/>
      <c r="AV750" s="227"/>
      <c r="AW750" s="227"/>
      <c r="AX750" s="227"/>
      <c r="AY750" s="227"/>
      <c r="AZ750" s="227"/>
      <c r="BA750" s="227"/>
      <c r="BB750" s="227"/>
      <c r="BC750" s="227"/>
      <c r="BD750" s="227"/>
      <c r="BE750" s="227"/>
      <c r="BF750" s="227"/>
      <c r="BG750" s="227"/>
      <c r="BH750" s="227"/>
      <c r="BI750" s="227"/>
      <c r="BJ750" s="227"/>
      <c r="BK750" s="227"/>
      <c r="BL750" s="227"/>
      <c r="BM750" s="227"/>
      <c r="BN750" s="227"/>
      <c r="BO750" s="227"/>
      <c r="BP750" s="227"/>
      <c r="BQ750" s="227"/>
      <c r="BR750" s="227"/>
      <c r="BS750" s="227"/>
      <c r="BT750" s="227"/>
      <c r="BU750" s="227"/>
      <c r="BV750" s="227"/>
      <c r="BW750" s="227"/>
      <c r="BX750" s="227"/>
      <c r="BY750" s="227"/>
      <c r="BZ750" s="227"/>
      <c r="CA750" s="227"/>
      <c r="CB750" s="227"/>
      <c r="CC750" s="227"/>
      <c r="CD750" s="227"/>
      <c r="CE750" s="227"/>
      <c r="CF750" s="227"/>
      <c r="CG750" s="227"/>
      <c r="CH750" s="227"/>
      <c r="CI750" s="227"/>
      <c r="CJ750" s="227"/>
      <c r="CK750" s="227"/>
      <c r="CL750" s="227"/>
      <c r="CM750" s="227"/>
      <c r="CN750" s="227"/>
      <c r="CO750" s="227"/>
      <c r="CP750" s="227"/>
      <c r="CQ750" s="227"/>
      <c r="CR750" s="227"/>
      <c r="CS750" s="227"/>
      <c r="CT750" s="227"/>
      <c r="CU750" s="225"/>
      <c r="CV750" s="227"/>
    </row>
    <row r="751" spans="1:100" ht="20.100000000000001" customHeight="1">
      <c r="A751" s="227"/>
      <c r="B751" s="225"/>
      <c r="C751" s="227"/>
      <c r="D751" s="228">
        <f>(SUMPRODUCT(E751:CU751*$E$6:$CU$6)/100)+(SUMPRODUCT(E751:CU751*$E$6:$CU$6*$E$3:$CU$3)/100)</f>
        <v>0</v>
      </c>
      <c r="E751" s="227"/>
      <c r="F751" s="227"/>
      <c r="G751" s="227"/>
      <c r="H751" s="227"/>
      <c r="I751" s="227"/>
      <c r="J751" s="227"/>
      <c r="K751" s="227"/>
      <c r="L751" s="227"/>
      <c r="M751" s="227"/>
      <c r="N751" s="227"/>
      <c r="O751" s="227"/>
      <c r="P751" s="227"/>
      <c r="Q751" s="227"/>
      <c r="R751" s="227"/>
      <c r="S751" s="227"/>
      <c r="T751" s="227"/>
      <c r="U751" s="227"/>
      <c r="V751" s="227"/>
      <c r="W751" s="227"/>
      <c r="X751" s="227"/>
      <c r="Y751" s="227"/>
      <c r="Z751" s="227"/>
      <c r="AA751" s="227"/>
      <c r="AB751" s="227"/>
      <c r="AC751" s="227"/>
      <c r="AD751" s="227"/>
      <c r="AE751" s="227"/>
      <c r="AF751" s="227"/>
      <c r="AG751" s="227"/>
      <c r="AH751" s="227"/>
      <c r="AI751" s="227"/>
      <c r="AJ751" s="227"/>
      <c r="AK751" s="227"/>
      <c r="AL751" s="227"/>
      <c r="AM751" s="227"/>
      <c r="AN751" s="227"/>
      <c r="AO751" s="227"/>
      <c r="AP751" s="227"/>
      <c r="AQ751" s="227"/>
      <c r="AR751" s="227"/>
      <c r="AS751" s="227"/>
      <c r="AT751" s="227"/>
      <c r="AU751" s="227"/>
      <c r="AV751" s="227"/>
      <c r="AW751" s="227"/>
      <c r="AX751" s="227"/>
      <c r="AY751" s="227"/>
      <c r="AZ751" s="227"/>
      <c r="BA751" s="227"/>
      <c r="BB751" s="227"/>
      <c r="BC751" s="227"/>
      <c r="BD751" s="227"/>
      <c r="BE751" s="227"/>
      <c r="BF751" s="227"/>
      <c r="BG751" s="227"/>
      <c r="BH751" s="227"/>
      <c r="BI751" s="227"/>
      <c r="BJ751" s="227"/>
      <c r="BK751" s="227"/>
      <c r="BL751" s="227"/>
      <c r="BM751" s="227"/>
      <c r="BN751" s="227"/>
      <c r="BO751" s="227"/>
      <c r="BP751" s="227"/>
      <c r="BQ751" s="227"/>
      <c r="BR751" s="227"/>
      <c r="BS751" s="227"/>
      <c r="BT751" s="227"/>
      <c r="BU751" s="227"/>
      <c r="BV751" s="227"/>
      <c r="BW751" s="227"/>
      <c r="BX751" s="227"/>
      <c r="BY751" s="227"/>
      <c r="BZ751" s="227"/>
      <c r="CA751" s="227"/>
      <c r="CB751" s="227"/>
      <c r="CC751" s="227"/>
      <c r="CD751" s="227"/>
      <c r="CE751" s="227"/>
      <c r="CF751" s="227"/>
      <c r="CG751" s="227"/>
      <c r="CH751" s="227"/>
      <c r="CI751" s="227"/>
      <c r="CJ751" s="227"/>
      <c r="CK751" s="227"/>
      <c r="CL751" s="227"/>
      <c r="CM751" s="227"/>
      <c r="CN751" s="227"/>
      <c r="CO751" s="227"/>
      <c r="CP751" s="227"/>
      <c r="CQ751" s="227"/>
      <c r="CR751" s="227"/>
      <c r="CS751" s="227"/>
      <c r="CT751" s="227"/>
      <c r="CU751" s="225"/>
      <c r="CV751" s="227"/>
    </row>
    <row r="752" spans="1:100" ht="20.100000000000001" customHeight="1">
      <c r="A752" s="227"/>
      <c r="B752" s="225"/>
      <c r="C752" s="227"/>
      <c r="D752" s="224"/>
      <c r="E752" s="227"/>
      <c r="F752" s="227"/>
      <c r="G752" s="227"/>
      <c r="H752" s="227"/>
      <c r="I752" s="227"/>
      <c r="J752" s="227"/>
      <c r="K752" s="227"/>
      <c r="L752" s="227"/>
      <c r="M752" s="227"/>
      <c r="N752" s="227"/>
      <c r="O752" s="227"/>
      <c r="P752" s="227"/>
      <c r="Q752" s="227"/>
      <c r="R752" s="227"/>
      <c r="S752" s="227"/>
      <c r="T752" s="227"/>
      <c r="U752" s="227"/>
      <c r="V752" s="227"/>
      <c r="W752" s="227"/>
      <c r="X752" s="227"/>
      <c r="Y752" s="227"/>
      <c r="Z752" s="227"/>
      <c r="AA752" s="227"/>
      <c r="AB752" s="227"/>
      <c r="AC752" s="227"/>
      <c r="AD752" s="227"/>
      <c r="AE752" s="227"/>
      <c r="AF752" s="227"/>
      <c r="AG752" s="227"/>
      <c r="AH752" s="227"/>
      <c r="AI752" s="227"/>
      <c r="AJ752" s="227"/>
      <c r="AK752" s="227"/>
      <c r="AL752" s="227"/>
      <c r="AM752" s="227"/>
      <c r="AN752" s="227"/>
      <c r="AO752" s="227"/>
      <c r="AP752" s="227"/>
      <c r="AQ752" s="227"/>
      <c r="AR752" s="227"/>
      <c r="AS752" s="227"/>
      <c r="AT752" s="227"/>
      <c r="AU752" s="227"/>
      <c r="AV752" s="227"/>
      <c r="AW752" s="227"/>
      <c r="AX752" s="227"/>
      <c r="AY752" s="227"/>
      <c r="AZ752" s="227"/>
      <c r="BA752" s="227"/>
      <c r="BB752" s="227"/>
      <c r="BC752" s="227"/>
      <c r="BD752" s="227"/>
      <c r="BE752" s="227"/>
      <c r="BF752" s="227"/>
      <c r="BG752" s="227"/>
      <c r="BH752" s="227"/>
      <c r="BI752" s="227"/>
      <c r="BJ752" s="227"/>
      <c r="BK752" s="227"/>
      <c r="BL752" s="227"/>
      <c r="BM752" s="227"/>
      <c r="BN752" s="227"/>
      <c r="BO752" s="227"/>
      <c r="BP752" s="227"/>
      <c r="BQ752" s="227"/>
      <c r="BR752" s="227"/>
      <c r="BS752" s="227"/>
      <c r="BT752" s="227"/>
      <c r="BU752" s="227"/>
      <c r="BV752" s="227"/>
      <c r="BW752" s="227"/>
      <c r="BX752" s="227"/>
      <c r="BY752" s="227"/>
      <c r="BZ752" s="227"/>
      <c r="CA752" s="227"/>
      <c r="CB752" s="227"/>
      <c r="CC752" s="227"/>
      <c r="CD752" s="227"/>
      <c r="CE752" s="227"/>
      <c r="CF752" s="227"/>
      <c r="CG752" s="227"/>
      <c r="CH752" s="227"/>
      <c r="CI752" s="227"/>
      <c r="CJ752" s="227"/>
      <c r="CK752" s="227"/>
      <c r="CL752" s="227"/>
      <c r="CM752" s="227"/>
      <c r="CN752" s="227"/>
      <c r="CO752" s="227"/>
      <c r="CP752" s="227"/>
      <c r="CQ752" s="227"/>
      <c r="CR752" s="227"/>
      <c r="CS752" s="227"/>
      <c r="CT752" s="227"/>
      <c r="CU752" s="225"/>
      <c r="CV752" s="227"/>
    </row>
    <row r="753" spans="1:100" ht="20.100000000000001" customHeight="1">
      <c r="A753" s="227"/>
      <c r="B753" s="225"/>
      <c r="C753" s="227"/>
      <c r="D753" s="228">
        <f>(SUMPRODUCT(E753:CU753*$E$6:$CU$6)/100)+(SUMPRODUCT(E753:CU753*$E$6:$CU$6*$E$3:$CU$3)/100)</f>
        <v>0</v>
      </c>
      <c r="E753" s="227"/>
      <c r="F753" s="227"/>
      <c r="G753" s="227"/>
      <c r="H753" s="227"/>
      <c r="I753" s="227"/>
      <c r="J753" s="227"/>
      <c r="K753" s="227"/>
      <c r="L753" s="227"/>
      <c r="M753" s="227"/>
      <c r="N753" s="227"/>
      <c r="O753" s="227"/>
      <c r="P753" s="227"/>
      <c r="Q753" s="227"/>
      <c r="R753" s="227"/>
      <c r="S753" s="227"/>
      <c r="T753" s="227"/>
      <c r="U753" s="227"/>
      <c r="V753" s="227"/>
      <c r="W753" s="227"/>
      <c r="X753" s="227"/>
      <c r="Y753" s="227"/>
      <c r="Z753" s="227"/>
      <c r="AA753" s="227"/>
      <c r="AB753" s="227"/>
      <c r="AC753" s="227"/>
      <c r="AD753" s="227"/>
      <c r="AE753" s="227"/>
      <c r="AF753" s="227"/>
      <c r="AG753" s="227"/>
      <c r="AH753" s="227"/>
      <c r="AI753" s="227"/>
      <c r="AJ753" s="227"/>
      <c r="AK753" s="227"/>
      <c r="AL753" s="227"/>
      <c r="AM753" s="227"/>
      <c r="AN753" s="227"/>
      <c r="AO753" s="227"/>
      <c r="AP753" s="227"/>
      <c r="AQ753" s="227"/>
      <c r="AR753" s="227"/>
      <c r="AS753" s="227"/>
      <c r="AT753" s="227"/>
      <c r="AU753" s="227"/>
      <c r="AV753" s="227"/>
      <c r="AW753" s="227"/>
      <c r="AX753" s="227"/>
      <c r="AY753" s="227"/>
      <c r="AZ753" s="227"/>
      <c r="BA753" s="227"/>
      <c r="BB753" s="227"/>
      <c r="BC753" s="227"/>
      <c r="BD753" s="227"/>
      <c r="BE753" s="227"/>
      <c r="BF753" s="227"/>
      <c r="BG753" s="227"/>
      <c r="BH753" s="227"/>
      <c r="BI753" s="227"/>
      <c r="BJ753" s="227"/>
      <c r="BK753" s="227"/>
      <c r="BL753" s="227"/>
      <c r="BM753" s="227"/>
      <c r="BN753" s="227"/>
      <c r="BO753" s="227"/>
      <c r="BP753" s="227"/>
      <c r="BQ753" s="227"/>
      <c r="BR753" s="227"/>
      <c r="BS753" s="227"/>
      <c r="BT753" s="227"/>
      <c r="BU753" s="227"/>
      <c r="BV753" s="227"/>
      <c r="BW753" s="227"/>
      <c r="BX753" s="227"/>
      <c r="BY753" s="227"/>
      <c r="BZ753" s="227"/>
      <c r="CA753" s="227"/>
      <c r="CB753" s="227"/>
      <c r="CC753" s="227"/>
      <c r="CD753" s="227"/>
      <c r="CE753" s="227"/>
      <c r="CF753" s="227"/>
      <c r="CG753" s="227"/>
      <c r="CH753" s="227"/>
      <c r="CI753" s="227"/>
      <c r="CJ753" s="227"/>
      <c r="CK753" s="227"/>
      <c r="CL753" s="227"/>
      <c r="CM753" s="227"/>
      <c r="CN753" s="227"/>
      <c r="CO753" s="227"/>
      <c r="CP753" s="227"/>
      <c r="CQ753" s="227"/>
      <c r="CR753" s="227"/>
      <c r="CS753" s="227"/>
      <c r="CT753" s="227"/>
      <c r="CU753" s="225"/>
      <c r="CV753" s="227"/>
    </row>
    <row r="754" spans="1:100" ht="20.100000000000001" customHeight="1">
      <c r="A754" s="227"/>
      <c r="B754" s="225"/>
      <c r="C754" s="227"/>
      <c r="D754" s="224"/>
      <c r="E754" s="227"/>
      <c r="F754" s="227"/>
      <c r="G754" s="227"/>
      <c r="H754" s="227"/>
      <c r="I754" s="227"/>
      <c r="J754" s="227"/>
      <c r="K754" s="227"/>
      <c r="L754" s="227"/>
      <c r="M754" s="227"/>
      <c r="N754" s="227"/>
      <c r="O754" s="227"/>
      <c r="P754" s="227"/>
      <c r="Q754" s="227"/>
      <c r="R754" s="227"/>
      <c r="S754" s="227"/>
      <c r="T754" s="227"/>
      <c r="U754" s="227"/>
      <c r="V754" s="227"/>
      <c r="W754" s="227"/>
      <c r="X754" s="227"/>
      <c r="Y754" s="227"/>
      <c r="Z754" s="227"/>
      <c r="AA754" s="227"/>
      <c r="AB754" s="227"/>
      <c r="AC754" s="227"/>
      <c r="AD754" s="227"/>
      <c r="AE754" s="227"/>
      <c r="AF754" s="227"/>
      <c r="AG754" s="227"/>
      <c r="AH754" s="227"/>
      <c r="AI754" s="227"/>
      <c r="AJ754" s="227"/>
      <c r="AK754" s="227"/>
      <c r="AL754" s="227"/>
      <c r="AM754" s="227"/>
      <c r="AN754" s="227"/>
      <c r="AO754" s="227"/>
      <c r="AP754" s="227"/>
      <c r="AQ754" s="227"/>
      <c r="AR754" s="227"/>
      <c r="AS754" s="227"/>
      <c r="AT754" s="227"/>
      <c r="AU754" s="227"/>
      <c r="AV754" s="227"/>
      <c r="AW754" s="227"/>
      <c r="AX754" s="227"/>
      <c r="AY754" s="227"/>
      <c r="AZ754" s="227"/>
      <c r="BA754" s="227"/>
      <c r="BB754" s="227"/>
      <c r="BC754" s="227"/>
      <c r="BD754" s="227"/>
      <c r="BE754" s="227"/>
      <c r="BF754" s="227"/>
      <c r="BG754" s="227"/>
      <c r="BH754" s="227"/>
      <c r="BI754" s="227"/>
      <c r="BJ754" s="227"/>
      <c r="BK754" s="227"/>
      <c r="BL754" s="227"/>
      <c r="BM754" s="227"/>
      <c r="BN754" s="227"/>
      <c r="BO754" s="227"/>
      <c r="BP754" s="227"/>
      <c r="BQ754" s="227"/>
      <c r="BR754" s="227"/>
      <c r="BS754" s="227"/>
      <c r="BT754" s="227"/>
      <c r="BU754" s="227"/>
      <c r="BV754" s="227"/>
      <c r="BW754" s="227"/>
      <c r="BX754" s="227"/>
      <c r="BY754" s="227"/>
      <c r="BZ754" s="227"/>
      <c r="CA754" s="227"/>
      <c r="CB754" s="227"/>
      <c r="CC754" s="227"/>
      <c r="CD754" s="227"/>
      <c r="CE754" s="227"/>
      <c r="CF754" s="227"/>
      <c r="CG754" s="227"/>
      <c r="CH754" s="227"/>
      <c r="CI754" s="227"/>
      <c r="CJ754" s="227"/>
      <c r="CK754" s="227"/>
      <c r="CL754" s="227"/>
      <c r="CM754" s="227"/>
      <c r="CN754" s="227"/>
      <c r="CO754" s="227"/>
      <c r="CP754" s="227"/>
      <c r="CQ754" s="227"/>
      <c r="CR754" s="227"/>
      <c r="CS754" s="227"/>
      <c r="CT754" s="227"/>
      <c r="CU754" s="225"/>
      <c r="CV754" s="227"/>
    </row>
    <row r="755" spans="1:100" ht="20.100000000000001" customHeight="1">
      <c r="A755" s="227"/>
      <c r="B755" s="225"/>
      <c r="C755" s="227"/>
      <c r="D755" s="228">
        <f>(SUMPRODUCT(E755:CU755*$E$6:$CU$6)/100)+(SUMPRODUCT(E755:CU755*$E$6:$CU$6*$E$3:$CU$3)/100)</f>
        <v>0</v>
      </c>
      <c r="E755" s="227"/>
      <c r="F755" s="227"/>
      <c r="G755" s="227"/>
      <c r="H755" s="227"/>
      <c r="I755" s="227"/>
      <c r="J755" s="227"/>
      <c r="K755" s="227"/>
      <c r="L755" s="227"/>
      <c r="M755" s="227"/>
      <c r="N755" s="227"/>
      <c r="O755" s="227"/>
      <c r="P755" s="227"/>
      <c r="Q755" s="227"/>
      <c r="R755" s="227"/>
      <c r="S755" s="227"/>
      <c r="T755" s="227"/>
      <c r="U755" s="227"/>
      <c r="V755" s="227"/>
      <c r="W755" s="227"/>
      <c r="X755" s="227"/>
      <c r="Y755" s="227"/>
      <c r="Z755" s="227"/>
      <c r="AA755" s="227"/>
      <c r="AB755" s="227"/>
      <c r="AC755" s="227"/>
      <c r="AD755" s="227"/>
      <c r="AE755" s="227"/>
      <c r="AF755" s="227"/>
      <c r="AG755" s="227"/>
      <c r="AH755" s="227"/>
      <c r="AI755" s="227"/>
      <c r="AJ755" s="227"/>
      <c r="AK755" s="227"/>
      <c r="AL755" s="227"/>
      <c r="AM755" s="227"/>
      <c r="AN755" s="227"/>
      <c r="AO755" s="227"/>
      <c r="AP755" s="227"/>
      <c r="AQ755" s="227"/>
      <c r="AR755" s="227"/>
      <c r="AS755" s="227"/>
      <c r="AT755" s="227"/>
      <c r="AU755" s="227"/>
      <c r="AV755" s="227"/>
      <c r="AW755" s="227"/>
      <c r="AX755" s="227"/>
      <c r="AY755" s="227"/>
      <c r="AZ755" s="227"/>
      <c r="BA755" s="227"/>
      <c r="BB755" s="227"/>
      <c r="BC755" s="227"/>
      <c r="BD755" s="227"/>
      <c r="BE755" s="227"/>
      <c r="BF755" s="227"/>
      <c r="BG755" s="227"/>
      <c r="BH755" s="227"/>
      <c r="BI755" s="227"/>
      <c r="BJ755" s="227"/>
      <c r="BK755" s="227"/>
      <c r="BL755" s="227"/>
      <c r="BM755" s="227"/>
      <c r="BN755" s="227"/>
      <c r="BO755" s="227"/>
      <c r="BP755" s="227"/>
      <c r="BQ755" s="227"/>
      <c r="BR755" s="227"/>
      <c r="BS755" s="227"/>
      <c r="BT755" s="227"/>
      <c r="BU755" s="227"/>
      <c r="BV755" s="227"/>
      <c r="BW755" s="227"/>
      <c r="BX755" s="227"/>
      <c r="BY755" s="227"/>
      <c r="BZ755" s="227"/>
      <c r="CA755" s="227"/>
      <c r="CB755" s="227"/>
      <c r="CC755" s="227"/>
      <c r="CD755" s="227"/>
      <c r="CE755" s="227"/>
      <c r="CF755" s="227"/>
      <c r="CG755" s="227"/>
      <c r="CH755" s="227"/>
      <c r="CI755" s="227"/>
      <c r="CJ755" s="227"/>
      <c r="CK755" s="227"/>
      <c r="CL755" s="227"/>
      <c r="CM755" s="227"/>
      <c r="CN755" s="227"/>
      <c r="CO755" s="227"/>
      <c r="CP755" s="227"/>
      <c r="CQ755" s="227"/>
      <c r="CR755" s="227"/>
      <c r="CS755" s="227"/>
      <c r="CT755" s="227"/>
      <c r="CU755" s="225"/>
      <c r="CV755" s="227"/>
    </row>
    <row r="756" spans="1:100" ht="20.100000000000001" customHeight="1">
      <c r="A756" s="227"/>
      <c r="B756" s="225"/>
      <c r="C756" s="227"/>
      <c r="D756" s="224"/>
      <c r="E756" s="227"/>
      <c r="F756" s="227"/>
      <c r="G756" s="227"/>
      <c r="H756" s="227"/>
      <c r="I756" s="227"/>
      <c r="J756" s="227"/>
      <c r="K756" s="227"/>
      <c r="L756" s="227"/>
      <c r="M756" s="227"/>
      <c r="N756" s="227"/>
      <c r="O756" s="227"/>
      <c r="P756" s="227"/>
      <c r="Q756" s="227"/>
      <c r="R756" s="227"/>
      <c r="S756" s="227"/>
      <c r="T756" s="227"/>
      <c r="U756" s="227"/>
      <c r="V756" s="227"/>
      <c r="W756" s="227"/>
      <c r="X756" s="227"/>
      <c r="Y756" s="227"/>
      <c r="Z756" s="227"/>
      <c r="AA756" s="227"/>
      <c r="AB756" s="227"/>
      <c r="AC756" s="227"/>
      <c r="AD756" s="227"/>
      <c r="AE756" s="227"/>
      <c r="AF756" s="227"/>
      <c r="AG756" s="227"/>
      <c r="AH756" s="227"/>
      <c r="AI756" s="227"/>
      <c r="AJ756" s="227"/>
      <c r="AK756" s="227"/>
      <c r="AL756" s="227"/>
      <c r="AM756" s="227"/>
      <c r="AN756" s="227"/>
      <c r="AO756" s="227"/>
      <c r="AP756" s="227"/>
      <c r="AQ756" s="227"/>
      <c r="AR756" s="227"/>
      <c r="AS756" s="227"/>
      <c r="AT756" s="227"/>
      <c r="AU756" s="227"/>
      <c r="AV756" s="227"/>
      <c r="AW756" s="227"/>
      <c r="AX756" s="227"/>
      <c r="AY756" s="227"/>
      <c r="AZ756" s="227"/>
      <c r="BA756" s="227"/>
      <c r="BB756" s="227"/>
      <c r="BC756" s="227"/>
      <c r="BD756" s="227"/>
      <c r="BE756" s="227"/>
      <c r="BF756" s="227"/>
      <c r="BG756" s="227"/>
      <c r="BH756" s="227"/>
      <c r="BI756" s="227"/>
      <c r="BJ756" s="227"/>
      <c r="BK756" s="227"/>
      <c r="BL756" s="227"/>
      <c r="BM756" s="227"/>
      <c r="BN756" s="227"/>
      <c r="BO756" s="227"/>
      <c r="BP756" s="227"/>
      <c r="BQ756" s="227"/>
      <c r="BR756" s="227"/>
      <c r="BS756" s="227"/>
      <c r="BT756" s="227"/>
      <c r="BU756" s="227"/>
      <c r="BV756" s="227"/>
      <c r="BW756" s="227"/>
      <c r="BX756" s="227"/>
      <c r="BY756" s="227"/>
      <c r="BZ756" s="227"/>
      <c r="CA756" s="227"/>
      <c r="CB756" s="227"/>
      <c r="CC756" s="227"/>
      <c r="CD756" s="227"/>
      <c r="CE756" s="227"/>
      <c r="CF756" s="227"/>
      <c r="CG756" s="227"/>
      <c r="CH756" s="227"/>
      <c r="CI756" s="227"/>
      <c r="CJ756" s="227"/>
      <c r="CK756" s="227"/>
      <c r="CL756" s="227"/>
      <c r="CM756" s="227"/>
      <c r="CN756" s="227"/>
      <c r="CO756" s="227"/>
      <c r="CP756" s="227"/>
      <c r="CQ756" s="227"/>
      <c r="CR756" s="227"/>
      <c r="CS756" s="227"/>
      <c r="CT756" s="227"/>
      <c r="CU756" s="225"/>
      <c r="CV756" s="227"/>
    </row>
    <row r="757" spans="1:100" ht="20.100000000000001" customHeight="1">
      <c r="A757" s="227"/>
      <c r="B757" s="225"/>
      <c r="C757" s="227"/>
      <c r="D757" s="228">
        <f>(SUMPRODUCT(E757:CU757*$E$6:$CU$6)/100)+(SUMPRODUCT(E757:CU757*$E$6:$CU$6*$E$3:$CU$3)/100)</f>
        <v>0</v>
      </c>
      <c r="E757" s="227"/>
      <c r="F757" s="227"/>
      <c r="G757" s="227"/>
      <c r="H757" s="227"/>
      <c r="I757" s="227"/>
      <c r="J757" s="227"/>
      <c r="K757" s="227"/>
      <c r="L757" s="227"/>
      <c r="M757" s="227"/>
      <c r="N757" s="227"/>
      <c r="O757" s="227"/>
      <c r="P757" s="227"/>
      <c r="Q757" s="227"/>
      <c r="R757" s="227"/>
      <c r="S757" s="227"/>
      <c r="T757" s="227"/>
      <c r="U757" s="227"/>
      <c r="V757" s="227"/>
      <c r="W757" s="227"/>
      <c r="X757" s="227"/>
      <c r="Y757" s="227"/>
      <c r="Z757" s="227"/>
      <c r="AA757" s="227"/>
      <c r="AB757" s="227"/>
      <c r="AC757" s="227"/>
      <c r="AD757" s="227"/>
      <c r="AE757" s="227"/>
      <c r="AF757" s="227"/>
      <c r="AG757" s="227"/>
      <c r="AH757" s="227"/>
      <c r="AI757" s="227"/>
      <c r="AJ757" s="227"/>
      <c r="AK757" s="227"/>
      <c r="AL757" s="227"/>
      <c r="AM757" s="227"/>
      <c r="AN757" s="227"/>
      <c r="AO757" s="227"/>
      <c r="AP757" s="227"/>
      <c r="AQ757" s="227"/>
      <c r="AR757" s="227"/>
      <c r="AS757" s="227"/>
      <c r="AT757" s="227"/>
      <c r="AU757" s="227"/>
      <c r="AV757" s="227"/>
      <c r="AW757" s="227"/>
      <c r="AX757" s="227"/>
      <c r="AY757" s="227"/>
      <c r="AZ757" s="227"/>
      <c r="BA757" s="227"/>
      <c r="BB757" s="227"/>
      <c r="BC757" s="227"/>
      <c r="BD757" s="227"/>
      <c r="BE757" s="227"/>
      <c r="BF757" s="227"/>
      <c r="BG757" s="227"/>
      <c r="BH757" s="227"/>
      <c r="BI757" s="227"/>
      <c r="BJ757" s="227"/>
      <c r="BK757" s="227"/>
      <c r="BL757" s="227"/>
      <c r="BM757" s="227"/>
      <c r="BN757" s="227"/>
      <c r="BO757" s="227"/>
      <c r="BP757" s="227"/>
      <c r="BQ757" s="227"/>
      <c r="BR757" s="227"/>
      <c r="BS757" s="227"/>
      <c r="BT757" s="227"/>
      <c r="BU757" s="227"/>
      <c r="BV757" s="227"/>
      <c r="BW757" s="227"/>
      <c r="BX757" s="227"/>
      <c r="BY757" s="227"/>
      <c r="BZ757" s="227"/>
      <c r="CA757" s="227"/>
      <c r="CB757" s="227"/>
      <c r="CC757" s="227"/>
      <c r="CD757" s="227"/>
      <c r="CE757" s="227"/>
      <c r="CF757" s="227"/>
      <c r="CG757" s="227"/>
      <c r="CH757" s="227"/>
      <c r="CI757" s="227"/>
      <c r="CJ757" s="227"/>
      <c r="CK757" s="227"/>
      <c r="CL757" s="227"/>
      <c r="CM757" s="227"/>
      <c r="CN757" s="227"/>
      <c r="CO757" s="227"/>
      <c r="CP757" s="227"/>
      <c r="CQ757" s="227"/>
      <c r="CR757" s="227"/>
      <c r="CS757" s="227"/>
      <c r="CT757" s="227"/>
      <c r="CU757" s="225"/>
      <c r="CV757" s="227"/>
    </row>
    <row r="758" spans="1:100" ht="20.100000000000001" customHeight="1">
      <c r="A758" s="227"/>
      <c r="B758" s="225"/>
      <c r="C758" s="227"/>
      <c r="D758" s="224"/>
      <c r="E758" s="227"/>
      <c r="F758" s="227"/>
      <c r="G758" s="227"/>
      <c r="H758" s="227"/>
      <c r="I758" s="227"/>
      <c r="J758" s="227"/>
      <c r="K758" s="227"/>
      <c r="L758" s="227"/>
      <c r="M758" s="227"/>
      <c r="N758" s="227"/>
      <c r="O758" s="227"/>
      <c r="P758" s="227"/>
      <c r="Q758" s="227"/>
      <c r="R758" s="227"/>
      <c r="S758" s="227"/>
      <c r="T758" s="227"/>
      <c r="U758" s="227"/>
      <c r="V758" s="227"/>
      <c r="W758" s="227"/>
      <c r="X758" s="227"/>
      <c r="Y758" s="227"/>
      <c r="Z758" s="227"/>
      <c r="AA758" s="227"/>
      <c r="AB758" s="227"/>
      <c r="AC758" s="227"/>
      <c r="AD758" s="227"/>
      <c r="AE758" s="227"/>
      <c r="AF758" s="227"/>
      <c r="AG758" s="227"/>
      <c r="AH758" s="227"/>
      <c r="AI758" s="227"/>
      <c r="AJ758" s="227"/>
      <c r="AK758" s="227"/>
      <c r="AL758" s="227"/>
      <c r="AM758" s="227"/>
      <c r="AN758" s="227"/>
      <c r="AO758" s="227"/>
      <c r="AP758" s="227"/>
      <c r="AQ758" s="227"/>
      <c r="AR758" s="227"/>
      <c r="AS758" s="227"/>
      <c r="AT758" s="227"/>
      <c r="AU758" s="227"/>
      <c r="AV758" s="227"/>
      <c r="AW758" s="227"/>
      <c r="AX758" s="227"/>
      <c r="AY758" s="227"/>
      <c r="AZ758" s="227"/>
      <c r="BA758" s="227"/>
      <c r="BB758" s="227"/>
      <c r="BC758" s="227"/>
      <c r="BD758" s="227"/>
      <c r="BE758" s="227"/>
      <c r="BF758" s="227"/>
      <c r="BG758" s="227"/>
      <c r="BH758" s="227"/>
      <c r="BI758" s="227"/>
      <c r="BJ758" s="227"/>
      <c r="BK758" s="227"/>
      <c r="BL758" s="227"/>
      <c r="BM758" s="227"/>
      <c r="BN758" s="227"/>
      <c r="BO758" s="227"/>
      <c r="BP758" s="227"/>
      <c r="BQ758" s="227"/>
      <c r="BR758" s="227"/>
      <c r="BS758" s="227"/>
      <c r="BT758" s="227"/>
      <c r="BU758" s="227"/>
      <c r="BV758" s="227"/>
      <c r="BW758" s="227"/>
      <c r="BX758" s="227"/>
      <c r="BY758" s="227"/>
      <c r="BZ758" s="227"/>
      <c r="CA758" s="227"/>
      <c r="CB758" s="227"/>
      <c r="CC758" s="227"/>
      <c r="CD758" s="227"/>
      <c r="CE758" s="227"/>
      <c r="CF758" s="227"/>
      <c r="CG758" s="227"/>
      <c r="CH758" s="227"/>
      <c r="CI758" s="227"/>
      <c r="CJ758" s="227"/>
      <c r="CK758" s="227"/>
      <c r="CL758" s="227"/>
      <c r="CM758" s="227"/>
      <c r="CN758" s="227"/>
      <c r="CO758" s="227"/>
      <c r="CP758" s="227"/>
      <c r="CQ758" s="227"/>
      <c r="CR758" s="227"/>
      <c r="CS758" s="227"/>
      <c r="CT758" s="227"/>
      <c r="CU758" s="225"/>
      <c r="CV758" s="227"/>
    </row>
    <row r="759" spans="1:100" ht="20.100000000000001" customHeight="1">
      <c r="A759" s="227"/>
      <c r="B759" s="225"/>
      <c r="C759" s="227"/>
      <c r="D759" s="228">
        <f>(SUMPRODUCT(E759:CU759*$E$6:$CU$6)/100)+(SUMPRODUCT(E759:CU759*$E$6:$CU$6*$E$3:$CU$3)/100)</f>
        <v>0</v>
      </c>
      <c r="E759" s="227"/>
      <c r="F759" s="227"/>
      <c r="G759" s="227"/>
      <c r="H759" s="227"/>
      <c r="I759" s="227"/>
      <c r="J759" s="227"/>
      <c r="K759" s="227"/>
      <c r="L759" s="227"/>
      <c r="M759" s="227"/>
      <c r="N759" s="227"/>
      <c r="O759" s="227"/>
      <c r="P759" s="227"/>
      <c r="Q759" s="227"/>
      <c r="R759" s="227"/>
      <c r="S759" s="227"/>
      <c r="T759" s="227"/>
      <c r="U759" s="227"/>
      <c r="V759" s="227"/>
      <c r="W759" s="227"/>
      <c r="X759" s="227"/>
      <c r="Y759" s="227"/>
      <c r="Z759" s="227"/>
      <c r="AA759" s="227"/>
      <c r="AB759" s="227"/>
      <c r="AC759" s="227"/>
      <c r="AD759" s="227"/>
      <c r="AE759" s="227"/>
      <c r="AF759" s="227"/>
      <c r="AG759" s="227"/>
      <c r="AH759" s="227"/>
      <c r="AI759" s="227"/>
      <c r="AJ759" s="227"/>
      <c r="AK759" s="227"/>
      <c r="AL759" s="227"/>
      <c r="AM759" s="227"/>
      <c r="AN759" s="227"/>
      <c r="AO759" s="227"/>
      <c r="AP759" s="227"/>
      <c r="AQ759" s="227"/>
      <c r="AR759" s="227"/>
      <c r="AS759" s="227"/>
      <c r="AT759" s="227"/>
      <c r="AU759" s="227"/>
      <c r="AV759" s="227"/>
      <c r="AW759" s="227"/>
      <c r="AX759" s="227"/>
      <c r="AY759" s="227"/>
      <c r="AZ759" s="227"/>
      <c r="BA759" s="227"/>
      <c r="BB759" s="227"/>
      <c r="BC759" s="227"/>
      <c r="BD759" s="227"/>
      <c r="BE759" s="227"/>
      <c r="BF759" s="227"/>
      <c r="BG759" s="227"/>
      <c r="BH759" s="227"/>
      <c r="BI759" s="227"/>
      <c r="BJ759" s="227"/>
      <c r="BK759" s="227"/>
      <c r="BL759" s="227"/>
      <c r="BM759" s="227"/>
      <c r="BN759" s="227"/>
      <c r="BO759" s="227"/>
      <c r="BP759" s="227"/>
      <c r="BQ759" s="227"/>
      <c r="BR759" s="227"/>
      <c r="BS759" s="227"/>
      <c r="BT759" s="227"/>
      <c r="BU759" s="227"/>
      <c r="BV759" s="227"/>
      <c r="BW759" s="227"/>
      <c r="BX759" s="227"/>
      <c r="BY759" s="227"/>
      <c r="BZ759" s="227"/>
      <c r="CA759" s="227"/>
      <c r="CB759" s="227"/>
      <c r="CC759" s="227"/>
      <c r="CD759" s="227"/>
      <c r="CE759" s="227"/>
      <c r="CF759" s="227"/>
      <c r="CG759" s="227"/>
      <c r="CH759" s="227"/>
      <c r="CI759" s="227"/>
      <c r="CJ759" s="227"/>
      <c r="CK759" s="227"/>
      <c r="CL759" s="227"/>
      <c r="CM759" s="227"/>
      <c r="CN759" s="227"/>
      <c r="CO759" s="227"/>
      <c r="CP759" s="227"/>
      <c r="CQ759" s="227"/>
      <c r="CR759" s="227"/>
      <c r="CS759" s="227"/>
      <c r="CT759" s="227"/>
      <c r="CU759" s="225"/>
      <c r="CV759" s="227"/>
    </row>
    <row r="760" spans="1:100" ht="20.100000000000001" customHeight="1">
      <c r="A760" s="227"/>
      <c r="B760" s="225"/>
      <c r="C760" s="227"/>
      <c r="D760" s="224"/>
      <c r="E760" s="227"/>
      <c r="F760" s="227"/>
      <c r="G760" s="227"/>
      <c r="H760" s="227"/>
      <c r="I760" s="227"/>
      <c r="J760" s="227"/>
      <c r="K760" s="227"/>
      <c r="L760" s="227"/>
      <c r="M760" s="227"/>
      <c r="N760" s="227"/>
      <c r="O760" s="227"/>
      <c r="P760" s="227"/>
      <c r="Q760" s="227"/>
      <c r="R760" s="227"/>
      <c r="S760" s="227"/>
      <c r="T760" s="227"/>
      <c r="U760" s="227"/>
      <c r="V760" s="227"/>
      <c r="W760" s="227"/>
      <c r="X760" s="227"/>
      <c r="Y760" s="227"/>
      <c r="Z760" s="227"/>
      <c r="AA760" s="227"/>
      <c r="AB760" s="227"/>
      <c r="AC760" s="227"/>
      <c r="AD760" s="227"/>
      <c r="AE760" s="227"/>
      <c r="AF760" s="227"/>
      <c r="AG760" s="227"/>
      <c r="AH760" s="227"/>
      <c r="AI760" s="227"/>
      <c r="AJ760" s="227"/>
      <c r="AK760" s="227"/>
      <c r="AL760" s="227"/>
      <c r="AM760" s="227"/>
      <c r="AN760" s="227"/>
      <c r="AO760" s="227"/>
      <c r="AP760" s="227"/>
      <c r="AQ760" s="227"/>
      <c r="AR760" s="227"/>
      <c r="AS760" s="227"/>
      <c r="AT760" s="227"/>
      <c r="AU760" s="227"/>
      <c r="AV760" s="227"/>
      <c r="AW760" s="227"/>
      <c r="AX760" s="227"/>
      <c r="AY760" s="227"/>
      <c r="AZ760" s="227"/>
      <c r="BA760" s="227"/>
      <c r="BB760" s="227"/>
      <c r="BC760" s="227"/>
      <c r="BD760" s="227"/>
      <c r="BE760" s="227"/>
      <c r="BF760" s="227"/>
      <c r="BG760" s="227"/>
      <c r="BH760" s="227"/>
      <c r="BI760" s="227"/>
      <c r="BJ760" s="227"/>
      <c r="BK760" s="227"/>
      <c r="BL760" s="227"/>
      <c r="BM760" s="227"/>
      <c r="BN760" s="227"/>
      <c r="BO760" s="227"/>
      <c r="BP760" s="227"/>
      <c r="BQ760" s="227"/>
      <c r="BR760" s="227"/>
      <c r="BS760" s="227"/>
      <c r="BT760" s="227"/>
      <c r="BU760" s="227"/>
      <c r="BV760" s="227"/>
      <c r="BW760" s="227"/>
      <c r="BX760" s="227"/>
      <c r="BY760" s="227"/>
      <c r="BZ760" s="227"/>
      <c r="CA760" s="227"/>
      <c r="CB760" s="227"/>
      <c r="CC760" s="227"/>
      <c r="CD760" s="227"/>
      <c r="CE760" s="227"/>
      <c r="CF760" s="227"/>
      <c r="CG760" s="227"/>
      <c r="CH760" s="227"/>
      <c r="CI760" s="227"/>
      <c r="CJ760" s="227"/>
      <c r="CK760" s="227"/>
      <c r="CL760" s="227"/>
      <c r="CM760" s="227"/>
      <c r="CN760" s="227"/>
      <c r="CO760" s="227"/>
      <c r="CP760" s="227"/>
      <c r="CQ760" s="227"/>
      <c r="CR760" s="227"/>
      <c r="CS760" s="227"/>
      <c r="CT760" s="227"/>
      <c r="CU760" s="225"/>
      <c r="CV760" s="227"/>
    </row>
    <row r="761" spans="1:100" ht="20.100000000000001" customHeight="1">
      <c r="A761" s="227"/>
      <c r="B761" s="225"/>
      <c r="C761" s="227"/>
      <c r="D761" s="228">
        <f>(SUMPRODUCT(E761:CU761*$E$6:$CU$6)/100)+(SUMPRODUCT(E761:CU761*$E$6:$CU$6*$E$3:$CU$3)/100)</f>
        <v>0</v>
      </c>
      <c r="E761" s="227"/>
      <c r="F761" s="227"/>
      <c r="G761" s="227"/>
      <c r="H761" s="227"/>
      <c r="I761" s="227"/>
      <c r="J761" s="227"/>
      <c r="K761" s="227"/>
      <c r="L761" s="227"/>
      <c r="M761" s="227"/>
      <c r="N761" s="227"/>
      <c r="O761" s="227"/>
      <c r="P761" s="227"/>
      <c r="Q761" s="227"/>
      <c r="R761" s="227"/>
      <c r="S761" s="227"/>
      <c r="T761" s="227"/>
      <c r="U761" s="227"/>
      <c r="V761" s="227"/>
      <c r="W761" s="227"/>
      <c r="X761" s="227"/>
      <c r="Y761" s="227"/>
      <c r="Z761" s="227"/>
      <c r="AA761" s="227"/>
      <c r="AB761" s="227"/>
      <c r="AC761" s="227"/>
      <c r="AD761" s="227"/>
      <c r="AE761" s="227"/>
      <c r="AF761" s="227"/>
      <c r="AG761" s="227"/>
      <c r="AH761" s="227"/>
      <c r="AI761" s="227"/>
      <c r="AJ761" s="227"/>
      <c r="AK761" s="227"/>
      <c r="AL761" s="227"/>
      <c r="AM761" s="227"/>
      <c r="AN761" s="227"/>
      <c r="AO761" s="227"/>
      <c r="AP761" s="227"/>
      <c r="AQ761" s="227"/>
      <c r="AR761" s="227"/>
      <c r="AS761" s="227"/>
      <c r="AT761" s="227"/>
      <c r="AU761" s="227"/>
      <c r="AV761" s="227"/>
      <c r="AW761" s="227"/>
      <c r="AX761" s="227"/>
      <c r="AY761" s="227"/>
      <c r="AZ761" s="227"/>
      <c r="BA761" s="227"/>
      <c r="BB761" s="227"/>
      <c r="BC761" s="227"/>
      <c r="BD761" s="227"/>
      <c r="BE761" s="227"/>
      <c r="BF761" s="227"/>
      <c r="BG761" s="227"/>
      <c r="BH761" s="227"/>
      <c r="BI761" s="227"/>
      <c r="BJ761" s="227"/>
      <c r="BK761" s="227"/>
      <c r="BL761" s="227"/>
      <c r="BM761" s="227"/>
      <c r="BN761" s="227"/>
      <c r="BO761" s="227"/>
      <c r="BP761" s="227"/>
      <c r="BQ761" s="227"/>
      <c r="BR761" s="227"/>
      <c r="BS761" s="227"/>
      <c r="BT761" s="227"/>
      <c r="BU761" s="227"/>
      <c r="BV761" s="227"/>
      <c r="BW761" s="227"/>
      <c r="BX761" s="227"/>
      <c r="BY761" s="227"/>
      <c r="BZ761" s="227"/>
      <c r="CA761" s="227"/>
      <c r="CB761" s="227"/>
      <c r="CC761" s="227"/>
      <c r="CD761" s="227"/>
      <c r="CE761" s="227"/>
      <c r="CF761" s="227"/>
      <c r="CG761" s="227"/>
      <c r="CH761" s="227"/>
      <c r="CI761" s="227"/>
      <c r="CJ761" s="227"/>
      <c r="CK761" s="227"/>
      <c r="CL761" s="227"/>
      <c r="CM761" s="227"/>
      <c r="CN761" s="227"/>
      <c r="CO761" s="227"/>
      <c r="CP761" s="227"/>
      <c r="CQ761" s="227"/>
      <c r="CR761" s="227"/>
      <c r="CS761" s="227"/>
      <c r="CT761" s="227"/>
      <c r="CU761" s="225"/>
      <c r="CV761" s="227"/>
    </row>
    <row r="762" spans="1:100" ht="20.100000000000001" customHeight="1">
      <c r="A762" s="227"/>
      <c r="B762" s="225"/>
      <c r="C762" s="227"/>
      <c r="D762" s="224"/>
      <c r="E762" s="227"/>
      <c r="F762" s="227"/>
      <c r="G762" s="227"/>
      <c r="H762" s="227"/>
      <c r="I762" s="227"/>
      <c r="J762" s="227"/>
      <c r="K762" s="227"/>
      <c r="L762" s="227"/>
      <c r="M762" s="227"/>
      <c r="N762" s="227"/>
      <c r="O762" s="227"/>
      <c r="P762" s="227"/>
      <c r="Q762" s="227"/>
      <c r="R762" s="227"/>
      <c r="S762" s="227"/>
      <c r="T762" s="227"/>
      <c r="U762" s="227"/>
      <c r="V762" s="227"/>
      <c r="W762" s="227"/>
      <c r="X762" s="227"/>
      <c r="Y762" s="227"/>
      <c r="Z762" s="227"/>
      <c r="AA762" s="227"/>
      <c r="AB762" s="227"/>
      <c r="AC762" s="227"/>
      <c r="AD762" s="227"/>
      <c r="AE762" s="227"/>
      <c r="AF762" s="227"/>
      <c r="AG762" s="227"/>
      <c r="AH762" s="227"/>
      <c r="AI762" s="227"/>
      <c r="AJ762" s="227"/>
      <c r="AK762" s="227"/>
      <c r="AL762" s="227"/>
      <c r="AM762" s="227"/>
      <c r="AN762" s="227"/>
      <c r="AO762" s="227"/>
      <c r="AP762" s="227"/>
      <c r="AQ762" s="227"/>
      <c r="AR762" s="227"/>
      <c r="AS762" s="227"/>
      <c r="AT762" s="227"/>
      <c r="AU762" s="227"/>
      <c r="AV762" s="227"/>
      <c r="AW762" s="227"/>
      <c r="AX762" s="227"/>
      <c r="AY762" s="227"/>
      <c r="AZ762" s="227"/>
      <c r="BA762" s="227"/>
      <c r="BB762" s="227"/>
      <c r="BC762" s="227"/>
      <c r="BD762" s="227"/>
      <c r="BE762" s="227"/>
      <c r="BF762" s="227"/>
      <c r="BG762" s="227"/>
      <c r="BH762" s="227"/>
      <c r="BI762" s="227"/>
      <c r="BJ762" s="227"/>
      <c r="BK762" s="227"/>
      <c r="BL762" s="227"/>
      <c r="BM762" s="227"/>
      <c r="BN762" s="227"/>
      <c r="BO762" s="227"/>
      <c r="BP762" s="227"/>
      <c r="BQ762" s="227"/>
      <c r="BR762" s="227"/>
      <c r="BS762" s="227"/>
      <c r="BT762" s="227"/>
      <c r="BU762" s="227"/>
      <c r="BV762" s="227"/>
      <c r="BW762" s="227"/>
      <c r="BX762" s="227"/>
      <c r="BY762" s="227"/>
      <c r="BZ762" s="227"/>
      <c r="CA762" s="227"/>
      <c r="CB762" s="227"/>
      <c r="CC762" s="227"/>
      <c r="CD762" s="227"/>
      <c r="CE762" s="227"/>
      <c r="CF762" s="227"/>
      <c r="CG762" s="227"/>
      <c r="CH762" s="227"/>
      <c r="CI762" s="227"/>
      <c r="CJ762" s="227"/>
      <c r="CK762" s="227"/>
      <c r="CL762" s="227"/>
      <c r="CM762" s="227"/>
      <c r="CN762" s="227"/>
      <c r="CO762" s="227"/>
      <c r="CP762" s="227"/>
      <c r="CQ762" s="227"/>
      <c r="CR762" s="227"/>
      <c r="CS762" s="227"/>
      <c r="CT762" s="227"/>
      <c r="CU762" s="225"/>
      <c r="CV762" s="227"/>
    </row>
    <row r="763" spans="1:100" ht="20.100000000000001" customHeight="1">
      <c r="A763" s="227"/>
      <c r="B763" s="225"/>
      <c r="C763" s="227"/>
      <c r="D763" s="228">
        <f>(SUMPRODUCT(E763:CU763*$E$6:$CU$6)/100)+(SUMPRODUCT(E763:CU763*$E$6:$CU$6*$E$3:$CU$3)/100)</f>
        <v>0</v>
      </c>
      <c r="E763" s="227"/>
      <c r="F763" s="227"/>
      <c r="G763" s="227"/>
      <c r="H763" s="227"/>
      <c r="I763" s="227"/>
      <c r="J763" s="227"/>
      <c r="K763" s="227"/>
      <c r="L763" s="227"/>
      <c r="M763" s="227"/>
      <c r="N763" s="227"/>
      <c r="O763" s="227"/>
      <c r="P763" s="227"/>
      <c r="Q763" s="227"/>
      <c r="R763" s="227"/>
      <c r="S763" s="227"/>
      <c r="T763" s="227"/>
      <c r="U763" s="227"/>
      <c r="V763" s="227"/>
      <c r="W763" s="227"/>
      <c r="X763" s="227"/>
      <c r="Y763" s="227"/>
      <c r="Z763" s="227"/>
      <c r="AA763" s="227"/>
      <c r="AB763" s="227"/>
      <c r="AC763" s="227"/>
      <c r="AD763" s="227"/>
      <c r="AE763" s="227"/>
      <c r="AF763" s="227"/>
      <c r="AG763" s="227"/>
      <c r="AH763" s="227"/>
      <c r="AI763" s="227"/>
      <c r="AJ763" s="227"/>
      <c r="AK763" s="227"/>
      <c r="AL763" s="227"/>
      <c r="AM763" s="227"/>
      <c r="AN763" s="227"/>
      <c r="AO763" s="227"/>
      <c r="AP763" s="227"/>
      <c r="AQ763" s="227"/>
      <c r="AR763" s="227"/>
      <c r="AS763" s="227"/>
      <c r="AT763" s="227"/>
      <c r="AU763" s="227"/>
      <c r="AV763" s="227"/>
      <c r="AW763" s="227"/>
      <c r="AX763" s="227"/>
      <c r="AY763" s="227"/>
      <c r="AZ763" s="227"/>
      <c r="BA763" s="227"/>
      <c r="BB763" s="227"/>
      <c r="BC763" s="227"/>
      <c r="BD763" s="227"/>
      <c r="BE763" s="227"/>
      <c r="BF763" s="227"/>
      <c r="BG763" s="227"/>
      <c r="BH763" s="227"/>
      <c r="BI763" s="227"/>
      <c r="BJ763" s="227"/>
      <c r="BK763" s="227"/>
      <c r="BL763" s="227"/>
      <c r="BM763" s="227"/>
      <c r="BN763" s="227"/>
      <c r="BO763" s="227"/>
      <c r="BP763" s="227"/>
      <c r="BQ763" s="227"/>
      <c r="BR763" s="227"/>
      <c r="BS763" s="227"/>
      <c r="BT763" s="227"/>
      <c r="BU763" s="227"/>
      <c r="BV763" s="227"/>
      <c r="BW763" s="227"/>
      <c r="BX763" s="227"/>
      <c r="BY763" s="227"/>
      <c r="BZ763" s="227"/>
      <c r="CA763" s="227"/>
      <c r="CB763" s="227"/>
      <c r="CC763" s="227"/>
      <c r="CD763" s="227"/>
      <c r="CE763" s="227"/>
      <c r="CF763" s="227"/>
      <c r="CG763" s="227"/>
      <c r="CH763" s="227"/>
      <c r="CI763" s="227"/>
      <c r="CJ763" s="227"/>
      <c r="CK763" s="227"/>
      <c r="CL763" s="227"/>
      <c r="CM763" s="227"/>
      <c r="CN763" s="227"/>
      <c r="CO763" s="227"/>
      <c r="CP763" s="227"/>
      <c r="CQ763" s="227"/>
      <c r="CR763" s="227"/>
      <c r="CS763" s="227"/>
      <c r="CT763" s="227"/>
      <c r="CU763" s="225"/>
      <c r="CV763" s="227"/>
    </row>
    <row r="764" spans="1:100" ht="20.100000000000001" customHeight="1">
      <c r="A764" s="227"/>
      <c r="B764" s="225"/>
      <c r="C764" s="227"/>
      <c r="D764" s="224"/>
      <c r="E764" s="227"/>
      <c r="F764" s="227"/>
      <c r="G764" s="227"/>
      <c r="H764" s="227"/>
      <c r="I764" s="227"/>
      <c r="J764" s="227"/>
      <c r="K764" s="227"/>
      <c r="L764" s="227"/>
      <c r="M764" s="227"/>
      <c r="N764" s="227"/>
      <c r="O764" s="227"/>
      <c r="P764" s="227"/>
      <c r="Q764" s="227"/>
      <c r="R764" s="227"/>
      <c r="S764" s="227"/>
      <c r="T764" s="227"/>
      <c r="U764" s="227"/>
      <c r="V764" s="227"/>
      <c r="W764" s="227"/>
      <c r="X764" s="227"/>
      <c r="Y764" s="227"/>
      <c r="Z764" s="227"/>
      <c r="AA764" s="227"/>
      <c r="AB764" s="227"/>
      <c r="AC764" s="227"/>
      <c r="AD764" s="227"/>
      <c r="AE764" s="227"/>
      <c r="AF764" s="227"/>
      <c r="AG764" s="227"/>
      <c r="AH764" s="227"/>
      <c r="AI764" s="227"/>
      <c r="AJ764" s="227"/>
      <c r="AK764" s="227"/>
      <c r="AL764" s="227"/>
      <c r="AM764" s="227"/>
      <c r="AN764" s="227"/>
      <c r="AO764" s="227"/>
      <c r="AP764" s="227"/>
      <c r="AQ764" s="227"/>
      <c r="AR764" s="227"/>
      <c r="AS764" s="227"/>
      <c r="AT764" s="227"/>
      <c r="AU764" s="227"/>
      <c r="AV764" s="227"/>
      <c r="AW764" s="227"/>
      <c r="AX764" s="227"/>
      <c r="AY764" s="227"/>
      <c r="AZ764" s="227"/>
      <c r="BA764" s="227"/>
      <c r="BB764" s="227"/>
      <c r="BC764" s="227"/>
      <c r="BD764" s="227"/>
      <c r="BE764" s="227"/>
      <c r="BF764" s="227"/>
      <c r="BG764" s="227"/>
      <c r="BH764" s="227"/>
      <c r="BI764" s="227"/>
      <c r="BJ764" s="227"/>
      <c r="BK764" s="227"/>
      <c r="BL764" s="227"/>
      <c r="BM764" s="227"/>
      <c r="BN764" s="227"/>
      <c r="BO764" s="227"/>
      <c r="BP764" s="227"/>
      <c r="BQ764" s="227"/>
      <c r="BR764" s="227"/>
      <c r="BS764" s="227"/>
      <c r="BT764" s="227"/>
      <c r="BU764" s="227"/>
      <c r="BV764" s="227"/>
      <c r="BW764" s="227"/>
      <c r="BX764" s="227"/>
      <c r="BY764" s="227"/>
      <c r="BZ764" s="227"/>
      <c r="CA764" s="227"/>
      <c r="CB764" s="227"/>
      <c r="CC764" s="227"/>
      <c r="CD764" s="227"/>
      <c r="CE764" s="227"/>
      <c r="CF764" s="227"/>
      <c r="CG764" s="227"/>
      <c r="CH764" s="227"/>
      <c r="CI764" s="227"/>
      <c r="CJ764" s="227"/>
      <c r="CK764" s="227"/>
      <c r="CL764" s="227"/>
      <c r="CM764" s="227"/>
      <c r="CN764" s="227"/>
      <c r="CO764" s="227"/>
      <c r="CP764" s="227"/>
      <c r="CQ764" s="227"/>
      <c r="CR764" s="227"/>
      <c r="CS764" s="227"/>
      <c r="CT764" s="227"/>
      <c r="CU764" s="225"/>
      <c r="CV764" s="227"/>
    </row>
    <row r="765" spans="1:100" ht="20.100000000000001" customHeight="1">
      <c r="A765" s="227"/>
      <c r="B765" s="225"/>
      <c r="C765" s="227"/>
      <c r="D765" s="228">
        <f>(SUMPRODUCT(E765:CU765*$E$6:$CU$6)/100)+(SUMPRODUCT(E765:CU765*$E$6:$CU$6*$E$3:$CU$3)/100)</f>
        <v>0</v>
      </c>
      <c r="E765" s="227"/>
      <c r="F765" s="227"/>
      <c r="G765" s="227"/>
      <c r="H765" s="227"/>
      <c r="I765" s="227"/>
      <c r="J765" s="227"/>
      <c r="K765" s="227"/>
      <c r="L765" s="227"/>
      <c r="M765" s="227"/>
      <c r="N765" s="227"/>
      <c r="O765" s="227"/>
      <c r="P765" s="227"/>
      <c r="Q765" s="227"/>
      <c r="R765" s="227"/>
      <c r="S765" s="227"/>
      <c r="T765" s="227"/>
      <c r="U765" s="227"/>
      <c r="V765" s="227"/>
      <c r="W765" s="227"/>
      <c r="X765" s="227"/>
      <c r="Y765" s="227"/>
      <c r="Z765" s="227"/>
      <c r="AA765" s="227"/>
      <c r="AB765" s="227"/>
      <c r="AC765" s="227"/>
      <c r="AD765" s="227"/>
      <c r="AE765" s="227"/>
      <c r="AF765" s="227"/>
      <c r="AG765" s="227"/>
      <c r="AH765" s="227"/>
      <c r="AI765" s="227"/>
      <c r="AJ765" s="227"/>
      <c r="AK765" s="227"/>
      <c r="AL765" s="227"/>
      <c r="AM765" s="227"/>
      <c r="AN765" s="227"/>
      <c r="AO765" s="227"/>
      <c r="AP765" s="227"/>
      <c r="AQ765" s="227"/>
      <c r="AR765" s="227"/>
      <c r="AS765" s="227"/>
      <c r="AT765" s="227"/>
      <c r="AU765" s="227"/>
      <c r="AV765" s="227"/>
      <c r="AW765" s="227"/>
      <c r="AX765" s="227"/>
      <c r="AY765" s="227"/>
      <c r="AZ765" s="227"/>
      <c r="BA765" s="227"/>
      <c r="BB765" s="227"/>
      <c r="BC765" s="227"/>
      <c r="BD765" s="227"/>
      <c r="BE765" s="227"/>
      <c r="BF765" s="227"/>
      <c r="BG765" s="227"/>
      <c r="BH765" s="227"/>
      <c r="BI765" s="227"/>
      <c r="BJ765" s="227"/>
      <c r="BK765" s="227"/>
      <c r="BL765" s="227"/>
      <c r="BM765" s="227"/>
      <c r="BN765" s="227"/>
      <c r="BO765" s="227"/>
      <c r="BP765" s="227"/>
      <c r="BQ765" s="227"/>
      <c r="BR765" s="227"/>
      <c r="BS765" s="227"/>
      <c r="BT765" s="227"/>
      <c r="BU765" s="227"/>
      <c r="BV765" s="227"/>
      <c r="BW765" s="227"/>
      <c r="BX765" s="227"/>
      <c r="BY765" s="227"/>
      <c r="BZ765" s="227"/>
      <c r="CA765" s="227"/>
      <c r="CB765" s="227"/>
      <c r="CC765" s="227"/>
      <c r="CD765" s="227"/>
      <c r="CE765" s="227"/>
      <c r="CF765" s="227"/>
      <c r="CG765" s="227"/>
      <c r="CH765" s="227"/>
      <c r="CI765" s="227"/>
      <c r="CJ765" s="227"/>
      <c r="CK765" s="227"/>
      <c r="CL765" s="227"/>
      <c r="CM765" s="227"/>
      <c r="CN765" s="227"/>
      <c r="CO765" s="227"/>
      <c r="CP765" s="227"/>
      <c r="CQ765" s="227"/>
      <c r="CR765" s="227"/>
      <c r="CS765" s="227"/>
      <c r="CT765" s="227"/>
      <c r="CU765" s="225"/>
      <c r="CV765" s="227"/>
    </row>
    <row r="766" spans="1:100" ht="20.100000000000001" customHeight="1">
      <c r="A766" s="227"/>
      <c r="B766" s="225"/>
      <c r="C766" s="227"/>
      <c r="D766" s="224"/>
      <c r="E766" s="227"/>
      <c r="F766" s="227"/>
      <c r="G766" s="227"/>
      <c r="H766" s="227"/>
      <c r="I766" s="227"/>
      <c r="J766" s="227"/>
      <c r="K766" s="227"/>
      <c r="L766" s="227"/>
      <c r="M766" s="227"/>
      <c r="N766" s="227"/>
      <c r="O766" s="227"/>
      <c r="P766" s="227"/>
      <c r="Q766" s="227"/>
      <c r="R766" s="227"/>
      <c r="S766" s="227"/>
      <c r="T766" s="227"/>
      <c r="U766" s="227"/>
      <c r="V766" s="227"/>
      <c r="W766" s="227"/>
      <c r="X766" s="227"/>
      <c r="Y766" s="227"/>
      <c r="Z766" s="227"/>
      <c r="AA766" s="227"/>
      <c r="AB766" s="227"/>
      <c r="AC766" s="227"/>
      <c r="AD766" s="227"/>
      <c r="AE766" s="227"/>
      <c r="AF766" s="227"/>
      <c r="AG766" s="227"/>
      <c r="AH766" s="227"/>
      <c r="AI766" s="227"/>
      <c r="AJ766" s="227"/>
      <c r="AK766" s="227"/>
      <c r="AL766" s="227"/>
      <c r="AM766" s="227"/>
      <c r="AN766" s="227"/>
      <c r="AO766" s="227"/>
      <c r="AP766" s="227"/>
      <c r="AQ766" s="227"/>
      <c r="AR766" s="227"/>
      <c r="AS766" s="227"/>
      <c r="AT766" s="227"/>
      <c r="AU766" s="227"/>
      <c r="AV766" s="227"/>
      <c r="AW766" s="227"/>
      <c r="AX766" s="227"/>
      <c r="AY766" s="227"/>
      <c r="AZ766" s="227"/>
      <c r="BA766" s="227"/>
      <c r="BB766" s="227"/>
      <c r="BC766" s="227"/>
      <c r="BD766" s="227"/>
      <c r="BE766" s="227"/>
      <c r="BF766" s="227"/>
      <c r="BG766" s="227"/>
      <c r="BH766" s="227"/>
      <c r="BI766" s="227"/>
      <c r="BJ766" s="227"/>
      <c r="BK766" s="227"/>
      <c r="BL766" s="227"/>
      <c r="BM766" s="227"/>
      <c r="BN766" s="227"/>
      <c r="BO766" s="227"/>
      <c r="BP766" s="227"/>
      <c r="BQ766" s="227"/>
      <c r="BR766" s="227"/>
      <c r="BS766" s="227"/>
      <c r="BT766" s="227"/>
      <c r="BU766" s="227"/>
      <c r="BV766" s="227"/>
      <c r="BW766" s="227"/>
      <c r="BX766" s="227"/>
      <c r="BY766" s="227"/>
      <c r="BZ766" s="227"/>
      <c r="CA766" s="227"/>
      <c r="CB766" s="227"/>
      <c r="CC766" s="227"/>
      <c r="CD766" s="227"/>
      <c r="CE766" s="227"/>
      <c r="CF766" s="227"/>
      <c r="CG766" s="227"/>
      <c r="CH766" s="227"/>
      <c r="CI766" s="227"/>
      <c r="CJ766" s="227"/>
      <c r="CK766" s="227"/>
      <c r="CL766" s="227"/>
      <c r="CM766" s="227"/>
      <c r="CN766" s="227"/>
      <c r="CO766" s="227"/>
      <c r="CP766" s="227"/>
      <c r="CQ766" s="227"/>
      <c r="CR766" s="227"/>
      <c r="CS766" s="227"/>
      <c r="CT766" s="227"/>
      <c r="CU766" s="225"/>
      <c r="CV766" s="227"/>
    </row>
    <row r="767" spans="1:100" ht="20.100000000000001" customHeight="1">
      <c r="A767" s="227"/>
      <c r="B767" s="225"/>
      <c r="C767" s="227"/>
      <c r="D767" s="228">
        <f>(SUMPRODUCT(E767:CU767*$E$6:$CU$6)/100)+(SUMPRODUCT(E767:CU767*$E$6:$CU$6*$E$3:$CU$3)/100)</f>
        <v>0</v>
      </c>
      <c r="E767" s="227"/>
      <c r="F767" s="227"/>
      <c r="G767" s="227"/>
      <c r="H767" s="227"/>
      <c r="I767" s="227"/>
      <c r="J767" s="227"/>
      <c r="K767" s="227"/>
      <c r="L767" s="227"/>
      <c r="M767" s="227"/>
      <c r="N767" s="227"/>
      <c r="O767" s="227"/>
      <c r="P767" s="227"/>
      <c r="Q767" s="227"/>
      <c r="R767" s="227"/>
      <c r="S767" s="227"/>
      <c r="T767" s="227"/>
      <c r="U767" s="227"/>
      <c r="V767" s="227"/>
      <c r="W767" s="227"/>
      <c r="X767" s="227"/>
      <c r="Y767" s="227"/>
      <c r="Z767" s="227"/>
      <c r="AA767" s="227"/>
      <c r="AB767" s="227"/>
      <c r="AC767" s="227"/>
      <c r="AD767" s="227"/>
      <c r="AE767" s="227"/>
      <c r="AF767" s="227"/>
      <c r="AG767" s="227"/>
      <c r="AH767" s="227"/>
      <c r="AI767" s="227"/>
      <c r="AJ767" s="227"/>
      <c r="AK767" s="227"/>
      <c r="AL767" s="227"/>
      <c r="AM767" s="227"/>
      <c r="AN767" s="227"/>
      <c r="AO767" s="227"/>
      <c r="AP767" s="227"/>
      <c r="AQ767" s="227"/>
      <c r="AR767" s="227"/>
      <c r="AS767" s="227"/>
      <c r="AT767" s="227"/>
      <c r="AU767" s="227"/>
      <c r="AV767" s="227"/>
      <c r="AW767" s="227"/>
      <c r="AX767" s="227"/>
      <c r="AY767" s="227"/>
      <c r="AZ767" s="227"/>
      <c r="BA767" s="227"/>
      <c r="BB767" s="227"/>
      <c r="BC767" s="227"/>
      <c r="BD767" s="227"/>
      <c r="BE767" s="227"/>
      <c r="BF767" s="227"/>
      <c r="BG767" s="227"/>
      <c r="BH767" s="227"/>
      <c r="BI767" s="227"/>
      <c r="BJ767" s="227"/>
      <c r="BK767" s="227"/>
      <c r="BL767" s="227"/>
      <c r="BM767" s="227"/>
      <c r="BN767" s="227"/>
      <c r="BO767" s="227"/>
      <c r="BP767" s="227"/>
      <c r="BQ767" s="227"/>
      <c r="BR767" s="227"/>
      <c r="BS767" s="227"/>
      <c r="BT767" s="227"/>
      <c r="BU767" s="227"/>
      <c r="BV767" s="227"/>
      <c r="BW767" s="227"/>
      <c r="BX767" s="227"/>
      <c r="BY767" s="227"/>
      <c r="BZ767" s="227"/>
      <c r="CA767" s="227"/>
      <c r="CB767" s="227"/>
      <c r="CC767" s="227"/>
      <c r="CD767" s="227"/>
      <c r="CE767" s="227"/>
      <c r="CF767" s="227"/>
      <c r="CG767" s="227"/>
      <c r="CH767" s="227"/>
      <c r="CI767" s="227"/>
      <c r="CJ767" s="227"/>
      <c r="CK767" s="227"/>
      <c r="CL767" s="227"/>
      <c r="CM767" s="227"/>
      <c r="CN767" s="227"/>
      <c r="CO767" s="227"/>
      <c r="CP767" s="227"/>
      <c r="CQ767" s="227"/>
      <c r="CR767" s="227"/>
      <c r="CS767" s="227"/>
      <c r="CT767" s="227"/>
      <c r="CU767" s="225"/>
      <c r="CV767" s="227"/>
    </row>
    <row r="768" spans="1:100" ht="20.100000000000001" customHeight="1">
      <c r="A768" s="227"/>
      <c r="B768" s="225"/>
      <c r="C768" s="227"/>
      <c r="D768" s="224"/>
      <c r="E768" s="227"/>
      <c r="F768" s="227"/>
      <c r="G768" s="227"/>
      <c r="H768" s="227"/>
      <c r="I768" s="227"/>
      <c r="J768" s="227"/>
      <c r="K768" s="227"/>
      <c r="L768" s="227"/>
      <c r="M768" s="227"/>
      <c r="N768" s="227"/>
      <c r="O768" s="227"/>
      <c r="P768" s="227"/>
      <c r="Q768" s="227"/>
      <c r="R768" s="227"/>
      <c r="S768" s="227"/>
      <c r="T768" s="227"/>
      <c r="U768" s="227"/>
      <c r="V768" s="227"/>
      <c r="W768" s="227"/>
      <c r="X768" s="227"/>
      <c r="Y768" s="227"/>
      <c r="Z768" s="227"/>
      <c r="AA768" s="227"/>
      <c r="AB768" s="227"/>
      <c r="AC768" s="227"/>
      <c r="AD768" s="227"/>
      <c r="AE768" s="227"/>
      <c r="AF768" s="227"/>
      <c r="AG768" s="227"/>
      <c r="AH768" s="227"/>
      <c r="AI768" s="227"/>
      <c r="AJ768" s="227"/>
      <c r="AK768" s="227"/>
      <c r="AL768" s="227"/>
      <c r="AM768" s="227"/>
      <c r="AN768" s="227"/>
      <c r="AO768" s="227"/>
      <c r="AP768" s="227"/>
      <c r="AQ768" s="227"/>
      <c r="AR768" s="227"/>
      <c r="AS768" s="227"/>
      <c r="AT768" s="227"/>
      <c r="AU768" s="227"/>
      <c r="AV768" s="227"/>
      <c r="AW768" s="227"/>
      <c r="AX768" s="227"/>
      <c r="AY768" s="227"/>
      <c r="AZ768" s="227"/>
      <c r="BA768" s="227"/>
      <c r="BB768" s="227"/>
      <c r="BC768" s="227"/>
      <c r="BD768" s="227"/>
      <c r="BE768" s="227"/>
      <c r="BF768" s="227"/>
      <c r="BG768" s="227"/>
      <c r="BH768" s="227"/>
      <c r="BI768" s="227"/>
      <c r="BJ768" s="227"/>
      <c r="BK768" s="227"/>
      <c r="BL768" s="227"/>
      <c r="BM768" s="227"/>
      <c r="BN768" s="227"/>
      <c r="BO768" s="227"/>
      <c r="BP768" s="227"/>
      <c r="BQ768" s="227"/>
      <c r="BR768" s="227"/>
      <c r="BS768" s="227"/>
      <c r="BT768" s="227"/>
      <c r="BU768" s="227"/>
      <c r="BV768" s="227"/>
      <c r="BW768" s="227"/>
      <c r="BX768" s="227"/>
      <c r="BY768" s="227"/>
      <c r="BZ768" s="227"/>
      <c r="CA768" s="227"/>
      <c r="CB768" s="227"/>
      <c r="CC768" s="227"/>
      <c r="CD768" s="227"/>
      <c r="CE768" s="227"/>
      <c r="CF768" s="227"/>
      <c r="CG768" s="227"/>
      <c r="CH768" s="227"/>
      <c r="CI768" s="227"/>
      <c r="CJ768" s="227"/>
      <c r="CK768" s="227"/>
      <c r="CL768" s="227"/>
      <c r="CM768" s="227"/>
      <c r="CN768" s="227"/>
      <c r="CO768" s="227"/>
      <c r="CP768" s="227"/>
      <c r="CQ768" s="227"/>
      <c r="CR768" s="227"/>
      <c r="CS768" s="227"/>
      <c r="CT768" s="227"/>
      <c r="CU768" s="225"/>
      <c r="CV768" s="227"/>
    </row>
  </sheetData>
  <mergeCells count="7">
    <mergeCell ref="CV4:CV6"/>
    <mergeCell ref="D5:D7"/>
    <mergeCell ref="A2:B2"/>
    <mergeCell ref="A4:A6"/>
    <mergeCell ref="B4:B6"/>
    <mergeCell ref="C4:C6"/>
    <mergeCell ref="CU4:CU6"/>
  </mergeCells>
  <conditionalFormatting sqref="C1:C1048576">
    <cfRule type="duplicateValues" dxfId="1" priority="1"/>
  </conditionalFormatting>
  <pageMargins left="0" right="0" top="0" bottom="0" header="0" footer="0"/>
  <pageSetup paperSize="9" scale="70" orientation="landscape" verticalDpi="300" r:id="rId1"/>
  <headerFooter alignWithMargins="0"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BL576"/>
  <sheetViews>
    <sheetView showZeros="0" tabSelected="1" workbookViewId="0">
      <pane xSplit="5" ySplit="4" topLeftCell="AU8" activePane="bottomRight" state="frozen"/>
      <selection activeCell="B9" sqref="B9:B10"/>
      <selection pane="topRight" activeCell="B9" sqref="B9:B10"/>
      <selection pane="bottomLeft" activeCell="B9" sqref="B9:B10"/>
      <selection pane="bottomRight" activeCell="B9" sqref="B9"/>
    </sheetView>
  </sheetViews>
  <sheetFormatPr defaultColWidth="9" defaultRowHeight="18" customHeight="1" outlineLevelRow="1"/>
  <cols>
    <col min="1" max="1" width="4.5" style="83" customWidth="1"/>
    <col min="2" max="2" width="20" style="131" customWidth="1"/>
    <col min="3" max="3" width="7.625" style="83" customWidth="1"/>
    <col min="4" max="4" width="4.75" style="83" customWidth="1"/>
    <col min="5" max="5" width="6.5" style="82" customWidth="1"/>
    <col min="6" max="23" width="5.625" style="83" customWidth="1"/>
    <col min="24" max="29" width="5.625" style="83" hidden="1" customWidth="1"/>
    <col min="30" max="34" width="5.625" style="83" customWidth="1"/>
    <col min="35" max="35" width="7.25" style="108" bestFit="1" customWidth="1"/>
    <col min="36" max="36" width="7.625" style="109" customWidth="1"/>
    <col min="37" max="37" width="5.625" style="109" customWidth="1"/>
    <col min="38" max="38" width="7.625" style="89" customWidth="1"/>
    <col min="39" max="39" width="9.125" style="83" customWidth="1"/>
    <col min="40" max="40" width="6.375" style="83" customWidth="1"/>
    <col min="41" max="52" width="9" style="117"/>
    <col min="53" max="54" width="9" style="135"/>
    <col min="55" max="56" width="9" style="117"/>
    <col min="57" max="16384" width="9" style="83"/>
  </cols>
  <sheetData>
    <row r="1" spans="1:64" ht="18" customHeight="1">
      <c r="A1" s="130" t="s">
        <v>160</v>
      </c>
      <c r="B1" s="130"/>
      <c r="C1" s="130"/>
      <c r="D1" s="130"/>
      <c r="E1" s="130"/>
      <c r="AO1" s="1"/>
      <c r="AP1" s="293"/>
      <c r="AQ1" s="293"/>
      <c r="AR1" s="293"/>
      <c r="AS1" s="293"/>
      <c r="AT1" s="293"/>
      <c r="AU1" s="293"/>
      <c r="AV1" s="293"/>
      <c r="AW1" s="293"/>
      <c r="AX1" s="293"/>
      <c r="AY1" s="293"/>
      <c r="AZ1" s="293"/>
      <c r="BA1" s="293"/>
      <c r="BB1" s="293"/>
      <c r="BC1" s="293"/>
      <c r="BD1" s="293"/>
      <c r="BE1" s="293"/>
      <c r="BF1" s="293"/>
      <c r="BG1" s="293"/>
      <c r="BH1" s="293"/>
      <c r="BI1" s="293"/>
      <c r="BJ1" s="293"/>
      <c r="BK1" s="293"/>
      <c r="BL1" s="293"/>
    </row>
    <row r="2" spans="1:64" ht="18" customHeight="1">
      <c r="A2" s="31" t="s">
        <v>232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O2" s="293"/>
      <c r="AP2" s="293"/>
      <c r="AQ2" s="293"/>
      <c r="AR2" s="293"/>
      <c r="AS2" s="293"/>
      <c r="AT2" s="293"/>
      <c r="AU2" s="293"/>
      <c r="AV2" s="293"/>
      <c r="AW2" s="293"/>
      <c r="AX2" s="293"/>
      <c r="AY2" s="293"/>
      <c r="AZ2" s="293"/>
      <c r="BA2" s="293"/>
      <c r="BB2" s="293"/>
      <c r="BC2" s="293"/>
      <c r="BD2" s="293"/>
      <c r="BE2" s="293"/>
      <c r="BF2" s="293"/>
      <c r="BG2" s="293"/>
      <c r="BH2" s="293"/>
      <c r="BI2" s="293"/>
      <c r="BJ2" s="293"/>
      <c r="BK2" s="293"/>
      <c r="BL2" s="293"/>
    </row>
    <row r="3" spans="1:64" ht="18" customHeight="1">
      <c r="A3" s="86"/>
      <c r="B3" s="130"/>
      <c r="C3" s="86"/>
      <c r="D3" s="86"/>
      <c r="E3" s="86"/>
      <c r="F3" s="86"/>
      <c r="G3" s="86"/>
      <c r="H3" s="86"/>
      <c r="I3" s="86"/>
      <c r="J3" s="86"/>
      <c r="K3" s="86"/>
      <c r="L3" s="86" t="s">
        <v>179</v>
      </c>
      <c r="M3" s="86"/>
      <c r="N3" s="86" t="s">
        <v>180</v>
      </c>
      <c r="O3" s="86"/>
      <c r="P3" s="86" t="s">
        <v>181</v>
      </c>
      <c r="Q3" s="86"/>
      <c r="R3" s="86"/>
      <c r="S3" s="86"/>
      <c r="T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7"/>
      <c r="AJ3" s="88"/>
      <c r="AK3" s="88"/>
      <c r="AM3" s="86"/>
      <c r="AO3" s="293"/>
      <c r="AP3" s="293"/>
      <c r="AQ3" s="293"/>
      <c r="AR3" s="293"/>
      <c r="AS3" s="293"/>
      <c r="AT3" s="293"/>
      <c r="AU3" s="293"/>
      <c r="AV3" s="293"/>
      <c r="AW3" s="293"/>
      <c r="AX3" s="293"/>
      <c r="AY3" s="293"/>
      <c r="AZ3" s="293"/>
      <c r="BA3" s="293"/>
      <c r="BB3" s="293"/>
      <c r="BC3" s="293"/>
      <c r="BD3" s="293"/>
      <c r="BE3" s="293"/>
      <c r="BF3" s="293"/>
      <c r="BG3" s="293"/>
      <c r="BH3" s="293"/>
      <c r="BI3" s="293"/>
      <c r="BJ3" s="293"/>
      <c r="BK3" s="293"/>
      <c r="BL3" s="293"/>
    </row>
    <row r="4" spans="1:64" ht="55.5" customHeight="1">
      <c r="A4" s="71" t="s">
        <v>0</v>
      </c>
      <c r="B4" s="71" t="s">
        <v>4</v>
      </c>
      <c r="C4" s="71" t="s">
        <v>1</v>
      </c>
      <c r="D4" s="72" t="s">
        <v>5</v>
      </c>
      <c r="E4" s="71" t="s">
        <v>6</v>
      </c>
      <c r="F4" s="73" t="s">
        <v>218</v>
      </c>
      <c r="G4" s="73" t="s">
        <v>219</v>
      </c>
      <c r="H4" s="73" t="s">
        <v>224</v>
      </c>
      <c r="I4" s="73" t="s">
        <v>220</v>
      </c>
      <c r="J4" s="73" t="s">
        <v>238</v>
      </c>
      <c r="K4" s="73" t="s">
        <v>190</v>
      </c>
      <c r="L4" s="73" t="s">
        <v>239</v>
      </c>
      <c r="M4" s="73" t="s">
        <v>221</v>
      </c>
      <c r="N4" s="73" t="s">
        <v>191</v>
      </c>
      <c r="O4" s="73" t="s">
        <v>139</v>
      </c>
      <c r="P4" s="73" t="s">
        <v>225</v>
      </c>
      <c r="Q4" s="73" t="s">
        <v>226</v>
      </c>
      <c r="R4" s="73" t="s">
        <v>163</v>
      </c>
      <c r="S4" s="73" t="s">
        <v>164</v>
      </c>
      <c r="T4" s="73" t="s">
        <v>228</v>
      </c>
      <c r="U4" s="73" t="s">
        <v>161</v>
      </c>
      <c r="V4" s="73" t="s">
        <v>178</v>
      </c>
      <c r="W4" s="73" t="s">
        <v>233</v>
      </c>
      <c r="X4" s="73"/>
      <c r="Y4" s="73"/>
      <c r="Z4" s="73"/>
      <c r="AA4" s="73"/>
      <c r="AB4" s="73"/>
      <c r="AC4" s="74"/>
      <c r="AD4" s="74" t="s">
        <v>165</v>
      </c>
      <c r="AE4" s="74" t="s">
        <v>173</v>
      </c>
      <c r="AF4" s="75" t="s">
        <v>15</v>
      </c>
      <c r="AG4" s="75" t="s">
        <v>140</v>
      </c>
      <c r="AH4" s="76" t="s">
        <v>177</v>
      </c>
      <c r="AI4" s="177" t="s">
        <v>187</v>
      </c>
      <c r="AJ4" s="77" t="s">
        <v>145</v>
      </c>
      <c r="AK4" s="78" t="s">
        <v>8</v>
      </c>
      <c r="AL4" s="79" t="s">
        <v>2</v>
      </c>
      <c r="AM4" s="71" t="s">
        <v>3</v>
      </c>
      <c r="AN4" s="71" t="s">
        <v>166</v>
      </c>
      <c r="AO4" s="69" t="s">
        <v>146</v>
      </c>
      <c r="AP4" s="70" t="s">
        <v>141</v>
      </c>
      <c r="AQ4" s="139" t="s">
        <v>142</v>
      </c>
      <c r="AR4" s="139" t="s">
        <v>23</v>
      </c>
      <c r="AS4" s="139" t="s">
        <v>189</v>
      </c>
      <c r="AT4" s="139" t="s">
        <v>25</v>
      </c>
      <c r="AU4" s="139" t="s">
        <v>171</v>
      </c>
      <c r="AV4" s="139" t="s">
        <v>143</v>
      </c>
      <c r="AW4" s="140" t="s">
        <v>144</v>
      </c>
      <c r="AX4" s="140" t="s">
        <v>168</v>
      </c>
      <c r="AY4" s="69" t="s">
        <v>147</v>
      </c>
      <c r="AZ4" s="95" t="s">
        <v>169</v>
      </c>
      <c r="BA4" s="141" t="s">
        <v>170</v>
      </c>
      <c r="BB4" s="142" t="s">
        <v>167</v>
      </c>
      <c r="BC4" s="69" t="s">
        <v>156</v>
      </c>
      <c r="BD4" s="95" t="s">
        <v>162</v>
      </c>
      <c r="BE4" s="178" t="s">
        <v>182</v>
      </c>
      <c r="BF4" s="95" t="s">
        <v>183</v>
      </c>
      <c r="BG4" s="69" t="s">
        <v>184</v>
      </c>
      <c r="BH4" s="178" t="s">
        <v>185</v>
      </c>
      <c r="BI4" s="184" t="s">
        <v>202</v>
      </c>
      <c r="BJ4" s="184" t="s">
        <v>217</v>
      </c>
    </row>
    <row r="5" spans="1:64" ht="18" hidden="1" customHeight="1" outlineLevel="1">
      <c r="A5" s="57"/>
      <c r="B5" s="58"/>
      <c r="C5" s="59"/>
      <c r="D5" s="63"/>
      <c r="E5" s="90"/>
      <c r="F5" s="91"/>
      <c r="G5" s="91"/>
      <c r="H5" s="91"/>
      <c r="I5" s="91"/>
      <c r="J5" s="91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  <c r="AD5" s="93"/>
      <c r="AE5" s="93"/>
      <c r="AF5" s="93"/>
      <c r="AG5" s="93"/>
      <c r="AH5" s="60"/>
      <c r="AI5" s="94"/>
      <c r="AJ5" s="61"/>
      <c r="AK5" s="61"/>
      <c r="AL5" s="110">
        <f>AJ5+AJ5*AK5%</f>
        <v>0</v>
      </c>
      <c r="AM5" s="60"/>
      <c r="AN5" s="84">
        <f>AL5-AJ5</f>
        <v>0</v>
      </c>
      <c r="BE5" s="117"/>
      <c r="BF5" s="117"/>
      <c r="BG5" s="117"/>
      <c r="BH5" s="117"/>
      <c r="BI5" s="117"/>
      <c r="BJ5" s="117"/>
    </row>
    <row r="6" spans="1:64" ht="18" hidden="1" customHeight="1" collapsed="1">
      <c r="BE6" s="117"/>
      <c r="BF6" s="117"/>
      <c r="BG6" s="117"/>
      <c r="BH6" s="117"/>
      <c r="BI6" s="117"/>
      <c r="BJ6" s="117"/>
    </row>
    <row r="7" spans="1:64" ht="18" hidden="1" customHeight="1">
      <c r="BE7" s="117"/>
      <c r="BF7" s="117"/>
      <c r="BG7" s="117"/>
      <c r="BH7" s="117"/>
      <c r="BI7" s="117"/>
      <c r="BJ7" s="117"/>
    </row>
    <row r="8" spans="1:64" ht="18" customHeight="1">
      <c r="A8" s="95"/>
      <c r="B8" s="132"/>
      <c r="C8" s="95"/>
      <c r="D8" s="95"/>
      <c r="E8" s="111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112"/>
      <c r="AJ8" s="113"/>
      <c r="AK8" s="113"/>
      <c r="AL8" s="114"/>
      <c r="AM8" s="95"/>
      <c r="BE8" s="117"/>
      <c r="BF8" s="117"/>
      <c r="BG8" s="117"/>
      <c r="BH8" s="117"/>
      <c r="BI8" s="117"/>
      <c r="BJ8" s="117"/>
    </row>
    <row r="9" spans="1:64" ht="18" customHeight="1" outlineLevel="1">
      <c r="A9" s="65">
        <v>1</v>
      </c>
      <c r="B9" s="64">
        <f>+'Kiểm hóa may'!B9</f>
        <v>0</v>
      </c>
      <c r="C9" s="68">
        <f>+'Kiểm hóa may'!C9</f>
        <v>0</v>
      </c>
      <c r="D9" s="80">
        <f>AQ9</f>
        <v>0</v>
      </c>
      <c r="E9" s="96">
        <f>IFERROR('Kiểm hóa may'!D9 + 'Bản sau là'!D9,0)</f>
        <v>0</v>
      </c>
      <c r="F9" s="97"/>
      <c r="G9" s="97"/>
      <c r="H9" s="97"/>
      <c r="I9" s="97"/>
      <c r="J9" s="97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>
        <f>IFERROR(400*BF9,0)</f>
        <v>0</v>
      </c>
      <c r="AE9" s="93"/>
      <c r="AF9" s="93">
        <f>IFERROR(SUM(F9:AC9)*0.2,0)</f>
        <v>0</v>
      </c>
      <c r="AG9" s="93"/>
      <c r="AH9" s="93" t="s">
        <v>179</v>
      </c>
      <c r="AI9" s="98">
        <f>IFERROR(130*D9,0)</f>
        <v>0</v>
      </c>
      <c r="AJ9" s="81" cm="1">
        <f t="array" ref="AJ9">IFERROR(SUM(_xlfn._xlws.FILTER(E9:AI9,ISNUMBER(E9:AI9))),0)</f>
        <v>0</v>
      </c>
      <c r="AK9" s="81"/>
      <c r="AL9" s="99">
        <f>IFERROR(AJ9*(1+AK9%),0)</f>
        <v>0</v>
      </c>
      <c r="AM9" s="116"/>
      <c r="AN9" s="84">
        <f>IFERROR(SUM(E9:AC9)/D9,0)</f>
        <v>0</v>
      </c>
      <c r="AO9" s="138"/>
      <c r="AQ9" s="137"/>
      <c r="AR9" s="137"/>
      <c r="AS9" s="137"/>
      <c r="AT9" s="137"/>
      <c r="AU9" s="137"/>
      <c r="AV9" s="137"/>
      <c r="AY9" s="136">
        <f>IFERROR((AQ9*20)/60,0)</f>
        <v>0</v>
      </c>
      <c r="AZ9" s="136">
        <f>IFERROR(AX9 + AY9 + BI9,0)</f>
        <v>0</v>
      </c>
      <c r="BA9" s="135">
        <f>IFERROR(AZ9/8,0)</f>
        <v>0</v>
      </c>
      <c r="BB9" s="135">
        <f>IFERROR(MAX(AQ9-BA9,0),0)</f>
        <v>0</v>
      </c>
      <c r="BD9" s="117">
        <f>IFERROR(10000*D9,0)</f>
        <v>0</v>
      </c>
      <c r="BE9" s="117"/>
      <c r="BF9" s="117"/>
      <c r="BG9" s="117">
        <f>IFERROR(-IF(AH9=$L$3,0,IF(AH9=$N$3,15*680*D9,IF(AH9=$P$3,30*680*D9,IF(AH9=0,50*680*D9,0)))),0)</f>
        <v>0</v>
      </c>
      <c r="BH9" s="117"/>
      <c r="BI9" s="117"/>
      <c r="BJ9" s="117"/>
    </row>
    <row r="10" spans="1:64" ht="15.75" hidden="1" outlineLevel="1">
      <c r="A10" s="57"/>
      <c r="B10" s="132"/>
      <c r="C10" s="95"/>
      <c r="D10" s="95"/>
      <c r="E10" s="111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112"/>
      <c r="AJ10" s="113"/>
      <c r="AK10" s="113"/>
      <c r="AL10" s="114"/>
      <c r="AM10" s="95"/>
      <c r="BE10" s="117"/>
      <c r="BF10" s="117"/>
      <c r="BG10" s="117"/>
      <c r="BH10" s="117"/>
      <c r="BI10" s="117"/>
      <c r="BJ10" s="117"/>
    </row>
    <row r="11" spans="1:64" ht="18" customHeight="1" outlineLevel="1">
      <c r="A11" s="62">
        <v>2</v>
      </c>
      <c r="B11" s="64">
        <f>+'Kiểm hóa may'!B11</f>
        <v>0</v>
      </c>
      <c r="C11" s="68">
        <f>+'Kiểm hóa may'!C11</f>
        <v>0</v>
      </c>
      <c r="D11" s="80">
        <f t="shared" ref="D11" si="0">AQ11</f>
        <v>0</v>
      </c>
      <c r="E11" s="96">
        <f>IFERROR('Kiểm hóa may'!D11 + 'Bản sau là'!D11,0)</f>
        <v>0</v>
      </c>
      <c r="F11" s="97"/>
      <c r="G11" s="97"/>
      <c r="H11" s="97"/>
      <c r="I11" s="97"/>
      <c r="J11" s="97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>
        <f t="shared" ref="AD11:AD74" si="1">IFERROR(400*BF11,0)</f>
        <v>0</v>
      </c>
      <c r="AE11" s="93"/>
      <c r="AF11" s="93">
        <f t="shared" ref="AF11:AF74" si="2">IFERROR(SUM(F11:AC11)*0.2,0)</f>
        <v>0</v>
      </c>
      <c r="AG11" s="93"/>
      <c r="AH11" s="93" t="s">
        <v>179</v>
      </c>
      <c r="AI11" s="98">
        <f t="shared" ref="AI11:AI74" si="3">IFERROR(130*D11,0)</f>
        <v>0</v>
      </c>
      <c r="AJ11" s="81" cm="1">
        <f t="array" ref="AJ11">IFERROR(SUM(_xlfn._xlws.FILTER(E11:AI11,ISNUMBER(E11:AI11))),0)</f>
        <v>0</v>
      </c>
      <c r="AK11" s="81"/>
      <c r="AL11" s="99">
        <f t="shared" ref="AL11" si="4">IFERROR(AJ11*(1+AK11%),0)</f>
        <v>0</v>
      </c>
      <c r="AM11" s="116"/>
      <c r="AN11" s="84">
        <f t="shared" ref="AN11:AN74" si="5">IFERROR(SUM(E11:AC11)/D11,0)</f>
        <v>0</v>
      </c>
      <c r="AO11" s="138"/>
      <c r="AQ11" s="137"/>
      <c r="AR11" s="137"/>
      <c r="AS11" s="137"/>
      <c r="AT11" s="137"/>
      <c r="AU11" s="137"/>
      <c r="AV11" s="137"/>
      <c r="AY11" s="136">
        <f t="shared" ref="AY11:AY74" si="6">IFERROR((AQ11*20)/60,0)</f>
        <v>0</v>
      </c>
      <c r="AZ11" s="136">
        <f t="shared" ref="AZ11" si="7">IFERROR(AX11 + AY11 + BI11,0)</f>
        <v>0</v>
      </c>
      <c r="BA11" s="135">
        <f t="shared" ref="BA11" si="8">IFERROR(AZ11/8,0)</f>
        <v>0</v>
      </c>
      <c r="BB11" s="135">
        <f t="shared" ref="BB11" si="9">IFERROR(MAX(AQ11-BA11,0),0)</f>
        <v>0</v>
      </c>
      <c r="BD11" s="117">
        <f t="shared" ref="BD11:BD74" si="10">IFERROR(10000*D11,0)</f>
        <v>0</v>
      </c>
      <c r="BE11" s="117"/>
      <c r="BF11" s="117"/>
      <c r="BG11" s="117">
        <f t="shared" ref="BG11:BG74" si="11">IFERROR(-IF(AH11=$L$3,0,IF(AH11=$N$3,15*680*D11,IF(AH11=$P$3,30*680*D11,IF(AH11=0,50*680*D11,0)))),0)</f>
        <v>0</v>
      </c>
      <c r="BH11" s="117"/>
      <c r="BI11" s="117"/>
      <c r="BJ11" s="117"/>
    </row>
    <row r="12" spans="1:64" ht="18" hidden="1" customHeight="1" outlineLevel="1">
      <c r="A12" s="95"/>
      <c r="B12" s="132"/>
      <c r="C12" s="95"/>
      <c r="D12" s="95"/>
      <c r="E12" s="111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112"/>
      <c r="AJ12" s="113"/>
      <c r="AK12" s="113"/>
      <c r="AL12" s="114"/>
      <c r="AM12" s="95"/>
      <c r="BE12" s="117"/>
      <c r="BF12" s="117"/>
      <c r="BG12" s="117"/>
      <c r="BH12" s="117"/>
      <c r="BI12" s="117"/>
      <c r="BJ12" s="117"/>
    </row>
    <row r="13" spans="1:64" ht="18" customHeight="1" outlineLevel="1">
      <c r="A13" s="65">
        <v>3</v>
      </c>
      <c r="B13" s="64">
        <f>+'Kiểm hóa may'!B13</f>
        <v>0</v>
      </c>
      <c r="C13" s="68">
        <f>+'Kiểm hóa may'!C13</f>
        <v>0</v>
      </c>
      <c r="D13" s="80">
        <f t="shared" ref="D13" si="12">AQ13</f>
        <v>0</v>
      </c>
      <c r="E13" s="96">
        <f>IFERROR('Kiểm hóa may'!D13 + 'Bản sau là'!D13,0)</f>
        <v>0</v>
      </c>
      <c r="F13" s="97"/>
      <c r="G13" s="97"/>
      <c r="H13" s="97"/>
      <c r="I13" s="97"/>
      <c r="J13" s="97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  <c r="AA13" s="93"/>
      <c r="AB13" s="93"/>
      <c r="AC13" s="93"/>
      <c r="AD13" s="93">
        <f t="shared" ref="AD13:AD76" si="13">IFERROR(400*BF13,0)</f>
        <v>0</v>
      </c>
      <c r="AE13" s="93"/>
      <c r="AF13" s="93">
        <f t="shared" ref="AF13:AF76" si="14">IFERROR(SUM(F13:AC13)*0.2,0)</f>
        <v>0</v>
      </c>
      <c r="AG13" s="93"/>
      <c r="AH13" s="93" t="s">
        <v>179</v>
      </c>
      <c r="AI13" s="98">
        <f t="shared" ref="AI13:AI76" si="15">IFERROR(130*D13,0)</f>
        <v>0</v>
      </c>
      <c r="AJ13" s="81" cm="1">
        <f t="array" ref="AJ13">IFERROR(SUM(_xlfn._xlws.FILTER(E13:AI13,ISNUMBER(E13:AI13))),0)</f>
        <v>0</v>
      </c>
      <c r="AK13" s="81"/>
      <c r="AL13" s="99">
        <f t="shared" ref="AL13" si="16">IFERROR(AJ13*(1+AK13%),0)</f>
        <v>0</v>
      </c>
      <c r="AM13" s="116"/>
      <c r="AN13" s="84">
        <f t="shared" ref="AN13:AN76" si="17">IFERROR(SUM(E13:AC13)/D13,0)</f>
        <v>0</v>
      </c>
      <c r="AO13" s="138"/>
      <c r="AQ13" s="137"/>
      <c r="AR13" s="137"/>
      <c r="AS13" s="137"/>
      <c r="AT13" s="137"/>
      <c r="AU13" s="137"/>
      <c r="AV13" s="137"/>
      <c r="AY13" s="136">
        <f t="shared" ref="AY13:AY76" si="18">IFERROR((AQ13*20)/60,0)</f>
        <v>0</v>
      </c>
      <c r="AZ13" s="136">
        <f t="shared" ref="AZ13" si="19">IFERROR(AX13 + AY13 + BI13,0)</f>
        <v>0</v>
      </c>
      <c r="BA13" s="135">
        <f t="shared" ref="BA13" si="20">IFERROR(AZ13/8,0)</f>
        <v>0</v>
      </c>
      <c r="BB13" s="135">
        <f t="shared" ref="BB13" si="21">IFERROR(MAX(AQ13-BA13,0),0)</f>
        <v>0</v>
      </c>
      <c r="BD13" s="117">
        <f t="shared" ref="BD13:BD76" si="22">IFERROR(10000*D13,0)</f>
        <v>0</v>
      </c>
      <c r="BE13" s="117"/>
      <c r="BF13" s="117"/>
      <c r="BG13" s="117">
        <f t="shared" ref="BG13:BG76" si="23">IFERROR(-IF(AH13=$L$3,0,IF(AH13=$N$3,15*680*D13,IF(AH13=$P$3,30*680*D13,IF(AH13=0,50*680*D13,0)))),0)</f>
        <v>0</v>
      </c>
      <c r="BH13" s="117"/>
      <c r="BI13" s="117"/>
      <c r="BJ13" s="117"/>
    </row>
    <row r="14" spans="1:64" ht="18" hidden="1" customHeight="1" outlineLevel="1">
      <c r="A14" s="57"/>
      <c r="B14" s="132"/>
      <c r="C14" s="95"/>
      <c r="D14" s="95"/>
      <c r="E14" s="111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112"/>
      <c r="AJ14" s="113"/>
      <c r="AK14" s="113"/>
      <c r="AL14" s="114"/>
      <c r="AM14" s="95"/>
      <c r="BE14" s="117"/>
      <c r="BF14" s="117"/>
      <c r="BG14" s="117"/>
      <c r="BH14" s="117"/>
      <c r="BI14" s="117"/>
      <c r="BJ14" s="117"/>
    </row>
    <row r="15" spans="1:64" ht="18" customHeight="1" outlineLevel="1">
      <c r="A15" s="62">
        <v>4</v>
      </c>
      <c r="B15" s="64">
        <f>+'Kiểm hóa may'!B15</f>
        <v>0</v>
      </c>
      <c r="C15" s="68">
        <f>+'Kiểm hóa may'!C15</f>
        <v>0</v>
      </c>
      <c r="D15" s="80">
        <f t="shared" ref="D15" si="24">AQ15</f>
        <v>0</v>
      </c>
      <c r="E15" s="96">
        <f>IFERROR('Kiểm hóa may'!D15 + 'Bản sau là'!D15,0)</f>
        <v>0</v>
      </c>
      <c r="F15" s="97"/>
      <c r="G15" s="97"/>
      <c r="H15" s="97"/>
      <c r="I15" s="97"/>
      <c r="J15" s="97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>
        <f t="shared" ref="AD15:AD78" si="25">IFERROR(400*BF15,0)</f>
        <v>0</v>
      </c>
      <c r="AE15" s="93"/>
      <c r="AF15" s="93">
        <f t="shared" ref="AF15:AF78" si="26">IFERROR(SUM(F15:AC15)*0.2,0)</f>
        <v>0</v>
      </c>
      <c r="AG15" s="93"/>
      <c r="AH15" s="93" t="s">
        <v>179</v>
      </c>
      <c r="AI15" s="98">
        <f t="shared" ref="AI15:AI78" si="27">IFERROR(130*D15,0)</f>
        <v>0</v>
      </c>
      <c r="AJ15" s="81" cm="1">
        <f t="array" ref="AJ15">IFERROR(SUM(_xlfn._xlws.FILTER(E15:AI15,ISNUMBER(E15:AI15))),0)</f>
        <v>0</v>
      </c>
      <c r="AK15" s="81"/>
      <c r="AL15" s="99">
        <f t="shared" ref="AL15" si="28">IFERROR(AJ15*(1+AK15%),0)</f>
        <v>0</v>
      </c>
      <c r="AM15" s="116"/>
      <c r="AN15" s="84">
        <f t="shared" ref="AN15:AN78" si="29">IFERROR(SUM(E15:AC15)/D15,0)</f>
        <v>0</v>
      </c>
      <c r="AO15" s="138"/>
      <c r="AQ15" s="137"/>
      <c r="AR15" s="137"/>
      <c r="AS15" s="137"/>
      <c r="AT15" s="137"/>
      <c r="AU15" s="137"/>
      <c r="AV15" s="137"/>
      <c r="AY15" s="136">
        <f t="shared" ref="AY15:AY78" si="30">IFERROR((AQ15*20)/60,0)</f>
        <v>0</v>
      </c>
      <c r="AZ15" s="136">
        <f t="shared" ref="AZ15" si="31">IFERROR(AX15 + AY15 + BI15,0)</f>
        <v>0</v>
      </c>
      <c r="BA15" s="135">
        <f t="shared" ref="BA15" si="32">IFERROR(AZ15/8,0)</f>
        <v>0</v>
      </c>
      <c r="BB15" s="135">
        <f t="shared" ref="BB15" si="33">IFERROR(MAX(AQ15-BA15,0),0)</f>
        <v>0</v>
      </c>
      <c r="BD15" s="117">
        <f t="shared" ref="BD15:BD78" si="34">IFERROR(10000*D15,0)</f>
        <v>0</v>
      </c>
      <c r="BE15" s="117"/>
      <c r="BF15" s="117"/>
      <c r="BG15" s="117">
        <f t="shared" ref="BG15:BG78" si="35">IFERROR(-IF(AH15=$L$3,0,IF(AH15=$N$3,15*680*D15,IF(AH15=$P$3,30*680*D15,IF(AH15=0,50*680*D15,0)))),0)</f>
        <v>0</v>
      </c>
      <c r="BH15" s="117"/>
      <c r="BI15" s="117"/>
      <c r="BJ15" s="117"/>
    </row>
    <row r="16" spans="1:64" ht="18" hidden="1" customHeight="1" outlineLevel="1">
      <c r="A16" s="95"/>
      <c r="B16" s="132"/>
      <c r="C16" s="95"/>
      <c r="D16" s="95"/>
      <c r="E16" s="111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  <c r="AH16" s="95"/>
      <c r="AI16" s="112"/>
      <c r="AJ16" s="113"/>
      <c r="AK16" s="113"/>
      <c r="AL16" s="114"/>
      <c r="AM16" s="95"/>
      <c r="BE16" s="117"/>
      <c r="BF16" s="117"/>
      <c r="BG16" s="117"/>
      <c r="BH16" s="117"/>
      <c r="BI16" s="117"/>
      <c r="BJ16" s="117"/>
    </row>
    <row r="17" spans="1:62" ht="19.5" customHeight="1" outlineLevel="1">
      <c r="A17" s="65">
        <v>5</v>
      </c>
      <c r="B17" s="64">
        <f>+'Kiểm hóa may'!B17</f>
        <v>0</v>
      </c>
      <c r="C17" s="68">
        <f>+'Kiểm hóa may'!C17</f>
        <v>0</v>
      </c>
      <c r="D17" s="80">
        <f t="shared" ref="D17" si="36">AQ17</f>
        <v>0</v>
      </c>
      <c r="E17" s="96">
        <f>IFERROR('Kiểm hóa may'!D17 + 'Bản sau là'!D17,0)</f>
        <v>0</v>
      </c>
      <c r="F17" s="97"/>
      <c r="G17" s="97"/>
      <c r="H17" s="97"/>
      <c r="I17" s="97"/>
      <c r="J17" s="97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  <c r="AB17" s="93"/>
      <c r="AC17" s="93"/>
      <c r="AD17" s="93">
        <f t="shared" ref="AD17:AD80" si="37">IFERROR(400*BF17,0)</f>
        <v>0</v>
      </c>
      <c r="AE17" s="93"/>
      <c r="AF17" s="93">
        <f t="shared" ref="AF17:AF80" si="38">IFERROR(SUM(F17:AC17)*0.2,0)</f>
        <v>0</v>
      </c>
      <c r="AG17" s="93"/>
      <c r="AH17" s="93" t="s">
        <v>179</v>
      </c>
      <c r="AI17" s="98">
        <f t="shared" ref="AI17:AI80" si="39">IFERROR(130*D17,0)</f>
        <v>0</v>
      </c>
      <c r="AJ17" s="81" cm="1">
        <f t="array" ref="AJ17">IFERROR(SUM(_xlfn._xlws.FILTER(E17:AI17,ISNUMBER(E17:AI17))),0)</f>
        <v>0</v>
      </c>
      <c r="AK17" s="81"/>
      <c r="AL17" s="99">
        <f t="shared" ref="AL17" si="40">IFERROR(AJ17*(1+AK17%),0)</f>
        <v>0</v>
      </c>
      <c r="AM17" s="116"/>
      <c r="AN17" s="84">
        <f t="shared" ref="AN17:AN80" si="41">IFERROR(SUM(E17:AC17)/D17,0)</f>
        <v>0</v>
      </c>
      <c r="AO17" s="138"/>
      <c r="AQ17" s="137"/>
      <c r="AR17" s="137"/>
      <c r="AS17" s="137"/>
      <c r="AT17" s="137"/>
      <c r="AU17" s="137"/>
      <c r="AV17" s="137"/>
      <c r="AY17" s="136">
        <f t="shared" ref="AY17:AY80" si="42">IFERROR((AQ17*20)/60,0)</f>
        <v>0</v>
      </c>
      <c r="AZ17" s="136">
        <f t="shared" ref="AZ17" si="43">IFERROR(AX17 + AY17 + BI17,0)</f>
        <v>0</v>
      </c>
      <c r="BA17" s="135">
        <f t="shared" ref="BA17" si="44">IFERROR(AZ17/8,0)</f>
        <v>0</v>
      </c>
      <c r="BB17" s="135">
        <f t="shared" ref="BB17" si="45">IFERROR(MAX(AQ17-BA17,0),0)</f>
        <v>0</v>
      </c>
      <c r="BD17" s="117">
        <f t="shared" ref="BD17:BD80" si="46">IFERROR(10000*D17,0)</f>
        <v>0</v>
      </c>
      <c r="BE17" s="117"/>
      <c r="BF17" s="117"/>
      <c r="BG17" s="117">
        <f t="shared" ref="BG17:BG80" si="47">IFERROR(-IF(AH17=$L$3,0,IF(AH17=$N$3,15*680*D17,IF(AH17=$P$3,30*680*D17,IF(AH17=0,50*680*D17,0)))),0)</f>
        <v>0</v>
      </c>
      <c r="BH17" s="117"/>
      <c r="BI17" s="117"/>
      <c r="BJ17" s="117"/>
    </row>
    <row r="18" spans="1:62" ht="18" hidden="1" customHeight="1" outlineLevel="1">
      <c r="A18" s="57"/>
      <c r="B18" s="132"/>
      <c r="C18" s="95"/>
      <c r="D18" s="95"/>
      <c r="E18" s="111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112"/>
      <c r="AJ18" s="113"/>
      <c r="AK18" s="113"/>
      <c r="AL18" s="114"/>
      <c r="AM18" s="95"/>
      <c r="BE18" s="117"/>
      <c r="BF18" s="117"/>
      <c r="BG18" s="117"/>
      <c r="BH18" s="117"/>
      <c r="BI18" s="117"/>
      <c r="BJ18" s="117"/>
    </row>
    <row r="19" spans="1:62" ht="18" customHeight="1" outlineLevel="1">
      <c r="A19" s="62">
        <v>6</v>
      </c>
      <c r="B19" s="64">
        <f>+'Kiểm hóa may'!B19</f>
        <v>0</v>
      </c>
      <c r="C19" s="68">
        <f>+'Kiểm hóa may'!C19</f>
        <v>0</v>
      </c>
      <c r="D19" s="80">
        <f t="shared" ref="D19" si="48">AQ19</f>
        <v>0</v>
      </c>
      <c r="E19" s="96">
        <f>IFERROR('Kiểm hóa may'!D19 + 'Bản sau là'!D19,0)</f>
        <v>0</v>
      </c>
      <c r="F19" s="97"/>
      <c r="G19" s="97"/>
      <c r="H19" s="97"/>
      <c r="I19" s="97"/>
      <c r="J19" s="97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  <c r="AC19" s="93"/>
      <c r="AD19" s="93">
        <f t="shared" ref="AD19:AD82" si="49">IFERROR(400*BF19,0)</f>
        <v>0</v>
      </c>
      <c r="AE19" s="93"/>
      <c r="AF19" s="93">
        <f t="shared" ref="AF19:AF82" si="50">IFERROR(SUM(F19:AC19)*0.2,0)</f>
        <v>0</v>
      </c>
      <c r="AG19" s="93"/>
      <c r="AH19" s="93" t="s">
        <v>179</v>
      </c>
      <c r="AI19" s="98">
        <f t="shared" ref="AI19:AI82" si="51">IFERROR(130*D19,0)</f>
        <v>0</v>
      </c>
      <c r="AJ19" s="81" cm="1">
        <f t="array" ref="AJ19">IFERROR(SUM(_xlfn._xlws.FILTER(E19:AI19,ISNUMBER(E19:AI19))),0)</f>
        <v>0</v>
      </c>
      <c r="AK19" s="81"/>
      <c r="AL19" s="99">
        <f t="shared" ref="AL19" si="52">IFERROR(AJ19*(1+AK19%),0)</f>
        <v>0</v>
      </c>
      <c r="AM19" s="116"/>
      <c r="AN19" s="84">
        <f t="shared" ref="AN19:AN82" si="53">IFERROR(SUM(E19:AC19)/D19,0)</f>
        <v>0</v>
      </c>
      <c r="AO19" s="138"/>
      <c r="AQ19" s="137"/>
      <c r="AR19" s="137"/>
      <c r="AS19" s="137"/>
      <c r="AT19" s="137"/>
      <c r="AU19" s="137"/>
      <c r="AV19" s="137"/>
      <c r="AY19" s="136">
        <f t="shared" ref="AY19:AY82" si="54">IFERROR((AQ19*20)/60,0)</f>
        <v>0</v>
      </c>
      <c r="AZ19" s="136">
        <f t="shared" ref="AZ19" si="55">IFERROR(AX19 + AY19 + BI19,0)</f>
        <v>0</v>
      </c>
      <c r="BA19" s="135">
        <f t="shared" ref="BA19" si="56">IFERROR(AZ19/8,0)</f>
        <v>0</v>
      </c>
      <c r="BB19" s="135">
        <f t="shared" ref="BB19" si="57">IFERROR(MAX(AQ19-BA19,0),0)</f>
        <v>0</v>
      </c>
      <c r="BD19" s="117">
        <f t="shared" ref="BD19:BD82" si="58">IFERROR(10000*D19,0)</f>
        <v>0</v>
      </c>
      <c r="BE19" s="117"/>
      <c r="BF19" s="117"/>
      <c r="BG19" s="117">
        <f t="shared" ref="BG19:BG82" si="59">IFERROR(-IF(AH19=$L$3,0,IF(AH19=$N$3,15*680*D19,IF(AH19=$P$3,30*680*D19,IF(AH19=0,50*680*D19,0)))),0)</f>
        <v>0</v>
      </c>
      <c r="BH19" s="117"/>
      <c r="BI19" s="117"/>
      <c r="BJ19" s="117"/>
    </row>
    <row r="20" spans="1:62" ht="18" hidden="1" customHeight="1" outlineLevel="1">
      <c r="A20" s="95"/>
      <c r="B20" s="132"/>
      <c r="C20" s="95"/>
      <c r="D20" s="95"/>
      <c r="E20" s="111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112"/>
      <c r="AJ20" s="113"/>
      <c r="AK20" s="113"/>
      <c r="AL20" s="114"/>
      <c r="AM20" s="95"/>
      <c r="BE20" s="117"/>
      <c r="BF20" s="117"/>
      <c r="BG20" s="117"/>
      <c r="BH20" s="117"/>
      <c r="BI20" s="117"/>
      <c r="BJ20" s="117"/>
    </row>
    <row r="21" spans="1:62" ht="18" customHeight="1" outlineLevel="1">
      <c r="A21" s="65">
        <v>7</v>
      </c>
      <c r="B21" s="64">
        <f>+'Kiểm hóa may'!B21</f>
        <v>0</v>
      </c>
      <c r="C21" s="68">
        <f>+'Kiểm hóa may'!C21</f>
        <v>0</v>
      </c>
      <c r="D21" s="80">
        <f t="shared" ref="D21" si="60">AQ21</f>
        <v>0</v>
      </c>
      <c r="E21" s="96">
        <f>IFERROR('Kiểm hóa may'!D21 + 'Bản sau là'!D21,0)</f>
        <v>0</v>
      </c>
      <c r="F21" s="97"/>
      <c r="G21" s="97"/>
      <c r="H21" s="97"/>
      <c r="I21" s="97"/>
      <c r="J21" s="97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>
        <f t="shared" ref="AD21:AD84" si="61">IFERROR(400*BF21,0)</f>
        <v>0</v>
      </c>
      <c r="AE21" s="93"/>
      <c r="AF21" s="93">
        <f t="shared" ref="AF21:AF84" si="62">IFERROR(SUM(F21:AC21)*0.2,0)</f>
        <v>0</v>
      </c>
      <c r="AG21" s="93"/>
      <c r="AH21" s="93" t="s">
        <v>179</v>
      </c>
      <c r="AI21" s="98">
        <f t="shared" ref="AI21:AI84" si="63">IFERROR(130*D21,0)</f>
        <v>0</v>
      </c>
      <c r="AJ21" s="81" cm="1">
        <f t="array" ref="AJ21">IFERROR(SUM(_xlfn._xlws.FILTER(E21:AI21,ISNUMBER(E21:AI21))),0)</f>
        <v>0</v>
      </c>
      <c r="AK21" s="81"/>
      <c r="AL21" s="99">
        <f t="shared" ref="AL21" si="64">IFERROR(AJ21*(1+AK21%),0)</f>
        <v>0</v>
      </c>
      <c r="AM21" s="116"/>
      <c r="AN21" s="84">
        <f t="shared" ref="AN21:AN84" si="65">IFERROR(SUM(E21:AC21)/D21,0)</f>
        <v>0</v>
      </c>
      <c r="AO21" s="138"/>
      <c r="AQ21" s="137"/>
      <c r="AR21" s="137"/>
      <c r="AS21" s="137"/>
      <c r="AT21" s="137"/>
      <c r="AU21" s="137"/>
      <c r="AV21" s="137"/>
      <c r="AY21" s="136">
        <f t="shared" ref="AY21:AY84" si="66">IFERROR((AQ21*20)/60,0)</f>
        <v>0</v>
      </c>
      <c r="AZ21" s="136">
        <f t="shared" ref="AZ21" si="67">IFERROR(AX21 + AY21 + BI21,0)</f>
        <v>0</v>
      </c>
      <c r="BA21" s="135">
        <f t="shared" ref="BA21" si="68">IFERROR(AZ21/8,0)</f>
        <v>0</v>
      </c>
      <c r="BB21" s="135">
        <f t="shared" ref="BB21" si="69">IFERROR(MAX(AQ21-BA21,0),0)</f>
        <v>0</v>
      </c>
      <c r="BD21" s="117">
        <f t="shared" ref="BD21:BD84" si="70">IFERROR(10000*D21,0)</f>
        <v>0</v>
      </c>
      <c r="BE21" s="117"/>
      <c r="BF21" s="117"/>
      <c r="BG21" s="117">
        <f t="shared" ref="BG21:BG84" si="71">IFERROR(-IF(AH21=$L$3,0,IF(AH21=$N$3,15*680*D21,IF(AH21=$P$3,30*680*D21,IF(AH21=0,50*680*D21,0)))),0)</f>
        <v>0</v>
      </c>
      <c r="BH21" s="117"/>
      <c r="BI21" s="117"/>
      <c r="BJ21" s="117"/>
    </row>
    <row r="22" spans="1:62" ht="18" hidden="1" customHeight="1" outlineLevel="1">
      <c r="A22" s="57"/>
      <c r="B22" s="132"/>
      <c r="C22" s="95"/>
      <c r="D22" s="95"/>
      <c r="E22" s="111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112"/>
      <c r="AJ22" s="113"/>
      <c r="AK22" s="113"/>
      <c r="AL22" s="114"/>
      <c r="AM22" s="95"/>
      <c r="BE22" s="117"/>
      <c r="BF22" s="117"/>
      <c r="BG22" s="117"/>
      <c r="BH22" s="117"/>
      <c r="BI22" s="117"/>
      <c r="BJ22" s="117"/>
    </row>
    <row r="23" spans="1:62" ht="18" customHeight="1" outlineLevel="1">
      <c r="A23" s="62">
        <v>8</v>
      </c>
      <c r="B23" s="64">
        <f>+'Kiểm hóa may'!B23</f>
        <v>0</v>
      </c>
      <c r="C23" s="68">
        <f>+'Kiểm hóa may'!C23</f>
        <v>0</v>
      </c>
      <c r="D23" s="80">
        <f t="shared" ref="D23" si="72">AQ23</f>
        <v>0</v>
      </c>
      <c r="E23" s="96">
        <f>IFERROR('Kiểm hóa may'!D23 + 'Bản sau là'!D23,0)</f>
        <v>0</v>
      </c>
      <c r="F23" s="97"/>
      <c r="G23" s="97"/>
      <c r="H23" s="97"/>
      <c r="I23" s="97"/>
      <c r="J23" s="97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>
        <f t="shared" ref="AD23:AD86" si="73">IFERROR(400*BF23,0)</f>
        <v>0</v>
      </c>
      <c r="AE23" s="93"/>
      <c r="AF23" s="93">
        <f t="shared" ref="AF23:AF86" si="74">IFERROR(SUM(F23:AC23)*0.2,0)</f>
        <v>0</v>
      </c>
      <c r="AG23" s="93"/>
      <c r="AH23" s="93" t="s">
        <v>179</v>
      </c>
      <c r="AI23" s="98">
        <f t="shared" ref="AI23:AI86" si="75">IFERROR(130*D23,0)</f>
        <v>0</v>
      </c>
      <c r="AJ23" s="81" cm="1">
        <f t="array" ref="AJ23">IFERROR(SUM(_xlfn._xlws.FILTER(E23:AI23,ISNUMBER(E23:AI23))),0)</f>
        <v>0</v>
      </c>
      <c r="AK23" s="81"/>
      <c r="AL23" s="99">
        <f t="shared" ref="AL23" si="76">IFERROR(AJ23*(1+AK23%),0)</f>
        <v>0</v>
      </c>
      <c r="AM23" s="116"/>
      <c r="AN23" s="84">
        <f t="shared" ref="AN23:AN86" si="77">IFERROR(SUM(E23:AC23)/D23,0)</f>
        <v>0</v>
      </c>
      <c r="AO23" s="138"/>
      <c r="AQ23" s="137"/>
      <c r="AR23" s="137"/>
      <c r="AS23" s="137"/>
      <c r="AT23" s="137"/>
      <c r="AU23" s="137"/>
      <c r="AV23" s="137"/>
      <c r="AY23" s="136">
        <f t="shared" ref="AY23:AY86" si="78">IFERROR((AQ23*20)/60,0)</f>
        <v>0</v>
      </c>
      <c r="AZ23" s="136">
        <f t="shared" ref="AZ23" si="79">IFERROR(AX23 + AY23 + BI23,0)</f>
        <v>0</v>
      </c>
      <c r="BA23" s="135">
        <f t="shared" ref="BA23" si="80">IFERROR(AZ23/8,0)</f>
        <v>0</v>
      </c>
      <c r="BB23" s="135">
        <f t="shared" ref="BB23" si="81">IFERROR(MAX(AQ23-BA23,0),0)</f>
        <v>0</v>
      </c>
      <c r="BD23" s="117">
        <f t="shared" ref="BD23:BD86" si="82">IFERROR(10000*D23,0)</f>
        <v>0</v>
      </c>
      <c r="BE23" s="117"/>
      <c r="BF23" s="117"/>
      <c r="BG23" s="117">
        <f t="shared" ref="BG23:BG86" si="83">IFERROR(-IF(AH23=$L$3,0,IF(AH23=$N$3,15*680*D23,IF(AH23=$P$3,30*680*D23,IF(AH23=0,50*680*D23,0)))),0)</f>
        <v>0</v>
      </c>
      <c r="BH23" s="117"/>
      <c r="BI23" s="117"/>
      <c r="BJ23" s="117"/>
    </row>
    <row r="24" spans="1:62" ht="18" hidden="1" customHeight="1" outlineLevel="1">
      <c r="A24" s="95"/>
      <c r="B24" s="132"/>
      <c r="C24" s="95"/>
      <c r="D24" s="95"/>
      <c r="E24" s="111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112"/>
      <c r="AJ24" s="113"/>
      <c r="AK24" s="113"/>
      <c r="AL24" s="114"/>
      <c r="AM24" s="95"/>
      <c r="BE24" s="117"/>
      <c r="BF24" s="117"/>
      <c r="BG24" s="117"/>
      <c r="BH24" s="117"/>
      <c r="BI24" s="117"/>
      <c r="BJ24" s="117"/>
    </row>
    <row r="25" spans="1:62" ht="18" customHeight="1" outlineLevel="1">
      <c r="A25" s="65">
        <v>9</v>
      </c>
      <c r="B25" s="64">
        <f>+'Kiểm hóa may'!B25</f>
        <v>0</v>
      </c>
      <c r="C25" s="68">
        <f>+'Kiểm hóa may'!C25</f>
        <v>0</v>
      </c>
      <c r="D25" s="80">
        <f t="shared" ref="D25" si="84">AQ25</f>
        <v>0</v>
      </c>
      <c r="E25" s="96">
        <f>IFERROR('Kiểm hóa may'!D25 + 'Bản sau là'!D25,0)</f>
        <v>0</v>
      </c>
      <c r="F25" s="97"/>
      <c r="G25" s="97"/>
      <c r="H25" s="97"/>
      <c r="I25" s="97"/>
      <c r="J25" s="97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93"/>
      <c r="AD25" s="93">
        <f t="shared" ref="AD25:AD88" si="85">IFERROR(400*BF25,0)</f>
        <v>0</v>
      </c>
      <c r="AE25" s="93"/>
      <c r="AF25" s="93">
        <f t="shared" ref="AF25:AF88" si="86">IFERROR(SUM(F25:AC25)*0.2,0)</f>
        <v>0</v>
      </c>
      <c r="AG25" s="93"/>
      <c r="AH25" s="93" t="s">
        <v>179</v>
      </c>
      <c r="AI25" s="98">
        <f t="shared" ref="AI25:AI88" si="87">IFERROR(130*D25,0)</f>
        <v>0</v>
      </c>
      <c r="AJ25" s="81" cm="1">
        <f t="array" ref="AJ25">IFERROR(SUM(_xlfn._xlws.FILTER(E25:AI25,ISNUMBER(E25:AI25))),0)</f>
        <v>0</v>
      </c>
      <c r="AK25" s="81"/>
      <c r="AL25" s="99">
        <f t="shared" ref="AL25" si="88">IFERROR(AJ25*(1+AK25%),0)</f>
        <v>0</v>
      </c>
      <c r="AM25" s="116"/>
      <c r="AN25" s="84">
        <f t="shared" ref="AN25:AN88" si="89">IFERROR(SUM(E25:AC25)/D25,0)</f>
        <v>0</v>
      </c>
      <c r="AO25" s="138"/>
      <c r="AQ25" s="137"/>
      <c r="AR25" s="137"/>
      <c r="AS25" s="137"/>
      <c r="AT25" s="137"/>
      <c r="AU25" s="137"/>
      <c r="AV25" s="137"/>
      <c r="AY25" s="136">
        <f t="shared" ref="AY25:AY88" si="90">IFERROR((AQ25*20)/60,0)</f>
        <v>0</v>
      </c>
      <c r="AZ25" s="136">
        <f t="shared" ref="AZ25" si="91">IFERROR(AX25 + AY25 + BI25,0)</f>
        <v>0</v>
      </c>
      <c r="BA25" s="135">
        <f t="shared" ref="BA25" si="92">IFERROR(AZ25/8,0)</f>
        <v>0</v>
      </c>
      <c r="BB25" s="135">
        <f t="shared" ref="BB25" si="93">IFERROR(MAX(AQ25-BA25,0),0)</f>
        <v>0</v>
      </c>
      <c r="BD25" s="117">
        <f t="shared" ref="BD25:BD88" si="94">IFERROR(10000*D25,0)</f>
        <v>0</v>
      </c>
      <c r="BE25" s="117"/>
      <c r="BF25" s="117"/>
      <c r="BG25" s="117">
        <f t="shared" ref="BG25:BG88" si="95">IFERROR(-IF(AH25=$L$3,0,IF(AH25=$N$3,15*680*D25,IF(AH25=$P$3,30*680*D25,IF(AH25=0,50*680*D25,0)))),0)</f>
        <v>0</v>
      </c>
      <c r="BH25" s="117"/>
      <c r="BI25" s="117"/>
      <c r="BJ25" s="117"/>
    </row>
    <row r="26" spans="1:62" ht="18" hidden="1" customHeight="1" outlineLevel="1">
      <c r="A26" s="57"/>
      <c r="B26" s="132"/>
      <c r="C26" s="95"/>
      <c r="D26" s="95"/>
      <c r="E26" s="111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112"/>
      <c r="AJ26" s="113"/>
      <c r="AK26" s="113"/>
      <c r="AL26" s="114"/>
      <c r="AM26" s="95"/>
      <c r="BE26" s="117"/>
      <c r="BF26" s="117"/>
      <c r="BG26" s="117"/>
      <c r="BH26" s="117"/>
      <c r="BI26" s="117"/>
      <c r="BJ26" s="117"/>
    </row>
    <row r="27" spans="1:62" ht="18" customHeight="1" outlineLevel="1">
      <c r="A27" s="62">
        <v>10</v>
      </c>
      <c r="B27" s="64">
        <f>+'Kiểm hóa may'!B27</f>
        <v>0</v>
      </c>
      <c r="C27" s="68">
        <f>+'Kiểm hóa may'!C27</f>
        <v>0</v>
      </c>
      <c r="D27" s="80">
        <f t="shared" ref="D27" si="96">AQ27</f>
        <v>0</v>
      </c>
      <c r="E27" s="96">
        <f>IFERROR('Kiểm hóa may'!D27 + 'Bản sau là'!D27,0)</f>
        <v>0</v>
      </c>
      <c r="F27" s="97"/>
      <c r="G27" s="97"/>
      <c r="H27" s="97"/>
      <c r="I27" s="97"/>
      <c r="J27" s="97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>
        <f t="shared" ref="AD27:AD90" si="97">IFERROR(400*BF27,0)</f>
        <v>0</v>
      </c>
      <c r="AE27" s="93"/>
      <c r="AF27" s="93">
        <f t="shared" ref="AF27:AF90" si="98">IFERROR(SUM(F27:AC27)*0.2,0)</f>
        <v>0</v>
      </c>
      <c r="AG27" s="93"/>
      <c r="AH27" s="93" t="s">
        <v>179</v>
      </c>
      <c r="AI27" s="98">
        <f t="shared" ref="AI27:AI90" si="99">IFERROR(130*D27,0)</f>
        <v>0</v>
      </c>
      <c r="AJ27" s="81" cm="1">
        <f t="array" ref="AJ27">IFERROR(SUM(_xlfn._xlws.FILTER(E27:AI27,ISNUMBER(E27:AI27))),0)</f>
        <v>0</v>
      </c>
      <c r="AK27" s="81"/>
      <c r="AL27" s="99">
        <f t="shared" ref="AL27" si="100">IFERROR(AJ27*(1+AK27%),0)</f>
        <v>0</v>
      </c>
      <c r="AM27" s="116"/>
      <c r="AN27" s="84">
        <f t="shared" ref="AN27:AN90" si="101">IFERROR(SUM(E27:AC27)/D27,0)</f>
        <v>0</v>
      </c>
      <c r="AO27" s="138"/>
      <c r="AQ27" s="137"/>
      <c r="AR27" s="137"/>
      <c r="AS27" s="137"/>
      <c r="AT27" s="137"/>
      <c r="AU27" s="137"/>
      <c r="AV27" s="137"/>
      <c r="AY27" s="136">
        <f t="shared" ref="AY27:AY90" si="102">IFERROR((AQ27*20)/60,0)</f>
        <v>0</v>
      </c>
      <c r="AZ27" s="136">
        <f t="shared" ref="AZ27" si="103">IFERROR(AX27 + AY27 + BI27,0)</f>
        <v>0</v>
      </c>
      <c r="BA27" s="135">
        <f t="shared" ref="BA27" si="104">IFERROR(AZ27/8,0)</f>
        <v>0</v>
      </c>
      <c r="BB27" s="135">
        <f t="shared" ref="BB27" si="105">IFERROR(MAX(AQ27-BA27,0),0)</f>
        <v>0</v>
      </c>
      <c r="BD27" s="117">
        <f t="shared" ref="BD27:BD90" si="106">IFERROR(10000*D27,0)</f>
        <v>0</v>
      </c>
      <c r="BE27" s="117"/>
      <c r="BF27" s="117"/>
      <c r="BG27" s="117">
        <f t="shared" ref="BG27:BG90" si="107">IFERROR(-IF(AH27=$L$3,0,IF(AH27=$N$3,15*680*D27,IF(AH27=$P$3,30*680*D27,IF(AH27=0,50*680*D27,0)))),0)</f>
        <v>0</v>
      </c>
      <c r="BH27" s="117"/>
      <c r="BI27" s="117"/>
      <c r="BJ27" s="117"/>
    </row>
    <row r="28" spans="1:62" ht="18" hidden="1" customHeight="1" outlineLevel="1">
      <c r="A28" s="95"/>
      <c r="B28" s="132"/>
      <c r="C28" s="95"/>
      <c r="D28" s="95"/>
      <c r="E28" s="111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112"/>
      <c r="AJ28" s="113"/>
      <c r="AK28" s="113"/>
      <c r="AL28" s="114"/>
      <c r="AM28" s="95"/>
      <c r="BE28" s="117"/>
      <c r="BF28" s="117"/>
      <c r="BG28" s="117"/>
      <c r="BH28" s="117"/>
      <c r="BI28" s="117"/>
      <c r="BJ28" s="117"/>
    </row>
    <row r="29" spans="1:62" ht="18" customHeight="1" outlineLevel="1">
      <c r="A29" s="65">
        <v>11</v>
      </c>
      <c r="B29" s="64">
        <f>+'Kiểm hóa may'!B29</f>
        <v>0</v>
      </c>
      <c r="C29" s="68">
        <f>+'Kiểm hóa may'!C29</f>
        <v>0</v>
      </c>
      <c r="D29" s="80">
        <f t="shared" ref="D29" si="108">AQ29</f>
        <v>0</v>
      </c>
      <c r="E29" s="96">
        <f>IFERROR('Kiểm hóa may'!D29 + 'Bản sau là'!D29,0)</f>
        <v>0</v>
      </c>
      <c r="F29" s="97"/>
      <c r="G29" s="97"/>
      <c r="H29" s="97"/>
      <c r="I29" s="97"/>
      <c r="J29" s="97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>
        <f t="shared" ref="AD29:AD92" si="109">IFERROR(400*BF29,0)</f>
        <v>0</v>
      </c>
      <c r="AE29" s="93"/>
      <c r="AF29" s="93">
        <f t="shared" ref="AF29:AF92" si="110">IFERROR(SUM(F29:AC29)*0.2,0)</f>
        <v>0</v>
      </c>
      <c r="AG29" s="93"/>
      <c r="AH29" s="93" t="s">
        <v>179</v>
      </c>
      <c r="AI29" s="98">
        <f t="shared" ref="AI29:AI92" si="111">IFERROR(130*D29,0)</f>
        <v>0</v>
      </c>
      <c r="AJ29" s="81" cm="1">
        <f t="array" ref="AJ29">IFERROR(SUM(_xlfn._xlws.FILTER(E29:AI29,ISNUMBER(E29:AI29))),0)</f>
        <v>0</v>
      </c>
      <c r="AK29" s="81"/>
      <c r="AL29" s="99">
        <f t="shared" ref="AL29" si="112">IFERROR(AJ29*(1+AK29%),0)</f>
        <v>0</v>
      </c>
      <c r="AM29" s="116"/>
      <c r="AN29" s="84">
        <f t="shared" ref="AN29:AN92" si="113">IFERROR(SUM(E29:AC29)/D29,0)</f>
        <v>0</v>
      </c>
      <c r="AO29" s="138"/>
      <c r="AQ29" s="137"/>
      <c r="AR29" s="137"/>
      <c r="AS29" s="137"/>
      <c r="AT29" s="137"/>
      <c r="AU29" s="137"/>
      <c r="AV29" s="137"/>
      <c r="AY29" s="136">
        <f t="shared" ref="AY29:AY92" si="114">IFERROR((AQ29*20)/60,0)</f>
        <v>0</v>
      </c>
      <c r="AZ29" s="136">
        <f t="shared" ref="AZ29" si="115">IFERROR(AX29 + AY29 + BI29,0)</f>
        <v>0</v>
      </c>
      <c r="BA29" s="135">
        <f t="shared" ref="BA29" si="116">IFERROR(AZ29/8,0)</f>
        <v>0</v>
      </c>
      <c r="BB29" s="135">
        <f t="shared" ref="BB29" si="117">IFERROR(MAX(AQ29-BA29,0),0)</f>
        <v>0</v>
      </c>
      <c r="BD29" s="117">
        <f t="shared" ref="BD29:BD92" si="118">IFERROR(10000*D29,0)</f>
        <v>0</v>
      </c>
      <c r="BE29" s="117"/>
      <c r="BF29" s="117"/>
      <c r="BG29" s="117">
        <f t="shared" ref="BG29:BG92" si="119">IFERROR(-IF(AH29=$L$3,0,IF(AH29=$N$3,15*680*D29,IF(AH29=$P$3,30*680*D29,IF(AH29=0,50*680*D29,0)))),0)</f>
        <v>0</v>
      </c>
      <c r="BH29" s="117"/>
      <c r="BI29" s="117"/>
      <c r="BJ29" s="117"/>
    </row>
    <row r="30" spans="1:62" ht="18" hidden="1" customHeight="1" outlineLevel="1">
      <c r="A30" s="57"/>
      <c r="B30" s="132"/>
      <c r="C30" s="95"/>
      <c r="D30" s="95"/>
      <c r="E30" s="111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112"/>
      <c r="AJ30" s="113"/>
      <c r="AK30" s="113"/>
      <c r="AL30" s="114"/>
      <c r="AM30" s="95"/>
      <c r="BE30" s="117"/>
      <c r="BF30" s="117"/>
      <c r="BG30" s="117"/>
      <c r="BH30" s="117"/>
      <c r="BI30" s="117"/>
      <c r="BJ30" s="117"/>
    </row>
    <row r="31" spans="1:62" ht="18" customHeight="1" outlineLevel="1">
      <c r="A31" s="62">
        <v>12</v>
      </c>
      <c r="B31" s="64">
        <f>+'Kiểm hóa may'!B31</f>
        <v>0</v>
      </c>
      <c r="C31" s="68">
        <f>+'Kiểm hóa may'!C31</f>
        <v>0</v>
      </c>
      <c r="D31" s="80">
        <f t="shared" ref="D31" si="120">AQ31</f>
        <v>0</v>
      </c>
      <c r="E31" s="96">
        <f>IFERROR('Kiểm hóa may'!D31 + 'Bản sau là'!D31,0)</f>
        <v>0</v>
      </c>
      <c r="F31" s="97"/>
      <c r="G31" s="97"/>
      <c r="H31" s="97"/>
      <c r="I31" s="97"/>
      <c r="J31" s="97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>
        <f t="shared" ref="AD31:AD94" si="121">IFERROR(400*BF31,0)</f>
        <v>0</v>
      </c>
      <c r="AE31" s="93"/>
      <c r="AF31" s="93">
        <f t="shared" ref="AF31:AF94" si="122">IFERROR(SUM(F31:AC31)*0.2,0)</f>
        <v>0</v>
      </c>
      <c r="AG31" s="93"/>
      <c r="AH31" s="93" t="s">
        <v>179</v>
      </c>
      <c r="AI31" s="98">
        <f t="shared" ref="AI31:AI94" si="123">IFERROR(130*D31,0)</f>
        <v>0</v>
      </c>
      <c r="AJ31" s="81" cm="1">
        <f t="array" ref="AJ31">IFERROR(SUM(_xlfn._xlws.FILTER(E31:AI31,ISNUMBER(E31:AI31))),0)</f>
        <v>0</v>
      </c>
      <c r="AK31" s="81"/>
      <c r="AL31" s="99">
        <f t="shared" ref="AL31" si="124">IFERROR(AJ31*(1+AK31%),0)</f>
        <v>0</v>
      </c>
      <c r="AM31" s="116"/>
      <c r="AN31" s="84">
        <f t="shared" ref="AN31:AN94" si="125">IFERROR(SUM(E31:AC31)/D31,0)</f>
        <v>0</v>
      </c>
      <c r="AO31" s="138"/>
      <c r="AQ31" s="137"/>
      <c r="AR31" s="137"/>
      <c r="AS31" s="137"/>
      <c r="AT31" s="137"/>
      <c r="AU31" s="137"/>
      <c r="AV31" s="137"/>
      <c r="AY31" s="136">
        <f t="shared" ref="AY31:AY94" si="126">IFERROR((AQ31*20)/60,0)</f>
        <v>0</v>
      </c>
      <c r="AZ31" s="136">
        <f t="shared" ref="AZ31" si="127">IFERROR(AX31 + AY31 + BI31,0)</f>
        <v>0</v>
      </c>
      <c r="BA31" s="135">
        <f t="shared" ref="BA31" si="128">IFERROR(AZ31/8,0)</f>
        <v>0</v>
      </c>
      <c r="BB31" s="135">
        <f t="shared" ref="BB31" si="129">IFERROR(MAX(AQ31-BA31,0),0)</f>
        <v>0</v>
      </c>
      <c r="BD31" s="117">
        <f t="shared" ref="BD31:BD94" si="130">IFERROR(10000*D31,0)</f>
        <v>0</v>
      </c>
      <c r="BE31" s="117"/>
      <c r="BF31" s="117"/>
      <c r="BG31" s="117">
        <f t="shared" ref="BG31:BG94" si="131">IFERROR(-IF(AH31=$L$3,0,IF(AH31=$N$3,15*680*D31,IF(AH31=$P$3,30*680*D31,IF(AH31=0,50*680*D31,0)))),0)</f>
        <v>0</v>
      </c>
      <c r="BH31" s="117"/>
      <c r="BI31" s="117"/>
      <c r="BJ31" s="117"/>
    </row>
    <row r="32" spans="1:62" ht="18" hidden="1" customHeight="1" outlineLevel="1">
      <c r="A32" s="95"/>
      <c r="B32" s="132"/>
      <c r="C32" s="95"/>
      <c r="D32" s="95"/>
      <c r="E32" s="111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112"/>
      <c r="AJ32" s="113"/>
      <c r="AK32" s="113"/>
      <c r="AL32" s="114"/>
      <c r="AM32" s="95"/>
      <c r="BE32" s="117"/>
      <c r="BF32" s="117"/>
      <c r="BG32" s="117"/>
      <c r="BH32" s="117"/>
      <c r="BI32" s="117"/>
      <c r="BJ32" s="117"/>
    </row>
    <row r="33" spans="1:62" ht="18" customHeight="1" outlineLevel="1">
      <c r="A33" s="65">
        <v>13</v>
      </c>
      <c r="B33" s="64">
        <f>+'Kiểm hóa may'!B33</f>
        <v>0</v>
      </c>
      <c r="C33" s="68">
        <f>+'Kiểm hóa may'!C33</f>
        <v>0</v>
      </c>
      <c r="D33" s="80">
        <f t="shared" ref="D33" si="132">AQ33</f>
        <v>0</v>
      </c>
      <c r="E33" s="96">
        <f>IFERROR('Kiểm hóa may'!D33 + 'Bản sau là'!D33,0)</f>
        <v>0</v>
      </c>
      <c r="F33" s="97"/>
      <c r="G33" s="97"/>
      <c r="H33" s="97"/>
      <c r="I33" s="97"/>
      <c r="J33" s="97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>
        <f t="shared" ref="AD33:AD96" si="133">IFERROR(400*BF33,0)</f>
        <v>0</v>
      </c>
      <c r="AE33" s="93"/>
      <c r="AF33" s="93">
        <f t="shared" ref="AF33:AF96" si="134">IFERROR(SUM(F33:AC33)*0.2,0)</f>
        <v>0</v>
      </c>
      <c r="AG33" s="93"/>
      <c r="AH33" s="93" t="s">
        <v>179</v>
      </c>
      <c r="AI33" s="98">
        <f t="shared" ref="AI33:AI96" si="135">IFERROR(130*D33,0)</f>
        <v>0</v>
      </c>
      <c r="AJ33" s="81" cm="1">
        <f t="array" ref="AJ33">IFERROR(SUM(_xlfn._xlws.FILTER(E33:AI33,ISNUMBER(E33:AI33))),0)</f>
        <v>0</v>
      </c>
      <c r="AK33" s="81"/>
      <c r="AL33" s="99">
        <f t="shared" ref="AL33" si="136">IFERROR(AJ33*(1+AK33%),0)</f>
        <v>0</v>
      </c>
      <c r="AM33" s="116"/>
      <c r="AN33" s="84">
        <f t="shared" ref="AN33:AN96" si="137">IFERROR(SUM(E33:AC33)/D33,0)</f>
        <v>0</v>
      </c>
      <c r="AO33" s="138"/>
      <c r="AQ33" s="137"/>
      <c r="AR33" s="137"/>
      <c r="AS33" s="137"/>
      <c r="AT33" s="137"/>
      <c r="AU33" s="137"/>
      <c r="AV33" s="137"/>
      <c r="AY33" s="136">
        <f t="shared" ref="AY33:AY96" si="138">IFERROR((AQ33*20)/60,0)</f>
        <v>0</v>
      </c>
      <c r="AZ33" s="136">
        <f t="shared" ref="AZ33" si="139">IFERROR(AX33 + AY33 + BI33,0)</f>
        <v>0</v>
      </c>
      <c r="BA33" s="135">
        <f t="shared" ref="BA33" si="140">IFERROR(AZ33/8,0)</f>
        <v>0</v>
      </c>
      <c r="BB33" s="135">
        <f t="shared" ref="BB33" si="141">IFERROR(MAX(AQ33-BA33,0),0)</f>
        <v>0</v>
      </c>
      <c r="BD33" s="117">
        <f t="shared" ref="BD33:BD96" si="142">IFERROR(10000*D33,0)</f>
        <v>0</v>
      </c>
      <c r="BE33" s="117"/>
      <c r="BF33" s="117"/>
      <c r="BG33" s="117">
        <f t="shared" ref="BG33:BG96" si="143">IFERROR(-IF(AH33=$L$3,0,IF(AH33=$N$3,15*680*D33,IF(AH33=$P$3,30*680*D33,IF(AH33=0,50*680*D33,0)))),0)</f>
        <v>0</v>
      </c>
      <c r="BH33" s="117"/>
      <c r="BI33" s="117"/>
      <c r="BJ33" s="117"/>
    </row>
    <row r="34" spans="1:62" ht="18" hidden="1" customHeight="1" outlineLevel="1">
      <c r="A34" s="57"/>
      <c r="B34" s="132"/>
      <c r="C34" s="95"/>
      <c r="D34" s="95"/>
      <c r="E34" s="111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112"/>
      <c r="AJ34" s="113"/>
      <c r="AK34" s="113"/>
      <c r="AL34" s="114"/>
      <c r="AM34" s="95"/>
      <c r="BE34" s="117"/>
      <c r="BF34" s="117"/>
      <c r="BG34" s="117"/>
      <c r="BH34" s="117"/>
      <c r="BI34" s="117"/>
      <c r="BJ34" s="117"/>
    </row>
    <row r="35" spans="1:62" ht="18" customHeight="1" outlineLevel="1">
      <c r="A35" s="62">
        <v>14</v>
      </c>
      <c r="B35" s="64">
        <f>+'Kiểm hóa may'!B35</f>
        <v>0</v>
      </c>
      <c r="C35" s="68">
        <f>+'Kiểm hóa may'!C35</f>
        <v>0</v>
      </c>
      <c r="D35" s="80">
        <f t="shared" ref="D35" si="144">AQ35</f>
        <v>0</v>
      </c>
      <c r="E35" s="96">
        <f>IFERROR('Kiểm hóa may'!D35 + 'Bản sau là'!D35,0)</f>
        <v>0</v>
      </c>
      <c r="F35" s="97"/>
      <c r="G35" s="97"/>
      <c r="H35" s="97"/>
      <c r="I35" s="97"/>
      <c r="J35" s="97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>
        <f t="shared" ref="AD35:AD98" si="145">IFERROR(400*BF35,0)</f>
        <v>0</v>
      </c>
      <c r="AE35" s="93"/>
      <c r="AF35" s="93">
        <f t="shared" ref="AF35:AF98" si="146">IFERROR(SUM(F35:AC35)*0.2,0)</f>
        <v>0</v>
      </c>
      <c r="AG35" s="93"/>
      <c r="AH35" s="93" t="s">
        <v>179</v>
      </c>
      <c r="AI35" s="98">
        <f t="shared" ref="AI35:AI98" si="147">IFERROR(130*D35,0)</f>
        <v>0</v>
      </c>
      <c r="AJ35" s="81" cm="1">
        <f t="array" ref="AJ35">IFERROR(SUM(_xlfn._xlws.FILTER(E35:AI35,ISNUMBER(E35:AI35))),0)</f>
        <v>0</v>
      </c>
      <c r="AK35" s="81"/>
      <c r="AL35" s="99">
        <f t="shared" ref="AL35" si="148">IFERROR(AJ35*(1+AK35%),0)</f>
        <v>0</v>
      </c>
      <c r="AM35" s="116"/>
      <c r="AN35" s="84">
        <f t="shared" ref="AN35:AN98" si="149">IFERROR(SUM(E35:AC35)/D35,0)</f>
        <v>0</v>
      </c>
      <c r="AO35" s="138"/>
      <c r="AQ35" s="137"/>
      <c r="AR35" s="137"/>
      <c r="AS35" s="137"/>
      <c r="AT35" s="137"/>
      <c r="AU35" s="137"/>
      <c r="AV35" s="137"/>
      <c r="AY35" s="136">
        <f t="shared" ref="AY35:AY98" si="150">IFERROR((AQ35*20)/60,0)</f>
        <v>0</v>
      </c>
      <c r="AZ35" s="136">
        <f t="shared" ref="AZ35" si="151">IFERROR(AX35 + AY35 + BI35,0)</f>
        <v>0</v>
      </c>
      <c r="BA35" s="135">
        <f t="shared" ref="BA35" si="152">IFERROR(AZ35/8,0)</f>
        <v>0</v>
      </c>
      <c r="BB35" s="135">
        <f t="shared" ref="BB35" si="153">IFERROR(MAX(AQ35-BA35,0),0)</f>
        <v>0</v>
      </c>
      <c r="BD35" s="117">
        <f t="shared" ref="BD35:BD98" si="154">IFERROR(10000*D35,0)</f>
        <v>0</v>
      </c>
      <c r="BE35" s="117"/>
      <c r="BF35" s="117"/>
      <c r="BG35" s="117">
        <f t="shared" ref="BG35:BG98" si="155">IFERROR(-IF(AH35=$L$3,0,IF(AH35=$N$3,15*680*D35,IF(AH35=$P$3,30*680*D35,IF(AH35=0,50*680*D35,0)))),0)</f>
        <v>0</v>
      </c>
      <c r="BH35" s="117"/>
      <c r="BI35" s="117"/>
      <c r="BJ35" s="117"/>
    </row>
    <row r="36" spans="1:62" ht="18" hidden="1" customHeight="1" outlineLevel="1">
      <c r="A36" s="95"/>
      <c r="B36" s="132"/>
      <c r="C36" s="95"/>
      <c r="D36" s="95"/>
      <c r="E36" s="111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112"/>
      <c r="AJ36" s="113"/>
      <c r="AK36" s="113"/>
      <c r="AL36" s="114"/>
      <c r="AM36" s="95"/>
      <c r="BE36" s="117"/>
      <c r="BF36" s="117"/>
      <c r="BG36" s="117"/>
      <c r="BH36" s="117"/>
      <c r="BI36" s="117"/>
      <c r="BJ36" s="117"/>
    </row>
    <row r="37" spans="1:62" ht="18" customHeight="1" outlineLevel="1">
      <c r="A37" s="65">
        <v>15</v>
      </c>
      <c r="B37" s="64">
        <f>+'Kiểm hóa may'!B37</f>
        <v>0</v>
      </c>
      <c r="C37" s="68">
        <f>+'Kiểm hóa may'!C37</f>
        <v>0</v>
      </c>
      <c r="D37" s="80">
        <f t="shared" ref="D37" si="156">AQ37</f>
        <v>0</v>
      </c>
      <c r="E37" s="96">
        <f>IFERROR('Kiểm hóa may'!D37 + 'Bản sau là'!D37,0)</f>
        <v>0</v>
      </c>
      <c r="F37" s="97"/>
      <c r="G37" s="97"/>
      <c r="H37" s="97"/>
      <c r="I37" s="97"/>
      <c r="J37" s="97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>
        <f t="shared" ref="AD37:AD100" si="157">IFERROR(400*BF37,0)</f>
        <v>0</v>
      </c>
      <c r="AE37" s="93"/>
      <c r="AF37" s="93">
        <f t="shared" ref="AF37:AF100" si="158">IFERROR(SUM(F37:AC37)*0.2,0)</f>
        <v>0</v>
      </c>
      <c r="AG37" s="93"/>
      <c r="AH37" s="93" t="s">
        <v>179</v>
      </c>
      <c r="AI37" s="98">
        <f t="shared" ref="AI37:AI100" si="159">IFERROR(130*D37,0)</f>
        <v>0</v>
      </c>
      <c r="AJ37" s="81" cm="1">
        <f t="array" ref="AJ37">IFERROR(SUM(_xlfn._xlws.FILTER(E37:AI37,ISNUMBER(E37:AI37))),0)</f>
        <v>0</v>
      </c>
      <c r="AK37" s="81"/>
      <c r="AL37" s="99">
        <f t="shared" ref="AL37" si="160">IFERROR(AJ37*(1+AK37%),0)</f>
        <v>0</v>
      </c>
      <c r="AM37" s="116"/>
      <c r="AN37" s="84">
        <f t="shared" ref="AN37:AN100" si="161">IFERROR(SUM(E37:AC37)/D37,0)</f>
        <v>0</v>
      </c>
      <c r="AO37" s="138"/>
      <c r="AQ37" s="137"/>
      <c r="AR37" s="137"/>
      <c r="AS37" s="137"/>
      <c r="AT37" s="137"/>
      <c r="AU37" s="137"/>
      <c r="AV37" s="137"/>
      <c r="AY37" s="136">
        <f t="shared" ref="AY37:AY100" si="162">IFERROR((AQ37*20)/60,0)</f>
        <v>0</v>
      </c>
      <c r="AZ37" s="136">
        <f t="shared" ref="AZ37" si="163">IFERROR(AX37 + AY37 + BI37,0)</f>
        <v>0</v>
      </c>
      <c r="BA37" s="135">
        <f t="shared" ref="BA37" si="164">IFERROR(AZ37/8,0)</f>
        <v>0</v>
      </c>
      <c r="BB37" s="135">
        <f t="shared" ref="BB37" si="165">IFERROR(MAX(AQ37-BA37,0),0)</f>
        <v>0</v>
      </c>
      <c r="BD37" s="117">
        <f t="shared" ref="BD37:BD100" si="166">IFERROR(10000*D37,0)</f>
        <v>0</v>
      </c>
      <c r="BE37" s="117"/>
      <c r="BF37" s="117"/>
      <c r="BG37" s="117">
        <f t="shared" ref="BG37:BG100" si="167">IFERROR(-IF(AH37=$L$3,0,IF(AH37=$N$3,15*680*D37,IF(AH37=$P$3,30*680*D37,IF(AH37=0,50*680*D37,0)))),0)</f>
        <v>0</v>
      </c>
      <c r="BH37" s="117"/>
      <c r="BI37" s="117"/>
      <c r="BJ37" s="117"/>
    </row>
    <row r="38" spans="1:62" ht="18" hidden="1" customHeight="1" outlineLevel="1">
      <c r="A38" s="57"/>
      <c r="B38" s="132"/>
      <c r="C38" s="95"/>
      <c r="D38" s="95"/>
      <c r="E38" s="111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112"/>
      <c r="AJ38" s="113"/>
      <c r="AK38" s="113"/>
      <c r="AL38" s="114"/>
      <c r="AM38" s="95"/>
      <c r="BE38" s="117"/>
      <c r="BF38" s="117"/>
      <c r="BG38" s="117"/>
      <c r="BH38" s="117"/>
      <c r="BI38" s="117"/>
      <c r="BJ38" s="117"/>
    </row>
    <row r="39" spans="1:62" ht="18" customHeight="1" outlineLevel="1">
      <c r="A39" s="62">
        <v>16</v>
      </c>
      <c r="B39" s="64">
        <f>+'Kiểm hóa may'!B39</f>
        <v>0</v>
      </c>
      <c r="C39" s="68">
        <f>+'Kiểm hóa may'!C39</f>
        <v>0</v>
      </c>
      <c r="D39" s="80">
        <f t="shared" ref="D39" si="168">AQ39</f>
        <v>0</v>
      </c>
      <c r="E39" s="96">
        <f>IFERROR('Kiểm hóa may'!D39 + 'Bản sau là'!D39,0)</f>
        <v>0</v>
      </c>
      <c r="F39" s="97"/>
      <c r="G39" s="97"/>
      <c r="H39" s="97"/>
      <c r="I39" s="97"/>
      <c r="J39" s="97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>
        <f t="shared" ref="AD39:AD102" si="169">IFERROR(400*BF39,0)</f>
        <v>0</v>
      </c>
      <c r="AE39" s="93"/>
      <c r="AF39" s="93">
        <f t="shared" ref="AF39:AF102" si="170">IFERROR(SUM(F39:AC39)*0.2,0)</f>
        <v>0</v>
      </c>
      <c r="AG39" s="93"/>
      <c r="AH39" s="93" t="s">
        <v>179</v>
      </c>
      <c r="AI39" s="98">
        <f t="shared" ref="AI39:AI102" si="171">IFERROR(130*D39,0)</f>
        <v>0</v>
      </c>
      <c r="AJ39" s="81" cm="1">
        <f t="array" ref="AJ39">IFERROR(SUM(_xlfn._xlws.FILTER(E39:AI39,ISNUMBER(E39:AI39))),0)</f>
        <v>0</v>
      </c>
      <c r="AK39" s="81"/>
      <c r="AL39" s="99">
        <f t="shared" ref="AL39" si="172">IFERROR(AJ39*(1+AK39%),0)</f>
        <v>0</v>
      </c>
      <c r="AM39" s="116"/>
      <c r="AN39" s="84">
        <f t="shared" ref="AN39:AN102" si="173">IFERROR(SUM(E39:AC39)/D39,0)</f>
        <v>0</v>
      </c>
      <c r="AO39" s="138"/>
      <c r="AQ39" s="137"/>
      <c r="AR39" s="137"/>
      <c r="AS39" s="137"/>
      <c r="AT39" s="137"/>
      <c r="AU39" s="137"/>
      <c r="AV39" s="137"/>
      <c r="AY39" s="136">
        <f t="shared" ref="AY39:AY102" si="174">IFERROR((AQ39*20)/60,0)</f>
        <v>0</v>
      </c>
      <c r="AZ39" s="136">
        <f t="shared" ref="AZ39" si="175">IFERROR(AX39 + AY39 + BI39,0)</f>
        <v>0</v>
      </c>
      <c r="BA39" s="135">
        <f t="shared" ref="BA39" si="176">IFERROR(AZ39/8,0)</f>
        <v>0</v>
      </c>
      <c r="BB39" s="135">
        <f t="shared" ref="BB39" si="177">IFERROR(MAX(AQ39-BA39,0),0)</f>
        <v>0</v>
      </c>
      <c r="BD39" s="117">
        <f t="shared" ref="BD39:BD102" si="178">IFERROR(10000*D39,0)</f>
        <v>0</v>
      </c>
      <c r="BE39" s="117"/>
      <c r="BF39" s="117"/>
      <c r="BG39" s="117">
        <f t="shared" ref="BG39:BG102" si="179">IFERROR(-IF(AH39=$L$3,0,IF(AH39=$N$3,15*680*D39,IF(AH39=$P$3,30*680*D39,IF(AH39=0,50*680*D39,0)))),0)</f>
        <v>0</v>
      </c>
      <c r="BH39" s="117"/>
      <c r="BI39" s="117"/>
      <c r="BJ39" s="117"/>
    </row>
    <row r="40" spans="1:62" ht="18" hidden="1" customHeight="1" outlineLevel="1">
      <c r="A40" s="95"/>
      <c r="B40" s="132"/>
      <c r="C40" s="95"/>
      <c r="D40" s="95"/>
      <c r="E40" s="111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112"/>
      <c r="AJ40" s="113"/>
      <c r="AK40" s="113"/>
      <c r="AL40" s="114"/>
      <c r="AM40" s="95"/>
      <c r="BE40" s="117"/>
      <c r="BF40" s="117"/>
      <c r="BG40" s="117"/>
      <c r="BH40" s="117"/>
      <c r="BI40" s="117"/>
      <c r="BJ40" s="117"/>
    </row>
    <row r="41" spans="1:62" ht="18" customHeight="1" outlineLevel="1">
      <c r="A41" s="65">
        <v>17</v>
      </c>
      <c r="B41" s="64">
        <f>+'Kiểm hóa may'!B41</f>
        <v>0</v>
      </c>
      <c r="C41" s="68">
        <f>+'Kiểm hóa may'!C41</f>
        <v>0</v>
      </c>
      <c r="D41" s="80">
        <f t="shared" ref="D41" si="180">AQ41</f>
        <v>0</v>
      </c>
      <c r="E41" s="96">
        <f>IFERROR('Kiểm hóa may'!D41 + 'Bản sau là'!D41,0)</f>
        <v>0</v>
      </c>
      <c r="F41" s="97"/>
      <c r="G41" s="97"/>
      <c r="H41" s="97"/>
      <c r="I41" s="97"/>
      <c r="J41" s="97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>
        <f t="shared" ref="AD41:AD104" si="181">IFERROR(400*BF41,0)</f>
        <v>0</v>
      </c>
      <c r="AE41" s="93"/>
      <c r="AF41" s="93">
        <f t="shared" ref="AF41:AF104" si="182">IFERROR(SUM(F41:AC41)*0.2,0)</f>
        <v>0</v>
      </c>
      <c r="AG41" s="93"/>
      <c r="AH41" s="93" t="s">
        <v>179</v>
      </c>
      <c r="AI41" s="98">
        <f t="shared" ref="AI41:AI104" si="183">IFERROR(130*D41,0)</f>
        <v>0</v>
      </c>
      <c r="AJ41" s="81" cm="1">
        <f t="array" ref="AJ41">IFERROR(SUM(_xlfn._xlws.FILTER(E41:AI41,ISNUMBER(E41:AI41))),0)</f>
        <v>0</v>
      </c>
      <c r="AK41" s="81"/>
      <c r="AL41" s="99">
        <f t="shared" ref="AL41" si="184">IFERROR(AJ41*(1+AK41%),0)</f>
        <v>0</v>
      </c>
      <c r="AM41" s="116"/>
      <c r="AN41" s="84">
        <f t="shared" ref="AN41:AN104" si="185">IFERROR(SUM(E41:AC41)/D41,0)</f>
        <v>0</v>
      </c>
      <c r="AO41" s="138"/>
      <c r="AQ41" s="137"/>
      <c r="AR41" s="137"/>
      <c r="AS41" s="137"/>
      <c r="AT41" s="137"/>
      <c r="AU41" s="137"/>
      <c r="AV41" s="137"/>
      <c r="AY41" s="136">
        <f t="shared" ref="AY41:AY104" si="186">IFERROR((AQ41*20)/60,0)</f>
        <v>0</v>
      </c>
      <c r="AZ41" s="136">
        <f t="shared" ref="AZ41" si="187">IFERROR(AX41 + AY41 + BI41,0)</f>
        <v>0</v>
      </c>
      <c r="BA41" s="135">
        <f t="shared" ref="BA41" si="188">IFERROR(AZ41/8,0)</f>
        <v>0</v>
      </c>
      <c r="BB41" s="135">
        <f t="shared" ref="BB41" si="189">IFERROR(MAX(AQ41-BA41,0),0)</f>
        <v>0</v>
      </c>
      <c r="BD41" s="117">
        <f t="shared" ref="BD41:BD104" si="190">IFERROR(10000*D41,0)</f>
        <v>0</v>
      </c>
      <c r="BE41" s="117"/>
      <c r="BF41" s="117"/>
      <c r="BG41" s="117">
        <f t="shared" ref="BG41:BG104" si="191">IFERROR(-IF(AH41=$L$3,0,IF(AH41=$N$3,15*680*D41,IF(AH41=$P$3,30*680*D41,IF(AH41=0,50*680*D41,0)))),0)</f>
        <v>0</v>
      </c>
      <c r="BH41" s="117"/>
      <c r="BI41" s="117"/>
      <c r="BJ41" s="117"/>
    </row>
    <row r="42" spans="1:62" ht="18" hidden="1" customHeight="1" outlineLevel="1">
      <c r="A42" s="57"/>
      <c r="B42" s="132"/>
      <c r="C42" s="95"/>
      <c r="D42" s="95"/>
      <c r="E42" s="111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112"/>
      <c r="AJ42" s="113"/>
      <c r="AK42" s="113"/>
      <c r="AL42" s="114"/>
      <c r="AM42" s="95"/>
      <c r="BE42" s="117"/>
      <c r="BF42" s="117"/>
      <c r="BG42" s="117"/>
      <c r="BH42" s="117"/>
      <c r="BI42" s="117"/>
      <c r="BJ42" s="117"/>
    </row>
    <row r="43" spans="1:62" ht="18" customHeight="1" outlineLevel="1">
      <c r="A43" s="62">
        <v>18</v>
      </c>
      <c r="B43" s="64">
        <f>+'Kiểm hóa may'!B43</f>
        <v>0</v>
      </c>
      <c r="C43" s="68">
        <f>+'Kiểm hóa may'!C43</f>
        <v>0</v>
      </c>
      <c r="D43" s="80">
        <f t="shared" ref="D43" si="192">AQ43</f>
        <v>0</v>
      </c>
      <c r="E43" s="96">
        <f>IFERROR('Kiểm hóa may'!D43 + 'Bản sau là'!D43,0)</f>
        <v>0</v>
      </c>
      <c r="F43" s="97"/>
      <c r="G43" s="97"/>
      <c r="H43" s="97"/>
      <c r="I43" s="97"/>
      <c r="J43" s="97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>
        <f t="shared" ref="AD43:AD106" si="193">IFERROR(400*BF43,0)</f>
        <v>0</v>
      </c>
      <c r="AE43" s="93"/>
      <c r="AF43" s="93">
        <f t="shared" ref="AF43:AF106" si="194">IFERROR(SUM(F43:AC43)*0.2,0)</f>
        <v>0</v>
      </c>
      <c r="AG43" s="93"/>
      <c r="AH43" s="93" t="s">
        <v>179</v>
      </c>
      <c r="AI43" s="98">
        <f t="shared" ref="AI43:AI106" si="195">IFERROR(130*D43,0)</f>
        <v>0</v>
      </c>
      <c r="AJ43" s="81" cm="1">
        <f t="array" ref="AJ43">IFERROR(SUM(_xlfn._xlws.FILTER(E43:AI43,ISNUMBER(E43:AI43))),0)</f>
        <v>0</v>
      </c>
      <c r="AK43" s="81"/>
      <c r="AL43" s="99">
        <f t="shared" ref="AL43" si="196">IFERROR(AJ43*(1+AK43%),0)</f>
        <v>0</v>
      </c>
      <c r="AM43" s="116"/>
      <c r="AN43" s="84">
        <f t="shared" ref="AN43:AN106" si="197">IFERROR(SUM(E43:AC43)/D43,0)</f>
        <v>0</v>
      </c>
      <c r="AO43" s="138"/>
      <c r="AQ43" s="137"/>
      <c r="AR43" s="137"/>
      <c r="AS43" s="137"/>
      <c r="AT43" s="137"/>
      <c r="AU43" s="137"/>
      <c r="AV43" s="137"/>
      <c r="AY43" s="136">
        <f t="shared" ref="AY43:AY106" si="198">IFERROR((AQ43*20)/60,0)</f>
        <v>0</v>
      </c>
      <c r="AZ43" s="136">
        <f t="shared" ref="AZ43" si="199">IFERROR(AX43 + AY43 + BI43,0)</f>
        <v>0</v>
      </c>
      <c r="BA43" s="135">
        <f t="shared" ref="BA43" si="200">IFERROR(AZ43/8,0)</f>
        <v>0</v>
      </c>
      <c r="BB43" s="135">
        <f t="shared" ref="BB43" si="201">IFERROR(MAX(AQ43-BA43,0),0)</f>
        <v>0</v>
      </c>
      <c r="BD43" s="117">
        <f t="shared" ref="BD43:BD106" si="202">IFERROR(10000*D43,0)</f>
        <v>0</v>
      </c>
      <c r="BE43" s="117"/>
      <c r="BF43" s="117"/>
      <c r="BG43" s="117">
        <f t="shared" ref="BG43:BG106" si="203">IFERROR(-IF(AH43=$L$3,0,IF(AH43=$N$3,15*680*D43,IF(AH43=$P$3,30*680*D43,IF(AH43=0,50*680*D43,0)))),0)</f>
        <v>0</v>
      </c>
      <c r="BH43" s="117"/>
      <c r="BI43" s="117"/>
      <c r="BJ43" s="117"/>
    </row>
    <row r="44" spans="1:62" ht="18" hidden="1" customHeight="1" outlineLevel="1">
      <c r="A44" s="95"/>
      <c r="B44" s="132"/>
      <c r="C44" s="95"/>
      <c r="D44" s="95"/>
      <c r="E44" s="111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G44" s="95"/>
      <c r="AH44" s="95"/>
      <c r="AI44" s="112"/>
      <c r="AJ44" s="113"/>
      <c r="AK44" s="113"/>
      <c r="AL44" s="114"/>
      <c r="AM44" s="95"/>
      <c r="BE44" s="117"/>
      <c r="BF44" s="117"/>
      <c r="BG44" s="117"/>
      <c r="BH44" s="117"/>
      <c r="BI44" s="117"/>
      <c r="BJ44" s="117"/>
    </row>
    <row r="45" spans="1:62" ht="18" customHeight="1" outlineLevel="1">
      <c r="A45" s="65">
        <v>19</v>
      </c>
      <c r="B45" s="64">
        <f>+'Kiểm hóa may'!B45</f>
        <v>0</v>
      </c>
      <c r="C45" s="68">
        <f>+'Kiểm hóa may'!C45</f>
        <v>0</v>
      </c>
      <c r="D45" s="80">
        <f t="shared" ref="D45" si="204">AQ45</f>
        <v>0</v>
      </c>
      <c r="E45" s="96">
        <f>IFERROR('Kiểm hóa may'!D45 + 'Bản sau là'!D45,0)</f>
        <v>0</v>
      </c>
      <c r="F45" s="97"/>
      <c r="G45" s="97"/>
      <c r="H45" s="97"/>
      <c r="I45" s="97"/>
      <c r="J45" s="97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>
        <f t="shared" ref="AD45:AD108" si="205">IFERROR(400*BF45,0)</f>
        <v>0</v>
      </c>
      <c r="AE45" s="93"/>
      <c r="AF45" s="93">
        <f t="shared" ref="AF45:AF108" si="206">IFERROR(SUM(F45:AC45)*0.2,0)</f>
        <v>0</v>
      </c>
      <c r="AG45" s="93"/>
      <c r="AH45" s="93" t="s">
        <v>179</v>
      </c>
      <c r="AI45" s="98">
        <f t="shared" ref="AI45:AI108" si="207">IFERROR(130*D45,0)</f>
        <v>0</v>
      </c>
      <c r="AJ45" s="81" cm="1">
        <f t="array" ref="AJ45">IFERROR(SUM(_xlfn._xlws.FILTER(E45:AI45,ISNUMBER(E45:AI45))),0)</f>
        <v>0</v>
      </c>
      <c r="AK45" s="81"/>
      <c r="AL45" s="99">
        <f t="shared" ref="AL45" si="208">IFERROR(AJ45*(1+AK45%),0)</f>
        <v>0</v>
      </c>
      <c r="AM45" s="116"/>
      <c r="AN45" s="84">
        <f t="shared" ref="AN45:AN108" si="209">IFERROR(SUM(E45:AC45)/D45,0)</f>
        <v>0</v>
      </c>
      <c r="AO45" s="138"/>
      <c r="AQ45" s="137"/>
      <c r="AR45" s="137"/>
      <c r="AS45" s="137"/>
      <c r="AT45" s="137"/>
      <c r="AU45" s="137"/>
      <c r="AV45" s="137"/>
      <c r="AY45" s="136">
        <f t="shared" ref="AY45:AY108" si="210">IFERROR((AQ45*20)/60,0)</f>
        <v>0</v>
      </c>
      <c r="AZ45" s="136">
        <f t="shared" ref="AZ45" si="211">IFERROR(AX45 + AY45 + BI45,0)</f>
        <v>0</v>
      </c>
      <c r="BA45" s="135">
        <f t="shared" ref="BA45" si="212">IFERROR(AZ45/8,0)</f>
        <v>0</v>
      </c>
      <c r="BB45" s="135">
        <f t="shared" ref="BB45" si="213">IFERROR(MAX(AQ45-BA45,0),0)</f>
        <v>0</v>
      </c>
      <c r="BD45" s="117">
        <f t="shared" ref="BD45:BD108" si="214">IFERROR(10000*D45,0)</f>
        <v>0</v>
      </c>
      <c r="BE45" s="117"/>
      <c r="BF45" s="117"/>
      <c r="BG45" s="117">
        <f t="shared" ref="BG45:BG108" si="215">IFERROR(-IF(AH45=$L$3,0,IF(AH45=$N$3,15*680*D45,IF(AH45=$P$3,30*680*D45,IF(AH45=0,50*680*D45,0)))),0)</f>
        <v>0</v>
      </c>
      <c r="BH45" s="117"/>
      <c r="BI45" s="117"/>
      <c r="BJ45" s="117"/>
    </row>
    <row r="46" spans="1:62" ht="18" hidden="1" customHeight="1" outlineLevel="1">
      <c r="A46" s="57"/>
      <c r="B46" s="132"/>
      <c r="C46" s="95"/>
      <c r="D46" s="95"/>
      <c r="E46" s="111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G46" s="95"/>
      <c r="AH46" s="95"/>
      <c r="AI46" s="112"/>
      <c r="AJ46" s="113"/>
      <c r="AK46" s="113"/>
      <c r="AL46" s="114"/>
      <c r="AM46" s="95"/>
      <c r="BE46" s="117"/>
      <c r="BF46" s="117"/>
      <c r="BG46" s="117"/>
      <c r="BH46" s="117"/>
      <c r="BI46" s="117"/>
      <c r="BJ46" s="117"/>
    </row>
    <row r="47" spans="1:62" ht="18" customHeight="1" outlineLevel="1">
      <c r="A47" s="62">
        <v>20</v>
      </c>
      <c r="B47" s="64">
        <f>+'Kiểm hóa may'!B47</f>
        <v>0</v>
      </c>
      <c r="C47" s="68">
        <f>+'Kiểm hóa may'!C47</f>
        <v>0</v>
      </c>
      <c r="D47" s="80">
        <f t="shared" ref="D47" si="216">AQ47</f>
        <v>0</v>
      </c>
      <c r="E47" s="96">
        <f>IFERROR('Kiểm hóa may'!D47 + 'Bản sau là'!D47,0)</f>
        <v>0</v>
      </c>
      <c r="F47" s="97"/>
      <c r="G47" s="97"/>
      <c r="H47" s="97"/>
      <c r="I47" s="97"/>
      <c r="J47" s="97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>
        <f t="shared" ref="AD47:AD110" si="217">IFERROR(400*BF47,0)</f>
        <v>0</v>
      </c>
      <c r="AE47" s="93"/>
      <c r="AF47" s="93">
        <f t="shared" ref="AF47:AF110" si="218">IFERROR(SUM(F47:AC47)*0.2,0)</f>
        <v>0</v>
      </c>
      <c r="AG47" s="93"/>
      <c r="AH47" s="93" t="s">
        <v>179</v>
      </c>
      <c r="AI47" s="98">
        <f t="shared" ref="AI47:AI110" si="219">IFERROR(130*D47,0)</f>
        <v>0</v>
      </c>
      <c r="AJ47" s="81" cm="1">
        <f t="array" ref="AJ47">IFERROR(SUM(_xlfn._xlws.FILTER(E47:AI47,ISNUMBER(E47:AI47))),0)</f>
        <v>0</v>
      </c>
      <c r="AK47" s="81"/>
      <c r="AL47" s="99">
        <f t="shared" ref="AL47" si="220">IFERROR(AJ47*(1+AK47%),0)</f>
        <v>0</v>
      </c>
      <c r="AM47" s="116"/>
      <c r="AN47" s="84">
        <f t="shared" ref="AN47:AN110" si="221">IFERROR(SUM(E47:AC47)/D47,0)</f>
        <v>0</v>
      </c>
      <c r="AO47" s="138"/>
      <c r="AQ47" s="137"/>
      <c r="AR47" s="137"/>
      <c r="AS47" s="137"/>
      <c r="AT47" s="137"/>
      <c r="AU47" s="137"/>
      <c r="AV47" s="137"/>
      <c r="AY47" s="136">
        <f t="shared" ref="AY47:AY110" si="222">IFERROR((AQ47*20)/60,0)</f>
        <v>0</v>
      </c>
      <c r="AZ47" s="136">
        <f t="shared" ref="AZ47" si="223">IFERROR(AX47 + AY47 + BI47,0)</f>
        <v>0</v>
      </c>
      <c r="BA47" s="135">
        <f t="shared" ref="BA47" si="224">IFERROR(AZ47/8,0)</f>
        <v>0</v>
      </c>
      <c r="BB47" s="135">
        <f t="shared" ref="BB47" si="225">IFERROR(MAX(AQ47-BA47,0),0)</f>
        <v>0</v>
      </c>
      <c r="BD47" s="117">
        <f t="shared" ref="BD47:BD110" si="226">IFERROR(10000*D47,0)</f>
        <v>0</v>
      </c>
      <c r="BE47" s="117"/>
      <c r="BF47" s="117"/>
      <c r="BG47" s="117">
        <f t="shared" ref="BG47:BG110" si="227">IFERROR(-IF(AH47=$L$3,0,IF(AH47=$N$3,15*680*D47,IF(AH47=$P$3,30*680*D47,IF(AH47=0,50*680*D47,0)))),0)</f>
        <v>0</v>
      </c>
      <c r="BH47" s="117"/>
      <c r="BI47" s="117"/>
      <c r="BJ47" s="117"/>
    </row>
    <row r="48" spans="1:62" ht="18" hidden="1" customHeight="1" outlineLevel="1">
      <c r="A48" s="95"/>
      <c r="B48" s="132"/>
      <c r="C48" s="95"/>
      <c r="D48" s="95"/>
      <c r="E48" s="111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112"/>
      <c r="AJ48" s="113"/>
      <c r="AK48" s="113"/>
      <c r="AL48" s="114"/>
      <c r="AM48" s="95"/>
      <c r="BE48" s="117"/>
      <c r="BF48" s="117"/>
      <c r="BG48" s="117"/>
      <c r="BH48" s="117"/>
      <c r="BI48" s="117"/>
      <c r="BJ48" s="117"/>
    </row>
    <row r="49" spans="1:62" ht="18" customHeight="1" outlineLevel="1">
      <c r="A49" s="65">
        <v>21</v>
      </c>
      <c r="B49" s="64">
        <f>+'Kiểm hóa may'!B49</f>
        <v>0</v>
      </c>
      <c r="C49" s="68">
        <f>+'Kiểm hóa may'!C49</f>
        <v>0</v>
      </c>
      <c r="D49" s="80">
        <f t="shared" ref="D49" si="228">AQ49</f>
        <v>0</v>
      </c>
      <c r="E49" s="96">
        <f>IFERROR('Kiểm hóa may'!D49 + 'Bản sau là'!D49,0)</f>
        <v>0</v>
      </c>
      <c r="F49" s="97"/>
      <c r="G49" s="97"/>
      <c r="H49" s="97"/>
      <c r="I49" s="97"/>
      <c r="J49" s="97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>
        <f t="shared" ref="AD49:AD112" si="229">IFERROR(400*BF49,0)</f>
        <v>0</v>
      </c>
      <c r="AE49" s="93"/>
      <c r="AF49" s="93">
        <f t="shared" ref="AF49:AF112" si="230">IFERROR(SUM(F49:AC49)*0.2,0)</f>
        <v>0</v>
      </c>
      <c r="AG49" s="93"/>
      <c r="AH49" s="93" t="s">
        <v>179</v>
      </c>
      <c r="AI49" s="98">
        <f t="shared" ref="AI49:AI112" si="231">IFERROR(130*D49,0)</f>
        <v>0</v>
      </c>
      <c r="AJ49" s="81" cm="1">
        <f t="array" ref="AJ49">IFERROR(SUM(_xlfn._xlws.FILTER(E49:AI49,ISNUMBER(E49:AI49))),0)</f>
        <v>0</v>
      </c>
      <c r="AK49" s="81"/>
      <c r="AL49" s="99">
        <f t="shared" ref="AL49" si="232">IFERROR(AJ49*(1+AK49%),0)</f>
        <v>0</v>
      </c>
      <c r="AM49" s="116"/>
      <c r="AN49" s="84">
        <f t="shared" ref="AN49:AN112" si="233">IFERROR(SUM(E49:AC49)/D49,0)</f>
        <v>0</v>
      </c>
      <c r="AO49" s="138"/>
      <c r="AQ49" s="137"/>
      <c r="AR49" s="137"/>
      <c r="AS49" s="137"/>
      <c r="AT49" s="137"/>
      <c r="AU49" s="137"/>
      <c r="AV49" s="137"/>
      <c r="AY49" s="136">
        <f t="shared" ref="AY49:AY112" si="234">IFERROR((AQ49*20)/60,0)</f>
        <v>0</v>
      </c>
      <c r="AZ49" s="136">
        <f t="shared" ref="AZ49" si="235">IFERROR(AX49 + AY49 + BI49,0)</f>
        <v>0</v>
      </c>
      <c r="BA49" s="135">
        <f t="shared" ref="BA49" si="236">IFERROR(AZ49/8,0)</f>
        <v>0</v>
      </c>
      <c r="BB49" s="135">
        <f t="shared" ref="BB49" si="237">IFERROR(MAX(AQ49-BA49,0),0)</f>
        <v>0</v>
      </c>
      <c r="BD49" s="117">
        <f t="shared" ref="BD49:BD112" si="238">IFERROR(10000*D49,0)</f>
        <v>0</v>
      </c>
      <c r="BE49" s="117"/>
      <c r="BF49" s="117"/>
      <c r="BG49" s="117">
        <f t="shared" ref="BG49:BG112" si="239">IFERROR(-IF(AH49=$L$3,0,IF(AH49=$N$3,15*680*D49,IF(AH49=$P$3,30*680*D49,IF(AH49=0,50*680*D49,0)))),0)</f>
        <v>0</v>
      </c>
      <c r="BH49" s="117"/>
      <c r="BI49" s="117"/>
      <c r="BJ49" s="117"/>
    </row>
    <row r="50" spans="1:62" ht="18" hidden="1" customHeight="1" outlineLevel="1">
      <c r="A50" s="57"/>
      <c r="B50" s="132"/>
      <c r="C50" s="95"/>
      <c r="D50" s="95"/>
      <c r="E50" s="111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112"/>
      <c r="AJ50" s="113"/>
      <c r="AK50" s="113"/>
      <c r="AL50" s="114"/>
      <c r="AM50" s="95"/>
      <c r="BE50" s="117"/>
      <c r="BF50" s="117"/>
      <c r="BG50" s="117"/>
      <c r="BH50" s="117"/>
      <c r="BI50" s="117"/>
      <c r="BJ50" s="117"/>
    </row>
    <row r="51" spans="1:62" ht="18" customHeight="1" outlineLevel="1">
      <c r="A51" s="62">
        <v>22</v>
      </c>
      <c r="B51" s="64">
        <f>+'Kiểm hóa may'!B51</f>
        <v>0</v>
      </c>
      <c r="C51" s="68">
        <f>+'Kiểm hóa may'!C51</f>
        <v>0</v>
      </c>
      <c r="D51" s="80">
        <f t="shared" ref="D51" si="240">AQ51</f>
        <v>0</v>
      </c>
      <c r="E51" s="96">
        <f>IFERROR('Kiểm hóa may'!D51 + 'Bản sau là'!D51,0)</f>
        <v>0</v>
      </c>
      <c r="F51" s="97"/>
      <c r="G51" s="97"/>
      <c r="H51" s="97"/>
      <c r="I51" s="97"/>
      <c r="J51" s="97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>
        <f t="shared" ref="AD51:AD114" si="241">IFERROR(400*BF51,0)</f>
        <v>0</v>
      </c>
      <c r="AE51" s="93"/>
      <c r="AF51" s="93">
        <f t="shared" ref="AF51:AF114" si="242">IFERROR(SUM(F51:AC51)*0.2,0)</f>
        <v>0</v>
      </c>
      <c r="AG51" s="93"/>
      <c r="AH51" s="93" t="s">
        <v>179</v>
      </c>
      <c r="AI51" s="98">
        <f t="shared" ref="AI51:AI114" si="243">IFERROR(130*D51,0)</f>
        <v>0</v>
      </c>
      <c r="AJ51" s="81" cm="1">
        <f t="array" ref="AJ51">IFERROR(SUM(_xlfn._xlws.FILTER(E51:AI51,ISNUMBER(E51:AI51))),0)</f>
        <v>0</v>
      </c>
      <c r="AK51" s="81"/>
      <c r="AL51" s="99">
        <f t="shared" ref="AL51" si="244">IFERROR(AJ51*(1+AK51%),0)</f>
        <v>0</v>
      </c>
      <c r="AM51" s="116"/>
      <c r="AN51" s="84">
        <f t="shared" ref="AN51:AN114" si="245">IFERROR(SUM(E51:AC51)/D51,0)</f>
        <v>0</v>
      </c>
      <c r="AO51" s="138"/>
      <c r="AQ51" s="137"/>
      <c r="AR51" s="137"/>
      <c r="AS51" s="137"/>
      <c r="AT51" s="137"/>
      <c r="AU51" s="137"/>
      <c r="AV51" s="137"/>
      <c r="AY51" s="136">
        <f t="shared" ref="AY51:AY114" si="246">IFERROR((AQ51*20)/60,0)</f>
        <v>0</v>
      </c>
      <c r="AZ51" s="136">
        <f t="shared" ref="AZ51" si="247">IFERROR(AX51 + AY51 + BI51,0)</f>
        <v>0</v>
      </c>
      <c r="BA51" s="135">
        <f t="shared" ref="BA51" si="248">IFERROR(AZ51/8,0)</f>
        <v>0</v>
      </c>
      <c r="BB51" s="135">
        <f t="shared" ref="BB51" si="249">IFERROR(MAX(AQ51-BA51,0),0)</f>
        <v>0</v>
      </c>
      <c r="BD51" s="117">
        <f t="shared" ref="BD51:BD114" si="250">IFERROR(10000*D51,0)</f>
        <v>0</v>
      </c>
      <c r="BE51" s="117"/>
      <c r="BF51" s="117"/>
      <c r="BG51" s="117">
        <f t="shared" ref="BG51:BG114" si="251">IFERROR(-IF(AH51=$L$3,0,IF(AH51=$N$3,15*680*D51,IF(AH51=$P$3,30*680*D51,IF(AH51=0,50*680*D51,0)))),0)</f>
        <v>0</v>
      </c>
      <c r="BH51" s="117"/>
      <c r="BI51" s="117"/>
      <c r="BJ51" s="117"/>
    </row>
    <row r="52" spans="1:62" ht="18" hidden="1" customHeight="1" outlineLevel="1">
      <c r="A52" s="95"/>
      <c r="B52" s="132"/>
      <c r="C52" s="95"/>
      <c r="D52" s="95"/>
      <c r="E52" s="111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112"/>
      <c r="AJ52" s="113"/>
      <c r="AK52" s="113"/>
      <c r="AL52" s="114"/>
      <c r="AM52" s="95"/>
      <c r="BE52" s="117"/>
      <c r="BF52" s="117"/>
      <c r="BG52" s="117"/>
      <c r="BH52" s="117"/>
      <c r="BI52" s="117"/>
      <c r="BJ52" s="117"/>
    </row>
    <row r="53" spans="1:62" ht="18" customHeight="1" outlineLevel="1">
      <c r="A53" s="65">
        <v>23</v>
      </c>
      <c r="B53" s="64">
        <f>+'Kiểm hóa may'!B53</f>
        <v>0</v>
      </c>
      <c r="C53" s="68">
        <f>+'Kiểm hóa may'!C53</f>
        <v>0</v>
      </c>
      <c r="D53" s="80">
        <f t="shared" ref="D53" si="252">AQ53</f>
        <v>0</v>
      </c>
      <c r="E53" s="96">
        <f>IFERROR('Kiểm hóa may'!D53 + 'Bản sau là'!D53,0)</f>
        <v>0</v>
      </c>
      <c r="F53" s="97"/>
      <c r="G53" s="97"/>
      <c r="H53" s="97"/>
      <c r="I53" s="97"/>
      <c r="J53" s="97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>
        <f t="shared" ref="AD53:AD116" si="253">IFERROR(400*BF53,0)</f>
        <v>0</v>
      </c>
      <c r="AE53" s="93"/>
      <c r="AF53" s="93">
        <f t="shared" ref="AF53:AF116" si="254">IFERROR(SUM(F53:AC53)*0.2,0)</f>
        <v>0</v>
      </c>
      <c r="AG53" s="93"/>
      <c r="AH53" s="93" t="s">
        <v>179</v>
      </c>
      <c r="AI53" s="98">
        <f t="shared" ref="AI53:AI116" si="255">IFERROR(130*D53,0)</f>
        <v>0</v>
      </c>
      <c r="AJ53" s="81" cm="1">
        <f t="array" ref="AJ53">IFERROR(SUM(_xlfn._xlws.FILTER(E53:AI53,ISNUMBER(E53:AI53))),0)</f>
        <v>0</v>
      </c>
      <c r="AK53" s="81"/>
      <c r="AL53" s="99">
        <f t="shared" ref="AL53" si="256">IFERROR(AJ53*(1+AK53%),0)</f>
        <v>0</v>
      </c>
      <c r="AM53" s="116"/>
      <c r="AN53" s="84">
        <f t="shared" ref="AN53:AN116" si="257">IFERROR(SUM(E53:AC53)/D53,0)</f>
        <v>0</v>
      </c>
      <c r="AO53" s="138"/>
      <c r="AQ53" s="137"/>
      <c r="AR53" s="137"/>
      <c r="AS53" s="137"/>
      <c r="AT53" s="137"/>
      <c r="AU53" s="137"/>
      <c r="AV53" s="137"/>
      <c r="AY53" s="136">
        <f t="shared" ref="AY53:AY116" si="258">IFERROR((AQ53*20)/60,0)</f>
        <v>0</v>
      </c>
      <c r="AZ53" s="136">
        <f t="shared" ref="AZ53" si="259">IFERROR(AX53 + AY53 + BI53,0)</f>
        <v>0</v>
      </c>
      <c r="BA53" s="135">
        <f t="shared" ref="BA53" si="260">IFERROR(AZ53/8,0)</f>
        <v>0</v>
      </c>
      <c r="BB53" s="135">
        <f t="shared" ref="BB53" si="261">IFERROR(MAX(AQ53-BA53,0),0)</f>
        <v>0</v>
      </c>
      <c r="BD53" s="117">
        <f t="shared" ref="BD53:BD116" si="262">IFERROR(10000*D53,0)</f>
        <v>0</v>
      </c>
      <c r="BE53" s="117"/>
      <c r="BF53" s="117"/>
      <c r="BG53" s="117">
        <f t="shared" ref="BG53:BG116" si="263">IFERROR(-IF(AH53=$L$3,0,IF(AH53=$N$3,15*680*D53,IF(AH53=$P$3,30*680*D53,IF(AH53=0,50*680*D53,0)))),0)</f>
        <v>0</v>
      </c>
      <c r="BH53" s="117"/>
      <c r="BI53" s="117"/>
      <c r="BJ53" s="117"/>
    </row>
    <row r="54" spans="1:62" ht="18" hidden="1" customHeight="1" outlineLevel="1">
      <c r="A54" s="57"/>
      <c r="B54" s="132"/>
      <c r="C54" s="95"/>
      <c r="D54" s="95"/>
      <c r="E54" s="111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112"/>
      <c r="AJ54" s="113"/>
      <c r="AK54" s="113"/>
      <c r="AL54" s="114"/>
      <c r="AM54" s="95"/>
      <c r="BE54" s="117"/>
      <c r="BF54" s="117"/>
      <c r="BG54" s="117"/>
      <c r="BH54" s="117"/>
      <c r="BI54" s="117"/>
      <c r="BJ54" s="117"/>
    </row>
    <row r="55" spans="1:62" ht="18" customHeight="1" outlineLevel="1">
      <c r="A55" s="62">
        <v>24</v>
      </c>
      <c r="B55" s="64">
        <f>+'Kiểm hóa may'!B55</f>
        <v>0</v>
      </c>
      <c r="C55" s="68">
        <f>+'Kiểm hóa may'!C55</f>
        <v>0</v>
      </c>
      <c r="D55" s="80">
        <f t="shared" ref="D55" si="264">AQ55</f>
        <v>0</v>
      </c>
      <c r="E55" s="96">
        <f>IFERROR('Kiểm hóa may'!D55 + 'Bản sau là'!D55,0)</f>
        <v>0</v>
      </c>
      <c r="F55" s="97"/>
      <c r="G55" s="97"/>
      <c r="H55" s="97"/>
      <c r="I55" s="97"/>
      <c r="J55" s="97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>
        <f t="shared" ref="AD55:AD118" si="265">IFERROR(400*BF55,0)</f>
        <v>0</v>
      </c>
      <c r="AE55" s="93"/>
      <c r="AF55" s="93">
        <f t="shared" ref="AF55:AF118" si="266">IFERROR(SUM(F55:AC55)*0.2,0)</f>
        <v>0</v>
      </c>
      <c r="AG55" s="93"/>
      <c r="AH55" s="93" t="s">
        <v>179</v>
      </c>
      <c r="AI55" s="98">
        <f t="shared" ref="AI55:AI118" si="267">IFERROR(130*D55,0)</f>
        <v>0</v>
      </c>
      <c r="AJ55" s="81" cm="1">
        <f t="array" ref="AJ55">IFERROR(SUM(_xlfn._xlws.FILTER(E55:AI55,ISNUMBER(E55:AI55))),0)</f>
        <v>0</v>
      </c>
      <c r="AK55" s="81"/>
      <c r="AL55" s="99">
        <f t="shared" ref="AL55" si="268">IFERROR(AJ55*(1+AK55%),0)</f>
        <v>0</v>
      </c>
      <c r="AM55" s="116"/>
      <c r="AN55" s="84">
        <f t="shared" ref="AN55:AN118" si="269">IFERROR(SUM(E55:AC55)/D55,0)</f>
        <v>0</v>
      </c>
      <c r="AO55" s="138"/>
      <c r="AQ55" s="137"/>
      <c r="AR55" s="137"/>
      <c r="AS55" s="137"/>
      <c r="AT55" s="137"/>
      <c r="AU55" s="137"/>
      <c r="AV55" s="137"/>
      <c r="AY55" s="136">
        <f t="shared" ref="AY55:AY118" si="270">IFERROR((AQ55*20)/60,0)</f>
        <v>0</v>
      </c>
      <c r="AZ55" s="136">
        <f t="shared" ref="AZ55" si="271">IFERROR(AX55 + AY55 + BI55,0)</f>
        <v>0</v>
      </c>
      <c r="BA55" s="135">
        <f t="shared" ref="BA55" si="272">IFERROR(AZ55/8,0)</f>
        <v>0</v>
      </c>
      <c r="BB55" s="135">
        <f t="shared" ref="BB55" si="273">IFERROR(MAX(AQ55-BA55,0),0)</f>
        <v>0</v>
      </c>
      <c r="BD55" s="117">
        <f t="shared" ref="BD55:BD118" si="274">IFERROR(10000*D55,0)</f>
        <v>0</v>
      </c>
      <c r="BE55" s="117"/>
      <c r="BF55" s="117"/>
      <c r="BG55" s="117">
        <f t="shared" ref="BG55:BG118" si="275">IFERROR(-IF(AH55=$L$3,0,IF(AH55=$N$3,15*680*D55,IF(AH55=$P$3,30*680*D55,IF(AH55=0,50*680*D55,0)))),0)</f>
        <v>0</v>
      </c>
      <c r="BH55" s="117"/>
      <c r="BI55" s="117"/>
      <c r="BJ55" s="117"/>
    </row>
    <row r="56" spans="1:62" ht="18" hidden="1" customHeight="1" outlineLevel="1">
      <c r="A56" s="95"/>
      <c r="B56" s="132"/>
      <c r="C56" s="95"/>
      <c r="D56" s="95"/>
      <c r="E56" s="111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112"/>
      <c r="AJ56" s="113"/>
      <c r="AK56" s="113"/>
      <c r="AL56" s="114"/>
      <c r="AM56" s="95"/>
      <c r="BE56" s="117"/>
      <c r="BF56" s="117"/>
      <c r="BG56" s="117"/>
      <c r="BH56" s="117"/>
      <c r="BI56" s="117"/>
      <c r="BJ56" s="117"/>
    </row>
    <row r="57" spans="1:62" ht="18" customHeight="1" outlineLevel="1">
      <c r="A57" s="65">
        <v>25</v>
      </c>
      <c r="B57" s="64">
        <f>+'Kiểm hóa may'!B57</f>
        <v>0</v>
      </c>
      <c r="C57" s="68">
        <f>+'Kiểm hóa may'!C57</f>
        <v>0</v>
      </c>
      <c r="D57" s="80">
        <f t="shared" ref="D57" si="276">AQ57</f>
        <v>0</v>
      </c>
      <c r="E57" s="96">
        <f>IFERROR('Kiểm hóa may'!D57 + 'Bản sau là'!D57,0)</f>
        <v>0</v>
      </c>
      <c r="F57" s="97"/>
      <c r="G57" s="97"/>
      <c r="H57" s="97"/>
      <c r="I57" s="97"/>
      <c r="J57" s="97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>
        <f t="shared" ref="AD57:AD120" si="277">IFERROR(400*BF57,0)</f>
        <v>0</v>
      </c>
      <c r="AE57" s="93"/>
      <c r="AF57" s="93">
        <f t="shared" ref="AF57:AF120" si="278">IFERROR(SUM(F57:AC57)*0.2,0)</f>
        <v>0</v>
      </c>
      <c r="AG57" s="93"/>
      <c r="AH57" s="93" t="s">
        <v>179</v>
      </c>
      <c r="AI57" s="98">
        <f t="shared" ref="AI57:AI120" si="279">IFERROR(130*D57,0)</f>
        <v>0</v>
      </c>
      <c r="AJ57" s="81" cm="1">
        <f t="array" ref="AJ57">IFERROR(SUM(_xlfn._xlws.FILTER(E57:AI57,ISNUMBER(E57:AI57))),0)</f>
        <v>0</v>
      </c>
      <c r="AK57" s="81"/>
      <c r="AL57" s="99">
        <f t="shared" ref="AL57" si="280">IFERROR(AJ57*(1+AK57%),0)</f>
        <v>0</v>
      </c>
      <c r="AM57" s="116"/>
      <c r="AN57" s="84">
        <f t="shared" ref="AN57:AN120" si="281">IFERROR(SUM(E57:AC57)/D57,0)</f>
        <v>0</v>
      </c>
      <c r="AO57" s="138"/>
      <c r="AQ57" s="137"/>
      <c r="AR57" s="137"/>
      <c r="AS57" s="137"/>
      <c r="AT57" s="137"/>
      <c r="AU57" s="137"/>
      <c r="AV57" s="137"/>
      <c r="AY57" s="136">
        <f t="shared" ref="AY57:AY120" si="282">IFERROR((AQ57*20)/60,0)</f>
        <v>0</v>
      </c>
      <c r="AZ57" s="136">
        <f t="shared" ref="AZ57" si="283">IFERROR(AX57 + AY57 + BI57,0)</f>
        <v>0</v>
      </c>
      <c r="BA57" s="135">
        <f t="shared" ref="BA57" si="284">IFERROR(AZ57/8,0)</f>
        <v>0</v>
      </c>
      <c r="BB57" s="135">
        <f t="shared" ref="BB57" si="285">IFERROR(MAX(AQ57-BA57,0),0)</f>
        <v>0</v>
      </c>
      <c r="BD57" s="117">
        <f t="shared" ref="BD57:BD120" si="286">IFERROR(10000*D57,0)</f>
        <v>0</v>
      </c>
      <c r="BE57" s="117"/>
      <c r="BF57" s="117"/>
      <c r="BG57" s="117">
        <f t="shared" ref="BG57:BG120" si="287">IFERROR(-IF(AH57=$L$3,0,IF(AH57=$N$3,15*680*D57,IF(AH57=$P$3,30*680*D57,IF(AH57=0,50*680*D57,0)))),0)</f>
        <v>0</v>
      </c>
      <c r="BH57" s="117"/>
      <c r="BI57" s="117"/>
      <c r="BJ57" s="117"/>
    </row>
    <row r="58" spans="1:62" ht="18" hidden="1" customHeight="1" outlineLevel="1">
      <c r="A58" s="57"/>
      <c r="B58" s="132"/>
      <c r="C58" s="95"/>
      <c r="D58" s="95"/>
      <c r="E58" s="111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5"/>
      <c r="AI58" s="112"/>
      <c r="AJ58" s="113"/>
      <c r="AK58" s="113"/>
      <c r="AL58" s="114"/>
      <c r="AM58" s="95"/>
      <c r="BE58" s="117"/>
      <c r="BF58" s="117"/>
      <c r="BG58" s="117"/>
      <c r="BH58" s="117"/>
      <c r="BI58" s="117"/>
      <c r="BJ58" s="117"/>
    </row>
    <row r="59" spans="1:62" ht="18" customHeight="1" outlineLevel="1">
      <c r="A59" s="62">
        <v>26</v>
      </c>
      <c r="B59" s="64">
        <f>+'Kiểm hóa may'!B59</f>
        <v>0</v>
      </c>
      <c r="C59" s="68">
        <f>+'Kiểm hóa may'!C59</f>
        <v>0</v>
      </c>
      <c r="D59" s="80">
        <f t="shared" ref="D59" si="288">AQ59</f>
        <v>0</v>
      </c>
      <c r="E59" s="96">
        <f>IFERROR('Kiểm hóa may'!D59 + 'Bản sau là'!D59,0)</f>
        <v>0</v>
      </c>
      <c r="F59" s="97"/>
      <c r="G59" s="97"/>
      <c r="H59" s="97"/>
      <c r="I59" s="97"/>
      <c r="J59" s="97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>
        <f t="shared" ref="AD59:AD122" si="289">IFERROR(400*BF59,0)</f>
        <v>0</v>
      </c>
      <c r="AE59" s="93"/>
      <c r="AF59" s="93">
        <f t="shared" ref="AF59:AF122" si="290">IFERROR(SUM(F59:AC59)*0.2,0)</f>
        <v>0</v>
      </c>
      <c r="AG59" s="93"/>
      <c r="AH59" s="93" t="s">
        <v>179</v>
      </c>
      <c r="AI59" s="98">
        <f t="shared" ref="AI59:AI122" si="291">IFERROR(130*D59,0)</f>
        <v>0</v>
      </c>
      <c r="AJ59" s="81" cm="1">
        <f t="array" ref="AJ59">IFERROR(SUM(_xlfn._xlws.FILTER(E59:AI59,ISNUMBER(E59:AI59))),0)</f>
        <v>0</v>
      </c>
      <c r="AK59" s="81"/>
      <c r="AL59" s="99">
        <f t="shared" ref="AL59" si="292">IFERROR(AJ59*(1+AK59%),0)</f>
        <v>0</v>
      </c>
      <c r="AM59" s="116"/>
      <c r="AN59" s="84">
        <f t="shared" ref="AN59:AN122" si="293">IFERROR(SUM(E59:AC59)/D59,0)</f>
        <v>0</v>
      </c>
      <c r="AO59" s="138"/>
      <c r="AQ59" s="137"/>
      <c r="AR59" s="137"/>
      <c r="AS59" s="137"/>
      <c r="AT59" s="137"/>
      <c r="AU59" s="137"/>
      <c r="AV59" s="137"/>
      <c r="AY59" s="136">
        <f t="shared" ref="AY59:AY122" si="294">IFERROR((AQ59*20)/60,0)</f>
        <v>0</v>
      </c>
      <c r="AZ59" s="136">
        <f t="shared" ref="AZ59" si="295">IFERROR(AX59 + AY59 + BI59,0)</f>
        <v>0</v>
      </c>
      <c r="BA59" s="135">
        <f t="shared" ref="BA59" si="296">IFERROR(AZ59/8,0)</f>
        <v>0</v>
      </c>
      <c r="BB59" s="135">
        <f t="shared" ref="BB59" si="297">IFERROR(MAX(AQ59-BA59,0),0)</f>
        <v>0</v>
      </c>
      <c r="BD59" s="117">
        <f t="shared" ref="BD59:BD122" si="298">IFERROR(10000*D59,0)</f>
        <v>0</v>
      </c>
      <c r="BE59" s="117"/>
      <c r="BF59" s="117"/>
      <c r="BG59" s="117">
        <f t="shared" ref="BG59:BG122" si="299">IFERROR(-IF(AH59=$L$3,0,IF(AH59=$N$3,15*680*D59,IF(AH59=$P$3,30*680*D59,IF(AH59=0,50*680*D59,0)))),0)</f>
        <v>0</v>
      </c>
      <c r="BH59" s="117"/>
      <c r="BI59" s="117"/>
      <c r="BJ59" s="117"/>
    </row>
    <row r="60" spans="1:62" ht="18" hidden="1" customHeight="1" outlineLevel="1">
      <c r="A60" s="95"/>
      <c r="B60" s="132"/>
      <c r="C60" s="95"/>
      <c r="D60" s="95"/>
      <c r="E60" s="111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112"/>
      <c r="AJ60" s="113"/>
      <c r="AK60" s="113"/>
      <c r="AL60" s="114"/>
      <c r="AM60" s="95"/>
      <c r="BE60" s="117"/>
      <c r="BF60" s="117"/>
      <c r="BG60" s="117"/>
      <c r="BH60" s="117"/>
      <c r="BI60" s="117"/>
      <c r="BJ60" s="117"/>
    </row>
    <row r="61" spans="1:62" ht="18" customHeight="1" outlineLevel="1">
      <c r="A61" s="65">
        <v>27</v>
      </c>
      <c r="B61" s="64">
        <f>+'Kiểm hóa may'!B61</f>
        <v>0</v>
      </c>
      <c r="C61" s="68">
        <f>+'Kiểm hóa may'!C61</f>
        <v>0</v>
      </c>
      <c r="D61" s="80">
        <f t="shared" ref="D61" si="300">AQ61</f>
        <v>0</v>
      </c>
      <c r="E61" s="96">
        <f>IFERROR('Kiểm hóa may'!D61 + 'Bản sau là'!D61,0)</f>
        <v>0</v>
      </c>
      <c r="F61" s="97"/>
      <c r="G61" s="97"/>
      <c r="H61" s="97"/>
      <c r="I61" s="97"/>
      <c r="J61" s="97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>
        <f t="shared" ref="AD61:AD124" si="301">IFERROR(400*BF61,0)</f>
        <v>0</v>
      </c>
      <c r="AE61" s="93"/>
      <c r="AF61" s="93">
        <f t="shared" ref="AF61:AF124" si="302">IFERROR(SUM(F61:AC61)*0.2,0)</f>
        <v>0</v>
      </c>
      <c r="AG61" s="93"/>
      <c r="AH61" s="93" t="s">
        <v>179</v>
      </c>
      <c r="AI61" s="98">
        <f t="shared" ref="AI61:AI124" si="303">IFERROR(130*D61,0)</f>
        <v>0</v>
      </c>
      <c r="AJ61" s="81" cm="1">
        <f t="array" ref="AJ61">IFERROR(SUM(_xlfn._xlws.FILTER(E61:AI61,ISNUMBER(E61:AI61))),0)</f>
        <v>0</v>
      </c>
      <c r="AK61" s="81"/>
      <c r="AL61" s="99">
        <f t="shared" ref="AL61" si="304">IFERROR(AJ61*(1+AK61%),0)</f>
        <v>0</v>
      </c>
      <c r="AM61" s="116"/>
      <c r="AN61" s="84">
        <f t="shared" ref="AN61:AN124" si="305">IFERROR(SUM(E61:AC61)/D61,0)</f>
        <v>0</v>
      </c>
      <c r="AO61" s="138"/>
      <c r="AQ61" s="137"/>
      <c r="AR61" s="137"/>
      <c r="AS61" s="137"/>
      <c r="AT61" s="137"/>
      <c r="AU61" s="137"/>
      <c r="AV61" s="137"/>
      <c r="AY61" s="136">
        <f t="shared" ref="AY61:AY124" si="306">IFERROR((AQ61*20)/60,0)</f>
        <v>0</v>
      </c>
      <c r="AZ61" s="136">
        <f t="shared" ref="AZ61" si="307">IFERROR(AX61 + AY61 + BI61,0)</f>
        <v>0</v>
      </c>
      <c r="BA61" s="135">
        <f t="shared" ref="BA61" si="308">IFERROR(AZ61/8,0)</f>
        <v>0</v>
      </c>
      <c r="BB61" s="135">
        <f t="shared" ref="BB61" si="309">IFERROR(MAX(AQ61-BA61,0),0)</f>
        <v>0</v>
      </c>
      <c r="BD61" s="117">
        <f t="shared" ref="BD61:BD124" si="310">IFERROR(10000*D61,0)</f>
        <v>0</v>
      </c>
      <c r="BE61" s="117"/>
      <c r="BF61" s="117"/>
      <c r="BG61" s="117">
        <f t="shared" ref="BG61:BG124" si="311">IFERROR(-IF(AH61=$L$3,0,IF(AH61=$N$3,15*680*D61,IF(AH61=$P$3,30*680*D61,IF(AH61=0,50*680*D61,0)))),0)</f>
        <v>0</v>
      </c>
      <c r="BH61" s="117"/>
      <c r="BI61" s="117"/>
      <c r="BJ61" s="117"/>
    </row>
    <row r="62" spans="1:62" ht="18" hidden="1" customHeight="1" outlineLevel="1">
      <c r="A62" s="57"/>
      <c r="B62" s="132"/>
      <c r="C62" s="95"/>
      <c r="D62" s="95"/>
      <c r="E62" s="111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112"/>
      <c r="AJ62" s="113"/>
      <c r="AK62" s="113"/>
      <c r="AL62" s="114"/>
      <c r="AM62" s="95"/>
      <c r="BE62" s="117"/>
      <c r="BF62" s="117"/>
      <c r="BG62" s="117"/>
      <c r="BH62" s="117"/>
      <c r="BI62" s="117"/>
      <c r="BJ62" s="117"/>
    </row>
    <row r="63" spans="1:62" ht="18" customHeight="1" outlineLevel="1">
      <c r="A63" s="62">
        <v>28</v>
      </c>
      <c r="B63" s="64">
        <f>+'Kiểm hóa may'!B63</f>
        <v>0</v>
      </c>
      <c r="C63" s="68">
        <f>+'Kiểm hóa may'!C63</f>
        <v>0</v>
      </c>
      <c r="D63" s="80">
        <f t="shared" ref="D63" si="312">AQ63</f>
        <v>0</v>
      </c>
      <c r="E63" s="96">
        <f>IFERROR('Kiểm hóa may'!D63 + 'Bản sau là'!D63,0)</f>
        <v>0</v>
      </c>
      <c r="F63" s="97"/>
      <c r="G63" s="97"/>
      <c r="H63" s="97"/>
      <c r="I63" s="97"/>
      <c r="J63" s="97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>
        <f t="shared" ref="AD63:AD126" si="313">IFERROR(400*BF63,0)</f>
        <v>0</v>
      </c>
      <c r="AE63" s="93"/>
      <c r="AF63" s="93">
        <f t="shared" ref="AF63:AF126" si="314">IFERROR(SUM(F63:AC63)*0.2,0)</f>
        <v>0</v>
      </c>
      <c r="AG63" s="93"/>
      <c r="AH63" s="93" t="s">
        <v>179</v>
      </c>
      <c r="AI63" s="98">
        <f t="shared" ref="AI63:AI126" si="315">IFERROR(130*D63,0)</f>
        <v>0</v>
      </c>
      <c r="AJ63" s="81" cm="1">
        <f t="array" ref="AJ63">IFERROR(SUM(_xlfn._xlws.FILTER(E63:AI63,ISNUMBER(E63:AI63))),0)</f>
        <v>0</v>
      </c>
      <c r="AK63" s="81"/>
      <c r="AL63" s="99">
        <f t="shared" ref="AL63" si="316">IFERROR(AJ63*(1+AK63%),0)</f>
        <v>0</v>
      </c>
      <c r="AM63" s="116"/>
      <c r="AN63" s="84">
        <f t="shared" ref="AN63:AN126" si="317">IFERROR(SUM(E63:AC63)/D63,0)</f>
        <v>0</v>
      </c>
      <c r="AO63" s="138"/>
      <c r="AQ63" s="137"/>
      <c r="AR63" s="137"/>
      <c r="AS63" s="137"/>
      <c r="AT63" s="137"/>
      <c r="AU63" s="137"/>
      <c r="AV63" s="137"/>
      <c r="AY63" s="136">
        <f t="shared" ref="AY63:AY126" si="318">IFERROR((AQ63*20)/60,0)</f>
        <v>0</v>
      </c>
      <c r="AZ63" s="136">
        <f t="shared" ref="AZ63" si="319">IFERROR(AX63 + AY63 + BI63,0)</f>
        <v>0</v>
      </c>
      <c r="BA63" s="135">
        <f t="shared" ref="BA63" si="320">IFERROR(AZ63/8,0)</f>
        <v>0</v>
      </c>
      <c r="BB63" s="135">
        <f t="shared" ref="BB63" si="321">IFERROR(MAX(AQ63-BA63,0),0)</f>
        <v>0</v>
      </c>
      <c r="BD63" s="117">
        <f t="shared" ref="BD63:BD126" si="322">IFERROR(10000*D63,0)</f>
        <v>0</v>
      </c>
      <c r="BE63" s="117"/>
      <c r="BF63" s="117"/>
      <c r="BG63" s="117">
        <f t="shared" ref="BG63:BG126" si="323">IFERROR(-IF(AH63=$L$3,0,IF(AH63=$N$3,15*680*D63,IF(AH63=$P$3,30*680*D63,IF(AH63=0,50*680*D63,0)))),0)</f>
        <v>0</v>
      </c>
      <c r="BH63" s="117"/>
      <c r="BI63" s="117"/>
      <c r="BJ63" s="117"/>
    </row>
    <row r="64" spans="1:62" ht="18" hidden="1" customHeight="1" outlineLevel="1">
      <c r="A64" s="95"/>
      <c r="B64" s="132"/>
      <c r="C64" s="95"/>
      <c r="D64" s="95"/>
      <c r="E64" s="111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112"/>
      <c r="AJ64" s="113"/>
      <c r="AK64" s="113"/>
      <c r="AL64" s="114"/>
      <c r="AM64" s="95"/>
      <c r="BE64" s="117"/>
      <c r="BF64" s="117"/>
      <c r="BG64" s="117"/>
      <c r="BH64" s="117"/>
      <c r="BI64" s="117"/>
      <c r="BJ64" s="117"/>
    </row>
    <row r="65" spans="1:62" ht="18" customHeight="1" outlineLevel="1">
      <c r="A65" s="65">
        <v>29</v>
      </c>
      <c r="B65" s="64">
        <f>+'Kiểm hóa may'!B65</f>
        <v>0</v>
      </c>
      <c r="C65" s="68">
        <f>+'Kiểm hóa may'!C65</f>
        <v>0</v>
      </c>
      <c r="D65" s="80">
        <f t="shared" ref="D65" si="324">AQ65</f>
        <v>0</v>
      </c>
      <c r="E65" s="96">
        <f>IFERROR('Kiểm hóa may'!D65 + 'Bản sau là'!D65,0)</f>
        <v>0</v>
      </c>
      <c r="F65" s="97"/>
      <c r="G65" s="97"/>
      <c r="H65" s="97"/>
      <c r="I65" s="97"/>
      <c r="J65" s="97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>
        <f t="shared" ref="AD65:AD128" si="325">IFERROR(400*BF65,0)</f>
        <v>0</v>
      </c>
      <c r="AE65" s="93"/>
      <c r="AF65" s="93">
        <f t="shared" ref="AF65:AF128" si="326">IFERROR(SUM(F65:AC65)*0.2,0)</f>
        <v>0</v>
      </c>
      <c r="AG65" s="93"/>
      <c r="AH65" s="93" t="s">
        <v>179</v>
      </c>
      <c r="AI65" s="98">
        <f t="shared" ref="AI65:AI128" si="327">IFERROR(130*D65,0)</f>
        <v>0</v>
      </c>
      <c r="AJ65" s="81" cm="1">
        <f t="array" ref="AJ65">IFERROR(SUM(_xlfn._xlws.FILTER(E65:AI65,ISNUMBER(E65:AI65))),0)</f>
        <v>0</v>
      </c>
      <c r="AK65" s="81"/>
      <c r="AL65" s="99">
        <f t="shared" ref="AL65" si="328">IFERROR(AJ65*(1+AK65%),0)</f>
        <v>0</v>
      </c>
      <c r="AM65" s="116"/>
      <c r="AN65" s="84">
        <f t="shared" ref="AN65:AN128" si="329">IFERROR(SUM(E65:AC65)/D65,0)</f>
        <v>0</v>
      </c>
      <c r="AO65" s="138"/>
      <c r="AQ65" s="137"/>
      <c r="AR65" s="137"/>
      <c r="AS65" s="137"/>
      <c r="AT65" s="137"/>
      <c r="AU65" s="137"/>
      <c r="AV65" s="137"/>
      <c r="AY65" s="136">
        <f t="shared" ref="AY65:AY128" si="330">IFERROR((AQ65*20)/60,0)</f>
        <v>0</v>
      </c>
      <c r="AZ65" s="136">
        <f t="shared" ref="AZ65" si="331">IFERROR(AX65 + AY65 + BI65,0)</f>
        <v>0</v>
      </c>
      <c r="BA65" s="135">
        <f t="shared" ref="BA65" si="332">IFERROR(AZ65/8,0)</f>
        <v>0</v>
      </c>
      <c r="BB65" s="135">
        <f t="shared" ref="BB65" si="333">IFERROR(MAX(AQ65-BA65,0),0)</f>
        <v>0</v>
      </c>
      <c r="BD65" s="117">
        <f t="shared" ref="BD65:BD128" si="334">IFERROR(10000*D65,0)</f>
        <v>0</v>
      </c>
      <c r="BE65" s="117"/>
      <c r="BF65" s="117"/>
      <c r="BG65" s="117">
        <f t="shared" ref="BG65:BG128" si="335">IFERROR(-IF(AH65=$L$3,0,IF(AH65=$N$3,15*680*D65,IF(AH65=$P$3,30*680*D65,IF(AH65=0,50*680*D65,0)))),0)</f>
        <v>0</v>
      </c>
      <c r="BH65" s="117"/>
      <c r="BI65" s="117"/>
      <c r="BJ65" s="117"/>
    </row>
    <row r="66" spans="1:62" ht="18" hidden="1" customHeight="1" outlineLevel="1">
      <c r="A66" s="57"/>
      <c r="B66" s="132"/>
      <c r="C66" s="95"/>
      <c r="D66" s="95"/>
      <c r="E66" s="111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112"/>
      <c r="AJ66" s="113"/>
      <c r="AK66" s="113"/>
      <c r="AL66" s="114"/>
      <c r="AM66" s="95"/>
      <c r="BE66" s="117"/>
      <c r="BF66" s="117"/>
      <c r="BG66" s="117"/>
      <c r="BH66" s="117"/>
      <c r="BI66" s="117"/>
      <c r="BJ66" s="117"/>
    </row>
    <row r="67" spans="1:62" ht="18" customHeight="1" outlineLevel="1">
      <c r="A67" s="62">
        <v>30</v>
      </c>
      <c r="B67" s="64">
        <f>+'Kiểm hóa may'!B67</f>
        <v>0</v>
      </c>
      <c r="C67" s="68">
        <f>+'Kiểm hóa may'!C67</f>
        <v>0</v>
      </c>
      <c r="D67" s="80">
        <f t="shared" ref="D67" si="336">AQ67</f>
        <v>0</v>
      </c>
      <c r="E67" s="96">
        <f>IFERROR('Kiểm hóa may'!D67 + 'Bản sau là'!D67,0)</f>
        <v>0</v>
      </c>
      <c r="F67" s="97"/>
      <c r="G67" s="97"/>
      <c r="H67" s="97"/>
      <c r="I67" s="97"/>
      <c r="J67" s="97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>
        <f t="shared" ref="AD67:AD130" si="337">IFERROR(400*BF67,0)</f>
        <v>0</v>
      </c>
      <c r="AE67" s="93"/>
      <c r="AF67" s="93">
        <f t="shared" ref="AF67:AF130" si="338">IFERROR(SUM(F67:AC67)*0.2,0)</f>
        <v>0</v>
      </c>
      <c r="AG67" s="93"/>
      <c r="AH67" s="93" t="s">
        <v>179</v>
      </c>
      <c r="AI67" s="98">
        <f t="shared" ref="AI67:AI130" si="339">IFERROR(130*D67,0)</f>
        <v>0</v>
      </c>
      <c r="AJ67" s="81" cm="1">
        <f t="array" ref="AJ67">IFERROR(SUM(_xlfn._xlws.FILTER(E67:AI67,ISNUMBER(E67:AI67))),0)</f>
        <v>0</v>
      </c>
      <c r="AK67" s="81"/>
      <c r="AL67" s="99">
        <f t="shared" ref="AL67" si="340">IFERROR(AJ67*(1+AK67%),0)</f>
        <v>0</v>
      </c>
      <c r="AM67" s="116"/>
      <c r="AN67" s="84">
        <f t="shared" ref="AN67:AN130" si="341">IFERROR(SUM(E67:AC67)/D67,0)</f>
        <v>0</v>
      </c>
      <c r="AO67" s="138"/>
      <c r="AQ67" s="137"/>
      <c r="AR67" s="137"/>
      <c r="AS67" s="137"/>
      <c r="AT67" s="137"/>
      <c r="AU67" s="137"/>
      <c r="AV67" s="137"/>
      <c r="AY67" s="136">
        <f t="shared" ref="AY67:AY130" si="342">IFERROR((AQ67*20)/60,0)</f>
        <v>0</v>
      </c>
      <c r="AZ67" s="136">
        <f t="shared" ref="AZ67" si="343">IFERROR(AX67 + AY67 + BI67,0)</f>
        <v>0</v>
      </c>
      <c r="BA67" s="135">
        <f t="shared" ref="BA67" si="344">IFERROR(AZ67/8,0)</f>
        <v>0</v>
      </c>
      <c r="BB67" s="135">
        <f t="shared" ref="BB67" si="345">IFERROR(MAX(AQ67-BA67,0),0)</f>
        <v>0</v>
      </c>
      <c r="BD67" s="117">
        <f t="shared" ref="BD67:BD130" si="346">IFERROR(10000*D67,0)</f>
        <v>0</v>
      </c>
      <c r="BE67" s="117"/>
      <c r="BF67" s="117"/>
      <c r="BG67" s="117">
        <f t="shared" ref="BG67:BG130" si="347">IFERROR(-IF(AH67=$L$3,0,IF(AH67=$N$3,15*680*D67,IF(AH67=$P$3,30*680*D67,IF(AH67=0,50*680*D67,0)))),0)</f>
        <v>0</v>
      </c>
      <c r="BH67" s="117"/>
      <c r="BI67" s="117"/>
      <c r="BJ67" s="117"/>
    </row>
    <row r="68" spans="1:62" ht="18" hidden="1" customHeight="1" outlineLevel="1">
      <c r="A68" s="95"/>
      <c r="B68" s="132"/>
      <c r="C68" s="95"/>
      <c r="D68" s="95"/>
      <c r="E68" s="111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112"/>
      <c r="AJ68" s="113"/>
      <c r="AK68" s="113"/>
      <c r="AL68" s="114"/>
      <c r="AM68" s="95"/>
      <c r="BE68" s="117"/>
      <c r="BF68" s="117"/>
      <c r="BG68" s="117"/>
      <c r="BH68" s="117"/>
      <c r="BI68" s="117"/>
      <c r="BJ68" s="117"/>
    </row>
    <row r="69" spans="1:62" ht="18" customHeight="1" outlineLevel="1">
      <c r="A69" s="65">
        <v>31</v>
      </c>
      <c r="B69" s="64">
        <f>+'Kiểm hóa may'!B69</f>
        <v>0</v>
      </c>
      <c r="C69" s="68">
        <f>+'Kiểm hóa may'!C69</f>
        <v>0</v>
      </c>
      <c r="D69" s="80">
        <f t="shared" ref="D69" si="348">AQ69</f>
        <v>0</v>
      </c>
      <c r="E69" s="96">
        <f>IFERROR('Kiểm hóa may'!D69 + 'Bản sau là'!D69,0)</f>
        <v>0</v>
      </c>
      <c r="F69" s="97"/>
      <c r="G69" s="97"/>
      <c r="H69" s="97"/>
      <c r="I69" s="97"/>
      <c r="J69" s="97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>
        <f t="shared" ref="AD69:AD100" si="349">IFERROR(400*BF69,0)</f>
        <v>0</v>
      </c>
      <c r="AE69" s="93"/>
      <c r="AF69" s="93">
        <f t="shared" ref="AF69:AF100" si="350">IFERROR(SUM(F69:AC69)*0.2,0)</f>
        <v>0</v>
      </c>
      <c r="AG69" s="93"/>
      <c r="AH69" s="93" t="s">
        <v>179</v>
      </c>
      <c r="AI69" s="98">
        <f t="shared" ref="AI69:AI100" si="351">IFERROR(130*D69,0)</f>
        <v>0</v>
      </c>
      <c r="AJ69" s="81" cm="1">
        <f t="array" ref="AJ69">IFERROR(SUM(_xlfn._xlws.FILTER(E69:AI69,ISNUMBER(E69:AI69))),0)</f>
        <v>0</v>
      </c>
      <c r="AK69" s="81"/>
      <c r="AL69" s="99">
        <f t="shared" ref="AL69" si="352">IFERROR(AJ69*(1+AK69%),0)</f>
        <v>0</v>
      </c>
      <c r="AM69" s="116"/>
      <c r="AN69" s="84">
        <f t="shared" ref="AN69:AN100" si="353">IFERROR(SUM(E69:AC69)/D69,0)</f>
        <v>0</v>
      </c>
      <c r="AO69" s="138"/>
      <c r="AQ69" s="137"/>
      <c r="AR69" s="137"/>
      <c r="AS69" s="137"/>
      <c r="AT69" s="137"/>
      <c r="AU69" s="137"/>
      <c r="AV69" s="137"/>
      <c r="AY69" s="136">
        <f t="shared" ref="AY69:AY100" si="354">IFERROR((AQ69*20)/60,0)</f>
        <v>0</v>
      </c>
      <c r="AZ69" s="136">
        <f t="shared" ref="AZ69" si="355">IFERROR(AX69 + AY69 + BI69,0)</f>
        <v>0</v>
      </c>
      <c r="BA69" s="135">
        <f t="shared" ref="BA69" si="356">IFERROR(AZ69/8,0)</f>
        <v>0</v>
      </c>
      <c r="BB69" s="135">
        <f t="shared" ref="BB69" si="357">IFERROR(MAX(AQ69-BA69,0),0)</f>
        <v>0</v>
      </c>
      <c r="BD69" s="117">
        <f t="shared" ref="BD69:BD100" si="358">IFERROR(10000*D69,0)</f>
        <v>0</v>
      </c>
      <c r="BE69" s="117"/>
      <c r="BF69" s="117"/>
      <c r="BG69" s="117">
        <f t="shared" ref="BG69:BG100" si="359">IFERROR(-IF(AH69=$L$3,0,IF(AH69=$N$3,15*680*D69,IF(AH69=$P$3,30*680*D69,IF(AH69=0,50*680*D69,0)))),0)</f>
        <v>0</v>
      </c>
      <c r="BH69" s="117"/>
      <c r="BI69" s="117"/>
      <c r="BJ69" s="117"/>
    </row>
    <row r="70" spans="1:62" ht="18" hidden="1" customHeight="1" outlineLevel="1">
      <c r="A70" s="57"/>
      <c r="B70" s="132"/>
      <c r="C70" s="95"/>
      <c r="D70" s="95"/>
      <c r="E70" s="111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112"/>
      <c r="AJ70" s="113"/>
      <c r="AK70" s="113"/>
      <c r="AL70" s="114"/>
      <c r="AM70" s="95"/>
      <c r="BE70" s="117"/>
      <c r="BF70" s="117"/>
      <c r="BG70" s="117"/>
      <c r="BH70" s="117"/>
      <c r="BI70" s="117"/>
      <c r="BJ70" s="117"/>
    </row>
    <row r="71" spans="1:62" ht="18" customHeight="1" outlineLevel="1">
      <c r="A71" s="62">
        <v>32</v>
      </c>
      <c r="B71" s="64">
        <f>+'Kiểm hóa may'!B71</f>
        <v>0</v>
      </c>
      <c r="C71" s="68">
        <f>+'Kiểm hóa may'!C71</f>
        <v>0</v>
      </c>
      <c r="D71" s="80">
        <f t="shared" ref="D71" si="360">AQ71</f>
        <v>0</v>
      </c>
      <c r="E71" s="96">
        <f>IFERROR('Kiểm hóa may'!D71 + 'Bản sau là'!D71,0)</f>
        <v>0</v>
      </c>
      <c r="F71" s="97"/>
      <c r="G71" s="97"/>
      <c r="H71" s="97"/>
      <c r="I71" s="97"/>
      <c r="J71" s="97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>
        <f t="shared" ref="AD71:AD102" si="361">IFERROR(400*BF71,0)</f>
        <v>0</v>
      </c>
      <c r="AE71" s="93"/>
      <c r="AF71" s="93">
        <f t="shared" ref="AF71:AF102" si="362">IFERROR(SUM(F71:AC71)*0.2,0)</f>
        <v>0</v>
      </c>
      <c r="AG71" s="93"/>
      <c r="AH71" s="93" t="s">
        <v>179</v>
      </c>
      <c r="AI71" s="98">
        <f t="shared" ref="AI71:AI102" si="363">IFERROR(130*D71,0)</f>
        <v>0</v>
      </c>
      <c r="AJ71" s="81" cm="1">
        <f t="array" ref="AJ71">IFERROR(SUM(_xlfn._xlws.FILTER(E71:AI71,ISNUMBER(E71:AI71))),0)</f>
        <v>0</v>
      </c>
      <c r="AK71" s="81"/>
      <c r="AL71" s="99">
        <f t="shared" ref="AL71" si="364">IFERROR(AJ71*(1+AK71%),0)</f>
        <v>0</v>
      </c>
      <c r="AM71" s="116"/>
      <c r="AN71" s="84">
        <f t="shared" ref="AN71:AN102" si="365">IFERROR(SUM(E71:AC71)/D71,0)</f>
        <v>0</v>
      </c>
      <c r="AO71" s="138"/>
      <c r="AQ71" s="137"/>
      <c r="AR71" s="137"/>
      <c r="AS71" s="137"/>
      <c r="AT71" s="137"/>
      <c r="AU71" s="137"/>
      <c r="AV71" s="137"/>
      <c r="AY71" s="136">
        <f t="shared" ref="AY71:AY102" si="366">IFERROR((AQ71*20)/60,0)</f>
        <v>0</v>
      </c>
      <c r="AZ71" s="136">
        <f t="shared" ref="AZ71" si="367">IFERROR(AX71 + AY71 + BI71,0)</f>
        <v>0</v>
      </c>
      <c r="BA71" s="135">
        <f t="shared" ref="BA71" si="368">IFERROR(AZ71/8,0)</f>
        <v>0</v>
      </c>
      <c r="BB71" s="135">
        <f t="shared" ref="BB71" si="369">IFERROR(MAX(AQ71-BA71,0),0)</f>
        <v>0</v>
      </c>
      <c r="BD71" s="117">
        <f t="shared" ref="BD71:BD102" si="370">IFERROR(10000*D71,0)</f>
        <v>0</v>
      </c>
      <c r="BE71" s="117"/>
      <c r="BF71" s="117"/>
      <c r="BG71" s="117">
        <f t="shared" ref="BG71:BG102" si="371">IFERROR(-IF(AH71=$L$3,0,IF(AH71=$N$3,15*680*D71,IF(AH71=$P$3,30*680*D71,IF(AH71=0,50*680*D71,0)))),0)</f>
        <v>0</v>
      </c>
      <c r="BH71" s="117"/>
      <c r="BI71" s="117"/>
      <c r="BJ71" s="117"/>
    </row>
    <row r="72" spans="1:62" ht="18" hidden="1" customHeight="1" outlineLevel="1">
      <c r="A72" s="95"/>
      <c r="B72" s="132"/>
      <c r="C72" s="95"/>
      <c r="D72" s="95"/>
      <c r="E72" s="111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112"/>
      <c r="AJ72" s="113"/>
      <c r="AK72" s="113"/>
      <c r="AL72" s="114"/>
      <c r="AM72" s="95"/>
      <c r="BE72" s="117"/>
      <c r="BF72" s="117"/>
      <c r="BG72" s="117"/>
      <c r="BH72" s="117"/>
      <c r="BI72" s="117"/>
      <c r="BJ72" s="117"/>
    </row>
    <row r="73" spans="1:62" ht="18" customHeight="1" outlineLevel="1">
      <c r="A73" s="65">
        <v>33</v>
      </c>
      <c r="B73" s="64">
        <f>+'Kiểm hóa may'!B73</f>
        <v>0</v>
      </c>
      <c r="C73" s="68">
        <f>+'Kiểm hóa may'!C73</f>
        <v>0</v>
      </c>
      <c r="D73" s="80">
        <f t="shared" ref="D73" si="372">AQ73</f>
        <v>0</v>
      </c>
      <c r="E73" s="96">
        <f>IFERROR('Kiểm hóa may'!D73 + 'Bản sau là'!D73,0)</f>
        <v>0</v>
      </c>
      <c r="F73" s="97"/>
      <c r="G73" s="97"/>
      <c r="H73" s="97"/>
      <c r="I73" s="97"/>
      <c r="J73" s="97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>
        <f t="shared" ref="AD73:AD104" si="373">IFERROR(400*BF73,0)</f>
        <v>0</v>
      </c>
      <c r="AE73" s="93"/>
      <c r="AF73" s="93">
        <f t="shared" ref="AF73:AF104" si="374">IFERROR(SUM(F73:AC73)*0.2,0)</f>
        <v>0</v>
      </c>
      <c r="AG73" s="93"/>
      <c r="AH73" s="93" t="s">
        <v>179</v>
      </c>
      <c r="AI73" s="98">
        <f t="shared" ref="AI73:AI104" si="375">IFERROR(130*D73,0)</f>
        <v>0</v>
      </c>
      <c r="AJ73" s="81" cm="1">
        <f t="array" ref="AJ73">IFERROR(SUM(_xlfn._xlws.FILTER(E73:AI73,ISNUMBER(E73:AI73))),0)</f>
        <v>0</v>
      </c>
      <c r="AK73" s="81"/>
      <c r="AL73" s="99">
        <f t="shared" ref="AL73" si="376">IFERROR(AJ73*(1+AK73%),0)</f>
        <v>0</v>
      </c>
      <c r="AM73" s="116"/>
      <c r="AN73" s="84">
        <f t="shared" ref="AN73:AN104" si="377">IFERROR(SUM(E73:AC73)/D73,0)</f>
        <v>0</v>
      </c>
      <c r="AO73" s="138"/>
      <c r="AQ73" s="137"/>
      <c r="AR73" s="137"/>
      <c r="AS73" s="137"/>
      <c r="AT73" s="137"/>
      <c r="AU73" s="137"/>
      <c r="AV73" s="137"/>
      <c r="AY73" s="136">
        <f t="shared" ref="AY73:AY104" si="378">IFERROR((AQ73*20)/60,0)</f>
        <v>0</v>
      </c>
      <c r="AZ73" s="136">
        <f t="shared" ref="AZ73" si="379">IFERROR(AX73 + AY73 + BI73,0)</f>
        <v>0</v>
      </c>
      <c r="BA73" s="135">
        <f t="shared" ref="BA73" si="380">IFERROR(AZ73/8,0)</f>
        <v>0</v>
      </c>
      <c r="BB73" s="135">
        <f t="shared" ref="BB73" si="381">IFERROR(MAX(AQ73-BA73,0),0)</f>
        <v>0</v>
      </c>
      <c r="BD73" s="117">
        <f t="shared" ref="BD73:BD104" si="382">IFERROR(10000*D73,0)</f>
        <v>0</v>
      </c>
      <c r="BE73" s="117"/>
      <c r="BF73" s="117"/>
      <c r="BG73" s="117">
        <f t="shared" ref="BG73:BG104" si="383">IFERROR(-IF(AH73=$L$3,0,IF(AH73=$N$3,15*680*D73,IF(AH73=$P$3,30*680*D73,IF(AH73=0,50*680*D73,0)))),0)</f>
        <v>0</v>
      </c>
      <c r="BH73" s="117"/>
      <c r="BI73" s="117"/>
      <c r="BJ73" s="117"/>
    </row>
    <row r="74" spans="1:62" ht="18" hidden="1" customHeight="1" outlineLevel="1">
      <c r="A74" s="57"/>
      <c r="B74" s="132"/>
      <c r="C74" s="95"/>
      <c r="D74" s="95"/>
      <c r="E74" s="111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112"/>
      <c r="AJ74" s="113"/>
      <c r="AK74" s="113"/>
      <c r="AL74" s="114"/>
      <c r="AM74" s="95"/>
      <c r="BE74" s="117"/>
      <c r="BF74" s="117"/>
      <c r="BG74" s="117"/>
      <c r="BH74" s="117"/>
      <c r="BI74" s="117"/>
      <c r="BJ74" s="117"/>
    </row>
    <row r="75" spans="1:62" ht="18" customHeight="1" outlineLevel="1">
      <c r="A75" s="62">
        <v>34</v>
      </c>
      <c r="B75" s="64">
        <f>+'Kiểm hóa may'!B75</f>
        <v>0</v>
      </c>
      <c r="C75" s="68">
        <f>+'Kiểm hóa may'!C75</f>
        <v>0</v>
      </c>
      <c r="D75" s="80">
        <f t="shared" ref="D75" si="384">AQ75</f>
        <v>0</v>
      </c>
      <c r="E75" s="96">
        <f>IFERROR('Kiểm hóa may'!D75 + 'Bản sau là'!D75,0)</f>
        <v>0</v>
      </c>
      <c r="F75" s="97"/>
      <c r="G75" s="97"/>
      <c r="H75" s="97"/>
      <c r="I75" s="97"/>
      <c r="J75" s="97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>
        <f t="shared" ref="AD75:AD106" si="385">IFERROR(400*BF75,0)</f>
        <v>0</v>
      </c>
      <c r="AE75" s="93"/>
      <c r="AF75" s="93">
        <f t="shared" ref="AF75:AF106" si="386">IFERROR(SUM(F75:AC75)*0.2,0)</f>
        <v>0</v>
      </c>
      <c r="AG75" s="93"/>
      <c r="AH75" s="93" t="s">
        <v>179</v>
      </c>
      <c r="AI75" s="98">
        <f t="shared" ref="AI75:AI106" si="387">IFERROR(130*D75,0)</f>
        <v>0</v>
      </c>
      <c r="AJ75" s="81" cm="1">
        <f t="array" ref="AJ75">IFERROR(SUM(_xlfn._xlws.FILTER(E75:AI75,ISNUMBER(E75:AI75))),0)</f>
        <v>0</v>
      </c>
      <c r="AK75" s="81"/>
      <c r="AL75" s="99">
        <f t="shared" ref="AL75" si="388">IFERROR(AJ75*(1+AK75%),0)</f>
        <v>0</v>
      </c>
      <c r="AM75" s="116"/>
      <c r="AN75" s="84">
        <f t="shared" ref="AN75:AN106" si="389">IFERROR(SUM(E75:AC75)/D75,0)</f>
        <v>0</v>
      </c>
      <c r="AO75" s="138"/>
      <c r="AQ75" s="137"/>
      <c r="AR75" s="137"/>
      <c r="AS75" s="137"/>
      <c r="AT75" s="137"/>
      <c r="AU75" s="137"/>
      <c r="AV75" s="137"/>
      <c r="AY75" s="136">
        <f t="shared" ref="AY75:AY106" si="390">IFERROR((AQ75*20)/60,0)</f>
        <v>0</v>
      </c>
      <c r="AZ75" s="136">
        <f t="shared" ref="AZ75" si="391">IFERROR(AX75 + AY75 + BI75,0)</f>
        <v>0</v>
      </c>
      <c r="BA75" s="135">
        <f t="shared" ref="BA75" si="392">IFERROR(AZ75/8,0)</f>
        <v>0</v>
      </c>
      <c r="BB75" s="135">
        <f t="shared" ref="BB75" si="393">IFERROR(MAX(AQ75-BA75,0),0)</f>
        <v>0</v>
      </c>
      <c r="BD75" s="117">
        <f t="shared" ref="BD75:BD106" si="394">IFERROR(10000*D75,0)</f>
        <v>0</v>
      </c>
      <c r="BE75" s="117"/>
      <c r="BF75" s="117"/>
      <c r="BG75" s="117">
        <f t="shared" ref="BG75:BG106" si="395">IFERROR(-IF(AH75=$L$3,0,IF(AH75=$N$3,15*680*D75,IF(AH75=$P$3,30*680*D75,IF(AH75=0,50*680*D75,0)))),0)</f>
        <v>0</v>
      </c>
      <c r="BH75" s="117"/>
      <c r="BI75" s="117"/>
      <c r="BJ75" s="117"/>
    </row>
    <row r="76" spans="1:62" ht="18" hidden="1" customHeight="1" outlineLevel="1">
      <c r="A76" s="95"/>
      <c r="B76" s="132"/>
      <c r="C76" s="95"/>
      <c r="D76" s="95"/>
      <c r="E76" s="111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112"/>
      <c r="AJ76" s="113"/>
      <c r="AK76" s="113"/>
      <c r="AL76" s="114"/>
      <c r="AM76" s="95"/>
      <c r="BE76" s="117"/>
      <c r="BF76" s="117"/>
      <c r="BG76" s="117"/>
      <c r="BH76" s="117"/>
      <c r="BI76" s="117"/>
      <c r="BJ76" s="117"/>
    </row>
    <row r="77" spans="1:62" ht="18" customHeight="1" outlineLevel="1">
      <c r="A77" s="65">
        <v>35</v>
      </c>
      <c r="B77" s="64">
        <f>+'Kiểm hóa may'!B77</f>
        <v>0</v>
      </c>
      <c r="C77" s="68">
        <f>+'Kiểm hóa may'!C77</f>
        <v>0</v>
      </c>
      <c r="D77" s="80">
        <f t="shared" ref="D77" si="396">AQ77</f>
        <v>0</v>
      </c>
      <c r="E77" s="96">
        <f>IFERROR('Kiểm hóa may'!D77 + 'Bản sau là'!D77,0)</f>
        <v>0</v>
      </c>
      <c r="F77" s="97"/>
      <c r="G77" s="97"/>
      <c r="H77" s="97"/>
      <c r="I77" s="97"/>
      <c r="J77" s="97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>
        <f t="shared" ref="AD77:AD108" si="397">IFERROR(400*BF77,0)</f>
        <v>0</v>
      </c>
      <c r="AE77" s="93"/>
      <c r="AF77" s="93">
        <f t="shared" ref="AF77:AF108" si="398">IFERROR(SUM(F77:AC77)*0.2,0)</f>
        <v>0</v>
      </c>
      <c r="AG77" s="93"/>
      <c r="AH77" s="93" t="s">
        <v>179</v>
      </c>
      <c r="AI77" s="98">
        <f t="shared" ref="AI77:AI108" si="399">IFERROR(130*D77,0)</f>
        <v>0</v>
      </c>
      <c r="AJ77" s="81" cm="1">
        <f t="array" ref="AJ77">IFERROR(SUM(_xlfn._xlws.FILTER(E77:AI77,ISNUMBER(E77:AI77))),0)</f>
        <v>0</v>
      </c>
      <c r="AK77" s="81"/>
      <c r="AL77" s="99">
        <f t="shared" ref="AL77" si="400">IFERROR(AJ77*(1+AK77%),0)</f>
        <v>0</v>
      </c>
      <c r="AM77" s="116"/>
      <c r="AN77" s="84">
        <f t="shared" ref="AN77:AN108" si="401">IFERROR(SUM(E77:AC77)/D77,0)</f>
        <v>0</v>
      </c>
      <c r="AO77" s="138"/>
      <c r="AQ77" s="137"/>
      <c r="AR77" s="137"/>
      <c r="AS77" s="137"/>
      <c r="AT77" s="137"/>
      <c r="AU77" s="137"/>
      <c r="AV77" s="137"/>
      <c r="AY77" s="136">
        <f t="shared" ref="AY77:AY108" si="402">IFERROR((AQ77*20)/60,0)</f>
        <v>0</v>
      </c>
      <c r="AZ77" s="136">
        <f t="shared" ref="AZ77" si="403">IFERROR(AX77 + AY77 + BI77,0)</f>
        <v>0</v>
      </c>
      <c r="BA77" s="135">
        <f t="shared" ref="BA77" si="404">IFERROR(AZ77/8,0)</f>
        <v>0</v>
      </c>
      <c r="BB77" s="135">
        <f t="shared" ref="BB77" si="405">IFERROR(MAX(AQ77-BA77,0),0)</f>
        <v>0</v>
      </c>
      <c r="BD77" s="117">
        <f t="shared" ref="BD77:BD108" si="406">IFERROR(10000*D77,0)</f>
        <v>0</v>
      </c>
      <c r="BE77" s="117"/>
      <c r="BF77" s="117"/>
      <c r="BG77" s="117">
        <f t="shared" ref="BG77:BG108" si="407">IFERROR(-IF(AH77=$L$3,0,IF(AH77=$N$3,15*680*D77,IF(AH77=$P$3,30*680*D77,IF(AH77=0,50*680*D77,0)))),0)</f>
        <v>0</v>
      </c>
      <c r="BH77" s="117"/>
      <c r="BI77" s="117"/>
      <c r="BJ77" s="117"/>
    </row>
    <row r="78" spans="1:62" ht="18" hidden="1" customHeight="1" outlineLevel="1">
      <c r="A78" s="57"/>
      <c r="B78" s="132"/>
      <c r="C78" s="95"/>
      <c r="D78" s="95"/>
      <c r="E78" s="111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112"/>
      <c r="AJ78" s="113"/>
      <c r="AK78" s="113"/>
      <c r="AL78" s="114"/>
      <c r="AM78" s="95"/>
      <c r="BE78" s="117"/>
      <c r="BF78" s="117"/>
      <c r="BG78" s="117"/>
      <c r="BH78" s="117"/>
      <c r="BI78" s="117"/>
      <c r="BJ78" s="117"/>
    </row>
    <row r="79" spans="1:62" ht="18" customHeight="1" outlineLevel="1">
      <c r="A79" s="62">
        <v>36</v>
      </c>
      <c r="B79" s="64"/>
      <c r="C79" s="68"/>
      <c r="D79" s="80">
        <f t="shared" ref="D79" si="408">AQ79</f>
        <v>0</v>
      </c>
      <c r="E79" s="96">
        <f>IFERROR('Kiểm hóa may'!D79 + 'Bản sau là'!D79,0)</f>
        <v>0</v>
      </c>
      <c r="F79" s="97"/>
      <c r="G79" s="97"/>
      <c r="H79" s="97"/>
      <c r="I79" s="97"/>
      <c r="J79" s="97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>
        <f t="shared" ref="AD79:AD110" si="409">IFERROR(400*BF79,0)</f>
        <v>0</v>
      </c>
      <c r="AE79" s="93"/>
      <c r="AF79" s="93">
        <f t="shared" ref="AF79:AF110" si="410">IFERROR(SUM(F79:AC79)*0.2,0)</f>
        <v>0</v>
      </c>
      <c r="AG79" s="93"/>
      <c r="AH79" s="93" t="s">
        <v>179</v>
      </c>
      <c r="AI79" s="98">
        <f t="shared" ref="AI79:AI110" si="411">IFERROR(130*D79,0)</f>
        <v>0</v>
      </c>
      <c r="AJ79" s="81" cm="1">
        <f t="array" ref="AJ79">IFERROR(SUM(_xlfn._xlws.FILTER(E79:AI79,ISNUMBER(E79:AI79))),0)</f>
        <v>0</v>
      </c>
      <c r="AK79" s="81"/>
      <c r="AL79" s="99">
        <f t="shared" ref="AL79" si="412">IFERROR(AJ79*(1+AK79%),0)</f>
        <v>0</v>
      </c>
      <c r="AM79" s="116"/>
      <c r="AN79" s="84">
        <f t="shared" ref="AN79:AN110" si="413">IFERROR(SUM(E79:AC79)/D79,0)</f>
        <v>0</v>
      </c>
      <c r="AO79" s="138"/>
      <c r="AQ79" s="137"/>
      <c r="AR79" s="137"/>
      <c r="AS79" s="137"/>
      <c r="AT79" s="137"/>
      <c r="AU79" s="137"/>
      <c r="AV79" s="137"/>
      <c r="AY79" s="136">
        <f t="shared" ref="AY79:AY110" si="414">IFERROR((AQ79*20)/60,0)</f>
        <v>0</v>
      </c>
      <c r="AZ79" s="136">
        <f t="shared" ref="AZ79" si="415">IFERROR(AX79 + AY79 + BI79,0)</f>
        <v>0</v>
      </c>
      <c r="BA79" s="135">
        <f t="shared" ref="BA79" si="416">IFERROR(AZ79/8,0)</f>
        <v>0</v>
      </c>
      <c r="BB79" s="135">
        <f t="shared" ref="BB79" si="417">IFERROR(MAX(AQ79-BA79,0),0)</f>
        <v>0</v>
      </c>
      <c r="BD79" s="117">
        <f t="shared" ref="BD79:BD110" si="418">IFERROR(10000*D79,0)</f>
        <v>0</v>
      </c>
      <c r="BE79" s="117"/>
      <c r="BF79" s="117"/>
      <c r="BG79" s="117">
        <f t="shared" ref="BG79:BG110" si="419">IFERROR(-IF(AH79=$L$3,0,IF(AH79=$N$3,15*680*D79,IF(AH79=$P$3,30*680*D79,IF(AH79=0,50*680*D79,0)))),0)</f>
        <v>0</v>
      </c>
      <c r="BH79" s="117"/>
      <c r="BI79" s="117"/>
      <c r="BJ79" s="117"/>
    </row>
    <row r="80" spans="1:62" ht="18" hidden="1" customHeight="1" outlineLevel="1">
      <c r="A80" s="95"/>
      <c r="B80" s="132"/>
      <c r="C80" s="95"/>
      <c r="D80" s="95"/>
      <c r="E80" s="111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112"/>
      <c r="AJ80" s="113"/>
      <c r="AK80" s="113"/>
      <c r="AL80" s="114"/>
      <c r="AM80" s="95"/>
      <c r="BE80" s="117"/>
      <c r="BF80" s="117"/>
      <c r="BG80" s="117"/>
      <c r="BH80" s="117"/>
      <c r="BI80" s="117"/>
      <c r="BJ80" s="117"/>
    </row>
    <row r="81" spans="1:62" ht="18" customHeight="1" outlineLevel="1">
      <c r="A81" s="65">
        <v>37</v>
      </c>
      <c r="B81" s="64"/>
      <c r="C81" s="68"/>
      <c r="D81" s="80">
        <f t="shared" ref="D81" si="420">AQ81</f>
        <v>0</v>
      </c>
      <c r="E81" s="96">
        <f>IFERROR('Kiểm hóa may'!D81 + 'Bản sau là'!D81,0)</f>
        <v>0</v>
      </c>
      <c r="F81" s="97"/>
      <c r="G81" s="97"/>
      <c r="H81" s="97"/>
      <c r="I81" s="97"/>
      <c r="J81" s="97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>
        <f t="shared" ref="AD81:AD112" si="421">IFERROR(400*BF81,0)</f>
        <v>0</v>
      </c>
      <c r="AE81" s="93"/>
      <c r="AF81" s="93">
        <f t="shared" ref="AF81:AF112" si="422">IFERROR(SUM(F81:AC81)*0.2,0)</f>
        <v>0</v>
      </c>
      <c r="AG81" s="93"/>
      <c r="AH81" s="93" t="s">
        <v>179</v>
      </c>
      <c r="AI81" s="98">
        <f t="shared" ref="AI81:AI112" si="423">IFERROR(130*D81,0)</f>
        <v>0</v>
      </c>
      <c r="AJ81" s="81" cm="1">
        <f t="array" ref="AJ81">IFERROR(SUM(_xlfn._xlws.FILTER(E81:AI81,ISNUMBER(E81:AI81))),0)</f>
        <v>0</v>
      </c>
      <c r="AK81" s="81"/>
      <c r="AL81" s="99">
        <f t="shared" ref="AL81" si="424">IFERROR(AJ81*(1+AK81%),0)</f>
        <v>0</v>
      </c>
      <c r="AM81" s="116"/>
      <c r="AN81" s="84">
        <f t="shared" ref="AN81:AN112" si="425">IFERROR(SUM(E81:AC81)/D81,0)</f>
        <v>0</v>
      </c>
      <c r="AO81" s="138"/>
      <c r="AQ81" s="137"/>
      <c r="AR81" s="137"/>
      <c r="AS81" s="137"/>
      <c r="AT81" s="137"/>
      <c r="AU81" s="137"/>
      <c r="AV81" s="137"/>
      <c r="AY81" s="136">
        <f t="shared" ref="AY81:AY112" si="426">IFERROR((AQ81*20)/60,0)</f>
        <v>0</v>
      </c>
      <c r="AZ81" s="136">
        <f t="shared" ref="AZ81" si="427">IFERROR(AX81 + AY81 + BI81,0)</f>
        <v>0</v>
      </c>
      <c r="BA81" s="135">
        <f t="shared" ref="BA81" si="428">IFERROR(AZ81/8,0)</f>
        <v>0</v>
      </c>
      <c r="BB81" s="135">
        <f t="shared" ref="BB81" si="429">IFERROR(MAX(AQ81-BA81,0),0)</f>
        <v>0</v>
      </c>
      <c r="BD81" s="117">
        <f t="shared" ref="BD81:BD112" si="430">IFERROR(10000*D81,0)</f>
        <v>0</v>
      </c>
      <c r="BE81" s="117"/>
      <c r="BF81" s="117"/>
      <c r="BG81" s="117">
        <f t="shared" ref="BG81:BG112" si="431">IFERROR(-IF(AH81=$L$3,0,IF(AH81=$N$3,15*680*D81,IF(AH81=$P$3,30*680*D81,IF(AH81=0,50*680*D81,0)))),0)</f>
        <v>0</v>
      </c>
      <c r="BH81" s="117"/>
      <c r="BI81" s="117"/>
      <c r="BJ81" s="117"/>
    </row>
    <row r="82" spans="1:62" ht="18" hidden="1" customHeight="1" outlineLevel="1">
      <c r="A82" s="57"/>
      <c r="B82" s="132"/>
      <c r="C82" s="95"/>
      <c r="D82" s="95"/>
      <c r="E82" s="111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112"/>
      <c r="AJ82" s="113"/>
      <c r="AK82" s="113"/>
      <c r="AL82" s="114"/>
      <c r="AM82" s="95"/>
      <c r="BE82" s="117"/>
      <c r="BF82" s="117"/>
      <c r="BG82" s="117"/>
      <c r="BH82" s="117"/>
      <c r="BI82" s="117"/>
      <c r="BJ82" s="117"/>
    </row>
    <row r="83" spans="1:62" ht="18" customHeight="1" outlineLevel="1">
      <c r="A83" s="62">
        <v>38</v>
      </c>
      <c r="B83" s="64"/>
      <c r="C83" s="68"/>
      <c r="D83" s="80">
        <f t="shared" ref="D83" si="432">AQ83</f>
        <v>0</v>
      </c>
      <c r="E83" s="96">
        <f>IFERROR('Kiểm hóa may'!D83 + 'Bản sau là'!D83,0)</f>
        <v>0</v>
      </c>
      <c r="F83" s="97"/>
      <c r="G83" s="97"/>
      <c r="H83" s="97"/>
      <c r="I83" s="97"/>
      <c r="J83" s="97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>
        <f t="shared" ref="AD83:AD114" si="433">IFERROR(400*BF83,0)</f>
        <v>0</v>
      </c>
      <c r="AE83" s="93"/>
      <c r="AF83" s="93">
        <f t="shared" ref="AF83:AF114" si="434">IFERROR(SUM(F83:AC83)*0.2,0)</f>
        <v>0</v>
      </c>
      <c r="AG83" s="93"/>
      <c r="AH83" s="93" t="s">
        <v>179</v>
      </c>
      <c r="AI83" s="98">
        <f t="shared" ref="AI83:AI114" si="435">IFERROR(130*D83,0)</f>
        <v>0</v>
      </c>
      <c r="AJ83" s="81" cm="1">
        <f t="array" ref="AJ83">IFERROR(SUM(_xlfn._xlws.FILTER(E83:AI83,ISNUMBER(E83:AI83))),0)</f>
        <v>0</v>
      </c>
      <c r="AK83" s="81"/>
      <c r="AL83" s="99">
        <f t="shared" ref="AL83" si="436">IFERROR(AJ83*(1+AK83%),0)</f>
        <v>0</v>
      </c>
      <c r="AM83" s="116"/>
      <c r="AN83" s="84">
        <f t="shared" ref="AN83:AN114" si="437">IFERROR(SUM(E83:AC83)/D83,0)</f>
        <v>0</v>
      </c>
      <c r="AO83" s="138"/>
      <c r="AQ83" s="137"/>
      <c r="AR83" s="137"/>
      <c r="AS83" s="137"/>
      <c r="AT83" s="137"/>
      <c r="AU83" s="137"/>
      <c r="AV83" s="137"/>
      <c r="AY83" s="136">
        <f t="shared" ref="AY83:AY114" si="438">IFERROR((AQ83*20)/60,0)</f>
        <v>0</v>
      </c>
      <c r="AZ83" s="136">
        <f t="shared" ref="AZ83" si="439">IFERROR(AX83 + AY83 + BI83,0)</f>
        <v>0</v>
      </c>
      <c r="BA83" s="135">
        <f t="shared" ref="BA83" si="440">IFERROR(AZ83/8,0)</f>
        <v>0</v>
      </c>
      <c r="BB83" s="135">
        <f t="shared" ref="BB83" si="441">IFERROR(MAX(AQ83-BA83,0),0)</f>
        <v>0</v>
      </c>
      <c r="BD83" s="117">
        <f t="shared" ref="BD83:BD114" si="442">IFERROR(10000*D83,0)</f>
        <v>0</v>
      </c>
      <c r="BE83" s="117"/>
      <c r="BF83" s="117"/>
      <c r="BG83" s="117">
        <f t="shared" ref="BG83:BG114" si="443">IFERROR(-IF(AH83=$L$3,0,IF(AH83=$N$3,15*680*D83,IF(AH83=$P$3,30*680*D83,IF(AH83=0,50*680*D83,0)))),0)</f>
        <v>0</v>
      </c>
      <c r="BH83" s="117"/>
      <c r="BI83" s="117"/>
      <c r="BJ83" s="117"/>
    </row>
    <row r="84" spans="1:62" ht="18" hidden="1" customHeight="1" outlineLevel="1">
      <c r="A84" s="95"/>
      <c r="B84" s="132"/>
      <c r="C84" s="95"/>
      <c r="D84" s="95"/>
      <c r="E84" s="111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112"/>
      <c r="AJ84" s="113"/>
      <c r="AK84" s="113"/>
      <c r="AL84" s="114"/>
      <c r="AM84" s="95"/>
      <c r="BE84" s="117"/>
      <c r="BF84" s="117"/>
      <c r="BG84" s="117"/>
      <c r="BH84" s="117"/>
      <c r="BI84" s="117"/>
      <c r="BJ84" s="117"/>
    </row>
    <row r="85" spans="1:62" ht="18" customHeight="1" outlineLevel="1">
      <c r="A85" s="65">
        <v>39</v>
      </c>
      <c r="B85" s="64"/>
      <c r="C85" s="68"/>
      <c r="D85" s="80">
        <f t="shared" ref="D85" si="444">AQ85</f>
        <v>0</v>
      </c>
      <c r="E85" s="96">
        <f>IFERROR('Kiểm hóa may'!D85 + 'Bản sau là'!D85,0)</f>
        <v>0</v>
      </c>
      <c r="F85" s="97"/>
      <c r="G85" s="97"/>
      <c r="H85" s="97"/>
      <c r="I85" s="97"/>
      <c r="J85" s="97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>
        <f t="shared" ref="AD85:AD116" si="445">IFERROR(400*BF85,0)</f>
        <v>0</v>
      </c>
      <c r="AE85" s="93"/>
      <c r="AF85" s="93">
        <f t="shared" ref="AF85:AF116" si="446">IFERROR(SUM(F85:AC85)*0.2,0)</f>
        <v>0</v>
      </c>
      <c r="AG85" s="93"/>
      <c r="AH85" s="93" t="s">
        <v>179</v>
      </c>
      <c r="AI85" s="98">
        <f t="shared" ref="AI85:AI116" si="447">IFERROR(130*D85,0)</f>
        <v>0</v>
      </c>
      <c r="AJ85" s="81" cm="1">
        <f t="array" ref="AJ85">IFERROR(SUM(_xlfn._xlws.FILTER(E85:AI85,ISNUMBER(E85:AI85))),0)</f>
        <v>0</v>
      </c>
      <c r="AK85" s="81"/>
      <c r="AL85" s="99">
        <f t="shared" ref="AL85" si="448">IFERROR(AJ85*(1+AK85%),0)</f>
        <v>0</v>
      </c>
      <c r="AM85" s="116"/>
      <c r="AN85" s="84">
        <f t="shared" ref="AN85:AN116" si="449">IFERROR(SUM(E85:AC85)/D85,0)</f>
        <v>0</v>
      </c>
      <c r="AO85" s="138"/>
      <c r="AQ85" s="137"/>
      <c r="AR85" s="137"/>
      <c r="AS85" s="137"/>
      <c r="AT85" s="137"/>
      <c r="AU85" s="137"/>
      <c r="AV85" s="137"/>
      <c r="AY85" s="136">
        <f t="shared" ref="AY85:AY116" si="450">IFERROR((AQ85*20)/60,0)</f>
        <v>0</v>
      </c>
      <c r="AZ85" s="136">
        <f t="shared" ref="AZ85" si="451">IFERROR(AX85 + AY85 + BI85,0)</f>
        <v>0</v>
      </c>
      <c r="BA85" s="135">
        <f t="shared" ref="BA85" si="452">IFERROR(AZ85/8,0)</f>
        <v>0</v>
      </c>
      <c r="BB85" s="135">
        <f t="shared" ref="BB85" si="453">IFERROR(MAX(AQ85-BA85,0),0)</f>
        <v>0</v>
      </c>
      <c r="BD85" s="117">
        <f t="shared" ref="BD85:BD116" si="454">IFERROR(10000*D85,0)</f>
        <v>0</v>
      </c>
      <c r="BE85" s="117"/>
      <c r="BF85" s="117"/>
      <c r="BG85" s="117">
        <f t="shared" ref="BG85:BG116" si="455">IFERROR(-IF(AH85=$L$3,0,IF(AH85=$N$3,15*680*D85,IF(AH85=$P$3,30*680*D85,IF(AH85=0,50*680*D85,0)))),0)</f>
        <v>0</v>
      </c>
      <c r="BH85" s="117"/>
      <c r="BI85" s="117"/>
      <c r="BJ85" s="117"/>
    </row>
    <row r="86" spans="1:62" ht="18" hidden="1" customHeight="1" outlineLevel="1">
      <c r="A86" s="57"/>
      <c r="B86" s="132"/>
      <c r="C86" s="95"/>
      <c r="D86" s="95"/>
      <c r="E86" s="111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112"/>
      <c r="AJ86" s="113"/>
      <c r="AK86" s="113"/>
      <c r="AL86" s="114"/>
      <c r="AM86" s="95"/>
      <c r="BE86" s="117"/>
      <c r="BF86" s="117"/>
      <c r="BG86" s="117"/>
      <c r="BH86" s="117"/>
      <c r="BI86" s="117"/>
      <c r="BJ86" s="117"/>
    </row>
    <row r="87" spans="1:62" ht="18" customHeight="1" outlineLevel="1">
      <c r="A87" s="62">
        <v>40</v>
      </c>
      <c r="B87" s="64"/>
      <c r="C87" s="68"/>
      <c r="D87" s="80">
        <f t="shared" ref="D87" si="456">AQ87</f>
        <v>0</v>
      </c>
      <c r="E87" s="96">
        <f>IFERROR('Kiểm hóa may'!D87 + 'Bản sau là'!D87,0)</f>
        <v>0</v>
      </c>
      <c r="F87" s="97"/>
      <c r="G87" s="97"/>
      <c r="H87" s="97"/>
      <c r="I87" s="97"/>
      <c r="J87" s="97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>
        <f t="shared" ref="AD87:AD118" si="457">IFERROR(400*BF87,0)</f>
        <v>0</v>
      </c>
      <c r="AE87" s="93"/>
      <c r="AF87" s="93">
        <f t="shared" ref="AF87:AF118" si="458">IFERROR(SUM(F87:AC87)*0.2,0)</f>
        <v>0</v>
      </c>
      <c r="AG87" s="93"/>
      <c r="AH87" s="93" t="s">
        <v>179</v>
      </c>
      <c r="AI87" s="98">
        <f t="shared" ref="AI87:AI118" si="459">IFERROR(130*D87,0)</f>
        <v>0</v>
      </c>
      <c r="AJ87" s="81" cm="1">
        <f t="array" ref="AJ87">IFERROR(SUM(_xlfn._xlws.FILTER(E87:AI87,ISNUMBER(E87:AI87))),0)</f>
        <v>0</v>
      </c>
      <c r="AK87" s="81"/>
      <c r="AL87" s="99">
        <f t="shared" ref="AL87" si="460">IFERROR(AJ87*(1+AK87%),0)</f>
        <v>0</v>
      </c>
      <c r="AM87" s="116"/>
      <c r="AN87" s="84">
        <f t="shared" ref="AN87:AN118" si="461">IFERROR(SUM(E87:AC87)/D87,0)</f>
        <v>0</v>
      </c>
      <c r="AO87" s="138"/>
      <c r="AQ87" s="137"/>
      <c r="AR87" s="137"/>
      <c r="AS87" s="137"/>
      <c r="AT87" s="137"/>
      <c r="AU87" s="137"/>
      <c r="AV87" s="137"/>
      <c r="AY87" s="136">
        <f t="shared" ref="AY87:AY118" si="462">IFERROR((AQ87*20)/60,0)</f>
        <v>0</v>
      </c>
      <c r="AZ87" s="136">
        <f t="shared" ref="AZ87" si="463">IFERROR(AX87 + AY87 + BI87,0)</f>
        <v>0</v>
      </c>
      <c r="BA87" s="135">
        <f t="shared" ref="BA87" si="464">IFERROR(AZ87/8,0)</f>
        <v>0</v>
      </c>
      <c r="BB87" s="135">
        <f t="shared" ref="BB87" si="465">IFERROR(MAX(AQ87-BA87,0),0)</f>
        <v>0</v>
      </c>
      <c r="BD87" s="117">
        <f t="shared" ref="BD87:BD118" si="466">IFERROR(10000*D87,0)</f>
        <v>0</v>
      </c>
      <c r="BE87" s="117"/>
      <c r="BF87" s="117"/>
      <c r="BG87" s="117">
        <f t="shared" ref="BG87:BG118" si="467">IFERROR(-IF(AH87=$L$3,0,IF(AH87=$N$3,15*680*D87,IF(AH87=$P$3,30*680*D87,IF(AH87=0,50*680*D87,0)))),0)</f>
        <v>0</v>
      </c>
      <c r="BH87" s="117"/>
      <c r="BI87" s="117"/>
      <c r="BJ87" s="117"/>
    </row>
    <row r="88" spans="1:62" ht="18" hidden="1" customHeight="1" outlineLevel="1">
      <c r="A88" s="95"/>
      <c r="B88" s="132"/>
      <c r="C88" s="95"/>
      <c r="D88" s="95"/>
      <c r="E88" s="111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112"/>
      <c r="AJ88" s="113"/>
      <c r="AK88" s="113"/>
      <c r="AL88" s="114"/>
      <c r="AM88" s="95"/>
      <c r="BE88" s="117"/>
      <c r="BF88" s="117"/>
      <c r="BG88" s="117"/>
      <c r="BH88" s="117"/>
      <c r="BI88" s="117"/>
      <c r="BJ88" s="117"/>
    </row>
    <row r="89" spans="1:62" ht="18" customHeight="1" outlineLevel="1">
      <c r="A89" s="65">
        <v>41</v>
      </c>
      <c r="B89" s="64"/>
      <c r="C89" s="68"/>
      <c r="D89" s="80">
        <f t="shared" ref="D89" si="468">AQ89</f>
        <v>0</v>
      </c>
      <c r="E89" s="96">
        <f>IFERROR('Kiểm hóa may'!D89 + 'Bản sau là'!D89,0)</f>
        <v>0</v>
      </c>
      <c r="F89" s="97"/>
      <c r="G89" s="97"/>
      <c r="H89" s="97"/>
      <c r="I89" s="97"/>
      <c r="J89" s="97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>
        <f t="shared" ref="AD89:AD120" si="469">IFERROR(400*BF89,0)</f>
        <v>0</v>
      </c>
      <c r="AE89" s="93"/>
      <c r="AF89" s="93">
        <f t="shared" ref="AF89:AF120" si="470">IFERROR(SUM(F89:AC89)*0.2,0)</f>
        <v>0</v>
      </c>
      <c r="AG89" s="93"/>
      <c r="AH89" s="93" t="s">
        <v>179</v>
      </c>
      <c r="AI89" s="98">
        <f t="shared" ref="AI89:AI120" si="471">IFERROR(130*D89,0)</f>
        <v>0</v>
      </c>
      <c r="AJ89" s="81" cm="1">
        <f t="array" ref="AJ89">IFERROR(SUM(_xlfn._xlws.FILTER(E89:AI89,ISNUMBER(E89:AI89))),0)</f>
        <v>0</v>
      </c>
      <c r="AK89" s="81"/>
      <c r="AL89" s="99">
        <f t="shared" ref="AL89" si="472">IFERROR(AJ89*(1+AK89%),0)</f>
        <v>0</v>
      </c>
      <c r="AM89" s="116"/>
      <c r="AN89" s="84">
        <f t="shared" ref="AN89:AN120" si="473">IFERROR(SUM(E89:AC89)/D89,0)</f>
        <v>0</v>
      </c>
      <c r="AO89" s="138"/>
      <c r="AQ89" s="137"/>
      <c r="AR89" s="137"/>
      <c r="AS89" s="137"/>
      <c r="AT89" s="137"/>
      <c r="AU89" s="137"/>
      <c r="AV89" s="137"/>
      <c r="AY89" s="136">
        <f t="shared" ref="AY89:AY120" si="474">IFERROR((AQ89*20)/60,0)</f>
        <v>0</v>
      </c>
      <c r="AZ89" s="136">
        <f t="shared" ref="AZ89" si="475">IFERROR(AX89 + AY89 + BI89,0)</f>
        <v>0</v>
      </c>
      <c r="BA89" s="135">
        <f t="shared" ref="BA89" si="476">IFERROR(AZ89/8,0)</f>
        <v>0</v>
      </c>
      <c r="BB89" s="135">
        <f t="shared" ref="BB89" si="477">IFERROR(MAX(AQ89-BA89,0),0)</f>
        <v>0</v>
      </c>
      <c r="BD89" s="117">
        <f t="shared" ref="BD89:BD120" si="478">IFERROR(10000*D89,0)</f>
        <v>0</v>
      </c>
      <c r="BE89" s="117"/>
      <c r="BF89" s="117"/>
      <c r="BG89" s="117">
        <f t="shared" ref="BG89:BG120" si="479">IFERROR(-IF(AH89=$L$3,0,IF(AH89=$N$3,15*680*D89,IF(AH89=$P$3,30*680*D89,IF(AH89=0,50*680*D89,0)))),0)</f>
        <v>0</v>
      </c>
      <c r="BH89" s="117"/>
      <c r="BI89" s="117"/>
      <c r="BJ89" s="117"/>
    </row>
    <row r="90" spans="1:62" ht="18" hidden="1" customHeight="1" outlineLevel="1">
      <c r="A90" s="57"/>
      <c r="B90" s="132"/>
      <c r="C90" s="95"/>
      <c r="D90" s="95"/>
      <c r="E90" s="111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112"/>
      <c r="AJ90" s="113"/>
      <c r="AK90" s="113"/>
      <c r="AL90" s="114"/>
      <c r="AM90" s="95"/>
      <c r="BE90" s="117"/>
      <c r="BF90" s="117"/>
      <c r="BG90" s="117"/>
      <c r="BH90" s="117"/>
      <c r="BI90" s="117"/>
      <c r="BJ90" s="117"/>
    </row>
    <row r="91" spans="1:62" ht="18" customHeight="1" outlineLevel="1">
      <c r="A91" s="62">
        <v>42</v>
      </c>
      <c r="B91" s="64"/>
      <c r="C91" s="68"/>
      <c r="D91" s="80">
        <f t="shared" ref="D91" si="480">AQ91</f>
        <v>0</v>
      </c>
      <c r="E91" s="96">
        <f>IFERROR('Kiểm hóa may'!D91 + 'Bản sau là'!D91,0)</f>
        <v>0</v>
      </c>
      <c r="F91" s="97"/>
      <c r="G91" s="97"/>
      <c r="H91" s="97"/>
      <c r="I91" s="97"/>
      <c r="J91" s="97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>
        <f t="shared" ref="AD91:AD122" si="481">IFERROR(400*BF91,0)</f>
        <v>0</v>
      </c>
      <c r="AE91" s="93"/>
      <c r="AF91" s="93">
        <f t="shared" ref="AF91:AF122" si="482">IFERROR(SUM(F91:AC91)*0.2,0)</f>
        <v>0</v>
      </c>
      <c r="AG91" s="93"/>
      <c r="AH91" s="93" t="s">
        <v>179</v>
      </c>
      <c r="AI91" s="98">
        <f t="shared" ref="AI91:AI122" si="483">IFERROR(130*D91,0)</f>
        <v>0</v>
      </c>
      <c r="AJ91" s="81" cm="1">
        <f t="array" ref="AJ91">IFERROR(SUM(_xlfn._xlws.FILTER(E91:AI91,ISNUMBER(E91:AI91))),0)</f>
        <v>0</v>
      </c>
      <c r="AK91" s="81"/>
      <c r="AL91" s="99">
        <f t="shared" ref="AL91" si="484">IFERROR(AJ91*(1+AK91%),0)</f>
        <v>0</v>
      </c>
      <c r="AM91" s="116"/>
      <c r="AN91" s="84">
        <f t="shared" ref="AN91:AN122" si="485">IFERROR(SUM(E91:AC91)/D91,0)</f>
        <v>0</v>
      </c>
      <c r="AO91" s="138"/>
      <c r="AQ91" s="137"/>
      <c r="AR91" s="137"/>
      <c r="AS91" s="137"/>
      <c r="AT91" s="137"/>
      <c r="AU91" s="137"/>
      <c r="AV91" s="137"/>
      <c r="AY91" s="136">
        <f t="shared" ref="AY91:AY122" si="486">IFERROR((AQ91*20)/60,0)</f>
        <v>0</v>
      </c>
      <c r="AZ91" s="136">
        <f t="shared" ref="AZ91" si="487">IFERROR(AX91 + AY91 + BI91,0)</f>
        <v>0</v>
      </c>
      <c r="BA91" s="135">
        <f t="shared" ref="BA91" si="488">IFERROR(AZ91/8,0)</f>
        <v>0</v>
      </c>
      <c r="BB91" s="135">
        <f t="shared" ref="BB91" si="489">IFERROR(MAX(AQ91-BA91,0),0)</f>
        <v>0</v>
      </c>
      <c r="BD91" s="117">
        <f t="shared" ref="BD91:BD122" si="490">IFERROR(10000*D91,0)</f>
        <v>0</v>
      </c>
      <c r="BE91" s="117"/>
      <c r="BF91" s="117"/>
      <c r="BG91" s="117">
        <f t="shared" ref="BG91:BG122" si="491">IFERROR(-IF(AH91=$L$3,0,IF(AH91=$N$3,15*680*D91,IF(AH91=$P$3,30*680*D91,IF(AH91=0,50*680*D91,0)))),0)</f>
        <v>0</v>
      </c>
      <c r="BH91" s="117"/>
      <c r="BI91" s="117"/>
      <c r="BJ91" s="117"/>
    </row>
    <row r="92" spans="1:62" ht="18" hidden="1" customHeight="1" outlineLevel="1">
      <c r="A92" s="95"/>
      <c r="B92" s="132"/>
      <c r="C92" s="95"/>
      <c r="D92" s="95"/>
      <c r="E92" s="111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112"/>
      <c r="AJ92" s="113"/>
      <c r="AK92" s="113"/>
      <c r="AL92" s="114"/>
      <c r="AM92" s="95"/>
      <c r="BE92" s="117"/>
      <c r="BF92" s="117"/>
      <c r="BG92" s="117"/>
      <c r="BH92" s="117"/>
      <c r="BI92" s="117"/>
      <c r="BJ92" s="117"/>
    </row>
    <row r="93" spans="1:62" ht="18" customHeight="1">
      <c r="A93" s="65">
        <v>43</v>
      </c>
      <c r="B93" s="64"/>
      <c r="C93" s="68"/>
      <c r="D93" s="80">
        <f t="shared" ref="D93" si="492">AQ93</f>
        <v>0</v>
      </c>
      <c r="E93" s="96">
        <f>IFERROR('Kiểm hóa may'!D93 + 'Bản sau là'!D93,0)</f>
        <v>0</v>
      </c>
      <c r="F93" s="97"/>
      <c r="G93" s="97"/>
      <c r="H93" s="97"/>
      <c r="I93" s="97"/>
      <c r="J93" s="97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>
        <f t="shared" ref="AD93:AD124" si="493">IFERROR(400*BF93,0)</f>
        <v>0</v>
      </c>
      <c r="AE93" s="93"/>
      <c r="AF93" s="93">
        <f t="shared" ref="AF93:AF124" si="494">IFERROR(SUM(F93:AC93)*0.2,0)</f>
        <v>0</v>
      </c>
      <c r="AG93" s="93"/>
      <c r="AH93" s="93" t="s">
        <v>179</v>
      </c>
      <c r="AI93" s="98">
        <f t="shared" ref="AI93:AI124" si="495">IFERROR(130*D93,0)</f>
        <v>0</v>
      </c>
      <c r="AJ93" s="81" cm="1">
        <f t="array" ref="AJ93">IFERROR(SUM(_xlfn._xlws.FILTER(E93:AI93,ISNUMBER(E93:AI93))),0)</f>
        <v>0</v>
      </c>
      <c r="AK93" s="81"/>
      <c r="AL93" s="99">
        <f t="shared" ref="AL93" si="496">IFERROR(AJ93*(1+AK93%),0)</f>
        <v>0</v>
      </c>
      <c r="AM93" s="116"/>
      <c r="AN93" s="84">
        <f t="shared" ref="AN93:AN124" si="497">IFERROR(SUM(E93:AC93)/D93,0)</f>
        <v>0</v>
      </c>
      <c r="AO93" s="138"/>
      <c r="AQ93" s="137"/>
      <c r="AR93" s="137"/>
      <c r="AS93" s="137"/>
      <c r="AT93" s="137"/>
      <c r="AU93" s="137"/>
      <c r="AV93" s="137"/>
      <c r="AY93" s="136">
        <f t="shared" ref="AY93:AY124" si="498">IFERROR((AQ93*20)/60,0)</f>
        <v>0</v>
      </c>
      <c r="AZ93" s="136">
        <f t="shared" ref="AZ93" si="499">IFERROR(AX93 + AY93 + BI93,0)</f>
        <v>0</v>
      </c>
      <c r="BA93" s="135">
        <f t="shared" ref="BA93" si="500">IFERROR(AZ93/8,0)</f>
        <v>0</v>
      </c>
      <c r="BB93" s="135">
        <f t="shared" ref="BB93" si="501">IFERROR(MAX(AQ93-BA93,0),0)</f>
        <v>0</v>
      </c>
      <c r="BD93" s="117">
        <f t="shared" ref="BD93:BD124" si="502">IFERROR(10000*D93,0)</f>
        <v>0</v>
      </c>
      <c r="BE93" s="117"/>
      <c r="BF93" s="117"/>
      <c r="BG93" s="117">
        <f t="shared" ref="BG93:BG124" si="503">IFERROR(-IF(AH93=$L$3,0,IF(AH93=$N$3,15*680*D93,IF(AH93=$P$3,30*680*D93,IF(AH93=0,50*680*D93,0)))),0)</f>
        <v>0</v>
      </c>
      <c r="BH93" s="117"/>
      <c r="BI93" s="117"/>
      <c r="BJ93" s="117"/>
    </row>
    <row r="94" spans="1:62" ht="18" hidden="1" customHeight="1" outlineLevel="1">
      <c r="A94" s="57"/>
      <c r="B94" s="132"/>
      <c r="C94" s="95"/>
      <c r="D94" s="95"/>
      <c r="E94" s="111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112"/>
      <c r="AJ94" s="113"/>
      <c r="AK94" s="113"/>
      <c r="AL94" s="114"/>
      <c r="AM94" s="95"/>
      <c r="BE94" s="117"/>
      <c r="BF94" s="117"/>
      <c r="BG94" s="117"/>
      <c r="BH94" s="117"/>
      <c r="BI94" s="117"/>
      <c r="BJ94" s="117"/>
    </row>
    <row r="95" spans="1:62" ht="18" customHeight="1" outlineLevel="1">
      <c r="A95" s="62">
        <v>44</v>
      </c>
      <c r="B95" s="64"/>
      <c r="C95" s="68"/>
      <c r="D95" s="80">
        <f t="shared" ref="D95" si="504">AQ95</f>
        <v>0</v>
      </c>
      <c r="E95" s="96">
        <f>IFERROR('Kiểm hóa may'!D95 + 'Bản sau là'!D95,0)</f>
        <v>0</v>
      </c>
      <c r="F95" s="97"/>
      <c r="G95" s="97"/>
      <c r="H95" s="97"/>
      <c r="I95" s="97"/>
      <c r="J95" s="97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>
        <f t="shared" ref="AD95:AD126" si="505">IFERROR(400*BF95,0)</f>
        <v>0</v>
      </c>
      <c r="AE95" s="93"/>
      <c r="AF95" s="93">
        <f t="shared" ref="AF95:AF126" si="506">IFERROR(SUM(F95:AC95)*0.2,0)</f>
        <v>0</v>
      </c>
      <c r="AG95" s="93"/>
      <c r="AH95" s="93" t="s">
        <v>179</v>
      </c>
      <c r="AI95" s="98">
        <f t="shared" ref="AI95:AI126" si="507">IFERROR(130*D95,0)</f>
        <v>0</v>
      </c>
      <c r="AJ95" s="81" cm="1">
        <f t="array" ref="AJ95">IFERROR(SUM(_xlfn._xlws.FILTER(E95:AI95,ISNUMBER(E95:AI95))),0)</f>
        <v>0</v>
      </c>
      <c r="AK95" s="81"/>
      <c r="AL95" s="99">
        <f t="shared" ref="AL95" si="508">IFERROR(AJ95*(1+AK95%),0)</f>
        <v>0</v>
      </c>
      <c r="AM95" s="116"/>
      <c r="AN95" s="84">
        <f t="shared" ref="AN95:AN126" si="509">IFERROR(SUM(E95:AC95)/D95,0)</f>
        <v>0</v>
      </c>
      <c r="AO95" s="138"/>
      <c r="AQ95" s="137"/>
      <c r="AR95" s="137"/>
      <c r="AS95" s="137"/>
      <c r="AT95" s="137"/>
      <c r="AU95" s="137"/>
      <c r="AV95" s="137"/>
      <c r="AY95" s="136">
        <f t="shared" ref="AY95:AY126" si="510">IFERROR((AQ95*20)/60,0)</f>
        <v>0</v>
      </c>
      <c r="AZ95" s="136">
        <f t="shared" ref="AZ95" si="511">IFERROR(AX95 + AY95 + BI95,0)</f>
        <v>0</v>
      </c>
      <c r="BA95" s="135">
        <f t="shared" ref="BA95" si="512">IFERROR(AZ95/8,0)</f>
        <v>0</v>
      </c>
      <c r="BB95" s="135">
        <f t="shared" ref="BB95" si="513">IFERROR(MAX(AQ95-BA95,0),0)</f>
        <v>0</v>
      </c>
      <c r="BD95" s="117">
        <f t="shared" ref="BD95:BD126" si="514">IFERROR(10000*D95,0)</f>
        <v>0</v>
      </c>
      <c r="BE95" s="117"/>
      <c r="BF95" s="117"/>
      <c r="BG95" s="117">
        <f t="shared" ref="BG95:BG126" si="515">IFERROR(-IF(AH95=$L$3,0,IF(AH95=$N$3,15*680*D95,IF(AH95=$P$3,30*680*D95,IF(AH95=0,50*680*D95,0)))),0)</f>
        <v>0</v>
      </c>
      <c r="BH95" s="117"/>
      <c r="BI95" s="117"/>
      <c r="BJ95" s="117"/>
    </row>
    <row r="96" spans="1:62" ht="18" hidden="1" customHeight="1">
      <c r="A96" s="95"/>
      <c r="B96" s="132"/>
      <c r="C96" s="95"/>
      <c r="D96" s="95"/>
      <c r="E96" s="111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112"/>
      <c r="AJ96" s="113"/>
      <c r="AK96" s="113"/>
      <c r="AL96" s="114"/>
      <c r="AM96" s="95"/>
      <c r="BE96" s="117"/>
      <c r="BF96" s="117"/>
      <c r="BG96" s="117"/>
      <c r="BH96" s="117"/>
      <c r="BI96" s="117"/>
      <c r="BJ96" s="117"/>
    </row>
    <row r="97" spans="1:62" ht="18" customHeight="1">
      <c r="A97" s="65">
        <v>45</v>
      </c>
      <c r="B97" s="64"/>
      <c r="C97" s="68"/>
      <c r="D97" s="80">
        <f t="shared" ref="D97" si="516">AQ97</f>
        <v>0</v>
      </c>
      <c r="E97" s="96">
        <f>IFERROR('Kiểm hóa may'!D97 + 'Bản sau là'!D97,0)</f>
        <v>0</v>
      </c>
      <c r="F97" s="97"/>
      <c r="G97" s="97"/>
      <c r="H97" s="97"/>
      <c r="I97" s="97"/>
      <c r="J97" s="97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>
        <f t="shared" ref="AD97:AD128" si="517">IFERROR(400*BF97,0)</f>
        <v>0</v>
      </c>
      <c r="AE97" s="93"/>
      <c r="AF97" s="93">
        <f t="shared" ref="AF97:AF128" si="518">IFERROR(SUM(F97:AC97)*0.2,0)</f>
        <v>0</v>
      </c>
      <c r="AG97" s="93"/>
      <c r="AH97" s="93" t="s">
        <v>179</v>
      </c>
      <c r="AI97" s="98">
        <f t="shared" ref="AI97:AI128" si="519">IFERROR(130*D97,0)</f>
        <v>0</v>
      </c>
      <c r="AJ97" s="81" cm="1">
        <f t="array" ref="AJ97">IFERROR(SUM(_xlfn._xlws.FILTER(E97:AI97,ISNUMBER(E97:AI97))),0)</f>
        <v>0</v>
      </c>
      <c r="AK97" s="81"/>
      <c r="AL97" s="99">
        <f t="shared" ref="AL97" si="520">IFERROR(AJ97*(1+AK97%),0)</f>
        <v>0</v>
      </c>
      <c r="AM97" s="116"/>
      <c r="AN97" s="84">
        <f t="shared" ref="AN97:AN128" si="521">IFERROR(SUM(E97:AC97)/D97,0)</f>
        <v>0</v>
      </c>
      <c r="AO97" s="138"/>
      <c r="AQ97" s="137"/>
      <c r="AR97" s="137"/>
      <c r="AS97" s="137"/>
      <c r="AT97" s="137"/>
      <c r="AU97" s="137"/>
      <c r="AV97" s="137"/>
      <c r="AY97" s="136">
        <f t="shared" ref="AY97:AY128" si="522">IFERROR((AQ97*20)/60,0)</f>
        <v>0</v>
      </c>
      <c r="AZ97" s="136">
        <f t="shared" ref="AZ97" si="523">IFERROR(AX97 + AY97 + BI97,0)</f>
        <v>0</v>
      </c>
      <c r="BA97" s="135">
        <f t="shared" ref="BA97" si="524">IFERROR(AZ97/8,0)</f>
        <v>0</v>
      </c>
      <c r="BB97" s="135">
        <f t="shared" ref="BB97" si="525">IFERROR(MAX(AQ97-BA97,0),0)</f>
        <v>0</v>
      </c>
      <c r="BD97" s="117">
        <f t="shared" ref="BD97:BD128" si="526">IFERROR(10000*D97,0)</f>
        <v>0</v>
      </c>
      <c r="BE97" s="117"/>
      <c r="BF97" s="117"/>
      <c r="BG97" s="117">
        <f t="shared" ref="BG97:BG128" si="527">IFERROR(-IF(AH97=$L$3,0,IF(AH97=$N$3,15*680*D97,IF(AH97=$P$3,30*680*D97,IF(AH97=0,50*680*D97,0)))),0)</f>
        <v>0</v>
      </c>
      <c r="BH97" s="117"/>
      <c r="BI97" s="117"/>
      <c r="BJ97" s="117"/>
    </row>
    <row r="98" spans="1:62" ht="18" hidden="1" customHeight="1">
      <c r="A98" s="57"/>
      <c r="B98" s="132"/>
      <c r="C98" s="95"/>
      <c r="D98" s="95"/>
      <c r="E98" s="111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112"/>
      <c r="AJ98" s="113"/>
      <c r="AK98" s="113"/>
      <c r="AL98" s="114"/>
      <c r="AM98" s="95"/>
      <c r="BE98" s="117"/>
      <c r="BF98" s="117"/>
      <c r="BG98" s="117"/>
      <c r="BH98" s="117"/>
      <c r="BI98" s="117"/>
      <c r="BJ98" s="117"/>
    </row>
    <row r="99" spans="1:62" ht="18" customHeight="1">
      <c r="A99" s="62">
        <v>46</v>
      </c>
      <c r="B99" s="64"/>
      <c r="C99" s="68"/>
      <c r="D99" s="80">
        <f t="shared" ref="D99" si="528">AQ99</f>
        <v>0</v>
      </c>
      <c r="E99" s="96">
        <f>IFERROR('Kiểm hóa may'!D99 + 'Bản sau là'!D99,0)</f>
        <v>0</v>
      </c>
      <c r="F99" s="97"/>
      <c r="G99" s="97"/>
      <c r="H99" s="97"/>
      <c r="I99" s="97"/>
      <c r="J99" s="97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  <c r="AA99" s="93"/>
      <c r="AB99" s="93"/>
      <c r="AC99" s="93"/>
      <c r="AD99" s="93">
        <f t="shared" ref="AD99:AD130" si="529">IFERROR(400*BF99,0)</f>
        <v>0</v>
      </c>
      <c r="AE99" s="93"/>
      <c r="AF99" s="93">
        <f t="shared" ref="AF99:AF130" si="530">IFERROR(SUM(F99:AC99)*0.2,0)</f>
        <v>0</v>
      </c>
      <c r="AG99" s="93"/>
      <c r="AH99" s="93" t="s">
        <v>179</v>
      </c>
      <c r="AI99" s="98">
        <f t="shared" ref="AI99:AI130" si="531">IFERROR(130*D99,0)</f>
        <v>0</v>
      </c>
      <c r="AJ99" s="81" cm="1">
        <f t="array" ref="AJ99">IFERROR(SUM(_xlfn._xlws.FILTER(E99:AI99,ISNUMBER(E99:AI99))),0)</f>
        <v>0</v>
      </c>
      <c r="AK99" s="81"/>
      <c r="AL99" s="99">
        <f t="shared" ref="AL99" si="532">IFERROR(AJ99*(1+AK99%),0)</f>
        <v>0</v>
      </c>
      <c r="AM99" s="116"/>
      <c r="AN99" s="84">
        <f t="shared" ref="AN99:AN130" si="533">IFERROR(SUM(E99:AC99)/D99,0)</f>
        <v>0</v>
      </c>
      <c r="AO99" s="138"/>
      <c r="AQ99" s="137"/>
      <c r="AR99" s="137"/>
      <c r="AS99" s="137"/>
      <c r="AT99" s="137"/>
      <c r="AU99" s="137"/>
      <c r="AV99" s="137"/>
      <c r="AY99" s="136">
        <f t="shared" ref="AY99:AY130" si="534">IFERROR((AQ99*20)/60,0)</f>
        <v>0</v>
      </c>
      <c r="AZ99" s="136">
        <f t="shared" ref="AZ99" si="535">IFERROR(AX99 + AY99 + BI99,0)</f>
        <v>0</v>
      </c>
      <c r="BA99" s="135">
        <f t="shared" ref="BA99" si="536">IFERROR(AZ99/8,0)</f>
        <v>0</v>
      </c>
      <c r="BB99" s="135">
        <f t="shared" ref="BB99" si="537">IFERROR(MAX(AQ99-BA99,0),0)</f>
        <v>0</v>
      </c>
      <c r="BD99" s="117">
        <f t="shared" ref="BD99:BD130" si="538">IFERROR(10000*D99,0)</f>
        <v>0</v>
      </c>
      <c r="BE99" s="117"/>
      <c r="BF99" s="117"/>
      <c r="BG99" s="117">
        <f t="shared" ref="BG99:BG130" si="539">IFERROR(-IF(AH99=$L$3,0,IF(AH99=$N$3,15*680*D99,IF(AH99=$P$3,30*680*D99,IF(AH99=0,50*680*D99,0)))),0)</f>
        <v>0</v>
      </c>
      <c r="BH99" s="117"/>
      <c r="BI99" s="117"/>
      <c r="BJ99" s="117"/>
    </row>
    <row r="100" spans="1:62" ht="18" hidden="1" customHeight="1">
      <c r="A100" s="95"/>
      <c r="B100" s="132"/>
      <c r="C100" s="95"/>
      <c r="D100" s="95"/>
      <c r="E100" s="111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112"/>
      <c r="AJ100" s="113"/>
      <c r="AK100" s="113"/>
      <c r="AL100" s="114"/>
      <c r="AM100" s="95"/>
      <c r="BE100" s="117"/>
      <c r="BF100" s="117"/>
      <c r="BG100" s="117"/>
      <c r="BH100" s="117"/>
      <c r="BI100" s="117"/>
      <c r="BJ100" s="117"/>
    </row>
    <row r="101" spans="1:62" ht="18" customHeight="1">
      <c r="A101" s="65">
        <v>47</v>
      </c>
      <c r="B101" s="64"/>
      <c r="C101" s="68"/>
      <c r="D101" s="80">
        <f t="shared" ref="D101" si="540">AQ101</f>
        <v>0</v>
      </c>
      <c r="E101" s="96">
        <f>IFERROR('Kiểm hóa may'!D101 + 'Bản sau là'!D101,0)</f>
        <v>0</v>
      </c>
      <c r="F101" s="97"/>
      <c r="G101" s="97"/>
      <c r="H101" s="97"/>
      <c r="I101" s="97"/>
      <c r="J101" s="97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  <c r="AA101" s="93"/>
      <c r="AB101" s="93"/>
      <c r="AC101" s="93"/>
      <c r="AD101" s="93">
        <f t="shared" ref="AD101:AD132" si="541">IFERROR(400*BF101,0)</f>
        <v>0</v>
      </c>
      <c r="AE101" s="93"/>
      <c r="AF101" s="93">
        <f t="shared" ref="AF101:AF132" si="542">IFERROR(SUM(F101:AC101)*0.2,0)</f>
        <v>0</v>
      </c>
      <c r="AG101" s="93"/>
      <c r="AH101" s="93" t="s">
        <v>179</v>
      </c>
      <c r="AI101" s="98">
        <f t="shared" ref="AI101:AI132" si="543">IFERROR(130*D101,0)</f>
        <v>0</v>
      </c>
      <c r="AJ101" s="81" cm="1">
        <f t="array" ref="AJ101">IFERROR(SUM(_xlfn._xlws.FILTER(E101:AI101,ISNUMBER(E101:AI101))),0)</f>
        <v>0</v>
      </c>
      <c r="AK101" s="81"/>
      <c r="AL101" s="99">
        <f t="shared" ref="AL101" si="544">IFERROR(AJ101*(1+AK101%),0)</f>
        <v>0</v>
      </c>
      <c r="AM101" s="116"/>
      <c r="AN101" s="84">
        <f t="shared" ref="AN101:AN132" si="545">IFERROR(SUM(E101:AC101)/D101,0)</f>
        <v>0</v>
      </c>
      <c r="AO101" s="138"/>
      <c r="AQ101" s="137"/>
      <c r="AR101" s="137"/>
      <c r="AS101" s="137"/>
      <c r="AT101" s="137"/>
      <c r="AU101" s="137"/>
      <c r="AV101" s="137"/>
      <c r="AY101" s="136">
        <f t="shared" ref="AY101:AY132" si="546">IFERROR((AQ101*20)/60,0)</f>
        <v>0</v>
      </c>
      <c r="AZ101" s="136">
        <f t="shared" ref="AZ101" si="547">IFERROR(AX101 + AY101 + BI101,0)</f>
        <v>0</v>
      </c>
      <c r="BA101" s="135">
        <f t="shared" ref="BA101" si="548">IFERROR(AZ101/8,0)</f>
        <v>0</v>
      </c>
      <c r="BB101" s="135">
        <f t="shared" ref="BB101" si="549">IFERROR(MAX(AQ101-BA101,0),0)</f>
        <v>0</v>
      </c>
      <c r="BD101" s="117">
        <f t="shared" ref="BD101:BD132" si="550">IFERROR(10000*D101,0)</f>
        <v>0</v>
      </c>
      <c r="BE101" s="117"/>
      <c r="BF101" s="117"/>
      <c r="BG101" s="117">
        <f t="shared" ref="BG101:BG132" si="551">IFERROR(-IF(AH101=$L$3,0,IF(AH101=$N$3,15*680*D101,IF(AH101=$P$3,30*680*D101,IF(AH101=0,50*680*D101,0)))),0)</f>
        <v>0</v>
      </c>
      <c r="BH101" s="117"/>
      <c r="BI101" s="117"/>
      <c r="BJ101" s="117"/>
    </row>
    <row r="102" spans="1:62" ht="18" hidden="1" customHeight="1">
      <c r="A102" s="57"/>
      <c r="B102" s="132"/>
      <c r="C102" s="95"/>
      <c r="D102" s="95"/>
      <c r="E102" s="111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112"/>
      <c r="AJ102" s="113"/>
      <c r="AK102" s="113"/>
      <c r="AL102" s="114"/>
      <c r="AM102" s="95"/>
      <c r="BE102" s="117"/>
      <c r="BF102" s="117"/>
      <c r="BG102" s="117"/>
      <c r="BH102" s="117"/>
      <c r="BI102" s="117"/>
      <c r="BJ102" s="117"/>
    </row>
    <row r="103" spans="1:62" ht="18" customHeight="1">
      <c r="A103" s="62">
        <v>48</v>
      </c>
      <c r="B103" s="64"/>
      <c r="C103" s="68"/>
      <c r="D103" s="80">
        <f t="shared" ref="D103" si="552">AQ103</f>
        <v>0</v>
      </c>
      <c r="E103" s="96">
        <f>IFERROR('Kiểm hóa may'!D103 + 'Bản sau là'!D103,0)</f>
        <v>0</v>
      </c>
      <c r="F103" s="97"/>
      <c r="G103" s="97"/>
      <c r="H103" s="97"/>
      <c r="I103" s="97"/>
      <c r="J103" s="97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  <c r="AA103" s="93"/>
      <c r="AB103" s="93"/>
      <c r="AC103" s="93"/>
      <c r="AD103" s="93">
        <f t="shared" ref="AD103:AD134" si="553">IFERROR(400*BF103,0)</f>
        <v>0</v>
      </c>
      <c r="AE103" s="93"/>
      <c r="AF103" s="93">
        <f t="shared" ref="AF103:AF134" si="554">IFERROR(SUM(F103:AC103)*0.2,0)</f>
        <v>0</v>
      </c>
      <c r="AG103" s="93"/>
      <c r="AH103" s="93" t="s">
        <v>179</v>
      </c>
      <c r="AI103" s="98">
        <f t="shared" ref="AI103:AI134" si="555">IFERROR(130*D103,0)</f>
        <v>0</v>
      </c>
      <c r="AJ103" s="81" cm="1">
        <f t="array" ref="AJ103">IFERROR(SUM(_xlfn._xlws.FILTER(E103:AI103,ISNUMBER(E103:AI103))),0)</f>
        <v>0</v>
      </c>
      <c r="AK103" s="81"/>
      <c r="AL103" s="99">
        <f t="shared" ref="AL103" si="556">IFERROR(AJ103*(1+AK103%),0)</f>
        <v>0</v>
      </c>
      <c r="AM103" s="116"/>
      <c r="AN103" s="84">
        <f t="shared" ref="AN103:AN134" si="557">IFERROR(SUM(E103:AC103)/D103,0)</f>
        <v>0</v>
      </c>
      <c r="AO103" s="138"/>
      <c r="AQ103" s="137"/>
      <c r="AR103" s="137"/>
      <c r="AS103" s="137"/>
      <c r="AT103" s="137"/>
      <c r="AU103" s="137"/>
      <c r="AV103" s="137"/>
      <c r="AY103" s="136">
        <f t="shared" ref="AY103:AY134" si="558">IFERROR((AQ103*20)/60,0)</f>
        <v>0</v>
      </c>
      <c r="AZ103" s="136">
        <f t="shared" ref="AZ103" si="559">IFERROR(AX103 + AY103 + BI103,0)</f>
        <v>0</v>
      </c>
      <c r="BA103" s="135">
        <f t="shared" ref="BA103" si="560">IFERROR(AZ103/8,0)</f>
        <v>0</v>
      </c>
      <c r="BB103" s="135">
        <f t="shared" ref="BB103" si="561">IFERROR(MAX(AQ103-BA103,0),0)</f>
        <v>0</v>
      </c>
      <c r="BD103" s="117">
        <f t="shared" ref="BD103:BD134" si="562">IFERROR(10000*D103,0)</f>
        <v>0</v>
      </c>
      <c r="BE103" s="117"/>
      <c r="BF103" s="117"/>
      <c r="BG103" s="117">
        <f t="shared" ref="BG103:BG134" si="563">IFERROR(-IF(AH103=$L$3,0,IF(AH103=$N$3,15*680*D103,IF(AH103=$P$3,30*680*D103,IF(AH103=0,50*680*D103,0)))),0)</f>
        <v>0</v>
      </c>
      <c r="BH103" s="117"/>
      <c r="BI103" s="117"/>
      <c r="BJ103" s="117"/>
    </row>
    <row r="104" spans="1:62" ht="18" hidden="1" customHeight="1">
      <c r="A104" s="95"/>
      <c r="B104" s="132"/>
      <c r="C104" s="95"/>
      <c r="D104" s="95"/>
      <c r="E104" s="111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112"/>
      <c r="AJ104" s="113"/>
      <c r="AK104" s="113"/>
      <c r="AL104" s="114"/>
      <c r="AM104" s="95"/>
      <c r="BE104" s="117"/>
      <c r="BF104" s="117"/>
      <c r="BG104" s="117"/>
      <c r="BH104" s="117"/>
      <c r="BI104" s="117"/>
      <c r="BJ104" s="117"/>
    </row>
    <row r="105" spans="1:62" ht="18" customHeight="1">
      <c r="A105" s="65">
        <v>49</v>
      </c>
      <c r="B105" s="64"/>
      <c r="C105" s="68"/>
      <c r="D105" s="80">
        <f t="shared" ref="D105" si="564">AQ105</f>
        <v>0</v>
      </c>
      <c r="E105" s="96">
        <f>IFERROR('Kiểm hóa may'!D105 + 'Bản sau là'!D105,0)</f>
        <v>0</v>
      </c>
      <c r="F105" s="97"/>
      <c r="G105" s="97"/>
      <c r="H105" s="97"/>
      <c r="I105" s="97"/>
      <c r="J105" s="97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>
        <f t="shared" ref="AD105:AD136" si="565">IFERROR(400*BF105,0)</f>
        <v>0</v>
      </c>
      <c r="AE105" s="93"/>
      <c r="AF105" s="93">
        <f t="shared" ref="AF105:AF136" si="566">IFERROR(SUM(F105:AC105)*0.2,0)</f>
        <v>0</v>
      </c>
      <c r="AG105" s="93"/>
      <c r="AH105" s="93" t="s">
        <v>179</v>
      </c>
      <c r="AI105" s="98">
        <f t="shared" ref="AI105:AI136" si="567">IFERROR(130*D105,0)</f>
        <v>0</v>
      </c>
      <c r="AJ105" s="81" cm="1">
        <f t="array" ref="AJ105">IFERROR(SUM(_xlfn._xlws.FILTER(E105:AI105,ISNUMBER(E105:AI105))),0)</f>
        <v>0</v>
      </c>
      <c r="AK105" s="81"/>
      <c r="AL105" s="99">
        <f t="shared" ref="AL105" si="568">IFERROR(AJ105*(1+AK105%),0)</f>
        <v>0</v>
      </c>
      <c r="AM105" s="116"/>
      <c r="AN105" s="84">
        <f t="shared" ref="AN105:AN136" si="569">IFERROR(SUM(E105:AC105)/D105,0)</f>
        <v>0</v>
      </c>
      <c r="AO105" s="138"/>
      <c r="AQ105" s="137"/>
      <c r="AR105" s="137"/>
      <c r="AS105" s="137"/>
      <c r="AT105" s="137"/>
      <c r="AU105" s="137"/>
      <c r="AV105" s="137"/>
      <c r="AY105" s="136">
        <f t="shared" ref="AY105:AY136" si="570">IFERROR((AQ105*20)/60,0)</f>
        <v>0</v>
      </c>
      <c r="AZ105" s="136">
        <f t="shared" ref="AZ105" si="571">IFERROR(AX105 + AY105 + BI105,0)</f>
        <v>0</v>
      </c>
      <c r="BA105" s="135">
        <f t="shared" ref="BA105" si="572">IFERROR(AZ105/8,0)</f>
        <v>0</v>
      </c>
      <c r="BB105" s="135">
        <f t="shared" ref="BB105" si="573">IFERROR(MAX(AQ105-BA105,0),0)</f>
        <v>0</v>
      </c>
      <c r="BD105" s="117">
        <f t="shared" ref="BD105:BD136" si="574">IFERROR(10000*D105,0)</f>
        <v>0</v>
      </c>
      <c r="BE105" s="117"/>
      <c r="BF105" s="117"/>
      <c r="BG105" s="117">
        <f t="shared" ref="BG105:BG136" si="575">IFERROR(-IF(AH105=$L$3,0,IF(AH105=$N$3,15*680*D105,IF(AH105=$P$3,30*680*D105,IF(AH105=0,50*680*D105,0)))),0)</f>
        <v>0</v>
      </c>
      <c r="BH105" s="117"/>
      <c r="BI105" s="117"/>
      <c r="BJ105" s="117"/>
    </row>
    <row r="106" spans="1:62" ht="18" hidden="1" customHeight="1">
      <c r="A106" s="57"/>
      <c r="B106" s="132"/>
      <c r="C106" s="95"/>
      <c r="D106" s="95"/>
      <c r="E106" s="111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112"/>
      <c r="AJ106" s="113"/>
      <c r="AK106" s="113"/>
      <c r="AL106" s="114"/>
      <c r="AM106" s="95"/>
      <c r="BE106" s="117"/>
      <c r="BF106" s="117"/>
      <c r="BG106" s="117"/>
      <c r="BH106" s="117"/>
      <c r="BI106" s="117"/>
      <c r="BJ106" s="117"/>
    </row>
    <row r="107" spans="1:62" ht="18" customHeight="1">
      <c r="A107" s="62">
        <v>50</v>
      </c>
      <c r="B107" s="64"/>
      <c r="C107" s="68"/>
      <c r="D107" s="80">
        <f t="shared" ref="D107" si="576">AQ107</f>
        <v>0</v>
      </c>
      <c r="E107" s="96">
        <f>IFERROR('Kiểm hóa may'!D107 + 'Bản sau là'!D107,0)</f>
        <v>0</v>
      </c>
      <c r="F107" s="97"/>
      <c r="G107" s="97"/>
      <c r="H107" s="97"/>
      <c r="I107" s="97"/>
      <c r="J107" s="97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>
        <f t="shared" ref="AD107:AD138" si="577">IFERROR(400*BF107,0)</f>
        <v>0</v>
      </c>
      <c r="AE107" s="93"/>
      <c r="AF107" s="93">
        <f t="shared" ref="AF107:AF138" si="578">IFERROR(SUM(F107:AC107)*0.2,0)</f>
        <v>0</v>
      </c>
      <c r="AG107" s="93"/>
      <c r="AH107" s="93" t="s">
        <v>179</v>
      </c>
      <c r="AI107" s="98">
        <f t="shared" ref="AI107:AI138" si="579">IFERROR(130*D107,0)</f>
        <v>0</v>
      </c>
      <c r="AJ107" s="81" cm="1">
        <f t="array" ref="AJ107">IFERROR(SUM(_xlfn._xlws.FILTER(E107:AI107,ISNUMBER(E107:AI107))),0)</f>
        <v>0</v>
      </c>
      <c r="AK107" s="81"/>
      <c r="AL107" s="99">
        <f t="shared" ref="AL107" si="580">IFERROR(AJ107*(1+AK107%),0)</f>
        <v>0</v>
      </c>
      <c r="AM107" s="116"/>
      <c r="AN107" s="84">
        <f t="shared" ref="AN107:AN138" si="581">IFERROR(SUM(E107:AC107)/D107,0)</f>
        <v>0</v>
      </c>
      <c r="AO107" s="138"/>
      <c r="AQ107" s="137"/>
      <c r="AR107" s="137"/>
      <c r="AS107" s="137"/>
      <c r="AT107" s="137"/>
      <c r="AU107" s="137"/>
      <c r="AV107" s="137"/>
      <c r="AY107" s="136">
        <f t="shared" ref="AY107:AY138" si="582">IFERROR((AQ107*20)/60,0)</f>
        <v>0</v>
      </c>
      <c r="AZ107" s="136">
        <f t="shared" ref="AZ107" si="583">IFERROR(AX107 + AY107 + BI107,0)</f>
        <v>0</v>
      </c>
      <c r="BA107" s="135">
        <f t="shared" ref="BA107" si="584">IFERROR(AZ107/8,0)</f>
        <v>0</v>
      </c>
      <c r="BB107" s="135">
        <f t="shared" ref="BB107" si="585">IFERROR(MAX(AQ107-BA107,0),0)</f>
        <v>0</v>
      </c>
      <c r="BD107" s="117">
        <f t="shared" ref="BD107:BD138" si="586">IFERROR(10000*D107,0)</f>
        <v>0</v>
      </c>
      <c r="BE107" s="117"/>
      <c r="BF107" s="117"/>
      <c r="BG107" s="117">
        <f t="shared" ref="BG107:BG138" si="587">IFERROR(-IF(AH107=$L$3,0,IF(AH107=$N$3,15*680*D107,IF(AH107=$P$3,30*680*D107,IF(AH107=0,50*680*D107,0)))),0)</f>
        <v>0</v>
      </c>
      <c r="BH107" s="117"/>
      <c r="BI107" s="117"/>
      <c r="BJ107" s="117"/>
    </row>
    <row r="108" spans="1:62" ht="18" hidden="1" customHeight="1">
      <c r="A108" s="95"/>
      <c r="B108" s="132"/>
      <c r="C108" s="95"/>
      <c r="D108" s="95"/>
      <c r="E108" s="111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112"/>
      <c r="AJ108" s="113"/>
      <c r="AK108" s="113"/>
      <c r="AL108" s="114"/>
      <c r="AM108" s="95"/>
      <c r="BE108" s="117"/>
      <c r="BF108" s="117"/>
      <c r="BG108" s="117"/>
      <c r="BH108" s="117"/>
      <c r="BI108" s="117"/>
      <c r="BJ108" s="117"/>
    </row>
    <row r="109" spans="1:62" ht="18" customHeight="1">
      <c r="A109" s="65">
        <v>51</v>
      </c>
      <c r="B109" s="64"/>
      <c r="C109" s="68"/>
      <c r="D109" s="80">
        <f t="shared" ref="D109" si="588">AQ109</f>
        <v>0</v>
      </c>
      <c r="E109" s="96">
        <f>IFERROR('Kiểm hóa may'!D109 + 'Bản sau là'!D109,0)</f>
        <v>0</v>
      </c>
      <c r="F109" s="97"/>
      <c r="G109" s="97"/>
      <c r="H109" s="97"/>
      <c r="I109" s="97"/>
      <c r="J109" s="97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>
        <f t="shared" ref="AD109:AD140" si="589">IFERROR(400*BF109,0)</f>
        <v>0</v>
      </c>
      <c r="AE109" s="93"/>
      <c r="AF109" s="93">
        <f t="shared" ref="AF109:AF140" si="590">IFERROR(SUM(F109:AC109)*0.2,0)</f>
        <v>0</v>
      </c>
      <c r="AG109" s="93"/>
      <c r="AH109" s="93" t="s">
        <v>179</v>
      </c>
      <c r="AI109" s="98">
        <f t="shared" ref="AI109:AI140" si="591">IFERROR(130*D109,0)</f>
        <v>0</v>
      </c>
      <c r="AJ109" s="81" cm="1">
        <f t="array" ref="AJ109">IFERROR(SUM(_xlfn._xlws.FILTER(E109:AI109,ISNUMBER(E109:AI109))),0)</f>
        <v>0</v>
      </c>
      <c r="AK109" s="81"/>
      <c r="AL109" s="99">
        <f t="shared" ref="AL109" si="592">IFERROR(AJ109*(1+AK109%),0)</f>
        <v>0</v>
      </c>
      <c r="AM109" s="116"/>
      <c r="AN109" s="84">
        <f t="shared" ref="AN109:AN140" si="593">IFERROR(SUM(E109:AC109)/D109,0)</f>
        <v>0</v>
      </c>
      <c r="AO109" s="138"/>
      <c r="AQ109" s="137"/>
      <c r="AR109" s="137"/>
      <c r="AS109" s="137"/>
      <c r="AT109" s="137"/>
      <c r="AU109" s="137"/>
      <c r="AV109" s="137"/>
      <c r="AY109" s="136">
        <f t="shared" ref="AY109:AY140" si="594">IFERROR((AQ109*20)/60,0)</f>
        <v>0</v>
      </c>
      <c r="AZ109" s="136">
        <f t="shared" ref="AZ109" si="595">IFERROR(AX109 + AY109 + BI109,0)</f>
        <v>0</v>
      </c>
      <c r="BA109" s="135">
        <f t="shared" ref="BA109" si="596">IFERROR(AZ109/8,0)</f>
        <v>0</v>
      </c>
      <c r="BB109" s="135">
        <f t="shared" ref="BB109" si="597">IFERROR(MAX(AQ109-BA109,0),0)</f>
        <v>0</v>
      </c>
      <c r="BD109" s="117">
        <f t="shared" ref="BD109:BD140" si="598">IFERROR(10000*D109,0)</f>
        <v>0</v>
      </c>
      <c r="BE109" s="117"/>
      <c r="BF109" s="117"/>
      <c r="BG109" s="117">
        <f t="shared" ref="BG109:BG140" si="599">IFERROR(-IF(AH109=$L$3,0,IF(AH109=$N$3,15*680*D109,IF(AH109=$P$3,30*680*D109,IF(AH109=0,50*680*D109,0)))),0)</f>
        <v>0</v>
      </c>
      <c r="BH109" s="117"/>
      <c r="BI109" s="117"/>
      <c r="BJ109" s="117"/>
    </row>
    <row r="110" spans="1:62" ht="18" hidden="1" customHeight="1">
      <c r="A110" s="57"/>
      <c r="B110" s="132"/>
      <c r="C110" s="95"/>
      <c r="D110" s="95"/>
      <c r="E110" s="111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112"/>
      <c r="AJ110" s="113"/>
      <c r="AK110" s="113"/>
      <c r="AL110" s="114"/>
      <c r="AM110" s="95"/>
      <c r="BE110" s="117"/>
      <c r="BF110" s="117"/>
      <c r="BG110" s="117"/>
      <c r="BH110" s="117"/>
      <c r="BI110" s="117"/>
      <c r="BJ110" s="117"/>
    </row>
    <row r="111" spans="1:62" ht="18" customHeight="1">
      <c r="A111" s="62">
        <v>52</v>
      </c>
      <c r="B111" s="64"/>
      <c r="C111" s="68"/>
      <c r="D111" s="80">
        <f t="shared" ref="D111" si="600">AQ111</f>
        <v>0</v>
      </c>
      <c r="E111" s="96">
        <f>IFERROR('Kiểm hóa may'!D111 + 'Bản sau là'!D111,0)</f>
        <v>0</v>
      </c>
      <c r="F111" s="97"/>
      <c r="G111" s="97"/>
      <c r="H111" s="97"/>
      <c r="I111" s="97"/>
      <c r="J111" s="97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  <c r="AA111" s="93"/>
      <c r="AB111" s="93"/>
      <c r="AC111" s="93"/>
      <c r="AD111" s="93">
        <f t="shared" ref="AD111:AD142" si="601">IFERROR(400*BF111,0)</f>
        <v>0</v>
      </c>
      <c r="AE111" s="93"/>
      <c r="AF111" s="93">
        <f t="shared" ref="AF111:AF142" si="602">IFERROR(SUM(F111:AC111)*0.2,0)</f>
        <v>0</v>
      </c>
      <c r="AG111" s="93"/>
      <c r="AH111" s="93" t="s">
        <v>179</v>
      </c>
      <c r="AI111" s="98">
        <f t="shared" ref="AI111:AI142" si="603">IFERROR(130*D111,0)</f>
        <v>0</v>
      </c>
      <c r="AJ111" s="81" cm="1">
        <f t="array" ref="AJ111">IFERROR(SUM(_xlfn._xlws.FILTER(E111:AI111,ISNUMBER(E111:AI111))),0)</f>
        <v>0</v>
      </c>
      <c r="AK111" s="81"/>
      <c r="AL111" s="99">
        <f t="shared" ref="AL111" si="604">IFERROR(AJ111*(1+AK111%),0)</f>
        <v>0</v>
      </c>
      <c r="AM111" s="116"/>
      <c r="AN111" s="84">
        <f t="shared" ref="AN111:AN142" si="605">IFERROR(SUM(E111:AC111)/D111,0)</f>
        <v>0</v>
      </c>
      <c r="AO111" s="138"/>
      <c r="AQ111" s="137"/>
      <c r="AR111" s="137"/>
      <c r="AS111" s="137"/>
      <c r="AT111" s="137"/>
      <c r="AU111" s="137"/>
      <c r="AV111" s="137"/>
      <c r="AY111" s="136">
        <f t="shared" ref="AY111:AY142" si="606">IFERROR((AQ111*20)/60,0)</f>
        <v>0</v>
      </c>
      <c r="AZ111" s="136">
        <f t="shared" ref="AZ111" si="607">IFERROR(AX111 + AY111 + BI111,0)</f>
        <v>0</v>
      </c>
      <c r="BA111" s="135">
        <f t="shared" ref="BA111" si="608">IFERROR(AZ111/8,0)</f>
        <v>0</v>
      </c>
      <c r="BB111" s="135">
        <f t="shared" ref="BB111" si="609">IFERROR(MAX(AQ111-BA111,0),0)</f>
        <v>0</v>
      </c>
      <c r="BD111" s="117">
        <f t="shared" ref="BD111:BD142" si="610">IFERROR(10000*D111,0)</f>
        <v>0</v>
      </c>
      <c r="BE111" s="117"/>
      <c r="BF111" s="117"/>
      <c r="BG111" s="117">
        <f t="shared" ref="BG111:BG142" si="611">IFERROR(-IF(AH111=$L$3,0,IF(AH111=$N$3,15*680*D111,IF(AH111=$P$3,30*680*D111,IF(AH111=0,50*680*D111,0)))),0)</f>
        <v>0</v>
      </c>
      <c r="BH111" s="117"/>
      <c r="BI111" s="117"/>
      <c r="BJ111" s="117"/>
    </row>
    <row r="112" spans="1:62" s="178" customFormat="1" ht="18" hidden="1" customHeight="1">
      <c r="A112" s="95"/>
      <c r="B112" s="180"/>
      <c r="D112" s="95"/>
      <c r="E112" s="111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  <c r="AD112" s="95"/>
      <c r="AE112" s="95"/>
      <c r="AF112" s="95"/>
      <c r="AG112" s="95"/>
      <c r="AH112" s="95"/>
      <c r="AI112" s="112"/>
      <c r="AJ112" s="113"/>
      <c r="AK112" s="113"/>
      <c r="AL112" s="114"/>
      <c r="AM112" s="95"/>
      <c r="AN112" s="83"/>
      <c r="AO112" s="117"/>
      <c r="AP112" s="117"/>
      <c r="AQ112" s="117"/>
      <c r="AR112" s="117"/>
      <c r="AS112" s="117"/>
      <c r="AT112" s="117"/>
      <c r="AU112" s="117"/>
      <c r="AV112" s="117"/>
      <c r="AW112" s="117"/>
      <c r="AX112" s="117"/>
      <c r="AY112" s="117"/>
      <c r="AZ112" s="117"/>
      <c r="BA112" s="135"/>
      <c r="BB112" s="135"/>
      <c r="BC112" s="117"/>
      <c r="BD112" s="117"/>
      <c r="BE112" s="117"/>
      <c r="BF112" s="117"/>
      <c r="BG112" s="117"/>
      <c r="BH112" s="117"/>
      <c r="BI112" s="117"/>
      <c r="BJ112" s="117"/>
    </row>
    <row r="113" spans="1:62" ht="18" customHeight="1">
      <c r="A113" s="65">
        <v>53</v>
      </c>
      <c r="B113" s="64"/>
      <c r="C113" s="68"/>
      <c r="D113" s="80">
        <f t="shared" ref="D113" si="612">AQ113</f>
        <v>0</v>
      </c>
      <c r="E113" s="96">
        <f>IFERROR('Kiểm hóa may'!D113 + 'Bản sau là'!D113,0)</f>
        <v>0</v>
      </c>
      <c r="F113" s="97"/>
      <c r="G113" s="97"/>
      <c r="H113" s="97"/>
      <c r="I113" s="97"/>
      <c r="J113" s="97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  <c r="AA113" s="93"/>
      <c r="AB113" s="93"/>
      <c r="AC113" s="93"/>
      <c r="AD113" s="93">
        <f t="shared" ref="AD113:AD144" si="613">IFERROR(400*BF113,0)</f>
        <v>0</v>
      </c>
      <c r="AE113" s="93"/>
      <c r="AF113" s="93">
        <f t="shared" ref="AF113:AF144" si="614">IFERROR(SUM(F113:AC113)*0.2,0)</f>
        <v>0</v>
      </c>
      <c r="AG113" s="93"/>
      <c r="AH113" s="93" t="s">
        <v>179</v>
      </c>
      <c r="AI113" s="98">
        <f t="shared" ref="AI113:AI144" si="615">IFERROR(130*D113,0)</f>
        <v>0</v>
      </c>
      <c r="AJ113" s="81" cm="1">
        <f t="array" ref="AJ113">IFERROR(SUM(_xlfn._xlws.FILTER(E113:AI113,ISNUMBER(E113:AI113))),0)</f>
        <v>0</v>
      </c>
      <c r="AK113" s="81"/>
      <c r="AL113" s="99">
        <f t="shared" ref="AL113" si="616">IFERROR(AJ113*(1+AK113%),0)</f>
        <v>0</v>
      </c>
      <c r="AM113" s="116"/>
      <c r="AN113" s="84">
        <f t="shared" ref="AN113:AN144" si="617">IFERROR(SUM(E113:AC113)/D113,0)</f>
        <v>0</v>
      </c>
      <c r="AO113" s="138"/>
      <c r="AQ113" s="137"/>
      <c r="AR113" s="137"/>
      <c r="AS113" s="137"/>
      <c r="AT113" s="137"/>
      <c r="AU113" s="137"/>
      <c r="AV113" s="137"/>
      <c r="AY113" s="136">
        <f t="shared" ref="AY113:AY144" si="618">IFERROR((AQ113*20)/60,0)</f>
        <v>0</v>
      </c>
      <c r="AZ113" s="136">
        <f t="shared" ref="AZ113" si="619">IFERROR(AX113 + AY113 + BI113,0)</f>
        <v>0</v>
      </c>
      <c r="BA113" s="135">
        <f t="shared" ref="BA113" si="620">IFERROR(AZ113/8,0)</f>
        <v>0</v>
      </c>
      <c r="BB113" s="135">
        <f t="shared" ref="BB113" si="621">IFERROR(MAX(AQ113-BA113,0),0)</f>
        <v>0</v>
      </c>
      <c r="BD113" s="117">
        <f t="shared" ref="BD113:BD144" si="622">IFERROR(10000*D113,0)</f>
        <v>0</v>
      </c>
      <c r="BE113" s="117"/>
      <c r="BF113" s="117"/>
      <c r="BG113" s="117">
        <f t="shared" ref="BG113:BG144" si="623">IFERROR(-IF(AH113=$L$3,0,IF(AH113=$N$3,15*680*D113,IF(AH113=$P$3,30*680*D113,IF(AH113=0,50*680*D113,0)))),0)</f>
        <v>0</v>
      </c>
      <c r="BH113" s="117"/>
      <c r="BI113" s="117"/>
      <c r="BJ113" s="117"/>
    </row>
    <row r="114" spans="1:62" ht="19.5" hidden="1" customHeight="1">
      <c r="A114" s="57"/>
      <c r="B114" s="181"/>
      <c r="C114" s="179"/>
      <c r="D114" s="95"/>
      <c r="E114" s="111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G114" s="95"/>
      <c r="AH114" s="95"/>
      <c r="AI114" s="112"/>
      <c r="AJ114" s="113"/>
      <c r="AK114" s="113"/>
      <c r="AL114" s="114"/>
      <c r="AM114" s="95"/>
      <c r="BE114" s="117"/>
      <c r="BF114" s="117"/>
      <c r="BG114" s="117"/>
      <c r="BH114" s="117"/>
      <c r="BI114" s="117"/>
      <c r="BJ114" s="117"/>
    </row>
    <row r="115" spans="1:62" ht="18" customHeight="1">
      <c r="A115" s="62">
        <v>54</v>
      </c>
      <c r="B115" s="64"/>
      <c r="C115" s="68"/>
      <c r="D115" s="80">
        <f t="shared" ref="D115" si="624">AQ115</f>
        <v>0</v>
      </c>
      <c r="E115" s="96">
        <f>IFERROR('Kiểm hóa may'!D115 + 'Bản sau là'!D115,0)</f>
        <v>0</v>
      </c>
      <c r="F115" s="97"/>
      <c r="G115" s="97"/>
      <c r="H115" s="97"/>
      <c r="I115" s="97"/>
      <c r="J115" s="97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>
        <f t="shared" ref="AD115:AD146" si="625">IFERROR(400*BF115,0)</f>
        <v>0</v>
      </c>
      <c r="AE115" s="93"/>
      <c r="AF115" s="93">
        <f t="shared" ref="AF115:AF146" si="626">IFERROR(SUM(F115:AC115)*0.2,0)</f>
        <v>0</v>
      </c>
      <c r="AG115" s="93"/>
      <c r="AH115" s="93" t="s">
        <v>179</v>
      </c>
      <c r="AI115" s="98">
        <f t="shared" ref="AI115:AI146" si="627">IFERROR(130*D115,0)</f>
        <v>0</v>
      </c>
      <c r="AJ115" s="81" cm="1">
        <f t="array" ref="AJ115">IFERROR(SUM(_xlfn._xlws.FILTER(E115:AI115,ISNUMBER(E115:AI115))),0)</f>
        <v>0</v>
      </c>
      <c r="AK115" s="81"/>
      <c r="AL115" s="99">
        <f t="shared" ref="AL115" si="628">IFERROR(AJ115*(1+AK115%),0)</f>
        <v>0</v>
      </c>
      <c r="AM115" s="116"/>
      <c r="AN115" s="84">
        <f t="shared" ref="AN115:AN146" si="629">IFERROR(SUM(E115:AC115)/D115,0)</f>
        <v>0</v>
      </c>
      <c r="AO115" s="138"/>
      <c r="AQ115" s="137"/>
      <c r="AR115" s="137"/>
      <c r="AS115" s="137"/>
      <c r="AT115" s="137"/>
      <c r="AU115" s="137"/>
      <c r="AV115" s="137"/>
      <c r="AY115" s="136">
        <f t="shared" ref="AY115:AY146" si="630">IFERROR((AQ115*20)/60,0)</f>
        <v>0</v>
      </c>
      <c r="AZ115" s="136">
        <f t="shared" ref="AZ115" si="631">IFERROR(AX115 + AY115 + BI115,0)</f>
        <v>0</v>
      </c>
      <c r="BA115" s="135">
        <f t="shared" ref="BA115" si="632">IFERROR(AZ115/8,0)</f>
        <v>0</v>
      </c>
      <c r="BB115" s="135">
        <f t="shared" ref="BB115" si="633">IFERROR(MAX(AQ115-BA115,0),0)</f>
        <v>0</v>
      </c>
      <c r="BD115" s="117">
        <f t="shared" ref="BD115:BD146" si="634">IFERROR(10000*D115,0)</f>
        <v>0</v>
      </c>
      <c r="BE115" s="117"/>
      <c r="BF115" s="117"/>
      <c r="BG115" s="117">
        <f t="shared" ref="BG115:BG146" si="635">IFERROR(-IF(AH115=$L$3,0,IF(AH115=$N$3,15*680*D115,IF(AH115=$P$3,30*680*D115,IF(AH115=0,50*680*D115,0)))),0)</f>
        <v>0</v>
      </c>
      <c r="BH115" s="117"/>
      <c r="BI115" s="117"/>
      <c r="BJ115" s="117"/>
    </row>
    <row r="116" spans="1:62" ht="18" hidden="1" customHeight="1">
      <c r="A116" s="95"/>
      <c r="B116" s="132"/>
      <c r="C116" s="95"/>
      <c r="D116" s="95"/>
      <c r="E116" s="111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112"/>
      <c r="AJ116" s="113"/>
      <c r="AK116" s="113"/>
      <c r="AL116" s="114"/>
      <c r="AM116" s="95"/>
      <c r="BE116" s="117"/>
      <c r="BF116" s="117"/>
      <c r="BG116" s="117"/>
      <c r="BH116" s="117"/>
      <c r="BI116" s="117"/>
      <c r="BJ116" s="117"/>
    </row>
    <row r="117" spans="1:62" ht="18" customHeight="1">
      <c r="A117" s="65">
        <v>55</v>
      </c>
      <c r="B117" s="64"/>
      <c r="C117" s="68"/>
      <c r="D117" s="80">
        <f t="shared" ref="D117" si="636">AQ117</f>
        <v>0</v>
      </c>
      <c r="E117" s="96">
        <f>IFERROR('Kiểm hóa may'!D117 + 'Bản sau là'!D117,0)</f>
        <v>0</v>
      </c>
      <c r="F117" s="97"/>
      <c r="G117" s="97"/>
      <c r="H117" s="97"/>
      <c r="I117" s="97"/>
      <c r="J117" s="97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>
        <f t="shared" ref="AD117:AD148" si="637">IFERROR(400*BF117,0)</f>
        <v>0</v>
      </c>
      <c r="AE117" s="93"/>
      <c r="AF117" s="93">
        <f t="shared" ref="AF117:AF148" si="638">IFERROR(SUM(F117:AC117)*0.2,0)</f>
        <v>0</v>
      </c>
      <c r="AG117" s="93"/>
      <c r="AH117" s="93" t="s">
        <v>179</v>
      </c>
      <c r="AI117" s="98">
        <f t="shared" ref="AI117:AI148" si="639">IFERROR(130*D117,0)</f>
        <v>0</v>
      </c>
      <c r="AJ117" s="81" cm="1">
        <f t="array" ref="AJ117">IFERROR(SUM(_xlfn._xlws.FILTER(E117:AI117,ISNUMBER(E117:AI117))),0)</f>
        <v>0</v>
      </c>
      <c r="AK117" s="81"/>
      <c r="AL117" s="99">
        <f t="shared" ref="AL117" si="640">IFERROR(AJ117*(1+AK117%),0)</f>
        <v>0</v>
      </c>
      <c r="AM117" s="116"/>
      <c r="AN117" s="84">
        <f t="shared" ref="AN117:AN148" si="641">IFERROR(SUM(E117:AC117)/D117,0)</f>
        <v>0</v>
      </c>
      <c r="AO117" s="138"/>
      <c r="AQ117" s="137"/>
      <c r="AR117" s="137"/>
      <c r="AS117" s="137"/>
      <c r="AT117" s="137"/>
      <c r="AU117" s="137"/>
      <c r="AV117" s="137"/>
      <c r="AY117" s="136">
        <f t="shared" ref="AY117:AY148" si="642">IFERROR((AQ117*20)/60,0)</f>
        <v>0</v>
      </c>
      <c r="AZ117" s="136">
        <f t="shared" ref="AZ117" si="643">IFERROR(AX117 + AY117 + BI117,0)</f>
        <v>0</v>
      </c>
      <c r="BA117" s="135">
        <f t="shared" ref="BA117" si="644">IFERROR(AZ117/8,0)</f>
        <v>0</v>
      </c>
      <c r="BB117" s="135">
        <f t="shared" ref="BB117" si="645">IFERROR(MAX(AQ117-BA117,0),0)</f>
        <v>0</v>
      </c>
      <c r="BD117" s="117">
        <f t="shared" ref="BD117:BD148" si="646">IFERROR(10000*D117,0)</f>
        <v>0</v>
      </c>
      <c r="BE117" s="117"/>
      <c r="BF117" s="117"/>
      <c r="BG117" s="117">
        <f t="shared" ref="BG117:BG148" si="647">IFERROR(-IF(AH117=$L$3,0,IF(AH117=$N$3,15*680*D117,IF(AH117=$P$3,30*680*D117,IF(AH117=0,50*680*D117,0)))),0)</f>
        <v>0</v>
      </c>
      <c r="BH117" s="117"/>
      <c r="BI117" s="117"/>
      <c r="BJ117" s="117"/>
    </row>
    <row r="118" spans="1:62" ht="18" hidden="1" customHeight="1">
      <c r="A118" s="57"/>
      <c r="B118" s="132"/>
      <c r="C118" s="95"/>
      <c r="D118" s="95"/>
      <c r="E118" s="111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112"/>
      <c r="AJ118" s="113"/>
      <c r="AK118" s="113"/>
      <c r="AL118" s="114"/>
      <c r="AM118" s="95"/>
      <c r="BE118" s="117"/>
      <c r="BF118" s="117"/>
      <c r="BG118" s="117"/>
      <c r="BH118" s="117"/>
      <c r="BI118" s="117"/>
      <c r="BJ118" s="117"/>
    </row>
    <row r="119" spans="1:62" ht="18" customHeight="1">
      <c r="A119" s="62">
        <v>56</v>
      </c>
      <c r="B119" s="64"/>
      <c r="C119" s="68"/>
      <c r="D119" s="80">
        <f t="shared" ref="D119" si="648">AQ119</f>
        <v>0</v>
      </c>
      <c r="E119" s="96">
        <f>IFERROR('Kiểm hóa may'!D119 + 'Bản sau là'!D119,0)</f>
        <v>0</v>
      </c>
      <c r="F119" s="97"/>
      <c r="G119" s="97"/>
      <c r="H119" s="97"/>
      <c r="I119" s="97"/>
      <c r="J119" s="97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>
        <f t="shared" ref="AD119:AD150" si="649">IFERROR(400*BF119,0)</f>
        <v>0</v>
      </c>
      <c r="AE119" s="93"/>
      <c r="AF119" s="93">
        <f t="shared" ref="AF119:AF150" si="650">IFERROR(SUM(F119:AC119)*0.2,0)</f>
        <v>0</v>
      </c>
      <c r="AG119" s="93"/>
      <c r="AH119" s="93" t="s">
        <v>179</v>
      </c>
      <c r="AI119" s="98">
        <f t="shared" ref="AI119:AI150" si="651">IFERROR(130*D119,0)</f>
        <v>0</v>
      </c>
      <c r="AJ119" s="81" cm="1">
        <f t="array" ref="AJ119">IFERROR(SUM(_xlfn._xlws.FILTER(E119:AI119,ISNUMBER(E119:AI119))),0)</f>
        <v>0</v>
      </c>
      <c r="AK119" s="81"/>
      <c r="AL119" s="99">
        <f t="shared" ref="AL119" si="652">IFERROR(AJ119*(1+AK119%),0)</f>
        <v>0</v>
      </c>
      <c r="AM119" s="116"/>
      <c r="AN119" s="84">
        <f t="shared" ref="AN119:AN150" si="653">IFERROR(SUM(E119:AC119)/D119,0)</f>
        <v>0</v>
      </c>
      <c r="AO119" s="138"/>
      <c r="AQ119" s="137"/>
      <c r="AR119" s="137"/>
      <c r="AS119" s="137"/>
      <c r="AT119" s="137"/>
      <c r="AU119" s="137"/>
      <c r="AV119" s="137"/>
      <c r="AY119" s="136">
        <f t="shared" ref="AY119:AY150" si="654">IFERROR((AQ119*20)/60,0)</f>
        <v>0</v>
      </c>
      <c r="AZ119" s="136">
        <f t="shared" ref="AZ119" si="655">IFERROR(AX119 + AY119 + BI119,0)</f>
        <v>0</v>
      </c>
      <c r="BA119" s="135">
        <f t="shared" ref="BA119" si="656">IFERROR(AZ119/8,0)</f>
        <v>0</v>
      </c>
      <c r="BB119" s="135">
        <f t="shared" ref="BB119" si="657">IFERROR(MAX(AQ119-BA119,0),0)</f>
        <v>0</v>
      </c>
      <c r="BD119" s="117">
        <f t="shared" ref="BD119:BD150" si="658">IFERROR(10000*D119,0)</f>
        <v>0</v>
      </c>
      <c r="BE119" s="117"/>
      <c r="BF119" s="117"/>
      <c r="BG119" s="117">
        <f t="shared" ref="BG119:BG150" si="659">IFERROR(-IF(AH119=$L$3,0,IF(AH119=$N$3,15*680*D119,IF(AH119=$P$3,30*680*D119,IF(AH119=0,50*680*D119,0)))),0)</f>
        <v>0</v>
      </c>
      <c r="BH119" s="117"/>
      <c r="BI119" s="117"/>
      <c r="BJ119" s="117"/>
    </row>
    <row r="120" spans="1:62" ht="18" hidden="1" customHeight="1">
      <c r="A120" s="95"/>
      <c r="B120" s="132"/>
      <c r="C120" s="95"/>
      <c r="D120" s="95"/>
      <c r="E120" s="111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112"/>
      <c r="AJ120" s="113"/>
      <c r="AK120" s="113"/>
      <c r="AL120" s="114"/>
      <c r="AM120" s="95"/>
      <c r="BE120" s="117"/>
      <c r="BF120" s="117"/>
      <c r="BG120" s="117"/>
      <c r="BH120" s="117"/>
      <c r="BI120" s="117"/>
      <c r="BJ120" s="117"/>
    </row>
    <row r="121" spans="1:62" ht="18" customHeight="1">
      <c r="A121" s="65">
        <v>57</v>
      </c>
      <c r="B121" s="64"/>
      <c r="C121" s="68"/>
      <c r="D121" s="80">
        <f t="shared" ref="D121" si="660">AQ121</f>
        <v>0</v>
      </c>
      <c r="E121" s="96">
        <f>IFERROR('Kiểm hóa may'!D121 + 'Bản sau là'!D121,0)</f>
        <v>0</v>
      </c>
      <c r="F121" s="97"/>
      <c r="G121" s="97"/>
      <c r="H121" s="97"/>
      <c r="I121" s="97"/>
      <c r="J121" s="97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  <c r="AA121" s="93"/>
      <c r="AB121" s="93"/>
      <c r="AC121" s="93"/>
      <c r="AD121" s="93">
        <f t="shared" ref="AD121:AD152" si="661">IFERROR(400*BF121,0)</f>
        <v>0</v>
      </c>
      <c r="AE121" s="93"/>
      <c r="AF121" s="93">
        <f t="shared" ref="AF121:AF152" si="662">IFERROR(SUM(F121:AC121)*0.2,0)</f>
        <v>0</v>
      </c>
      <c r="AG121" s="93"/>
      <c r="AH121" s="93" t="s">
        <v>179</v>
      </c>
      <c r="AI121" s="98">
        <f t="shared" ref="AI121:AI152" si="663">IFERROR(130*D121,0)</f>
        <v>0</v>
      </c>
      <c r="AJ121" s="81" cm="1">
        <f t="array" ref="AJ121">IFERROR(SUM(_xlfn._xlws.FILTER(E121:AI121,ISNUMBER(E121:AI121))),0)</f>
        <v>0</v>
      </c>
      <c r="AK121" s="81"/>
      <c r="AL121" s="99">
        <f t="shared" ref="AL121" si="664">IFERROR(AJ121*(1+AK121%),0)</f>
        <v>0</v>
      </c>
      <c r="AM121" s="116"/>
      <c r="AN121" s="84">
        <f t="shared" ref="AN121:AN152" si="665">IFERROR(SUM(E121:AC121)/D121,0)</f>
        <v>0</v>
      </c>
      <c r="AO121" s="138"/>
      <c r="AQ121" s="137"/>
      <c r="AR121" s="137"/>
      <c r="AS121" s="137"/>
      <c r="AT121" s="137"/>
      <c r="AU121" s="137"/>
      <c r="AV121" s="137"/>
      <c r="AY121" s="136">
        <f t="shared" ref="AY121:AY152" si="666">IFERROR((AQ121*20)/60,0)</f>
        <v>0</v>
      </c>
      <c r="AZ121" s="136">
        <f t="shared" ref="AZ121" si="667">IFERROR(AX121 + AY121 + BI121,0)</f>
        <v>0</v>
      </c>
      <c r="BA121" s="135">
        <f t="shared" ref="BA121" si="668">IFERROR(AZ121/8,0)</f>
        <v>0</v>
      </c>
      <c r="BB121" s="135">
        <f t="shared" ref="BB121" si="669">IFERROR(MAX(AQ121-BA121,0),0)</f>
        <v>0</v>
      </c>
      <c r="BD121" s="117">
        <f t="shared" ref="BD121:BD152" si="670">IFERROR(10000*D121,0)</f>
        <v>0</v>
      </c>
      <c r="BE121" s="117"/>
      <c r="BF121" s="117"/>
      <c r="BG121" s="117">
        <f t="shared" ref="BG121:BG152" si="671">IFERROR(-IF(AH121=$L$3,0,IF(AH121=$N$3,15*680*D121,IF(AH121=$P$3,30*680*D121,IF(AH121=0,50*680*D121,0)))),0)</f>
        <v>0</v>
      </c>
      <c r="BH121" s="117"/>
      <c r="BI121" s="117"/>
      <c r="BJ121" s="117"/>
    </row>
    <row r="122" spans="1:62" ht="18" hidden="1" customHeight="1">
      <c r="A122" s="57"/>
      <c r="B122" s="132"/>
      <c r="C122" s="95"/>
      <c r="D122" s="95"/>
      <c r="E122" s="111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112"/>
      <c r="AJ122" s="113"/>
      <c r="AK122" s="113"/>
      <c r="AL122" s="114"/>
      <c r="AM122" s="95"/>
      <c r="BE122" s="117"/>
      <c r="BF122" s="117"/>
      <c r="BG122" s="117"/>
      <c r="BH122" s="117"/>
      <c r="BI122" s="117"/>
      <c r="BJ122" s="117"/>
    </row>
    <row r="123" spans="1:62" ht="18" customHeight="1">
      <c r="A123" s="62">
        <v>58</v>
      </c>
      <c r="B123" s="64"/>
      <c r="C123" s="68"/>
      <c r="D123" s="80"/>
      <c r="E123" s="96">
        <f>IFERROR('Kiểm hóa may'!D123 + 'Bản sau là'!D123,0)</f>
        <v>0</v>
      </c>
      <c r="F123" s="97"/>
      <c r="G123" s="97"/>
      <c r="H123" s="97"/>
      <c r="I123" s="97"/>
      <c r="J123" s="97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>
        <f t="shared" ref="AD123:AD154" si="672">IFERROR(400*BF123,0)</f>
        <v>0</v>
      </c>
      <c r="AE123" s="93"/>
      <c r="AF123" s="93">
        <f t="shared" ref="AF123:AF154" si="673">IFERROR(SUM(F123:AC123)*0.2,0)</f>
        <v>0</v>
      </c>
      <c r="AG123" s="93"/>
      <c r="AH123" s="93" t="s">
        <v>179</v>
      </c>
      <c r="AI123" s="98">
        <f t="shared" ref="AI123:AI154" si="674">IFERROR(130*D123,0)</f>
        <v>0</v>
      </c>
      <c r="AJ123" s="81" cm="1">
        <f t="array" ref="AJ123">IFERROR(SUM(_xlfn._xlws.FILTER(E123:AI123,ISNUMBER(E123:AI123))),0)</f>
        <v>0</v>
      </c>
      <c r="AK123" s="81"/>
      <c r="AL123" s="99">
        <f t="shared" ref="AL123" si="675">IFERROR(AJ123*(1+AK123%),0)</f>
        <v>0</v>
      </c>
      <c r="AM123" s="116"/>
      <c r="AN123" s="84">
        <f t="shared" ref="AN123:AN154" si="676">IFERROR(SUM(E123:AC123)/D123,0)</f>
        <v>0</v>
      </c>
      <c r="AO123" s="138"/>
      <c r="AQ123" s="137"/>
      <c r="AR123" s="137"/>
      <c r="AS123" s="137"/>
      <c r="AT123" s="137"/>
      <c r="AU123" s="137"/>
      <c r="AV123" s="137"/>
      <c r="AY123" s="136">
        <f t="shared" ref="AY123:AY154" si="677">IFERROR((AQ123*20)/60,0)</f>
        <v>0</v>
      </c>
      <c r="AZ123" s="136">
        <f t="shared" ref="AZ123" si="678">IFERROR(AX123 + AY123 + BI123,0)</f>
        <v>0</v>
      </c>
      <c r="BA123" s="135">
        <f t="shared" ref="BA123" si="679">IFERROR(AZ123/8,0)</f>
        <v>0</v>
      </c>
      <c r="BB123" s="135">
        <f t="shared" ref="BB123" si="680">IFERROR(MAX(AQ123-BA123,0),0)</f>
        <v>0</v>
      </c>
      <c r="BD123" s="117">
        <f t="shared" ref="BD123:BD154" si="681">IFERROR(10000*D123,0)</f>
        <v>0</v>
      </c>
      <c r="BE123" s="117"/>
      <c r="BF123" s="117"/>
      <c r="BG123" s="117">
        <f t="shared" ref="BG123:BG154" si="682">IFERROR(-IF(AH123=$L$3,0,IF(AH123=$N$3,15*680*D123,IF(AH123=$P$3,30*680*D123,IF(AH123=0,50*680*D123,0)))),0)</f>
        <v>0</v>
      </c>
      <c r="BH123" s="117"/>
      <c r="BI123" s="117"/>
      <c r="BJ123" s="117"/>
    </row>
    <row r="124" spans="1:62" ht="18" hidden="1" customHeight="1">
      <c r="A124" s="95"/>
      <c r="B124" s="132"/>
      <c r="C124" s="95"/>
      <c r="D124" s="95"/>
      <c r="E124" s="111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  <c r="AH124" s="95"/>
      <c r="AI124" s="112"/>
      <c r="AJ124" s="113"/>
      <c r="AK124" s="113"/>
      <c r="AL124" s="114"/>
      <c r="AM124" s="95"/>
      <c r="BE124" s="117"/>
      <c r="BF124" s="117"/>
      <c r="BG124" s="117"/>
      <c r="BH124" s="117"/>
      <c r="BI124" s="117"/>
      <c r="BJ124" s="117"/>
    </row>
    <row r="125" spans="1:62" ht="18" customHeight="1">
      <c r="A125" s="65">
        <v>59</v>
      </c>
      <c r="B125" s="64"/>
      <c r="C125" s="68"/>
      <c r="D125" s="80"/>
      <c r="E125" s="96">
        <f>IFERROR('Kiểm hóa may'!D125 + 'Bản sau là'!D125,0)</f>
        <v>0</v>
      </c>
      <c r="F125" s="97"/>
      <c r="G125" s="97"/>
      <c r="H125" s="97"/>
      <c r="I125" s="97"/>
      <c r="J125" s="97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>
        <f t="shared" ref="AD125:AD156" si="683">IFERROR(400*BF125,0)</f>
        <v>0</v>
      </c>
      <c r="AE125" s="93"/>
      <c r="AF125" s="93">
        <f t="shared" ref="AF125:AF156" si="684">IFERROR(SUM(F125:AC125)*0.2,0)</f>
        <v>0</v>
      </c>
      <c r="AG125" s="93"/>
      <c r="AH125" s="93" t="s">
        <v>179</v>
      </c>
      <c r="AI125" s="98">
        <f t="shared" ref="AI125:AI156" si="685">IFERROR(130*D125,0)</f>
        <v>0</v>
      </c>
      <c r="AJ125" s="81" cm="1">
        <f t="array" ref="AJ125">IFERROR(SUM(_xlfn._xlws.FILTER(E125:AI125,ISNUMBER(E125:AI125))),0)</f>
        <v>0</v>
      </c>
      <c r="AK125" s="81"/>
      <c r="AL125" s="99">
        <f t="shared" ref="AL125" si="686">IFERROR(AJ125*(1+AK125%),0)</f>
        <v>0</v>
      </c>
      <c r="AM125" s="116"/>
      <c r="AN125" s="84">
        <f t="shared" ref="AN125:AN156" si="687">IFERROR(SUM(E125:AC125)/D125,0)</f>
        <v>0</v>
      </c>
      <c r="AO125" s="138"/>
      <c r="AQ125" s="137"/>
      <c r="AR125" s="137"/>
      <c r="AS125" s="137"/>
      <c r="AT125" s="137"/>
      <c r="AU125" s="137"/>
      <c r="AV125" s="137"/>
      <c r="AY125" s="136">
        <f t="shared" ref="AY125:AY156" si="688">IFERROR((AQ125*20)/60,0)</f>
        <v>0</v>
      </c>
      <c r="AZ125" s="136">
        <f t="shared" ref="AZ125" si="689">IFERROR(AX125 + AY125 + BI125,0)</f>
        <v>0</v>
      </c>
      <c r="BA125" s="135">
        <f t="shared" ref="BA125" si="690">IFERROR(AZ125/8,0)</f>
        <v>0</v>
      </c>
      <c r="BB125" s="135">
        <f t="shared" ref="BB125" si="691">IFERROR(MAX(AQ125-BA125,0),0)</f>
        <v>0</v>
      </c>
      <c r="BD125" s="117">
        <f t="shared" ref="BD125:BD156" si="692">IFERROR(10000*D125,0)</f>
        <v>0</v>
      </c>
      <c r="BE125" s="117"/>
      <c r="BF125" s="117"/>
      <c r="BG125" s="117">
        <f t="shared" ref="BG125:BG156" si="693">IFERROR(-IF(AH125=$L$3,0,IF(AH125=$N$3,15*680*D125,IF(AH125=$P$3,30*680*D125,IF(AH125=0,50*680*D125,0)))),0)</f>
        <v>0</v>
      </c>
      <c r="BH125" s="117"/>
      <c r="BI125" s="117"/>
      <c r="BJ125" s="117"/>
    </row>
    <row r="126" spans="1:62" ht="18" hidden="1" customHeight="1">
      <c r="A126" s="57"/>
      <c r="B126" s="132"/>
      <c r="C126" s="95"/>
      <c r="D126" s="95"/>
      <c r="E126" s="111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112"/>
      <c r="AJ126" s="113"/>
      <c r="AK126" s="113"/>
      <c r="AL126" s="114"/>
      <c r="AM126" s="95"/>
      <c r="BE126" s="117"/>
      <c r="BF126" s="117"/>
      <c r="BG126" s="117"/>
      <c r="BH126" s="117"/>
      <c r="BI126" s="117"/>
      <c r="BJ126" s="117"/>
    </row>
    <row r="127" spans="1:62" ht="18" customHeight="1">
      <c r="A127" s="62">
        <v>60</v>
      </c>
      <c r="B127" s="64"/>
      <c r="C127" s="68"/>
      <c r="D127" s="80"/>
      <c r="E127" s="96">
        <f>IFERROR('Kiểm hóa may'!D127 + 'Bản sau là'!D127,0)</f>
        <v>0</v>
      </c>
      <c r="F127" s="97"/>
      <c r="G127" s="97"/>
      <c r="H127" s="97"/>
      <c r="I127" s="97"/>
      <c r="J127" s="97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>
        <f t="shared" ref="AD127:AD158" si="694">IFERROR(400*BF127,0)</f>
        <v>0</v>
      </c>
      <c r="AE127" s="93"/>
      <c r="AF127" s="93">
        <f t="shared" ref="AF127:AF158" si="695">IFERROR(SUM(F127:AC127)*0.2,0)</f>
        <v>0</v>
      </c>
      <c r="AG127" s="93"/>
      <c r="AH127" s="93" t="s">
        <v>179</v>
      </c>
      <c r="AI127" s="98">
        <f t="shared" ref="AI127:AI158" si="696">IFERROR(130*D127,0)</f>
        <v>0</v>
      </c>
      <c r="AJ127" s="81" cm="1">
        <f t="array" ref="AJ127">IFERROR(SUM(_xlfn._xlws.FILTER(E127:AI127,ISNUMBER(E127:AI127))),0)</f>
        <v>0</v>
      </c>
      <c r="AK127" s="81"/>
      <c r="AL127" s="99">
        <f t="shared" ref="AL127" si="697">IFERROR(AJ127*(1+AK127%),0)</f>
        <v>0</v>
      </c>
      <c r="AM127" s="116"/>
      <c r="AN127" s="84">
        <f t="shared" ref="AN127:AN158" si="698">IFERROR(SUM(E127:AC127)/D127,0)</f>
        <v>0</v>
      </c>
      <c r="AO127" s="138"/>
      <c r="AQ127" s="137"/>
      <c r="AR127" s="137"/>
      <c r="AS127" s="137"/>
      <c r="AT127" s="137"/>
      <c r="AU127" s="137"/>
      <c r="AV127" s="137"/>
      <c r="AY127" s="136">
        <f t="shared" ref="AY127:AY158" si="699">IFERROR((AQ127*20)/60,0)</f>
        <v>0</v>
      </c>
      <c r="AZ127" s="136">
        <f t="shared" ref="AZ127" si="700">IFERROR(AX127 + AY127 + BI127,0)</f>
        <v>0</v>
      </c>
      <c r="BA127" s="135">
        <f t="shared" ref="BA127" si="701">IFERROR(AZ127/8,0)</f>
        <v>0</v>
      </c>
      <c r="BB127" s="135">
        <f t="shared" ref="BB127" si="702">IFERROR(MAX(AQ127-BA127,0),0)</f>
        <v>0</v>
      </c>
      <c r="BD127" s="117">
        <f t="shared" ref="BD127:BD158" si="703">IFERROR(10000*D127,0)</f>
        <v>0</v>
      </c>
      <c r="BE127" s="117"/>
      <c r="BF127" s="117"/>
      <c r="BG127" s="117">
        <f t="shared" ref="BG127:BG158" si="704">IFERROR(-IF(AH127=$L$3,0,IF(AH127=$N$3,15*680*D127,IF(AH127=$P$3,30*680*D127,IF(AH127=0,50*680*D127,0)))),0)</f>
        <v>0</v>
      </c>
      <c r="BH127" s="117"/>
      <c r="BI127" s="117"/>
      <c r="BJ127" s="117"/>
    </row>
    <row r="128" spans="1:62" ht="18" hidden="1" customHeight="1">
      <c r="A128" s="95"/>
      <c r="B128" s="132"/>
      <c r="C128" s="95"/>
      <c r="D128" s="95"/>
      <c r="E128" s="111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112"/>
      <c r="AJ128" s="113"/>
      <c r="AK128" s="113"/>
      <c r="AL128" s="114"/>
      <c r="AM128" s="95"/>
      <c r="BE128" s="117"/>
      <c r="BF128" s="117"/>
      <c r="BG128" s="117"/>
      <c r="BH128" s="117"/>
      <c r="BI128" s="117"/>
      <c r="BJ128" s="117"/>
    </row>
    <row r="129" spans="1:62" ht="18" customHeight="1">
      <c r="A129" s="65">
        <v>61</v>
      </c>
      <c r="B129" s="64"/>
      <c r="C129" s="68"/>
      <c r="D129" s="80"/>
      <c r="E129" s="96">
        <f>IFERROR('Kiểm hóa may'!D129 + 'Bản sau là'!D129,0)</f>
        <v>0</v>
      </c>
      <c r="F129" s="97"/>
      <c r="G129" s="97"/>
      <c r="H129" s="97"/>
      <c r="I129" s="97"/>
      <c r="J129" s="97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  <c r="AA129" s="93"/>
      <c r="AB129" s="93"/>
      <c r="AC129" s="93"/>
      <c r="AD129" s="93">
        <f t="shared" ref="AD129:AD160" si="705">IFERROR(400*BF129,0)</f>
        <v>0</v>
      </c>
      <c r="AE129" s="93"/>
      <c r="AF129" s="93">
        <f t="shared" ref="AF129:AF160" si="706">IFERROR(SUM(F129:AC129)*0.2,0)</f>
        <v>0</v>
      </c>
      <c r="AG129" s="93"/>
      <c r="AH129" s="93" t="s">
        <v>179</v>
      </c>
      <c r="AI129" s="98">
        <f t="shared" ref="AI129:AI160" si="707">IFERROR(130*D129,0)</f>
        <v>0</v>
      </c>
      <c r="AJ129" s="81" cm="1">
        <f t="array" ref="AJ129">IFERROR(SUM(_xlfn._xlws.FILTER(E129:AI129,ISNUMBER(E129:AI129))),0)</f>
        <v>0</v>
      </c>
      <c r="AK129" s="81"/>
      <c r="AL129" s="99">
        <f t="shared" ref="AL129" si="708">IFERROR(AJ129*(1+AK129%),0)</f>
        <v>0</v>
      </c>
      <c r="AM129" s="116"/>
      <c r="AN129" s="84">
        <f t="shared" ref="AN129:AN160" si="709">IFERROR(SUM(E129:AC129)/D129,0)</f>
        <v>0</v>
      </c>
      <c r="AO129" s="138"/>
      <c r="AQ129" s="137"/>
      <c r="AR129" s="137"/>
      <c r="AS129" s="137"/>
      <c r="AT129" s="137"/>
      <c r="AU129" s="137"/>
      <c r="AV129" s="137"/>
      <c r="AY129" s="136">
        <f t="shared" ref="AY129:AY160" si="710">IFERROR((AQ129*20)/60,0)</f>
        <v>0</v>
      </c>
      <c r="AZ129" s="136">
        <f t="shared" ref="AZ129" si="711">IFERROR(AX129 + AY129 + BI129,0)</f>
        <v>0</v>
      </c>
      <c r="BA129" s="135">
        <f t="shared" ref="BA129" si="712">IFERROR(AZ129/8,0)</f>
        <v>0</v>
      </c>
      <c r="BB129" s="135">
        <f t="shared" ref="BB129" si="713">IFERROR(MAX(AQ129-BA129,0),0)</f>
        <v>0</v>
      </c>
      <c r="BD129" s="117">
        <f t="shared" ref="BD129:BD160" si="714">IFERROR(10000*D129,0)</f>
        <v>0</v>
      </c>
      <c r="BE129" s="117"/>
      <c r="BF129" s="117"/>
      <c r="BG129" s="117">
        <f t="shared" ref="BG129:BG160" si="715">IFERROR(-IF(AH129=$L$3,0,IF(AH129=$N$3,15*680*D129,IF(AH129=$P$3,30*680*D129,IF(AH129=0,50*680*D129,0)))),0)</f>
        <v>0</v>
      </c>
      <c r="BH129" s="117"/>
      <c r="BI129" s="117"/>
      <c r="BJ129" s="117"/>
    </row>
    <row r="130" spans="1:62" ht="18" hidden="1" customHeight="1">
      <c r="A130" s="57"/>
      <c r="B130" s="132"/>
      <c r="C130" s="95"/>
      <c r="D130" s="95"/>
      <c r="E130" s="111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112"/>
      <c r="AJ130" s="113"/>
      <c r="AK130" s="113"/>
      <c r="AL130" s="114"/>
      <c r="AM130" s="95"/>
      <c r="BE130" s="117"/>
      <c r="BF130" s="117"/>
      <c r="BG130" s="117"/>
      <c r="BH130" s="117"/>
      <c r="BI130" s="117"/>
      <c r="BJ130" s="117"/>
    </row>
    <row r="131" spans="1:62" ht="18" customHeight="1">
      <c r="A131" s="62">
        <v>62</v>
      </c>
      <c r="B131" s="64"/>
      <c r="C131" s="68"/>
      <c r="D131" s="80"/>
      <c r="E131" s="96">
        <f>IFERROR('Kiểm hóa may'!D131 + 'Bản sau là'!D131,0)</f>
        <v>0</v>
      </c>
      <c r="F131" s="97"/>
      <c r="G131" s="97"/>
      <c r="H131" s="97"/>
      <c r="I131" s="97"/>
      <c r="J131" s="97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  <c r="AA131" s="93"/>
      <c r="AB131" s="93"/>
      <c r="AC131" s="93"/>
      <c r="AD131" s="93">
        <f t="shared" ref="AD131:AD162" si="716">IFERROR(400*BF131,0)</f>
        <v>0</v>
      </c>
      <c r="AE131" s="93"/>
      <c r="AF131" s="93">
        <f t="shared" ref="AF131:AF162" si="717">IFERROR(SUM(F131:AC131)*0.2,0)</f>
        <v>0</v>
      </c>
      <c r="AG131" s="93"/>
      <c r="AH131" s="93" t="s">
        <v>179</v>
      </c>
      <c r="AI131" s="98">
        <f t="shared" ref="AI131:AI162" si="718">IFERROR(130*D131,0)</f>
        <v>0</v>
      </c>
      <c r="AJ131" s="81" cm="1">
        <f t="array" ref="AJ131">IFERROR(SUM(_xlfn._xlws.FILTER(E131:AI131,ISNUMBER(E131:AI131))),0)</f>
        <v>0</v>
      </c>
      <c r="AK131" s="81"/>
      <c r="AL131" s="99">
        <f t="shared" ref="AL131" si="719">IFERROR(AJ131*(1+AK131%),0)</f>
        <v>0</v>
      </c>
      <c r="AM131" s="116"/>
      <c r="AN131" s="84">
        <f t="shared" ref="AN131:AN162" si="720">IFERROR(SUM(E131:AC131)/D131,0)</f>
        <v>0</v>
      </c>
      <c r="AO131" s="138"/>
      <c r="AQ131" s="137"/>
      <c r="AR131" s="137"/>
      <c r="AS131" s="137"/>
      <c r="AT131" s="137"/>
      <c r="AU131" s="137"/>
      <c r="AV131" s="137"/>
      <c r="AY131" s="136">
        <f t="shared" ref="AY131:AY162" si="721">IFERROR((AQ131*20)/60,0)</f>
        <v>0</v>
      </c>
      <c r="AZ131" s="136">
        <f t="shared" ref="AZ131" si="722">IFERROR(AX131 + AY131 + BI131,0)</f>
        <v>0</v>
      </c>
      <c r="BA131" s="135">
        <f t="shared" ref="BA131" si="723">IFERROR(AZ131/8,0)</f>
        <v>0</v>
      </c>
      <c r="BB131" s="135">
        <f t="shared" ref="BB131" si="724">IFERROR(MAX(AQ131-BA131,0),0)</f>
        <v>0</v>
      </c>
      <c r="BD131" s="117">
        <f t="shared" ref="BD131:BD162" si="725">IFERROR(10000*D131,0)</f>
        <v>0</v>
      </c>
      <c r="BE131" s="117"/>
      <c r="BF131" s="117"/>
      <c r="BG131" s="117">
        <f t="shared" ref="BG131:BG162" si="726">IFERROR(-IF(AH131=$L$3,0,IF(AH131=$N$3,15*680*D131,IF(AH131=$P$3,30*680*D131,IF(AH131=0,50*680*D131,0)))),0)</f>
        <v>0</v>
      </c>
      <c r="BH131" s="117"/>
      <c r="BI131" s="117"/>
      <c r="BJ131" s="117"/>
    </row>
    <row r="132" spans="1:62" ht="18" hidden="1" customHeight="1">
      <c r="A132" s="95"/>
      <c r="B132" s="132"/>
      <c r="C132" s="95"/>
      <c r="D132" s="95"/>
      <c r="E132" s="111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112"/>
      <c r="AJ132" s="113"/>
      <c r="AK132" s="113"/>
      <c r="AL132" s="114"/>
      <c r="AM132" s="95"/>
      <c r="BE132" s="117"/>
      <c r="BF132" s="117"/>
      <c r="BG132" s="117"/>
      <c r="BH132" s="117"/>
      <c r="BI132" s="117"/>
      <c r="BJ132" s="117"/>
    </row>
    <row r="133" spans="1:62" ht="18" customHeight="1">
      <c r="A133" s="65">
        <v>63</v>
      </c>
      <c r="B133" s="64"/>
      <c r="C133" s="68"/>
      <c r="D133" s="80"/>
      <c r="E133" s="96">
        <f>IFERROR('Kiểm hóa may'!D133 + 'Bản sau là'!D133,0)</f>
        <v>0</v>
      </c>
      <c r="F133" s="97"/>
      <c r="G133" s="97"/>
      <c r="H133" s="97"/>
      <c r="I133" s="97"/>
      <c r="J133" s="97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  <c r="AC133" s="93"/>
      <c r="AD133" s="93">
        <f t="shared" ref="AD133:AD164" si="727">IFERROR(400*BF133,0)</f>
        <v>0</v>
      </c>
      <c r="AE133" s="93"/>
      <c r="AF133" s="93">
        <f t="shared" ref="AF133:AF164" si="728">IFERROR(SUM(F133:AC133)*0.2,0)</f>
        <v>0</v>
      </c>
      <c r="AG133" s="93"/>
      <c r="AH133" s="93" t="s">
        <v>179</v>
      </c>
      <c r="AI133" s="98">
        <f t="shared" ref="AI133:AI164" si="729">IFERROR(130*D133,0)</f>
        <v>0</v>
      </c>
      <c r="AJ133" s="81" cm="1">
        <f t="array" ref="AJ133">IFERROR(SUM(_xlfn._xlws.FILTER(E133:AI133,ISNUMBER(E133:AI133))),0)</f>
        <v>0</v>
      </c>
      <c r="AK133" s="81"/>
      <c r="AL133" s="99">
        <f t="shared" ref="AL133" si="730">IFERROR(AJ133*(1+AK133%),0)</f>
        <v>0</v>
      </c>
      <c r="AM133" s="116"/>
      <c r="AN133" s="84">
        <f t="shared" ref="AN133:AN164" si="731">IFERROR(SUM(E133:AC133)/D133,0)</f>
        <v>0</v>
      </c>
      <c r="AO133" s="138"/>
      <c r="AQ133" s="137"/>
      <c r="AR133" s="137"/>
      <c r="AS133" s="137"/>
      <c r="AT133" s="137"/>
      <c r="AU133" s="137"/>
      <c r="AV133" s="137"/>
      <c r="AY133" s="136">
        <f t="shared" ref="AY133:AY164" si="732">IFERROR((AQ133*20)/60,0)</f>
        <v>0</v>
      </c>
      <c r="AZ133" s="136">
        <f t="shared" ref="AZ133" si="733">IFERROR(AX133 + AY133 + BI133,0)</f>
        <v>0</v>
      </c>
      <c r="BA133" s="135">
        <f t="shared" ref="BA133" si="734">IFERROR(AZ133/8,0)</f>
        <v>0</v>
      </c>
      <c r="BB133" s="135">
        <f t="shared" ref="BB133" si="735">IFERROR(MAX(AQ133-BA133,0),0)</f>
        <v>0</v>
      </c>
      <c r="BD133" s="117">
        <f t="shared" ref="BD133:BD164" si="736">IFERROR(10000*D133,0)</f>
        <v>0</v>
      </c>
      <c r="BE133" s="117"/>
      <c r="BF133" s="117"/>
      <c r="BG133" s="117">
        <f t="shared" ref="BG133:BG164" si="737">IFERROR(-IF(AH133=$L$3,0,IF(AH133=$N$3,15*680*D133,IF(AH133=$P$3,30*680*D133,IF(AH133=0,50*680*D133,0)))),0)</f>
        <v>0</v>
      </c>
      <c r="BH133" s="117"/>
      <c r="BI133" s="117"/>
      <c r="BJ133" s="117"/>
    </row>
    <row r="134" spans="1:62" ht="18" hidden="1" customHeight="1">
      <c r="A134" s="57"/>
      <c r="B134" s="132"/>
      <c r="C134" s="95"/>
      <c r="D134" s="95"/>
      <c r="E134" s="111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112"/>
      <c r="AJ134" s="113"/>
      <c r="AK134" s="113"/>
      <c r="AL134" s="114"/>
      <c r="AM134" s="95"/>
      <c r="BE134" s="117"/>
      <c r="BF134" s="117"/>
      <c r="BG134" s="117"/>
      <c r="BH134" s="117"/>
      <c r="BI134" s="117"/>
      <c r="BJ134" s="117"/>
    </row>
    <row r="135" spans="1:62" ht="18" customHeight="1">
      <c r="A135" s="62">
        <v>64</v>
      </c>
      <c r="B135" s="64"/>
      <c r="C135" s="68"/>
      <c r="D135" s="80"/>
      <c r="E135" s="96">
        <f>IFERROR('Kiểm hóa may'!D135 + 'Bản sau là'!D135,0)</f>
        <v>0</v>
      </c>
      <c r="F135" s="97"/>
      <c r="G135" s="97"/>
      <c r="H135" s="97"/>
      <c r="I135" s="97"/>
      <c r="J135" s="97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  <c r="AC135" s="93"/>
      <c r="AD135" s="93">
        <f t="shared" ref="AD135:AD166" si="738">IFERROR(400*BF135,0)</f>
        <v>0</v>
      </c>
      <c r="AE135" s="93"/>
      <c r="AF135" s="93">
        <f t="shared" ref="AF135:AF166" si="739">IFERROR(SUM(F135:AC135)*0.2,0)</f>
        <v>0</v>
      </c>
      <c r="AG135" s="93"/>
      <c r="AH135" s="93" t="s">
        <v>179</v>
      </c>
      <c r="AI135" s="98">
        <f t="shared" ref="AI135:AI166" si="740">IFERROR(130*D135,0)</f>
        <v>0</v>
      </c>
      <c r="AJ135" s="81" cm="1">
        <f t="array" ref="AJ135">IFERROR(SUM(_xlfn._xlws.FILTER(E135:AI135,ISNUMBER(E135:AI135))),0)</f>
        <v>0</v>
      </c>
      <c r="AK135" s="81"/>
      <c r="AL135" s="99">
        <f t="shared" ref="AL135" si="741">IFERROR(AJ135*(1+AK135%),0)</f>
        <v>0</v>
      </c>
      <c r="AM135" s="116"/>
      <c r="AN135" s="84">
        <f t="shared" ref="AN135:AN166" si="742">IFERROR(SUM(E135:AC135)/D135,0)</f>
        <v>0</v>
      </c>
      <c r="AO135" s="138"/>
      <c r="AQ135" s="137"/>
      <c r="AR135" s="137"/>
      <c r="AS135" s="137"/>
      <c r="AT135" s="137"/>
      <c r="AU135" s="137"/>
      <c r="AV135" s="137"/>
      <c r="AY135" s="136">
        <f t="shared" ref="AY135:AY166" si="743">IFERROR((AQ135*20)/60,0)</f>
        <v>0</v>
      </c>
      <c r="AZ135" s="136">
        <f t="shared" ref="AZ135" si="744">IFERROR(AX135 + AY135 + BI135,0)</f>
        <v>0</v>
      </c>
      <c r="BA135" s="135">
        <f t="shared" ref="BA135" si="745">IFERROR(AZ135/8,0)</f>
        <v>0</v>
      </c>
      <c r="BB135" s="135">
        <f t="shared" ref="BB135" si="746">IFERROR(MAX(AQ135-BA135,0),0)</f>
        <v>0</v>
      </c>
      <c r="BD135" s="117">
        <f t="shared" ref="BD135:BD166" si="747">IFERROR(10000*D135,0)</f>
        <v>0</v>
      </c>
      <c r="BE135" s="117"/>
      <c r="BF135" s="117"/>
      <c r="BG135" s="117">
        <f t="shared" ref="BG135:BG166" si="748">IFERROR(-IF(AH135=$L$3,0,IF(AH135=$N$3,15*680*D135,IF(AH135=$P$3,30*680*D135,IF(AH135=0,50*680*D135,0)))),0)</f>
        <v>0</v>
      </c>
      <c r="BH135" s="117"/>
      <c r="BI135" s="117"/>
      <c r="BJ135" s="117"/>
    </row>
    <row r="136" spans="1:62" ht="18" hidden="1" customHeight="1">
      <c r="A136" s="95"/>
      <c r="B136" s="132"/>
      <c r="C136" s="95"/>
      <c r="D136" s="95"/>
      <c r="E136" s="111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112"/>
      <c r="AJ136" s="113"/>
      <c r="AK136" s="113"/>
      <c r="AL136" s="114"/>
      <c r="AM136" s="95"/>
      <c r="BE136" s="117"/>
      <c r="BF136" s="117"/>
      <c r="BG136" s="117"/>
      <c r="BH136" s="117"/>
      <c r="BI136" s="117"/>
      <c r="BJ136" s="117"/>
    </row>
    <row r="137" spans="1:62" ht="18" customHeight="1">
      <c r="A137" s="65">
        <v>65</v>
      </c>
      <c r="B137" s="64"/>
      <c r="C137" s="68"/>
      <c r="D137" s="80"/>
      <c r="E137" s="96">
        <f>IFERROR('Kiểm hóa may'!D137 + 'Bản sau là'!D137,0)</f>
        <v>0</v>
      </c>
      <c r="F137" s="97"/>
      <c r="G137" s="97"/>
      <c r="H137" s="97"/>
      <c r="I137" s="97"/>
      <c r="J137" s="97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  <c r="AB137" s="93"/>
      <c r="AC137" s="93"/>
      <c r="AD137" s="93">
        <f t="shared" ref="AD137:AD168" si="749">IFERROR(400*BF137,0)</f>
        <v>0</v>
      </c>
      <c r="AE137" s="93"/>
      <c r="AF137" s="93">
        <f t="shared" ref="AF137:AF168" si="750">IFERROR(SUM(F137:AC137)*0.2,0)</f>
        <v>0</v>
      </c>
      <c r="AG137" s="93"/>
      <c r="AH137" s="93" t="s">
        <v>179</v>
      </c>
      <c r="AI137" s="98">
        <f t="shared" ref="AI137:AI168" si="751">IFERROR(130*D137,0)</f>
        <v>0</v>
      </c>
      <c r="AJ137" s="81" cm="1">
        <f t="array" ref="AJ137">IFERROR(SUM(_xlfn._xlws.FILTER(E137:AI137,ISNUMBER(E137:AI137))),0)</f>
        <v>0</v>
      </c>
      <c r="AK137" s="81"/>
      <c r="AL137" s="99">
        <f t="shared" ref="AL137" si="752">IFERROR(AJ137*(1+AK137%),0)</f>
        <v>0</v>
      </c>
      <c r="AM137" s="116"/>
      <c r="AN137" s="84">
        <f t="shared" ref="AN137:AN168" si="753">IFERROR(SUM(E137:AC137)/D137,0)</f>
        <v>0</v>
      </c>
      <c r="AO137" s="138"/>
      <c r="AQ137" s="137"/>
      <c r="AR137" s="137"/>
      <c r="AS137" s="137"/>
      <c r="AT137" s="137"/>
      <c r="AU137" s="137"/>
      <c r="AV137" s="137"/>
      <c r="AY137" s="136">
        <f t="shared" ref="AY137:AY168" si="754">IFERROR((AQ137*20)/60,0)</f>
        <v>0</v>
      </c>
      <c r="AZ137" s="136">
        <f t="shared" ref="AZ137" si="755">IFERROR(AX137 + AY137 + BI137,0)</f>
        <v>0</v>
      </c>
      <c r="BA137" s="135">
        <f t="shared" ref="BA137" si="756">IFERROR(AZ137/8,0)</f>
        <v>0</v>
      </c>
      <c r="BB137" s="135">
        <f t="shared" ref="BB137" si="757">IFERROR(MAX(AQ137-BA137,0),0)</f>
        <v>0</v>
      </c>
      <c r="BD137" s="117">
        <f t="shared" ref="BD137:BD168" si="758">IFERROR(10000*D137,0)</f>
        <v>0</v>
      </c>
      <c r="BE137" s="117"/>
      <c r="BF137" s="117"/>
      <c r="BG137" s="117">
        <f t="shared" ref="BG137:BG168" si="759">IFERROR(-IF(AH137=$L$3,0,IF(AH137=$N$3,15*680*D137,IF(AH137=$P$3,30*680*D137,IF(AH137=0,50*680*D137,0)))),0)</f>
        <v>0</v>
      </c>
      <c r="BH137" s="117"/>
      <c r="BI137" s="117"/>
      <c r="BJ137" s="117"/>
    </row>
    <row r="138" spans="1:62" ht="18" hidden="1" customHeight="1">
      <c r="A138" s="57"/>
      <c r="B138" s="132"/>
      <c r="C138" s="95"/>
      <c r="D138" s="95"/>
      <c r="E138" s="111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112"/>
      <c r="AJ138" s="113"/>
      <c r="AK138" s="113"/>
      <c r="AL138" s="114"/>
      <c r="AM138" s="95"/>
      <c r="BE138" s="117"/>
      <c r="BF138" s="117"/>
      <c r="BG138" s="117"/>
      <c r="BH138" s="117"/>
      <c r="BI138" s="117"/>
      <c r="BJ138" s="117"/>
    </row>
    <row r="139" spans="1:62" s="85" customFormat="1" ht="20.25" customHeight="1">
      <c r="A139" s="62">
        <v>66</v>
      </c>
      <c r="B139" s="132"/>
      <c r="C139" s="95"/>
      <c r="D139" s="95"/>
      <c r="E139" s="96">
        <f>IFERROR('Kiểm hóa may'!D139 + 'Bản sau là'!D139,0)</f>
        <v>0</v>
      </c>
      <c r="F139" s="97"/>
      <c r="G139" s="97"/>
      <c r="H139" s="97"/>
      <c r="I139" s="97"/>
      <c r="J139" s="97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  <c r="AA139" s="93"/>
      <c r="AB139" s="93"/>
      <c r="AC139" s="93"/>
      <c r="AD139" s="93">
        <f t="shared" ref="AD139:AD170" si="760">IFERROR(400*BF139,0)</f>
        <v>0</v>
      </c>
      <c r="AE139" s="93"/>
      <c r="AF139" s="93">
        <f t="shared" ref="AF139:AF170" si="761">IFERROR(SUM(F139:AC139)*0.2,0)</f>
        <v>0</v>
      </c>
      <c r="AG139" s="93"/>
      <c r="AH139" s="93" t="s">
        <v>179</v>
      </c>
      <c r="AI139" s="98">
        <f t="shared" ref="AI139:AI170" si="762">IFERROR(130*D139,0)</f>
        <v>0</v>
      </c>
      <c r="AJ139" s="81" cm="1">
        <f t="array" ref="AJ139">IFERROR(SUM(_xlfn._xlws.FILTER(E139:AI139,ISNUMBER(E139:AI139))),0)</f>
        <v>0</v>
      </c>
      <c r="AK139" s="81"/>
      <c r="AL139" s="99">
        <f t="shared" ref="AL139" si="763">IFERROR(AJ139*(1+AK139%),0)</f>
        <v>0</v>
      </c>
      <c r="AM139" s="116"/>
      <c r="AN139" s="84">
        <f t="shared" ref="AN139:AN170" si="764">IFERROR(SUM(E139:AC139)/D139,0)</f>
        <v>0</v>
      </c>
      <c r="AO139" s="138"/>
      <c r="AP139" s="117"/>
      <c r="AQ139" s="137"/>
      <c r="AR139" s="137"/>
      <c r="AS139" s="137"/>
      <c r="AT139" s="137"/>
      <c r="AU139" s="137"/>
      <c r="AV139" s="137"/>
      <c r="AW139" s="117"/>
      <c r="AX139" s="117"/>
      <c r="AY139" s="136">
        <f t="shared" ref="AY139:AY170" si="765">IFERROR((AQ139*20)/60,0)</f>
        <v>0</v>
      </c>
      <c r="AZ139" s="136">
        <f t="shared" ref="AZ139" si="766">IFERROR(AX139 + AY139 + BI139,0)</f>
        <v>0</v>
      </c>
      <c r="BA139" s="135">
        <f t="shared" ref="BA139" si="767">IFERROR(AZ139/8,0)</f>
        <v>0</v>
      </c>
      <c r="BB139" s="135">
        <f t="shared" ref="BB139" si="768">IFERROR(MAX(AQ139-BA139,0),0)</f>
        <v>0</v>
      </c>
      <c r="BC139" s="117"/>
      <c r="BD139" s="117">
        <f t="shared" ref="BD139:BD170" si="769">IFERROR(10000*D139,0)</f>
        <v>0</v>
      </c>
      <c r="BE139" s="117"/>
      <c r="BF139" s="117"/>
      <c r="BG139" s="117">
        <f t="shared" ref="BG139:BG170" si="770">IFERROR(-IF(AH139=$L$3,0,IF(AH139=$N$3,15*680*D139,IF(AH139=$P$3,30*680*D139,IF(AH139=0,50*680*D139,0)))),0)</f>
        <v>0</v>
      </c>
      <c r="BH139" s="117"/>
      <c r="BI139" s="117"/>
      <c r="BJ139" s="117"/>
    </row>
    <row r="140" spans="1:62" ht="18" hidden="1" customHeight="1">
      <c r="A140" s="95"/>
      <c r="B140" s="132"/>
      <c r="C140" s="95"/>
      <c r="D140" s="95"/>
      <c r="E140" s="111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112"/>
      <c r="AJ140" s="113"/>
      <c r="AK140" s="113"/>
      <c r="AL140" s="114"/>
      <c r="AM140" s="95"/>
      <c r="BE140" s="117"/>
      <c r="BF140" s="117"/>
      <c r="BG140" s="117"/>
      <c r="BH140" s="117"/>
      <c r="BI140" s="117"/>
      <c r="BJ140" s="117"/>
    </row>
    <row r="141" spans="1:62" ht="18" hidden="1" customHeight="1">
      <c r="A141" s="65">
        <v>67</v>
      </c>
      <c r="B141" s="64"/>
      <c r="C141" s="68"/>
      <c r="D141" s="80"/>
      <c r="E141" s="96">
        <f>IFERROR('Kiểm hóa may'!D141 + 'Bản sau là'!D141,0)</f>
        <v>0</v>
      </c>
      <c r="F141" s="97"/>
      <c r="G141" s="97"/>
      <c r="H141" s="97"/>
      <c r="I141" s="97"/>
      <c r="J141" s="97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93"/>
      <c r="AB141" s="93"/>
      <c r="AC141" s="93"/>
      <c r="AD141" s="93">
        <f t="shared" ref="AD141:AD172" si="771">IFERROR(400*BF141,0)</f>
        <v>0</v>
      </c>
      <c r="AE141" s="93"/>
      <c r="AF141" s="93">
        <f t="shared" ref="AF141:AF172" si="772">IFERROR(SUM(F141:AC141)*0.2,0)</f>
        <v>0</v>
      </c>
      <c r="AG141" s="93"/>
      <c r="AH141" s="93" t="s">
        <v>179</v>
      </c>
      <c r="AI141" s="98">
        <f t="shared" ref="AI141:AI172" si="773">IFERROR(130*D141,0)</f>
        <v>0</v>
      </c>
      <c r="AJ141" s="81" cm="1">
        <f t="array" ref="AJ141">IFERROR(SUM(_xlfn._xlws.FILTER(E141:AI141,ISNUMBER(E141:AI141))),0)</f>
        <v>0</v>
      </c>
      <c r="AK141" s="81"/>
      <c r="AL141" s="99">
        <f t="shared" ref="AL141" si="774">IFERROR(AJ141*(1+AK141%),0)</f>
        <v>0</v>
      </c>
      <c r="AM141" s="116"/>
      <c r="AN141" s="84">
        <f t="shared" ref="AN141:AN172" si="775">IFERROR(SUM(E141:AC141)/D141,0)</f>
        <v>0</v>
      </c>
      <c r="AO141" s="138"/>
      <c r="AQ141" s="137"/>
      <c r="AR141" s="137"/>
      <c r="AS141" s="137"/>
      <c r="AT141" s="137"/>
      <c r="AU141" s="137"/>
      <c r="AV141" s="137"/>
      <c r="AY141" s="136">
        <f t="shared" ref="AY141:AY172" si="776">IFERROR((AQ141*20)/60,0)</f>
        <v>0</v>
      </c>
      <c r="AZ141" s="136">
        <f t="shared" ref="AZ141" si="777">IFERROR(AX141 + AY141 + BI141,0)</f>
        <v>0</v>
      </c>
      <c r="BA141" s="135">
        <f t="shared" ref="BA141" si="778">IFERROR(AZ141/8,0)</f>
        <v>0</v>
      </c>
      <c r="BB141" s="135">
        <f t="shared" ref="BB141" si="779">IFERROR(MAX(AQ141-BA141,0),0)</f>
        <v>0</v>
      </c>
      <c r="BD141" s="117">
        <f t="shared" ref="BD141:BD172" si="780">IFERROR(10000*D141,0)</f>
        <v>0</v>
      </c>
      <c r="BE141" s="117"/>
      <c r="BF141" s="117"/>
      <c r="BG141" s="117">
        <f t="shared" ref="BG141:BG172" si="781">IFERROR(-IF(AH141=$L$3,0,IF(AH141=$N$3,15*680*D141,IF(AH141=$P$3,30*680*D141,IF(AH141=0,50*680*D141,0)))),0)</f>
        <v>0</v>
      </c>
      <c r="BH141" s="117"/>
      <c r="BI141" s="117"/>
      <c r="BJ141" s="117"/>
    </row>
    <row r="142" spans="1:62" ht="18" hidden="1" customHeight="1">
      <c r="A142" s="57"/>
      <c r="B142" s="132"/>
      <c r="C142" s="95"/>
      <c r="D142" s="95"/>
      <c r="E142" s="111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112"/>
      <c r="AJ142" s="113"/>
      <c r="AK142" s="113"/>
      <c r="AL142" s="114"/>
      <c r="AM142" s="95"/>
      <c r="BE142" s="117"/>
      <c r="BF142" s="117"/>
      <c r="BG142" s="117"/>
      <c r="BH142" s="117"/>
      <c r="BI142" s="117"/>
      <c r="BJ142" s="117"/>
    </row>
    <row r="143" spans="1:62" ht="18" hidden="1" customHeight="1">
      <c r="A143" s="62">
        <v>68</v>
      </c>
      <c r="B143" s="64"/>
      <c r="C143" s="68"/>
      <c r="D143" s="80"/>
      <c r="E143" s="96">
        <f>IFERROR('Kiểm hóa may'!D143 + 'Bản sau là'!D143,0)</f>
        <v>0</v>
      </c>
      <c r="F143" s="97"/>
      <c r="G143" s="97"/>
      <c r="H143" s="97"/>
      <c r="I143" s="97"/>
      <c r="J143" s="97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93"/>
      <c r="AB143" s="93"/>
      <c r="AC143" s="93"/>
      <c r="AD143" s="93">
        <f t="shared" ref="AD143:AD174" si="782">IFERROR(400*BF143,0)</f>
        <v>0</v>
      </c>
      <c r="AE143" s="93"/>
      <c r="AF143" s="93">
        <f t="shared" ref="AF143:AF174" si="783">IFERROR(SUM(F143:AC143)*0.2,0)</f>
        <v>0</v>
      </c>
      <c r="AG143" s="93"/>
      <c r="AH143" s="93" t="s">
        <v>179</v>
      </c>
      <c r="AI143" s="98">
        <f t="shared" ref="AI143:AI174" si="784">IFERROR(130*D143,0)</f>
        <v>0</v>
      </c>
      <c r="AJ143" s="81" cm="1">
        <f t="array" ref="AJ143">IFERROR(SUM(_xlfn._xlws.FILTER(E143:AI143,ISNUMBER(E143:AI143))),0)</f>
        <v>0</v>
      </c>
      <c r="AK143" s="81"/>
      <c r="AL143" s="99">
        <f t="shared" ref="AL143" si="785">IFERROR(AJ143*(1+AK143%),0)</f>
        <v>0</v>
      </c>
      <c r="AM143" s="116"/>
      <c r="AN143" s="84">
        <f t="shared" ref="AN143:AN174" si="786">IFERROR(SUM(E143:AC143)/D143,0)</f>
        <v>0</v>
      </c>
      <c r="AO143" s="138"/>
      <c r="AQ143" s="137"/>
      <c r="AR143" s="137"/>
      <c r="AS143" s="137"/>
      <c r="AT143" s="137"/>
      <c r="AU143" s="137"/>
      <c r="AV143" s="137"/>
      <c r="AY143" s="136">
        <f t="shared" ref="AY143:AY174" si="787">IFERROR((AQ143*20)/60,0)</f>
        <v>0</v>
      </c>
      <c r="AZ143" s="136">
        <f t="shared" ref="AZ143" si="788">IFERROR(AX143 + AY143 + BI143,0)</f>
        <v>0</v>
      </c>
      <c r="BA143" s="135">
        <f t="shared" ref="BA143" si="789">IFERROR(AZ143/8,0)</f>
        <v>0</v>
      </c>
      <c r="BB143" s="135">
        <f t="shared" ref="BB143" si="790">IFERROR(MAX(AQ143-BA143,0),0)</f>
        <v>0</v>
      </c>
      <c r="BD143" s="117">
        <f t="shared" ref="BD143:BD174" si="791">IFERROR(10000*D143,0)</f>
        <v>0</v>
      </c>
      <c r="BE143" s="117"/>
      <c r="BF143" s="117"/>
      <c r="BG143" s="117">
        <f t="shared" ref="BG143:BG174" si="792">IFERROR(-IF(AH143=$L$3,0,IF(AH143=$N$3,15*680*D143,IF(AH143=$P$3,30*680*D143,IF(AH143=0,50*680*D143,0)))),0)</f>
        <v>0</v>
      </c>
      <c r="BH143" s="117"/>
      <c r="BI143" s="117"/>
      <c r="BJ143" s="117"/>
    </row>
    <row r="144" spans="1:62" ht="18" hidden="1" customHeight="1">
      <c r="A144" s="95"/>
      <c r="B144" s="132"/>
      <c r="C144" s="95"/>
      <c r="D144" s="95"/>
      <c r="E144" s="111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112"/>
      <c r="AJ144" s="113"/>
      <c r="AK144" s="113"/>
      <c r="AL144" s="114"/>
      <c r="AM144" s="95"/>
      <c r="BE144" s="117"/>
      <c r="BF144" s="117"/>
      <c r="BG144" s="117"/>
      <c r="BH144" s="117"/>
      <c r="BI144" s="117"/>
      <c r="BJ144" s="117"/>
    </row>
    <row r="145" spans="1:62" ht="18" hidden="1" customHeight="1">
      <c r="A145" s="65">
        <v>69</v>
      </c>
      <c r="B145" s="64"/>
      <c r="C145" s="68"/>
      <c r="D145" s="80"/>
      <c r="E145" s="96">
        <f>IFERROR('Kiểm hóa may'!D145 + 'Bản sau là'!D145,0)</f>
        <v>0</v>
      </c>
      <c r="F145" s="97"/>
      <c r="G145" s="97"/>
      <c r="H145" s="97"/>
      <c r="I145" s="97"/>
      <c r="J145" s="97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93"/>
      <c r="AB145" s="93"/>
      <c r="AC145" s="93"/>
      <c r="AD145" s="93">
        <f t="shared" ref="AD145:AD176" si="793">IFERROR(400*BF145,0)</f>
        <v>0</v>
      </c>
      <c r="AE145" s="93"/>
      <c r="AF145" s="93">
        <f t="shared" ref="AF145:AF176" si="794">IFERROR(SUM(F145:AC145)*0.2,0)</f>
        <v>0</v>
      </c>
      <c r="AG145" s="93"/>
      <c r="AH145" s="93" t="s">
        <v>179</v>
      </c>
      <c r="AI145" s="98">
        <f t="shared" ref="AI145:AI176" si="795">IFERROR(130*D145,0)</f>
        <v>0</v>
      </c>
      <c r="AJ145" s="81" cm="1">
        <f t="array" ref="AJ145">IFERROR(SUM(_xlfn._xlws.FILTER(E145:AI145,ISNUMBER(E145:AI145))),0)</f>
        <v>0</v>
      </c>
      <c r="AK145" s="81"/>
      <c r="AL145" s="99">
        <f t="shared" ref="AL145" si="796">IFERROR(AJ145*(1+AK145%),0)</f>
        <v>0</v>
      </c>
      <c r="AM145" s="116"/>
      <c r="AN145" s="84">
        <f t="shared" ref="AN145:AN176" si="797">IFERROR(SUM(E145:AC145)/D145,0)</f>
        <v>0</v>
      </c>
      <c r="AO145" s="138"/>
      <c r="AQ145" s="137"/>
      <c r="AR145" s="137"/>
      <c r="AS145" s="137"/>
      <c r="AT145" s="137"/>
      <c r="AU145" s="137"/>
      <c r="AV145" s="137"/>
      <c r="AY145" s="136">
        <f t="shared" ref="AY145:AY176" si="798">IFERROR((AQ145*20)/60,0)</f>
        <v>0</v>
      </c>
      <c r="AZ145" s="136">
        <f t="shared" ref="AZ145" si="799">IFERROR(AX145 + AY145 + BI145,0)</f>
        <v>0</v>
      </c>
      <c r="BA145" s="135">
        <f t="shared" ref="BA145" si="800">IFERROR(AZ145/8,0)</f>
        <v>0</v>
      </c>
      <c r="BB145" s="135">
        <f t="shared" ref="BB145" si="801">IFERROR(MAX(AQ145-BA145,0),0)</f>
        <v>0</v>
      </c>
      <c r="BD145" s="117">
        <f t="shared" ref="BD145:BD176" si="802">IFERROR(10000*D145,0)</f>
        <v>0</v>
      </c>
      <c r="BE145" s="117"/>
      <c r="BF145" s="117"/>
      <c r="BG145" s="117">
        <f t="shared" ref="BG145:BG176" si="803">IFERROR(-IF(AH145=$L$3,0,IF(AH145=$N$3,15*680*D145,IF(AH145=$P$3,30*680*D145,IF(AH145=0,50*680*D145,0)))),0)</f>
        <v>0</v>
      </c>
      <c r="BH145" s="117"/>
      <c r="BI145" s="117"/>
      <c r="BJ145" s="117"/>
    </row>
    <row r="146" spans="1:62" ht="18" hidden="1" customHeight="1">
      <c r="A146" s="57"/>
      <c r="B146" s="132"/>
      <c r="C146" s="95"/>
      <c r="D146" s="95"/>
      <c r="E146" s="111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112"/>
      <c r="AJ146" s="113"/>
      <c r="AK146" s="113"/>
      <c r="AL146" s="114"/>
      <c r="AM146" s="95"/>
      <c r="BE146" s="117"/>
      <c r="BF146" s="117"/>
      <c r="BG146" s="117"/>
      <c r="BH146" s="117"/>
      <c r="BI146" s="117"/>
      <c r="BJ146" s="117"/>
    </row>
    <row r="147" spans="1:62" ht="18" hidden="1" customHeight="1">
      <c r="A147" s="62">
        <v>70</v>
      </c>
      <c r="B147" s="64"/>
      <c r="C147" s="68"/>
      <c r="D147" s="80"/>
      <c r="E147" s="96">
        <f>IFERROR('Kiểm hóa may'!D147 + 'Bản sau là'!D147,0)</f>
        <v>0</v>
      </c>
      <c r="F147" s="97"/>
      <c r="G147" s="97"/>
      <c r="H147" s="97"/>
      <c r="I147" s="97"/>
      <c r="J147" s="97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  <c r="AA147" s="93"/>
      <c r="AB147" s="93"/>
      <c r="AC147" s="93"/>
      <c r="AD147" s="93">
        <f t="shared" ref="AD147:AD178" si="804">IFERROR(400*BF147,0)</f>
        <v>0</v>
      </c>
      <c r="AE147" s="93"/>
      <c r="AF147" s="93">
        <f t="shared" ref="AF147:AF178" si="805">IFERROR(SUM(F147:AC147)*0.2,0)</f>
        <v>0</v>
      </c>
      <c r="AG147" s="93"/>
      <c r="AH147" s="93" t="s">
        <v>179</v>
      </c>
      <c r="AI147" s="98">
        <f t="shared" ref="AI147:AI178" si="806">IFERROR(130*D147,0)</f>
        <v>0</v>
      </c>
      <c r="AJ147" s="81" cm="1">
        <f t="array" ref="AJ147">IFERROR(SUM(_xlfn._xlws.FILTER(E147:AI147,ISNUMBER(E147:AI147))),0)</f>
        <v>0</v>
      </c>
      <c r="AK147" s="81"/>
      <c r="AL147" s="99">
        <f t="shared" ref="AL147" si="807">IFERROR(AJ147*(1+AK147%),0)</f>
        <v>0</v>
      </c>
      <c r="AM147" s="116"/>
      <c r="AN147" s="84">
        <f t="shared" ref="AN147:AN178" si="808">IFERROR(SUM(E147:AC147)/D147,0)</f>
        <v>0</v>
      </c>
      <c r="AO147" s="138"/>
      <c r="AQ147" s="137"/>
      <c r="AR147" s="137"/>
      <c r="AS147" s="137"/>
      <c r="AT147" s="137"/>
      <c r="AU147" s="137"/>
      <c r="AV147" s="137"/>
      <c r="AY147" s="136">
        <f t="shared" ref="AY147:AY178" si="809">IFERROR((AQ147*20)/60,0)</f>
        <v>0</v>
      </c>
      <c r="AZ147" s="136">
        <f t="shared" ref="AZ147" si="810">IFERROR(AX147 + AY147 + BI147,0)</f>
        <v>0</v>
      </c>
      <c r="BA147" s="135">
        <f t="shared" ref="BA147" si="811">IFERROR(AZ147/8,0)</f>
        <v>0</v>
      </c>
      <c r="BB147" s="135">
        <f t="shared" ref="BB147" si="812">IFERROR(MAX(AQ147-BA147,0),0)</f>
        <v>0</v>
      </c>
      <c r="BD147" s="117">
        <f t="shared" ref="BD147:BD178" si="813">IFERROR(10000*D147,0)</f>
        <v>0</v>
      </c>
      <c r="BE147" s="117"/>
      <c r="BF147" s="117"/>
      <c r="BG147" s="117">
        <f t="shared" ref="BG147:BG178" si="814">IFERROR(-IF(AH147=$L$3,0,IF(AH147=$N$3,15*680*D147,IF(AH147=$P$3,30*680*D147,IF(AH147=0,50*680*D147,0)))),0)</f>
        <v>0</v>
      </c>
      <c r="BH147" s="117"/>
      <c r="BI147" s="117"/>
      <c r="BJ147" s="117"/>
    </row>
    <row r="148" spans="1:62" ht="18" hidden="1" customHeight="1">
      <c r="A148" s="95"/>
      <c r="B148" s="132"/>
      <c r="C148" s="95"/>
      <c r="D148" s="95"/>
      <c r="E148" s="111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112"/>
      <c r="AJ148" s="113"/>
      <c r="AK148" s="113"/>
      <c r="AL148" s="114"/>
      <c r="AM148" s="95"/>
      <c r="BE148" s="117"/>
      <c r="BF148" s="117"/>
      <c r="BG148" s="117"/>
      <c r="BH148" s="117"/>
      <c r="BI148" s="117"/>
      <c r="BJ148" s="117"/>
    </row>
    <row r="149" spans="1:62" ht="18" hidden="1" customHeight="1">
      <c r="A149" s="65">
        <v>71</v>
      </c>
      <c r="B149" s="64"/>
      <c r="C149" s="68"/>
      <c r="D149" s="80"/>
      <c r="E149" s="96">
        <f>IFERROR('Kiểm hóa may'!D149 + 'Bản sau là'!D149,0)</f>
        <v>0</v>
      </c>
      <c r="F149" s="97"/>
      <c r="G149" s="97"/>
      <c r="H149" s="97"/>
      <c r="I149" s="97"/>
      <c r="J149" s="97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  <c r="AB149" s="93"/>
      <c r="AC149" s="93"/>
      <c r="AD149" s="93">
        <f t="shared" ref="AD149:AD180" si="815">IFERROR(400*BF149,0)</f>
        <v>0</v>
      </c>
      <c r="AE149" s="93"/>
      <c r="AF149" s="93">
        <f t="shared" ref="AF149:AF180" si="816">IFERROR(SUM(F149:AC149)*0.2,0)</f>
        <v>0</v>
      </c>
      <c r="AG149" s="93"/>
      <c r="AH149" s="93" t="s">
        <v>179</v>
      </c>
      <c r="AI149" s="98">
        <f t="shared" ref="AI149:AI180" si="817">IFERROR(130*D149,0)</f>
        <v>0</v>
      </c>
      <c r="AJ149" s="81" cm="1">
        <f t="array" ref="AJ149">IFERROR(SUM(_xlfn._xlws.FILTER(E149:AI149,ISNUMBER(E149:AI149))),0)</f>
        <v>0</v>
      </c>
      <c r="AK149" s="81"/>
      <c r="AL149" s="99">
        <f t="shared" ref="AL149" si="818">IFERROR(AJ149*(1+AK149%),0)</f>
        <v>0</v>
      </c>
      <c r="AM149" s="116"/>
      <c r="AN149" s="84">
        <f t="shared" ref="AN149:AN180" si="819">IFERROR(SUM(E149:AC149)/D149,0)</f>
        <v>0</v>
      </c>
      <c r="AO149" s="138"/>
      <c r="AQ149" s="137"/>
      <c r="AR149" s="137"/>
      <c r="AS149" s="137"/>
      <c r="AT149" s="137"/>
      <c r="AU149" s="137"/>
      <c r="AV149" s="137"/>
      <c r="AY149" s="136">
        <f t="shared" ref="AY149:AY180" si="820">IFERROR((AQ149*20)/60,0)</f>
        <v>0</v>
      </c>
      <c r="AZ149" s="136">
        <f t="shared" ref="AZ149" si="821">IFERROR(AX149 + AY149 + BI149,0)</f>
        <v>0</v>
      </c>
      <c r="BA149" s="135">
        <f t="shared" ref="BA149" si="822">IFERROR(AZ149/8,0)</f>
        <v>0</v>
      </c>
      <c r="BB149" s="135">
        <f t="shared" ref="BB149" si="823">IFERROR(MAX(AQ149-BA149,0),0)</f>
        <v>0</v>
      </c>
      <c r="BD149" s="117">
        <f t="shared" ref="BD149:BD180" si="824">IFERROR(10000*D149,0)</f>
        <v>0</v>
      </c>
      <c r="BE149" s="117"/>
      <c r="BF149" s="117"/>
      <c r="BG149" s="117">
        <f t="shared" ref="BG149:BG180" si="825">IFERROR(-IF(AH149=$L$3,0,IF(AH149=$N$3,15*680*D149,IF(AH149=$P$3,30*680*D149,IF(AH149=0,50*680*D149,0)))),0)</f>
        <v>0</v>
      </c>
      <c r="BH149" s="117"/>
      <c r="BI149" s="117"/>
      <c r="BJ149" s="117"/>
    </row>
    <row r="150" spans="1:62" ht="18" hidden="1" customHeight="1">
      <c r="A150" s="57"/>
      <c r="B150" s="132"/>
      <c r="C150" s="95"/>
      <c r="D150" s="95"/>
      <c r="E150" s="111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112"/>
      <c r="AJ150" s="113"/>
      <c r="AK150" s="113"/>
      <c r="AL150" s="114"/>
      <c r="AM150" s="95"/>
      <c r="BE150" s="117"/>
      <c r="BF150" s="117"/>
      <c r="BG150" s="117"/>
      <c r="BH150" s="117"/>
      <c r="BI150" s="117"/>
      <c r="BJ150" s="117"/>
    </row>
    <row r="151" spans="1:62" ht="18" hidden="1" customHeight="1">
      <c r="A151" s="62">
        <v>72</v>
      </c>
      <c r="B151" s="64"/>
      <c r="C151" s="68"/>
      <c r="D151" s="80"/>
      <c r="E151" s="96">
        <f>IFERROR('Kiểm hóa may'!D151 + 'Bản sau là'!D151,0)</f>
        <v>0</v>
      </c>
      <c r="F151" s="97"/>
      <c r="G151" s="97"/>
      <c r="H151" s="97"/>
      <c r="I151" s="97"/>
      <c r="J151" s="97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  <c r="AB151" s="93"/>
      <c r="AC151" s="93"/>
      <c r="AD151" s="93">
        <f t="shared" ref="AD151:AD182" si="826">IFERROR(400*BF151,0)</f>
        <v>0</v>
      </c>
      <c r="AE151" s="93"/>
      <c r="AF151" s="93">
        <f t="shared" ref="AF151:AF182" si="827">IFERROR(SUM(F151:AC151)*0.2,0)</f>
        <v>0</v>
      </c>
      <c r="AG151" s="93"/>
      <c r="AH151" s="93" t="s">
        <v>179</v>
      </c>
      <c r="AI151" s="98">
        <f t="shared" ref="AI151:AI182" si="828">IFERROR(130*D151,0)</f>
        <v>0</v>
      </c>
      <c r="AJ151" s="81" cm="1">
        <f t="array" ref="AJ151">IFERROR(SUM(_xlfn._xlws.FILTER(E151:AI151,ISNUMBER(E151:AI151))),0)</f>
        <v>0</v>
      </c>
      <c r="AK151" s="81"/>
      <c r="AL151" s="99">
        <f t="shared" ref="AL151" si="829">IFERROR(AJ151*(1+AK151%),0)</f>
        <v>0</v>
      </c>
      <c r="AM151" s="116"/>
      <c r="AN151" s="84">
        <f t="shared" ref="AN151:AN182" si="830">IFERROR(SUM(E151:AC151)/D151,0)</f>
        <v>0</v>
      </c>
      <c r="AO151" s="138"/>
      <c r="AQ151" s="137"/>
      <c r="AR151" s="137"/>
      <c r="AS151" s="137"/>
      <c r="AT151" s="137"/>
      <c r="AU151" s="137"/>
      <c r="AV151" s="137"/>
      <c r="AY151" s="136">
        <f t="shared" ref="AY151:AY182" si="831">IFERROR((AQ151*20)/60,0)</f>
        <v>0</v>
      </c>
      <c r="AZ151" s="136">
        <f t="shared" ref="AZ151" si="832">IFERROR(AX151 + AY151 + BI151,0)</f>
        <v>0</v>
      </c>
      <c r="BA151" s="135">
        <f t="shared" ref="BA151" si="833">IFERROR(AZ151/8,0)</f>
        <v>0</v>
      </c>
      <c r="BB151" s="135">
        <f t="shared" ref="BB151" si="834">IFERROR(MAX(AQ151-BA151,0),0)</f>
        <v>0</v>
      </c>
      <c r="BD151" s="117">
        <f t="shared" ref="BD151:BD182" si="835">IFERROR(10000*D151,0)</f>
        <v>0</v>
      </c>
      <c r="BE151" s="117"/>
      <c r="BF151" s="117"/>
      <c r="BG151" s="117">
        <f t="shared" ref="BG151:BG182" si="836">IFERROR(-IF(AH151=$L$3,0,IF(AH151=$N$3,15*680*D151,IF(AH151=$P$3,30*680*D151,IF(AH151=0,50*680*D151,0)))),0)</f>
        <v>0</v>
      </c>
      <c r="BH151" s="117"/>
      <c r="BI151" s="117"/>
      <c r="BJ151" s="117"/>
    </row>
    <row r="152" spans="1:62" ht="18" hidden="1" customHeight="1">
      <c r="A152" s="95"/>
      <c r="B152" s="132"/>
      <c r="C152" s="95"/>
      <c r="D152" s="95"/>
      <c r="E152" s="111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112"/>
      <c r="AJ152" s="113"/>
      <c r="AK152" s="113"/>
      <c r="AL152" s="114"/>
      <c r="AM152" s="95"/>
      <c r="BE152" s="117"/>
      <c r="BF152" s="117"/>
      <c r="BG152" s="117"/>
      <c r="BH152" s="117"/>
      <c r="BI152" s="117"/>
      <c r="BJ152" s="117"/>
    </row>
    <row r="153" spans="1:62" ht="18" hidden="1" customHeight="1">
      <c r="A153" s="65">
        <v>73</v>
      </c>
      <c r="B153" s="64"/>
      <c r="C153" s="68"/>
      <c r="D153" s="80"/>
      <c r="E153" s="96">
        <f>IFERROR('Kiểm hóa may'!D153 + 'Bản sau là'!D153,0)</f>
        <v>0</v>
      </c>
      <c r="F153" s="97"/>
      <c r="G153" s="97"/>
      <c r="H153" s="97"/>
      <c r="I153" s="97"/>
      <c r="J153" s="97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  <c r="AB153" s="93"/>
      <c r="AC153" s="93"/>
      <c r="AD153" s="93">
        <f t="shared" ref="AD153:AD184" si="837">IFERROR(400*BF153,0)</f>
        <v>0</v>
      </c>
      <c r="AE153" s="93"/>
      <c r="AF153" s="93">
        <f t="shared" ref="AF153:AF184" si="838">IFERROR(SUM(F153:AC153)*0.2,0)</f>
        <v>0</v>
      </c>
      <c r="AG153" s="93"/>
      <c r="AH153" s="93" t="s">
        <v>179</v>
      </c>
      <c r="AI153" s="98">
        <f t="shared" ref="AI153:AI184" si="839">IFERROR(130*D153,0)</f>
        <v>0</v>
      </c>
      <c r="AJ153" s="81" cm="1">
        <f t="array" ref="AJ153">IFERROR(SUM(_xlfn._xlws.FILTER(E153:AI153,ISNUMBER(E153:AI153))),0)</f>
        <v>0</v>
      </c>
      <c r="AK153" s="81"/>
      <c r="AL153" s="99">
        <f t="shared" ref="AL153" si="840">IFERROR(AJ153*(1+AK153%),0)</f>
        <v>0</v>
      </c>
      <c r="AM153" s="116"/>
      <c r="AN153" s="84">
        <f t="shared" ref="AN153:AN184" si="841">IFERROR(SUM(E153:AC153)/D153,0)</f>
        <v>0</v>
      </c>
      <c r="AO153" s="138"/>
      <c r="AQ153" s="137"/>
      <c r="AR153" s="137"/>
      <c r="AS153" s="137"/>
      <c r="AT153" s="137"/>
      <c r="AU153" s="137"/>
      <c r="AV153" s="137"/>
      <c r="AY153" s="136">
        <f t="shared" ref="AY153:AY184" si="842">IFERROR((AQ153*20)/60,0)</f>
        <v>0</v>
      </c>
      <c r="AZ153" s="136">
        <f t="shared" ref="AZ153" si="843">IFERROR(AX153 + AY153 + BI153,0)</f>
        <v>0</v>
      </c>
      <c r="BA153" s="135">
        <f t="shared" ref="BA153" si="844">IFERROR(AZ153/8,0)</f>
        <v>0</v>
      </c>
      <c r="BB153" s="135">
        <f t="shared" ref="BB153" si="845">IFERROR(MAX(AQ153-BA153,0),0)</f>
        <v>0</v>
      </c>
      <c r="BD153" s="117">
        <f t="shared" ref="BD153:BD184" si="846">IFERROR(10000*D153,0)</f>
        <v>0</v>
      </c>
      <c r="BE153" s="117"/>
      <c r="BF153" s="117"/>
      <c r="BG153" s="117">
        <f t="shared" ref="BG153:BG184" si="847">IFERROR(-IF(AH153=$L$3,0,IF(AH153=$N$3,15*680*D153,IF(AH153=$P$3,30*680*D153,IF(AH153=0,50*680*D153,0)))),0)</f>
        <v>0</v>
      </c>
      <c r="BH153" s="117"/>
      <c r="BI153" s="117"/>
      <c r="BJ153" s="117"/>
    </row>
    <row r="154" spans="1:62" ht="18" hidden="1" customHeight="1">
      <c r="A154" s="57"/>
      <c r="B154" s="132"/>
      <c r="C154" s="95"/>
      <c r="D154" s="95"/>
      <c r="E154" s="111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112"/>
      <c r="AJ154" s="113"/>
      <c r="AK154" s="113"/>
      <c r="AL154" s="114"/>
      <c r="AM154" s="95"/>
      <c r="BE154" s="117"/>
      <c r="BF154" s="117"/>
      <c r="BG154" s="117"/>
      <c r="BH154" s="117"/>
      <c r="BI154" s="117"/>
      <c r="BJ154" s="117"/>
    </row>
    <row r="155" spans="1:62" ht="18" hidden="1" customHeight="1">
      <c r="A155" s="62">
        <v>74</v>
      </c>
      <c r="B155" s="64"/>
      <c r="C155" s="68"/>
      <c r="D155" s="80"/>
      <c r="E155" s="96">
        <f>IFERROR('Kiểm hóa may'!D155 + 'Bản sau là'!D155,0)</f>
        <v>0</v>
      </c>
      <c r="F155" s="97"/>
      <c r="G155" s="97"/>
      <c r="H155" s="97"/>
      <c r="I155" s="97"/>
      <c r="J155" s="97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  <c r="AB155" s="93"/>
      <c r="AC155" s="93"/>
      <c r="AD155" s="93">
        <f t="shared" ref="AD155:AD186" si="848">IFERROR(400*BF155,0)</f>
        <v>0</v>
      </c>
      <c r="AE155" s="93"/>
      <c r="AF155" s="93">
        <f t="shared" ref="AF155:AF186" si="849">IFERROR(SUM(F155:AC155)*0.2,0)</f>
        <v>0</v>
      </c>
      <c r="AG155" s="93"/>
      <c r="AH155" s="93" t="s">
        <v>179</v>
      </c>
      <c r="AI155" s="98">
        <f t="shared" ref="AI155:AI186" si="850">IFERROR(130*D155,0)</f>
        <v>0</v>
      </c>
      <c r="AJ155" s="81" cm="1">
        <f t="array" ref="AJ155">IFERROR(SUM(_xlfn._xlws.FILTER(E155:AI155,ISNUMBER(E155:AI155))),0)</f>
        <v>0</v>
      </c>
      <c r="AK155" s="81"/>
      <c r="AL155" s="99">
        <f t="shared" ref="AL155" si="851">IFERROR(AJ155*(1+AK155%),0)</f>
        <v>0</v>
      </c>
      <c r="AM155" s="116"/>
      <c r="AN155" s="84">
        <f t="shared" ref="AN155:AN186" si="852">IFERROR(SUM(E155:AC155)/D155,0)</f>
        <v>0</v>
      </c>
      <c r="AO155" s="138"/>
      <c r="AQ155" s="137"/>
      <c r="AR155" s="137"/>
      <c r="AS155" s="137"/>
      <c r="AT155" s="137"/>
      <c r="AU155" s="137"/>
      <c r="AV155" s="137"/>
      <c r="AY155" s="136">
        <f t="shared" ref="AY155:AY186" si="853">IFERROR((AQ155*20)/60,0)</f>
        <v>0</v>
      </c>
      <c r="AZ155" s="136">
        <f t="shared" ref="AZ155" si="854">IFERROR(AX155 + AY155 + BI155,0)</f>
        <v>0</v>
      </c>
      <c r="BA155" s="135">
        <f t="shared" ref="BA155" si="855">IFERROR(AZ155/8,0)</f>
        <v>0</v>
      </c>
      <c r="BB155" s="135">
        <f t="shared" ref="BB155" si="856">IFERROR(MAX(AQ155-BA155,0),0)</f>
        <v>0</v>
      </c>
      <c r="BD155" s="117">
        <f t="shared" ref="BD155:BD186" si="857">IFERROR(10000*D155,0)</f>
        <v>0</v>
      </c>
      <c r="BE155" s="117"/>
      <c r="BF155" s="117"/>
      <c r="BG155" s="117">
        <f t="shared" ref="BG155:BG186" si="858">IFERROR(-IF(AH155=$L$3,0,IF(AH155=$N$3,15*680*D155,IF(AH155=$P$3,30*680*D155,IF(AH155=0,50*680*D155,0)))),0)</f>
        <v>0</v>
      </c>
      <c r="BH155" s="117"/>
      <c r="BI155" s="117"/>
      <c r="BJ155" s="117"/>
    </row>
    <row r="156" spans="1:62" ht="18" hidden="1" customHeight="1">
      <c r="A156" s="95"/>
      <c r="B156" s="132"/>
      <c r="C156" s="95"/>
      <c r="D156" s="95"/>
      <c r="E156" s="111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  <c r="AD156" s="95"/>
      <c r="AE156" s="95"/>
      <c r="AF156" s="95"/>
      <c r="AG156" s="95"/>
      <c r="AH156" s="95"/>
      <c r="AI156" s="112"/>
      <c r="AJ156" s="113"/>
      <c r="AK156" s="113"/>
      <c r="AL156" s="114"/>
      <c r="AM156" s="95"/>
      <c r="BE156" s="117"/>
      <c r="BF156" s="117"/>
      <c r="BG156" s="117"/>
      <c r="BH156" s="117"/>
      <c r="BI156" s="117"/>
      <c r="BJ156" s="117"/>
    </row>
    <row r="157" spans="1:62" ht="18" hidden="1" customHeight="1">
      <c r="A157" s="65">
        <v>75</v>
      </c>
      <c r="B157" s="64"/>
      <c r="C157" s="68"/>
      <c r="D157" s="80"/>
      <c r="E157" s="96">
        <f>IFERROR('Kiểm hóa may'!D157 + 'Bản sau là'!D157,0)</f>
        <v>0</v>
      </c>
      <c r="F157" s="97"/>
      <c r="G157" s="97"/>
      <c r="H157" s="97"/>
      <c r="I157" s="97"/>
      <c r="J157" s="97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  <c r="AA157" s="93"/>
      <c r="AB157" s="93"/>
      <c r="AC157" s="93"/>
      <c r="AD157" s="93">
        <f t="shared" ref="AD157:AD188" si="859">IFERROR(400*BF157,0)</f>
        <v>0</v>
      </c>
      <c r="AE157" s="93"/>
      <c r="AF157" s="93">
        <f t="shared" ref="AF157:AF188" si="860">IFERROR(SUM(F157:AC157)*0.2,0)</f>
        <v>0</v>
      </c>
      <c r="AG157" s="93"/>
      <c r="AH157" s="93" t="s">
        <v>179</v>
      </c>
      <c r="AI157" s="98">
        <f t="shared" ref="AI157:AI188" si="861">IFERROR(130*D157,0)</f>
        <v>0</v>
      </c>
      <c r="AJ157" s="81" cm="1">
        <f t="array" ref="AJ157">IFERROR(SUM(_xlfn._xlws.FILTER(E157:AI157,ISNUMBER(E157:AI157))),0)</f>
        <v>0</v>
      </c>
      <c r="AK157" s="81"/>
      <c r="AL157" s="99">
        <f t="shared" ref="AL157" si="862">IFERROR(AJ157*(1+AK157%),0)</f>
        <v>0</v>
      </c>
      <c r="AM157" s="116"/>
      <c r="AN157" s="84">
        <f t="shared" ref="AN157:AN188" si="863">IFERROR(SUM(E157:AC157)/D157,0)</f>
        <v>0</v>
      </c>
      <c r="AO157" s="138"/>
      <c r="AQ157" s="137"/>
      <c r="AR157" s="137"/>
      <c r="AS157" s="137"/>
      <c r="AT157" s="137"/>
      <c r="AU157" s="137"/>
      <c r="AV157" s="137"/>
      <c r="AY157" s="136">
        <f t="shared" ref="AY157:AY188" si="864">IFERROR((AQ157*20)/60,0)</f>
        <v>0</v>
      </c>
      <c r="AZ157" s="136">
        <f t="shared" ref="AZ157" si="865">IFERROR(AX157 + AY157 + BI157,0)</f>
        <v>0</v>
      </c>
      <c r="BA157" s="135">
        <f t="shared" ref="BA157" si="866">IFERROR(AZ157/8,0)</f>
        <v>0</v>
      </c>
      <c r="BB157" s="135">
        <f t="shared" ref="BB157" si="867">IFERROR(MAX(AQ157-BA157,0),0)</f>
        <v>0</v>
      </c>
      <c r="BD157" s="117">
        <f t="shared" ref="BD157:BD188" si="868">IFERROR(10000*D157,0)</f>
        <v>0</v>
      </c>
      <c r="BE157" s="117"/>
      <c r="BF157" s="117"/>
      <c r="BG157" s="117">
        <f t="shared" ref="BG157:BG188" si="869">IFERROR(-IF(AH157=$L$3,0,IF(AH157=$N$3,15*680*D157,IF(AH157=$P$3,30*680*D157,IF(AH157=0,50*680*D157,0)))),0)</f>
        <v>0</v>
      </c>
      <c r="BH157" s="117"/>
      <c r="BI157" s="117"/>
      <c r="BJ157" s="117"/>
    </row>
    <row r="158" spans="1:62" ht="18" hidden="1" customHeight="1">
      <c r="A158" s="57"/>
      <c r="B158" s="132"/>
      <c r="C158" s="95"/>
      <c r="D158" s="95"/>
      <c r="E158" s="111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112"/>
      <c r="AJ158" s="113"/>
      <c r="AK158" s="113"/>
      <c r="AL158" s="114"/>
      <c r="AM158" s="95"/>
      <c r="BE158" s="117"/>
      <c r="BF158" s="117"/>
      <c r="BG158" s="117"/>
      <c r="BH158" s="117"/>
      <c r="BI158" s="117"/>
      <c r="BJ158" s="117"/>
    </row>
    <row r="159" spans="1:62" ht="18" hidden="1" customHeight="1">
      <c r="A159" s="62">
        <v>76</v>
      </c>
      <c r="B159" s="64"/>
      <c r="C159" s="68"/>
      <c r="D159" s="80"/>
      <c r="E159" s="96">
        <f>IFERROR('Kiểm hóa may'!D159 + 'Bản sau là'!D159,0)</f>
        <v>0</v>
      </c>
      <c r="F159" s="97"/>
      <c r="G159" s="97"/>
      <c r="H159" s="97"/>
      <c r="I159" s="97"/>
      <c r="J159" s="97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93"/>
      <c r="AC159" s="93"/>
      <c r="AD159" s="93">
        <f t="shared" ref="AD159:AD190" si="870">IFERROR(400*BF159,0)</f>
        <v>0</v>
      </c>
      <c r="AE159" s="93"/>
      <c r="AF159" s="93">
        <f t="shared" ref="AF159:AF190" si="871">IFERROR(SUM(F159:AC159)*0.2,0)</f>
        <v>0</v>
      </c>
      <c r="AG159" s="93"/>
      <c r="AH159" s="93" t="s">
        <v>179</v>
      </c>
      <c r="AI159" s="98">
        <f t="shared" ref="AI159:AI190" si="872">IFERROR(130*D159,0)</f>
        <v>0</v>
      </c>
      <c r="AJ159" s="81" cm="1">
        <f t="array" ref="AJ159">IFERROR(SUM(_xlfn._xlws.FILTER(E159:AI159,ISNUMBER(E159:AI159))),0)</f>
        <v>0</v>
      </c>
      <c r="AK159" s="81"/>
      <c r="AL159" s="99">
        <f t="shared" ref="AL159" si="873">IFERROR(AJ159*(1+AK159%),0)</f>
        <v>0</v>
      </c>
      <c r="AM159" s="116"/>
      <c r="AN159" s="84">
        <f t="shared" ref="AN159:AN190" si="874">IFERROR(SUM(E159:AC159)/D159,0)</f>
        <v>0</v>
      </c>
      <c r="AO159" s="138"/>
      <c r="AQ159" s="137"/>
      <c r="AR159" s="137"/>
      <c r="AS159" s="137"/>
      <c r="AT159" s="137"/>
      <c r="AU159" s="137"/>
      <c r="AV159" s="137"/>
      <c r="AY159" s="136">
        <f t="shared" ref="AY159:AY190" si="875">IFERROR((AQ159*20)/60,0)</f>
        <v>0</v>
      </c>
      <c r="AZ159" s="136">
        <f t="shared" ref="AZ159" si="876">IFERROR(AX159 + AY159 + BI159,0)</f>
        <v>0</v>
      </c>
      <c r="BA159" s="135">
        <f t="shared" ref="BA159" si="877">IFERROR(AZ159/8,0)</f>
        <v>0</v>
      </c>
      <c r="BB159" s="135">
        <f t="shared" ref="BB159" si="878">IFERROR(MAX(AQ159-BA159,0),0)</f>
        <v>0</v>
      </c>
      <c r="BD159" s="117">
        <f t="shared" ref="BD159:BD190" si="879">IFERROR(10000*D159,0)</f>
        <v>0</v>
      </c>
      <c r="BE159" s="117"/>
      <c r="BF159" s="117"/>
      <c r="BG159" s="117">
        <f t="shared" ref="BG159:BG190" si="880">IFERROR(-IF(AH159=$L$3,0,IF(AH159=$N$3,15*680*D159,IF(AH159=$P$3,30*680*D159,IF(AH159=0,50*680*D159,0)))),0)</f>
        <v>0</v>
      </c>
      <c r="BH159" s="117"/>
      <c r="BI159" s="117"/>
      <c r="BJ159" s="117"/>
    </row>
    <row r="160" spans="1:62" ht="18" hidden="1" customHeight="1">
      <c r="A160" s="95"/>
      <c r="B160" s="132"/>
      <c r="C160" s="95"/>
      <c r="D160" s="95"/>
      <c r="E160" s="111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112"/>
      <c r="AJ160" s="113"/>
      <c r="AK160" s="113"/>
      <c r="AL160" s="114"/>
      <c r="AM160" s="95"/>
      <c r="BE160" s="117"/>
      <c r="BF160" s="117"/>
      <c r="BG160" s="117"/>
      <c r="BH160" s="117"/>
      <c r="BI160" s="117"/>
      <c r="BJ160" s="117"/>
    </row>
    <row r="161" spans="1:62" ht="18" hidden="1" customHeight="1">
      <c r="A161" s="65">
        <v>77</v>
      </c>
      <c r="B161" s="64"/>
      <c r="C161" s="68"/>
      <c r="D161" s="80"/>
      <c r="E161" s="96">
        <f>IFERROR('Kiểm hóa may'!D161 + 'Bản sau là'!D161,0)</f>
        <v>0</v>
      </c>
      <c r="F161" s="97"/>
      <c r="G161" s="97"/>
      <c r="H161" s="97"/>
      <c r="I161" s="97"/>
      <c r="J161" s="97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  <c r="AB161" s="93"/>
      <c r="AC161" s="93"/>
      <c r="AD161" s="93">
        <f t="shared" ref="AD161:AD192" si="881">IFERROR(400*BF161,0)</f>
        <v>0</v>
      </c>
      <c r="AE161" s="93"/>
      <c r="AF161" s="93">
        <f t="shared" ref="AF161:AF192" si="882">IFERROR(SUM(F161:AC161)*0.2,0)</f>
        <v>0</v>
      </c>
      <c r="AG161" s="93"/>
      <c r="AH161" s="93" t="s">
        <v>179</v>
      </c>
      <c r="AI161" s="98">
        <f t="shared" ref="AI161:AI192" si="883">IFERROR(130*D161,0)</f>
        <v>0</v>
      </c>
      <c r="AJ161" s="81" cm="1">
        <f t="array" ref="AJ161">IFERROR(SUM(_xlfn._xlws.FILTER(E161:AI161,ISNUMBER(E161:AI161))),0)</f>
        <v>0</v>
      </c>
      <c r="AK161" s="81"/>
      <c r="AL161" s="99">
        <f t="shared" ref="AL161" si="884">IFERROR(AJ161*(1+AK161%),0)</f>
        <v>0</v>
      </c>
      <c r="AM161" s="116"/>
      <c r="AN161" s="84">
        <f t="shared" ref="AN161:AN192" si="885">IFERROR(SUM(E161:AC161)/D161,0)</f>
        <v>0</v>
      </c>
      <c r="AO161" s="138"/>
      <c r="AQ161" s="137"/>
      <c r="AR161" s="137"/>
      <c r="AS161" s="137"/>
      <c r="AT161" s="137"/>
      <c r="AU161" s="137"/>
      <c r="AV161" s="137"/>
      <c r="AY161" s="136">
        <f t="shared" ref="AY161:AY192" si="886">IFERROR((AQ161*20)/60,0)</f>
        <v>0</v>
      </c>
      <c r="AZ161" s="136">
        <f t="shared" ref="AZ161" si="887">IFERROR(AX161 + AY161 + BI161,0)</f>
        <v>0</v>
      </c>
      <c r="BA161" s="135">
        <f t="shared" ref="BA161" si="888">IFERROR(AZ161/8,0)</f>
        <v>0</v>
      </c>
      <c r="BB161" s="135">
        <f t="shared" ref="BB161" si="889">IFERROR(MAX(AQ161-BA161,0),0)</f>
        <v>0</v>
      </c>
      <c r="BD161" s="117">
        <f t="shared" ref="BD161:BD192" si="890">IFERROR(10000*D161,0)</f>
        <v>0</v>
      </c>
      <c r="BE161" s="117"/>
      <c r="BF161" s="117"/>
      <c r="BG161" s="117">
        <f t="shared" ref="BG161:BG192" si="891">IFERROR(-IF(AH161=$L$3,0,IF(AH161=$N$3,15*680*D161,IF(AH161=$P$3,30*680*D161,IF(AH161=0,50*680*D161,0)))),0)</f>
        <v>0</v>
      </c>
      <c r="BH161" s="117"/>
      <c r="BI161" s="117"/>
      <c r="BJ161" s="117"/>
    </row>
    <row r="162" spans="1:62" ht="18" hidden="1" customHeight="1">
      <c r="A162" s="57"/>
      <c r="B162" s="132"/>
      <c r="C162" s="95"/>
      <c r="D162" s="95"/>
      <c r="E162" s="111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112"/>
      <c r="AJ162" s="113"/>
      <c r="AK162" s="113"/>
      <c r="AL162" s="114"/>
      <c r="AM162" s="95"/>
      <c r="BE162" s="117"/>
      <c r="BF162" s="117"/>
      <c r="BG162" s="117"/>
      <c r="BH162" s="117"/>
      <c r="BI162" s="117"/>
      <c r="BJ162" s="117"/>
    </row>
    <row r="163" spans="1:62" ht="18" hidden="1" customHeight="1">
      <c r="A163" s="62">
        <v>78</v>
      </c>
      <c r="B163" s="64"/>
      <c r="C163" s="68"/>
      <c r="D163" s="80"/>
      <c r="E163" s="96">
        <f>IFERROR('Kiểm hóa may'!D163 + 'Bản sau là'!D163,0)</f>
        <v>0</v>
      </c>
      <c r="F163" s="97"/>
      <c r="G163" s="97"/>
      <c r="H163" s="97"/>
      <c r="I163" s="97"/>
      <c r="J163" s="97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  <c r="AB163" s="93"/>
      <c r="AC163" s="93"/>
      <c r="AD163" s="93">
        <f t="shared" ref="AD163:AD194" si="892">IFERROR(400*BF163,0)</f>
        <v>0</v>
      </c>
      <c r="AE163" s="93"/>
      <c r="AF163" s="93">
        <f t="shared" ref="AF163:AF194" si="893">IFERROR(SUM(F163:AC163)*0.2,0)</f>
        <v>0</v>
      </c>
      <c r="AG163" s="93"/>
      <c r="AH163" s="93" t="s">
        <v>179</v>
      </c>
      <c r="AI163" s="98">
        <f t="shared" ref="AI163:AI194" si="894">IFERROR(130*D163,0)</f>
        <v>0</v>
      </c>
      <c r="AJ163" s="81" cm="1">
        <f t="array" ref="AJ163">IFERROR(SUM(_xlfn._xlws.FILTER(E163:AI163,ISNUMBER(E163:AI163))),0)</f>
        <v>0</v>
      </c>
      <c r="AK163" s="81"/>
      <c r="AL163" s="99">
        <f t="shared" ref="AL163" si="895">IFERROR(AJ163*(1+AK163%),0)</f>
        <v>0</v>
      </c>
      <c r="AM163" s="116"/>
      <c r="AN163" s="84">
        <f t="shared" ref="AN163:AN194" si="896">IFERROR(SUM(E163:AC163)/D163,0)</f>
        <v>0</v>
      </c>
      <c r="AO163" s="138"/>
      <c r="AQ163" s="137"/>
      <c r="AR163" s="137"/>
      <c r="AS163" s="137"/>
      <c r="AT163" s="137"/>
      <c r="AU163" s="137"/>
      <c r="AV163" s="137"/>
      <c r="AY163" s="136">
        <f t="shared" ref="AY163:AY194" si="897">IFERROR((AQ163*20)/60,0)</f>
        <v>0</v>
      </c>
      <c r="AZ163" s="136">
        <f t="shared" ref="AZ163" si="898">IFERROR(AX163 + AY163 + BI163,0)</f>
        <v>0</v>
      </c>
      <c r="BA163" s="135">
        <f t="shared" ref="BA163" si="899">IFERROR(AZ163/8,0)</f>
        <v>0</v>
      </c>
      <c r="BB163" s="135">
        <f t="shared" ref="BB163" si="900">IFERROR(MAX(AQ163-BA163,0),0)</f>
        <v>0</v>
      </c>
      <c r="BD163" s="117">
        <f t="shared" ref="BD163:BD194" si="901">IFERROR(10000*D163,0)</f>
        <v>0</v>
      </c>
      <c r="BE163" s="117"/>
      <c r="BF163" s="117"/>
      <c r="BG163" s="117">
        <f t="shared" ref="BG163:BG194" si="902">IFERROR(-IF(AH163=$L$3,0,IF(AH163=$N$3,15*680*D163,IF(AH163=$P$3,30*680*D163,IF(AH163=0,50*680*D163,0)))),0)</f>
        <v>0</v>
      </c>
      <c r="BH163" s="117"/>
      <c r="BI163" s="117"/>
      <c r="BJ163" s="117"/>
    </row>
    <row r="164" spans="1:62" ht="18" hidden="1" customHeight="1">
      <c r="A164" s="95"/>
      <c r="B164" s="132"/>
      <c r="C164" s="95"/>
      <c r="D164" s="95"/>
      <c r="E164" s="111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112"/>
      <c r="AJ164" s="113"/>
      <c r="AK164" s="113"/>
      <c r="AL164" s="114"/>
      <c r="AM164" s="95"/>
      <c r="BE164" s="117"/>
      <c r="BF164" s="117"/>
      <c r="BG164" s="117"/>
      <c r="BH164" s="117"/>
      <c r="BI164" s="117"/>
      <c r="BJ164" s="117"/>
    </row>
    <row r="165" spans="1:62" ht="18" hidden="1" customHeight="1">
      <c r="A165" s="65">
        <v>79</v>
      </c>
      <c r="B165" s="64"/>
      <c r="C165" s="68"/>
      <c r="D165" s="80"/>
      <c r="E165" s="96">
        <f>IFERROR('Kiểm hóa may'!D165 + 'Bản sau là'!D165,0)</f>
        <v>0</v>
      </c>
      <c r="F165" s="97"/>
      <c r="G165" s="97"/>
      <c r="H165" s="97"/>
      <c r="I165" s="97"/>
      <c r="J165" s="97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  <c r="AB165" s="93"/>
      <c r="AC165" s="93"/>
      <c r="AD165" s="93">
        <f t="shared" ref="AD165:AD196" si="903">IFERROR(400*BF165,0)</f>
        <v>0</v>
      </c>
      <c r="AE165" s="93"/>
      <c r="AF165" s="93">
        <f t="shared" ref="AF165:AF196" si="904">IFERROR(SUM(F165:AC165)*0.2,0)</f>
        <v>0</v>
      </c>
      <c r="AG165" s="93"/>
      <c r="AH165" s="93" t="s">
        <v>179</v>
      </c>
      <c r="AI165" s="98">
        <f t="shared" ref="AI165:AI196" si="905">IFERROR(130*D165,0)</f>
        <v>0</v>
      </c>
      <c r="AJ165" s="81" cm="1">
        <f t="array" ref="AJ165">IFERROR(SUM(_xlfn._xlws.FILTER(E165:AI165,ISNUMBER(E165:AI165))),0)</f>
        <v>0</v>
      </c>
      <c r="AK165" s="81"/>
      <c r="AL165" s="99">
        <f t="shared" ref="AL165" si="906">IFERROR(AJ165*(1+AK165%),0)</f>
        <v>0</v>
      </c>
      <c r="AM165" s="116"/>
      <c r="AN165" s="84">
        <f t="shared" ref="AN165:AN196" si="907">IFERROR(SUM(E165:AC165)/D165,0)</f>
        <v>0</v>
      </c>
      <c r="AO165" s="138"/>
      <c r="AQ165" s="137"/>
      <c r="AR165" s="137"/>
      <c r="AS165" s="137"/>
      <c r="AT165" s="137"/>
      <c r="AU165" s="137"/>
      <c r="AV165" s="137"/>
      <c r="AY165" s="136">
        <f t="shared" ref="AY165:AY196" si="908">IFERROR((AQ165*20)/60,0)</f>
        <v>0</v>
      </c>
      <c r="AZ165" s="136">
        <f t="shared" ref="AZ165" si="909">IFERROR(AX165 + AY165 + BI165,0)</f>
        <v>0</v>
      </c>
      <c r="BA165" s="135">
        <f t="shared" ref="BA165" si="910">IFERROR(AZ165/8,0)</f>
        <v>0</v>
      </c>
      <c r="BB165" s="135">
        <f t="shared" ref="BB165" si="911">IFERROR(MAX(AQ165-BA165,0),0)</f>
        <v>0</v>
      </c>
      <c r="BD165" s="117">
        <f t="shared" ref="BD165:BD196" si="912">IFERROR(10000*D165,0)</f>
        <v>0</v>
      </c>
      <c r="BE165" s="117"/>
      <c r="BF165" s="117"/>
      <c r="BG165" s="117">
        <f t="shared" ref="BG165:BG196" si="913">IFERROR(-IF(AH165=$L$3,0,IF(AH165=$N$3,15*680*D165,IF(AH165=$P$3,30*680*D165,IF(AH165=0,50*680*D165,0)))),0)</f>
        <v>0</v>
      </c>
      <c r="BH165" s="117"/>
      <c r="BI165" s="117"/>
      <c r="BJ165" s="117"/>
    </row>
    <row r="166" spans="1:62" ht="18" hidden="1" customHeight="1">
      <c r="A166" s="57"/>
      <c r="B166" s="132"/>
      <c r="C166" s="95"/>
      <c r="D166" s="95"/>
      <c r="E166" s="111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112"/>
      <c r="AJ166" s="113"/>
      <c r="AK166" s="113"/>
      <c r="AL166" s="114"/>
      <c r="AM166" s="95"/>
      <c r="BE166" s="117"/>
      <c r="BF166" s="117"/>
      <c r="BG166" s="117"/>
      <c r="BH166" s="117"/>
      <c r="BI166" s="117"/>
      <c r="BJ166" s="117"/>
    </row>
    <row r="167" spans="1:62" ht="18" hidden="1" customHeight="1">
      <c r="A167" s="62">
        <v>80</v>
      </c>
      <c r="B167" s="64"/>
      <c r="C167" s="68"/>
      <c r="D167" s="80"/>
      <c r="E167" s="96">
        <f>IFERROR('Kiểm hóa may'!D167 + 'Bản sau là'!D167,0)</f>
        <v>0</v>
      </c>
      <c r="F167" s="97"/>
      <c r="G167" s="97"/>
      <c r="H167" s="97"/>
      <c r="I167" s="97"/>
      <c r="J167" s="97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  <c r="AA167" s="93"/>
      <c r="AB167" s="93"/>
      <c r="AC167" s="93"/>
      <c r="AD167" s="93">
        <f t="shared" ref="AD167:AD198" si="914">IFERROR(400*BF167,0)</f>
        <v>0</v>
      </c>
      <c r="AE167" s="93"/>
      <c r="AF167" s="93">
        <f t="shared" ref="AF167:AF198" si="915">IFERROR(SUM(F167:AC167)*0.2,0)</f>
        <v>0</v>
      </c>
      <c r="AG167" s="93"/>
      <c r="AH167" s="93" t="s">
        <v>179</v>
      </c>
      <c r="AI167" s="98">
        <f t="shared" ref="AI167:AI198" si="916">IFERROR(130*D167,0)</f>
        <v>0</v>
      </c>
      <c r="AJ167" s="81" cm="1">
        <f t="array" ref="AJ167">IFERROR(SUM(_xlfn._xlws.FILTER(E167:AI167,ISNUMBER(E167:AI167))),0)</f>
        <v>0</v>
      </c>
      <c r="AK167" s="81"/>
      <c r="AL167" s="99">
        <f t="shared" ref="AL167" si="917">IFERROR(AJ167*(1+AK167%),0)</f>
        <v>0</v>
      </c>
      <c r="AM167" s="116"/>
      <c r="AN167" s="84">
        <f t="shared" ref="AN167:AN198" si="918">IFERROR(SUM(E167:AC167)/D167,0)</f>
        <v>0</v>
      </c>
      <c r="AO167" s="138"/>
      <c r="AQ167" s="137"/>
      <c r="AR167" s="137"/>
      <c r="AS167" s="137"/>
      <c r="AT167" s="137"/>
      <c r="AU167" s="137"/>
      <c r="AV167" s="137"/>
      <c r="AY167" s="136">
        <f t="shared" ref="AY167:AY198" si="919">IFERROR((AQ167*20)/60,0)</f>
        <v>0</v>
      </c>
      <c r="AZ167" s="136">
        <f t="shared" ref="AZ167" si="920">IFERROR(AX167 + AY167 + BI167,0)</f>
        <v>0</v>
      </c>
      <c r="BA167" s="135">
        <f t="shared" ref="BA167" si="921">IFERROR(AZ167/8,0)</f>
        <v>0</v>
      </c>
      <c r="BB167" s="135">
        <f t="shared" ref="BB167" si="922">IFERROR(MAX(AQ167-BA167,0),0)</f>
        <v>0</v>
      </c>
      <c r="BD167" s="117">
        <f t="shared" ref="BD167:BD198" si="923">IFERROR(10000*D167,0)</f>
        <v>0</v>
      </c>
      <c r="BE167" s="117"/>
      <c r="BF167" s="117"/>
      <c r="BG167" s="117">
        <f t="shared" ref="BG167:BG198" si="924">IFERROR(-IF(AH167=$L$3,0,IF(AH167=$N$3,15*680*D167,IF(AH167=$P$3,30*680*D167,IF(AH167=0,50*680*D167,0)))),0)</f>
        <v>0</v>
      </c>
      <c r="BH167" s="117"/>
      <c r="BI167" s="117"/>
      <c r="BJ167" s="117"/>
    </row>
    <row r="168" spans="1:62" ht="18" hidden="1" customHeight="1">
      <c r="A168" s="95"/>
      <c r="B168" s="132"/>
      <c r="C168" s="95"/>
      <c r="D168" s="95"/>
      <c r="E168" s="111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112"/>
      <c r="AJ168" s="113"/>
      <c r="AK168" s="113"/>
      <c r="AL168" s="114"/>
      <c r="AM168" s="95"/>
      <c r="BE168" s="117"/>
      <c r="BF168" s="117"/>
      <c r="BG168" s="117"/>
      <c r="BH168" s="117"/>
      <c r="BI168" s="117"/>
      <c r="BJ168" s="117"/>
    </row>
    <row r="169" spans="1:62" ht="18" hidden="1" customHeight="1">
      <c r="A169" s="65">
        <v>81</v>
      </c>
      <c r="B169" s="64"/>
      <c r="C169" s="68"/>
      <c r="D169" s="80"/>
      <c r="E169" s="96">
        <f>IFERROR('Kiểm hóa may'!D169 + 'Bản sau là'!D169,0)</f>
        <v>0</v>
      </c>
      <c r="F169" s="97"/>
      <c r="G169" s="97"/>
      <c r="H169" s="97"/>
      <c r="I169" s="97"/>
      <c r="J169" s="97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  <c r="AB169" s="93"/>
      <c r="AC169" s="93"/>
      <c r="AD169" s="93">
        <f t="shared" ref="AD169:AD200" si="925">IFERROR(400*BF169,0)</f>
        <v>0</v>
      </c>
      <c r="AE169" s="93"/>
      <c r="AF169" s="93">
        <f t="shared" ref="AF169:AF200" si="926">IFERROR(SUM(F169:AC169)*0.2,0)</f>
        <v>0</v>
      </c>
      <c r="AG169" s="93"/>
      <c r="AH169" s="93" t="s">
        <v>179</v>
      </c>
      <c r="AI169" s="98">
        <f t="shared" ref="AI169:AI200" si="927">IFERROR(130*D169,0)</f>
        <v>0</v>
      </c>
      <c r="AJ169" s="81" cm="1">
        <f t="array" ref="AJ169">IFERROR(SUM(_xlfn._xlws.FILTER(E169:AI169,ISNUMBER(E169:AI169))),0)</f>
        <v>0</v>
      </c>
      <c r="AK169" s="81"/>
      <c r="AL169" s="99">
        <f t="shared" ref="AL169" si="928">IFERROR(AJ169*(1+AK169%),0)</f>
        <v>0</v>
      </c>
      <c r="AM169" s="116"/>
      <c r="AN169" s="84">
        <f t="shared" ref="AN169:AN200" si="929">IFERROR(SUM(E169:AC169)/D169,0)</f>
        <v>0</v>
      </c>
      <c r="AO169" s="138"/>
      <c r="AQ169" s="137"/>
      <c r="AR169" s="137"/>
      <c r="AS169" s="137"/>
      <c r="AT169" s="137"/>
      <c r="AU169" s="137"/>
      <c r="AV169" s="137"/>
      <c r="AY169" s="136">
        <f t="shared" ref="AY169:AY200" si="930">IFERROR((AQ169*20)/60,0)</f>
        <v>0</v>
      </c>
      <c r="AZ169" s="136">
        <f t="shared" ref="AZ169" si="931">IFERROR(AX169 + AY169 + BI169,0)</f>
        <v>0</v>
      </c>
      <c r="BA169" s="135">
        <f t="shared" ref="BA169" si="932">IFERROR(AZ169/8,0)</f>
        <v>0</v>
      </c>
      <c r="BB169" s="135">
        <f t="shared" ref="BB169" si="933">IFERROR(MAX(AQ169-BA169,0),0)</f>
        <v>0</v>
      </c>
      <c r="BD169" s="117">
        <f t="shared" ref="BD169:BD200" si="934">IFERROR(10000*D169,0)</f>
        <v>0</v>
      </c>
      <c r="BE169" s="117"/>
      <c r="BF169" s="117"/>
      <c r="BG169" s="117">
        <f t="shared" ref="BG169:BG200" si="935">IFERROR(-IF(AH169=$L$3,0,IF(AH169=$N$3,15*680*D169,IF(AH169=$P$3,30*680*D169,IF(AH169=0,50*680*D169,0)))),0)</f>
        <v>0</v>
      </c>
      <c r="BH169" s="117"/>
      <c r="BI169" s="117"/>
      <c r="BJ169" s="117"/>
    </row>
    <row r="170" spans="1:62" ht="18" hidden="1" customHeight="1">
      <c r="A170" s="57"/>
      <c r="B170" s="132"/>
      <c r="C170" s="95"/>
      <c r="D170" s="95"/>
      <c r="E170" s="111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112"/>
      <c r="AJ170" s="113"/>
      <c r="AK170" s="113"/>
      <c r="AL170" s="114"/>
      <c r="AM170" s="95"/>
      <c r="BE170" s="117"/>
      <c r="BF170" s="117"/>
      <c r="BG170" s="117"/>
      <c r="BH170" s="117"/>
      <c r="BI170" s="117"/>
      <c r="BJ170" s="117"/>
    </row>
    <row r="171" spans="1:62" ht="18" hidden="1" customHeight="1">
      <c r="A171" s="62">
        <v>82</v>
      </c>
      <c r="B171" s="64"/>
      <c r="C171" s="68"/>
      <c r="D171" s="80"/>
      <c r="E171" s="96">
        <f>IFERROR('Kiểm hóa may'!D171 + 'Bản sau là'!D171,0)</f>
        <v>0</v>
      </c>
      <c r="F171" s="97"/>
      <c r="G171" s="97"/>
      <c r="H171" s="97"/>
      <c r="I171" s="97"/>
      <c r="J171" s="97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  <c r="AB171" s="93"/>
      <c r="AC171" s="93"/>
      <c r="AD171" s="93">
        <f t="shared" ref="AD171:AD202" si="936">IFERROR(400*BF171,0)</f>
        <v>0</v>
      </c>
      <c r="AE171" s="93"/>
      <c r="AF171" s="93">
        <f t="shared" ref="AF171:AF202" si="937">IFERROR(SUM(F171:AC171)*0.2,0)</f>
        <v>0</v>
      </c>
      <c r="AG171" s="93"/>
      <c r="AH171" s="93" t="s">
        <v>179</v>
      </c>
      <c r="AI171" s="98">
        <f t="shared" ref="AI171:AI202" si="938">IFERROR(130*D171,0)</f>
        <v>0</v>
      </c>
      <c r="AJ171" s="81" cm="1">
        <f t="array" ref="AJ171">IFERROR(SUM(_xlfn._xlws.FILTER(E171:AI171,ISNUMBER(E171:AI171))),0)</f>
        <v>0</v>
      </c>
      <c r="AK171" s="81"/>
      <c r="AL171" s="99">
        <f t="shared" ref="AL171" si="939">IFERROR(AJ171*(1+AK171%),0)</f>
        <v>0</v>
      </c>
      <c r="AM171" s="116"/>
      <c r="AN171" s="84">
        <f t="shared" ref="AN171:AN202" si="940">IFERROR(SUM(E171:AC171)/D171,0)</f>
        <v>0</v>
      </c>
      <c r="AO171" s="138"/>
      <c r="AQ171" s="137"/>
      <c r="AR171" s="137"/>
      <c r="AS171" s="137"/>
      <c r="AT171" s="137"/>
      <c r="AU171" s="137"/>
      <c r="AV171" s="137"/>
      <c r="AY171" s="136">
        <f t="shared" ref="AY171:AY202" si="941">IFERROR((AQ171*20)/60,0)</f>
        <v>0</v>
      </c>
      <c r="AZ171" s="136">
        <f t="shared" ref="AZ171" si="942">IFERROR(AX171 + AY171 + BI171,0)</f>
        <v>0</v>
      </c>
      <c r="BA171" s="135">
        <f t="shared" ref="BA171" si="943">IFERROR(AZ171/8,0)</f>
        <v>0</v>
      </c>
      <c r="BB171" s="135">
        <f t="shared" ref="BB171" si="944">IFERROR(MAX(AQ171-BA171,0),0)</f>
        <v>0</v>
      </c>
      <c r="BD171" s="117">
        <f t="shared" ref="BD171:BD202" si="945">IFERROR(10000*D171,0)</f>
        <v>0</v>
      </c>
      <c r="BE171" s="117"/>
      <c r="BF171" s="117"/>
      <c r="BG171" s="117">
        <f t="shared" ref="BG171:BG202" si="946">IFERROR(-IF(AH171=$L$3,0,IF(AH171=$N$3,15*680*D171,IF(AH171=$P$3,30*680*D171,IF(AH171=0,50*680*D171,0)))),0)</f>
        <v>0</v>
      </c>
      <c r="BH171" s="117"/>
      <c r="BI171" s="117"/>
      <c r="BJ171" s="117"/>
    </row>
    <row r="172" spans="1:62" ht="18" hidden="1" customHeight="1">
      <c r="A172" s="95"/>
      <c r="B172" s="132"/>
      <c r="C172" s="95"/>
      <c r="D172" s="95"/>
      <c r="E172" s="111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112"/>
      <c r="AJ172" s="113"/>
      <c r="AK172" s="113"/>
      <c r="AL172" s="114"/>
      <c r="AM172" s="95"/>
      <c r="BE172" s="117"/>
      <c r="BF172" s="117"/>
      <c r="BG172" s="117"/>
      <c r="BH172" s="117"/>
      <c r="BI172" s="117"/>
      <c r="BJ172" s="117"/>
    </row>
    <row r="173" spans="1:62" ht="18" hidden="1" customHeight="1">
      <c r="A173" s="65">
        <v>83</v>
      </c>
      <c r="B173" s="64"/>
      <c r="C173" s="68"/>
      <c r="D173" s="80"/>
      <c r="E173" s="96">
        <f>IFERROR('Kiểm hóa may'!D173 + 'Bản sau là'!D173,0)</f>
        <v>0</v>
      </c>
      <c r="F173" s="97"/>
      <c r="G173" s="97"/>
      <c r="H173" s="97"/>
      <c r="I173" s="97"/>
      <c r="J173" s="97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  <c r="AB173" s="93"/>
      <c r="AC173" s="93"/>
      <c r="AD173" s="93">
        <f t="shared" ref="AD173:AD204" si="947">IFERROR(400*BF173,0)</f>
        <v>0</v>
      </c>
      <c r="AE173" s="93"/>
      <c r="AF173" s="93">
        <f t="shared" ref="AF173:AF204" si="948">IFERROR(SUM(F173:AC173)*0.2,0)</f>
        <v>0</v>
      </c>
      <c r="AG173" s="93"/>
      <c r="AH173" s="93" t="s">
        <v>179</v>
      </c>
      <c r="AI173" s="98">
        <f t="shared" ref="AI173:AI204" si="949">IFERROR(130*D173,0)</f>
        <v>0</v>
      </c>
      <c r="AJ173" s="81" cm="1">
        <f t="array" ref="AJ173">IFERROR(SUM(_xlfn._xlws.FILTER(E173:AI173,ISNUMBER(E173:AI173))),0)</f>
        <v>0</v>
      </c>
      <c r="AK173" s="81"/>
      <c r="AL173" s="99">
        <f t="shared" ref="AL173" si="950">IFERROR(AJ173*(1+AK173%),0)</f>
        <v>0</v>
      </c>
      <c r="AM173" s="116"/>
      <c r="AN173" s="84">
        <f t="shared" ref="AN173:AN204" si="951">IFERROR(SUM(E173:AC173)/D173,0)</f>
        <v>0</v>
      </c>
      <c r="AO173" s="138"/>
      <c r="AQ173" s="137"/>
      <c r="AR173" s="137"/>
      <c r="AS173" s="137"/>
      <c r="AT173" s="137"/>
      <c r="AU173" s="137"/>
      <c r="AV173" s="137"/>
      <c r="AY173" s="136">
        <f t="shared" ref="AY173:AY204" si="952">IFERROR((AQ173*20)/60,0)</f>
        <v>0</v>
      </c>
      <c r="AZ173" s="136">
        <f t="shared" ref="AZ173" si="953">IFERROR(AX173 + AY173 + BI173,0)</f>
        <v>0</v>
      </c>
      <c r="BA173" s="135">
        <f t="shared" ref="BA173" si="954">IFERROR(AZ173/8,0)</f>
        <v>0</v>
      </c>
      <c r="BB173" s="135">
        <f t="shared" ref="BB173" si="955">IFERROR(MAX(AQ173-BA173,0),0)</f>
        <v>0</v>
      </c>
      <c r="BD173" s="117">
        <f t="shared" ref="BD173:BD204" si="956">IFERROR(10000*D173,0)</f>
        <v>0</v>
      </c>
      <c r="BE173" s="117"/>
      <c r="BF173" s="117"/>
      <c r="BG173" s="117">
        <f t="shared" ref="BG173:BG204" si="957">IFERROR(-IF(AH173=$L$3,0,IF(AH173=$N$3,15*680*D173,IF(AH173=$P$3,30*680*D173,IF(AH173=0,50*680*D173,0)))),0)</f>
        <v>0</v>
      </c>
      <c r="BH173" s="117"/>
      <c r="BI173" s="117"/>
      <c r="BJ173" s="117"/>
    </row>
    <row r="174" spans="1:62" ht="18" hidden="1" customHeight="1">
      <c r="A174" s="57"/>
      <c r="B174" s="132"/>
      <c r="C174" s="95"/>
      <c r="D174" s="95"/>
      <c r="E174" s="111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112"/>
      <c r="AJ174" s="113"/>
      <c r="AK174" s="113"/>
      <c r="AL174" s="114"/>
      <c r="AM174" s="95"/>
      <c r="BE174" s="117"/>
      <c r="BF174" s="117"/>
      <c r="BG174" s="117"/>
      <c r="BH174" s="117"/>
      <c r="BI174" s="117"/>
      <c r="BJ174" s="117"/>
    </row>
    <row r="175" spans="1:62" ht="18" hidden="1" customHeight="1">
      <c r="A175" s="62">
        <v>84</v>
      </c>
      <c r="B175" s="64"/>
      <c r="C175" s="68"/>
      <c r="D175" s="80"/>
      <c r="E175" s="96">
        <f>IFERROR('Kiểm hóa may'!D175 + 'Bản sau là'!D175,0)</f>
        <v>0</v>
      </c>
      <c r="F175" s="97"/>
      <c r="G175" s="97"/>
      <c r="H175" s="97"/>
      <c r="I175" s="97"/>
      <c r="J175" s="97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  <c r="AB175" s="93"/>
      <c r="AC175" s="93"/>
      <c r="AD175" s="93">
        <f t="shared" ref="AD175:AD206" si="958">IFERROR(400*BF175,0)</f>
        <v>0</v>
      </c>
      <c r="AE175" s="93"/>
      <c r="AF175" s="93">
        <f t="shared" ref="AF175:AF206" si="959">IFERROR(SUM(F175:AC175)*0.2,0)</f>
        <v>0</v>
      </c>
      <c r="AG175" s="93"/>
      <c r="AH175" s="93" t="s">
        <v>179</v>
      </c>
      <c r="AI175" s="98">
        <f t="shared" ref="AI175:AI206" si="960">IFERROR(130*D175,0)</f>
        <v>0</v>
      </c>
      <c r="AJ175" s="81" cm="1">
        <f t="array" ref="AJ175">IFERROR(SUM(_xlfn._xlws.FILTER(E175:AI175,ISNUMBER(E175:AI175))),0)</f>
        <v>0</v>
      </c>
      <c r="AK175" s="81"/>
      <c r="AL175" s="99">
        <f t="shared" ref="AL175" si="961">IFERROR(AJ175*(1+AK175%),0)</f>
        <v>0</v>
      </c>
      <c r="AM175" s="116"/>
      <c r="AN175" s="84">
        <f t="shared" ref="AN175:AN206" si="962">IFERROR(SUM(E175:AC175)/D175,0)</f>
        <v>0</v>
      </c>
      <c r="AO175" s="138"/>
      <c r="AQ175" s="137"/>
      <c r="AR175" s="137"/>
      <c r="AS175" s="137"/>
      <c r="AT175" s="137"/>
      <c r="AU175" s="137"/>
      <c r="AV175" s="137"/>
      <c r="AY175" s="136">
        <f t="shared" ref="AY175:AY206" si="963">IFERROR((AQ175*20)/60,0)</f>
        <v>0</v>
      </c>
      <c r="AZ175" s="136">
        <f t="shared" ref="AZ175" si="964">IFERROR(AX175 + AY175 + BI175,0)</f>
        <v>0</v>
      </c>
      <c r="BA175" s="135">
        <f t="shared" ref="BA175" si="965">IFERROR(AZ175/8,0)</f>
        <v>0</v>
      </c>
      <c r="BB175" s="135">
        <f t="shared" ref="BB175" si="966">IFERROR(MAX(AQ175-BA175,0),0)</f>
        <v>0</v>
      </c>
      <c r="BD175" s="117">
        <f t="shared" ref="BD175:BD206" si="967">IFERROR(10000*D175,0)</f>
        <v>0</v>
      </c>
      <c r="BE175" s="117"/>
      <c r="BF175" s="117"/>
      <c r="BG175" s="117">
        <f t="shared" ref="BG175:BG206" si="968">IFERROR(-IF(AH175=$L$3,0,IF(AH175=$N$3,15*680*D175,IF(AH175=$P$3,30*680*D175,IF(AH175=0,50*680*D175,0)))),0)</f>
        <v>0</v>
      </c>
      <c r="BH175" s="117"/>
      <c r="BI175" s="117"/>
      <c r="BJ175" s="117"/>
    </row>
    <row r="176" spans="1:62" ht="18" hidden="1" customHeight="1">
      <c r="A176" s="95"/>
      <c r="B176" s="132"/>
      <c r="C176" s="95"/>
      <c r="D176" s="95"/>
      <c r="E176" s="111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112"/>
      <c r="AJ176" s="113"/>
      <c r="AK176" s="113"/>
      <c r="AL176" s="114"/>
      <c r="AM176" s="95"/>
      <c r="BE176" s="117"/>
      <c r="BF176" s="117"/>
      <c r="BG176" s="117"/>
      <c r="BH176" s="117"/>
      <c r="BI176" s="117"/>
      <c r="BJ176" s="117"/>
    </row>
    <row r="177" spans="1:62" ht="18" hidden="1" customHeight="1">
      <c r="A177" s="65">
        <v>85</v>
      </c>
      <c r="B177" s="64"/>
      <c r="C177" s="68"/>
      <c r="D177" s="80"/>
      <c r="E177" s="96">
        <f>IFERROR('Kiểm hóa may'!D177 + 'Bản sau là'!D177,0)</f>
        <v>0</v>
      </c>
      <c r="F177" s="97"/>
      <c r="G177" s="97"/>
      <c r="H177" s="97"/>
      <c r="I177" s="97"/>
      <c r="J177" s="97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  <c r="AA177" s="93"/>
      <c r="AB177" s="93"/>
      <c r="AC177" s="93"/>
      <c r="AD177" s="93">
        <f t="shared" ref="AD177:AD208" si="969">IFERROR(400*BF177,0)</f>
        <v>0</v>
      </c>
      <c r="AE177" s="93"/>
      <c r="AF177" s="93">
        <f t="shared" ref="AF177:AF208" si="970">IFERROR(SUM(F177:AC177)*0.2,0)</f>
        <v>0</v>
      </c>
      <c r="AG177" s="93"/>
      <c r="AH177" s="93" t="s">
        <v>179</v>
      </c>
      <c r="AI177" s="98">
        <f t="shared" ref="AI177:AI208" si="971">IFERROR(130*D177,0)</f>
        <v>0</v>
      </c>
      <c r="AJ177" s="81" cm="1">
        <f t="array" ref="AJ177">IFERROR(SUM(_xlfn._xlws.FILTER(E177:AI177,ISNUMBER(E177:AI177))),0)</f>
        <v>0</v>
      </c>
      <c r="AK177" s="81"/>
      <c r="AL177" s="99">
        <f t="shared" ref="AL177" si="972">IFERROR(AJ177*(1+AK177%),0)</f>
        <v>0</v>
      </c>
      <c r="AM177" s="116"/>
      <c r="AN177" s="84">
        <f t="shared" ref="AN177:AN208" si="973">IFERROR(SUM(E177:AC177)/D177,0)</f>
        <v>0</v>
      </c>
      <c r="AO177" s="138"/>
      <c r="AQ177" s="137"/>
      <c r="AR177" s="137"/>
      <c r="AS177" s="137"/>
      <c r="AT177" s="137"/>
      <c r="AU177" s="137"/>
      <c r="AV177" s="137"/>
      <c r="AY177" s="136">
        <f t="shared" ref="AY177:AY208" si="974">IFERROR((AQ177*20)/60,0)</f>
        <v>0</v>
      </c>
      <c r="AZ177" s="136">
        <f t="shared" ref="AZ177" si="975">IFERROR(AX177 + AY177 + BI177,0)</f>
        <v>0</v>
      </c>
      <c r="BA177" s="135">
        <f t="shared" ref="BA177" si="976">IFERROR(AZ177/8,0)</f>
        <v>0</v>
      </c>
      <c r="BB177" s="135">
        <f t="shared" ref="BB177" si="977">IFERROR(MAX(AQ177-BA177,0),0)</f>
        <v>0</v>
      </c>
      <c r="BD177" s="117">
        <f t="shared" ref="BD177:BD208" si="978">IFERROR(10000*D177,0)</f>
        <v>0</v>
      </c>
      <c r="BE177" s="117"/>
      <c r="BF177" s="117"/>
      <c r="BG177" s="117">
        <f t="shared" ref="BG177:BG208" si="979">IFERROR(-IF(AH177=$L$3,0,IF(AH177=$N$3,15*680*D177,IF(AH177=$P$3,30*680*D177,IF(AH177=0,50*680*D177,0)))),0)</f>
        <v>0</v>
      </c>
      <c r="BH177" s="117"/>
      <c r="BI177" s="117"/>
      <c r="BJ177" s="117"/>
    </row>
    <row r="178" spans="1:62" ht="18" hidden="1" customHeight="1">
      <c r="A178" s="57"/>
      <c r="B178" s="132"/>
      <c r="C178" s="95"/>
      <c r="D178" s="95"/>
      <c r="E178" s="111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112"/>
      <c r="AJ178" s="113"/>
      <c r="AK178" s="113"/>
      <c r="AL178" s="114"/>
      <c r="AM178" s="95"/>
      <c r="BE178" s="117"/>
      <c r="BF178" s="117"/>
      <c r="BG178" s="117"/>
      <c r="BH178" s="117"/>
      <c r="BI178" s="117"/>
      <c r="BJ178" s="117"/>
    </row>
    <row r="179" spans="1:62" ht="18" hidden="1" customHeight="1">
      <c r="A179" s="62">
        <v>86</v>
      </c>
      <c r="B179" s="64"/>
      <c r="C179" s="68"/>
      <c r="D179" s="80"/>
      <c r="E179" s="96">
        <f>IFERROR('Kiểm hóa may'!D179 + 'Bản sau là'!D179,0)</f>
        <v>0</v>
      </c>
      <c r="F179" s="97"/>
      <c r="G179" s="97"/>
      <c r="H179" s="97"/>
      <c r="I179" s="97"/>
      <c r="J179" s="97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  <c r="AB179" s="93"/>
      <c r="AC179" s="93"/>
      <c r="AD179" s="93">
        <f t="shared" ref="AD179:AD210" si="980">IFERROR(400*BF179,0)</f>
        <v>0</v>
      </c>
      <c r="AE179" s="93"/>
      <c r="AF179" s="93">
        <f t="shared" ref="AF179:AF210" si="981">IFERROR(SUM(F179:AC179)*0.2,0)</f>
        <v>0</v>
      </c>
      <c r="AG179" s="93"/>
      <c r="AH179" s="93" t="s">
        <v>179</v>
      </c>
      <c r="AI179" s="98">
        <f t="shared" ref="AI179:AI210" si="982">IFERROR(130*D179,0)</f>
        <v>0</v>
      </c>
      <c r="AJ179" s="81" cm="1">
        <f t="array" ref="AJ179">IFERROR(SUM(_xlfn._xlws.FILTER(E179:AI179,ISNUMBER(E179:AI179))),0)</f>
        <v>0</v>
      </c>
      <c r="AK179" s="81"/>
      <c r="AL179" s="99">
        <f t="shared" ref="AL179" si="983">IFERROR(AJ179*(1+AK179%),0)</f>
        <v>0</v>
      </c>
      <c r="AM179" s="116"/>
      <c r="AN179" s="84">
        <f t="shared" ref="AN179:AN210" si="984">IFERROR(SUM(E179:AC179)/D179,0)</f>
        <v>0</v>
      </c>
      <c r="AO179" s="138"/>
      <c r="AQ179" s="137"/>
      <c r="AR179" s="137"/>
      <c r="AS179" s="137"/>
      <c r="AT179" s="137"/>
      <c r="AU179" s="137"/>
      <c r="AV179" s="137"/>
      <c r="AY179" s="136">
        <f t="shared" ref="AY179:AY210" si="985">IFERROR((AQ179*20)/60,0)</f>
        <v>0</v>
      </c>
      <c r="AZ179" s="136">
        <f t="shared" ref="AZ179" si="986">IFERROR(AX179 + AY179 + BI179,0)</f>
        <v>0</v>
      </c>
      <c r="BA179" s="135">
        <f t="shared" ref="BA179" si="987">IFERROR(AZ179/8,0)</f>
        <v>0</v>
      </c>
      <c r="BB179" s="135">
        <f t="shared" ref="BB179" si="988">IFERROR(MAX(AQ179-BA179,0),0)</f>
        <v>0</v>
      </c>
      <c r="BD179" s="117">
        <f t="shared" ref="BD179:BD210" si="989">IFERROR(10000*D179,0)</f>
        <v>0</v>
      </c>
      <c r="BE179" s="117"/>
      <c r="BF179" s="117"/>
      <c r="BG179" s="117">
        <f t="shared" ref="BG179:BG210" si="990">IFERROR(-IF(AH179=$L$3,0,IF(AH179=$N$3,15*680*D179,IF(AH179=$P$3,30*680*D179,IF(AH179=0,50*680*D179,0)))),0)</f>
        <v>0</v>
      </c>
      <c r="BH179" s="117"/>
      <c r="BI179" s="117"/>
      <c r="BJ179" s="117"/>
    </row>
    <row r="180" spans="1:62" ht="18" hidden="1" customHeight="1">
      <c r="A180" s="95"/>
      <c r="B180" s="132"/>
      <c r="C180" s="95"/>
      <c r="D180" s="95"/>
      <c r="E180" s="111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112"/>
      <c r="AJ180" s="113"/>
      <c r="AK180" s="113"/>
      <c r="AL180" s="114"/>
      <c r="AM180" s="95"/>
      <c r="BE180" s="117"/>
      <c r="BF180" s="117"/>
      <c r="BG180" s="117"/>
      <c r="BH180" s="117"/>
      <c r="BI180" s="117"/>
      <c r="BJ180" s="117"/>
    </row>
    <row r="181" spans="1:62" ht="18" hidden="1" customHeight="1">
      <c r="A181" s="65">
        <v>87</v>
      </c>
      <c r="B181" s="64"/>
      <c r="C181" s="68"/>
      <c r="D181" s="80"/>
      <c r="E181" s="96">
        <f>IFERROR('Kiểm hóa may'!D181 + 'Bản sau là'!D181,0)</f>
        <v>0</v>
      </c>
      <c r="F181" s="97"/>
      <c r="G181" s="97"/>
      <c r="H181" s="97"/>
      <c r="I181" s="97"/>
      <c r="J181" s="97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  <c r="AB181" s="93"/>
      <c r="AC181" s="93"/>
      <c r="AD181" s="93">
        <f t="shared" ref="AD181:AD212" si="991">IFERROR(400*BF181,0)</f>
        <v>0</v>
      </c>
      <c r="AE181" s="93"/>
      <c r="AF181" s="93">
        <f t="shared" ref="AF181:AF212" si="992">IFERROR(SUM(F181:AC181)*0.2,0)</f>
        <v>0</v>
      </c>
      <c r="AG181" s="93"/>
      <c r="AH181" s="93" t="s">
        <v>179</v>
      </c>
      <c r="AI181" s="98">
        <f t="shared" ref="AI181:AI212" si="993">IFERROR(130*D181,0)</f>
        <v>0</v>
      </c>
      <c r="AJ181" s="81" cm="1">
        <f t="array" ref="AJ181">IFERROR(SUM(_xlfn._xlws.FILTER(E181:AI181,ISNUMBER(E181:AI181))),0)</f>
        <v>0</v>
      </c>
      <c r="AK181" s="81"/>
      <c r="AL181" s="99">
        <f t="shared" ref="AL181" si="994">IFERROR(AJ181*(1+AK181%),0)</f>
        <v>0</v>
      </c>
      <c r="AM181" s="116"/>
      <c r="AN181" s="84">
        <f t="shared" ref="AN181:AN212" si="995">IFERROR(SUM(E181:AC181)/D181,0)</f>
        <v>0</v>
      </c>
      <c r="AO181" s="138"/>
      <c r="AQ181" s="137"/>
      <c r="AR181" s="137"/>
      <c r="AS181" s="137"/>
      <c r="AT181" s="137"/>
      <c r="AU181" s="137"/>
      <c r="AV181" s="137"/>
      <c r="AY181" s="136">
        <f t="shared" ref="AY181:AY212" si="996">IFERROR((AQ181*20)/60,0)</f>
        <v>0</v>
      </c>
      <c r="AZ181" s="136">
        <f t="shared" ref="AZ181" si="997">IFERROR(AX181 + AY181 + BI181,0)</f>
        <v>0</v>
      </c>
      <c r="BA181" s="135">
        <f t="shared" ref="BA181" si="998">IFERROR(AZ181/8,0)</f>
        <v>0</v>
      </c>
      <c r="BB181" s="135">
        <f t="shared" ref="BB181" si="999">IFERROR(MAX(AQ181-BA181,0),0)</f>
        <v>0</v>
      </c>
      <c r="BD181" s="117">
        <f t="shared" ref="BD181:BD212" si="1000">IFERROR(10000*D181,0)</f>
        <v>0</v>
      </c>
      <c r="BE181" s="117"/>
      <c r="BF181" s="117"/>
      <c r="BG181" s="117">
        <f t="shared" ref="BG181:BG212" si="1001">IFERROR(-IF(AH181=$L$3,0,IF(AH181=$N$3,15*680*D181,IF(AH181=$P$3,30*680*D181,IF(AH181=0,50*680*D181,0)))),0)</f>
        <v>0</v>
      </c>
      <c r="BH181" s="117"/>
      <c r="BI181" s="117"/>
      <c r="BJ181" s="117"/>
    </row>
    <row r="182" spans="1:62" ht="18" hidden="1" customHeight="1">
      <c r="A182" s="57"/>
      <c r="B182" s="132"/>
      <c r="C182" s="95"/>
      <c r="D182" s="95"/>
      <c r="E182" s="111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112"/>
      <c r="AJ182" s="113"/>
      <c r="AK182" s="113"/>
      <c r="AL182" s="114"/>
      <c r="AM182" s="95"/>
      <c r="BE182" s="117"/>
      <c r="BF182" s="117"/>
      <c r="BG182" s="117"/>
      <c r="BH182" s="117"/>
      <c r="BI182" s="117"/>
      <c r="BJ182" s="117"/>
    </row>
    <row r="183" spans="1:62" ht="18" hidden="1" customHeight="1">
      <c r="A183" s="62">
        <v>88</v>
      </c>
      <c r="B183" s="64"/>
      <c r="C183" s="68"/>
      <c r="D183" s="80"/>
      <c r="E183" s="96">
        <f>IFERROR('Kiểm hóa may'!D183 + 'Bản sau là'!D183,0)</f>
        <v>0</v>
      </c>
      <c r="F183" s="97"/>
      <c r="G183" s="97"/>
      <c r="H183" s="97"/>
      <c r="I183" s="97"/>
      <c r="J183" s="97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  <c r="AB183" s="93"/>
      <c r="AC183" s="93"/>
      <c r="AD183" s="93">
        <f t="shared" ref="AD183:AD214" si="1002">IFERROR(400*BF183,0)</f>
        <v>0</v>
      </c>
      <c r="AE183" s="93"/>
      <c r="AF183" s="93">
        <f t="shared" ref="AF183:AF214" si="1003">IFERROR(SUM(F183:AC183)*0.2,0)</f>
        <v>0</v>
      </c>
      <c r="AG183" s="93"/>
      <c r="AH183" s="93" t="s">
        <v>179</v>
      </c>
      <c r="AI183" s="98">
        <f t="shared" ref="AI183:AI214" si="1004">IFERROR(130*D183,0)</f>
        <v>0</v>
      </c>
      <c r="AJ183" s="81" cm="1">
        <f t="array" ref="AJ183">IFERROR(SUM(_xlfn._xlws.FILTER(E183:AI183,ISNUMBER(E183:AI183))),0)</f>
        <v>0</v>
      </c>
      <c r="AK183" s="81"/>
      <c r="AL183" s="99">
        <f t="shared" ref="AL183" si="1005">IFERROR(AJ183*(1+AK183%),0)</f>
        <v>0</v>
      </c>
      <c r="AM183" s="116"/>
      <c r="AN183" s="84">
        <f t="shared" ref="AN183:AN214" si="1006">IFERROR(SUM(E183:AC183)/D183,0)</f>
        <v>0</v>
      </c>
      <c r="AO183" s="138"/>
      <c r="AQ183" s="137"/>
      <c r="AR183" s="137"/>
      <c r="AS183" s="137"/>
      <c r="AT183" s="137"/>
      <c r="AU183" s="137"/>
      <c r="AV183" s="137"/>
      <c r="AY183" s="136">
        <f t="shared" ref="AY183:AY214" si="1007">IFERROR((AQ183*20)/60,0)</f>
        <v>0</v>
      </c>
      <c r="AZ183" s="136">
        <f t="shared" ref="AZ183" si="1008">IFERROR(AX183 + AY183 + BI183,0)</f>
        <v>0</v>
      </c>
      <c r="BA183" s="135">
        <f t="shared" ref="BA183" si="1009">IFERROR(AZ183/8,0)</f>
        <v>0</v>
      </c>
      <c r="BB183" s="135">
        <f t="shared" ref="BB183" si="1010">IFERROR(MAX(AQ183-BA183,0),0)</f>
        <v>0</v>
      </c>
      <c r="BD183" s="117">
        <f t="shared" ref="BD183:BD214" si="1011">IFERROR(10000*D183,0)</f>
        <v>0</v>
      </c>
      <c r="BE183" s="117"/>
      <c r="BF183" s="117"/>
      <c r="BG183" s="117">
        <f t="shared" ref="BG183:BG214" si="1012">IFERROR(-IF(AH183=$L$3,0,IF(AH183=$N$3,15*680*D183,IF(AH183=$P$3,30*680*D183,IF(AH183=0,50*680*D183,0)))),0)</f>
        <v>0</v>
      </c>
      <c r="BH183" s="117"/>
      <c r="BI183" s="117"/>
      <c r="BJ183" s="117"/>
    </row>
    <row r="184" spans="1:62" ht="18" hidden="1" customHeight="1">
      <c r="A184" s="95"/>
      <c r="B184" s="132"/>
      <c r="C184" s="95"/>
      <c r="D184" s="95"/>
      <c r="E184" s="111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112"/>
      <c r="AJ184" s="113"/>
      <c r="AK184" s="113"/>
      <c r="AL184" s="114"/>
      <c r="AM184" s="95"/>
      <c r="BE184" s="117"/>
      <c r="BF184" s="117"/>
      <c r="BG184" s="117"/>
      <c r="BH184" s="117"/>
      <c r="BI184" s="117"/>
      <c r="BJ184" s="117"/>
    </row>
    <row r="185" spans="1:62" ht="18" hidden="1" customHeight="1">
      <c r="A185" s="65">
        <v>89</v>
      </c>
      <c r="B185" s="64"/>
      <c r="C185" s="68"/>
      <c r="D185" s="80"/>
      <c r="E185" s="96">
        <f>IFERROR('Kiểm hóa may'!D185 + 'Bản sau là'!D185,0)</f>
        <v>0</v>
      </c>
      <c r="F185" s="97"/>
      <c r="G185" s="97"/>
      <c r="H185" s="97"/>
      <c r="I185" s="97"/>
      <c r="J185" s="97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  <c r="AB185" s="93"/>
      <c r="AC185" s="93"/>
      <c r="AD185" s="93">
        <f t="shared" ref="AD185:AD216" si="1013">IFERROR(400*BF185,0)</f>
        <v>0</v>
      </c>
      <c r="AE185" s="93"/>
      <c r="AF185" s="93">
        <f t="shared" ref="AF185:AF216" si="1014">IFERROR(SUM(F185:AC185)*0.2,0)</f>
        <v>0</v>
      </c>
      <c r="AG185" s="93"/>
      <c r="AH185" s="93" t="s">
        <v>179</v>
      </c>
      <c r="AI185" s="98">
        <f t="shared" ref="AI185:AI216" si="1015">IFERROR(130*D185,0)</f>
        <v>0</v>
      </c>
      <c r="AJ185" s="81" cm="1">
        <f t="array" ref="AJ185">IFERROR(SUM(_xlfn._xlws.FILTER(E185:AI185,ISNUMBER(E185:AI185))),0)</f>
        <v>0</v>
      </c>
      <c r="AK185" s="81"/>
      <c r="AL185" s="99">
        <f t="shared" ref="AL185" si="1016">IFERROR(AJ185*(1+AK185%),0)</f>
        <v>0</v>
      </c>
      <c r="AM185" s="116"/>
      <c r="AN185" s="84">
        <f t="shared" ref="AN185:AN216" si="1017">IFERROR(SUM(E185:AC185)/D185,0)</f>
        <v>0</v>
      </c>
      <c r="AO185" s="138"/>
      <c r="AQ185" s="137"/>
      <c r="AR185" s="137"/>
      <c r="AS185" s="137"/>
      <c r="AT185" s="137"/>
      <c r="AU185" s="137"/>
      <c r="AV185" s="137"/>
      <c r="AY185" s="136">
        <f t="shared" ref="AY185:AY216" si="1018">IFERROR((AQ185*20)/60,0)</f>
        <v>0</v>
      </c>
      <c r="AZ185" s="136">
        <f t="shared" ref="AZ185" si="1019">IFERROR(AX185 + AY185 + BI185,0)</f>
        <v>0</v>
      </c>
      <c r="BA185" s="135">
        <f t="shared" ref="BA185" si="1020">IFERROR(AZ185/8,0)</f>
        <v>0</v>
      </c>
      <c r="BB185" s="135">
        <f t="shared" ref="BB185" si="1021">IFERROR(MAX(AQ185-BA185,0),0)</f>
        <v>0</v>
      </c>
      <c r="BD185" s="117">
        <f t="shared" ref="BD185:BD216" si="1022">IFERROR(10000*D185,0)</f>
        <v>0</v>
      </c>
      <c r="BE185" s="117"/>
      <c r="BF185" s="117"/>
      <c r="BG185" s="117">
        <f t="shared" ref="BG185:BG216" si="1023">IFERROR(-IF(AH185=$L$3,0,IF(AH185=$N$3,15*680*D185,IF(AH185=$P$3,30*680*D185,IF(AH185=0,50*680*D185,0)))),0)</f>
        <v>0</v>
      </c>
      <c r="BH185" s="117"/>
      <c r="BI185" s="117"/>
      <c r="BJ185" s="117"/>
    </row>
    <row r="186" spans="1:62" ht="18" hidden="1" customHeight="1">
      <c r="A186" s="57"/>
      <c r="B186" s="132"/>
      <c r="C186" s="95"/>
      <c r="D186" s="95"/>
      <c r="E186" s="111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112"/>
      <c r="AJ186" s="113"/>
      <c r="AK186" s="113"/>
      <c r="AL186" s="114"/>
      <c r="AM186" s="95"/>
      <c r="BE186" s="117"/>
      <c r="BF186" s="117"/>
      <c r="BG186" s="117"/>
      <c r="BH186" s="117"/>
      <c r="BI186" s="117"/>
      <c r="BJ186" s="117"/>
    </row>
    <row r="187" spans="1:62" ht="18" hidden="1" customHeight="1">
      <c r="A187" s="62">
        <v>90</v>
      </c>
      <c r="B187" s="64"/>
      <c r="C187" s="68"/>
      <c r="D187" s="80"/>
      <c r="E187" s="96">
        <f>IFERROR('Kiểm hóa may'!D187 + 'Bản sau là'!D187,0)</f>
        <v>0</v>
      </c>
      <c r="F187" s="97"/>
      <c r="G187" s="97"/>
      <c r="H187" s="97"/>
      <c r="I187" s="97"/>
      <c r="J187" s="97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  <c r="AA187" s="93"/>
      <c r="AB187" s="93"/>
      <c r="AC187" s="93"/>
      <c r="AD187" s="93">
        <f t="shared" ref="AD187:AD218" si="1024">IFERROR(400*BF187,0)</f>
        <v>0</v>
      </c>
      <c r="AE187" s="93"/>
      <c r="AF187" s="93">
        <f t="shared" ref="AF187:AF218" si="1025">IFERROR(SUM(F187:AC187)*0.2,0)</f>
        <v>0</v>
      </c>
      <c r="AG187" s="93"/>
      <c r="AH187" s="93" t="s">
        <v>179</v>
      </c>
      <c r="AI187" s="98">
        <f t="shared" ref="AI187:AI218" si="1026">IFERROR(130*D187,0)</f>
        <v>0</v>
      </c>
      <c r="AJ187" s="81" cm="1">
        <f t="array" ref="AJ187">IFERROR(SUM(_xlfn._xlws.FILTER(E187:AI187,ISNUMBER(E187:AI187))),0)</f>
        <v>0</v>
      </c>
      <c r="AK187" s="81"/>
      <c r="AL187" s="99">
        <f t="shared" ref="AL187" si="1027">IFERROR(AJ187*(1+AK187%),0)</f>
        <v>0</v>
      </c>
      <c r="AM187" s="116"/>
      <c r="AN187" s="84">
        <f t="shared" ref="AN187:AN218" si="1028">IFERROR(SUM(E187:AC187)/D187,0)</f>
        <v>0</v>
      </c>
      <c r="AO187" s="138"/>
      <c r="AQ187" s="137"/>
      <c r="AR187" s="137"/>
      <c r="AS187" s="137"/>
      <c r="AT187" s="137"/>
      <c r="AU187" s="137"/>
      <c r="AV187" s="137"/>
      <c r="AY187" s="136">
        <f t="shared" ref="AY187:AY218" si="1029">IFERROR((AQ187*20)/60,0)</f>
        <v>0</v>
      </c>
      <c r="AZ187" s="136">
        <f t="shared" ref="AZ187" si="1030">IFERROR(AX187 + AY187 + BI187,0)</f>
        <v>0</v>
      </c>
      <c r="BA187" s="135">
        <f t="shared" ref="BA187" si="1031">IFERROR(AZ187/8,0)</f>
        <v>0</v>
      </c>
      <c r="BB187" s="135">
        <f t="shared" ref="BB187" si="1032">IFERROR(MAX(AQ187-BA187,0),0)</f>
        <v>0</v>
      </c>
      <c r="BD187" s="117">
        <f t="shared" ref="BD187:BD218" si="1033">IFERROR(10000*D187,0)</f>
        <v>0</v>
      </c>
      <c r="BE187" s="117"/>
      <c r="BF187" s="117"/>
      <c r="BG187" s="117">
        <f t="shared" ref="BG187:BG218" si="1034">IFERROR(-IF(AH187=$L$3,0,IF(AH187=$N$3,15*680*D187,IF(AH187=$P$3,30*680*D187,IF(AH187=0,50*680*D187,0)))),0)</f>
        <v>0</v>
      </c>
      <c r="BH187" s="117"/>
      <c r="BI187" s="117"/>
      <c r="BJ187" s="117"/>
    </row>
    <row r="188" spans="1:62" ht="18" hidden="1" customHeight="1">
      <c r="A188" s="95"/>
      <c r="B188" s="132"/>
      <c r="C188" s="95"/>
      <c r="D188" s="95"/>
      <c r="E188" s="111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112"/>
      <c r="AJ188" s="113"/>
      <c r="AK188" s="113"/>
      <c r="AL188" s="114"/>
      <c r="AM188" s="95"/>
      <c r="BE188" s="117"/>
      <c r="BF188" s="117"/>
      <c r="BG188" s="117"/>
      <c r="BH188" s="117"/>
      <c r="BI188" s="117"/>
      <c r="BJ188" s="117"/>
    </row>
    <row r="189" spans="1:62" ht="18" hidden="1" customHeight="1">
      <c r="A189" s="65">
        <v>91</v>
      </c>
      <c r="B189" s="64"/>
      <c r="C189" s="68"/>
      <c r="D189" s="80"/>
      <c r="E189" s="96">
        <f>IFERROR('Kiểm hóa may'!D189 + 'Bản sau là'!D189,0)</f>
        <v>0</v>
      </c>
      <c r="F189" s="97"/>
      <c r="G189" s="97"/>
      <c r="H189" s="97"/>
      <c r="I189" s="97"/>
      <c r="J189" s="97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  <c r="AB189" s="93"/>
      <c r="AC189" s="93"/>
      <c r="AD189" s="93">
        <f t="shared" ref="AD189:AD220" si="1035">IFERROR(400*BF189,0)</f>
        <v>0</v>
      </c>
      <c r="AE189" s="93"/>
      <c r="AF189" s="93">
        <f t="shared" ref="AF189:AF220" si="1036">IFERROR(SUM(F189:AC189)*0.2,0)</f>
        <v>0</v>
      </c>
      <c r="AG189" s="93"/>
      <c r="AH189" s="93" t="s">
        <v>179</v>
      </c>
      <c r="AI189" s="98">
        <f t="shared" ref="AI189:AI220" si="1037">IFERROR(130*D189,0)</f>
        <v>0</v>
      </c>
      <c r="AJ189" s="81" cm="1">
        <f t="array" ref="AJ189">IFERROR(SUM(_xlfn._xlws.FILTER(E189:AI189,ISNUMBER(E189:AI189))),0)</f>
        <v>0</v>
      </c>
      <c r="AK189" s="81"/>
      <c r="AL189" s="99">
        <f t="shared" ref="AL189" si="1038">IFERROR(AJ189*(1+AK189%),0)</f>
        <v>0</v>
      </c>
      <c r="AM189" s="116"/>
      <c r="AN189" s="84">
        <f t="shared" ref="AN189:AN220" si="1039">IFERROR(SUM(E189:AC189)/D189,0)</f>
        <v>0</v>
      </c>
      <c r="AO189" s="138"/>
      <c r="AQ189" s="137"/>
      <c r="AR189" s="137"/>
      <c r="AS189" s="137"/>
      <c r="AT189" s="137"/>
      <c r="AU189" s="137"/>
      <c r="AV189" s="137"/>
      <c r="AY189" s="136">
        <f t="shared" ref="AY189:AY220" si="1040">IFERROR((AQ189*20)/60,0)</f>
        <v>0</v>
      </c>
      <c r="AZ189" s="136">
        <f t="shared" ref="AZ189" si="1041">IFERROR(AX189 + AY189 + BI189,0)</f>
        <v>0</v>
      </c>
      <c r="BA189" s="135">
        <f t="shared" ref="BA189" si="1042">IFERROR(AZ189/8,0)</f>
        <v>0</v>
      </c>
      <c r="BB189" s="135">
        <f t="shared" ref="BB189" si="1043">IFERROR(MAX(AQ189-BA189,0),0)</f>
        <v>0</v>
      </c>
      <c r="BD189" s="117">
        <f t="shared" ref="BD189:BD220" si="1044">IFERROR(10000*D189,0)</f>
        <v>0</v>
      </c>
      <c r="BE189" s="117"/>
      <c r="BF189" s="117"/>
      <c r="BG189" s="117">
        <f t="shared" ref="BG189:BG220" si="1045">IFERROR(-IF(AH189=$L$3,0,IF(AH189=$N$3,15*680*D189,IF(AH189=$P$3,30*680*D189,IF(AH189=0,50*680*D189,0)))),0)</f>
        <v>0</v>
      </c>
      <c r="BH189" s="117"/>
      <c r="BI189" s="117"/>
      <c r="BJ189" s="117"/>
    </row>
    <row r="190" spans="1:62" ht="18" hidden="1" customHeight="1">
      <c r="A190" s="57"/>
      <c r="B190" s="132"/>
      <c r="C190" s="95"/>
      <c r="D190" s="95"/>
      <c r="E190" s="111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112"/>
      <c r="AJ190" s="113"/>
      <c r="AK190" s="113"/>
      <c r="AL190" s="114"/>
      <c r="AM190" s="95"/>
      <c r="BE190" s="117"/>
      <c r="BF190" s="117"/>
      <c r="BG190" s="117"/>
      <c r="BH190" s="117"/>
      <c r="BI190" s="117"/>
      <c r="BJ190" s="117"/>
    </row>
    <row r="191" spans="1:62" ht="18" hidden="1" customHeight="1">
      <c r="A191" s="62">
        <v>92</v>
      </c>
      <c r="B191" s="64"/>
      <c r="C191" s="68"/>
      <c r="D191" s="80"/>
      <c r="E191" s="96">
        <f>IFERROR('Kiểm hóa may'!D191 + 'Bản sau là'!D191,0)</f>
        <v>0</v>
      </c>
      <c r="F191" s="97"/>
      <c r="G191" s="97"/>
      <c r="H191" s="97"/>
      <c r="I191" s="97"/>
      <c r="J191" s="97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  <c r="AB191" s="93"/>
      <c r="AC191" s="93"/>
      <c r="AD191" s="93">
        <f t="shared" ref="AD191:AD222" si="1046">IFERROR(400*BF191,0)</f>
        <v>0</v>
      </c>
      <c r="AE191" s="93"/>
      <c r="AF191" s="93">
        <f t="shared" ref="AF191:AF222" si="1047">IFERROR(SUM(F191:AC191)*0.2,0)</f>
        <v>0</v>
      </c>
      <c r="AG191" s="93"/>
      <c r="AH191" s="93" t="s">
        <v>179</v>
      </c>
      <c r="AI191" s="98">
        <f t="shared" ref="AI191:AI222" si="1048">IFERROR(130*D191,0)</f>
        <v>0</v>
      </c>
      <c r="AJ191" s="81" cm="1">
        <f t="array" ref="AJ191">IFERROR(SUM(_xlfn._xlws.FILTER(E191:AI191,ISNUMBER(E191:AI191))),0)</f>
        <v>0</v>
      </c>
      <c r="AK191" s="81"/>
      <c r="AL191" s="99">
        <f t="shared" ref="AL191" si="1049">IFERROR(AJ191*(1+AK191%),0)</f>
        <v>0</v>
      </c>
      <c r="AM191" s="116"/>
      <c r="AN191" s="84">
        <f t="shared" ref="AN191:AN222" si="1050">IFERROR(SUM(E191:AC191)/D191,0)</f>
        <v>0</v>
      </c>
      <c r="AO191" s="138"/>
      <c r="AQ191" s="137"/>
      <c r="AR191" s="137"/>
      <c r="AS191" s="137"/>
      <c r="AT191" s="137"/>
      <c r="AU191" s="137"/>
      <c r="AV191" s="137"/>
      <c r="AY191" s="136">
        <f t="shared" ref="AY191:AY222" si="1051">IFERROR((AQ191*20)/60,0)</f>
        <v>0</v>
      </c>
      <c r="AZ191" s="136">
        <f t="shared" ref="AZ191" si="1052">IFERROR(AX191 + AY191 + BI191,0)</f>
        <v>0</v>
      </c>
      <c r="BA191" s="135">
        <f t="shared" ref="BA191" si="1053">IFERROR(AZ191/8,0)</f>
        <v>0</v>
      </c>
      <c r="BB191" s="135">
        <f t="shared" ref="BB191" si="1054">IFERROR(MAX(AQ191-BA191,0),0)</f>
        <v>0</v>
      </c>
      <c r="BD191" s="117">
        <f t="shared" ref="BD191:BD222" si="1055">IFERROR(10000*D191,0)</f>
        <v>0</v>
      </c>
      <c r="BE191" s="117"/>
      <c r="BF191" s="117"/>
      <c r="BG191" s="117">
        <f t="shared" ref="BG191:BG222" si="1056">IFERROR(-IF(AH191=$L$3,0,IF(AH191=$N$3,15*680*D191,IF(AH191=$P$3,30*680*D191,IF(AH191=0,50*680*D191,0)))),0)</f>
        <v>0</v>
      </c>
      <c r="BH191" s="117"/>
      <c r="BI191" s="117"/>
      <c r="BJ191" s="117"/>
    </row>
    <row r="192" spans="1:62" ht="18" hidden="1" customHeight="1">
      <c r="A192" s="95"/>
      <c r="B192" s="132"/>
      <c r="C192" s="95"/>
      <c r="D192" s="95"/>
      <c r="E192" s="111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112"/>
      <c r="AJ192" s="113"/>
      <c r="AK192" s="113"/>
      <c r="AL192" s="114"/>
      <c r="AM192" s="95"/>
      <c r="BE192" s="117"/>
      <c r="BF192" s="117"/>
      <c r="BG192" s="117"/>
      <c r="BH192" s="117"/>
      <c r="BI192" s="117"/>
      <c r="BJ192" s="117"/>
    </row>
    <row r="193" spans="1:62" ht="18" hidden="1" customHeight="1">
      <c r="A193" s="65">
        <v>93</v>
      </c>
      <c r="B193" s="64"/>
      <c r="C193" s="68"/>
      <c r="D193" s="80"/>
      <c r="E193" s="96">
        <f>IFERROR('Kiểm hóa may'!D193 + 'Bản sau là'!D193,0)</f>
        <v>0</v>
      </c>
      <c r="F193" s="97"/>
      <c r="G193" s="97"/>
      <c r="H193" s="97"/>
      <c r="I193" s="97"/>
      <c r="J193" s="97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  <c r="AB193" s="93"/>
      <c r="AC193" s="93"/>
      <c r="AD193" s="93">
        <f t="shared" ref="AD193:AD224" si="1057">IFERROR(400*BF193,0)</f>
        <v>0</v>
      </c>
      <c r="AE193" s="93"/>
      <c r="AF193" s="93">
        <f t="shared" ref="AF193:AF224" si="1058">IFERROR(SUM(F193:AC193)*0.2,0)</f>
        <v>0</v>
      </c>
      <c r="AG193" s="93"/>
      <c r="AH193" s="93" t="s">
        <v>179</v>
      </c>
      <c r="AI193" s="98">
        <f t="shared" ref="AI193:AI224" si="1059">IFERROR(130*D193,0)</f>
        <v>0</v>
      </c>
      <c r="AJ193" s="81" cm="1">
        <f t="array" ref="AJ193">IFERROR(SUM(_xlfn._xlws.FILTER(E193:AI193,ISNUMBER(E193:AI193))),0)</f>
        <v>0</v>
      </c>
      <c r="AK193" s="81"/>
      <c r="AL193" s="99">
        <f t="shared" ref="AL193" si="1060">IFERROR(AJ193*(1+AK193%),0)</f>
        <v>0</v>
      </c>
      <c r="AM193" s="116"/>
      <c r="AN193" s="84">
        <f t="shared" ref="AN193:AN224" si="1061">IFERROR(SUM(E193:AC193)/D193,0)</f>
        <v>0</v>
      </c>
      <c r="AO193" s="138"/>
      <c r="AQ193" s="137"/>
      <c r="AR193" s="137"/>
      <c r="AS193" s="137"/>
      <c r="AT193" s="137"/>
      <c r="AU193" s="137"/>
      <c r="AV193" s="137"/>
      <c r="AY193" s="136">
        <f t="shared" ref="AY193:AY224" si="1062">IFERROR((AQ193*20)/60,0)</f>
        <v>0</v>
      </c>
      <c r="AZ193" s="136">
        <f t="shared" ref="AZ193" si="1063">IFERROR(AX193 + AY193 + BI193,0)</f>
        <v>0</v>
      </c>
      <c r="BA193" s="135">
        <f t="shared" ref="BA193" si="1064">IFERROR(AZ193/8,0)</f>
        <v>0</v>
      </c>
      <c r="BB193" s="135">
        <f t="shared" ref="BB193" si="1065">IFERROR(MAX(AQ193-BA193,0),0)</f>
        <v>0</v>
      </c>
      <c r="BD193" s="117">
        <f t="shared" ref="BD193:BD224" si="1066">IFERROR(10000*D193,0)</f>
        <v>0</v>
      </c>
      <c r="BE193" s="117"/>
      <c r="BF193" s="117"/>
      <c r="BG193" s="117">
        <f t="shared" ref="BG193:BG224" si="1067">IFERROR(-IF(AH193=$L$3,0,IF(AH193=$N$3,15*680*D193,IF(AH193=$P$3,30*680*D193,IF(AH193=0,50*680*D193,0)))),0)</f>
        <v>0</v>
      </c>
      <c r="BH193" s="117"/>
      <c r="BI193" s="117"/>
      <c r="BJ193" s="117"/>
    </row>
    <row r="194" spans="1:62" ht="18" hidden="1" customHeight="1">
      <c r="A194" s="57"/>
      <c r="B194" s="132"/>
      <c r="C194" s="95"/>
      <c r="D194" s="95"/>
      <c r="E194" s="111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112"/>
      <c r="AJ194" s="113"/>
      <c r="AK194" s="113"/>
      <c r="AL194" s="114"/>
      <c r="AM194" s="95"/>
      <c r="BE194" s="117"/>
      <c r="BF194" s="117"/>
      <c r="BG194" s="117"/>
      <c r="BH194" s="117"/>
      <c r="BI194" s="117"/>
      <c r="BJ194" s="117"/>
    </row>
    <row r="195" spans="1:62" ht="18" hidden="1" customHeight="1">
      <c r="A195" s="62">
        <v>94</v>
      </c>
      <c r="B195" s="64"/>
      <c r="C195" s="68"/>
      <c r="D195" s="80"/>
      <c r="E195" s="96">
        <f>IFERROR('Kiểm hóa may'!D195 + 'Bản sau là'!D195,0)</f>
        <v>0</v>
      </c>
      <c r="F195" s="97"/>
      <c r="G195" s="97"/>
      <c r="H195" s="97"/>
      <c r="I195" s="97"/>
      <c r="J195" s="97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  <c r="AB195" s="93"/>
      <c r="AC195" s="93"/>
      <c r="AD195" s="93">
        <f t="shared" ref="AD195:AD226" si="1068">IFERROR(400*BF195,0)</f>
        <v>0</v>
      </c>
      <c r="AE195" s="93"/>
      <c r="AF195" s="93">
        <f t="shared" ref="AF195:AF226" si="1069">IFERROR(SUM(F195:AC195)*0.2,0)</f>
        <v>0</v>
      </c>
      <c r="AG195" s="93"/>
      <c r="AH195" s="93" t="s">
        <v>179</v>
      </c>
      <c r="AI195" s="98">
        <f t="shared" ref="AI195:AI226" si="1070">IFERROR(130*D195,0)</f>
        <v>0</v>
      </c>
      <c r="AJ195" s="81" cm="1">
        <f t="array" ref="AJ195">IFERROR(SUM(_xlfn._xlws.FILTER(E195:AI195,ISNUMBER(E195:AI195))),0)</f>
        <v>0</v>
      </c>
      <c r="AK195" s="81"/>
      <c r="AL195" s="99">
        <f t="shared" ref="AL195" si="1071">IFERROR(AJ195*(1+AK195%),0)</f>
        <v>0</v>
      </c>
      <c r="AM195" s="116"/>
      <c r="AN195" s="84">
        <f t="shared" ref="AN195:AN226" si="1072">IFERROR(SUM(E195:AC195)/D195,0)</f>
        <v>0</v>
      </c>
      <c r="AO195" s="138"/>
      <c r="AQ195" s="137"/>
      <c r="AR195" s="137"/>
      <c r="AS195" s="137"/>
      <c r="AT195" s="137"/>
      <c r="AU195" s="137"/>
      <c r="AV195" s="137"/>
      <c r="AY195" s="136">
        <f t="shared" ref="AY195:AY226" si="1073">IFERROR((AQ195*20)/60,0)</f>
        <v>0</v>
      </c>
      <c r="AZ195" s="136">
        <f t="shared" ref="AZ195" si="1074">IFERROR(AX195 + AY195 + BI195,0)</f>
        <v>0</v>
      </c>
      <c r="BA195" s="135">
        <f t="shared" ref="BA195" si="1075">IFERROR(AZ195/8,0)</f>
        <v>0</v>
      </c>
      <c r="BB195" s="135">
        <f t="shared" ref="BB195" si="1076">IFERROR(MAX(AQ195-BA195,0),0)</f>
        <v>0</v>
      </c>
      <c r="BD195" s="117">
        <f t="shared" ref="BD195:BD226" si="1077">IFERROR(10000*D195,0)</f>
        <v>0</v>
      </c>
      <c r="BE195" s="117"/>
      <c r="BF195" s="117"/>
      <c r="BG195" s="117">
        <f t="shared" ref="BG195:BG226" si="1078">IFERROR(-IF(AH195=$L$3,0,IF(AH195=$N$3,15*680*D195,IF(AH195=$P$3,30*680*D195,IF(AH195=0,50*680*D195,0)))),0)</f>
        <v>0</v>
      </c>
      <c r="BH195" s="117"/>
      <c r="BI195" s="117"/>
      <c r="BJ195" s="117"/>
    </row>
    <row r="196" spans="1:62" ht="18" hidden="1" customHeight="1">
      <c r="A196" s="95"/>
      <c r="B196" s="132"/>
      <c r="C196" s="95"/>
      <c r="D196" s="95"/>
      <c r="E196" s="111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112"/>
      <c r="AJ196" s="113"/>
      <c r="AK196" s="113"/>
      <c r="AL196" s="114"/>
      <c r="AM196" s="95"/>
      <c r="BE196" s="117"/>
      <c r="BF196" s="117"/>
      <c r="BG196" s="117"/>
      <c r="BH196" s="117"/>
      <c r="BI196" s="117"/>
      <c r="BJ196" s="117"/>
    </row>
    <row r="197" spans="1:62" ht="18" hidden="1" customHeight="1">
      <c r="A197" s="65">
        <v>95</v>
      </c>
      <c r="B197" s="64"/>
      <c r="C197" s="68"/>
      <c r="D197" s="80"/>
      <c r="E197" s="96">
        <f>IFERROR('Kiểm hóa may'!D197 + 'Bản sau là'!D197,0)</f>
        <v>0</v>
      </c>
      <c r="F197" s="97"/>
      <c r="G197" s="97"/>
      <c r="H197" s="97"/>
      <c r="I197" s="97"/>
      <c r="J197" s="97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  <c r="AB197" s="93"/>
      <c r="AC197" s="93"/>
      <c r="AD197" s="93">
        <f t="shared" ref="AD197:AD228" si="1079">IFERROR(400*BF197,0)</f>
        <v>0</v>
      </c>
      <c r="AE197" s="93"/>
      <c r="AF197" s="93">
        <f t="shared" ref="AF197:AF228" si="1080">IFERROR(SUM(F197:AC197)*0.2,0)</f>
        <v>0</v>
      </c>
      <c r="AG197" s="93"/>
      <c r="AH197" s="93" t="s">
        <v>179</v>
      </c>
      <c r="AI197" s="98">
        <f t="shared" ref="AI197:AI228" si="1081">IFERROR(130*D197,0)</f>
        <v>0</v>
      </c>
      <c r="AJ197" s="81" cm="1">
        <f t="array" ref="AJ197">IFERROR(SUM(_xlfn._xlws.FILTER(E197:AI197,ISNUMBER(E197:AI197))),0)</f>
        <v>0</v>
      </c>
      <c r="AK197" s="81"/>
      <c r="AL197" s="99">
        <f t="shared" ref="AL197" si="1082">IFERROR(AJ197*(1+AK197%),0)</f>
        <v>0</v>
      </c>
      <c r="AM197" s="116"/>
      <c r="AN197" s="84">
        <f t="shared" ref="AN197:AN228" si="1083">IFERROR(SUM(E197:AC197)/D197,0)</f>
        <v>0</v>
      </c>
      <c r="AO197" s="138"/>
      <c r="AQ197" s="137"/>
      <c r="AR197" s="137"/>
      <c r="AS197" s="137"/>
      <c r="AT197" s="137"/>
      <c r="AU197" s="137"/>
      <c r="AV197" s="137"/>
      <c r="AY197" s="136">
        <f t="shared" ref="AY197:AY228" si="1084">IFERROR((AQ197*20)/60,0)</f>
        <v>0</v>
      </c>
      <c r="AZ197" s="136">
        <f t="shared" ref="AZ197" si="1085">IFERROR(AX197 + AY197 + BI197,0)</f>
        <v>0</v>
      </c>
      <c r="BA197" s="135">
        <f t="shared" ref="BA197" si="1086">IFERROR(AZ197/8,0)</f>
        <v>0</v>
      </c>
      <c r="BB197" s="135">
        <f t="shared" ref="BB197" si="1087">IFERROR(MAX(AQ197-BA197,0),0)</f>
        <v>0</v>
      </c>
      <c r="BD197" s="117">
        <f t="shared" ref="BD197:BD228" si="1088">IFERROR(10000*D197,0)</f>
        <v>0</v>
      </c>
      <c r="BE197" s="117"/>
      <c r="BF197" s="117"/>
      <c r="BG197" s="117">
        <f t="shared" ref="BG197:BG228" si="1089">IFERROR(-IF(AH197=$L$3,0,IF(AH197=$N$3,15*680*D197,IF(AH197=$P$3,30*680*D197,IF(AH197=0,50*680*D197,0)))),0)</f>
        <v>0</v>
      </c>
      <c r="BH197" s="117"/>
      <c r="BI197" s="117"/>
      <c r="BJ197" s="117"/>
    </row>
    <row r="198" spans="1:62" ht="18" hidden="1" customHeight="1">
      <c r="A198" s="57"/>
      <c r="B198" s="132"/>
      <c r="C198" s="95"/>
      <c r="D198" s="95"/>
      <c r="E198" s="111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112"/>
      <c r="AJ198" s="113"/>
      <c r="AK198" s="113"/>
      <c r="AL198" s="114"/>
      <c r="AM198" s="95"/>
      <c r="BE198" s="117"/>
      <c r="BF198" s="117"/>
      <c r="BG198" s="117"/>
      <c r="BH198" s="117"/>
      <c r="BI198" s="117"/>
      <c r="BJ198" s="117"/>
    </row>
    <row r="199" spans="1:62" ht="18" hidden="1" customHeight="1">
      <c r="A199" s="62">
        <v>96</v>
      </c>
      <c r="B199" s="64"/>
      <c r="C199" s="68"/>
      <c r="D199" s="80"/>
      <c r="E199" s="96">
        <f>IFERROR('Kiểm hóa may'!D199 + 'Bản sau là'!D199,0)</f>
        <v>0</v>
      </c>
      <c r="F199" s="97"/>
      <c r="G199" s="97"/>
      <c r="H199" s="97"/>
      <c r="I199" s="97"/>
      <c r="J199" s="97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  <c r="AB199" s="93"/>
      <c r="AC199" s="93"/>
      <c r="AD199" s="93">
        <f t="shared" ref="AD199:AD230" si="1090">IFERROR(400*BF199,0)</f>
        <v>0</v>
      </c>
      <c r="AE199" s="93"/>
      <c r="AF199" s="93">
        <f t="shared" ref="AF199:AF230" si="1091">IFERROR(SUM(F199:AC199)*0.2,0)</f>
        <v>0</v>
      </c>
      <c r="AG199" s="93"/>
      <c r="AH199" s="93" t="s">
        <v>179</v>
      </c>
      <c r="AI199" s="98">
        <f t="shared" ref="AI199:AI230" si="1092">IFERROR(130*D199,0)</f>
        <v>0</v>
      </c>
      <c r="AJ199" s="81" cm="1">
        <f t="array" ref="AJ199">IFERROR(SUM(_xlfn._xlws.FILTER(E199:AI199,ISNUMBER(E199:AI199))),0)</f>
        <v>0</v>
      </c>
      <c r="AK199" s="81"/>
      <c r="AL199" s="99">
        <f t="shared" ref="AL199" si="1093">IFERROR(AJ199*(1+AK199%),0)</f>
        <v>0</v>
      </c>
      <c r="AM199" s="116"/>
      <c r="AN199" s="84">
        <f t="shared" ref="AN199:AN230" si="1094">IFERROR(SUM(E199:AC199)/D199,0)</f>
        <v>0</v>
      </c>
      <c r="AO199" s="138"/>
      <c r="AQ199" s="137"/>
      <c r="AR199" s="137"/>
      <c r="AS199" s="137"/>
      <c r="AT199" s="137"/>
      <c r="AU199" s="137"/>
      <c r="AV199" s="137"/>
      <c r="AY199" s="136">
        <f t="shared" ref="AY199:AY230" si="1095">IFERROR((AQ199*20)/60,0)</f>
        <v>0</v>
      </c>
      <c r="AZ199" s="136">
        <f t="shared" ref="AZ199" si="1096">IFERROR(AX199 + AY199 + BI199,0)</f>
        <v>0</v>
      </c>
      <c r="BA199" s="135">
        <f t="shared" ref="BA199" si="1097">IFERROR(AZ199/8,0)</f>
        <v>0</v>
      </c>
      <c r="BB199" s="135">
        <f t="shared" ref="BB199" si="1098">IFERROR(MAX(AQ199-BA199,0),0)</f>
        <v>0</v>
      </c>
      <c r="BD199" s="117">
        <f t="shared" ref="BD199:BD230" si="1099">IFERROR(10000*D199,0)</f>
        <v>0</v>
      </c>
      <c r="BE199" s="117"/>
      <c r="BF199" s="117"/>
      <c r="BG199" s="117">
        <f t="shared" ref="BG199:BG230" si="1100">IFERROR(-IF(AH199=$L$3,0,IF(AH199=$N$3,15*680*D199,IF(AH199=$P$3,30*680*D199,IF(AH199=0,50*680*D199,0)))),0)</f>
        <v>0</v>
      </c>
      <c r="BH199" s="117"/>
      <c r="BI199" s="117"/>
      <c r="BJ199" s="117"/>
    </row>
    <row r="200" spans="1:62" ht="18" hidden="1" customHeight="1">
      <c r="A200" s="95"/>
      <c r="B200" s="132"/>
      <c r="C200" s="95"/>
      <c r="D200" s="95"/>
      <c r="E200" s="111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112"/>
      <c r="AJ200" s="113"/>
      <c r="AK200" s="113"/>
      <c r="AL200" s="114"/>
      <c r="AM200" s="95"/>
      <c r="BE200" s="117"/>
      <c r="BF200" s="117"/>
      <c r="BG200" s="117"/>
      <c r="BH200" s="117"/>
      <c r="BI200" s="117"/>
      <c r="BJ200" s="117"/>
    </row>
    <row r="201" spans="1:62" ht="18" hidden="1" customHeight="1">
      <c r="A201" s="65">
        <v>97</v>
      </c>
      <c r="B201" s="64"/>
      <c r="C201" s="68"/>
      <c r="D201" s="80"/>
      <c r="E201" s="96">
        <f>IFERROR('Kiểm hóa may'!D201 + 'Bản sau là'!D201,0)</f>
        <v>0</v>
      </c>
      <c r="F201" s="97"/>
      <c r="G201" s="97"/>
      <c r="H201" s="97"/>
      <c r="I201" s="97"/>
      <c r="J201" s="97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  <c r="AA201" s="93"/>
      <c r="AB201" s="93"/>
      <c r="AC201" s="93"/>
      <c r="AD201" s="93">
        <f t="shared" ref="AD201:AD232" si="1101">IFERROR(400*BF201,0)</f>
        <v>0</v>
      </c>
      <c r="AE201" s="93"/>
      <c r="AF201" s="93">
        <f t="shared" ref="AF201:AF232" si="1102">IFERROR(SUM(F201:AC201)*0.2,0)</f>
        <v>0</v>
      </c>
      <c r="AG201" s="93"/>
      <c r="AH201" s="93" t="s">
        <v>179</v>
      </c>
      <c r="AI201" s="98">
        <f t="shared" ref="AI201:AI232" si="1103">IFERROR(130*D201,0)</f>
        <v>0</v>
      </c>
      <c r="AJ201" s="81" cm="1">
        <f t="array" ref="AJ201">IFERROR(SUM(_xlfn._xlws.FILTER(E201:AI201,ISNUMBER(E201:AI201))),0)</f>
        <v>0</v>
      </c>
      <c r="AK201" s="81"/>
      <c r="AL201" s="99">
        <f t="shared" ref="AL201" si="1104">IFERROR(AJ201*(1+AK201%),0)</f>
        <v>0</v>
      </c>
      <c r="AM201" s="116"/>
      <c r="AN201" s="84">
        <f t="shared" ref="AN201:AN232" si="1105">IFERROR(SUM(E201:AC201)/D201,0)</f>
        <v>0</v>
      </c>
      <c r="AO201" s="138"/>
      <c r="AQ201" s="137"/>
      <c r="AR201" s="137"/>
      <c r="AS201" s="137"/>
      <c r="AT201" s="137"/>
      <c r="AU201" s="137"/>
      <c r="AV201" s="137"/>
      <c r="AY201" s="136">
        <f t="shared" ref="AY201:AY232" si="1106">IFERROR((AQ201*20)/60,0)</f>
        <v>0</v>
      </c>
      <c r="AZ201" s="136">
        <f t="shared" ref="AZ201" si="1107">IFERROR(AX201 + AY201 + BI201,0)</f>
        <v>0</v>
      </c>
      <c r="BA201" s="135">
        <f t="shared" ref="BA201" si="1108">IFERROR(AZ201/8,0)</f>
        <v>0</v>
      </c>
      <c r="BB201" s="135">
        <f t="shared" ref="BB201" si="1109">IFERROR(MAX(AQ201-BA201,0),0)</f>
        <v>0</v>
      </c>
      <c r="BD201" s="117">
        <f t="shared" ref="BD201:BD232" si="1110">IFERROR(10000*D201,0)</f>
        <v>0</v>
      </c>
      <c r="BE201" s="117"/>
      <c r="BF201" s="117"/>
      <c r="BG201" s="117">
        <f t="shared" ref="BG201:BG232" si="1111">IFERROR(-IF(AH201=$L$3,0,IF(AH201=$N$3,15*680*D201,IF(AH201=$P$3,30*680*D201,IF(AH201=0,50*680*D201,0)))),0)</f>
        <v>0</v>
      </c>
      <c r="BH201" s="117"/>
      <c r="BI201" s="117"/>
      <c r="BJ201" s="117"/>
    </row>
    <row r="202" spans="1:62" ht="18" hidden="1" customHeight="1">
      <c r="A202" s="57"/>
      <c r="B202" s="132"/>
      <c r="C202" s="95"/>
      <c r="D202" s="95"/>
      <c r="E202" s="111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112"/>
      <c r="AJ202" s="113"/>
      <c r="AK202" s="113"/>
      <c r="AL202" s="114"/>
      <c r="AM202" s="95"/>
      <c r="BE202" s="117"/>
      <c r="BF202" s="117"/>
      <c r="BG202" s="117"/>
      <c r="BH202" s="117"/>
      <c r="BI202" s="117"/>
      <c r="BJ202" s="117"/>
    </row>
    <row r="203" spans="1:62" ht="18" hidden="1" customHeight="1">
      <c r="A203" s="62">
        <v>98</v>
      </c>
      <c r="B203" s="64"/>
      <c r="C203" s="68"/>
      <c r="D203" s="80"/>
      <c r="E203" s="96">
        <f>IFERROR('Kiểm hóa may'!D203 + 'Bản sau là'!D203,0)</f>
        <v>0</v>
      </c>
      <c r="F203" s="97"/>
      <c r="G203" s="97"/>
      <c r="H203" s="97"/>
      <c r="I203" s="97"/>
      <c r="J203" s="97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  <c r="AA203" s="93"/>
      <c r="AB203" s="93"/>
      <c r="AC203" s="93"/>
      <c r="AD203" s="93">
        <f t="shared" ref="AD203:AD234" si="1112">IFERROR(400*BF203,0)</f>
        <v>0</v>
      </c>
      <c r="AE203" s="93"/>
      <c r="AF203" s="93">
        <f t="shared" ref="AF203:AF234" si="1113">IFERROR(SUM(F203:AC203)*0.2,0)</f>
        <v>0</v>
      </c>
      <c r="AG203" s="93"/>
      <c r="AH203" s="93" t="s">
        <v>179</v>
      </c>
      <c r="AI203" s="98">
        <f t="shared" ref="AI203:AI234" si="1114">IFERROR(130*D203,0)</f>
        <v>0</v>
      </c>
      <c r="AJ203" s="81" cm="1">
        <f t="array" ref="AJ203">IFERROR(SUM(_xlfn._xlws.FILTER(E203:AI203,ISNUMBER(E203:AI203))),0)</f>
        <v>0</v>
      </c>
      <c r="AK203" s="81"/>
      <c r="AL203" s="99">
        <f t="shared" ref="AL203" si="1115">IFERROR(AJ203*(1+AK203%),0)</f>
        <v>0</v>
      </c>
      <c r="AM203" s="116"/>
      <c r="AN203" s="84">
        <f t="shared" ref="AN203:AN234" si="1116">IFERROR(SUM(E203:AC203)/D203,0)</f>
        <v>0</v>
      </c>
      <c r="AO203" s="138"/>
      <c r="AQ203" s="137"/>
      <c r="AR203" s="137"/>
      <c r="AS203" s="137"/>
      <c r="AT203" s="137"/>
      <c r="AU203" s="137"/>
      <c r="AV203" s="137"/>
      <c r="AY203" s="136">
        <f t="shared" ref="AY203:AY234" si="1117">IFERROR((AQ203*20)/60,0)</f>
        <v>0</v>
      </c>
      <c r="AZ203" s="136">
        <f t="shared" ref="AZ203" si="1118">IFERROR(AX203 + AY203 + BI203,0)</f>
        <v>0</v>
      </c>
      <c r="BA203" s="135">
        <f t="shared" ref="BA203" si="1119">IFERROR(AZ203/8,0)</f>
        <v>0</v>
      </c>
      <c r="BB203" s="135">
        <f t="shared" ref="BB203" si="1120">IFERROR(MAX(AQ203-BA203,0),0)</f>
        <v>0</v>
      </c>
      <c r="BD203" s="117">
        <f t="shared" ref="BD203:BD234" si="1121">IFERROR(10000*D203,0)</f>
        <v>0</v>
      </c>
      <c r="BE203" s="117"/>
      <c r="BF203" s="117"/>
      <c r="BG203" s="117">
        <f t="shared" ref="BG203:BG234" si="1122">IFERROR(-IF(AH203=$L$3,0,IF(AH203=$N$3,15*680*D203,IF(AH203=$P$3,30*680*D203,IF(AH203=0,50*680*D203,0)))),0)</f>
        <v>0</v>
      </c>
      <c r="BH203" s="117"/>
      <c r="BI203" s="117"/>
      <c r="BJ203" s="117"/>
    </row>
    <row r="204" spans="1:62" ht="18" hidden="1" customHeight="1">
      <c r="A204" s="95"/>
      <c r="B204" s="132"/>
      <c r="C204" s="95"/>
      <c r="D204" s="95"/>
      <c r="E204" s="111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112"/>
      <c r="AJ204" s="113"/>
      <c r="AK204" s="113"/>
      <c r="AL204" s="114"/>
      <c r="AM204" s="95"/>
      <c r="BE204" s="117"/>
      <c r="BF204" s="117"/>
      <c r="BG204" s="117"/>
      <c r="BH204" s="117"/>
      <c r="BI204" s="117"/>
      <c r="BJ204" s="117"/>
    </row>
    <row r="205" spans="1:62" ht="18" hidden="1" customHeight="1">
      <c r="A205" s="65">
        <v>99</v>
      </c>
      <c r="B205" s="64"/>
      <c r="C205" s="68"/>
      <c r="D205" s="80"/>
      <c r="E205" s="96">
        <f>IFERROR('Kiểm hóa may'!D205 + 'Bản sau là'!D205,0)</f>
        <v>0</v>
      </c>
      <c r="F205" s="97"/>
      <c r="G205" s="97"/>
      <c r="H205" s="97"/>
      <c r="I205" s="97"/>
      <c r="J205" s="97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  <c r="AA205" s="93"/>
      <c r="AB205" s="93"/>
      <c r="AC205" s="93"/>
      <c r="AD205" s="93">
        <f t="shared" ref="AD205:AD236" si="1123">IFERROR(400*BF205,0)</f>
        <v>0</v>
      </c>
      <c r="AE205" s="93"/>
      <c r="AF205" s="93">
        <f t="shared" ref="AF205:AF236" si="1124">IFERROR(SUM(F205:AC205)*0.2,0)</f>
        <v>0</v>
      </c>
      <c r="AG205" s="93"/>
      <c r="AH205" s="93" t="s">
        <v>179</v>
      </c>
      <c r="AI205" s="98">
        <f t="shared" ref="AI205:AI236" si="1125">IFERROR(130*D205,0)</f>
        <v>0</v>
      </c>
      <c r="AJ205" s="81" cm="1">
        <f t="array" ref="AJ205">IFERROR(SUM(_xlfn._xlws.FILTER(E205:AI205,ISNUMBER(E205:AI205))),0)</f>
        <v>0</v>
      </c>
      <c r="AK205" s="81"/>
      <c r="AL205" s="99">
        <f t="shared" ref="AL205" si="1126">IFERROR(AJ205*(1+AK205%),0)</f>
        <v>0</v>
      </c>
      <c r="AM205" s="116"/>
      <c r="AN205" s="84">
        <f t="shared" ref="AN205:AN236" si="1127">IFERROR(SUM(E205:AC205)/D205,0)</f>
        <v>0</v>
      </c>
      <c r="AO205" s="138"/>
      <c r="AQ205" s="137"/>
      <c r="AR205" s="137"/>
      <c r="AS205" s="137"/>
      <c r="AT205" s="137"/>
      <c r="AU205" s="137"/>
      <c r="AV205" s="137"/>
      <c r="AY205" s="136">
        <f t="shared" ref="AY205:AY236" si="1128">IFERROR((AQ205*20)/60,0)</f>
        <v>0</v>
      </c>
      <c r="AZ205" s="136">
        <f t="shared" ref="AZ205" si="1129">IFERROR(AX205 + AY205 + BI205,0)</f>
        <v>0</v>
      </c>
      <c r="BA205" s="135">
        <f t="shared" ref="BA205" si="1130">IFERROR(AZ205/8,0)</f>
        <v>0</v>
      </c>
      <c r="BB205" s="135">
        <f t="shared" ref="BB205" si="1131">IFERROR(MAX(AQ205-BA205,0),0)</f>
        <v>0</v>
      </c>
      <c r="BD205" s="117">
        <f t="shared" ref="BD205:BD236" si="1132">IFERROR(10000*D205,0)</f>
        <v>0</v>
      </c>
      <c r="BE205" s="117"/>
      <c r="BF205" s="117"/>
      <c r="BG205" s="117">
        <f t="shared" ref="BG205:BG236" si="1133">IFERROR(-IF(AH205=$L$3,0,IF(AH205=$N$3,15*680*D205,IF(AH205=$P$3,30*680*D205,IF(AH205=0,50*680*D205,0)))),0)</f>
        <v>0</v>
      </c>
      <c r="BH205" s="117"/>
      <c r="BI205" s="117"/>
      <c r="BJ205" s="117"/>
    </row>
    <row r="206" spans="1:62" ht="18" hidden="1" customHeight="1">
      <c r="A206" s="57"/>
      <c r="B206" s="132"/>
      <c r="C206" s="95"/>
      <c r="D206" s="95"/>
      <c r="E206" s="111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112"/>
      <c r="AJ206" s="113"/>
      <c r="AK206" s="113"/>
      <c r="AL206" s="114"/>
      <c r="AM206" s="95"/>
      <c r="BE206" s="117"/>
      <c r="BF206" s="117"/>
      <c r="BG206" s="117"/>
      <c r="BH206" s="117"/>
      <c r="BI206" s="117"/>
      <c r="BJ206" s="117"/>
    </row>
    <row r="207" spans="1:62" ht="18" hidden="1" customHeight="1">
      <c r="A207" s="62">
        <v>100</v>
      </c>
      <c r="B207" s="64"/>
      <c r="C207" s="68"/>
      <c r="D207" s="80"/>
      <c r="E207" s="96">
        <f>IFERROR('Kiểm hóa may'!D207 + 'Bản sau là'!D207,0)</f>
        <v>0</v>
      </c>
      <c r="F207" s="97"/>
      <c r="G207" s="97"/>
      <c r="H207" s="97"/>
      <c r="I207" s="97"/>
      <c r="J207" s="97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  <c r="AA207" s="93"/>
      <c r="AB207" s="93"/>
      <c r="AC207" s="93"/>
      <c r="AD207" s="93">
        <f t="shared" ref="AD207:AD238" si="1134">IFERROR(400*BF207,0)</f>
        <v>0</v>
      </c>
      <c r="AE207" s="93"/>
      <c r="AF207" s="93">
        <f t="shared" ref="AF207:AF238" si="1135">IFERROR(SUM(F207:AC207)*0.2,0)</f>
        <v>0</v>
      </c>
      <c r="AG207" s="93"/>
      <c r="AH207" s="93" t="s">
        <v>179</v>
      </c>
      <c r="AI207" s="98">
        <f t="shared" ref="AI207:AI238" si="1136">IFERROR(130*D207,0)</f>
        <v>0</v>
      </c>
      <c r="AJ207" s="81" cm="1">
        <f t="array" ref="AJ207">IFERROR(SUM(_xlfn._xlws.FILTER(E207:AI207,ISNUMBER(E207:AI207))),0)</f>
        <v>0</v>
      </c>
      <c r="AK207" s="81"/>
      <c r="AL207" s="99">
        <f t="shared" ref="AL207" si="1137">IFERROR(AJ207*(1+AK207%),0)</f>
        <v>0</v>
      </c>
      <c r="AM207" s="116"/>
      <c r="AN207" s="84">
        <f t="shared" ref="AN207:AN238" si="1138">IFERROR(SUM(E207:AC207)/D207,0)</f>
        <v>0</v>
      </c>
      <c r="AO207" s="138"/>
      <c r="AQ207" s="137"/>
      <c r="AR207" s="137"/>
      <c r="AS207" s="137"/>
      <c r="AT207" s="137"/>
      <c r="AU207" s="137"/>
      <c r="AV207" s="137"/>
      <c r="AY207" s="136">
        <f t="shared" ref="AY207:AY238" si="1139">IFERROR((AQ207*20)/60,0)</f>
        <v>0</v>
      </c>
      <c r="AZ207" s="136">
        <f t="shared" ref="AZ207" si="1140">IFERROR(AX207 + AY207 + BI207,0)</f>
        <v>0</v>
      </c>
      <c r="BA207" s="135">
        <f t="shared" ref="BA207" si="1141">IFERROR(AZ207/8,0)</f>
        <v>0</v>
      </c>
      <c r="BB207" s="135">
        <f t="shared" ref="BB207" si="1142">IFERROR(MAX(AQ207-BA207,0),0)</f>
        <v>0</v>
      </c>
      <c r="BD207" s="117">
        <f t="shared" ref="BD207:BD238" si="1143">IFERROR(10000*D207,0)</f>
        <v>0</v>
      </c>
      <c r="BE207" s="117"/>
      <c r="BF207" s="117"/>
      <c r="BG207" s="117">
        <f t="shared" ref="BG207:BG238" si="1144">IFERROR(-IF(AH207=$L$3,0,IF(AH207=$N$3,15*680*D207,IF(AH207=$P$3,30*680*D207,IF(AH207=0,50*680*D207,0)))),0)</f>
        <v>0</v>
      </c>
      <c r="BH207" s="117"/>
      <c r="BI207" s="117"/>
      <c r="BJ207" s="117"/>
    </row>
    <row r="208" spans="1:62" ht="18" hidden="1" customHeight="1">
      <c r="A208" s="95"/>
      <c r="B208" s="132"/>
      <c r="C208" s="95"/>
      <c r="D208" s="95"/>
      <c r="E208" s="111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112"/>
      <c r="AJ208" s="113"/>
      <c r="AK208" s="113"/>
      <c r="AL208" s="114"/>
      <c r="AM208" s="95"/>
      <c r="BE208" s="117"/>
      <c r="BF208" s="117"/>
      <c r="BG208" s="117"/>
      <c r="BH208" s="117"/>
      <c r="BI208" s="117"/>
      <c r="BJ208" s="117"/>
    </row>
    <row r="209" spans="1:62" ht="18" hidden="1" customHeight="1">
      <c r="A209" s="65">
        <v>101</v>
      </c>
      <c r="B209" s="64"/>
      <c r="C209" s="68"/>
      <c r="D209" s="80"/>
      <c r="E209" s="96">
        <f>IFERROR('Kiểm hóa may'!D209 + 'Bản sau là'!D209,0)</f>
        <v>0</v>
      </c>
      <c r="F209" s="97"/>
      <c r="G209" s="97"/>
      <c r="H209" s="97"/>
      <c r="I209" s="97"/>
      <c r="J209" s="97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  <c r="AA209" s="93"/>
      <c r="AB209" s="93"/>
      <c r="AC209" s="93"/>
      <c r="AD209" s="93">
        <f t="shared" ref="AD209:AD240" si="1145">IFERROR(400*BF209,0)</f>
        <v>0</v>
      </c>
      <c r="AE209" s="93"/>
      <c r="AF209" s="93">
        <f t="shared" ref="AF209:AF240" si="1146">IFERROR(SUM(F209:AC209)*0.2,0)</f>
        <v>0</v>
      </c>
      <c r="AG209" s="93"/>
      <c r="AH209" s="93" t="s">
        <v>179</v>
      </c>
      <c r="AI209" s="98">
        <f t="shared" ref="AI209:AI240" si="1147">IFERROR(130*D209,0)</f>
        <v>0</v>
      </c>
      <c r="AJ209" s="81" cm="1">
        <f t="array" ref="AJ209">IFERROR(SUM(_xlfn._xlws.FILTER(E209:AI209,ISNUMBER(E209:AI209))),0)</f>
        <v>0</v>
      </c>
      <c r="AK209" s="81"/>
      <c r="AL209" s="99">
        <f t="shared" ref="AL209" si="1148">IFERROR(AJ209*(1+AK209%),0)</f>
        <v>0</v>
      </c>
      <c r="AM209" s="116"/>
      <c r="AN209" s="84">
        <f t="shared" ref="AN209:AN240" si="1149">IFERROR(SUM(E209:AC209)/D209,0)</f>
        <v>0</v>
      </c>
      <c r="AO209" s="138"/>
      <c r="AQ209" s="137"/>
      <c r="AR209" s="137"/>
      <c r="AS209" s="137"/>
      <c r="AT209" s="137"/>
      <c r="AU209" s="137"/>
      <c r="AV209" s="137"/>
      <c r="AY209" s="136">
        <f t="shared" ref="AY209:AY240" si="1150">IFERROR((AQ209*20)/60,0)</f>
        <v>0</v>
      </c>
      <c r="AZ209" s="136">
        <f t="shared" ref="AZ209" si="1151">IFERROR(AX209 + AY209 + BI209,0)</f>
        <v>0</v>
      </c>
      <c r="BA209" s="135">
        <f t="shared" ref="BA209" si="1152">IFERROR(AZ209/8,0)</f>
        <v>0</v>
      </c>
      <c r="BB209" s="135">
        <f t="shared" ref="BB209" si="1153">IFERROR(MAX(AQ209-BA209,0),0)</f>
        <v>0</v>
      </c>
      <c r="BD209" s="117">
        <f t="shared" ref="BD209:BD240" si="1154">IFERROR(10000*D209,0)</f>
        <v>0</v>
      </c>
      <c r="BE209" s="117"/>
      <c r="BF209" s="117"/>
      <c r="BG209" s="117">
        <f t="shared" ref="BG209:BG240" si="1155">IFERROR(-IF(AH209=$L$3,0,IF(AH209=$N$3,15*680*D209,IF(AH209=$P$3,30*680*D209,IF(AH209=0,50*680*D209,0)))),0)</f>
        <v>0</v>
      </c>
      <c r="BH209" s="117"/>
      <c r="BI209" s="117"/>
      <c r="BJ209" s="117"/>
    </row>
    <row r="210" spans="1:62" ht="18" hidden="1" customHeight="1">
      <c r="A210" s="57"/>
      <c r="B210" s="132"/>
      <c r="C210" s="95"/>
      <c r="D210" s="95"/>
      <c r="E210" s="111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112"/>
      <c r="AJ210" s="113"/>
      <c r="AK210" s="113"/>
      <c r="AL210" s="114"/>
      <c r="AM210" s="95"/>
      <c r="BE210" s="117"/>
      <c r="BF210" s="117"/>
      <c r="BG210" s="117"/>
      <c r="BH210" s="117"/>
      <c r="BI210" s="117"/>
      <c r="BJ210" s="117"/>
    </row>
    <row r="211" spans="1:62" ht="18" hidden="1" customHeight="1">
      <c r="A211" s="62">
        <v>102</v>
      </c>
      <c r="B211" s="64"/>
      <c r="C211" s="68"/>
      <c r="D211" s="80"/>
      <c r="E211" s="96">
        <f>IFERROR('Kiểm hóa may'!D211 + 'Bản sau là'!D211,0)</f>
        <v>0</v>
      </c>
      <c r="F211" s="97"/>
      <c r="G211" s="97"/>
      <c r="H211" s="97"/>
      <c r="I211" s="97"/>
      <c r="J211" s="97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  <c r="AA211" s="93"/>
      <c r="AB211" s="93"/>
      <c r="AC211" s="93"/>
      <c r="AD211" s="93">
        <f t="shared" ref="AD211:AD242" si="1156">IFERROR(400*BF211,0)</f>
        <v>0</v>
      </c>
      <c r="AE211" s="93"/>
      <c r="AF211" s="93">
        <f t="shared" ref="AF211:AF242" si="1157">IFERROR(SUM(F211:AC211)*0.2,0)</f>
        <v>0</v>
      </c>
      <c r="AG211" s="93"/>
      <c r="AH211" s="93" t="s">
        <v>179</v>
      </c>
      <c r="AI211" s="98">
        <f t="shared" ref="AI211:AI242" si="1158">IFERROR(130*D211,0)</f>
        <v>0</v>
      </c>
      <c r="AJ211" s="81" cm="1">
        <f t="array" ref="AJ211">IFERROR(SUM(_xlfn._xlws.FILTER(E211:AI211,ISNUMBER(E211:AI211))),0)</f>
        <v>0</v>
      </c>
      <c r="AK211" s="81"/>
      <c r="AL211" s="99">
        <f t="shared" ref="AL211" si="1159">IFERROR(AJ211*(1+AK211%),0)</f>
        <v>0</v>
      </c>
      <c r="AM211" s="116"/>
      <c r="AN211" s="84">
        <f t="shared" ref="AN211:AN242" si="1160">IFERROR(SUM(E211:AC211)/D211,0)</f>
        <v>0</v>
      </c>
      <c r="AO211" s="138"/>
      <c r="AQ211" s="137"/>
      <c r="AR211" s="137"/>
      <c r="AS211" s="137"/>
      <c r="AT211" s="137"/>
      <c r="AU211" s="137"/>
      <c r="AV211" s="137"/>
      <c r="AY211" s="136">
        <f t="shared" ref="AY211:AY242" si="1161">IFERROR((AQ211*20)/60,0)</f>
        <v>0</v>
      </c>
      <c r="AZ211" s="136">
        <f t="shared" ref="AZ211" si="1162">IFERROR(AX211 + AY211 + BI211,0)</f>
        <v>0</v>
      </c>
      <c r="BA211" s="135">
        <f t="shared" ref="BA211" si="1163">IFERROR(AZ211/8,0)</f>
        <v>0</v>
      </c>
      <c r="BB211" s="135">
        <f t="shared" ref="BB211" si="1164">IFERROR(MAX(AQ211-BA211,0),0)</f>
        <v>0</v>
      </c>
      <c r="BD211" s="117">
        <f t="shared" ref="BD211:BD242" si="1165">IFERROR(10000*D211,0)</f>
        <v>0</v>
      </c>
      <c r="BE211" s="117"/>
      <c r="BF211" s="117"/>
      <c r="BG211" s="117">
        <f t="shared" ref="BG211:BG242" si="1166">IFERROR(-IF(AH211=$L$3,0,IF(AH211=$N$3,15*680*D211,IF(AH211=$P$3,30*680*D211,IF(AH211=0,50*680*D211,0)))),0)</f>
        <v>0</v>
      </c>
      <c r="BH211" s="117"/>
      <c r="BI211" s="117"/>
      <c r="BJ211" s="117"/>
    </row>
    <row r="212" spans="1:62" ht="18" hidden="1" customHeight="1">
      <c r="A212" s="95"/>
      <c r="B212" s="132"/>
      <c r="C212" s="95"/>
      <c r="D212" s="95"/>
      <c r="E212" s="111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112"/>
      <c r="AJ212" s="113"/>
      <c r="AK212" s="113"/>
      <c r="AL212" s="114"/>
      <c r="AM212" s="95"/>
      <c r="BE212" s="117"/>
      <c r="BF212" s="117"/>
      <c r="BG212" s="117"/>
      <c r="BH212" s="117"/>
      <c r="BI212" s="117"/>
      <c r="BJ212" s="117"/>
    </row>
    <row r="213" spans="1:62" ht="18" hidden="1" customHeight="1">
      <c r="A213" s="65">
        <v>103</v>
      </c>
      <c r="B213" s="64"/>
      <c r="C213" s="68"/>
      <c r="D213" s="80"/>
      <c r="E213" s="96">
        <f>IFERROR('Kiểm hóa may'!D213 + 'Bản sau là'!D213,0)</f>
        <v>0</v>
      </c>
      <c r="F213" s="97"/>
      <c r="G213" s="97"/>
      <c r="H213" s="97"/>
      <c r="I213" s="97"/>
      <c r="J213" s="97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  <c r="AA213" s="93"/>
      <c r="AB213" s="93"/>
      <c r="AC213" s="93"/>
      <c r="AD213" s="93">
        <f t="shared" ref="AD213:AD244" si="1167">IFERROR(400*BF213,0)</f>
        <v>0</v>
      </c>
      <c r="AE213" s="93"/>
      <c r="AF213" s="93">
        <f t="shared" ref="AF213:AF244" si="1168">IFERROR(SUM(F213:AC213)*0.2,0)</f>
        <v>0</v>
      </c>
      <c r="AG213" s="93"/>
      <c r="AH213" s="93" t="s">
        <v>179</v>
      </c>
      <c r="AI213" s="98">
        <f t="shared" ref="AI213:AI244" si="1169">IFERROR(130*D213,0)</f>
        <v>0</v>
      </c>
      <c r="AJ213" s="81" cm="1">
        <f t="array" ref="AJ213">IFERROR(SUM(_xlfn._xlws.FILTER(E213:AI213,ISNUMBER(E213:AI213))),0)</f>
        <v>0</v>
      </c>
      <c r="AK213" s="81"/>
      <c r="AL213" s="99">
        <f t="shared" ref="AL213" si="1170">IFERROR(AJ213*(1+AK213%),0)</f>
        <v>0</v>
      </c>
      <c r="AM213" s="116"/>
      <c r="AN213" s="84">
        <f t="shared" ref="AN213:AN244" si="1171">IFERROR(SUM(E213:AC213)/D213,0)</f>
        <v>0</v>
      </c>
      <c r="AO213" s="138"/>
      <c r="AQ213" s="137"/>
      <c r="AR213" s="137"/>
      <c r="AS213" s="137"/>
      <c r="AT213" s="137"/>
      <c r="AU213" s="137"/>
      <c r="AV213" s="137"/>
      <c r="AY213" s="136">
        <f t="shared" ref="AY213:AY244" si="1172">IFERROR((AQ213*20)/60,0)</f>
        <v>0</v>
      </c>
      <c r="AZ213" s="136">
        <f t="shared" ref="AZ213" si="1173">IFERROR(AX213 + AY213 + BI213,0)</f>
        <v>0</v>
      </c>
      <c r="BA213" s="135">
        <f t="shared" ref="BA213" si="1174">IFERROR(AZ213/8,0)</f>
        <v>0</v>
      </c>
      <c r="BB213" s="135">
        <f t="shared" ref="BB213" si="1175">IFERROR(MAX(AQ213-BA213,0),0)</f>
        <v>0</v>
      </c>
      <c r="BD213" s="117">
        <f t="shared" ref="BD213:BD244" si="1176">IFERROR(10000*D213,0)</f>
        <v>0</v>
      </c>
      <c r="BE213" s="117"/>
      <c r="BF213" s="117"/>
      <c r="BG213" s="117">
        <f t="shared" ref="BG213:BG244" si="1177">IFERROR(-IF(AH213=$L$3,0,IF(AH213=$N$3,15*680*D213,IF(AH213=$P$3,30*680*D213,IF(AH213=0,50*680*D213,0)))),0)</f>
        <v>0</v>
      </c>
      <c r="BH213" s="117"/>
      <c r="BI213" s="117"/>
      <c r="BJ213" s="117"/>
    </row>
    <row r="214" spans="1:62" ht="18" hidden="1" customHeight="1">
      <c r="A214" s="57"/>
      <c r="B214" s="132"/>
      <c r="C214" s="95"/>
      <c r="D214" s="95"/>
      <c r="E214" s="111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112"/>
      <c r="AJ214" s="113"/>
      <c r="AK214" s="113"/>
      <c r="AL214" s="114"/>
      <c r="AM214" s="95"/>
      <c r="BE214" s="117"/>
      <c r="BF214" s="117"/>
      <c r="BG214" s="117"/>
      <c r="BH214" s="117"/>
      <c r="BI214" s="117"/>
      <c r="BJ214" s="117"/>
    </row>
    <row r="215" spans="1:62" ht="18" hidden="1" customHeight="1">
      <c r="A215" s="62">
        <v>104</v>
      </c>
      <c r="B215" s="64"/>
      <c r="C215" s="68"/>
      <c r="D215" s="80"/>
      <c r="E215" s="96">
        <f>IFERROR('Kiểm hóa may'!D215 + 'Bản sau là'!D215,0)</f>
        <v>0</v>
      </c>
      <c r="F215" s="97"/>
      <c r="G215" s="97"/>
      <c r="H215" s="97"/>
      <c r="I215" s="97"/>
      <c r="J215" s="97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  <c r="AA215" s="93"/>
      <c r="AB215" s="93"/>
      <c r="AC215" s="93"/>
      <c r="AD215" s="93">
        <f t="shared" ref="AD215:AD246" si="1178">IFERROR(400*BF215,0)</f>
        <v>0</v>
      </c>
      <c r="AE215" s="93"/>
      <c r="AF215" s="93">
        <f t="shared" ref="AF215:AF246" si="1179">IFERROR(SUM(F215:AC215)*0.2,0)</f>
        <v>0</v>
      </c>
      <c r="AG215" s="93"/>
      <c r="AH215" s="93" t="s">
        <v>179</v>
      </c>
      <c r="AI215" s="98">
        <f t="shared" ref="AI215:AI246" si="1180">IFERROR(130*D215,0)</f>
        <v>0</v>
      </c>
      <c r="AJ215" s="81" cm="1">
        <f t="array" ref="AJ215">IFERROR(SUM(_xlfn._xlws.FILTER(E215:AI215,ISNUMBER(E215:AI215))),0)</f>
        <v>0</v>
      </c>
      <c r="AK215" s="81"/>
      <c r="AL215" s="99">
        <f t="shared" ref="AL215" si="1181">IFERROR(AJ215*(1+AK215%),0)</f>
        <v>0</v>
      </c>
      <c r="AM215" s="116"/>
      <c r="AN215" s="84">
        <f t="shared" ref="AN215:AN246" si="1182">IFERROR(SUM(E215:AC215)/D215,0)</f>
        <v>0</v>
      </c>
      <c r="AO215" s="138"/>
      <c r="AQ215" s="137"/>
      <c r="AR215" s="137"/>
      <c r="AS215" s="137"/>
      <c r="AT215" s="137"/>
      <c r="AU215" s="137"/>
      <c r="AV215" s="137"/>
      <c r="AY215" s="136">
        <f t="shared" ref="AY215:AY246" si="1183">IFERROR((AQ215*20)/60,0)</f>
        <v>0</v>
      </c>
      <c r="AZ215" s="136">
        <f t="shared" ref="AZ215" si="1184">IFERROR(AX215 + AY215 + BI215,0)</f>
        <v>0</v>
      </c>
      <c r="BA215" s="135">
        <f t="shared" ref="BA215" si="1185">IFERROR(AZ215/8,0)</f>
        <v>0</v>
      </c>
      <c r="BB215" s="135">
        <f t="shared" ref="BB215" si="1186">IFERROR(MAX(AQ215-BA215,0),0)</f>
        <v>0</v>
      </c>
      <c r="BD215" s="117">
        <f t="shared" ref="BD215:BD246" si="1187">IFERROR(10000*D215,0)</f>
        <v>0</v>
      </c>
      <c r="BE215" s="117"/>
      <c r="BF215" s="117"/>
      <c r="BG215" s="117">
        <f t="shared" ref="BG215:BG246" si="1188">IFERROR(-IF(AH215=$L$3,0,IF(AH215=$N$3,15*680*D215,IF(AH215=$P$3,30*680*D215,IF(AH215=0,50*680*D215,0)))),0)</f>
        <v>0</v>
      </c>
      <c r="BH215" s="117"/>
      <c r="BI215" s="117"/>
      <c r="BJ215" s="117"/>
    </row>
    <row r="216" spans="1:62" ht="18" hidden="1" customHeight="1">
      <c r="A216" s="95"/>
      <c r="B216" s="132"/>
      <c r="C216" s="95"/>
      <c r="D216" s="95"/>
      <c r="E216" s="111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112"/>
      <c r="AJ216" s="113"/>
      <c r="AK216" s="113"/>
      <c r="AL216" s="114"/>
      <c r="AM216" s="95"/>
      <c r="BE216" s="117"/>
      <c r="BF216" s="117"/>
      <c r="BG216" s="117"/>
      <c r="BH216" s="117"/>
      <c r="BI216" s="117"/>
      <c r="BJ216" s="117"/>
    </row>
    <row r="217" spans="1:62" ht="18" hidden="1" customHeight="1">
      <c r="A217" s="65">
        <v>105</v>
      </c>
      <c r="B217" s="64"/>
      <c r="C217" s="68"/>
      <c r="D217" s="80"/>
      <c r="E217" s="96">
        <f>IFERROR('Kiểm hóa may'!D217 + 'Bản sau là'!D217,0)</f>
        <v>0</v>
      </c>
      <c r="F217" s="97"/>
      <c r="G217" s="97"/>
      <c r="H217" s="97"/>
      <c r="I217" s="97"/>
      <c r="J217" s="97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  <c r="AA217" s="93"/>
      <c r="AB217" s="93"/>
      <c r="AC217" s="93"/>
      <c r="AD217" s="93">
        <f t="shared" ref="AD217:AD248" si="1189">IFERROR(400*BF217,0)</f>
        <v>0</v>
      </c>
      <c r="AE217" s="93"/>
      <c r="AF217" s="93">
        <f t="shared" ref="AF217:AF248" si="1190">IFERROR(SUM(F217:AC217)*0.2,0)</f>
        <v>0</v>
      </c>
      <c r="AG217" s="93"/>
      <c r="AH217" s="93" t="s">
        <v>179</v>
      </c>
      <c r="AI217" s="98">
        <f t="shared" ref="AI217:AI248" si="1191">IFERROR(130*D217,0)</f>
        <v>0</v>
      </c>
      <c r="AJ217" s="81" cm="1">
        <f t="array" ref="AJ217">IFERROR(SUM(_xlfn._xlws.FILTER(E217:AI217,ISNUMBER(E217:AI217))),0)</f>
        <v>0</v>
      </c>
      <c r="AK217" s="81"/>
      <c r="AL217" s="99">
        <f t="shared" ref="AL217" si="1192">IFERROR(AJ217*(1+AK217%),0)</f>
        <v>0</v>
      </c>
      <c r="AM217" s="116"/>
      <c r="AN217" s="84">
        <f t="shared" ref="AN217:AN248" si="1193">IFERROR(SUM(E217:AC217)/D217,0)</f>
        <v>0</v>
      </c>
      <c r="AO217" s="138"/>
      <c r="AQ217" s="137"/>
      <c r="AR217" s="137"/>
      <c r="AS217" s="137"/>
      <c r="AT217" s="137"/>
      <c r="AU217" s="137"/>
      <c r="AV217" s="137"/>
      <c r="AY217" s="136">
        <f t="shared" ref="AY217:AY248" si="1194">IFERROR((AQ217*20)/60,0)</f>
        <v>0</v>
      </c>
      <c r="AZ217" s="136">
        <f t="shared" ref="AZ217" si="1195">IFERROR(AX217 + AY217 + BI217,0)</f>
        <v>0</v>
      </c>
      <c r="BA217" s="135">
        <f t="shared" ref="BA217" si="1196">IFERROR(AZ217/8,0)</f>
        <v>0</v>
      </c>
      <c r="BB217" s="135">
        <f t="shared" ref="BB217" si="1197">IFERROR(MAX(AQ217-BA217,0),0)</f>
        <v>0</v>
      </c>
      <c r="BD217" s="117">
        <f t="shared" ref="BD217:BD248" si="1198">IFERROR(10000*D217,0)</f>
        <v>0</v>
      </c>
      <c r="BE217" s="117"/>
      <c r="BF217" s="117"/>
      <c r="BG217" s="117">
        <f t="shared" ref="BG217:BG248" si="1199">IFERROR(-IF(AH217=$L$3,0,IF(AH217=$N$3,15*680*D217,IF(AH217=$P$3,30*680*D217,IF(AH217=0,50*680*D217,0)))),0)</f>
        <v>0</v>
      </c>
      <c r="BH217" s="117"/>
      <c r="BI217" s="117"/>
      <c r="BJ217" s="117"/>
    </row>
    <row r="218" spans="1:62" ht="18" hidden="1" customHeight="1">
      <c r="A218" s="57"/>
      <c r="B218" s="132"/>
      <c r="C218" s="95"/>
      <c r="D218" s="95"/>
      <c r="E218" s="111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112"/>
      <c r="AJ218" s="113"/>
      <c r="AK218" s="113"/>
      <c r="AL218" s="114"/>
      <c r="AM218" s="95"/>
      <c r="BE218" s="117"/>
      <c r="BF218" s="117"/>
      <c r="BG218" s="117"/>
      <c r="BH218" s="117"/>
      <c r="BI218" s="117"/>
      <c r="BJ218" s="117"/>
    </row>
    <row r="219" spans="1:62" ht="18" hidden="1" customHeight="1">
      <c r="A219" s="62">
        <v>106</v>
      </c>
      <c r="B219" s="64"/>
      <c r="C219" s="68"/>
      <c r="D219" s="80"/>
      <c r="E219" s="96">
        <f>IFERROR('Kiểm hóa may'!D219 + 'Bản sau là'!D219,0)</f>
        <v>0</v>
      </c>
      <c r="F219" s="97"/>
      <c r="G219" s="97"/>
      <c r="H219" s="97"/>
      <c r="I219" s="97"/>
      <c r="J219" s="97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  <c r="AA219" s="93"/>
      <c r="AB219" s="93"/>
      <c r="AC219" s="93"/>
      <c r="AD219" s="93">
        <f t="shared" ref="AD219:AD250" si="1200">IFERROR(400*BF219,0)</f>
        <v>0</v>
      </c>
      <c r="AE219" s="93"/>
      <c r="AF219" s="93">
        <f t="shared" ref="AF219:AF250" si="1201">IFERROR(SUM(F219:AC219)*0.2,0)</f>
        <v>0</v>
      </c>
      <c r="AG219" s="93"/>
      <c r="AH219" s="93" t="s">
        <v>179</v>
      </c>
      <c r="AI219" s="98">
        <f t="shared" ref="AI219:AI250" si="1202">IFERROR(130*D219,0)</f>
        <v>0</v>
      </c>
      <c r="AJ219" s="81" cm="1">
        <f t="array" ref="AJ219">IFERROR(SUM(_xlfn._xlws.FILTER(E219:AI219,ISNUMBER(E219:AI219))),0)</f>
        <v>0</v>
      </c>
      <c r="AK219" s="81"/>
      <c r="AL219" s="99">
        <f t="shared" ref="AL219" si="1203">IFERROR(AJ219*(1+AK219%),0)</f>
        <v>0</v>
      </c>
      <c r="AM219" s="116"/>
      <c r="AN219" s="84">
        <f t="shared" ref="AN219:AN250" si="1204">IFERROR(SUM(E219:AC219)/D219,0)</f>
        <v>0</v>
      </c>
      <c r="AO219" s="138"/>
      <c r="AQ219" s="137"/>
      <c r="AR219" s="137"/>
      <c r="AS219" s="137"/>
      <c r="AT219" s="137"/>
      <c r="AU219" s="137"/>
      <c r="AV219" s="137"/>
      <c r="AY219" s="136">
        <f t="shared" ref="AY219:AY250" si="1205">IFERROR((AQ219*20)/60,0)</f>
        <v>0</v>
      </c>
      <c r="AZ219" s="136">
        <f t="shared" ref="AZ219" si="1206">IFERROR(AX219 + AY219 + BI219,0)</f>
        <v>0</v>
      </c>
      <c r="BA219" s="135">
        <f t="shared" ref="BA219" si="1207">IFERROR(AZ219/8,0)</f>
        <v>0</v>
      </c>
      <c r="BB219" s="135">
        <f t="shared" ref="BB219" si="1208">IFERROR(MAX(AQ219-BA219,0),0)</f>
        <v>0</v>
      </c>
      <c r="BD219" s="117">
        <f t="shared" ref="BD219:BD250" si="1209">IFERROR(10000*D219,0)</f>
        <v>0</v>
      </c>
      <c r="BE219" s="117"/>
      <c r="BF219" s="117"/>
      <c r="BG219" s="117">
        <f t="shared" ref="BG219:BG250" si="1210">IFERROR(-IF(AH219=$L$3,0,IF(AH219=$N$3,15*680*D219,IF(AH219=$P$3,30*680*D219,IF(AH219=0,50*680*D219,0)))),0)</f>
        <v>0</v>
      </c>
      <c r="BH219" s="117"/>
      <c r="BI219" s="117"/>
      <c r="BJ219" s="117"/>
    </row>
    <row r="220" spans="1:62" ht="18" hidden="1" customHeight="1">
      <c r="A220" s="95"/>
      <c r="B220" s="132"/>
      <c r="C220" s="95"/>
      <c r="D220" s="95"/>
      <c r="E220" s="111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112"/>
      <c r="AJ220" s="113"/>
      <c r="AK220" s="113"/>
      <c r="AL220" s="114"/>
      <c r="AM220" s="95"/>
      <c r="BE220" s="117"/>
      <c r="BF220" s="117"/>
      <c r="BG220" s="117"/>
      <c r="BH220" s="117"/>
      <c r="BI220" s="117"/>
      <c r="BJ220" s="117"/>
    </row>
    <row r="221" spans="1:62" ht="18" hidden="1" customHeight="1">
      <c r="A221" s="65">
        <v>107</v>
      </c>
      <c r="B221" s="64"/>
      <c r="C221" s="68"/>
      <c r="D221" s="80"/>
      <c r="E221" s="96">
        <f>IFERROR('Kiểm hóa may'!D221 + 'Bản sau là'!D221,0)</f>
        <v>0</v>
      </c>
      <c r="F221" s="97"/>
      <c r="G221" s="97"/>
      <c r="H221" s="97"/>
      <c r="I221" s="97"/>
      <c r="J221" s="97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  <c r="AA221" s="93"/>
      <c r="AB221" s="93"/>
      <c r="AC221" s="93"/>
      <c r="AD221" s="93">
        <f t="shared" ref="AD221:AD268" si="1211">IFERROR(400*BF221,0)</f>
        <v>0</v>
      </c>
      <c r="AE221" s="93"/>
      <c r="AF221" s="93">
        <f t="shared" ref="AF221:AF268" si="1212">IFERROR(SUM(F221:AC221)*0.2,0)</f>
        <v>0</v>
      </c>
      <c r="AG221" s="93"/>
      <c r="AH221" s="93" t="s">
        <v>179</v>
      </c>
      <c r="AI221" s="98">
        <f t="shared" ref="AI221:AI268" si="1213">IFERROR(130*D221,0)</f>
        <v>0</v>
      </c>
      <c r="AJ221" s="81" cm="1">
        <f t="array" ref="AJ221">IFERROR(SUM(_xlfn._xlws.FILTER(E221:AI221,ISNUMBER(E221:AI221))),0)</f>
        <v>0</v>
      </c>
      <c r="AK221" s="81"/>
      <c r="AL221" s="99">
        <f t="shared" ref="AL221" si="1214">IFERROR(AJ221*(1+AK221%),0)</f>
        <v>0</v>
      </c>
      <c r="AM221" s="116"/>
      <c r="AN221" s="84">
        <f t="shared" ref="AN221:AN268" si="1215">IFERROR(SUM(E221:AC221)/D221,0)</f>
        <v>0</v>
      </c>
      <c r="AO221" s="138"/>
      <c r="AQ221" s="137"/>
      <c r="AR221" s="137"/>
      <c r="AS221" s="137"/>
      <c r="AT221" s="137"/>
      <c r="AU221" s="137"/>
      <c r="AV221" s="137"/>
      <c r="AY221" s="136">
        <f t="shared" ref="AY221:AY268" si="1216">IFERROR((AQ221*20)/60,0)</f>
        <v>0</v>
      </c>
      <c r="AZ221" s="136">
        <f t="shared" ref="AZ221" si="1217">IFERROR(AX221 + AY221 + BI221,0)</f>
        <v>0</v>
      </c>
      <c r="BA221" s="135">
        <f t="shared" ref="BA221" si="1218">IFERROR(AZ221/8,0)</f>
        <v>0</v>
      </c>
      <c r="BB221" s="135">
        <f t="shared" ref="BB221" si="1219">IFERROR(MAX(AQ221-BA221,0),0)</f>
        <v>0</v>
      </c>
      <c r="BD221" s="117">
        <f t="shared" ref="BD221:BD268" si="1220">IFERROR(10000*D221,0)</f>
        <v>0</v>
      </c>
      <c r="BE221" s="117"/>
      <c r="BF221" s="117"/>
      <c r="BG221" s="117">
        <f t="shared" ref="BG221:BG268" si="1221">IFERROR(-IF(AH221=$L$3,0,IF(AH221=$N$3,15*680*D221,IF(AH221=$P$3,30*680*D221,IF(AH221=0,50*680*D221,0)))),0)</f>
        <v>0</v>
      </c>
      <c r="BH221" s="117"/>
      <c r="BI221" s="117"/>
      <c r="BJ221" s="117"/>
    </row>
    <row r="222" spans="1:62" ht="18" hidden="1" customHeight="1">
      <c r="A222" s="57"/>
      <c r="B222" s="132"/>
      <c r="C222" s="95"/>
      <c r="D222" s="95"/>
      <c r="E222" s="111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112"/>
      <c r="AJ222" s="113"/>
      <c r="AK222" s="113"/>
      <c r="AL222" s="114"/>
      <c r="AM222" s="95"/>
      <c r="BE222" s="117"/>
      <c r="BF222" s="117"/>
      <c r="BG222" s="117"/>
      <c r="BH222" s="117"/>
      <c r="BI222" s="117"/>
      <c r="BJ222" s="117"/>
    </row>
    <row r="223" spans="1:62" ht="18" hidden="1" customHeight="1">
      <c r="A223" s="62">
        <v>108</v>
      </c>
      <c r="B223" s="64"/>
      <c r="C223" s="68"/>
      <c r="D223" s="80"/>
      <c r="E223" s="96">
        <f>IFERROR('Kiểm hóa may'!D223 + 'Bản sau là'!D223,0)</f>
        <v>0</v>
      </c>
      <c r="F223" s="97"/>
      <c r="G223" s="97"/>
      <c r="H223" s="97"/>
      <c r="I223" s="97"/>
      <c r="J223" s="97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  <c r="AA223" s="93"/>
      <c r="AB223" s="93"/>
      <c r="AC223" s="93"/>
      <c r="AD223" s="93">
        <f t="shared" ref="AD223:AD268" si="1222">IFERROR(400*BF223,0)</f>
        <v>0</v>
      </c>
      <c r="AE223" s="93"/>
      <c r="AF223" s="93">
        <f t="shared" ref="AF223:AF268" si="1223">IFERROR(SUM(F223:AC223)*0.2,0)</f>
        <v>0</v>
      </c>
      <c r="AG223" s="93"/>
      <c r="AH223" s="93" t="s">
        <v>179</v>
      </c>
      <c r="AI223" s="98">
        <f t="shared" ref="AI223:AI268" si="1224">IFERROR(130*D223,0)</f>
        <v>0</v>
      </c>
      <c r="AJ223" s="81" cm="1">
        <f t="array" ref="AJ223">IFERROR(SUM(_xlfn._xlws.FILTER(E223:AI223,ISNUMBER(E223:AI223))),0)</f>
        <v>0</v>
      </c>
      <c r="AK223" s="81"/>
      <c r="AL223" s="99">
        <f t="shared" ref="AL223" si="1225">IFERROR(AJ223*(1+AK223%),0)</f>
        <v>0</v>
      </c>
      <c r="AM223" s="116"/>
      <c r="AN223" s="84">
        <f t="shared" ref="AN223:AN268" si="1226">IFERROR(SUM(E223:AC223)/D223,0)</f>
        <v>0</v>
      </c>
      <c r="AO223" s="138"/>
      <c r="AQ223" s="137"/>
      <c r="AR223" s="137"/>
      <c r="AS223" s="137"/>
      <c r="AT223" s="137"/>
      <c r="AU223" s="137"/>
      <c r="AV223" s="137"/>
      <c r="AY223" s="136">
        <f t="shared" ref="AY223:AY268" si="1227">IFERROR((AQ223*20)/60,0)</f>
        <v>0</v>
      </c>
      <c r="AZ223" s="136">
        <f t="shared" ref="AZ223" si="1228">IFERROR(AX223 + AY223 + BI223,0)</f>
        <v>0</v>
      </c>
      <c r="BA223" s="135">
        <f t="shared" ref="BA223" si="1229">IFERROR(AZ223/8,0)</f>
        <v>0</v>
      </c>
      <c r="BB223" s="135">
        <f t="shared" ref="BB223" si="1230">IFERROR(MAX(AQ223-BA223,0),0)</f>
        <v>0</v>
      </c>
      <c r="BD223" s="117">
        <f t="shared" ref="BD223:BD268" si="1231">IFERROR(10000*D223,0)</f>
        <v>0</v>
      </c>
      <c r="BE223" s="117"/>
      <c r="BF223" s="117"/>
      <c r="BG223" s="117">
        <f t="shared" ref="BG223:BG268" si="1232">IFERROR(-IF(AH223=$L$3,0,IF(AH223=$N$3,15*680*D223,IF(AH223=$P$3,30*680*D223,IF(AH223=0,50*680*D223,0)))),0)</f>
        <v>0</v>
      </c>
      <c r="BH223" s="117"/>
      <c r="BI223" s="117"/>
      <c r="BJ223" s="117"/>
    </row>
    <row r="224" spans="1:62" ht="18" hidden="1" customHeight="1">
      <c r="A224" s="95"/>
      <c r="B224" s="132"/>
      <c r="C224" s="95"/>
      <c r="D224" s="95"/>
      <c r="E224" s="111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112"/>
      <c r="AJ224" s="113"/>
      <c r="AK224" s="113"/>
      <c r="AL224" s="114"/>
      <c r="AM224" s="95"/>
      <c r="BE224" s="117"/>
      <c r="BF224" s="117"/>
      <c r="BG224" s="117"/>
      <c r="BH224" s="117"/>
      <c r="BI224" s="117"/>
      <c r="BJ224" s="117"/>
    </row>
    <row r="225" spans="1:62" ht="18" hidden="1" customHeight="1">
      <c r="A225" s="65">
        <v>109</v>
      </c>
      <c r="B225" s="64"/>
      <c r="C225" s="68"/>
      <c r="D225" s="80"/>
      <c r="E225" s="96">
        <f>IFERROR('Kiểm hóa may'!D225 + 'Bản sau là'!D225,0)</f>
        <v>0</v>
      </c>
      <c r="F225" s="97"/>
      <c r="G225" s="97"/>
      <c r="H225" s="97"/>
      <c r="I225" s="97"/>
      <c r="J225" s="97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  <c r="AA225" s="93"/>
      <c r="AB225" s="93"/>
      <c r="AC225" s="93"/>
      <c r="AD225" s="93">
        <f t="shared" ref="AD225:AD268" si="1233">IFERROR(400*BF225,0)</f>
        <v>0</v>
      </c>
      <c r="AE225" s="93"/>
      <c r="AF225" s="93">
        <f t="shared" ref="AF225:AF268" si="1234">IFERROR(SUM(F225:AC225)*0.2,0)</f>
        <v>0</v>
      </c>
      <c r="AG225" s="93"/>
      <c r="AH225" s="93" t="s">
        <v>179</v>
      </c>
      <c r="AI225" s="98">
        <f t="shared" ref="AI225:AI268" si="1235">IFERROR(130*D225,0)</f>
        <v>0</v>
      </c>
      <c r="AJ225" s="81" cm="1">
        <f t="array" ref="AJ225">IFERROR(SUM(_xlfn._xlws.FILTER(E225:AI225,ISNUMBER(E225:AI225))),0)</f>
        <v>0</v>
      </c>
      <c r="AK225" s="81"/>
      <c r="AL225" s="99">
        <f t="shared" ref="AL225" si="1236">IFERROR(AJ225*(1+AK225%),0)</f>
        <v>0</v>
      </c>
      <c r="AM225" s="116"/>
      <c r="AN225" s="84">
        <f t="shared" ref="AN225:AN268" si="1237">IFERROR(SUM(E225:AC225)/D225,0)</f>
        <v>0</v>
      </c>
      <c r="AO225" s="138"/>
      <c r="AQ225" s="137"/>
      <c r="AR225" s="137"/>
      <c r="AS225" s="137"/>
      <c r="AT225" s="137"/>
      <c r="AU225" s="137"/>
      <c r="AV225" s="137"/>
      <c r="AY225" s="136">
        <f t="shared" ref="AY225:AY268" si="1238">IFERROR((AQ225*20)/60,0)</f>
        <v>0</v>
      </c>
      <c r="AZ225" s="136">
        <f t="shared" ref="AZ225" si="1239">IFERROR(AX225 + AY225 + BI225,0)</f>
        <v>0</v>
      </c>
      <c r="BA225" s="135">
        <f t="shared" ref="BA225" si="1240">IFERROR(AZ225/8,0)</f>
        <v>0</v>
      </c>
      <c r="BB225" s="135">
        <f t="shared" ref="BB225" si="1241">IFERROR(MAX(AQ225-BA225,0),0)</f>
        <v>0</v>
      </c>
      <c r="BD225" s="117">
        <f t="shared" ref="BD225:BD268" si="1242">IFERROR(10000*D225,0)</f>
        <v>0</v>
      </c>
      <c r="BE225" s="117"/>
      <c r="BF225" s="117"/>
      <c r="BG225" s="117">
        <f t="shared" ref="BG225:BG268" si="1243">IFERROR(-IF(AH225=$L$3,0,IF(AH225=$N$3,15*680*D225,IF(AH225=$P$3,30*680*D225,IF(AH225=0,50*680*D225,0)))),0)</f>
        <v>0</v>
      </c>
      <c r="BH225" s="117"/>
      <c r="BI225" s="117"/>
      <c r="BJ225" s="117"/>
    </row>
    <row r="226" spans="1:62" ht="18" hidden="1" customHeight="1">
      <c r="A226" s="57"/>
      <c r="B226" s="132"/>
      <c r="C226" s="95"/>
      <c r="D226" s="95"/>
      <c r="E226" s="111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112"/>
      <c r="AJ226" s="113"/>
      <c r="AK226" s="113"/>
      <c r="AL226" s="114"/>
      <c r="AM226" s="95"/>
      <c r="BE226" s="117"/>
      <c r="BF226" s="117"/>
      <c r="BG226" s="117"/>
      <c r="BH226" s="117"/>
      <c r="BI226" s="117"/>
      <c r="BJ226" s="117"/>
    </row>
    <row r="227" spans="1:62" ht="18" hidden="1" customHeight="1">
      <c r="A227" s="62">
        <v>110</v>
      </c>
      <c r="B227" s="64"/>
      <c r="C227" s="68"/>
      <c r="D227" s="80"/>
      <c r="E227" s="96">
        <f>IFERROR('Kiểm hóa may'!D227 + 'Bản sau là'!D227,0)</f>
        <v>0</v>
      </c>
      <c r="F227" s="97"/>
      <c r="G227" s="97"/>
      <c r="H227" s="97"/>
      <c r="I227" s="97"/>
      <c r="J227" s="97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  <c r="AA227" s="93"/>
      <c r="AB227" s="93"/>
      <c r="AC227" s="93"/>
      <c r="AD227" s="93">
        <f t="shared" ref="AD227:AD268" si="1244">IFERROR(400*BF227,0)</f>
        <v>0</v>
      </c>
      <c r="AE227" s="93"/>
      <c r="AF227" s="93">
        <f t="shared" ref="AF227:AF268" si="1245">IFERROR(SUM(F227:AC227)*0.2,0)</f>
        <v>0</v>
      </c>
      <c r="AG227" s="93"/>
      <c r="AH227" s="93" t="s">
        <v>179</v>
      </c>
      <c r="AI227" s="98">
        <f t="shared" ref="AI227:AI268" si="1246">IFERROR(130*D227,0)</f>
        <v>0</v>
      </c>
      <c r="AJ227" s="81" cm="1">
        <f t="array" ref="AJ227">IFERROR(SUM(_xlfn._xlws.FILTER(E227:AI227,ISNUMBER(E227:AI227))),0)</f>
        <v>0</v>
      </c>
      <c r="AK227" s="81"/>
      <c r="AL227" s="99">
        <f t="shared" ref="AL227" si="1247">IFERROR(AJ227*(1+AK227%),0)</f>
        <v>0</v>
      </c>
      <c r="AM227" s="116"/>
      <c r="AN227" s="84">
        <f t="shared" ref="AN227:AN268" si="1248">IFERROR(SUM(E227:AC227)/D227,0)</f>
        <v>0</v>
      </c>
      <c r="AO227" s="138"/>
      <c r="AQ227" s="137"/>
      <c r="AR227" s="137"/>
      <c r="AS227" s="137"/>
      <c r="AT227" s="137"/>
      <c r="AU227" s="137"/>
      <c r="AV227" s="137"/>
      <c r="AY227" s="136">
        <f t="shared" ref="AY227:AY268" si="1249">IFERROR((AQ227*20)/60,0)</f>
        <v>0</v>
      </c>
      <c r="AZ227" s="136">
        <f t="shared" ref="AZ227" si="1250">IFERROR(AX227 + AY227 + BI227,0)</f>
        <v>0</v>
      </c>
      <c r="BA227" s="135">
        <f t="shared" ref="BA227" si="1251">IFERROR(AZ227/8,0)</f>
        <v>0</v>
      </c>
      <c r="BB227" s="135">
        <f t="shared" ref="BB227" si="1252">IFERROR(MAX(AQ227-BA227,0),0)</f>
        <v>0</v>
      </c>
      <c r="BD227" s="117">
        <f t="shared" ref="BD227:BD268" si="1253">IFERROR(10000*D227,0)</f>
        <v>0</v>
      </c>
      <c r="BE227" s="117"/>
      <c r="BF227" s="117"/>
      <c r="BG227" s="117">
        <f t="shared" ref="BG227:BG268" si="1254">IFERROR(-IF(AH227=$L$3,0,IF(AH227=$N$3,15*680*D227,IF(AH227=$P$3,30*680*D227,IF(AH227=0,50*680*D227,0)))),0)</f>
        <v>0</v>
      </c>
      <c r="BH227" s="117"/>
      <c r="BI227" s="117"/>
      <c r="BJ227" s="117"/>
    </row>
    <row r="228" spans="1:62" ht="18" hidden="1" customHeight="1">
      <c r="A228" s="95"/>
      <c r="B228" s="132"/>
      <c r="C228" s="95"/>
      <c r="D228" s="95"/>
      <c r="E228" s="111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112"/>
      <c r="AJ228" s="113"/>
      <c r="AK228" s="113"/>
      <c r="AL228" s="114"/>
      <c r="AM228" s="95"/>
      <c r="BE228" s="117"/>
      <c r="BF228" s="117"/>
      <c r="BG228" s="117"/>
      <c r="BH228" s="117"/>
      <c r="BI228" s="117"/>
      <c r="BJ228" s="117"/>
    </row>
    <row r="229" spans="1:62" ht="18" hidden="1" customHeight="1">
      <c r="A229" s="65">
        <v>111</v>
      </c>
      <c r="B229" s="64"/>
      <c r="C229" s="68"/>
      <c r="D229" s="80"/>
      <c r="E229" s="96">
        <f>IFERROR('Kiểm hóa may'!D229 + 'Bản sau là'!D229,0)</f>
        <v>0</v>
      </c>
      <c r="F229" s="97"/>
      <c r="G229" s="97"/>
      <c r="H229" s="97"/>
      <c r="I229" s="97"/>
      <c r="J229" s="97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  <c r="AA229" s="93"/>
      <c r="AB229" s="93"/>
      <c r="AC229" s="93"/>
      <c r="AD229" s="93">
        <f t="shared" ref="AD229:AD268" si="1255">IFERROR(400*BF229,0)</f>
        <v>0</v>
      </c>
      <c r="AE229" s="93"/>
      <c r="AF229" s="93">
        <f t="shared" ref="AF229:AF268" si="1256">IFERROR(SUM(F229:AC229)*0.2,0)</f>
        <v>0</v>
      </c>
      <c r="AG229" s="93"/>
      <c r="AH229" s="93" t="s">
        <v>179</v>
      </c>
      <c r="AI229" s="98">
        <f t="shared" ref="AI229:AI268" si="1257">IFERROR(130*D229,0)</f>
        <v>0</v>
      </c>
      <c r="AJ229" s="81" cm="1">
        <f t="array" ref="AJ229">IFERROR(SUM(_xlfn._xlws.FILTER(E229:AI229,ISNUMBER(E229:AI229))),0)</f>
        <v>0</v>
      </c>
      <c r="AK229" s="81"/>
      <c r="AL229" s="99">
        <f t="shared" ref="AL229" si="1258">IFERROR(AJ229*(1+AK229%),0)</f>
        <v>0</v>
      </c>
      <c r="AM229" s="116"/>
      <c r="AN229" s="84">
        <f t="shared" ref="AN229:AN268" si="1259">IFERROR(SUM(E229:AC229)/D229,0)</f>
        <v>0</v>
      </c>
      <c r="AO229" s="138"/>
      <c r="AQ229" s="137"/>
      <c r="AR229" s="137"/>
      <c r="AS229" s="137"/>
      <c r="AT229" s="137"/>
      <c r="AU229" s="137"/>
      <c r="AV229" s="137"/>
      <c r="AY229" s="136">
        <f t="shared" ref="AY229:AY268" si="1260">IFERROR((AQ229*20)/60,0)</f>
        <v>0</v>
      </c>
      <c r="AZ229" s="136">
        <f t="shared" ref="AZ229" si="1261">IFERROR(AX229 + AY229 + BI229,0)</f>
        <v>0</v>
      </c>
      <c r="BA229" s="135">
        <f t="shared" ref="BA229" si="1262">IFERROR(AZ229/8,0)</f>
        <v>0</v>
      </c>
      <c r="BB229" s="135">
        <f t="shared" ref="BB229" si="1263">IFERROR(MAX(AQ229-BA229,0),0)</f>
        <v>0</v>
      </c>
      <c r="BD229" s="117">
        <f t="shared" ref="BD229:BD268" si="1264">IFERROR(10000*D229,0)</f>
        <v>0</v>
      </c>
      <c r="BE229" s="117"/>
      <c r="BF229" s="117"/>
      <c r="BG229" s="117">
        <f t="shared" ref="BG229:BG268" si="1265">IFERROR(-IF(AH229=$L$3,0,IF(AH229=$N$3,15*680*D229,IF(AH229=$P$3,30*680*D229,IF(AH229=0,50*680*D229,0)))),0)</f>
        <v>0</v>
      </c>
      <c r="BH229" s="117"/>
      <c r="BI229" s="117"/>
      <c r="BJ229" s="117"/>
    </row>
    <row r="230" spans="1:62" ht="18" hidden="1" customHeight="1">
      <c r="A230" s="57"/>
      <c r="B230" s="132"/>
      <c r="C230" s="95"/>
      <c r="D230" s="95"/>
      <c r="E230" s="111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112"/>
      <c r="AJ230" s="113"/>
      <c r="AK230" s="113"/>
      <c r="AL230" s="114"/>
      <c r="AM230" s="95"/>
      <c r="BE230" s="117"/>
      <c r="BF230" s="117"/>
      <c r="BG230" s="117"/>
      <c r="BH230" s="117"/>
      <c r="BI230" s="117"/>
      <c r="BJ230" s="117"/>
    </row>
    <row r="231" spans="1:62" ht="18" hidden="1" customHeight="1">
      <c r="A231" s="62">
        <v>112</v>
      </c>
      <c r="B231" s="64"/>
      <c r="C231" s="68"/>
      <c r="D231" s="80"/>
      <c r="E231" s="96">
        <f>IFERROR('Kiểm hóa may'!D231 + 'Bản sau là'!D231,0)</f>
        <v>0</v>
      </c>
      <c r="F231" s="97"/>
      <c r="G231" s="97"/>
      <c r="H231" s="97"/>
      <c r="I231" s="97"/>
      <c r="J231" s="97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  <c r="AA231" s="93"/>
      <c r="AB231" s="93"/>
      <c r="AC231" s="93"/>
      <c r="AD231" s="93">
        <f t="shared" ref="AD231:AD268" si="1266">IFERROR(400*BF231,0)</f>
        <v>0</v>
      </c>
      <c r="AE231" s="93"/>
      <c r="AF231" s="93">
        <f t="shared" ref="AF231:AF268" si="1267">IFERROR(SUM(F231:AC231)*0.2,0)</f>
        <v>0</v>
      </c>
      <c r="AG231" s="93"/>
      <c r="AH231" s="93" t="s">
        <v>179</v>
      </c>
      <c r="AI231" s="98">
        <f t="shared" ref="AI231:AI268" si="1268">IFERROR(130*D231,0)</f>
        <v>0</v>
      </c>
      <c r="AJ231" s="81" cm="1">
        <f t="array" ref="AJ231">IFERROR(SUM(_xlfn._xlws.FILTER(E231:AI231,ISNUMBER(E231:AI231))),0)</f>
        <v>0</v>
      </c>
      <c r="AK231" s="81"/>
      <c r="AL231" s="99">
        <f t="shared" ref="AL231" si="1269">IFERROR(AJ231*(1+AK231%),0)</f>
        <v>0</v>
      </c>
      <c r="AM231" s="116"/>
      <c r="AN231" s="84">
        <f t="shared" ref="AN231:AN268" si="1270">IFERROR(SUM(E231:AC231)/D231,0)</f>
        <v>0</v>
      </c>
      <c r="AO231" s="138"/>
      <c r="AQ231" s="137"/>
      <c r="AR231" s="137"/>
      <c r="AS231" s="137"/>
      <c r="AT231" s="137"/>
      <c r="AU231" s="137"/>
      <c r="AV231" s="137"/>
      <c r="AY231" s="136">
        <f t="shared" ref="AY231:AY268" si="1271">IFERROR((AQ231*20)/60,0)</f>
        <v>0</v>
      </c>
      <c r="AZ231" s="136">
        <f t="shared" ref="AZ231" si="1272">IFERROR(AX231 + AY231 + BI231,0)</f>
        <v>0</v>
      </c>
      <c r="BA231" s="135">
        <f t="shared" ref="BA231" si="1273">IFERROR(AZ231/8,0)</f>
        <v>0</v>
      </c>
      <c r="BB231" s="135">
        <f t="shared" ref="BB231" si="1274">IFERROR(MAX(AQ231-BA231,0),0)</f>
        <v>0</v>
      </c>
      <c r="BD231" s="117">
        <f t="shared" ref="BD231:BD268" si="1275">IFERROR(10000*D231,0)</f>
        <v>0</v>
      </c>
      <c r="BE231" s="117"/>
      <c r="BF231" s="117"/>
      <c r="BG231" s="117">
        <f t="shared" ref="BG231:BG268" si="1276">IFERROR(-IF(AH231=$L$3,0,IF(AH231=$N$3,15*680*D231,IF(AH231=$P$3,30*680*D231,IF(AH231=0,50*680*D231,0)))),0)</f>
        <v>0</v>
      </c>
      <c r="BH231" s="117"/>
      <c r="BI231" s="117"/>
      <c r="BJ231" s="117"/>
    </row>
    <row r="232" spans="1:62" ht="18" hidden="1" customHeight="1">
      <c r="A232" s="95"/>
      <c r="B232" s="132"/>
      <c r="C232" s="95"/>
      <c r="D232" s="95"/>
      <c r="E232" s="111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112"/>
      <c r="AJ232" s="113"/>
      <c r="AK232" s="113"/>
      <c r="AL232" s="114"/>
      <c r="AM232" s="95"/>
      <c r="BE232" s="117"/>
      <c r="BF232" s="117"/>
      <c r="BG232" s="117"/>
      <c r="BH232" s="117"/>
      <c r="BI232" s="117"/>
      <c r="BJ232" s="117"/>
    </row>
    <row r="233" spans="1:62" ht="18" hidden="1" customHeight="1">
      <c r="A233" s="65">
        <v>113</v>
      </c>
      <c r="B233" s="64"/>
      <c r="C233" s="68"/>
      <c r="D233" s="80"/>
      <c r="E233" s="96">
        <f>IFERROR('Kiểm hóa may'!D233 + 'Bản sau là'!D233,0)</f>
        <v>0</v>
      </c>
      <c r="F233" s="97"/>
      <c r="G233" s="97"/>
      <c r="H233" s="97"/>
      <c r="I233" s="97"/>
      <c r="J233" s="97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  <c r="AA233" s="93"/>
      <c r="AB233" s="93"/>
      <c r="AC233" s="93"/>
      <c r="AD233" s="93">
        <f t="shared" ref="AD233:AD268" si="1277">IFERROR(400*BF233,0)</f>
        <v>0</v>
      </c>
      <c r="AE233" s="93"/>
      <c r="AF233" s="93">
        <f t="shared" ref="AF233:AF268" si="1278">IFERROR(SUM(F233:AC233)*0.2,0)</f>
        <v>0</v>
      </c>
      <c r="AG233" s="93"/>
      <c r="AH233" s="93" t="s">
        <v>179</v>
      </c>
      <c r="AI233" s="98">
        <f t="shared" ref="AI233:AI268" si="1279">IFERROR(130*D233,0)</f>
        <v>0</v>
      </c>
      <c r="AJ233" s="81" cm="1">
        <f t="array" ref="AJ233">IFERROR(SUM(_xlfn._xlws.FILTER(E233:AI233,ISNUMBER(E233:AI233))),0)</f>
        <v>0</v>
      </c>
      <c r="AK233" s="81"/>
      <c r="AL233" s="99">
        <f t="shared" ref="AL233" si="1280">IFERROR(AJ233*(1+AK233%),0)</f>
        <v>0</v>
      </c>
      <c r="AM233" s="116"/>
      <c r="AN233" s="84">
        <f t="shared" ref="AN233:AN268" si="1281">IFERROR(SUM(E233:AC233)/D233,0)</f>
        <v>0</v>
      </c>
      <c r="AO233" s="138"/>
      <c r="AQ233" s="137"/>
      <c r="AR233" s="137"/>
      <c r="AS233" s="137"/>
      <c r="AT233" s="137"/>
      <c r="AU233" s="137"/>
      <c r="AV233" s="137"/>
      <c r="AY233" s="136">
        <f t="shared" ref="AY233:AY268" si="1282">IFERROR((AQ233*20)/60,0)</f>
        <v>0</v>
      </c>
      <c r="AZ233" s="136">
        <f t="shared" ref="AZ233" si="1283">IFERROR(AX233 + AY233 + BI233,0)</f>
        <v>0</v>
      </c>
      <c r="BA233" s="135">
        <f t="shared" ref="BA233" si="1284">IFERROR(AZ233/8,0)</f>
        <v>0</v>
      </c>
      <c r="BB233" s="135">
        <f t="shared" ref="BB233" si="1285">IFERROR(MAX(AQ233-BA233,0),0)</f>
        <v>0</v>
      </c>
      <c r="BD233" s="117">
        <f t="shared" ref="BD233:BD268" si="1286">IFERROR(10000*D233,0)</f>
        <v>0</v>
      </c>
      <c r="BE233" s="117"/>
      <c r="BF233" s="117"/>
      <c r="BG233" s="117">
        <f t="shared" ref="BG233:BG268" si="1287">IFERROR(-IF(AH233=$L$3,0,IF(AH233=$N$3,15*680*D233,IF(AH233=$P$3,30*680*D233,IF(AH233=0,50*680*D233,0)))),0)</f>
        <v>0</v>
      </c>
      <c r="BH233" s="117"/>
      <c r="BI233" s="117"/>
      <c r="BJ233" s="117"/>
    </row>
    <row r="234" spans="1:62" ht="18" hidden="1" customHeight="1">
      <c r="A234" s="57"/>
      <c r="B234" s="132"/>
      <c r="C234" s="95"/>
      <c r="D234" s="95"/>
      <c r="E234" s="111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112"/>
      <c r="AJ234" s="113"/>
      <c r="AK234" s="113"/>
      <c r="AL234" s="114"/>
      <c r="AM234" s="95"/>
      <c r="BE234" s="117"/>
      <c r="BF234" s="117"/>
      <c r="BG234" s="117"/>
      <c r="BH234" s="117"/>
      <c r="BI234" s="117"/>
      <c r="BJ234" s="117"/>
    </row>
    <row r="235" spans="1:62" ht="18" hidden="1" customHeight="1">
      <c r="A235" s="62">
        <v>114</v>
      </c>
      <c r="B235" s="64"/>
      <c r="C235" s="68"/>
      <c r="D235" s="80"/>
      <c r="E235" s="96">
        <f>IFERROR('Kiểm hóa may'!D235 + 'Bản sau là'!D235,0)</f>
        <v>0</v>
      </c>
      <c r="F235" s="97"/>
      <c r="G235" s="97"/>
      <c r="H235" s="97"/>
      <c r="I235" s="97"/>
      <c r="J235" s="97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  <c r="AA235" s="93"/>
      <c r="AB235" s="93"/>
      <c r="AC235" s="93"/>
      <c r="AD235" s="93">
        <f t="shared" ref="AD235:AD268" si="1288">IFERROR(400*BF235,0)</f>
        <v>0</v>
      </c>
      <c r="AE235" s="93"/>
      <c r="AF235" s="93">
        <f t="shared" ref="AF235:AF268" si="1289">IFERROR(SUM(F235:AC235)*0.2,0)</f>
        <v>0</v>
      </c>
      <c r="AG235" s="93"/>
      <c r="AH235" s="93" t="s">
        <v>179</v>
      </c>
      <c r="AI235" s="98">
        <f t="shared" ref="AI235:AI268" si="1290">IFERROR(130*D235,0)</f>
        <v>0</v>
      </c>
      <c r="AJ235" s="81" cm="1">
        <f t="array" ref="AJ235">IFERROR(SUM(_xlfn._xlws.FILTER(E235:AI235,ISNUMBER(E235:AI235))),0)</f>
        <v>0</v>
      </c>
      <c r="AK235" s="81"/>
      <c r="AL235" s="99">
        <f t="shared" ref="AL235" si="1291">IFERROR(AJ235*(1+AK235%),0)</f>
        <v>0</v>
      </c>
      <c r="AM235" s="116"/>
      <c r="AN235" s="84">
        <f t="shared" ref="AN235:AN268" si="1292">IFERROR(SUM(E235:AC235)/D235,0)</f>
        <v>0</v>
      </c>
      <c r="AO235" s="138"/>
      <c r="AQ235" s="137"/>
      <c r="AR235" s="137"/>
      <c r="AS235" s="137"/>
      <c r="AT235" s="137"/>
      <c r="AU235" s="137"/>
      <c r="AV235" s="137"/>
      <c r="AY235" s="136">
        <f t="shared" ref="AY235:AY268" si="1293">IFERROR((AQ235*20)/60,0)</f>
        <v>0</v>
      </c>
      <c r="AZ235" s="136">
        <f t="shared" ref="AZ235" si="1294">IFERROR(AX235 + AY235 + BI235,0)</f>
        <v>0</v>
      </c>
      <c r="BA235" s="135">
        <f t="shared" ref="BA235" si="1295">IFERROR(AZ235/8,0)</f>
        <v>0</v>
      </c>
      <c r="BB235" s="135">
        <f t="shared" ref="BB235" si="1296">IFERROR(MAX(AQ235-BA235,0),0)</f>
        <v>0</v>
      </c>
      <c r="BD235" s="117">
        <f t="shared" ref="BD235:BD268" si="1297">IFERROR(10000*D235,0)</f>
        <v>0</v>
      </c>
      <c r="BE235" s="117"/>
      <c r="BF235" s="117"/>
      <c r="BG235" s="117">
        <f t="shared" ref="BG235:BG268" si="1298">IFERROR(-IF(AH235=$L$3,0,IF(AH235=$N$3,15*680*D235,IF(AH235=$P$3,30*680*D235,IF(AH235=0,50*680*D235,0)))),0)</f>
        <v>0</v>
      </c>
      <c r="BH235" s="117"/>
      <c r="BI235" s="117"/>
      <c r="BJ235" s="117"/>
    </row>
    <row r="236" spans="1:62" ht="18" hidden="1" customHeight="1">
      <c r="A236" s="95"/>
      <c r="B236" s="132"/>
      <c r="C236" s="95"/>
      <c r="D236" s="95"/>
      <c r="E236" s="111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112"/>
      <c r="AJ236" s="113"/>
      <c r="AK236" s="113"/>
      <c r="AL236" s="114"/>
      <c r="AM236" s="95"/>
      <c r="BE236" s="117"/>
      <c r="BF236" s="117"/>
      <c r="BG236" s="117"/>
      <c r="BH236" s="117"/>
      <c r="BI236" s="117"/>
      <c r="BJ236" s="117"/>
    </row>
    <row r="237" spans="1:62" ht="17.25" hidden="1" customHeight="1">
      <c r="A237" s="65">
        <v>115</v>
      </c>
      <c r="B237" s="64"/>
      <c r="C237" s="68"/>
      <c r="D237" s="80"/>
      <c r="E237" s="96">
        <f>IFERROR('Kiểm hóa may'!D237 + 'Bản sau là'!D237,0)</f>
        <v>0</v>
      </c>
      <c r="F237" s="97"/>
      <c r="G237" s="97"/>
      <c r="H237" s="97"/>
      <c r="I237" s="97"/>
      <c r="J237" s="97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  <c r="AA237" s="93"/>
      <c r="AB237" s="93"/>
      <c r="AC237" s="93"/>
      <c r="AD237" s="93">
        <f t="shared" ref="AD237:AD268" si="1299">IFERROR(400*BF237,0)</f>
        <v>0</v>
      </c>
      <c r="AE237" s="93"/>
      <c r="AF237" s="93">
        <f t="shared" ref="AF237:AF268" si="1300">IFERROR(SUM(F237:AC237)*0.2,0)</f>
        <v>0</v>
      </c>
      <c r="AG237" s="93"/>
      <c r="AH237" s="93" t="s">
        <v>179</v>
      </c>
      <c r="AI237" s="98">
        <f t="shared" ref="AI237:AI268" si="1301">IFERROR(130*D237,0)</f>
        <v>0</v>
      </c>
      <c r="AJ237" s="81" cm="1">
        <f t="array" ref="AJ237">IFERROR(SUM(_xlfn._xlws.FILTER(E237:AI237,ISNUMBER(E237:AI237))),0)</f>
        <v>0</v>
      </c>
      <c r="AK237" s="81"/>
      <c r="AL237" s="99">
        <f t="shared" ref="AL237" si="1302">IFERROR(AJ237*(1+AK237%),0)</f>
        <v>0</v>
      </c>
      <c r="AM237" s="116"/>
      <c r="AN237" s="84">
        <f t="shared" ref="AN237:AN268" si="1303">IFERROR(SUM(E237:AC237)/D237,0)</f>
        <v>0</v>
      </c>
      <c r="AO237" s="138"/>
      <c r="AQ237" s="137"/>
      <c r="AR237" s="137"/>
      <c r="AS237" s="137"/>
      <c r="AT237" s="137"/>
      <c r="AU237" s="137"/>
      <c r="AV237" s="137"/>
      <c r="AY237" s="136">
        <f t="shared" ref="AY237:AY268" si="1304">IFERROR((AQ237*20)/60,0)</f>
        <v>0</v>
      </c>
      <c r="AZ237" s="136">
        <f t="shared" ref="AZ237" si="1305">IFERROR(AX237 + AY237 + BI237,0)</f>
        <v>0</v>
      </c>
      <c r="BA237" s="135">
        <f t="shared" ref="BA237" si="1306">IFERROR(AZ237/8,0)</f>
        <v>0</v>
      </c>
      <c r="BB237" s="135">
        <f t="shared" ref="BB237" si="1307">IFERROR(MAX(AQ237-BA237,0),0)</f>
        <v>0</v>
      </c>
      <c r="BD237" s="117">
        <f t="shared" ref="BD237:BD268" si="1308">IFERROR(10000*D237,0)</f>
        <v>0</v>
      </c>
      <c r="BE237" s="117"/>
      <c r="BF237" s="117"/>
      <c r="BG237" s="117">
        <f t="shared" ref="BG237:BG268" si="1309">IFERROR(-IF(AH237=$L$3,0,IF(AH237=$N$3,15*680*D237,IF(AH237=$P$3,30*680*D237,IF(AH237=0,50*680*D237,0)))),0)</f>
        <v>0</v>
      </c>
      <c r="BH237" s="117"/>
      <c r="BI237" s="117"/>
      <c r="BJ237" s="117"/>
    </row>
    <row r="238" spans="1:62" ht="18" hidden="1" customHeight="1">
      <c r="A238" s="57"/>
      <c r="B238" s="132"/>
      <c r="C238" s="95"/>
      <c r="D238" s="95"/>
      <c r="E238" s="111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112"/>
      <c r="AJ238" s="113"/>
      <c r="AK238" s="113"/>
      <c r="AL238" s="114"/>
      <c r="AM238" s="95"/>
      <c r="BE238" s="117"/>
      <c r="BF238" s="117"/>
      <c r="BG238" s="117"/>
      <c r="BH238" s="117"/>
      <c r="BI238" s="117"/>
      <c r="BJ238" s="117"/>
    </row>
    <row r="239" spans="1:62" ht="18" hidden="1" customHeight="1">
      <c r="A239" s="62">
        <v>116</v>
      </c>
      <c r="B239" s="64"/>
      <c r="C239" s="68"/>
      <c r="D239" s="80"/>
      <c r="E239" s="96">
        <f>IFERROR('Kiểm hóa may'!D239 + 'Bản sau là'!D239,0)</f>
        <v>0</v>
      </c>
      <c r="F239" s="97"/>
      <c r="G239" s="97"/>
      <c r="H239" s="97"/>
      <c r="I239" s="97"/>
      <c r="J239" s="97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  <c r="AA239" s="93"/>
      <c r="AB239" s="93"/>
      <c r="AC239" s="93"/>
      <c r="AD239" s="93">
        <f t="shared" ref="AD239:AD268" si="1310">IFERROR(400*BF239,0)</f>
        <v>0</v>
      </c>
      <c r="AE239" s="93"/>
      <c r="AF239" s="93">
        <f t="shared" ref="AF239:AF268" si="1311">IFERROR(SUM(F239:AC239)*0.2,0)</f>
        <v>0</v>
      </c>
      <c r="AG239" s="93"/>
      <c r="AH239" s="93" t="s">
        <v>179</v>
      </c>
      <c r="AI239" s="98">
        <f t="shared" ref="AI239:AI268" si="1312">IFERROR(130*D239,0)</f>
        <v>0</v>
      </c>
      <c r="AJ239" s="81" cm="1">
        <f t="array" ref="AJ239">IFERROR(SUM(_xlfn._xlws.FILTER(E239:AI239,ISNUMBER(E239:AI239))),0)</f>
        <v>0</v>
      </c>
      <c r="AK239" s="81"/>
      <c r="AL239" s="99">
        <f t="shared" ref="AL239" si="1313">IFERROR(AJ239*(1+AK239%),0)</f>
        <v>0</v>
      </c>
      <c r="AM239" s="116"/>
      <c r="AN239" s="84">
        <f t="shared" ref="AN239:AN268" si="1314">IFERROR(SUM(E239:AC239)/D239,0)</f>
        <v>0</v>
      </c>
      <c r="AO239" s="138"/>
      <c r="AQ239" s="137"/>
      <c r="AR239" s="137"/>
      <c r="AS239" s="137"/>
      <c r="AT239" s="137"/>
      <c r="AU239" s="137"/>
      <c r="AV239" s="137"/>
      <c r="AY239" s="136">
        <f t="shared" ref="AY239:AY268" si="1315">IFERROR((AQ239*20)/60,0)</f>
        <v>0</v>
      </c>
      <c r="AZ239" s="136">
        <f t="shared" ref="AZ239" si="1316">IFERROR(AX239 + AY239 + BI239,0)</f>
        <v>0</v>
      </c>
      <c r="BA239" s="135">
        <f t="shared" ref="BA239" si="1317">IFERROR(AZ239/8,0)</f>
        <v>0</v>
      </c>
      <c r="BB239" s="135">
        <f t="shared" ref="BB239" si="1318">IFERROR(MAX(AQ239-BA239,0),0)</f>
        <v>0</v>
      </c>
      <c r="BD239" s="117">
        <f t="shared" ref="BD239:BD268" si="1319">IFERROR(10000*D239,0)</f>
        <v>0</v>
      </c>
      <c r="BE239" s="117"/>
      <c r="BF239" s="117"/>
      <c r="BG239" s="117">
        <f t="shared" ref="BG239:BG268" si="1320">IFERROR(-IF(AH239=$L$3,0,IF(AH239=$N$3,15*680*D239,IF(AH239=$P$3,30*680*D239,IF(AH239=0,50*680*D239,0)))),0)</f>
        <v>0</v>
      </c>
      <c r="BH239" s="117"/>
      <c r="BI239" s="117"/>
      <c r="BJ239" s="117"/>
    </row>
    <row r="240" spans="1:62" ht="18" hidden="1" customHeight="1">
      <c r="A240" s="95"/>
      <c r="B240" s="132"/>
      <c r="C240" s="95"/>
      <c r="D240" s="95"/>
      <c r="E240" s="111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112"/>
      <c r="AJ240" s="113"/>
      <c r="AK240" s="113"/>
      <c r="AL240" s="114"/>
      <c r="AM240" s="95"/>
      <c r="BE240" s="117"/>
      <c r="BF240" s="117"/>
      <c r="BG240" s="117"/>
      <c r="BH240" s="117"/>
      <c r="BI240" s="117"/>
      <c r="BJ240" s="117"/>
    </row>
    <row r="241" spans="1:62" ht="18" hidden="1" customHeight="1">
      <c r="A241" s="65">
        <v>117</v>
      </c>
      <c r="B241" s="64"/>
      <c r="C241" s="68"/>
      <c r="D241" s="80"/>
      <c r="E241" s="96">
        <f>IFERROR('Kiểm hóa may'!D241 + 'Bản sau là'!D241,0)</f>
        <v>0</v>
      </c>
      <c r="F241" s="97"/>
      <c r="G241" s="97"/>
      <c r="H241" s="97"/>
      <c r="I241" s="97"/>
      <c r="J241" s="97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  <c r="AA241" s="93"/>
      <c r="AB241" s="93"/>
      <c r="AC241" s="93"/>
      <c r="AD241" s="93">
        <f t="shared" ref="AD241:AD268" si="1321">IFERROR(400*BF241,0)</f>
        <v>0</v>
      </c>
      <c r="AE241" s="93"/>
      <c r="AF241" s="93">
        <f t="shared" ref="AF241:AF268" si="1322">IFERROR(SUM(F241:AC241)*0.2,0)</f>
        <v>0</v>
      </c>
      <c r="AG241" s="93"/>
      <c r="AH241" s="93" t="s">
        <v>179</v>
      </c>
      <c r="AI241" s="98">
        <f t="shared" ref="AI241:AI268" si="1323">IFERROR(130*D241,0)</f>
        <v>0</v>
      </c>
      <c r="AJ241" s="81" cm="1">
        <f t="array" ref="AJ241">IFERROR(SUM(_xlfn._xlws.FILTER(E241:AI241,ISNUMBER(E241:AI241))),0)</f>
        <v>0</v>
      </c>
      <c r="AK241" s="81"/>
      <c r="AL241" s="99">
        <f t="shared" ref="AL241" si="1324">IFERROR(AJ241*(1+AK241%),0)</f>
        <v>0</v>
      </c>
      <c r="AM241" s="116"/>
      <c r="AN241" s="84">
        <f t="shared" ref="AN241:AN268" si="1325">IFERROR(SUM(E241:AC241)/D241,0)</f>
        <v>0</v>
      </c>
      <c r="AO241" s="138"/>
      <c r="AQ241" s="137"/>
      <c r="AR241" s="137"/>
      <c r="AS241" s="137"/>
      <c r="AT241" s="137"/>
      <c r="AU241" s="137"/>
      <c r="AV241" s="137"/>
      <c r="AY241" s="136">
        <f t="shared" ref="AY241:AY268" si="1326">IFERROR((AQ241*20)/60,0)</f>
        <v>0</v>
      </c>
      <c r="AZ241" s="136">
        <f t="shared" ref="AZ241" si="1327">IFERROR(AX241 + AY241 + BI241,0)</f>
        <v>0</v>
      </c>
      <c r="BA241" s="135">
        <f t="shared" ref="BA241" si="1328">IFERROR(AZ241/8,0)</f>
        <v>0</v>
      </c>
      <c r="BB241" s="135">
        <f t="shared" ref="BB241" si="1329">IFERROR(MAX(AQ241-BA241,0),0)</f>
        <v>0</v>
      </c>
      <c r="BD241" s="117">
        <f t="shared" ref="BD241:BD268" si="1330">IFERROR(10000*D241,0)</f>
        <v>0</v>
      </c>
      <c r="BE241" s="117"/>
      <c r="BF241" s="117"/>
      <c r="BG241" s="117">
        <f t="shared" ref="BG241:BG268" si="1331">IFERROR(-IF(AH241=$L$3,0,IF(AH241=$N$3,15*680*D241,IF(AH241=$P$3,30*680*D241,IF(AH241=0,50*680*D241,0)))),0)</f>
        <v>0</v>
      </c>
      <c r="BH241" s="117"/>
      <c r="BI241" s="117"/>
      <c r="BJ241" s="117"/>
    </row>
    <row r="242" spans="1:62" ht="18" hidden="1" customHeight="1">
      <c r="A242" s="57"/>
      <c r="B242" s="132"/>
      <c r="C242" s="95"/>
      <c r="D242" s="95"/>
      <c r="E242" s="111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112"/>
      <c r="AJ242" s="113"/>
      <c r="AK242" s="113"/>
      <c r="AL242" s="114"/>
      <c r="AM242" s="95"/>
      <c r="BE242" s="117"/>
      <c r="BF242" s="117"/>
      <c r="BG242" s="117"/>
      <c r="BH242" s="117"/>
      <c r="BI242" s="117"/>
      <c r="BJ242" s="117"/>
    </row>
    <row r="243" spans="1:62" ht="18" hidden="1" customHeight="1">
      <c r="A243" s="62">
        <v>118</v>
      </c>
      <c r="B243" s="64"/>
      <c r="C243" s="68"/>
      <c r="D243" s="80"/>
      <c r="E243" s="96">
        <f>IFERROR('Kiểm hóa may'!D243 + 'Bản sau là'!D243,0)</f>
        <v>0</v>
      </c>
      <c r="F243" s="97"/>
      <c r="G243" s="97"/>
      <c r="H243" s="97"/>
      <c r="I243" s="97"/>
      <c r="J243" s="97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  <c r="AA243" s="93"/>
      <c r="AB243" s="93"/>
      <c r="AC243" s="93"/>
      <c r="AD243" s="93">
        <f t="shared" ref="AD243:AD268" si="1332">IFERROR(400*BF243,0)</f>
        <v>0</v>
      </c>
      <c r="AE243" s="93"/>
      <c r="AF243" s="93">
        <f t="shared" ref="AF243:AF268" si="1333">IFERROR(SUM(F243:AC243)*0.2,0)</f>
        <v>0</v>
      </c>
      <c r="AG243" s="93"/>
      <c r="AH243" s="93" t="s">
        <v>179</v>
      </c>
      <c r="AI243" s="98">
        <f t="shared" ref="AI243:AI268" si="1334">IFERROR(130*D243,0)</f>
        <v>0</v>
      </c>
      <c r="AJ243" s="81" cm="1">
        <f t="array" ref="AJ243">IFERROR(SUM(_xlfn._xlws.FILTER(E243:AI243,ISNUMBER(E243:AI243))),0)</f>
        <v>0</v>
      </c>
      <c r="AK243" s="81"/>
      <c r="AL243" s="99">
        <f t="shared" ref="AL243" si="1335">IFERROR(AJ243*(1+AK243%),0)</f>
        <v>0</v>
      </c>
      <c r="AM243" s="116"/>
      <c r="AN243" s="84">
        <f t="shared" ref="AN243:AN268" si="1336">IFERROR(SUM(E243:AC243)/D243,0)</f>
        <v>0</v>
      </c>
      <c r="AO243" s="138"/>
      <c r="AQ243" s="137"/>
      <c r="AR243" s="137"/>
      <c r="AS243" s="137"/>
      <c r="AT243" s="137"/>
      <c r="AU243" s="137"/>
      <c r="AV243" s="137"/>
      <c r="AY243" s="136">
        <f t="shared" ref="AY243:AY268" si="1337">IFERROR((AQ243*20)/60,0)</f>
        <v>0</v>
      </c>
      <c r="AZ243" s="136">
        <f t="shared" ref="AZ243" si="1338">IFERROR(AX243 + AY243 + BI243,0)</f>
        <v>0</v>
      </c>
      <c r="BA243" s="135">
        <f t="shared" ref="BA243" si="1339">IFERROR(AZ243/8,0)</f>
        <v>0</v>
      </c>
      <c r="BB243" s="135">
        <f t="shared" ref="BB243" si="1340">IFERROR(MAX(AQ243-BA243,0),0)</f>
        <v>0</v>
      </c>
      <c r="BD243" s="117">
        <f t="shared" ref="BD243:BD268" si="1341">IFERROR(10000*D243,0)</f>
        <v>0</v>
      </c>
      <c r="BE243" s="117"/>
      <c r="BF243" s="117"/>
      <c r="BG243" s="117">
        <f t="shared" ref="BG243:BG268" si="1342">IFERROR(-IF(AH243=$L$3,0,IF(AH243=$N$3,15*680*D243,IF(AH243=$P$3,30*680*D243,IF(AH243=0,50*680*D243,0)))),0)</f>
        <v>0</v>
      </c>
      <c r="BH243" s="117"/>
      <c r="BI243" s="117"/>
      <c r="BJ243" s="117"/>
    </row>
    <row r="244" spans="1:62" ht="18" hidden="1" customHeight="1">
      <c r="A244" s="95"/>
      <c r="B244" s="132"/>
      <c r="C244" s="95"/>
      <c r="D244" s="95"/>
      <c r="E244" s="111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112"/>
      <c r="AJ244" s="113"/>
      <c r="AK244" s="113"/>
      <c r="AL244" s="114"/>
      <c r="AM244" s="95"/>
      <c r="BE244" s="117"/>
      <c r="BF244" s="117"/>
      <c r="BG244" s="117"/>
      <c r="BH244" s="117"/>
      <c r="BI244" s="117"/>
      <c r="BJ244" s="117"/>
    </row>
    <row r="245" spans="1:62" ht="18" hidden="1" customHeight="1">
      <c r="A245" s="65">
        <v>119</v>
      </c>
      <c r="B245" s="64"/>
      <c r="C245" s="68"/>
      <c r="D245" s="80"/>
      <c r="E245" s="96">
        <f>IFERROR('Kiểm hóa may'!D245 + 'Bản sau là'!D245,0)</f>
        <v>0</v>
      </c>
      <c r="F245" s="97"/>
      <c r="G245" s="97"/>
      <c r="H245" s="97"/>
      <c r="I245" s="97"/>
      <c r="J245" s="97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  <c r="AB245" s="93"/>
      <c r="AC245" s="93"/>
      <c r="AD245" s="93">
        <f t="shared" ref="AD245:AD268" si="1343">IFERROR(400*BF245,0)</f>
        <v>0</v>
      </c>
      <c r="AE245" s="93"/>
      <c r="AF245" s="93">
        <f t="shared" ref="AF245:AF268" si="1344">IFERROR(SUM(F245:AC245)*0.2,0)</f>
        <v>0</v>
      </c>
      <c r="AG245" s="93"/>
      <c r="AH245" s="93" t="s">
        <v>179</v>
      </c>
      <c r="AI245" s="98">
        <f t="shared" ref="AI245:AI268" si="1345">IFERROR(130*D245,0)</f>
        <v>0</v>
      </c>
      <c r="AJ245" s="81" cm="1">
        <f t="array" ref="AJ245">IFERROR(SUM(_xlfn._xlws.FILTER(E245:AI245,ISNUMBER(E245:AI245))),0)</f>
        <v>0</v>
      </c>
      <c r="AK245" s="81"/>
      <c r="AL245" s="99">
        <f t="shared" ref="AL245" si="1346">IFERROR(AJ245*(1+AK245%),0)</f>
        <v>0</v>
      </c>
      <c r="AM245" s="116"/>
      <c r="AN245" s="84">
        <f t="shared" ref="AN245:AN268" si="1347">IFERROR(SUM(E245:AC245)/D245,0)</f>
        <v>0</v>
      </c>
      <c r="AO245" s="138"/>
      <c r="AQ245" s="137"/>
      <c r="AR245" s="137"/>
      <c r="AS245" s="137"/>
      <c r="AT245" s="137"/>
      <c r="AU245" s="137"/>
      <c r="AV245" s="137"/>
      <c r="AY245" s="136">
        <f t="shared" ref="AY245:AY268" si="1348">IFERROR((AQ245*20)/60,0)</f>
        <v>0</v>
      </c>
      <c r="AZ245" s="136">
        <f t="shared" ref="AZ245" si="1349">IFERROR(AX245 + AY245 + BI245,0)</f>
        <v>0</v>
      </c>
      <c r="BA245" s="135">
        <f t="shared" ref="BA245" si="1350">IFERROR(AZ245/8,0)</f>
        <v>0</v>
      </c>
      <c r="BB245" s="135">
        <f t="shared" ref="BB245" si="1351">IFERROR(MAX(AQ245-BA245,0),0)</f>
        <v>0</v>
      </c>
      <c r="BD245" s="117">
        <f t="shared" ref="BD245:BD268" si="1352">IFERROR(10000*D245,0)</f>
        <v>0</v>
      </c>
      <c r="BE245" s="117"/>
      <c r="BF245" s="117"/>
      <c r="BG245" s="117">
        <f t="shared" ref="BG245:BG268" si="1353">IFERROR(-IF(AH245=$L$3,0,IF(AH245=$N$3,15*680*D245,IF(AH245=$P$3,30*680*D245,IF(AH245=0,50*680*D245,0)))),0)</f>
        <v>0</v>
      </c>
      <c r="BH245" s="117"/>
      <c r="BI245" s="117"/>
      <c r="BJ245" s="117"/>
    </row>
    <row r="246" spans="1:62" ht="18" hidden="1" customHeight="1">
      <c r="A246" s="57"/>
      <c r="B246" s="132"/>
      <c r="C246" s="95"/>
      <c r="D246" s="95"/>
      <c r="E246" s="111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112"/>
      <c r="AJ246" s="113"/>
      <c r="AK246" s="113"/>
      <c r="AL246" s="114"/>
      <c r="AM246" s="95"/>
      <c r="BE246" s="117"/>
      <c r="BF246" s="117"/>
      <c r="BG246" s="117"/>
      <c r="BH246" s="117"/>
      <c r="BI246" s="117"/>
      <c r="BJ246" s="117"/>
    </row>
    <row r="247" spans="1:62" ht="18" hidden="1" customHeight="1">
      <c r="A247" s="62">
        <v>120</v>
      </c>
      <c r="B247" s="64"/>
      <c r="C247" s="68"/>
      <c r="D247" s="80"/>
      <c r="E247" s="96">
        <f>IFERROR('Kiểm hóa may'!D247 + 'Bản sau là'!D247,0)</f>
        <v>0</v>
      </c>
      <c r="F247" s="97"/>
      <c r="G247" s="97"/>
      <c r="H247" s="97"/>
      <c r="I247" s="97"/>
      <c r="J247" s="97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  <c r="AB247" s="93"/>
      <c r="AC247" s="93"/>
      <c r="AD247" s="93">
        <f t="shared" ref="AD247:AD268" si="1354">IFERROR(400*BF247,0)</f>
        <v>0</v>
      </c>
      <c r="AE247" s="93"/>
      <c r="AF247" s="93">
        <f t="shared" ref="AF247:AF268" si="1355">IFERROR(SUM(F247:AC247)*0.2,0)</f>
        <v>0</v>
      </c>
      <c r="AG247" s="93"/>
      <c r="AH247" s="93" t="s">
        <v>179</v>
      </c>
      <c r="AI247" s="98">
        <f t="shared" ref="AI247:AI268" si="1356">IFERROR(130*D247,0)</f>
        <v>0</v>
      </c>
      <c r="AJ247" s="81" cm="1">
        <f t="array" ref="AJ247">IFERROR(SUM(_xlfn._xlws.FILTER(E247:AI247,ISNUMBER(E247:AI247))),0)</f>
        <v>0</v>
      </c>
      <c r="AK247" s="81"/>
      <c r="AL247" s="99">
        <f t="shared" ref="AL247" si="1357">IFERROR(AJ247*(1+AK247%),0)</f>
        <v>0</v>
      </c>
      <c r="AM247" s="116"/>
      <c r="AN247" s="84">
        <f t="shared" ref="AN247:AN268" si="1358">IFERROR(SUM(E247:AC247)/D247,0)</f>
        <v>0</v>
      </c>
      <c r="AO247" s="138"/>
      <c r="AQ247" s="137"/>
      <c r="AR247" s="137"/>
      <c r="AS247" s="137"/>
      <c r="AT247" s="137"/>
      <c r="AU247" s="137"/>
      <c r="AV247" s="137"/>
      <c r="AY247" s="136">
        <f t="shared" ref="AY247:AY268" si="1359">IFERROR((AQ247*20)/60,0)</f>
        <v>0</v>
      </c>
      <c r="AZ247" s="136">
        <f t="shared" ref="AZ247" si="1360">IFERROR(AX247 + AY247 + BI247,0)</f>
        <v>0</v>
      </c>
      <c r="BA247" s="135">
        <f t="shared" ref="BA247" si="1361">IFERROR(AZ247/8,0)</f>
        <v>0</v>
      </c>
      <c r="BB247" s="135">
        <f t="shared" ref="BB247" si="1362">IFERROR(MAX(AQ247-BA247,0),0)</f>
        <v>0</v>
      </c>
      <c r="BD247" s="117">
        <f t="shared" ref="BD247:BD268" si="1363">IFERROR(10000*D247,0)</f>
        <v>0</v>
      </c>
      <c r="BE247" s="117"/>
      <c r="BF247" s="117"/>
      <c r="BG247" s="117">
        <f t="shared" ref="BG247:BG268" si="1364">IFERROR(-IF(AH247=$L$3,0,IF(AH247=$N$3,15*680*D247,IF(AH247=$P$3,30*680*D247,IF(AH247=0,50*680*D247,0)))),0)</f>
        <v>0</v>
      </c>
      <c r="BH247" s="117"/>
      <c r="BI247" s="117"/>
      <c r="BJ247" s="117"/>
    </row>
    <row r="248" spans="1:62" ht="18" hidden="1" customHeight="1">
      <c r="A248" s="95"/>
      <c r="B248" s="132"/>
      <c r="C248" s="95"/>
      <c r="D248" s="95"/>
      <c r="E248" s="111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112"/>
      <c r="AJ248" s="113"/>
      <c r="AK248" s="113"/>
      <c r="AL248" s="114"/>
      <c r="AM248" s="95"/>
      <c r="BE248" s="117"/>
      <c r="BF248" s="117"/>
      <c r="BG248" s="117"/>
      <c r="BH248" s="117"/>
      <c r="BI248" s="117"/>
      <c r="BJ248" s="117"/>
    </row>
    <row r="249" spans="1:62" ht="18" hidden="1" customHeight="1">
      <c r="A249" s="65">
        <v>121</v>
      </c>
      <c r="B249" s="64"/>
      <c r="C249" s="68"/>
      <c r="D249" s="80"/>
      <c r="E249" s="96">
        <f>IFERROR('Kiểm hóa may'!D249 + 'Bản sau là'!D249,0)</f>
        <v>0</v>
      </c>
      <c r="F249" s="97"/>
      <c r="G249" s="97"/>
      <c r="H249" s="97"/>
      <c r="I249" s="97"/>
      <c r="J249" s="97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  <c r="AB249" s="93"/>
      <c r="AC249" s="93"/>
      <c r="AD249" s="93">
        <f t="shared" ref="AD249:AD268" si="1365">IFERROR(400*BF249,0)</f>
        <v>0</v>
      </c>
      <c r="AE249" s="93"/>
      <c r="AF249" s="93">
        <f t="shared" ref="AF249:AF268" si="1366">IFERROR(SUM(F249:AC249)*0.2,0)</f>
        <v>0</v>
      </c>
      <c r="AG249" s="93"/>
      <c r="AH249" s="93" t="s">
        <v>179</v>
      </c>
      <c r="AI249" s="98">
        <f t="shared" ref="AI249:AI268" si="1367">IFERROR(130*D249,0)</f>
        <v>0</v>
      </c>
      <c r="AJ249" s="81" cm="1">
        <f t="array" ref="AJ249">IFERROR(SUM(_xlfn._xlws.FILTER(E249:AI249,ISNUMBER(E249:AI249))),0)</f>
        <v>0</v>
      </c>
      <c r="AK249" s="81"/>
      <c r="AL249" s="99">
        <f t="shared" ref="AL249" si="1368">IFERROR(AJ249*(1+AK249%),0)</f>
        <v>0</v>
      </c>
      <c r="AM249" s="116"/>
      <c r="AN249" s="84">
        <f t="shared" ref="AN249:AN268" si="1369">IFERROR(SUM(E249:AC249)/D249,0)</f>
        <v>0</v>
      </c>
      <c r="AO249" s="138"/>
      <c r="AQ249" s="137"/>
      <c r="AR249" s="137"/>
      <c r="AS249" s="137"/>
      <c r="AT249" s="137"/>
      <c r="AU249" s="137"/>
      <c r="AV249" s="137"/>
      <c r="AY249" s="136">
        <f t="shared" ref="AY249:AY268" si="1370">IFERROR((AQ249*20)/60,0)</f>
        <v>0</v>
      </c>
      <c r="AZ249" s="136">
        <f t="shared" ref="AZ249" si="1371">IFERROR(AX249 + AY249 + BI249,0)</f>
        <v>0</v>
      </c>
      <c r="BA249" s="135">
        <f t="shared" ref="BA249" si="1372">IFERROR(AZ249/8,0)</f>
        <v>0</v>
      </c>
      <c r="BB249" s="135">
        <f t="shared" ref="BB249" si="1373">IFERROR(MAX(AQ249-BA249,0),0)</f>
        <v>0</v>
      </c>
      <c r="BD249" s="117">
        <f t="shared" ref="BD249:BD268" si="1374">IFERROR(10000*D249,0)</f>
        <v>0</v>
      </c>
      <c r="BE249" s="117"/>
      <c r="BF249" s="117"/>
      <c r="BG249" s="117">
        <f t="shared" ref="BG249:BG268" si="1375">IFERROR(-IF(AH249=$L$3,0,IF(AH249=$N$3,15*680*D249,IF(AH249=$P$3,30*680*D249,IF(AH249=0,50*680*D249,0)))),0)</f>
        <v>0</v>
      </c>
      <c r="BH249" s="117"/>
      <c r="BI249" s="117"/>
      <c r="BJ249" s="117"/>
    </row>
    <row r="250" spans="1:62" ht="18" hidden="1" customHeight="1">
      <c r="A250" s="57"/>
      <c r="B250" s="132"/>
      <c r="C250" s="95"/>
      <c r="D250" s="95"/>
      <c r="E250" s="111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112"/>
      <c r="AJ250" s="113"/>
      <c r="AK250" s="113"/>
      <c r="AL250" s="114"/>
      <c r="AM250" s="95"/>
      <c r="BE250" s="117"/>
      <c r="BF250" s="117"/>
      <c r="BG250" s="117"/>
      <c r="BH250" s="117"/>
      <c r="BI250" s="117"/>
      <c r="BJ250" s="117"/>
    </row>
    <row r="251" spans="1:62" ht="18" hidden="1" customHeight="1">
      <c r="A251" s="62">
        <v>122</v>
      </c>
      <c r="B251" s="64"/>
      <c r="C251" s="68"/>
      <c r="D251" s="80"/>
      <c r="E251" s="96">
        <f>IFERROR('Kiểm hóa may'!D251 + 'Bản sau là'!D251,0)</f>
        <v>0</v>
      </c>
      <c r="F251" s="97"/>
      <c r="G251" s="97"/>
      <c r="H251" s="97"/>
      <c r="I251" s="97"/>
      <c r="J251" s="97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  <c r="AB251" s="93"/>
      <c r="AC251" s="93"/>
      <c r="AD251" s="93">
        <f t="shared" ref="AD251:AD268" si="1376">IFERROR(400*BF251,0)</f>
        <v>0</v>
      </c>
      <c r="AE251" s="93"/>
      <c r="AF251" s="93">
        <f t="shared" ref="AF251:AF268" si="1377">IFERROR(SUM(F251:AC251)*0.2,0)</f>
        <v>0</v>
      </c>
      <c r="AG251" s="93"/>
      <c r="AH251" s="93" t="s">
        <v>179</v>
      </c>
      <c r="AI251" s="98">
        <f t="shared" ref="AI251:AI268" si="1378">IFERROR(130*D251,0)</f>
        <v>0</v>
      </c>
      <c r="AJ251" s="81" cm="1">
        <f t="array" ref="AJ251">IFERROR(SUM(_xlfn._xlws.FILTER(E251:AI251,ISNUMBER(E251:AI251))),0)</f>
        <v>0</v>
      </c>
      <c r="AK251" s="81"/>
      <c r="AL251" s="99">
        <f t="shared" ref="AL251" si="1379">IFERROR(AJ251*(1+AK251%),0)</f>
        <v>0</v>
      </c>
      <c r="AM251" s="116"/>
      <c r="AN251" s="84">
        <f t="shared" ref="AN251:AN268" si="1380">IFERROR(SUM(E251:AC251)/D251,0)</f>
        <v>0</v>
      </c>
      <c r="AO251" s="138"/>
      <c r="AQ251" s="137"/>
      <c r="AR251" s="137"/>
      <c r="AS251" s="137"/>
      <c r="AT251" s="137"/>
      <c r="AU251" s="137"/>
      <c r="AV251" s="137"/>
      <c r="AY251" s="136">
        <f t="shared" ref="AY251:AY268" si="1381">IFERROR((AQ251*20)/60,0)</f>
        <v>0</v>
      </c>
      <c r="AZ251" s="136">
        <f t="shared" ref="AZ251" si="1382">IFERROR(AX251 + AY251 + BI251,0)</f>
        <v>0</v>
      </c>
      <c r="BA251" s="135">
        <f t="shared" ref="BA251" si="1383">IFERROR(AZ251/8,0)</f>
        <v>0</v>
      </c>
      <c r="BB251" s="135">
        <f t="shared" ref="BB251" si="1384">IFERROR(MAX(AQ251-BA251,0),0)</f>
        <v>0</v>
      </c>
      <c r="BD251" s="117">
        <f t="shared" ref="BD251:BD268" si="1385">IFERROR(10000*D251,0)</f>
        <v>0</v>
      </c>
      <c r="BE251" s="117"/>
      <c r="BF251" s="117"/>
      <c r="BG251" s="117">
        <f t="shared" ref="BG251:BG268" si="1386">IFERROR(-IF(AH251=$L$3,0,IF(AH251=$N$3,15*680*D251,IF(AH251=$P$3,30*680*D251,IF(AH251=0,50*680*D251,0)))),0)</f>
        <v>0</v>
      </c>
      <c r="BH251" s="117"/>
      <c r="BI251" s="117"/>
      <c r="BJ251" s="117"/>
    </row>
    <row r="252" spans="1:62" ht="18" hidden="1" customHeight="1">
      <c r="A252" s="95"/>
      <c r="B252" s="132"/>
      <c r="C252" s="95"/>
      <c r="D252" s="95"/>
      <c r="E252" s="111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112"/>
      <c r="AJ252" s="113"/>
      <c r="AK252" s="113"/>
      <c r="AL252" s="114"/>
      <c r="AM252" s="95"/>
      <c r="BE252" s="117"/>
      <c r="BF252" s="117"/>
      <c r="BG252" s="117"/>
      <c r="BH252" s="117"/>
      <c r="BI252" s="117"/>
      <c r="BJ252" s="117"/>
    </row>
    <row r="253" spans="1:62" ht="18" hidden="1" customHeight="1">
      <c r="A253" s="65">
        <v>123</v>
      </c>
      <c r="B253" s="64"/>
      <c r="C253" s="68"/>
      <c r="D253" s="80"/>
      <c r="E253" s="96">
        <f>IFERROR('Kiểm hóa may'!D253 + 'Bản sau là'!D253,0)</f>
        <v>0</v>
      </c>
      <c r="F253" s="97"/>
      <c r="G253" s="97"/>
      <c r="H253" s="97"/>
      <c r="I253" s="97"/>
      <c r="J253" s="97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  <c r="AA253" s="93"/>
      <c r="AB253" s="93"/>
      <c r="AC253" s="93"/>
      <c r="AD253" s="93">
        <f t="shared" ref="AD253:AD268" si="1387">IFERROR(400*BF253,0)</f>
        <v>0</v>
      </c>
      <c r="AE253" s="93"/>
      <c r="AF253" s="93">
        <f t="shared" ref="AF253:AF268" si="1388">IFERROR(SUM(F253:AC253)*0.2,0)</f>
        <v>0</v>
      </c>
      <c r="AG253" s="93"/>
      <c r="AH253" s="93" t="s">
        <v>179</v>
      </c>
      <c r="AI253" s="98">
        <f t="shared" ref="AI253:AI268" si="1389">IFERROR(130*D253,0)</f>
        <v>0</v>
      </c>
      <c r="AJ253" s="81" cm="1">
        <f t="array" ref="AJ253">IFERROR(SUM(_xlfn._xlws.FILTER(E253:AI253,ISNUMBER(E253:AI253))),0)</f>
        <v>0</v>
      </c>
      <c r="AK253" s="81"/>
      <c r="AL253" s="99">
        <f t="shared" ref="AL253" si="1390">IFERROR(AJ253*(1+AK253%),0)</f>
        <v>0</v>
      </c>
      <c r="AM253" s="116"/>
      <c r="AN253" s="84">
        <f t="shared" ref="AN253:AN268" si="1391">IFERROR(SUM(E253:AC253)/D253,0)</f>
        <v>0</v>
      </c>
      <c r="AO253" s="138"/>
      <c r="AQ253" s="137"/>
      <c r="AR253" s="137"/>
      <c r="AS253" s="137"/>
      <c r="AT253" s="137"/>
      <c r="AU253" s="137"/>
      <c r="AV253" s="137"/>
      <c r="AY253" s="136">
        <f t="shared" ref="AY253:AY268" si="1392">IFERROR((AQ253*20)/60,0)</f>
        <v>0</v>
      </c>
      <c r="AZ253" s="136">
        <f t="shared" ref="AZ253" si="1393">IFERROR(AX253 + AY253 + BI253,0)</f>
        <v>0</v>
      </c>
      <c r="BA253" s="135">
        <f t="shared" ref="BA253" si="1394">IFERROR(AZ253/8,0)</f>
        <v>0</v>
      </c>
      <c r="BB253" s="135">
        <f t="shared" ref="BB253" si="1395">IFERROR(MAX(AQ253-BA253,0),0)</f>
        <v>0</v>
      </c>
      <c r="BD253" s="117">
        <f t="shared" ref="BD253:BD268" si="1396">IFERROR(10000*D253,0)</f>
        <v>0</v>
      </c>
      <c r="BE253" s="117"/>
      <c r="BF253" s="117"/>
      <c r="BG253" s="117">
        <f t="shared" ref="BG253:BG268" si="1397">IFERROR(-IF(AH253=$L$3,0,IF(AH253=$N$3,15*680*D253,IF(AH253=$P$3,30*680*D253,IF(AH253=0,50*680*D253,0)))),0)</f>
        <v>0</v>
      </c>
      <c r="BH253" s="117"/>
      <c r="BI253" s="117"/>
      <c r="BJ253" s="117"/>
    </row>
    <row r="254" spans="1:62" ht="18" hidden="1" customHeight="1">
      <c r="A254" s="57"/>
      <c r="B254" s="132"/>
      <c r="C254" s="95"/>
      <c r="D254" s="95"/>
      <c r="E254" s="111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112"/>
      <c r="AJ254" s="113"/>
      <c r="AK254" s="113"/>
      <c r="AL254" s="114"/>
      <c r="AM254" s="95"/>
      <c r="BE254" s="117"/>
      <c r="BF254" s="117"/>
      <c r="BG254" s="117"/>
      <c r="BH254" s="117"/>
      <c r="BI254" s="117"/>
      <c r="BJ254" s="117"/>
    </row>
    <row r="255" spans="1:62" ht="18" hidden="1" customHeight="1">
      <c r="A255" s="62">
        <v>124</v>
      </c>
      <c r="B255" s="64"/>
      <c r="C255" s="68"/>
      <c r="D255" s="80"/>
      <c r="E255" s="96">
        <f>IFERROR('Kiểm hóa may'!D255 + 'Bản sau là'!D255,0)</f>
        <v>0</v>
      </c>
      <c r="F255" s="97"/>
      <c r="G255" s="97"/>
      <c r="H255" s="97"/>
      <c r="I255" s="97"/>
      <c r="J255" s="97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  <c r="AB255" s="93"/>
      <c r="AC255" s="93"/>
      <c r="AD255" s="93">
        <f t="shared" ref="AD255:AD268" si="1398">IFERROR(400*BF255,0)</f>
        <v>0</v>
      </c>
      <c r="AE255" s="93"/>
      <c r="AF255" s="93">
        <f t="shared" ref="AF255:AF268" si="1399">IFERROR(SUM(F255:AC255)*0.2,0)</f>
        <v>0</v>
      </c>
      <c r="AG255" s="93"/>
      <c r="AH255" s="93" t="s">
        <v>179</v>
      </c>
      <c r="AI255" s="98">
        <f t="shared" ref="AI255:AI268" si="1400">IFERROR(130*D255,0)</f>
        <v>0</v>
      </c>
      <c r="AJ255" s="81" cm="1">
        <f t="array" ref="AJ255">IFERROR(SUM(_xlfn._xlws.FILTER(E255:AI255,ISNUMBER(E255:AI255))),0)</f>
        <v>0</v>
      </c>
      <c r="AK255" s="81"/>
      <c r="AL255" s="99">
        <f t="shared" ref="AL255" si="1401">IFERROR(AJ255*(1+AK255%),0)</f>
        <v>0</v>
      </c>
      <c r="AM255" s="116"/>
      <c r="AN255" s="84">
        <f t="shared" ref="AN255:AN268" si="1402">IFERROR(SUM(E255:AC255)/D255,0)</f>
        <v>0</v>
      </c>
      <c r="AO255" s="138"/>
      <c r="AQ255" s="137"/>
      <c r="AR255" s="137"/>
      <c r="AS255" s="137"/>
      <c r="AT255" s="137"/>
      <c r="AU255" s="137"/>
      <c r="AV255" s="137"/>
      <c r="AY255" s="136">
        <f t="shared" ref="AY255:AY268" si="1403">IFERROR((AQ255*20)/60,0)</f>
        <v>0</v>
      </c>
      <c r="AZ255" s="136">
        <f t="shared" ref="AZ255" si="1404">IFERROR(AX255 + AY255 + BI255,0)</f>
        <v>0</v>
      </c>
      <c r="BA255" s="135">
        <f t="shared" ref="BA255" si="1405">IFERROR(AZ255/8,0)</f>
        <v>0</v>
      </c>
      <c r="BB255" s="135">
        <f t="shared" ref="BB255" si="1406">IFERROR(MAX(AQ255-BA255,0),0)</f>
        <v>0</v>
      </c>
      <c r="BD255" s="117">
        <f t="shared" ref="BD255:BD268" si="1407">IFERROR(10000*D255,0)</f>
        <v>0</v>
      </c>
      <c r="BE255" s="117"/>
      <c r="BF255" s="117"/>
      <c r="BG255" s="117">
        <f t="shared" ref="BG255:BG268" si="1408">IFERROR(-IF(AH255=$L$3,0,IF(AH255=$N$3,15*680*D255,IF(AH255=$P$3,30*680*D255,IF(AH255=0,50*680*D255,0)))),0)</f>
        <v>0</v>
      </c>
      <c r="BH255" s="117"/>
      <c r="BI255" s="117"/>
      <c r="BJ255" s="117"/>
    </row>
    <row r="256" spans="1:62" ht="18" hidden="1" customHeight="1">
      <c r="A256" s="95"/>
      <c r="B256" s="132"/>
      <c r="C256" s="95"/>
      <c r="D256" s="95"/>
      <c r="E256" s="111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112"/>
      <c r="AJ256" s="113"/>
      <c r="AK256" s="113"/>
      <c r="AL256" s="114"/>
      <c r="AM256" s="95"/>
      <c r="BE256" s="117"/>
      <c r="BF256" s="117"/>
      <c r="BG256" s="117"/>
      <c r="BH256" s="117"/>
      <c r="BI256" s="117"/>
      <c r="BJ256" s="117"/>
    </row>
    <row r="257" spans="1:62" ht="18" hidden="1" customHeight="1">
      <c r="A257" s="65">
        <v>125</v>
      </c>
      <c r="B257" s="64"/>
      <c r="C257" s="68"/>
      <c r="D257" s="80"/>
      <c r="E257" s="96">
        <f>IFERROR('Kiểm hóa may'!D257 + 'Bản sau là'!D257,0)</f>
        <v>0</v>
      </c>
      <c r="F257" s="97"/>
      <c r="G257" s="97"/>
      <c r="H257" s="97"/>
      <c r="I257" s="97"/>
      <c r="J257" s="97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  <c r="AB257" s="93"/>
      <c r="AC257" s="93"/>
      <c r="AD257" s="93">
        <f t="shared" ref="AD257:AD268" si="1409">IFERROR(400*BF257,0)</f>
        <v>0</v>
      </c>
      <c r="AE257" s="93"/>
      <c r="AF257" s="93">
        <f t="shared" ref="AF257:AF268" si="1410">IFERROR(SUM(F257:AC257)*0.2,0)</f>
        <v>0</v>
      </c>
      <c r="AG257" s="93"/>
      <c r="AH257" s="93" t="s">
        <v>179</v>
      </c>
      <c r="AI257" s="98">
        <f t="shared" ref="AI257:AI268" si="1411">IFERROR(130*D257,0)</f>
        <v>0</v>
      </c>
      <c r="AJ257" s="81" cm="1">
        <f t="array" ref="AJ257">IFERROR(SUM(_xlfn._xlws.FILTER(E257:AI257,ISNUMBER(E257:AI257))),0)</f>
        <v>0</v>
      </c>
      <c r="AK257" s="81"/>
      <c r="AL257" s="99">
        <f t="shared" ref="AL257" si="1412">IFERROR(AJ257*(1+AK257%),0)</f>
        <v>0</v>
      </c>
      <c r="AM257" s="116"/>
      <c r="AN257" s="84">
        <f t="shared" ref="AN257:AN268" si="1413">IFERROR(SUM(E257:AC257)/D257,0)</f>
        <v>0</v>
      </c>
      <c r="AO257" s="138"/>
      <c r="AQ257" s="137"/>
      <c r="AR257" s="137"/>
      <c r="AS257" s="137"/>
      <c r="AT257" s="137"/>
      <c r="AU257" s="137"/>
      <c r="AV257" s="137"/>
      <c r="AY257" s="136">
        <f t="shared" ref="AY257:AY268" si="1414">IFERROR((AQ257*20)/60,0)</f>
        <v>0</v>
      </c>
      <c r="AZ257" s="136">
        <f t="shared" ref="AZ257" si="1415">IFERROR(AX257 + AY257 + BI257,0)</f>
        <v>0</v>
      </c>
      <c r="BA257" s="135">
        <f t="shared" ref="BA257" si="1416">IFERROR(AZ257/8,0)</f>
        <v>0</v>
      </c>
      <c r="BB257" s="135">
        <f t="shared" ref="BB257" si="1417">IFERROR(MAX(AQ257-BA257,0),0)</f>
        <v>0</v>
      </c>
      <c r="BD257" s="117">
        <f t="shared" ref="BD257:BD268" si="1418">IFERROR(10000*D257,0)</f>
        <v>0</v>
      </c>
      <c r="BE257" s="117"/>
      <c r="BF257" s="117"/>
      <c r="BG257" s="117">
        <f t="shared" ref="BG257:BG268" si="1419">IFERROR(-IF(AH257=$L$3,0,IF(AH257=$N$3,15*680*D257,IF(AH257=$P$3,30*680*D257,IF(AH257=0,50*680*D257,0)))),0)</f>
        <v>0</v>
      </c>
      <c r="BH257" s="117"/>
      <c r="BI257" s="117"/>
      <c r="BJ257" s="117"/>
    </row>
    <row r="258" spans="1:62" ht="18" hidden="1" customHeight="1">
      <c r="A258" s="57"/>
      <c r="B258" s="132"/>
      <c r="C258" s="95"/>
      <c r="D258" s="95"/>
      <c r="E258" s="111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112"/>
      <c r="AJ258" s="113"/>
      <c r="AK258" s="113"/>
      <c r="AL258" s="114"/>
      <c r="AM258" s="95"/>
      <c r="BE258" s="117"/>
      <c r="BF258" s="117"/>
      <c r="BG258" s="117"/>
      <c r="BH258" s="117"/>
      <c r="BI258" s="117"/>
      <c r="BJ258" s="117"/>
    </row>
    <row r="259" spans="1:62" ht="18" hidden="1" customHeight="1">
      <c r="A259" s="62">
        <v>126</v>
      </c>
      <c r="B259" s="64"/>
      <c r="C259" s="68"/>
      <c r="D259" s="80"/>
      <c r="E259" s="96">
        <f>IFERROR('Kiểm hóa may'!D259 + 'Bản sau là'!D259,0)</f>
        <v>0</v>
      </c>
      <c r="F259" s="97"/>
      <c r="G259" s="97"/>
      <c r="H259" s="97"/>
      <c r="I259" s="97"/>
      <c r="J259" s="97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  <c r="AB259" s="93"/>
      <c r="AC259" s="93"/>
      <c r="AD259" s="93">
        <f t="shared" ref="AD259:AD268" si="1420">IFERROR(400*BF259,0)</f>
        <v>0</v>
      </c>
      <c r="AE259" s="93"/>
      <c r="AF259" s="93">
        <f t="shared" ref="AF259:AF268" si="1421">IFERROR(SUM(F259:AC259)*0.2,0)</f>
        <v>0</v>
      </c>
      <c r="AG259" s="93"/>
      <c r="AH259" s="93" t="s">
        <v>179</v>
      </c>
      <c r="AI259" s="98">
        <f t="shared" ref="AI259:AI268" si="1422">IFERROR(130*D259,0)</f>
        <v>0</v>
      </c>
      <c r="AJ259" s="81" cm="1">
        <f t="array" ref="AJ259">IFERROR(SUM(_xlfn._xlws.FILTER(E259:AI259,ISNUMBER(E259:AI259))),0)</f>
        <v>0</v>
      </c>
      <c r="AK259" s="81"/>
      <c r="AL259" s="99">
        <f t="shared" ref="AL259" si="1423">IFERROR(AJ259*(1+AK259%),0)</f>
        <v>0</v>
      </c>
      <c r="AM259" s="116"/>
      <c r="AN259" s="84">
        <f t="shared" ref="AN259:AN268" si="1424">IFERROR(SUM(E259:AC259)/D259,0)</f>
        <v>0</v>
      </c>
      <c r="AO259" s="138"/>
      <c r="AQ259" s="137"/>
      <c r="AR259" s="137"/>
      <c r="AS259" s="137"/>
      <c r="AT259" s="137"/>
      <c r="AU259" s="137"/>
      <c r="AV259" s="137"/>
      <c r="AY259" s="136">
        <f t="shared" ref="AY259:AY268" si="1425">IFERROR((AQ259*20)/60,0)</f>
        <v>0</v>
      </c>
      <c r="AZ259" s="136">
        <f t="shared" ref="AZ259" si="1426">IFERROR(AX259 + AY259 + BI259,0)</f>
        <v>0</v>
      </c>
      <c r="BA259" s="135">
        <f t="shared" ref="BA259" si="1427">IFERROR(AZ259/8,0)</f>
        <v>0</v>
      </c>
      <c r="BB259" s="135">
        <f t="shared" ref="BB259" si="1428">IFERROR(MAX(AQ259-BA259,0),0)</f>
        <v>0</v>
      </c>
      <c r="BD259" s="117">
        <f t="shared" ref="BD259:BD268" si="1429">IFERROR(10000*D259,0)</f>
        <v>0</v>
      </c>
      <c r="BE259" s="117"/>
      <c r="BF259" s="117"/>
      <c r="BG259" s="117">
        <f t="shared" ref="BG259:BG268" si="1430">IFERROR(-IF(AH259=$L$3,0,IF(AH259=$N$3,15*680*D259,IF(AH259=$P$3,30*680*D259,IF(AH259=0,50*680*D259,0)))),0)</f>
        <v>0</v>
      </c>
      <c r="BH259" s="117"/>
      <c r="BI259" s="117"/>
      <c r="BJ259" s="117"/>
    </row>
    <row r="260" spans="1:62" s="85" customFormat="1" ht="20.25" hidden="1" customHeight="1">
      <c r="A260" s="95"/>
      <c r="B260" s="132"/>
      <c r="C260" s="95"/>
      <c r="D260" s="95"/>
      <c r="E260" s="111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G260" s="95"/>
      <c r="AH260" s="95"/>
      <c r="AI260" s="112"/>
      <c r="AJ260" s="113"/>
      <c r="AK260" s="113"/>
      <c r="AL260" s="114"/>
      <c r="AM260" s="95"/>
      <c r="AN260" s="83"/>
      <c r="AO260" s="117"/>
      <c r="AP260" s="117"/>
      <c r="AQ260" s="117"/>
      <c r="AR260" s="117"/>
      <c r="AS260" s="117"/>
      <c r="AT260" s="117"/>
      <c r="AU260" s="117"/>
      <c r="AV260" s="117"/>
      <c r="AW260" s="117"/>
      <c r="AX260" s="117"/>
      <c r="AY260" s="117"/>
      <c r="AZ260" s="117"/>
      <c r="BA260" s="135"/>
      <c r="BB260" s="135"/>
      <c r="BC260" s="117"/>
      <c r="BD260" s="117"/>
      <c r="BE260" s="117"/>
      <c r="BF260" s="117"/>
      <c r="BG260" s="117"/>
      <c r="BH260" s="117"/>
      <c r="BI260" s="117"/>
      <c r="BJ260" s="117"/>
    </row>
    <row r="261" spans="1:62" s="85" customFormat="1" ht="20.25" hidden="1" customHeight="1">
      <c r="A261" s="65">
        <v>127</v>
      </c>
      <c r="B261" s="64"/>
      <c r="C261" s="68"/>
      <c r="D261" s="80"/>
      <c r="E261" s="96">
        <f>IFERROR('Kiểm hóa may'!D261 + 'Bản sau là'!D261,0)</f>
        <v>0</v>
      </c>
      <c r="F261" s="97"/>
      <c r="G261" s="97"/>
      <c r="H261" s="97"/>
      <c r="I261" s="97"/>
      <c r="J261" s="97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  <c r="AB261" s="93"/>
      <c r="AC261" s="93"/>
      <c r="AD261" s="93">
        <f t="shared" ref="AD261:AD268" si="1431">IFERROR(400*BF261,0)</f>
        <v>0</v>
      </c>
      <c r="AE261" s="93"/>
      <c r="AF261" s="93">
        <f t="shared" ref="AF261:AF268" si="1432">IFERROR(SUM(F261:AC261)*0.2,0)</f>
        <v>0</v>
      </c>
      <c r="AG261" s="93"/>
      <c r="AH261" s="93" t="s">
        <v>179</v>
      </c>
      <c r="AI261" s="98">
        <f t="shared" ref="AI261:AI268" si="1433">IFERROR(130*D261,0)</f>
        <v>0</v>
      </c>
      <c r="AJ261" s="81" cm="1">
        <f t="array" ref="AJ261">IFERROR(SUM(_xlfn._xlws.FILTER(E261:AI261,ISNUMBER(E261:AI261))),0)</f>
        <v>0</v>
      </c>
      <c r="AK261" s="81"/>
      <c r="AL261" s="99">
        <f t="shared" ref="AL261" si="1434">IFERROR(AJ261*(1+AK261%),0)</f>
        <v>0</v>
      </c>
      <c r="AM261" s="116"/>
      <c r="AN261" s="84">
        <f t="shared" ref="AN261:AN268" si="1435">IFERROR(SUM(E261:AC261)/D261,0)</f>
        <v>0</v>
      </c>
      <c r="AO261" s="138"/>
      <c r="AP261" s="117"/>
      <c r="AQ261" s="137"/>
      <c r="AR261" s="137"/>
      <c r="AS261" s="137"/>
      <c r="AT261" s="137"/>
      <c r="AU261" s="137"/>
      <c r="AV261" s="137"/>
      <c r="AW261" s="117"/>
      <c r="AX261" s="117"/>
      <c r="AY261" s="136">
        <f t="shared" ref="AY261:AY268" si="1436">IFERROR((AQ261*20)/60,0)</f>
        <v>0</v>
      </c>
      <c r="AZ261" s="136">
        <f t="shared" ref="AZ261" si="1437">IFERROR(AX261 + AY261 + BI261,0)</f>
        <v>0</v>
      </c>
      <c r="BA261" s="135">
        <f t="shared" ref="BA261" si="1438">IFERROR(AZ261/8,0)</f>
        <v>0</v>
      </c>
      <c r="BB261" s="135">
        <f t="shared" ref="BB261" si="1439">IFERROR(MAX(AQ261-BA261,0),0)</f>
        <v>0</v>
      </c>
      <c r="BC261" s="117"/>
      <c r="BD261" s="117">
        <f t="shared" ref="BD261:BD268" si="1440">IFERROR(10000*D261,0)</f>
        <v>0</v>
      </c>
      <c r="BE261" s="117"/>
      <c r="BF261" s="117"/>
      <c r="BG261" s="117">
        <f t="shared" ref="BG261:BG268" si="1441">IFERROR(-IF(AH261=$L$3,0,IF(AH261=$N$3,15*680*D261,IF(AH261=$P$3,30*680*D261,IF(AH261=0,50*680*D261,0)))),0)</f>
        <v>0</v>
      </c>
      <c r="BH261" s="117"/>
      <c r="BI261" s="117"/>
      <c r="BJ261" s="117"/>
    </row>
    <row r="262" spans="1:62" s="85" customFormat="1" ht="20.25" hidden="1" customHeight="1">
      <c r="A262" s="57"/>
      <c r="B262" s="132"/>
      <c r="C262" s="95"/>
      <c r="D262" s="95"/>
      <c r="E262" s="111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112"/>
      <c r="AJ262" s="113"/>
      <c r="AK262" s="113"/>
      <c r="AL262" s="114"/>
      <c r="AM262" s="95"/>
      <c r="AN262" s="83"/>
      <c r="AO262" s="117"/>
      <c r="AP262" s="117"/>
      <c r="AQ262" s="117"/>
      <c r="AR262" s="117"/>
      <c r="AS262" s="117"/>
      <c r="AT262" s="117"/>
      <c r="AU262" s="117"/>
      <c r="AV262" s="117"/>
      <c r="AW262" s="117"/>
      <c r="AX262" s="117"/>
      <c r="AY262" s="117"/>
      <c r="AZ262" s="117"/>
      <c r="BA262" s="135"/>
      <c r="BB262" s="135"/>
      <c r="BC262" s="117"/>
      <c r="BD262" s="117"/>
      <c r="BE262" s="117"/>
      <c r="BF262" s="117"/>
      <c r="BG262" s="117"/>
      <c r="BH262" s="117"/>
      <c r="BI262" s="117"/>
      <c r="BJ262" s="117"/>
    </row>
    <row r="263" spans="1:62" s="85" customFormat="1" ht="20.25" hidden="1" customHeight="1">
      <c r="A263" s="62">
        <v>128</v>
      </c>
      <c r="B263" s="64"/>
      <c r="C263" s="68"/>
      <c r="D263" s="80"/>
      <c r="E263" s="96">
        <f>IFERROR('Kiểm hóa may'!D263 + 'Bản sau là'!D263,0)</f>
        <v>0</v>
      </c>
      <c r="F263" s="97"/>
      <c r="G263" s="97"/>
      <c r="H263" s="97"/>
      <c r="I263" s="97"/>
      <c r="J263" s="97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  <c r="AA263" s="93"/>
      <c r="AB263" s="93"/>
      <c r="AC263" s="93"/>
      <c r="AD263" s="93">
        <f t="shared" ref="AD263:AD268" si="1442">IFERROR(400*BF263,0)</f>
        <v>0</v>
      </c>
      <c r="AE263" s="93"/>
      <c r="AF263" s="93">
        <f t="shared" ref="AF263:AF268" si="1443">IFERROR(SUM(F263:AC263)*0.2,0)</f>
        <v>0</v>
      </c>
      <c r="AG263" s="93"/>
      <c r="AH263" s="93" t="s">
        <v>179</v>
      </c>
      <c r="AI263" s="98">
        <f t="shared" ref="AI263:AI268" si="1444">IFERROR(130*D263,0)</f>
        <v>0</v>
      </c>
      <c r="AJ263" s="81" cm="1">
        <f t="array" ref="AJ263">IFERROR(SUM(_xlfn._xlws.FILTER(E263:AI263,ISNUMBER(E263:AI263))),0)</f>
        <v>0</v>
      </c>
      <c r="AK263" s="81"/>
      <c r="AL263" s="99">
        <f t="shared" ref="AL263" si="1445">IFERROR(AJ263*(1+AK263%),0)</f>
        <v>0</v>
      </c>
      <c r="AM263" s="116"/>
      <c r="AN263" s="84">
        <f t="shared" ref="AN263:AN268" si="1446">IFERROR(SUM(E263:AC263)/D263,0)</f>
        <v>0</v>
      </c>
      <c r="AO263" s="138"/>
      <c r="AP263" s="117"/>
      <c r="AQ263" s="137"/>
      <c r="AR263" s="137"/>
      <c r="AS263" s="137"/>
      <c r="AT263" s="137"/>
      <c r="AU263" s="137"/>
      <c r="AV263" s="137"/>
      <c r="AW263" s="117"/>
      <c r="AX263" s="117"/>
      <c r="AY263" s="136">
        <f t="shared" ref="AY263:AY268" si="1447">IFERROR((AQ263*20)/60,0)</f>
        <v>0</v>
      </c>
      <c r="AZ263" s="136">
        <f t="shared" ref="AZ263" si="1448">IFERROR(AX263 + AY263 + BI263,0)</f>
        <v>0</v>
      </c>
      <c r="BA263" s="135">
        <f t="shared" ref="BA263" si="1449">IFERROR(AZ263/8,0)</f>
        <v>0</v>
      </c>
      <c r="BB263" s="135">
        <f t="shared" ref="BB263" si="1450">IFERROR(MAX(AQ263-BA263,0),0)</f>
        <v>0</v>
      </c>
      <c r="BC263" s="117"/>
      <c r="BD263" s="117">
        <f t="shared" ref="BD263:BD268" si="1451">IFERROR(10000*D263,0)</f>
        <v>0</v>
      </c>
      <c r="BE263" s="117"/>
      <c r="BF263" s="117"/>
      <c r="BG263" s="117">
        <f t="shared" ref="BG263:BG268" si="1452">IFERROR(-IF(AH263=$L$3,0,IF(AH263=$N$3,15*680*D263,IF(AH263=$P$3,30*680*D263,IF(AH263=0,50*680*D263,0)))),0)</f>
        <v>0</v>
      </c>
      <c r="BH263" s="117"/>
      <c r="BI263" s="117"/>
      <c r="BJ263" s="117"/>
    </row>
    <row r="264" spans="1:62" s="85" customFormat="1" ht="20.25" hidden="1" customHeight="1">
      <c r="A264" s="95"/>
      <c r="B264" s="132"/>
      <c r="C264" s="95"/>
      <c r="D264" s="95"/>
      <c r="E264" s="111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G264" s="95"/>
      <c r="AH264" s="95"/>
      <c r="AI264" s="112"/>
      <c r="AJ264" s="113"/>
      <c r="AK264" s="113"/>
      <c r="AL264" s="114"/>
      <c r="AM264" s="95"/>
      <c r="AN264" s="83"/>
      <c r="AO264" s="117"/>
      <c r="AP264" s="117"/>
      <c r="AQ264" s="117"/>
      <c r="AR264" s="117"/>
      <c r="AS264" s="117"/>
      <c r="AT264" s="117"/>
      <c r="AU264" s="117"/>
      <c r="AV264" s="117"/>
      <c r="AW264" s="117"/>
      <c r="AX264" s="117"/>
      <c r="AY264" s="117"/>
      <c r="AZ264" s="117"/>
      <c r="BA264" s="135"/>
      <c r="BB264" s="135"/>
      <c r="BC264" s="117"/>
      <c r="BD264" s="117"/>
      <c r="BE264" s="117"/>
      <c r="BF264" s="117"/>
      <c r="BG264" s="117"/>
      <c r="BH264" s="117"/>
      <c r="BI264" s="117"/>
      <c r="BJ264" s="117"/>
    </row>
    <row r="265" spans="1:62" s="85" customFormat="1" ht="20.25" hidden="1" customHeight="1">
      <c r="A265" s="65">
        <v>129</v>
      </c>
      <c r="B265" s="64"/>
      <c r="C265" s="68"/>
      <c r="D265" s="80"/>
      <c r="E265" s="96">
        <f>IFERROR('Kiểm hóa may'!D265 + 'Bản sau là'!D265,0)</f>
        <v>0</v>
      </c>
      <c r="F265" s="97"/>
      <c r="G265" s="97"/>
      <c r="H265" s="97"/>
      <c r="I265" s="97"/>
      <c r="J265" s="97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  <c r="AA265" s="93"/>
      <c r="AB265" s="93"/>
      <c r="AC265" s="93"/>
      <c r="AD265" s="93">
        <f t="shared" ref="AD265:AD268" si="1453">IFERROR(400*BF265,0)</f>
        <v>0</v>
      </c>
      <c r="AE265" s="93"/>
      <c r="AF265" s="93">
        <f t="shared" ref="AF265:AF268" si="1454">IFERROR(SUM(F265:AC265)*0.2,0)</f>
        <v>0</v>
      </c>
      <c r="AG265" s="93"/>
      <c r="AH265" s="93" t="s">
        <v>179</v>
      </c>
      <c r="AI265" s="98">
        <f t="shared" ref="AI265:AI268" si="1455">IFERROR(130*D265,0)</f>
        <v>0</v>
      </c>
      <c r="AJ265" s="81" cm="1">
        <f t="array" ref="AJ265">IFERROR(SUM(_xlfn._xlws.FILTER(E265:AI265,ISNUMBER(E265:AI265))),0)</f>
        <v>0</v>
      </c>
      <c r="AK265" s="81"/>
      <c r="AL265" s="99">
        <f t="shared" ref="AL265" si="1456">IFERROR(AJ265*(1+AK265%),0)</f>
        <v>0</v>
      </c>
      <c r="AM265" s="116"/>
      <c r="AN265" s="84">
        <f t="shared" ref="AN265:AN268" si="1457">IFERROR(SUM(E265:AC265)/D265,0)</f>
        <v>0</v>
      </c>
      <c r="AO265" s="138"/>
      <c r="AP265" s="117"/>
      <c r="AQ265" s="137"/>
      <c r="AR265" s="137"/>
      <c r="AS265" s="137"/>
      <c r="AT265" s="137"/>
      <c r="AU265" s="137"/>
      <c r="AV265" s="137"/>
      <c r="AW265" s="117"/>
      <c r="AX265" s="117"/>
      <c r="AY265" s="136">
        <f t="shared" ref="AY265:AY268" si="1458">IFERROR((AQ265*20)/60,0)</f>
        <v>0</v>
      </c>
      <c r="AZ265" s="136">
        <f t="shared" ref="AZ265" si="1459">IFERROR(AX265 + AY265 + BI265,0)</f>
        <v>0</v>
      </c>
      <c r="BA265" s="135">
        <f t="shared" ref="BA265" si="1460">IFERROR(AZ265/8,0)</f>
        <v>0</v>
      </c>
      <c r="BB265" s="135">
        <f t="shared" ref="BB265" si="1461">IFERROR(MAX(AQ265-BA265,0),0)</f>
        <v>0</v>
      </c>
      <c r="BC265" s="117"/>
      <c r="BD265" s="117">
        <f t="shared" ref="BD265:BD268" si="1462">IFERROR(10000*D265,0)</f>
        <v>0</v>
      </c>
      <c r="BE265" s="117"/>
      <c r="BF265" s="117"/>
      <c r="BG265" s="117">
        <f t="shared" ref="BG265:BG268" si="1463">IFERROR(-IF(AH265=$L$3,0,IF(AH265=$N$3,15*680*D265,IF(AH265=$P$3,30*680*D265,IF(AH265=0,50*680*D265,0)))),0)</f>
        <v>0</v>
      </c>
      <c r="BH265" s="117"/>
      <c r="BI265" s="117"/>
      <c r="BJ265" s="117"/>
    </row>
    <row r="266" spans="1:62" s="85" customFormat="1" ht="20.25" customHeight="1">
      <c r="A266" s="57"/>
      <c r="B266" s="132"/>
      <c r="C266" s="95"/>
      <c r="D266" s="95"/>
      <c r="E266" s="111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G266" s="95"/>
      <c r="AH266" s="95"/>
      <c r="AI266" s="112"/>
      <c r="AJ266" s="113"/>
      <c r="AK266" s="113"/>
      <c r="AL266" s="114"/>
      <c r="AM266" s="95"/>
      <c r="AN266" s="83"/>
      <c r="AO266" s="117"/>
      <c r="AP266" s="117"/>
      <c r="AQ266" s="117"/>
      <c r="AR266" s="117"/>
      <c r="AS266" s="117"/>
      <c r="AT266" s="117"/>
      <c r="AU266" s="117"/>
      <c r="AV266" s="117"/>
      <c r="AW266" s="117"/>
      <c r="AX266" s="117"/>
      <c r="AY266" s="117"/>
      <c r="AZ266" s="117"/>
      <c r="BA266" s="135"/>
      <c r="BB266" s="135"/>
      <c r="BC266" s="117"/>
      <c r="BD266" s="117"/>
      <c r="BE266" s="117"/>
      <c r="BF266" s="117"/>
      <c r="BG266" s="117"/>
      <c r="BH266" s="117"/>
      <c r="BI266" s="117"/>
      <c r="BJ266" s="117"/>
    </row>
    <row r="267" spans="1:62" s="85" customFormat="1" ht="20.25" customHeight="1">
      <c r="A267" s="62">
        <v>130</v>
      </c>
      <c r="B267" s="132"/>
      <c r="C267" s="95"/>
      <c r="D267" s="95"/>
      <c r="E267" s="96">
        <f>IFERROR('Kiểm hóa may'!D267 + 'Bản sau là'!D267,0)</f>
        <v>0</v>
      </c>
      <c r="F267" s="97"/>
      <c r="G267" s="97"/>
      <c r="H267" s="97"/>
      <c r="I267" s="97"/>
      <c r="J267" s="97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  <c r="AA267" s="93"/>
      <c r="AB267" s="93"/>
      <c r="AC267" s="93"/>
      <c r="AD267" s="93">
        <f t="shared" ref="AD267:AD268" si="1464">IFERROR(400*BF267,0)</f>
        <v>0</v>
      </c>
      <c r="AE267" s="93"/>
      <c r="AF267" s="93">
        <f t="shared" ref="AF267:AF268" si="1465">IFERROR(SUM(F267:AC267)*0.2,0)</f>
        <v>0</v>
      </c>
      <c r="AG267" s="93"/>
      <c r="AH267" s="93" t="s">
        <v>179</v>
      </c>
      <c r="AI267" s="98">
        <f t="shared" ref="AI267:AI268" si="1466">IFERROR(130*D267,0)</f>
        <v>0</v>
      </c>
      <c r="AJ267" s="81" cm="1">
        <f t="array" ref="AJ267">IFERROR(SUM(_xlfn._xlws.FILTER(E267:AI267,ISNUMBER(E267:AI267))),0)</f>
        <v>0</v>
      </c>
      <c r="AK267" s="81"/>
      <c r="AL267" s="99">
        <f t="shared" ref="AL267" si="1467">IFERROR(AJ267*(1+AK267%),0)</f>
        <v>0</v>
      </c>
      <c r="AM267" s="116"/>
      <c r="AN267" s="84">
        <f t="shared" ref="AN267:AN268" si="1468">IFERROR(SUM(E267:AC267)/D267,0)</f>
        <v>0</v>
      </c>
      <c r="AO267" s="138"/>
      <c r="AP267" s="117"/>
      <c r="AQ267" s="137"/>
      <c r="AR267" s="137"/>
      <c r="AS267" s="137"/>
      <c r="AT267" s="137"/>
      <c r="AU267" s="137"/>
      <c r="AV267" s="137"/>
      <c r="AW267" s="117"/>
      <c r="AX267" s="117"/>
      <c r="AY267" s="136">
        <f t="shared" ref="AY267:AY268" si="1469">IFERROR((AQ267*20)/60,0)</f>
        <v>0</v>
      </c>
      <c r="AZ267" s="136">
        <f t="shared" ref="AZ267" si="1470">IFERROR(AX267 + AY267 + BI267,0)</f>
        <v>0</v>
      </c>
      <c r="BA267" s="135">
        <f t="shared" ref="BA267" si="1471">IFERROR(AZ267/8,0)</f>
        <v>0</v>
      </c>
      <c r="BB267" s="135">
        <f t="shared" ref="BB267" si="1472">IFERROR(MAX(AQ267-BA267,0),0)</f>
        <v>0</v>
      </c>
      <c r="BC267" s="117"/>
      <c r="BD267" s="117">
        <f t="shared" ref="BD267:BD268" si="1473">IFERROR(10000*D267,0)</f>
        <v>0</v>
      </c>
      <c r="BE267" s="117"/>
      <c r="BF267" s="117"/>
      <c r="BG267" s="117">
        <f t="shared" ref="BG267:BG268" si="1474">IFERROR(-IF(AH267=$L$3,0,IF(AH267=$N$3,15*680*D267,IF(AH267=$P$3,30*680*D267,IF(AH267=0,50*680*D267,0)))),0)</f>
        <v>0</v>
      </c>
      <c r="BH267" s="117"/>
      <c r="BI267" s="117"/>
      <c r="BJ267" s="117"/>
    </row>
    <row r="268" spans="1:62" s="85" customFormat="1" ht="20.25" customHeight="1">
      <c r="A268" s="95"/>
      <c r="B268" s="132"/>
      <c r="C268" s="95"/>
      <c r="D268" s="95"/>
      <c r="E268" s="111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95"/>
      <c r="AE268" s="95"/>
      <c r="AF268" s="95"/>
      <c r="AG268" s="95"/>
      <c r="AH268" s="95"/>
      <c r="AI268" s="112"/>
      <c r="AJ268" s="113"/>
      <c r="AK268" s="113"/>
      <c r="AL268" s="114"/>
      <c r="AM268" s="95"/>
      <c r="AN268" s="83"/>
      <c r="AO268" s="117"/>
      <c r="AP268" s="117"/>
      <c r="AQ268" s="117"/>
      <c r="AR268" s="117"/>
      <c r="AS268" s="117"/>
      <c r="AT268" s="117"/>
      <c r="AU268" s="117"/>
      <c r="AV268" s="117"/>
      <c r="AW268" s="117"/>
      <c r="AX268" s="117"/>
      <c r="AY268" s="117"/>
      <c r="AZ268" s="117"/>
      <c r="BA268" s="135"/>
      <c r="BB268" s="135"/>
      <c r="BC268" s="117"/>
      <c r="BD268" s="117"/>
      <c r="BE268" s="117"/>
      <c r="BF268" s="117"/>
      <c r="BG268" s="117"/>
      <c r="BH268" s="117"/>
      <c r="BI268" s="117"/>
      <c r="BJ268" s="117"/>
    </row>
    <row r="269" spans="1:62" ht="20.25" customHeight="1">
      <c r="A269" s="84"/>
      <c r="B269" s="130"/>
      <c r="C269" s="82"/>
      <c r="D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128"/>
      <c r="AJ269" s="129"/>
      <c r="AK269" s="129"/>
      <c r="AL269" s="129"/>
      <c r="AO269" s="83"/>
      <c r="AP269" s="83"/>
      <c r="AQ269" s="83"/>
      <c r="AR269" s="83"/>
      <c r="AS269" s="83"/>
      <c r="AT269" s="83"/>
      <c r="AU269" s="83"/>
      <c r="AV269" s="83"/>
      <c r="AW269" s="83"/>
      <c r="AX269" s="83"/>
      <c r="AY269" s="83"/>
      <c r="AZ269" s="83"/>
      <c r="BA269" s="115"/>
      <c r="BB269" s="115"/>
      <c r="BC269" s="83"/>
      <c r="BD269" s="83"/>
      <c r="BG269" s="117">
        <f t="shared" ref="BG269" si="1475">-IF(AH269=$L$3,0,IF(AH269=$N$3,15*680*D269,IF(AH269=$T$3,30*680*D269,IF(AH269=0,50*680*D269))))</f>
        <v>0</v>
      </c>
    </row>
    <row r="270" spans="1:62" ht="18" customHeight="1">
      <c r="A270" s="67"/>
      <c r="B270" s="130"/>
      <c r="C270" s="82"/>
      <c r="D270" s="82" cm="1">
        <f t="array" ref="D270">SUMPRODUCT(
  (MOD(ROW(D9:D268),2)=1)*
  (LEN(TRIM(B9:B268))&gt;0)*
  ISNUMBER(D9:D268)*
  D9:D268
)</f>
        <v>0</v>
      </c>
      <c r="E270" s="82" cm="1">
        <f t="array" ref="E270">SUMPRODUCT(
  (MOD(ROW(E9:E268),2)=1)*
  (LEN(TRIM(B9:B268))&gt;0)*
  ISNUMBER(E9:E268)*
  E9:E268
)</f>
        <v>0</v>
      </c>
      <c r="AI270" s="118"/>
      <c r="AK270" s="129" t="s">
        <v>13</v>
      </c>
      <c r="AL270" s="119" cm="1">
        <f t="array" ref="AL270">SUMPRODUCT(
  (MOD(ROW(AL9:AL268),2)=1)*
  (LEN(TRIM(B9:B268))&gt;0)*
  ISNUMBER(AL9:AL268)*
  AL9:AL268
)</f>
        <v>0</v>
      </c>
      <c r="AO270" s="83"/>
      <c r="AP270" s="83"/>
      <c r="AQ270" s="83"/>
      <c r="AR270" s="83"/>
      <c r="AS270" s="83"/>
      <c r="AT270" s="83"/>
      <c r="AU270" s="83"/>
      <c r="AV270" s="83"/>
      <c r="AW270" s="83"/>
      <c r="AX270" s="83"/>
      <c r="AY270" s="144">
        <f>+(AQ270*10)/60</f>
        <v>0</v>
      </c>
      <c r="AZ270" s="144">
        <f>+AX270+AY270</f>
        <v>0</v>
      </c>
      <c r="BA270" s="115"/>
      <c r="BB270" s="115"/>
      <c r="BC270" s="83"/>
      <c r="BD270" s="83"/>
      <c r="BG270" s="117"/>
    </row>
    <row r="271" spans="1:62" ht="18" hidden="1" customHeight="1">
      <c r="A271" s="67"/>
      <c r="B271" s="130"/>
      <c r="C271" s="82"/>
      <c r="D271" s="82"/>
      <c r="AI271" s="118"/>
      <c r="AO271" s="83"/>
      <c r="AP271" s="83"/>
      <c r="AQ271" s="83"/>
      <c r="AR271" s="83"/>
      <c r="AS271" s="83"/>
      <c r="AT271" s="83"/>
      <c r="AU271" s="83"/>
      <c r="AV271" s="83"/>
      <c r="AW271" s="83"/>
      <c r="AX271" s="83"/>
      <c r="AY271" s="83"/>
      <c r="AZ271" s="83"/>
      <c r="BA271" s="115"/>
      <c r="BB271" s="115"/>
      <c r="BC271" s="83"/>
      <c r="BD271" s="83"/>
      <c r="BG271" s="117">
        <f t="shared" ref="BG271" si="1476">-IF(AH271=$L$3,0,IF(AH271=$N$3,15*680*D271,IF(AH271=$T$3,30*680*D271,IF(AH271=0,50*680*D271))))</f>
        <v>0</v>
      </c>
    </row>
    <row r="272" spans="1:62" ht="18" hidden="1" customHeight="1">
      <c r="A272" s="67"/>
      <c r="B272" s="130"/>
      <c r="C272" s="82"/>
      <c r="D272" s="82"/>
      <c r="AI272" s="118"/>
      <c r="AO272" s="83"/>
      <c r="AP272" s="83"/>
      <c r="AQ272" s="83"/>
      <c r="AR272" s="83"/>
      <c r="AS272" s="83"/>
      <c r="AT272" s="83"/>
      <c r="AU272" s="83"/>
      <c r="AV272" s="83"/>
      <c r="AW272" s="83"/>
      <c r="AX272" s="83"/>
      <c r="AY272" s="144">
        <f>+(AQ272*10)/60</f>
        <v>0</v>
      </c>
      <c r="AZ272" s="144">
        <f>+AX272+AY272</f>
        <v>0</v>
      </c>
      <c r="BA272" s="115"/>
      <c r="BB272" s="115"/>
      <c r="BC272" s="83"/>
      <c r="BD272" s="83"/>
      <c r="BG272" s="117"/>
    </row>
    <row r="273" spans="1:59" ht="18" hidden="1" customHeight="1">
      <c r="A273" s="67"/>
      <c r="B273" s="130"/>
      <c r="C273" s="82"/>
      <c r="D273" s="82"/>
      <c r="AI273" s="118"/>
      <c r="AO273" s="83"/>
      <c r="AP273" s="83"/>
      <c r="AQ273" s="83"/>
      <c r="AR273" s="83"/>
      <c r="AS273" s="83"/>
      <c r="AT273" s="83"/>
      <c r="AU273" s="83"/>
      <c r="AV273" s="83"/>
      <c r="AW273" s="83"/>
      <c r="AX273" s="83"/>
      <c r="AY273" s="83"/>
      <c r="AZ273" s="83"/>
      <c r="BA273" s="115"/>
      <c r="BB273" s="115"/>
      <c r="BC273" s="83"/>
      <c r="BD273" s="83"/>
      <c r="BG273" s="117">
        <f t="shared" ref="BG273" si="1477">-IF(AH273=$L$3,0,IF(AH273=$N$3,15*680*D273,IF(AH273=$T$3,30*680*D273,IF(AH273=0,50*680*D273))))</f>
        <v>0</v>
      </c>
    </row>
    <row r="274" spans="1:59" ht="18" hidden="1" customHeight="1">
      <c r="A274" s="67"/>
      <c r="B274" s="130"/>
      <c r="C274" s="82"/>
      <c r="D274" s="82"/>
      <c r="AI274" s="118"/>
      <c r="AO274" s="83"/>
      <c r="AP274" s="83"/>
      <c r="AQ274" s="83"/>
      <c r="AR274" s="83"/>
      <c r="AS274" s="83"/>
      <c r="AT274" s="83"/>
      <c r="AU274" s="83"/>
      <c r="AV274" s="83"/>
      <c r="AW274" s="83"/>
      <c r="AX274" s="83"/>
      <c r="AY274" s="144">
        <f>+(AQ274*10)/60</f>
        <v>0</v>
      </c>
      <c r="AZ274" s="144">
        <f>+AX274+AY274</f>
        <v>0</v>
      </c>
      <c r="BA274" s="115"/>
      <c r="BB274" s="115"/>
      <c r="BC274" s="83"/>
      <c r="BD274" s="83"/>
      <c r="BG274" s="117"/>
    </row>
    <row r="275" spans="1:59" ht="18" hidden="1" customHeight="1">
      <c r="A275" s="67"/>
      <c r="B275" s="130"/>
      <c r="C275" s="82"/>
      <c r="D275" s="82"/>
      <c r="AI275" s="118"/>
      <c r="AO275" s="83"/>
      <c r="AP275" s="83"/>
      <c r="AQ275" s="83"/>
      <c r="AR275" s="83"/>
      <c r="AS275" s="83"/>
      <c r="AT275" s="83"/>
      <c r="AU275" s="83"/>
      <c r="AV275" s="83"/>
      <c r="AW275" s="83"/>
      <c r="AX275" s="83"/>
      <c r="AY275" s="83"/>
      <c r="AZ275" s="83"/>
      <c r="BA275" s="115"/>
      <c r="BB275" s="115"/>
      <c r="BC275" s="83"/>
      <c r="BD275" s="83"/>
      <c r="BG275" s="117">
        <f t="shared" ref="BG275" si="1478">-IF(AH275=$L$3,0,IF(AH275=$N$3,15*680*D275,IF(AH275=$T$3,30*680*D275,IF(AH275=0,50*680*D275))))</f>
        <v>0</v>
      </c>
    </row>
    <row r="276" spans="1:59" ht="18" hidden="1" customHeight="1">
      <c r="A276" s="67"/>
      <c r="B276" s="130"/>
      <c r="C276" s="82"/>
      <c r="D276" s="82"/>
      <c r="AI276" s="118"/>
      <c r="AO276" s="83"/>
      <c r="AP276" s="83"/>
      <c r="AQ276" s="83"/>
      <c r="AR276" s="83"/>
      <c r="AS276" s="83"/>
      <c r="AT276" s="83"/>
      <c r="AU276" s="83"/>
      <c r="AV276" s="83"/>
      <c r="AW276" s="83"/>
      <c r="AX276" s="83"/>
      <c r="AY276" s="144">
        <f>+(AQ276*10)/60</f>
        <v>0</v>
      </c>
      <c r="AZ276" s="144">
        <f>+AX276+AY276</f>
        <v>0</v>
      </c>
      <c r="BA276" s="115"/>
      <c r="BB276" s="115"/>
      <c r="BC276" s="83"/>
      <c r="BD276" s="83"/>
      <c r="BG276" s="117"/>
    </row>
    <row r="277" spans="1:59" ht="18" customHeight="1">
      <c r="B277" s="133"/>
      <c r="C277" s="100"/>
      <c r="D277" s="100"/>
      <c r="E277" s="100"/>
      <c r="F277" s="100"/>
      <c r="G277" s="100"/>
      <c r="H277" s="100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  <c r="AA277" s="101"/>
      <c r="AB277" s="101"/>
      <c r="AC277" s="101"/>
      <c r="AD277" s="101"/>
      <c r="AE277" s="101"/>
      <c r="AF277" s="101"/>
      <c r="AG277" s="101"/>
      <c r="AH277" s="101"/>
      <c r="AI277" s="120"/>
      <c r="AJ277" s="121"/>
      <c r="AK277" s="121"/>
      <c r="AL277" s="121"/>
      <c r="AM277" s="122"/>
      <c r="AN277" s="85"/>
      <c r="AO277" s="83"/>
      <c r="AP277" s="83"/>
      <c r="AQ277" s="83"/>
      <c r="AR277" s="83"/>
      <c r="AS277" s="83"/>
      <c r="AT277" s="83"/>
      <c r="AU277" s="83"/>
      <c r="AV277" s="83"/>
      <c r="AW277" s="83"/>
      <c r="AX277" s="83"/>
      <c r="AY277" s="83"/>
      <c r="AZ277" s="83"/>
      <c r="BA277" s="115"/>
      <c r="BB277" s="115"/>
      <c r="BC277" s="83"/>
      <c r="BD277" s="83"/>
      <c r="BG277" s="117">
        <f t="shared" ref="BG277" si="1479">-IF(AH277=$L$3,0,IF(AH277=$N$3,15*680*D277,IF(AH277=$T$3,30*680*D277,IF(AH277=0,50*680*D277))))</f>
        <v>0</v>
      </c>
    </row>
    <row r="278" spans="1:59" ht="18" customHeight="1">
      <c r="B278" s="134"/>
      <c r="C278" s="102"/>
      <c r="D278" s="102"/>
      <c r="E278" s="102"/>
      <c r="F278" s="102"/>
      <c r="G278" s="102"/>
      <c r="H278" s="102"/>
      <c r="I278" s="102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103"/>
      <c r="AC278" s="103"/>
      <c r="AD278" s="103"/>
      <c r="AE278" s="103"/>
      <c r="AF278" s="103"/>
      <c r="AG278" s="103"/>
      <c r="AH278" s="103"/>
      <c r="AI278" s="104"/>
      <c r="AJ278" s="103"/>
      <c r="AK278" s="103"/>
      <c r="AL278" s="109"/>
      <c r="AM278" s="122"/>
      <c r="AN278" s="85"/>
      <c r="AO278" s="83"/>
      <c r="AP278" s="83"/>
      <c r="AQ278" s="83"/>
      <c r="AR278" s="83"/>
      <c r="AS278" s="83"/>
      <c r="AT278" s="83"/>
      <c r="AU278" s="83"/>
      <c r="AV278" s="83"/>
      <c r="AW278" s="83"/>
      <c r="AX278" s="83"/>
      <c r="AY278" s="144">
        <f>+(AQ278*10)/60</f>
        <v>0</v>
      </c>
      <c r="AZ278" s="144">
        <f>+AX278+AY278</f>
        <v>0</v>
      </c>
      <c r="BA278" s="115"/>
      <c r="BB278" s="115"/>
      <c r="BC278" s="83"/>
      <c r="BD278" s="83"/>
      <c r="BG278" s="117"/>
    </row>
    <row r="279" spans="1:59" s="17" customFormat="1" ht="18" customHeight="1">
      <c r="B279" s="148"/>
      <c r="C279" s="149"/>
      <c r="D279" s="149"/>
      <c r="E279" s="149"/>
      <c r="F279" s="149"/>
      <c r="G279" s="149"/>
      <c r="H279" s="149"/>
      <c r="I279" s="149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  <c r="AA279" s="150"/>
      <c r="AB279" s="151">
        <v>0</v>
      </c>
      <c r="AC279" s="151"/>
      <c r="AD279" s="151"/>
      <c r="AE279" s="151"/>
      <c r="AF279" s="151"/>
      <c r="AG279" s="151"/>
      <c r="AH279" s="151"/>
      <c r="AI279" s="124"/>
      <c r="AJ279" s="151"/>
      <c r="AK279" s="151"/>
      <c r="AL279" s="152"/>
      <c r="AM279" s="153"/>
      <c r="AN279" s="150"/>
      <c r="BA279" s="154"/>
      <c r="BB279" s="154"/>
      <c r="BG279" s="117">
        <f t="shared" ref="BG279" si="1480">-IF(AH279=$L$3,0,IF(AH279=$N$3,15*680*D279,IF(AH279=$T$3,30*680*D279,IF(AH279=0,50*680*D279))))</f>
        <v>0</v>
      </c>
    </row>
    <row r="280" spans="1:59" s="17" customFormat="1" ht="18" customHeight="1" thickBot="1">
      <c r="B280" s="155"/>
      <c r="C280" s="156"/>
      <c r="D280" s="156"/>
      <c r="E280" s="156"/>
      <c r="F280" s="156"/>
      <c r="G280" s="156"/>
      <c r="H280" s="156">
        <v>26</v>
      </c>
      <c r="I280" s="156"/>
      <c r="J280" s="156"/>
      <c r="K280" s="156"/>
      <c r="L280" s="156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  <c r="W280" s="156"/>
      <c r="X280" s="156"/>
      <c r="Y280" s="156"/>
      <c r="Z280" s="156"/>
      <c r="AA280" s="156"/>
      <c r="AB280" s="157">
        <f>AL270</f>
        <v>0</v>
      </c>
      <c r="AC280" s="157"/>
      <c r="AD280" s="157"/>
      <c r="AE280" s="157"/>
      <c r="AF280" s="157"/>
      <c r="AG280" s="157"/>
      <c r="AH280" s="157"/>
      <c r="AI280" s="158"/>
      <c r="AJ280" s="157"/>
      <c r="AK280" s="157"/>
      <c r="AL280" s="152"/>
      <c r="AM280" s="153"/>
      <c r="AN280" s="150"/>
      <c r="AY280" s="159">
        <f>+(AQ280*10)/60</f>
        <v>0</v>
      </c>
      <c r="AZ280" s="159">
        <f>+AX280+AY280</f>
        <v>0</v>
      </c>
      <c r="BA280" s="154"/>
      <c r="BB280" s="154"/>
    </row>
    <row r="281" spans="1:59" s="17" customFormat="1" ht="18" customHeight="1" thickTop="1">
      <c r="B281" s="160"/>
      <c r="C281" s="161" t="s">
        <v>172</v>
      </c>
      <c r="D281" s="161"/>
      <c r="E281" s="161"/>
      <c r="F281" s="183">
        <f>IFERROR(AL270,0)</f>
        <v>0</v>
      </c>
      <c r="G281" s="162"/>
      <c r="H281" s="162"/>
      <c r="I281" s="162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  <c r="AA281" s="150"/>
      <c r="AB281" s="163">
        <f>AB280</f>
        <v>0</v>
      </c>
      <c r="AC281" s="163"/>
      <c r="AD281" s="163"/>
      <c r="AE281" s="163"/>
      <c r="AF281" s="163"/>
      <c r="AG281" s="163"/>
      <c r="AH281" s="163"/>
      <c r="AI281" s="164"/>
      <c r="AJ281" s="163"/>
      <c r="AK281" s="163"/>
      <c r="AL281" s="152"/>
      <c r="AM281" s="153"/>
      <c r="AN281" s="150"/>
      <c r="BA281" s="154"/>
      <c r="BB281" s="154"/>
    </row>
    <row r="282" spans="1:59" s="17" customFormat="1" ht="18" customHeight="1">
      <c r="B282" s="165"/>
      <c r="C282" s="18" t="s">
        <v>148</v>
      </c>
      <c r="D282" s="18"/>
      <c r="E282" s="18"/>
      <c r="F282" s="162">
        <f>IFERROR(D270,0)</f>
        <v>0</v>
      </c>
      <c r="G282" s="162"/>
      <c r="H282" s="162"/>
      <c r="I282" s="162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  <c r="AA282" s="150"/>
      <c r="AB282" s="166">
        <f>D268</f>
        <v>0</v>
      </c>
      <c r="AC282" s="166"/>
      <c r="AD282" s="167">
        <f>D11</f>
        <v>0</v>
      </c>
      <c r="AE282" s="167">
        <f>D23</f>
        <v>0</v>
      </c>
      <c r="AF282" s="167"/>
      <c r="AG282" s="167"/>
      <c r="AH282" s="166"/>
      <c r="AI282" s="168"/>
      <c r="AJ282" s="166"/>
      <c r="AK282" s="166"/>
      <c r="AL282" s="152"/>
      <c r="AM282" s="153"/>
      <c r="AN282" s="153"/>
      <c r="AY282" s="159">
        <f>+(AQ282*10)/60</f>
        <v>0</v>
      </c>
      <c r="AZ282" s="159">
        <f>+AX282+AY282</f>
        <v>0</v>
      </c>
      <c r="BA282" s="154"/>
      <c r="BB282" s="154"/>
    </row>
    <row r="283" spans="1:59" s="17" customFormat="1" ht="18" customHeight="1">
      <c r="B283" s="165"/>
      <c r="C283" s="18" t="s">
        <v>149</v>
      </c>
      <c r="D283" s="18"/>
      <c r="E283" s="18"/>
      <c r="F283" s="162">
        <f>IFERROR(F281/F282*$H$280,0)</f>
        <v>0</v>
      </c>
      <c r="G283" s="162"/>
      <c r="H283" s="162"/>
      <c r="I283" s="162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  <c r="AA283" s="150"/>
      <c r="AB283" s="166" t="e">
        <f>AB281/AB282*AD280</f>
        <v>#DIV/0!</v>
      </c>
      <c r="AC283" s="166"/>
      <c r="AD283" s="167"/>
      <c r="AE283" s="167"/>
      <c r="AF283" s="167"/>
      <c r="AG283" s="167"/>
      <c r="AH283" s="166"/>
      <c r="AI283" s="168"/>
      <c r="AJ283" s="166"/>
      <c r="AK283" s="166"/>
      <c r="AL283" s="124"/>
      <c r="AM283" s="125"/>
      <c r="AN283" s="146"/>
      <c r="BA283" s="154"/>
      <c r="BB283" s="154"/>
    </row>
    <row r="284" spans="1:59" s="17" customFormat="1" ht="18" customHeight="1">
      <c r="B284" s="165"/>
      <c r="C284" s="18" t="s">
        <v>150</v>
      </c>
      <c r="D284" s="18"/>
      <c r="E284" s="18"/>
      <c r="F284" s="162">
        <f>IFERROR(F283*1.3*1.25,0)</f>
        <v>0</v>
      </c>
      <c r="G284" s="162"/>
      <c r="H284" s="162"/>
      <c r="I284" s="162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  <c r="AA284" s="150"/>
      <c r="AB284" s="166" t="e">
        <f>AB283*1.25*1.3</f>
        <v>#DIV/0!</v>
      </c>
      <c r="AC284" s="166"/>
      <c r="AD284" s="166"/>
      <c r="AE284" s="166"/>
      <c r="AF284" s="166"/>
      <c r="AG284" s="166"/>
      <c r="AH284" s="166"/>
      <c r="AI284" s="168"/>
      <c r="AJ284" s="166"/>
      <c r="AK284" s="166"/>
      <c r="AL284" s="169"/>
      <c r="AM284" s="153"/>
      <c r="AN284" s="125">
        <f>AK284*1.05</f>
        <v>0</v>
      </c>
      <c r="AY284" s="159">
        <f>+(AQ284*10)/60</f>
        <v>0</v>
      </c>
      <c r="AZ284" s="159">
        <f>+AX284+AY284</f>
        <v>0</v>
      </c>
      <c r="BA284" s="154"/>
      <c r="BB284" s="154"/>
    </row>
    <row r="285" spans="1:59" s="17" customFormat="1" ht="18" customHeight="1" thickBot="1">
      <c r="B285" s="155"/>
      <c r="C285" s="170"/>
      <c r="D285" s="156"/>
      <c r="E285" s="156"/>
      <c r="F285" s="156"/>
      <c r="G285" s="156"/>
      <c r="H285" s="156"/>
      <c r="I285" s="156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  <c r="AA285" s="171"/>
      <c r="AB285" s="157"/>
      <c r="AC285" s="157"/>
      <c r="AD285" s="157"/>
      <c r="AE285" s="157"/>
      <c r="AF285" s="157"/>
      <c r="AG285" s="157"/>
      <c r="AH285" s="157"/>
      <c r="AI285" s="158"/>
      <c r="AJ285" s="157"/>
      <c r="AK285" s="157"/>
      <c r="AL285" s="169"/>
      <c r="AM285" s="153"/>
      <c r="AN285" s="125">
        <f>AN284*AN281/26</f>
        <v>0</v>
      </c>
      <c r="BA285" s="154"/>
      <c r="BB285" s="154"/>
    </row>
    <row r="286" spans="1:59" ht="18" customHeight="1" thickTop="1">
      <c r="B286" s="130"/>
      <c r="C286" s="82" t="s">
        <v>151</v>
      </c>
      <c r="D286" s="82"/>
      <c r="F286" s="123"/>
      <c r="G286" s="123"/>
      <c r="H286" s="123"/>
      <c r="I286" s="123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105"/>
      <c r="AC286" s="105"/>
      <c r="AD286" s="105"/>
      <c r="AE286" s="105"/>
      <c r="AF286" s="105"/>
      <c r="AG286" s="106"/>
      <c r="AH286" s="106"/>
      <c r="AI286" s="107"/>
      <c r="AJ286" s="106"/>
      <c r="AK286" s="106"/>
      <c r="AL286" s="126"/>
      <c r="AM286" s="127"/>
      <c r="AN286" s="147"/>
      <c r="AO286" s="83"/>
      <c r="AP286" s="83"/>
      <c r="AQ286" s="83"/>
      <c r="AR286" s="83"/>
      <c r="AS286" s="83"/>
      <c r="AT286" s="83"/>
      <c r="AU286" s="83"/>
      <c r="AV286" s="83"/>
      <c r="AW286" s="83"/>
      <c r="AX286" s="83"/>
      <c r="AY286" s="144">
        <f>+(AQ286*10)/60</f>
        <v>0</v>
      </c>
      <c r="AZ286" s="144">
        <f>+AX286+AY286</f>
        <v>0</v>
      </c>
      <c r="BA286" s="115"/>
      <c r="BB286" s="115"/>
      <c r="BC286" s="83"/>
      <c r="BD286" s="83"/>
    </row>
    <row r="287" spans="1:59" ht="18" customHeight="1">
      <c r="B287" s="130"/>
      <c r="C287" s="82"/>
      <c r="D287" s="82"/>
      <c r="AI287" s="118"/>
      <c r="AL287" s="109"/>
      <c r="AO287" s="83"/>
      <c r="AP287" s="83"/>
      <c r="AQ287" s="83"/>
      <c r="AR287" s="83"/>
      <c r="AS287" s="83"/>
      <c r="AT287" s="83"/>
      <c r="AU287" s="83"/>
      <c r="AV287" s="83"/>
      <c r="AW287" s="83"/>
      <c r="AX287" s="83"/>
      <c r="AY287" s="83"/>
      <c r="AZ287" s="83"/>
      <c r="BA287" s="115"/>
      <c r="BB287" s="115"/>
      <c r="BC287" s="83"/>
      <c r="BD287" s="83"/>
    </row>
    <row r="288" spans="1:59" ht="18" customHeight="1">
      <c r="B288" s="130"/>
      <c r="C288" s="82"/>
      <c r="D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128"/>
      <c r="AJ288" s="129"/>
      <c r="AK288" s="129" t="s">
        <v>12</v>
      </c>
      <c r="AL288" s="129"/>
      <c r="AM288" s="82"/>
      <c r="AN288" s="82"/>
      <c r="AO288" s="83"/>
      <c r="AP288" s="83"/>
      <c r="AQ288" s="83"/>
      <c r="AR288" s="83"/>
      <c r="AS288" s="83"/>
      <c r="AT288" s="83"/>
      <c r="AU288" s="83"/>
      <c r="AV288" s="83"/>
      <c r="AW288" s="83"/>
      <c r="AX288" s="83"/>
      <c r="AY288" s="144">
        <v>0</v>
      </c>
      <c r="AZ288" s="144">
        <f>+AX288+AY288</f>
        <v>0</v>
      </c>
      <c r="BA288" s="115"/>
      <c r="BB288" s="115"/>
      <c r="BC288" s="83"/>
      <c r="BD288" s="83"/>
    </row>
    <row r="289" spans="2:56" ht="18" customHeight="1">
      <c r="B289" s="133"/>
      <c r="C289" s="100"/>
      <c r="D289" s="100"/>
      <c r="E289" s="100"/>
      <c r="AI289" s="118"/>
      <c r="AL289" s="109"/>
      <c r="AO289" s="83"/>
      <c r="AP289" s="83"/>
      <c r="AQ289" s="83"/>
      <c r="AR289" s="83"/>
      <c r="AS289" s="83"/>
      <c r="AT289" s="83"/>
      <c r="AU289" s="83"/>
      <c r="AV289" s="83"/>
      <c r="AW289" s="83"/>
      <c r="AX289" s="83"/>
      <c r="AY289" s="83"/>
      <c r="AZ289" s="83"/>
      <c r="BA289" s="115"/>
      <c r="BB289" s="115"/>
      <c r="BC289" s="83"/>
      <c r="BD289" s="83"/>
    </row>
    <row r="290" spans="2:56" ht="18" customHeight="1">
      <c r="B290" s="134"/>
      <c r="C290" s="102"/>
      <c r="D290" s="102"/>
      <c r="E290" s="102"/>
      <c r="AO290" s="83"/>
      <c r="AP290" s="83"/>
      <c r="AQ290" s="83"/>
      <c r="AR290" s="83"/>
      <c r="AS290" s="83"/>
      <c r="AT290" s="83"/>
      <c r="AU290" s="83"/>
      <c r="AV290" s="83"/>
      <c r="AW290" s="83"/>
      <c r="AX290" s="83"/>
      <c r="AY290" s="144">
        <v>0</v>
      </c>
      <c r="AZ290" s="144">
        <f>+AX290+AY290</f>
        <v>0</v>
      </c>
      <c r="BA290" s="115"/>
      <c r="BB290" s="115"/>
      <c r="BC290" s="83"/>
      <c r="BD290" s="83"/>
    </row>
    <row r="291" spans="2:56" ht="18" customHeight="1">
      <c r="B291" s="130"/>
      <c r="C291" s="82"/>
      <c r="D291" s="82"/>
      <c r="AO291" s="83"/>
      <c r="AP291" s="83"/>
      <c r="AQ291" s="83"/>
      <c r="AR291" s="83"/>
      <c r="AS291" s="83"/>
      <c r="AT291" s="83"/>
      <c r="AU291" s="83"/>
      <c r="AV291" s="83"/>
      <c r="AW291" s="83"/>
      <c r="AX291" s="83"/>
      <c r="AY291" s="83"/>
      <c r="AZ291" s="83"/>
      <c r="BA291" s="115"/>
      <c r="BB291" s="115"/>
      <c r="BC291" s="83"/>
      <c r="BD291" s="83"/>
    </row>
    <row r="292" spans="2:56" ht="18" customHeight="1">
      <c r="B292" s="130"/>
      <c r="C292" s="82"/>
      <c r="D292" s="82"/>
      <c r="AO292" s="83"/>
      <c r="AP292" s="83"/>
      <c r="AQ292" s="83"/>
      <c r="AR292" s="83"/>
      <c r="AS292" s="83"/>
      <c r="AT292" s="83"/>
      <c r="AU292" s="83"/>
      <c r="AV292" s="83"/>
      <c r="AW292" s="83"/>
      <c r="AX292" s="83"/>
      <c r="AY292" s="83"/>
      <c r="AZ292" s="83"/>
      <c r="BA292" s="115"/>
      <c r="BB292" s="115"/>
      <c r="BC292" s="83"/>
      <c r="BD292" s="83"/>
    </row>
    <row r="293" spans="2:56" ht="18" customHeight="1">
      <c r="B293" s="130"/>
      <c r="C293" s="82"/>
      <c r="D293" s="82"/>
      <c r="AO293" s="83"/>
      <c r="AP293" s="83"/>
      <c r="AQ293" s="83"/>
      <c r="AR293" s="83"/>
      <c r="AS293" s="83"/>
      <c r="AT293" s="83"/>
      <c r="AU293" s="83"/>
      <c r="AV293" s="83"/>
      <c r="AW293" s="83"/>
      <c r="AX293" s="83"/>
      <c r="AY293" s="83"/>
      <c r="AZ293" s="83"/>
      <c r="BA293" s="115"/>
      <c r="BB293" s="115"/>
      <c r="BC293" s="83"/>
      <c r="BD293" s="83"/>
    </row>
    <row r="294" spans="2:56" ht="18" customHeight="1">
      <c r="B294" s="130"/>
      <c r="C294" s="82"/>
      <c r="D294" s="82"/>
      <c r="AO294" s="83"/>
      <c r="AP294" s="83"/>
      <c r="AQ294" s="83"/>
      <c r="AR294" s="83"/>
      <c r="AS294" s="83"/>
      <c r="AT294" s="83"/>
      <c r="AU294" s="83"/>
      <c r="AV294" s="83"/>
      <c r="AW294" s="83"/>
      <c r="AX294" s="83"/>
      <c r="AY294" s="83"/>
      <c r="AZ294" s="83"/>
      <c r="BA294" s="115"/>
      <c r="BB294" s="115"/>
      <c r="BC294" s="83"/>
      <c r="BD294" s="83"/>
    </row>
    <row r="295" spans="2:56" ht="18" customHeight="1">
      <c r="B295" s="130"/>
      <c r="C295" s="82"/>
      <c r="D295" s="82"/>
      <c r="AO295" s="83"/>
      <c r="AP295" s="83"/>
      <c r="AQ295" s="83"/>
      <c r="AR295" s="83"/>
      <c r="AS295" s="83"/>
      <c r="AT295" s="83"/>
      <c r="AU295" s="83"/>
      <c r="AV295" s="83"/>
      <c r="AW295" s="83"/>
      <c r="AX295" s="83"/>
      <c r="AY295" s="83"/>
      <c r="AZ295" s="83"/>
      <c r="BA295" s="115"/>
      <c r="BB295" s="115"/>
      <c r="BC295" s="83"/>
      <c r="BD295" s="83"/>
    </row>
    <row r="296" spans="2:56" ht="18" customHeight="1">
      <c r="B296" s="130"/>
      <c r="C296" s="82"/>
      <c r="D296" s="82"/>
      <c r="AO296" s="83"/>
      <c r="AP296" s="83"/>
      <c r="AQ296" s="83"/>
      <c r="AR296" s="83"/>
      <c r="AS296" s="83"/>
      <c r="AT296" s="83"/>
      <c r="AU296" s="83"/>
      <c r="AV296" s="83"/>
      <c r="AW296" s="83"/>
      <c r="AX296" s="83"/>
      <c r="AY296" s="83"/>
      <c r="AZ296" s="83"/>
      <c r="BA296" s="115"/>
      <c r="BB296" s="115"/>
      <c r="BC296" s="83"/>
      <c r="BD296" s="83"/>
    </row>
    <row r="297" spans="2:56" ht="18" customHeight="1">
      <c r="B297" s="133"/>
      <c r="C297" s="100"/>
      <c r="D297" s="100"/>
      <c r="E297" s="100"/>
      <c r="AO297" s="83"/>
      <c r="AP297" s="83"/>
      <c r="AQ297" s="83"/>
      <c r="AR297" s="83"/>
      <c r="AS297" s="83"/>
      <c r="AT297" s="83"/>
      <c r="AU297" s="83"/>
      <c r="AV297" s="83"/>
      <c r="AW297" s="83"/>
      <c r="AX297" s="83"/>
      <c r="AY297" s="83"/>
      <c r="AZ297" s="83"/>
      <c r="BA297" s="115"/>
      <c r="BB297" s="115"/>
      <c r="BC297" s="83"/>
      <c r="BD297" s="83"/>
    </row>
    <row r="298" spans="2:56" ht="18" customHeight="1">
      <c r="B298" s="134"/>
      <c r="C298" s="102"/>
      <c r="D298" s="102"/>
      <c r="E298" s="102"/>
      <c r="AO298" s="83"/>
      <c r="AP298" s="83"/>
      <c r="AQ298" s="83"/>
      <c r="AR298" s="83"/>
      <c r="AS298" s="83"/>
      <c r="AT298" s="83"/>
      <c r="AU298" s="83"/>
      <c r="AV298" s="83"/>
      <c r="AW298" s="83"/>
      <c r="AX298" s="83"/>
      <c r="AY298" s="83"/>
      <c r="AZ298" s="83"/>
      <c r="BA298" s="115"/>
      <c r="BB298" s="115"/>
      <c r="BC298" s="83"/>
      <c r="BD298" s="83"/>
    </row>
    <row r="299" spans="2:56" ht="18" customHeight="1">
      <c r="B299" s="134"/>
      <c r="C299" s="102"/>
      <c r="D299" s="102"/>
      <c r="E299" s="102"/>
      <c r="AO299" s="83"/>
      <c r="AP299" s="83"/>
      <c r="AQ299" s="83"/>
      <c r="AR299" s="83"/>
      <c r="AS299" s="83"/>
      <c r="AT299" s="83"/>
      <c r="AU299" s="83"/>
      <c r="AV299" s="83"/>
      <c r="AW299" s="83"/>
      <c r="AX299" s="83"/>
      <c r="AY299" s="83"/>
      <c r="AZ299" s="83"/>
      <c r="BA299" s="115"/>
      <c r="BB299" s="115"/>
      <c r="BC299" s="83"/>
      <c r="BD299" s="83"/>
    </row>
    <row r="300" spans="2:56" ht="18" customHeight="1">
      <c r="B300" s="130"/>
      <c r="C300" s="82"/>
      <c r="D300" s="82"/>
      <c r="AO300" s="83"/>
      <c r="AP300" s="83"/>
      <c r="AQ300" s="83"/>
      <c r="AR300" s="83"/>
      <c r="AS300" s="83"/>
      <c r="AT300" s="83"/>
      <c r="AU300" s="83"/>
      <c r="AV300" s="83"/>
      <c r="AW300" s="83"/>
      <c r="AX300" s="83"/>
      <c r="AY300" s="83"/>
      <c r="AZ300" s="83"/>
      <c r="BA300" s="115"/>
      <c r="BB300" s="115"/>
      <c r="BC300" s="83"/>
      <c r="BD300" s="83"/>
    </row>
    <row r="301" spans="2:56" ht="18" customHeight="1">
      <c r="B301" s="130"/>
      <c r="C301" s="82"/>
      <c r="D301" s="82"/>
      <c r="AO301" s="83"/>
      <c r="AP301" s="83"/>
      <c r="AQ301" s="83"/>
      <c r="AR301" s="83"/>
      <c r="AS301" s="83"/>
      <c r="AT301" s="83"/>
      <c r="AU301" s="83"/>
      <c r="AV301" s="83"/>
      <c r="AW301" s="83"/>
      <c r="AX301" s="83"/>
      <c r="AY301" s="83"/>
      <c r="AZ301" s="83"/>
      <c r="BA301" s="115"/>
      <c r="BB301" s="115"/>
      <c r="BC301" s="83"/>
      <c r="BD301" s="83"/>
    </row>
    <row r="302" spans="2:56" ht="18" customHeight="1">
      <c r="B302" s="130"/>
      <c r="C302" s="82"/>
      <c r="D302" s="82"/>
      <c r="AO302" s="83"/>
      <c r="AP302" s="83"/>
      <c r="AQ302" s="83"/>
      <c r="AR302" s="83"/>
      <c r="AS302" s="83"/>
      <c r="AT302" s="83"/>
      <c r="AU302" s="83"/>
      <c r="AV302" s="83"/>
      <c r="AW302" s="83"/>
      <c r="AX302" s="83"/>
      <c r="AY302" s="83"/>
      <c r="AZ302" s="83"/>
      <c r="BA302" s="115"/>
      <c r="BB302" s="115"/>
      <c r="BC302" s="83"/>
      <c r="BD302" s="83"/>
    </row>
    <row r="303" spans="2:56" ht="18" customHeight="1">
      <c r="B303" s="130"/>
      <c r="C303" s="82"/>
      <c r="D303" s="82"/>
      <c r="AO303" s="83"/>
      <c r="AP303" s="83"/>
      <c r="AQ303" s="83"/>
      <c r="AR303" s="83"/>
      <c r="AS303" s="83"/>
      <c r="AT303" s="83"/>
      <c r="AU303" s="83"/>
      <c r="AV303" s="83"/>
      <c r="AW303" s="83"/>
      <c r="AX303" s="83"/>
      <c r="AY303" s="83"/>
      <c r="AZ303" s="83"/>
      <c r="BA303" s="115"/>
      <c r="BB303" s="115"/>
      <c r="BC303" s="83"/>
      <c r="BD303" s="83"/>
    </row>
    <row r="304" spans="2:56" ht="18" customHeight="1">
      <c r="AO304" s="83"/>
      <c r="AP304" s="83"/>
      <c r="AQ304" s="83"/>
      <c r="AR304" s="83"/>
      <c r="AS304" s="83"/>
      <c r="AT304" s="83"/>
      <c r="AU304" s="83"/>
      <c r="AV304" s="83"/>
      <c r="AW304" s="83"/>
      <c r="AX304" s="83"/>
      <c r="AY304" s="83"/>
      <c r="AZ304" s="83"/>
      <c r="BA304" s="115"/>
      <c r="BB304" s="115"/>
      <c r="BC304" s="83"/>
      <c r="BD304" s="83"/>
    </row>
    <row r="305" spans="41:56" ht="18" customHeight="1">
      <c r="AO305" s="83"/>
      <c r="AP305" s="83"/>
      <c r="AQ305" s="83"/>
      <c r="AR305" s="83"/>
      <c r="AS305" s="83"/>
      <c r="AT305" s="83"/>
      <c r="AU305" s="83"/>
      <c r="AV305" s="83"/>
      <c r="AW305" s="83"/>
      <c r="AX305" s="83"/>
      <c r="AY305" s="83"/>
      <c r="AZ305" s="83"/>
      <c r="BA305" s="115"/>
      <c r="BB305" s="115"/>
      <c r="BC305" s="83"/>
      <c r="BD305" s="83"/>
    </row>
    <row r="306" spans="41:56" ht="18" customHeight="1">
      <c r="AO306" s="83"/>
      <c r="AP306" s="83"/>
      <c r="AQ306" s="83"/>
      <c r="AR306" s="83"/>
      <c r="AS306" s="83"/>
      <c r="AT306" s="83"/>
      <c r="AU306" s="83"/>
      <c r="AV306" s="83"/>
      <c r="AW306" s="83"/>
      <c r="AX306" s="83"/>
      <c r="AY306" s="83"/>
      <c r="AZ306" s="83"/>
      <c r="BA306" s="115"/>
      <c r="BB306" s="115"/>
      <c r="BC306" s="83"/>
      <c r="BD306" s="83"/>
    </row>
    <row r="307" spans="41:56" ht="18" customHeight="1">
      <c r="AO307" s="83"/>
      <c r="AP307" s="83"/>
      <c r="AQ307" s="83"/>
      <c r="AR307" s="83"/>
      <c r="AS307" s="83"/>
      <c r="AT307" s="83"/>
      <c r="AU307" s="83"/>
      <c r="AV307" s="83"/>
      <c r="AW307" s="83"/>
      <c r="AX307" s="83"/>
      <c r="AY307" s="83"/>
      <c r="AZ307" s="83"/>
      <c r="BA307" s="115"/>
      <c r="BB307" s="115"/>
      <c r="BC307" s="83"/>
      <c r="BD307" s="83"/>
    </row>
    <row r="308" spans="41:56" ht="18" customHeight="1">
      <c r="AO308" s="83"/>
      <c r="AP308" s="83"/>
      <c r="AQ308" s="83"/>
      <c r="AR308" s="83"/>
      <c r="AS308" s="83"/>
      <c r="AT308" s="83"/>
      <c r="AU308" s="83"/>
      <c r="AV308" s="83"/>
      <c r="AW308" s="83"/>
      <c r="AX308" s="83"/>
      <c r="AY308" s="83"/>
      <c r="AZ308" s="83"/>
      <c r="BA308" s="115"/>
      <c r="BB308" s="115"/>
      <c r="BC308" s="83"/>
      <c r="BD308" s="83"/>
    </row>
    <row r="309" spans="41:56" ht="18" customHeight="1">
      <c r="AO309" s="83"/>
      <c r="AP309" s="83"/>
      <c r="AQ309" s="83"/>
      <c r="AR309" s="83"/>
      <c r="AS309" s="83"/>
      <c r="AT309" s="83"/>
      <c r="AU309" s="83"/>
      <c r="AV309" s="83"/>
      <c r="AW309" s="83"/>
      <c r="AX309" s="83"/>
      <c r="AY309" s="83"/>
      <c r="AZ309" s="83"/>
      <c r="BA309" s="115"/>
      <c r="BB309" s="115"/>
      <c r="BC309" s="83"/>
      <c r="BD309" s="83"/>
    </row>
    <row r="310" spans="41:56" ht="18" customHeight="1">
      <c r="AO310" s="83"/>
      <c r="AP310" s="83"/>
      <c r="AQ310" s="83"/>
      <c r="AR310" s="83"/>
      <c r="AS310" s="83"/>
      <c r="AT310" s="83"/>
      <c r="AU310" s="83"/>
      <c r="AV310" s="83"/>
      <c r="AW310" s="83"/>
      <c r="AX310" s="83"/>
      <c r="AY310" s="83"/>
      <c r="AZ310" s="83"/>
      <c r="BA310" s="115"/>
      <c r="BB310" s="115"/>
      <c r="BC310" s="83"/>
      <c r="BD310" s="83"/>
    </row>
    <row r="311" spans="41:56" ht="18" customHeight="1">
      <c r="AO311" s="83"/>
      <c r="AP311" s="83"/>
      <c r="AQ311" s="83"/>
      <c r="AR311" s="83"/>
      <c r="AS311" s="83"/>
      <c r="AT311" s="83"/>
      <c r="AU311" s="83"/>
      <c r="AV311" s="83"/>
      <c r="AW311" s="83"/>
      <c r="AX311" s="83"/>
      <c r="AY311" s="83"/>
      <c r="AZ311" s="83"/>
      <c r="BA311" s="115"/>
      <c r="BB311" s="115"/>
      <c r="BC311" s="83"/>
      <c r="BD311" s="83"/>
    </row>
    <row r="312" spans="41:56" ht="18" customHeight="1">
      <c r="AO312" s="83"/>
      <c r="AP312" s="83"/>
      <c r="AQ312" s="83"/>
      <c r="AR312" s="83"/>
      <c r="AS312" s="83"/>
      <c r="AT312" s="83"/>
      <c r="AU312" s="83"/>
      <c r="AV312" s="83"/>
      <c r="AW312" s="83"/>
      <c r="AX312" s="83"/>
      <c r="AY312" s="83"/>
      <c r="AZ312" s="83"/>
      <c r="BA312" s="115"/>
      <c r="BB312" s="115"/>
      <c r="BC312" s="83"/>
      <c r="BD312" s="83"/>
    </row>
    <row r="313" spans="41:56" ht="18" customHeight="1">
      <c r="AO313" s="83"/>
      <c r="AP313" s="83"/>
      <c r="AQ313" s="83"/>
      <c r="AR313" s="83"/>
      <c r="AS313" s="83"/>
      <c r="AT313" s="83"/>
      <c r="AU313" s="83"/>
      <c r="AV313" s="83"/>
      <c r="AW313" s="83"/>
      <c r="AX313" s="83"/>
      <c r="AY313" s="83"/>
      <c r="AZ313" s="83"/>
      <c r="BA313" s="115"/>
      <c r="BB313" s="115"/>
      <c r="BC313" s="83"/>
      <c r="BD313" s="83"/>
    </row>
    <row r="314" spans="41:56" ht="18" customHeight="1">
      <c r="AO314" s="83"/>
      <c r="AP314" s="83"/>
      <c r="AQ314" s="83"/>
      <c r="AR314" s="83"/>
      <c r="AS314" s="83"/>
      <c r="AT314" s="83"/>
      <c r="AU314" s="83"/>
      <c r="AV314" s="83"/>
      <c r="AW314" s="83"/>
      <c r="AX314" s="83"/>
      <c r="AY314" s="83"/>
      <c r="AZ314" s="83"/>
      <c r="BA314" s="115"/>
      <c r="BB314" s="115"/>
      <c r="BC314" s="83"/>
      <c r="BD314" s="83"/>
    </row>
    <row r="315" spans="41:56" ht="18" customHeight="1">
      <c r="AO315" s="83"/>
      <c r="AP315" s="83"/>
      <c r="AQ315" s="83"/>
      <c r="AR315" s="83"/>
      <c r="AS315" s="83"/>
      <c r="AT315" s="83"/>
      <c r="AU315" s="83"/>
      <c r="AV315" s="83"/>
      <c r="AW315" s="83"/>
      <c r="AX315" s="83"/>
      <c r="AY315" s="83"/>
      <c r="AZ315" s="83"/>
      <c r="BA315" s="115"/>
      <c r="BB315" s="115"/>
      <c r="BC315" s="83"/>
      <c r="BD315" s="83"/>
    </row>
    <row r="316" spans="41:56" ht="18" customHeight="1">
      <c r="AO316" s="83"/>
      <c r="AP316" s="83"/>
      <c r="AQ316" s="83"/>
      <c r="AR316" s="83"/>
      <c r="AS316" s="83"/>
      <c r="AT316" s="83"/>
      <c r="AU316" s="83"/>
      <c r="AV316" s="83"/>
      <c r="AW316" s="83"/>
      <c r="AX316" s="83"/>
      <c r="AY316" s="83"/>
      <c r="AZ316" s="83"/>
      <c r="BA316" s="115"/>
      <c r="BB316" s="115"/>
      <c r="BC316" s="83"/>
      <c r="BD316" s="83"/>
    </row>
    <row r="317" spans="41:56" ht="18" customHeight="1">
      <c r="AO317" s="83"/>
      <c r="AP317" s="83"/>
      <c r="AQ317" s="83"/>
      <c r="AR317" s="83"/>
      <c r="AS317" s="83"/>
      <c r="AT317" s="83"/>
      <c r="AU317" s="83"/>
      <c r="AV317" s="83"/>
      <c r="AW317" s="83"/>
      <c r="AX317" s="83"/>
      <c r="AY317" s="83"/>
      <c r="AZ317" s="83"/>
      <c r="BA317" s="115"/>
      <c r="BB317" s="115"/>
      <c r="BC317" s="83"/>
      <c r="BD317" s="83"/>
    </row>
    <row r="318" spans="41:56" ht="18" customHeight="1">
      <c r="AO318" s="83"/>
      <c r="AP318" s="83"/>
      <c r="AQ318" s="83"/>
      <c r="AR318" s="83"/>
      <c r="AS318" s="83"/>
      <c r="AT318" s="83"/>
      <c r="AU318" s="83"/>
      <c r="AV318" s="83"/>
      <c r="AW318" s="83"/>
      <c r="AX318" s="83"/>
      <c r="AY318" s="83"/>
      <c r="AZ318" s="83"/>
      <c r="BA318" s="115"/>
      <c r="BB318" s="115"/>
      <c r="BC318" s="83"/>
      <c r="BD318" s="83"/>
    </row>
    <row r="319" spans="41:56" ht="18" customHeight="1">
      <c r="AO319" s="83"/>
      <c r="AP319" s="83"/>
      <c r="AQ319" s="83"/>
      <c r="AR319" s="83"/>
      <c r="AS319" s="83"/>
      <c r="AT319" s="83"/>
      <c r="AU319" s="83"/>
      <c r="AV319" s="83"/>
      <c r="AW319" s="83"/>
      <c r="AX319" s="83"/>
      <c r="AY319" s="83"/>
      <c r="AZ319" s="83"/>
      <c r="BA319" s="115"/>
      <c r="BB319" s="115"/>
      <c r="BC319" s="83"/>
      <c r="BD319" s="83"/>
    </row>
    <row r="320" spans="41:56" ht="18" customHeight="1">
      <c r="AO320" s="83"/>
      <c r="AP320" s="83"/>
      <c r="AQ320" s="83"/>
      <c r="AR320" s="83"/>
      <c r="AS320" s="83"/>
      <c r="AT320" s="83"/>
      <c r="AU320" s="83"/>
      <c r="AV320" s="83"/>
      <c r="AW320" s="83"/>
      <c r="AX320" s="83"/>
      <c r="AY320" s="83"/>
      <c r="AZ320" s="83"/>
      <c r="BA320" s="115"/>
      <c r="BB320" s="115"/>
      <c r="BC320" s="83"/>
      <c r="BD320" s="83"/>
    </row>
    <row r="321" spans="41:56" ht="18" customHeight="1">
      <c r="AO321" s="83"/>
      <c r="AP321" s="83"/>
      <c r="AQ321" s="83"/>
      <c r="AR321" s="83"/>
      <c r="AS321" s="83"/>
      <c r="AT321" s="83"/>
      <c r="AU321" s="83"/>
      <c r="AV321" s="83"/>
      <c r="AW321" s="83"/>
      <c r="AX321" s="83"/>
      <c r="AY321" s="83"/>
      <c r="AZ321" s="83"/>
      <c r="BA321" s="115"/>
      <c r="BB321" s="115"/>
      <c r="BC321" s="83"/>
      <c r="BD321" s="83"/>
    </row>
    <row r="322" spans="41:56" ht="18" customHeight="1">
      <c r="AO322" s="83"/>
      <c r="AP322" s="83"/>
      <c r="AQ322" s="83"/>
      <c r="AR322" s="83"/>
      <c r="AS322" s="83"/>
      <c r="AT322" s="83"/>
      <c r="AU322" s="83"/>
      <c r="AV322" s="83"/>
      <c r="AW322" s="83"/>
      <c r="AX322" s="83"/>
      <c r="AY322" s="83"/>
      <c r="AZ322" s="83"/>
      <c r="BA322" s="115"/>
      <c r="BB322" s="115"/>
      <c r="BC322" s="83"/>
      <c r="BD322" s="83"/>
    </row>
    <row r="323" spans="41:56" ht="18" customHeight="1">
      <c r="AO323" s="83"/>
      <c r="AP323" s="83"/>
      <c r="AQ323" s="83"/>
      <c r="AR323" s="83"/>
      <c r="AS323" s="83"/>
      <c r="AT323" s="83"/>
      <c r="AU323" s="83"/>
      <c r="AV323" s="83"/>
      <c r="AW323" s="83"/>
      <c r="AX323" s="83"/>
      <c r="AY323" s="83"/>
      <c r="AZ323" s="83"/>
      <c r="BA323" s="115"/>
      <c r="BB323" s="115"/>
      <c r="BC323" s="83"/>
      <c r="BD323" s="83"/>
    </row>
    <row r="324" spans="41:56" ht="18" customHeight="1">
      <c r="AO324" s="83"/>
      <c r="AP324" s="83"/>
      <c r="AQ324" s="83"/>
      <c r="AR324" s="83"/>
      <c r="AS324" s="83"/>
      <c r="AT324" s="83"/>
      <c r="AU324" s="83"/>
      <c r="AV324" s="83"/>
      <c r="AW324" s="83"/>
      <c r="AX324" s="83"/>
      <c r="AY324" s="83"/>
      <c r="AZ324" s="83"/>
      <c r="BA324" s="115"/>
      <c r="BB324" s="115"/>
      <c r="BC324" s="83"/>
      <c r="BD324" s="83"/>
    </row>
    <row r="325" spans="41:56" ht="18" customHeight="1">
      <c r="AO325" s="83"/>
      <c r="AP325" s="83"/>
      <c r="AQ325" s="83"/>
      <c r="AR325" s="83"/>
      <c r="AS325" s="83"/>
      <c r="AT325" s="83"/>
      <c r="AU325" s="83"/>
      <c r="AV325" s="83"/>
      <c r="AW325" s="83"/>
      <c r="AX325" s="83"/>
      <c r="AY325" s="83"/>
      <c r="AZ325" s="83"/>
      <c r="BA325" s="115"/>
      <c r="BB325" s="115"/>
      <c r="BC325" s="83"/>
      <c r="BD325" s="83"/>
    </row>
    <row r="326" spans="41:56" ht="18" customHeight="1">
      <c r="AO326" s="83"/>
      <c r="AP326" s="83"/>
      <c r="AQ326" s="83"/>
      <c r="AR326" s="83"/>
      <c r="AS326" s="83"/>
      <c r="AT326" s="83"/>
      <c r="AU326" s="83"/>
      <c r="AV326" s="83"/>
      <c r="AW326" s="83"/>
      <c r="AX326" s="83"/>
      <c r="AY326" s="83"/>
      <c r="AZ326" s="83"/>
      <c r="BA326" s="115"/>
      <c r="BB326" s="115"/>
      <c r="BC326" s="83"/>
      <c r="BD326" s="83"/>
    </row>
    <row r="327" spans="41:56" ht="18" customHeight="1">
      <c r="AO327" s="83"/>
      <c r="AP327" s="83"/>
      <c r="AQ327" s="83"/>
      <c r="AR327" s="83"/>
      <c r="AS327" s="83"/>
      <c r="AT327" s="83"/>
      <c r="AU327" s="83"/>
      <c r="AV327" s="83"/>
      <c r="AW327" s="83"/>
      <c r="AX327" s="83"/>
      <c r="AY327" s="83"/>
      <c r="AZ327" s="83"/>
      <c r="BA327" s="115"/>
      <c r="BB327" s="115"/>
      <c r="BC327" s="83"/>
      <c r="BD327" s="83"/>
    </row>
    <row r="328" spans="41:56" ht="18" customHeight="1">
      <c r="AO328" s="83"/>
      <c r="AP328" s="83"/>
      <c r="AQ328" s="83"/>
      <c r="AR328" s="83"/>
      <c r="AS328" s="83"/>
      <c r="AT328" s="83"/>
      <c r="AU328" s="83"/>
      <c r="AV328" s="83"/>
      <c r="AW328" s="83"/>
      <c r="AX328" s="83"/>
      <c r="AY328" s="83"/>
      <c r="AZ328" s="83"/>
      <c r="BA328" s="115"/>
      <c r="BB328" s="115"/>
      <c r="BC328" s="83"/>
      <c r="BD328" s="83"/>
    </row>
    <row r="329" spans="41:56" ht="18" customHeight="1">
      <c r="AO329" s="83"/>
      <c r="AP329" s="83"/>
      <c r="AQ329" s="83"/>
      <c r="AR329" s="83"/>
      <c r="AS329" s="83"/>
      <c r="AT329" s="83"/>
      <c r="AU329" s="83"/>
      <c r="AV329" s="83"/>
      <c r="AW329" s="83"/>
      <c r="AX329" s="83"/>
      <c r="AY329" s="83"/>
      <c r="AZ329" s="83"/>
      <c r="BA329" s="115"/>
      <c r="BB329" s="115"/>
      <c r="BC329" s="83"/>
      <c r="BD329" s="83"/>
    </row>
    <row r="330" spans="41:56" ht="18" customHeight="1">
      <c r="AO330" s="83"/>
      <c r="AP330" s="83"/>
      <c r="AQ330" s="83"/>
      <c r="AR330" s="83"/>
      <c r="AS330" s="83"/>
      <c r="AT330" s="83"/>
      <c r="AU330" s="83"/>
      <c r="AV330" s="83"/>
      <c r="AW330" s="83"/>
      <c r="AX330" s="83"/>
      <c r="AY330" s="83"/>
      <c r="AZ330" s="83"/>
      <c r="BA330" s="115"/>
      <c r="BB330" s="115"/>
      <c r="BC330" s="83"/>
      <c r="BD330" s="83"/>
    </row>
    <row r="331" spans="41:56" ht="18" customHeight="1">
      <c r="AO331" s="83"/>
      <c r="AP331" s="83"/>
      <c r="AQ331" s="83"/>
      <c r="AR331" s="83"/>
      <c r="AS331" s="83"/>
      <c r="AT331" s="83"/>
      <c r="AU331" s="83"/>
      <c r="AV331" s="83"/>
      <c r="AW331" s="83"/>
      <c r="AX331" s="83"/>
      <c r="AY331" s="83"/>
      <c r="AZ331" s="83"/>
      <c r="BA331" s="115"/>
      <c r="BB331" s="115"/>
      <c r="BC331" s="83"/>
      <c r="BD331" s="83"/>
    </row>
    <row r="332" spans="41:56" ht="18" customHeight="1">
      <c r="AO332" s="83"/>
      <c r="AP332" s="83"/>
      <c r="AQ332" s="83"/>
      <c r="AR332" s="83"/>
      <c r="AS332" s="83"/>
      <c r="AT332" s="83"/>
      <c r="AU332" s="83"/>
      <c r="AV332" s="83"/>
      <c r="AW332" s="83"/>
      <c r="AX332" s="83"/>
      <c r="AY332" s="83"/>
      <c r="AZ332" s="83"/>
      <c r="BA332" s="115"/>
      <c r="BB332" s="115"/>
      <c r="BC332" s="83"/>
      <c r="BD332" s="83"/>
    </row>
    <row r="333" spans="41:56" ht="18" customHeight="1">
      <c r="AO333" s="83"/>
      <c r="AP333" s="83"/>
      <c r="AQ333" s="83"/>
      <c r="AR333" s="83"/>
      <c r="AS333" s="83"/>
      <c r="AT333" s="83"/>
      <c r="AU333" s="83"/>
      <c r="AV333" s="83"/>
      <c r="AW333" s="83"/>
      <c r="AX333" s="83"/>
      <c r="AY333" s="83"/>
      <c r="AZ333" s="83"/>
      <c r="BA333" s="115"/>
      <c r="BB333" s="115"/>
      <c r="BC333" s="83"/>
      <c r="BD333" s="83"/>
    </row>
    <row r="334" spans="41:56" ht="18" customHeight="1">
      <c r="AO334" s="83"/>
      <c r="AP334" s="83"/>
      <c r="AQ334" s="83"/>
      <c r="AR334" s="83"/>
      <c r="AS334" s="83"/>
      <c r="AT334" s="83"/>
      <c r="AU334" s="83"/>
      <c r="AV334" s="83"/>
      <c r="AW334" s="83"/>
      <c r="AX334" s="83"/>
      <c r="AY334" s="83"/>
      <c r="AZ334" s="83"/>
      <c r="BA334" s="115"/>
      <c r="BB334" s="115"/>
      <c r="BC334" s="83"/>
      <c r="BD334" s="83"/>
    </row>
    <row r="335" spans="41:56" ht="18" customHeight="1">
      <c r="AO335" s="83"/>
      <c r="AP335" s="83"/>
      <c r="AQ335" s="83"/>
      <c r="AR335" s="83"/>
      <c r="AS335" s="83"/>
      <c r="AT335" s="83"/>
      <c r="AU335" s="83"/>
      <c r="AV335" s="83"/>
      <c r="AW335" s="83"/>
      <c r="AX335" s="83"/>
      <c r="AY335" s="83"/>
      <c r="AZ335" s="83"/>
      <c r="BA335" s="115"/>
      <c r="BB335" s="115"/>
      <c r="BC335" s="83"/>
      <c r="BD335" s="83"/>
    </row>
    <row r="336" spans="41:56" ht="18" customHeight="1">
      <c r="AO336" s="83"/>
      <c r="AP336" s="83"/>
      <c r="AQ336" s="83"/>
      <c r="AR336" s="83"/>
      <c r="AS336" s="83"/>
      <c r="AT336" s="83"/>
      <c r="AU336" s="83"/>
      <c r="AV336" s="83"/>
      <c r="AW336" s="83"/>
      <c r="AX336" s="83"/>
      <c r="AY336" s="83"/>
      <c r="AZ336" s="83"/>
      <c r="BA336" s="115"/>
      <c r="BB336" s="115"/>
      <c r="BC336" s="83"/>
      <c r="BD336" s="83"/>
    </row>
    <row r="337" spans="41:56" ht="18" customHeight="1">
      <c r="AO337" s="83"/>
      <c r="AP337" s="83"/>
      <c r="AQ337" s="83"/>
      <c r="AR337" s="83"/>
      <c r="AS337" s="83"/>
      <c r="AT337" s="83"/>
      <c r="AU337" s="83"/>
      <c r="AV337" s="83"/>
      <c r="AW337" s="83"/>
      <c r="AX337" s="83"/>
      <c r="AY337" s="83"/>
      <c r="AZ337" s="83"/>
      <c r="BA337" s="115"/>
      <c r="BB337" s="115"/>
      <c r="BC337" s="83"/>
      <c r="BD337" s="83"/>
    </row>
    <row r="338" spans="41:56" ht="18" customHeight="1">
      <c r="AO338" s="83"/>
      <c r="AP338" s="83"/>
      <c r="AQ338" s="83"/>
      <c r="AR338" s="83"/>
      <c r="AS338" s="83"/>
      <c r="AT338" s="83"/>
      <c r="AU338" s="83"/>
      <c r="AV338" s="83"/>
      <c r="AW338" s="83"/>
      <c r="AX338" s="83"/>
      <c r="AY338" s="83"/>
      <c r="AZ338" s="83"/>
      <c r="BA338" s="115"/>
      <c r="BB338" s="115"/>
      <c r="BC338" s="83"/>
      <c r="BD338" s="83"/>
    </row>
    <row r="339" spans="41:56" ht="18" customHeight="1">
      <c r="AO339" s="83"/>
      <c r="AP339" s="83"/>
      <c r="AQ339" s="83"/>
      <c r="AR339" s="83"/>
      <c r="AS339" s="83"/>
      <c r="AT339" s="83"/>
      <c r="AU339" s="83"/>
      <c r="AV339" s="83"/>
      <c r="AW339" s="83"/>
      <c r="AX339" s="83"/>
      <c r="AY339" s="83"/>
      <c r="AZ339" s="83"/>
      <c r="BA339" s="115"/>
      <c r="BB339" s="115"/>
      <c r="BC339" s="83"/>
      <c r="BD339" s="83"/>
    </row>
    <row r="340" spans="41:56" ht="18" customHeight="1">
      <c r="AO340" s="83"/>
      <c r="AP340" s="83"/>
      <c r="AQ340" s="83"/>
      <c r="AR340" s="83"/>
      <c r="AS340" s="83"/>
      <c r="AT340" s="83"/>
      <c r="AU340" s="83"/>
      <c r="AV340" s="83"/>
      <c r="AW340" s="83"/>
      <c r="AX340" s="83"/>
      <c r="AY340" s="83"/>
      <c r="AZ340" s="83"/>
      <c r="BA340" s="115"/>
      <c r="BB340" s="115"/>
      <c r="BC340" s="83"/>
      <c r="BD340" s="83"/>
    </row>
    <row r="341" spans="41:56" ht="18" customHeight="1">
      <c r="AO341" s="83"/>
      <c r="AP341" s="83"/>
      <c r="AQ341" s="83"/>
      <c r="AR341" s="83"/>
      <c r="AS341" s="83"/>
      <c r="AT341" s="83"/>
      <c r="AU341" s="83"/>
      <c r="AV341" s="83"/>
      <c r="AW341" s="83"/>
      <c r="AX341" s="83"/>
      <c r="AY341" s="83"/>
      <c r="AZ341" s="83"/>
      <c r="BA341" s="115"/>
      <c r="BB341" s="115"/>
      <c r="BC341" s="83"/>
      <c r="BD341" s="83"/>
    </row>
    <row r="342" spans="41:56" ht="18" customHeight="1">
      <c r="AO342" s="83"/>
      <c r="AP342" s="83"/>
      <c r="AQ342" s="83"/>
      <c r="AR342" s="83"/>
      <c r="AS342" s="83"/>
      <c r="AT342" s="83"/>
      <c r="AU342" s="83"/>
      <c r="AV342" s="83"/>
      <c r="AW342" s="83"/>
      <c r="AX342" s="83"/>
      <c r="AY342" s="83"/>
      <c r="AZ342" s="83"/>
      <c r="BA342" s="115"/>
      <c r="BB342" s="115"/>
      <c r="BC342" s="83"/>
      <c r="BD342" s="83"/>
    </row>
    <row r="343" spans="41:56" ht="18" customHeight="1">
      <c r="AO343" s="83"/>
      <c r="AP343" s="83"/>
      <c r="AQ343" s="83"/>
      <c r="AR343" s="83"/>
      <c r="AS343" s="83"/>
      <c r="AT343" s="83"/>
      <c r="AU343" s="83"/>
      <c r="AV343" s="83"/>
      <c r="AW343" s="83"/>
      <c r="AX343" s="83"/>
      <c r="AY343" s="83"/>
      <c r="AZ343" s="83"/>
      <c r="BA343" s="115"/>
      <c r="BB343" s="115"/>
      <c r="BC343" s="83"/>
      <c r="BD343" s="83"/>
    </row>
    <row r="344" spans="41:56" ht="18" customHeight="1">
      <c r="AO344" s="83"/>
      <c r="AP344" s="83"/>
      <c r="AQ344" s="83"/>
      <c r="AR344" s="83"/>
      <c r="AS344" s="83"/>
      <c r="AT344" s="83"/>
      <c r="AU344" s="83"/>
      <c r="AV344" s="83"/>
      <c r="AW344" s="83"/>
      <c r="AX344" s="83"/>
      <c r="AY344" s="83"/>
      <c r="AZ344" s="83"/>
      <c r="BA344" s="115"/>
      <c r="BB344" s="115"/>
      <c r="BC344" s="83"/>
      <c r="BD344" s="83"/>
    </row>
    <row r="345" spans="41:56" ht="18" customHeight="1">
      <c r="AO345" s="83"/>
      <c r="AP345" s="83"/>
      <c r="AQ345" s="83"/>
      <c r="AR345" s="83"/>
      <c r="AS345" s="83"/>
      <c r="AT345" s="83"/>
      <c r="AU345" s="83"/>
      <c r="AV345" s="83"/>
      <c r="AW345" s="83"/>
      <c r="AX345" s="83"/>
      <c r="AY345" s="83"/>
      <c r="AZ345" s="83"/>
      <c r="BA345" s="115"/>
      <c r="BB345" s="115"/>
      <c r="BC345" s="83"/>
      <c r="BD345" s="83"/>
    </row>
    <row r="346" spans="41:56" ht="18" customHeight="1">
      <c r="AO346" s="83"/>
      <c r="AP346" s="83"/>
      <c r="AQ346" s="83"/>
      <c r="AR346" s="83"/>
      <c r="AS346" s="83"/>
      <c r="AT346" s="83"/>
      <c r="AU346" s="83"/>
      <c r="AV346" s="83"/>
      <c r="AW346" s="83"/>
      <c r="AX346" s="83"/>
      <c r="AY346" s="83"/>
      <c r="AZ346" s="83"/>
      <c r="BA346" s="115"/>
      <c r="BB346" s="115"/>
      <c r="BC346" s="83"/>
      <c r="BD346" s="83"/>
    </row>
    <row r="347" spans="41:56" ht="18" customHeight="1">
      <c r="AO347" s="83"/>
      <c r="AP347" s="83"/>
      <c r="AQ347" s="83"/>
      <c r="AR347" s="83"/>
      <c r="AS347" s="83"/>
      <c r="AT347" s="83"/>
      <c r="AU347" s="83"/>
      <c r="AV347" s="83"/>
      <c r="AW347" s="83"/>
      <c r="AX347" s="83"/>
      <c r="AY347" s="83"/>
      <c r="AZ347" s="83"/>
      <c r="BA347" s="115"/>
      <c r="BB347" s="115"/>
      <c r="BC347" s="83"/>
      <c r="BD347" s="83"/>
    </row>
    <row r="348" spans="41:56" ht="18" customHeight="1">
      <c r="AO348" s="83"/>
      <c r="AP348" s="83"/>
      <c r="AQ348" s="83"/>
      <c r="AR348" s="83"/>
      <c r="AS348" s="83"/>
      <c r="AT348" s="83"/>
      <c r="AU348" s="83"/>
      <c r="AV348" s="83"/>
      <c r="AW348" s="83"/>
      <c r="AX348" s="83"/>
      <c r="AY348" s="83"/>
      <c r="AZ348" s="83"/>
      <c r="BA348" s="115"/>
      <c r="BB348" s="115"/>
      <c r="BC348" s="83"/>
      <c r="BD348" s="83"/>
    </row>
    <row r="349" spans="41:56" ht="18" customHeight="1">
      <c r="AO349" s="83"/>
      <c r="AP349" s="83"/>
      <c r="AQ349" s="83"/>
      <c r="AR349" s="83"/>
      <c r="AS349" s="83"/>
      <c r="AT349" s="83"/>
      <c r="AU349" s="83"/>
      <c r="AV349" s="83"/>
      <c r="AW349" s="83"/>
      <c r="AX349" s="83"/>
      <c r="AY349" s="83"/>
      <c r="AZ349" s="83"/>
      <c r="BA349" s="115"/>
      <c r="BB349" s="115"/>
      <c r="BC349" s="83"/>
      <c r="BD349" s="83"/>
    </row>
    <row r="350" spans="41:56" ht="18" customHeight="1">
      <c r="AO350" s="83"/>
      <c r="AP350" s="83"/>
      <c r="AQ350" s="83"/>
      <c r="AR350" s="83"/>
      <c r="AS350" s="83"/>
      <c r="AT350" s="83"/>
      <c r="AU350" s="83"/>
      <c r="AV350" s="83"/>
      <c r="AW350" s="83"/>
      <c r="AX350" s="83"/>
      <c r="AY350" s="83"/>
      <c r="AZ350" s="83"/>
      <c r="BA350" s="115"/>
      <c r="BB350" s="115"/>
      <c r="BC350" s="83"/>
      <c r="BD350" s="83"/>
    </row>
    <row r="351" spans="41:56" ht="18" customHeight="1">
      <c r="AO351" s="83"/>
      <c r="AP351" s="83"/>
      <c r="AQ351" s="83"/>
      <c r="AR351" s="83"/>
      <c r="AS351" s="83"/>
      <c r="AT351" s="83"/>
      <c r="AU351" s="83"/>
      <c r="AV351" s="83"/>
      <c r="AW351" s="83"/>
      <c r="AX351" s="83"/>
      <c r="AY351" s="83"/>
      <c r="AZ351" s="83"/>
      <c r="BA351" s="115"/>
      <c r="BB351" s="115"/>
      <c r="BC351" s="83"/>
      <c r="BD351" s="83"/>
    </row>
    <row r="352" spans="41:56" ht="18" customHeight="1">
      <c r="AO352" s="83"/>
      <c r="AP352" s="83"/>
      <c r="AQ352" s="83"/>
      <c r="AR352" s="83"/>
      <c r="AS352" s="83"/>
      <c r="AT352" s="83"/>
      <c r="AU352" s="83"/>
      <c r="AV352" s="83"/>
      <c r="AW352" s="83"/>
      <c r="AX352" s="83"/>
      <c r="AY352" s="83"/>
      <c r="AZ352" s="83"/>
      <c r="BA352" s="115"/>
      <c r="BB352" s="115"/>
      <c r="BC352" s="83"/>
      <c r="BD352" s="83"/>
    </row>
    <row r="353" spans="41:56" ht="18" customHeight="1">
      <c r="AO353" s="83"/>
      <c r="AP353" s="83"/>
      <c r="AQ353" s="83"/>
      <c r="AR353" s="83"/>
      <c r="AS353" s="83"/>
      <c r="AT353" s="83"/>
      <c r="AU353" s="83"/>
      <c r="AV353" s="83"/>
      <c r="AW353" s="83"/>
      <c r="AX353" s="83"/>
      <c r="AY353" s="83"/>
      <c r="AZ353" s="83"/>
      <c r="BA353" s="115"/>
      <c r="BB353" s="115"/>
      <c r="BC353" s="83"/>
      <c r="BD353" s="83"/>
    </row>
    <row r="354" spans="41:56" ht="18" customHeight="1">
      <c r="AO354" s="83"/>
      <c r="AP354" s="83"/>
      <c r="AQ354" s="83"/>
      <c r="AR354" s="83"/>
      <c r="AS354" s="83"/>
      <c r="AT354" s="83"/>
      <c r="AU354" s="83"/>
      <c r="AV354" s="83"/>
      <c r="AW354" s="83"/>
      <c r="AX354" s="83"/>
      <c r="AY354" s="83"/>
      <c r="AZ354" s="83"/>
      <c r="BA354" s="115"/>
      <c r="BB354" s="115"/>
      <c r="BC354" s="83"/>
      <c r="BD354" s="83"/>
    </row>
    <row r="355" spans="41:56" ht="18" customHeight="1">
      <c r="AO355" s="83"/>
      <c r="AP355" s="83"/>
      <c r="AQ355" s="83"/>
      <c r="AR355" s="83"/>
      <c r="AS355" s="83"/>
      <c r="AT355" s="83"/>
      <c r="AU355" s="83"/>
      <c r="AV355" s="83"/>
      <c r="AW355" s="83"/>
      <c r="AX355" s="83"/>
      <c r="AY355" s="83"/>
      <c r="AZ355" s="83"/>
      <c r="BA355" s="115"/>
      <c r="BB355" s="115"/>
      <c r="BC355" s="83"/>
      <c r="BD355" s="83"/>
    </row>
    <row r="356" spans="41:56" ht="18" customHeight="1">
      <c r="AO356" s="83"/>
      <c r="AP356" s="83"/>
      <c r="AQ356" s="83"/>
      <c r="AR356" s="83"/>
      <c r="AS356" s="83"/>
      <c r="AT356" s="83"/>
      <c r="AU356" s="83"/>
      <c r="AV356" s="83"/>
      <c r="AW356" s="83"/>
      <c r="AX356" s="83"/>
      <c r="AY356" s="83"/>
      <c r="AZ356" s="83"/>
      <c r="BA356" s="115"/>
      <c r="BB356" s="115"/>
      <c r="BC356" s="83"/>
      <c r="BD356" s="83"/>
    </row>
    <row r="357" spans="41:56" ht="18" customHeight="1">
      <c r="AO357" s="83"/>
      <c r="AP357" s="83"/>
      <c r="AQ357" s="83"/>
      <c r="AR357" s="83"/>
      <c r="AS357" s="83"/>
      <c r="AT357" s="83"/>
      <c r="AU357" s="83"/>
      <c r="AV357" s="83"/>
      <c r="AW357" s="83"/>
      <c r="AX357" s="83"/>
      <c r="AY357" s="83"/>
      <c r="AZ357" s="83"/>
      <c r="BA357" s="115"/>
      <c r="BB357" s="115"/>
      <c r="BC357" s="83"/>
      <c r="BD357" s="83"/>
    </row>
    <row r="358" spans="41:56" ht="18" customHeight="1">
      <c r="AO358" s="83"/>
      <c r="AP358" s="83"/>
      <c r="AQ358" s="83"/>
      <c r="AR358" s="83"/>
      <c r="AS358" s="83"/>
      <c r="AT358" s="83"/>
      <c r="AU358" s="83"/>
      <c r="AV358" s="83"/>
      <c r="AW358" s="83"/>
      <c r="AX358" s="83"/>
      <c r="AY358" s="83"/>
      <c r="AZ358" s="83"/>
      <c r="BA358" s="115"/>
      <c r="BB358" s="115"/>
      <c r="BC358" s="83"/>
      <c r="BD358" s="83"/>
    </row>
    <row r="359" spans="41:56" ht="18" customHeight="1">
      <c r="AO359" s="83"/>
      <c r="AP359" s="83"/>
      <c r="AQ359" s="83"/>
      <c r="AR359" s="83"/>
      <c r="AS359" s="83"/>
      <c r="AT359" s="83"/>
      <c r="AU359" s="83"/>
      <c r="AV359" s="83"/>
      <c r="AW359" s="83"/>
      <c r="AX359" s="83"/>
      <c r="AY359" s="83"/>
      <c r="AZ359" s="83"/>
      <c r="BA359" s="115"/>
      <c r="BB359" s="115"/>
      <c r="BC359" s="83"/>
      <c r="BD359" s="83"/>
    </row>
    <row r="360" spans="41:56" ht="18" customHeight="1">
      <c r="AO360" s="83"/>
      <c r="AP360" s="83"/>
      <c r="AQ360" s="83"/>
      <c r="AR360" s="83"/>
      <c r="AS360" s="83"/>
      <c r="AT360" s="83"/>
      <c r="AU360" s="83"/>
      <c r="AV360" s="83"/>
      <c r="AW360" s="83"/>
      <c r="AX360" s="83"/>
      <c r="AY360" s="83"/>
      <c r="AZ360" s="83"/>
      <c r="BA360" s="115"/>
      <c r="BB360" s="115"/>
      <c r="BC360" s="83"/>
      <c r="BD360" s="83"/>
    </row>
    <row r="361" spans="41:56" ht="18" customHeight="1">
      <c r="AO361" s="83"/>
      <c r="AP361" s="83"/>
      <c r="AQ361" s="83"/>
      <c r="AR361" s="83"/>
      <c r="AS361" s="83"/>
      <c r="AT361" s="83"/>
      <c r="AU361" s="83"/>
      <c r="AV361" s="83"/>
      <c r="AW361" s="83"/>
      <c r="AX361" s="83"/>
      <c r="AY361" s="83"/>
      <c r="AZ361" s="83"/>
      <c r="BA361" s="115"/>
      <c r="BB361" s="115"/>
      <c r="BC361" s="83"/>
      <c r="BD361" s="83"/>
    </row>
    <row r="362" spans="41:56" ht="18" customHeight="1">
      <c r="AO362" s="83"/>
      <c r="AP362" s="83"/>
      <c r="AQ362" s="83"/>
      <c r="AR362" s="83"/>
      <c r="AS362" s="83"/>
      <c r="AT362" s="83"/>
      <c r="AU362" s="83"/>
      <c r="AV362" s="83"/>
      <c r="AW362" s="83"/>
      <c r="AX362" s="83"/>
      <c r="AY362" s="83"/>
      <c r="AZ362" s="83"/>
      <c r="BA362" s="115"/>
      <c r="BB362" s="115"/>
      <c r="BC362" s="83"/>
      <c r="BD362" s="83"/>
    </row>
    <row r="363" spans="41:56" ht="18" customHeight="1">
      <c r="AO363" s="83"/>
      <c r="AP363" s="83"/>
      <c r="AQ363" s="83"/>
      <c r="AR363" s="83"/>
      <c r="AS363" s="83"/>
      <c r="AT363" s="83"/>
      <c r="AU363" s="83"/>
      <c r="AV363" s="83"/>
      <c r="AW363" s="83"/>
      <c r="AX363" s="83"/>
      <c r="AY363" s="83"/>
      <c r="AZ363" s="83"/>
      <c r="BA363" s="115"/>
      <c r="BB363" s="115"/>
      <c r="BC363" s="83"/>
      <c r="BD363" s="83"/>
    </row>
    <row r="364" spans="41:56" ht="18" customHeight="1">
      <c r="AO364" s="83"/>
      <c r="AP364" s="83"/>
      <c r="AQ364" s="83"/>
      <c r="AR364" s="83"/>
      <c r="AS364" s="83"/>
      <c r="AT364" s="83"/>
      <c r="AU364" s="83"/>
      <c r="AV364" s="83"/>
      <c r="AW364" s="83"/>
      <c r="AX364" s="83"/>
      <c r="AY364" s="83"/>
      <c r="AZ364" s="83"/>
      <c r="BA364" s="115"/>
      <c r="BB364" s="115"/>
      <c r="BC364" s="83"/>
      <c r="BD364" s="83"/>
    </row>
    <row r="365" spans="41:56" ht="18" customHeight="1">
      <c r="AO365" s="83"/>
      <c r="AP365" s="83"/>
      <c r="AQ365" s="83"/>
      <c r="AR365" s="83"/>
      <c r="AS365" s="83"/>
      <c r="AT365" s="83"/>
      <c r="AU365" s="83"/>
      <c r="AV365" s="83"/>
      <c r="AW365" s="83"/>
      <c r="AX365" s="83"/>
      <c r="AY365" s="83"/>
      <c r="AZ365" s="83"/>
      <c r="BA365" s="115"/>
      <c r="BB365" s="115"/>
      <c r="BC365" s="83"/>
      <c r="BD365" s="83"/>
    </row>
    <row r="366" spans="41:56" ht="18" customHeight="1">
      <c r="AO366" s="83"/>
      <c r="AP366" s="83"/>
      <c r="AQ366" s="83"/>
      <c r="AR366" s="83"/>
      <c r="AS366" s="83"/>
      <c r="AT366" s="83"/>
      <c r="AU366" s="83"/>
      <c r="AV366" s="83"/>
      <c r="AW366" s="83"/>
      <c r="AX366" s="83"/>
      <c r="AY366" s="83"/>
      <c r="AZ366" s="83"/>
      <c r="BA366" s="115"/>
      <c r="BB366" s="115"/>
      <c r="BC366" s="83"/>
      <c r="BD366" s="83"/>
    </row>
    <row r="367" spans="41:56" ht="18" customHeight="1">
      <c r="AO367" s="83"/>
      <c r="AP367" s="83"/>
      <c r="AQ367" s="83"/>
      <c r="AR367" s="83"/>
      <c r="AS367" s="83"/>
      <c r="AT367" s="83"/>
      <c r="AU367" s="83"/>
      <c r="AV367" s="83"/>
      <c r="AW367" s="83"/>
      <c r="AX367" s="83"/>
      <c r="AY367" s="83"/>
      <c r="AZ367" s="83"/>
      <c r="BA367" s="115"/>
      <c r="BB367" s="115"/>
      <c r="BC367" s="83"/>
      <c r="BD367" s="83"/>
    </row>
    <row r="368" spans="41:56" ht="18" customHeight="1">
      <c r="AO368" s="83"/>
      <c r="AP368" s="83"/>
      <c r="AQ368" s="83"/>
      <c r="AR368" s="83"/>
      <c r="AS368" s="83"/>
      <c r="AT368" s="83"/>
      <c r="AU368" s="83"/>
      <c r="AV368" s="83"/>
      <c r="AW368" s="83"/>
      <c r="AX368" s="83"/>
      <c r="AY368" s="83"/>
      <c r="AZ368" s="83"/>
      <c r="BA368" s="115"/>
      <c r="BB368" s="115"/>
      <c r="BC368" s="83"/>
      <c r="BD368" s="83"/>
    </row>
    <row r="369" spans="41:56" ht="18" customHeight="1">
      <c r="AO369" s="83"/>
      <c r="AP369" s="83"/>
      <c r="AQ369" s="83"/>
      <c r="AR369" s="83"/>
      <c r="AS369" s="83"/>
      <c r="AT369" s="83"/>
      <c r="AU369" s="83"/>
      <c r="AV369" s="83"/>
      <c r="AW369" s="83"/>
      <c r="AX369" s="83"/>
      <c r="AY369" s="83"/>
      <c r="AZ369" s="83"/>
      <c r="BA369" s="115"/>
      <c r="BB369" s="115"/>
      <c r="BC369" s="83"/>
      <c r="BD369" s="83"/>
    </row>
    <row r="370" spans="41:56" ht="18" customHeight="1">
      <c r="AO370" s="83"/>
      <c r="AP370" s="83"/>
      <c r="AQ370" s="83"/>
      <c r="AR370" s="83"/>
      <c r="AS370" s="83"/>
      <c r="AT370" s="83"/>
      <c r="AU370" s="83"/>
      <c r="AV370" s="83"/>
      <c r="AW370" s="83"/>
      <c r="AX370" s="83"/>
      <c r="AY370" s="83"/>
      <c r="AZ370" s="83"/>
      <c r="BA370" s="115"/>
      <c r="BB370" s="115"/>
      <c r="BC370" s="83"/>
      <c r="BD370" s="83"/>
    </row>
    <row r="371" spans="41:56" ht="18" customHeight="1">
      <c r="AO371" s="83"/>
      <c r="AP371" s="83"/>
      <c r="AQ371" s="83"/>
      <c r="AR371" s="83"/>
      <c r="AS371" s="83"/>
      <c r="AT371" s="83"/>
      <c r="AU371" s="83"/>
      <c r="AV371" s="83"/>
      <c r="AW371" s="83"/>
      <c r="AX371" s="83"/>
      <c r="AY371" s="83"/>
      <c r="AZ371" s="83"/>
      <c r="BA371" s="115"/>
      <c r="BB371" s="115"/>
      <c r="BC371" s="83"/>
      <c r="BD371" s="83"/>
    </row>
    <row r="372" spans="41:56" ht="18" customHeight="1">
      <c r="AO372" s="83"/>
      <c r="AP372" s="83"/>
      <c r="AQ372" s="83"/>
      <c r="AR372" s="83"/>
      <c r="AS372" s="83"/>
      <c r="AT372" s="83"/>
      <c r="AU372" s="83"/>
      <c r="AV372" s="83"/>
      <c r="AW372" s="83"/>
      <c r="AX372" s="83"/>
      <c r="AY372" s="83"/>
      <c r="AZ372" s="83"/>
      <c r="BA372" s="115"/>
      <c r="BB372" s="115"/>
      <c r="BC372" s="83"/>
      <c r="BD372" s="83"/>
    </row>
    <row r="373" spans="41:56" ht="18" customHeight="1">
      <c r="AO373" s="83"/>
      <c r="AP373" s="83"/>
      <c r="AQ373" s="83"/>
      <c r="AR373" s="83"/>
      <c r="AS373" s="83"/>
      <c r="AT373" s="83"/>
      <c r="AU373" s="83"/>
      <c r="AV373" s="83"/>
      <c r="AW373" s="83"/>
      <c r="AX373" s="83"/>
      <c r="AY373" s="83"/>
      <c r="AZ373" s="83"/>
      <c r="BA373" s="115"/>
      <c r="BB373" s="115"/>
      <c r="BC373" s="83"/>
      <c r="BD373" s="83"/>
    </row>
    <row r="374" spans="41:56" ht="18" customHeight="1">
      <c r="AO374" s="83"/>
      <c r="AP374" s="83"/>
      <c r="AQ374" s="83"/>
      <c r="AR374" s="83"/>
      <c r="AS374" s="83"/>
      <c r="AT374" s="83"/>
      <c r="AU374" s="83"/>
      <c r="AV374" s="83"/>
      <c r="AW374" s="83"/>
      <c r="AX374" s="83"/>
      <c r="AY374" s="83"/>
      <c r="AZ374" s="83"/>
      <c r="BA374" s="115"/>
      <c r="BB374" s="115"/>
      <c r="BC374" s="83"/>
      <c r="BD374" s="83"/>
    </row>
    <row r="375" spans="41:56" ht="18" customHeight="1">
      <c r="AO375" s="83"/>
      <c r="AP375" s="83"/>
      <c r="AQ375" s="83"/>
      <c r="AR375" s="83"/>
      <c r="AS375" s="83"/>
      <c r="AT375" s="83"/>
      <c r="AU375" s="83"/>
      <c r="AV375" s="83"/>
      <c r="AW375" s="83"/>
      <c r="AX375" s="83"/>
      <c r="AY375" s="83"/>
      <c r="AZ375" s="83"/>
      <c r="BA375" s="115"/>
      <c r="BB375" s="115"/>
      <c r="BC375" s="83"/>
      <c r="BD375" s="83"/>
    </row>
    <row r="376" spans="41:56" ht="18" customHeight="1">
      <c r="AO376" s="83"/>
      <c r="AP376" s="83"/>
      <c r="AQ376" s="83"/>
      <c r="AR376" s="83"/>
      <c r="AS376" s="83"/>
      <c r="AT376" s="83"/>
      <c r="AU376" s="83"/>
      <c r="AV376" s="83"/>
      <c r="AW376" s="83"/>
      <c r="AX376" s="83"/>
      <c r="AY376" s="83"/>
      <c r="AZ376" s="83"/>
      <c r="BA376" s="115"/>
      <c r="BB376" s="115"/>
      <c r="BC376" s="83"/>
      <c r="BD376" s="83"/>
    </row>
    <row r="377" spans="41:56" ht="18" customHeight="1">
      <c r="AO377" s="83"/>
      <c r="AP377" s="83"/>
      <c r="AQ377" s="83"/>
      <c r="AR377" s="83"/>
      <c r="AS377" s="83"/>
      <c r="AT377" s="83"/>
      <c r="AU377" s="83"/>
      <c r="AV377" s="83"/>
      <c r="AW377" s="83"/>
      <c r="AX377" s="83"/>
      <c r="AY377" s="83"/>
      <c r="AZ377" s="83"/>
      <c r="BA377" s="115"/>
      <c r="BB377" s="115"/>
      <c r="BC377" s="83"/>
      <c r="BD377" s="83"/>
    </row>
    <row r="378" spans="41:56" ht="18" customHeight="1">
      <c r="AO378" s="83"/>
      <c r="AP378" s="83"/>
      <c r="AQ378" s="83"/>
      <c r="AR378" s="83"/>
      <c r="AS378" s="83"/>
      <c r="AT378" s="83"/>
      <c r="AU378" s="83"/>
      <c r="AV378" s="83"/>
      <c r="AW378" s="83"/>
      <c r="AX378" s="83"/>
      <c r="AY378" s="83"/>
      <c r="AZ378" s="83"/>
      <c r="BA378" s="115"/>
      <c r="BB378" s="115"/>
      <c r="BC378" s="83"/>
      <c r="BD378" s="83"/>
    </row>
    <row r="379" spans="41:56" ht="18" customHeight="1">
      <c r="AO379" s="83"/>
      <c r="AP379" s="83"/>
      <c r="AQ379" s="83"/>
      <c r="AR379" s="83"/>
      <c r="AS379" s="83"/>
      <c r="AT379" s="83"/>
      <c r="AU379" s="83"/>
      <c r="AV379" s="83"/>
      <c r="AW379" s="83"/>
      <c r="AX379" s="83"/>
      <c r="AY379" s="83"/>
      <c r="AZ379" s="83"/>
      <c r="BA379" s="115"/>
      <c r="BB379" s="115"/>
      <c r="BC379" s="83"/>
      <c r="BD379" s="83"/>
    </row>
    <row r="380" spans="41:56" ht="18" customHeight="1">
      <c r="AO380" s="83"/>
      <c r="AP380" s="83"/>
      <c r="AQ380" s="83"/>
      <c r="AR380" s="83"/>
      <c r="AS380" s="83"/>
      <c r="AT380" s="83"/>
      <c r="AU380" s="83"/>
      <c r="AV380" s="83"/>
      <c r="AW380" s="83"/>
      <c r="AX380" s="83"/>
      <c r="AY380" s="83"/>
      <c r="AZ380" s="83"/>
      <c r="BA380" s="115"/>
      <c r="BB380" s="115"/>
      <c r="BC380" s="83"/>
      <c r="BD380" s="83"/>
    </row>
    <row r="381" spans="41:56" ht="18" customHeight="1">
      <c r="AO381" s="83"/>
      <c r="AP381" s="83"/>
      <c r="AQ381" s="83"/>
      <c r="AR381" s="83"/>
      <c r="AS381" s="83"/>
      <c r="AT381" s="83"/>
      <c r="AU381" s="83"/>
      <c r="AV381" s="83"/>
      <c r="AW381" s="83"/>
      <c r="AX381" s="83"/>
      <c r="AY381" s="83"/>
      <c r="AZ381" s="83"/>
      <c r="BA381" s="115"/>
      <c r="BB381" s="115"/>
      <c r="BC381" s="83"/>
      <c r="BD381" s="83"/>
    </row>
    <row r="382" spans="41:56" ht="18" customHeight="1">
      <c r="AO382" s="83"/>
      <c r="AP382" s="83"/>
      <c r="AQ382" s="83"/>
      <c r="AR382" s="83"/>
      <c r="AS382" s="83"/>
      <c r="AT382" s="83"/>
      <c r="AU382" s="83"/>
      <c r="AV382" s="83"/>
      <c r="AW382" s="83"/>
      <c r="AX382" s="83"/>
      <c r="AY382" s="83"/>
      <c r="AZ382" s="83"/>
      <c r="BA382" s="115"/>
      <c r="BB382" s="115"/>
      <c r="BC382" s="83"/>
      <c r="BD382" s="83"/>
    </row>
    <row r="383" spans="41:56" ht="18" customHeight="1">
      <c r="AO383" s="83"/>
      <c r="AP383" s="83"/>
      <c r="AQ383" s="83"/>
      <c r="AR383" s="83"/>
      <c r="AS383" s="83"/>
      <c r="AT383" s="83"/>
      <c r="AU383" s="83"/>
      <c r="AV383" s="83"/>
      <c r="AW383" s="83"/>
      <c r="AX383" s="83"/>
      <c r="AY383" s="83"/>
      <c r="AZ383" s="83"/>
      <c r="BA383" s="115"/>
      <c r="BB383" s="115"/>
      <c r="BC383" s="83"/>
      <c r="BD383" s="83"/>
    </row>
    <row r="384" spans="41:56" ht="18" customHeight="1">
      <c r="AO384" s="83"/>
      <c r="AP384" s="83"/>
      <c r="AQ384" s="83"/>
      <c r="AR384" s="83"/>
      <c r="AS384" s="83"/>
      <c r="AT384" s="83"/>
      <c r="AU384" s="83"/>
      <c r="AV384" s="83"/>
      <c r="AW384" s="83"/>
      <c r="AX384" s="83"/>
      <c r="AY384" s="83"/>
      <c r="AZ384" s="83"/>
      <c r="BA384" s="115"/>
      <c r="BB384" s="115"/>
      <c r="BC384" s="83"/>
      <c r="BD384" s="83"/>
    </row>
    <row r="385" spans="41:56" ht="18" customHeight="1">
      <c r="AO385" s="83"/>
      <c r="AP385" s="83"/>
      <c r="AQ385" s="83"/>
      <c r="AR385" s="83"/>
      <c r="AS385" s="83"/>
      <c r="AT385" s="83"/>
      <c r="AU385" s="83"/>
      <c r="AV385" s="83"/>
      <c r="AW385" s="83"/>
      <c r="AX385" s="83"/>
      <c r="AY385" s="83"/>
      <c r="AZ385" s="83"/>
      <c r="BA385" s="115"/>
      <c r="BB385" s="115"/>
      <c r="BC385" s="83"/>
      <c r="BD385" s="83"/>
    </row>
    <row r="386" spans="41:56" ht="18" customHeight="1">
      <c r="AO386" s="83"/>
      <c r="AP386" s="83"/>
      <c r="AQ386" s="83"/>
      <c r="AR386" s="83"/>
      <c r="AS386" s="83"/>
      <c r="AT386" s="83"/>
      <c r="AU386" s="83"/>
      <c r="AV386" s="83"/>
      <c r="AW386" s="83"/>
      <c r="AX386" s="83"/>
      <c r="AY386" s="83"/>
      <c r="AZ386" s="83"/>
      <c r="BA386" s="115"/>
      <c r="BB386" s="115"/>
      <c r="BC386" s="83"/>
      <c r="BD386" s="83"/>
    </row>
    <row r="387" spans="41:56" ht="18" customHeight="1">
      <c r="AO387" s="83"/>
      <c r="AP387" s="83"/>
      <c r="AQ387" s="83"/>
      <c r="AR387" s="83"/>
      <c r="AS387" s="83"/>
      <c r="AT387" s="83"/>
      <c r="AU387" s="83"/>
      <c r="AV387" s="83"/>
      <c r="AW387" s="83"/>
      <c r="AX387" s="83"/>
      <c r="AY387" s="83"/>
      <c r="AZ387" s="83"/>
      <c r="BA387" s="115"/>
      <c r="BB387" s="115"/>
      <c r="BC387" s="83"/>
      <c r="BD387" s="83"/>
    </row>
    <row r="388" spans="41:56" ht="18" customHeight="1">
      <c r="AO388" s="83"/>
      <c r="AP388" s="83"/>
      <c r="AQ388" s="83"/>
      <c r="AR388" s="83"/>
      <c r="AS388" s="83"/>
      <c r="AT388" s="83"/>
      <c r="AU388" s="83"/>
      <c r="AV388" s="83"/>
      <c r="AW388" s="83"/>
      <c r="AX388" s="83"/>
      <c r="AY388" s="83"/>
      <c r="AZ388" s="83"/>
      <c r="BA388" s="115"/>
      <c r="BB388" s="115"/>
      <c r="BC388" s="83"/>
      <c r="BD388" s="83"/>
    </row>
    <row r="389" spans="41:56" ht="18" customHeight="1">
      <c r="AO389" s="83"/>
      <c r="AP389" s="83"/>
      <c r="AQ389" s="83"/>
      <c r="AR389" s="83"/>
      <c r="AS389" s="83"/>
      <c r="AT389" s="83"/>
      <c r="AU389" s="83"/>
      <c r="AV389" s="83"/>
      <c r="AW389" s="83"/>
      <c r="AX389" s="83"/>
      <c r="AY389" s="83"/>
      <c r="AZ389" s="83"/>
      <c r="BA389" s="115"/>
      <c r="BB389" s="115"/>
      <c r="BC389" s="83"/>
      <c r="BD389" s="83"/>
    </row>
    <row r="390" spans="41:56" ht="18" customHeight="1">
      <c r="AO390" s="83"/>
      <c r="AP390" s="83"/>
      <c r="AQ390" s="83"/>
      <c r="AR390" s="83"/>
      <c r="AS390" s="83"/>
      <c r="AT390" s="83"/>
      <c r="AU390" s="83"/>
      <c r="AV390" s="83"/>
      <c r="AW390" s="83"/>
      <c r="AX390" s="83"/>
      <c r="AY390" s="83"/>
      <c r="AZ390" s="83"/>
      <c r="BA390" s="115"/>
      <c r="BB390" s="115"/>
      <c r="BC390" s="83"/>
      <c r="BD390" s="83"/>
    </row>
    <row r="391" spans="41:56" ht="18" customHeight="1">
      <c r="AO391" s="83"/>
      <c r="AP391" s="83"/>
      <c r="AQ391" s="83"/>
      <c r="AR391" s="83"/>
      <c r="AS391" s="83"/>
      <c r="AT391" s="83"/>
      <c r="AU391" s="83"/>
      <c r="AV391" s="83"/>
      <c r="AW391" s="83"/>
      <c r="AX391" s="83"/>
      <c r="AY391" s="83"/>
      <c r="AZ391" s="83"/>
      <c r="BA391" s="115"/>
      <c r="BB391" s="115"/>
      <c r="BC391" s="83"/>
      <c r="BD391" s="83"/>
    </row>
    <row r="392" spans="41:56" ht="18" customHeight="1">
      <c r="AO392" s="83"/>
      <c r="AP392" s="83"/>
      <c r="AQ392" s="83"/>
      <c r="AR392" s="83"/>
      <c r="AS392" s="83"/>
      <c r="AT392" s="83"/>
      <c r="AU392" s="83"/>
      <c r="AV392" s="83"/>
      <c r="AW392" s="83"/>
      <c r="AX392" s="83"/>
      <c r="AY392" s="83"/>
      <c r="AZ392" s="83"/>
      <c r="BA392" s="115"/>
      <c r="BB392" s="115"/>
      <c r="BC392" s="83"/>
      <c r="BD392" s="83"/>
    </row>
    <row r="393" spans="41:56" ht="18" customHeight="1">
      <c r="AO393" s="83"/>
      <c r="AP393" s="83"/>
      <c r="AQ393" s="83"/>
      <c r="AR393" s="83"/>
      <c r="AS393" s="83"/>
      <c r="AT393" s="83"/>
      <c r="AU393" s="83"/>
      <c r="AV393" s="83"/>
      <c r="AW393" s="83"/>
      <c r="AX393" s="83"/>
      <c r="AY393" s="83"/>
      <c r="AZ393" s="83"/>
      <c r="BA393" s="115"/>
      <c r="BB393" s="115"/>
      <c r="BC393" s="83"/>
      <c r="BD393" s="83"/>
    </row>
    <row r="394" spans="41:56" ht="18" customHeight="1">
      <c r="AO394" s="83"/>
      <c r="AP394" s="83"/>
      <c r="AQ394" s="83"/>
      <c r="AR394" s="83"/>
      <c r="AS394" s="83"/>
      <c r="AT394" s="83"/>
      <c r="AU394" s="83"/>
      <c r="AV394" s="83"/>
      <c r="AW394" s="83"/>
      <c r="AX394" s="83"/>
      <c r="AY394" s="83"/>
      <c r="AZ394" s="83"/>
      <c r="BA394" s="115"/>
      <c r="BB394" s="115"/>
      <c r="BC394" s="83"/>
      <c r="BD394" s="83"/>
    </row>
    <row r="395" spans="41:56" ht="18" customHeight="1">
      <c r="AO395" s="83"/>
      <c r="AP395" s="83"/>
      <c r="AQ395" s="83"/>
      <c r="AR395" s="83"/>
      <c r="AS395" s="83"/>
      <c r="AT395" s="83"/>
      <c r="AU395" s="83"/>
      <c r="AV395" s="83"/>
      <c r="AW395" s="83"/>
      <c r="AX395" s="83"/>
      <c r="AY395" s="83"/>
      <c r="AZ395" s="83"/>
      <c r="BA395" s="115"/>
      <c r="BB395" s="115"/>
      <c r="BC395" s="83"/>
      <c r="BD395" s="83"/>
    </row>
    <row r="396" spans="41:56" ht="18" customHeight="1">
      <c r="AO396" s="83"/>
      <c r="AP396" s="83"/>
      <c r="AQ396" s="83"/>
      <c r="AR396" s="83"/>
      <c r="AS396" s="83"/>
      <c r="AT396" s="83"/>
      <c r="AU396" s="83"/>
      <c r="AV396" s="83"/>
      <c r="AW396" s="83"/>
      <c r="AX396" s="83"/>
      <c r="AY396" s="83"/>
      <c r="AZ396" s="83"/>
      <c r="BA396" s="115"/>
      <c r="BB396" s="115"/>
      <c r="BC396" s="83"/>
      <c r="BD396" s="83"/>
    </row>
    <row r="397" spans="41:56" ht="18" customHeight="1">
      <c r="AO397" s="83"/>
      <c r="AP397" s="83"/>
      <c r="AQ397" s="83"/>
      <c r="AR397" s="83"/>
      <c r="AS397" s="83"/>
      <c r="AT397" s="83"/>
      <c r="AU397" s="83"/>
      <c r="AV397" s="83"/>
      <c r="AW397" s="83"/>
      <c r="AX397" s="83"/>
      <c r="AY397" s="83"/>
      <c r="AZ397" s="83"/>
      <c r="BA397" s="115"/>
      <c r="BB397" s="115"/>
      <c r="BC397" s="83"/>
      <c r="BD397" s="83"/>
    </row>
    <row r="398" spans="41:56" ht="18" customHeight="1">
      <c r="AO398" s="83"/>
      <c r="AP398" s="83"/>
      <c r="AQ398" s="83"/>
      <c r="AR398" s="83"/>
      <c r="AS398" s="83"/>
      <c r="AT398" s="83"/>
      <c r="AU398" s="83"/>
      <c r="AV398" s="83"/>
      <c r="AW398" s="83"/>
      <c r="AX398" s="83"/>
      <c r="AY398" s="83"/>
      <c r="AZ398" s="83"/>
      <c r="BA398" s="115"/>
      <c r="BB398" s="115"/>
      <c r="BC398" s="83"/>
      <c r="BD398" s="83"/>
    </row>
    <row r="399" spans="41:56" ht="18" customHeight="1">
      <c r="AO399" s="83"/>
      <c r="AP399" s="83"/>
      <c r="AQ399" s="83"/>
      <c r="AR399" s="83"/>
      <c r="AS399" s="83"/>
      <c r="AT399" s="83"/>
      <c r="AU399" s="83"/>
      <c r="AV399" s="83"/>
      <c r="AW399" s="83"/>
      <c r="AX399" s="83"/>
      <c r="AY399" s="83"/>
      <c r="AZ399" s="83"/>
      <c r="BA399" s="115"/>
      <c r="BB399" s="115"/>
      <c r="BC399" s="83"/>
      <c r="BD399" s="83"/>
    </row>
    <row r="400" spans="41:56" ht="18" customHeight="1">
      <c r="AO400" s="83"/>
      <c r="AP400" s="83"/>
      <c r="AQ400" s="83"/>
      <c r="AR400" s="83"/>
      <c r="AS400" s="83"/>
      <c r="AT400" s="83"/>
      <c r="AU400" s="83"/>
      <c r="AV400" s="83"/>
      <c r="AW400" s="83"/>
      <c r="AX400" s="83"/>
      <c r="AY400" s="83"/>
      <c r="AZ400" s="83"/>
      <c r="BA400" s="115"/>
      <c r="BB400" s="115"/>
      <c r="BC400" s="83"/>
      <c r="BD400" s="83"/>
    </row>
    <row r="401" spans="41:56" ht="18" customHeight="1">
      <c r="AO401" s="83"/>
      <c r="AP401" s="83"/>
      <c r="AQ401" s="83"/>
      <c r="AR401" s="83"/>
      <c r="AS401" s="83"/>
      <c r="AT401" s="83"/>
      <c r="AU401" s="83"/>
      <c r="AV401" s="83"/>
      <c r="AW401" s="83"/>
      <c r="AX401" s="83"/>
      <c r="AY401" s="83"/>
      <c r="AZ401" s="83"/>
      <c r="BA401" s="115"/>
      <c r="BB401" s="115"/>
      <c r="BC401" s="83"/>
      <c r="BD401" s="83"/>
    </row>
    <row r="402" spans="41:56" ht="18" customHeight="1">
      <c r="AO402" s="83"/>
      <c r="AP402" s="83"/>
      <c r="AQ402" s="83"/>
      <c r="AR402" s="83"/>
      <c r="AS402" s="83"/>
      <c r="AT402" s="83"/>
      <c r="AU402" s="83"/>
      <c r="AV402" s="83"/>
      <c r="AW402" s="83"/>
      <c r="AX402" s="83"/>
      <c r="AY402" s="83"/>
      <c r="AZ402" s="83"/>
      <c r="BA402" s="115"/>
      <c r="BB402" s="115"/>
      <c r="BC402" s="83"/>
      <c r="BD402" s="83"/>
    </row>
    <row r="403" spans="41:56" ht="18" customHeight="1">
      <c r="AO403" s="83"/>
      <c r="AP403" s="83"/>
      <c r="AQ403" s="83"/>
      <c r="AR403" s="83"/>
      <c r="AS403" s="83"/>
      <c r="AT403" s="83"/>
      <c r="AU403" s="83"/>
      <c r="AV403" s="83"/>
      <c r="AW403" s="83"/>
      <c r="AX403" s="83"/>
      <c r="AY403" s="83"/>
      <c r="AZ403" s="83"/>
      <c r="BA403" s="115"/>
      <c r="BB403" s="115"/>
      <c r="BC403" s="83"/>
      <c r="BD403" s="83"/>
    </row>
    <row r="404" spans="41:56" ht="18" customHeight="1">
      <c r="AO404" s="83"/>
      <c r="AP404" s="83"/>
      <c r="AQ404" s="83"/>
      <c r="AR404" s="83"/>
      <c r="AS404" s="83"/>
      <c r="AT404" s="83"/>
      <c r="AU404" s="83"/>
      <c r="AV404" s="83"/>
      <c r="AW404" s="83"/>
      <c r="AX404" s="83"/>
      <c r="AY404" s="83"/>
      <c r="AZ404" s="83"/>
      <c r="BA404" s="115"/>
      <c r="BB404" s="115"/>
      <c r="BC404" s="83"/>
      <c r="BD404" s="83"/>
    </row>
    <row r="405" spans="41:56" ht="18" customHeight="1">
      <c r="AO405" s="83"/>
      <c r="AP405" s="83"/>
      <c r="AQ405" s="83"/>
      <c r="AR405" s="83"/>
      <c r="AS405" s="83"/>
      <c r="AT405" s="83"/>
      <c r="AU405" s="83"/>
      <c r="AV405" s="83"/>
      <c r="AW405" s="83"/>
      <c r="AX405" s="83"/>
      <c r="AY405" s="83"/>
      <c r="AZ405" s="83"/>
      <c r="BA405" s="115"/>
      <c r="BB405" s="115"/>
      <c r="BC405" s="83"/>
      <c r="BD405" s="83"/>
    </row>
    <row r="406" spans="41:56" ht="18" customHeight="1">
      <c r="AO406" s="83"/>
      <c r="AP406" s="83"/>
      <c r="AQ406" s="83"/>
      <c r="AR406" s="83"/>
      <c r="AS406" s="83"/>
      <c r="AT406" s="83"/>
      <c r="AU406" s="83"/>
      <c r="AV406" s="83"/>
      <c r="AW406" s="83"/>
      <c r="AX406" s="83"/>
      <c r="AY406" s="83"/>
      <c r="AZ406" s="83"/>
      <c r="BA406" s="115"/>
      <c r="BB406" s="115"/>
      <c r="BC406" s="83"/>
      <c r="BD406" s="83"/>
    </row>
    <row r="407" spans="41:56" ht="18" customHeight="1">
      <c r="AO407" s="83"/>
      <c r="AP407" s="83"/>
      <c r="AQ407" s="83"/>
      <c r="AR407" s="83"/>
      <c r="AS407" s="83"/>
      <c r="AT407" s="83"/>
      <c r="AU407" s="83"/>
      <c r="AV407" s="83"/>
      <c r="AW407" s="83"/>
      <c r="AX407" s="83"/>
      <c r="AY407" s="83"/>
      <c r="AZ407" s="83"/>
      <c r="BA407" s="115"/>
      <c r="BB407" s="115"/>
      <c r="BC407" s="83"/>
      <c r="BD407" s="83"/>
    </row>
    <row r="408" spans="41:56" ht="18" customHeight="1">
      <c r="AO408" s="83"/>
      <c r="AP408" s="83"/>
      <c r="AQ408" s="83"/>
      <c r="AR408" s="83"/>
      <c r="AS408" s="83"/>
      <c r="AT408" s="83"/>
      <c r="AU408" s="83"/>
      <c r="AV408" s="83"/>
      <c r="AW408" s="83"/>
      <c r="AX408" s="83"/>
      <c r="AY408" s="83"/>
      <c r="AZ408" s="83"/>
      <c r="BA408" s="115"/>
      <c r="BB408" s="115"/>
      <c r="BC408" s="83"/>
      <c r="BD408" s="83"/>
    </row>
    <row r="409" spans="41:56" ht="18" customHeight="1">
      <c r="AO409" s="83"/>
      <c r="AP409" s="83"/>
      <c r="AQ409" s="83"/>
      <c r="AR409" s="83"/>
      <c r="AS409" s="83"/>
      <c r="AT409" s="83"/>
      <c r="AU409" s="83"/>
      <c r="AV409" s="83"/>
      <c r="AW409" s="83"/>
      <c r="AX409" s="83"/>
      <c r="AY409" s="83"/>
      <c r="AZ409" s="83"/>
      <c r="BA409" s="115"/>
      <c r="BB409" s="115"/>
      <c r="BC409" s="83"/>
      <c r="BD409" s="83"/>
    </row>
    <row r="410" spans="41:56" ht="18" customHeight="1">
      <c r="AO410" s="83"/>
      <c r="AP410" s="83"/>
      <c r="AQ410" s="83"/>
      <c r="AR410" s="83"/>
      <c r="AS410" s="83"/>
      <c r="AT410" s="83"/>
      <c r="AU410" s="83"/>
      <c r="AV410" s="83"/>
      <c r="AW410" s="83"/>
      <c r="AX410" s="83"/>
      <c r="AY410" s="83"/>
      <c r="AZ410" s="83"/>
      <c r="BA410" s="115"/>
      <c r="BB410" s="115"/>
      <c r="BC410" s="83"/>
      <c r="BD410" s="83"/>
    </row>
    <row r="411" spans="41:56" ht="18" customHeight="1">
      <c r="AO411" s="83"/>
      <c r="AP411" s="83"/>
      <c r="AQ411" s="83"/>
      <c r="AR411" s="83"/>
      <c r="AS411" s="83"/>
      <c r="AT411" s="83"/>
      <c r="AU411" s="83"/>
      <c r="AV411" s="83"/>
      <c r="AW411" s="83"/>
      <c r="AX411" s="83"/>
      <c r="AY411" s="83"/>
      <c r="AZ411" s="83"/>
      <c r="BA411" s="115"/>
      <c r="BB411" s="115"/>
      <c r="BC411" s="83"/>
      <c r="BD411" s="83"/>
    </row>
    <row r="412" spans="41:56" ht="18" customHeight="1">
      <c r="AO412" s="83"/>
      <c r="AP412" s="83"/>
      <c r="AQ412" s="83"/>
      <c r="AR412" s="83"/>
      <c r="AS412" s="83"/>
      <c r="AT412" s="83"/>
      <c r="AU412" s="83"/>
      <c r="AV412" s="83"/>
      <c r="AW412" s="83"/>
      <c r="AX412" s="83"/>
      <c r="AY412" s="83"/>
      <c r="AZ412" s="83"/>
      <c r="BA412" s="115"/>
      <c r="BB412" s="115"/>
      <c r="BC412" s="83"/>
      <c r="BD412" s="83"/>
    </row>
    <row r="413" spans="41:56" ht="18" customHeight="1">
      <c r="AO413" s="83"/>
      <c r="AP413" s="83"/>
      <c r="AQ413" s="83"/>
      <c r="AR413" s="83"/>
      <c r="AS413" s="83"/>
      <c r="AT413" s="83"/>
      <c r="AU413" s="83"/>
      <c r="AV413" s="83"/>
      <c r="AW413" s="83"/>
      <c r="AX413" s="83"/>
      <c r="AY413" s="83"/>
      <c r="AZ413" s="83"/>
      <c r="BA413" s="115"/>
      <c r="BB413" s="115"/>
      <c r="BC413" s="83"/>
      <c r="BD413" s="83"/>
    </row>
    <row r="414" spans="41:56" ht="18" customHeight="1">
      <c r="AO414" s="83"/>
      <c r="AP414" s="83"/>
      <c r="AQ414" s="83"/>
      <c r="AR414" s="83"/>
      <c r="AS414" s="83"/>
      <c r="AT414" s="83"/>
      <c r="AU414" s="83"/>
      <c r="AV414" s="83"/>
      <c r="AW414" s="83"/>
      <c r="AX414" s="83"/>
      <c r="AY414" s="83"/>
      <c r="AZ414" s="83"/>
      <c r="BA414" s="115"/>
      <c r="BB414" s="115"/>
      <c r="BC414" s="83"/>
      <c r="BD414" s="83"/>
    </row>
    <row r="415" spans="41:56" ht="18" customHeight="1">
      <c r="AO415" s="83"/>
      <c r="AP415" s="83"/>
      <c r="AQ415" s="83"/>
      <c r="AR415" s="83"/>
      <c r="AS415" s="83"/>
      <c r="AT415" s="83"/>
      <c r="AU415" s="83"/>
      <c r="AV415" s="83"/>
      <c r="AW415" s="83"/>
      <c r="AX415" s="83"/>
      <c r="AY415" s="83"/>
      <c r="AZ415" s="83"/>
      <c r="BA415" s="115"/>
      <c r="BB415" s="115"/>
      <c r="BC415" s="83"/>
      <c r="BD415" s="83"/>
    </row>
    <row r="416" spans="41:56" ht="18" customHeight="1">
      <c r="AO416" s="83"/>
      <c r="AP416" s="83"/>
      <c r="AQ416" s="83"/>
      <c r="AR416" s="83"/>
      <c r="AS416" s="83"/>
      <c r="AT416" s="83"/>
      <c r="AU416" s="83"/>
      <c r="AV416" s="83"/>
      <c r="AW416" s="83"/>
      <c r="AX416" s="83"/>
      <c r="AY416" s="83"/>
      <c r="AZ416" s="83"/>
      <c r="BA416" s="115"/>
      <c r="BB416" s="115"/>
      <c r="BC416" s="83"/>
      <c r="BD416" s="83"/>
    </row>
    <row r="417" spans="41:56" ht="18" customHeight="1">
      <c r="AO417" s="83"/>
      <c r="AP417" s="83"/>
      <c r="AQ417" s="83"/>
      <c r="AR417" s="83"/>
      <c r="AS417" s="83"/>
      <c r="AT417" s="83"/>
      <c r="AU417" s="83"/>
      <c r="AV417" s="83"/>
      <c r="AW417" s="83"/>
      <c r="AX417" s="83"/>
      <c r="AY417" s="83"/>
      <c r="AZ417" s="83"/>
      <c r="BA417" s="115"/>
      <c r="BB417" s="115"/>
      <c r="BC417" s="83"/>
      <c r="BD417" s="83"/>
    </row>
    <row r="418" spans="41:56" ht="18" customHeight="1">
      <c r="AO418" s="83"/>
      <c r="AP418" s="83"/>
      <c r="AQ418" s="83"/>
      <c r="AR418" s="83"/>
      <c r="AS418" s="83"/>
      <c r="AT418" s="83"/>
      <c r="AU418" s="83"/>
      <c r="AV418" s="83"/>
      <c r="AW418" s="83"/>
      <c r="AX418" s="83"/>
      <c r="AY418" s="83"/>
      <c r="AZ418" s="83"/>
      <c r="BA418" s="115"/>
      <c r="BB418" s="115"/>
      <c r="BC418" s="83"/>
      <c r="BD418" s="83"/>
    </row>
    <row r="419" spans="41:56" ht="18" customHeight="1">
      <c r="AO419" s="83"/>
      <c r="AP419" s="83"/>
      <c r="AQ419" s="83"/>
      <c r="AR419" s="83"/>
      <c r="AS419" s="83"/>
      <c r="AT419" s="83"/>
      <c r="AU419" s="83"/>
      <c r="AV419" s="83"/>
      <c r="AW419" s="83"/>
      <c r="AX419" s="83"/>
      <c r="AY419" s="83"/>
      <c r="AZ419" s="83"/>
      <c r="BA419" s="115"/>
      <c r="BB419" s="115"/>
      <c r="BC419" s="83"/>
      <c r="BD419" s="83"/>
    </row>
    <row r="420" spans="41:56" ht="18" customHeight="1">
      <c r="AO420" s="83"/>
      <c r="AP420" s="83"/>
      <c r="AQ420" s="83"/>
      <c r="AR420" s="83"/>
      <c r="AS420" s="83"/>
      <c r="AT420" s="83"/>
      <c r="AU420" s="83"/>
      <c r="AV420" s="83"/>
      <c r="AW420" s="83"/>
      <c r="AX420" s="83"/>
      <c r="AY420" s="83"/>
      <c r="AZ420" s="83"/>
      <c r="BA420" s="115"/>
      <c r="BB420" s="115"/>
      <c r="BC420" s="83"/>
      <c r="BD420" s="83"/>
    </row>
    <row r="421" spans="41:56" ht="18" customHeight="1">
      <c r="AO421" s="83"/>
      <c r="AP421" s="83"/>
      <c r="AQ421" s="83"/>
      <c r="AR421" s="83"/>
      <c r="AS421" s="83"/>
      <c r="AT421" s="83"/>
      <c r="AU421" s="83"/>
      <c r="AV421" s="83"/>
      <c r="AW421" s="83"/>
      <c r="AX421" s="83"/>
      <c r="AY421" s="83"/>
      <c r="AZ421" s="83"/>
      <c r="BA421" s="115"/>
      <c r="BB421" s="115"/>
      <c r="BC421" s="83"/>
      <c r="BD421" s="83"/>
    </row>
    <row r="422" spans="41:56" ht="18" customHeight="1">
      <c r="AO422" s="83"/>
      <c r="AP422" s="83"/>
      <c r="AQ422" s="83"/>
      <c r="AR422" s="83"/>
      <c r="AS422" s="83"/>
      <c r="AT422" s="83"/>
      <c r="AU422" s="83"/>
      <c r="AV422" s="83"/>
      <c r="AW422" s="83"/>
      <c r="AX422" s="83"/>
      <c r="AY422" s="83"/>
      <c r="AZ422" s="83"/>
      <c r="BA422" s="115"/>
      <c r="BB422" s="115"/>
      <c r="BC422" s="83"/>
      <c r="BD422" s="83"/>
    </row>
    <row r="423" spans="41:56" ht="18" customHeight="1">
      <c r="AO423" s="83"/>
      <c r="AP423" s="83"/>
      <c r="AQ423" s="83"/>
      <c r="AR423" s="83"/>
      <c r="AS423" s="83"/>
      <c r="AT423" s="83"/>
      <c r="AU423" s="83"/>
      <c r="AV423" s="83"/>
      <c r="AW423" s="83"/>
      <c r="AX423" s="83"/>
      <c r="AY423" s="83"/>
      <c r="AZ423" s="83"/>
      <c r="BA423" s="115"/>
      <c r="BB423" s="115"/>
      <c r="BC423" s="83"/>
      <c r="BD423" s="83"/>
    </row>
    <row r="424" spans="41:56" ht="18" customHeight="1">
      <c r="AO424" s="83"/>
      <c r="AP424" s="83"/>
      <c r="AQ424" s="83"/>
      <c r="AR424" s="83"/>
      <c r="AS424" s="83"/>
      <c r="AT424" s="83"/>
      <c r="AU424" s="83"/>
      <c r="AV424" s="83"/>
      <c r="AW424" s="83"/>
      <c r="AX424" s="83"/>
      <c r="AY424" s="83"/>
      <c r="AZ424" s="83"/>
      <c r="BA424" s="115"/>
      <c r="BB424" s="115"/>
      <c r="BC424" s="83"/>
      <c r="BD424" s="83"/>
    </row>
    <row r="425" spans="41:56" ht="18" customHeight="1">
      <c r="AO425" s="83"/>
      <c r="AP425" s="83"/>
      <c r="AQ425" s="83"/>
      <c r="AR425" s="83"/>
      <c r="AS425" s="83"/>
      <c r="AT425" s="83"/>
      <c r="AU425" s="83"/>
      <c r="AV425" s="83"/>
      <c r="AW425" s="83"/>
      <c r="AX425" s="83"/>
      <c r="AY425" s="83"/>
      <c r="AZ425" s="83"/>
      <c r="BA425" s="115"/>
      <c r="BB425" s="115"/>
      <c r="BC425" s="83"/>
      <c r="BD425" s="83"/>
    </row>
    <row r="426" spans="41:56" ht="18" customHeight="1">
      <c r="AO426" s="83"/>
      <c r="AP426" s="83"/>
      <c r="AQ426" s="83"/>
      <c r="AR426" s="83"/>
      <c r="AS426" s="83"/>
      <c r="AT426" s="83"/>
      <c r="AU426" s="83"/>
      <c r="AV426" s="83"/>
      <c r="AW426" s="83"/>
      <c r="AX426" s="83"/>
      <c r="AY426" s="83"/>
      <c r="AZ426" s="83"/>
      <c r="BA426" s="115"/>
      <c r="BB426" s="115"/>
      <c r="BC426" s="83"/>
      <c r="BD426" s="83"/>
    </row>
    <row r="427" spans="41:56" ht="18" customHeight="1">
      <c r="AO427" s="83"/>
      <c r="AP427" s="83"/>
      <c r="AQ427" s="83"/>
      <c r="AR427" s="83"/>
      <c r="AS427" s="83"/>
      <c r="AT427" s="83"/>
      <c r="AU427" s="83"/>
      <c r="AV427" s="83"/>
      <c r="AW427" s="83"/>
      <c r="AX427" s="83"/>
      <c r="AY427" s="83"/>
      <c r="AZ427" s="83"/>
      <c r="BA427" s="115"/>
      <c r="BB427" s="115"/>
      <c r="BC427" s="83"/>
      <c r="BD427" s="83"/>
    </row>
    <row r="428" spans="41:56" ht="18" customHeight="1">
      <c r="AO428" s="83"/>
      <c r="AP428" s="83"/>
      <c r="AQ428" s="83"/>
      <c r="AR428" s="83"/>
      <c r="AS428" s="83"/>
      <c r="AT428" s="83"/>
      <c r="AU428" s="83"/>
      <c r="AV428" s="83"/>
      <c r="AW428" s="83"/>
      <c r="AX428" s="83"/>
      <c r="AY428" s="83"/>
      <c r="AZ428" s="83"/>
      <c r="BA428" s="115"/>
      <c r="BB428" s="115"/>
      <c r="BC428" s="83"/>
      <c r="BD428" s="83"/>
    </row>
    <row r="429" spans="41:56" ht="18" customHeight="1">
      <c r="AO429" s="83"/>
      <c r="AP429" s="83"/>
      <c r="AQ429" s="83"/>
      <c r="AR429" s="83"/>
      <c r="AS429" s="83"/>
      <c r="AT429" s="83"/>
      <c r="AU429" s="83"/>
      <c r="AV429" s="83"/>
      <c r="AW429" s="83"/>
      <c r="AX429" s="83"/>
      <c r="AY429" s="83"/>
      <c r="AZ429" s="83"/>
      <c r="BA429" s="115"/>
      <c r="BB429" s="115"/>
      <c r="BC429" s="83"/>
      <c r="BD429" s="83"/>
    </row>
    <row r="430" spans="41:56" ht="18" customHeight="1">
      <c r="AO430" s="83"/>
      <c r="AP430" s="83"/>
      <c r="AQ430" s="83"/>
      <c r="AR430" s="83"/>
      <c r="AS430" s="83"/>
      <c r="AT430" s="83"/>
      <c r="AU430" s="83"/>
      <c r="AV430" s="83"/>
      <c r="AW430" s="83"/>
      <c r="AX430" s="83"/>
      <c r="AY430" s="83"/>
      <c r="AZ430" s="83"/>
      <c r="BA430" s="115"/>
      <c r="BB430" s="115"/>
      <c r="BC430" s="83"/>
      <c r="BD430" s="83"/>
    </row>
    <row r="431" spans="41:56" ht="18" customHeight="1">
      <c r="AO431" s="83"/>
      <c r="AP431" s="83"/>
      <c r="AQ431" s="83"/>
      <c r="AR431" s="83"/>
      <c r="AS431" s="83"/>
      <c r="AT431" s="83"/>
      <c r="AU431" s="83"/>
      <c r="AV431" s="83"/>
      <c r="AW431" s="83"/>
      <c r="AX431" s="83"/>
      <c r="AY431" s="83"/>
      <c r="AZ431" s="83"/>
      <c r="BA431" s="115"/>
      <c r="BB431" s="115"/>
      <c r="BC431" s="83"/>
      <c r="BD431" s="83"/>
    </row>
    <row r="432" spans="41:56" ht="18" customHeight="1">
      <c r="AO432" s="83"/>
      <c r="AP432" s="83"/>
      <c r="AQ432" s="83"/>
      <c r="AR432" s="83"/>
      <c r="AS432" s="83"/>
      <c r="AT432" s="83"/>
      <c r="AU432" s="83"/>
      <c r="AV432" s="83"/>
      <c r="AW432" s="83"/>
      <c r="AX432" s="83"/>
      <c r="AY432" s="83"/>
      <c r="AZ432" s="83"/>
      <c r="BA432" s="115"/>
      <c r="BB432" s="115"/>
      <c r="BC432" s="83"/>
      <c r="BD432" s="83"/>
    </row>
    <row r="433" spans="41:56" ht="18" customHeight="1">
      <c r="AO433" s="83"/>
      <c r="AP433" s="83"/>
      <c r="AQ433" s="83"/>
      <c r="AR433" s="83"/>
      <c r="AS433" s="83"/>
      <c r="AT433" s="83"/>
      <c r="AU433" s="83"/>
      <c r="AV433" s="83"/>
      <c r="AW433" s="83"/>
      <c r="AX433" s="83"/>
      <c r="AY433" s="83"/>
      <c r="AZ433" s="83"/>
      <c r="BA433" s="115"/>
      <c r="BB433" s="115"/>
      <c r="BC433" s="83"/>
      <c r="BD433" s="83"/>
    </row>
    <row r="434" spans="41:56" ht="18" customHeight="1">
      <c r="AO434" s="83"/>
      <c r="AP434" s="83"/>
      <c r="AQ434" s="83"/>
      <c r="AR434" s="83"/>
      <c r="AS434" s="83"/>
      <c r="AT434" s="83"/>
      <c r="AU434" s="83"/>
      <c r="AV434" s="83"/>
      <c r="AW434" s="83"/>
      <c r="AX434" s="83"/>
      <c r="AY434" s="83"/>
      <c r="AZ434" s="83"/>
      <c r="BA434" s="115"/>
      <c r="BB434" s="115"/>
      <c r="BC434" s="83"/>
      <c r="BD434" s="83"/>
    </row>
    <row r="435" spans="41:56" ht="18" customHeight="1">
      <c r="AO435" s="83"/>
      <c r="AP435" s="83"/>
      <c r="AQ435" s="83"/>
      <c r="AR435" s="83"/>
      <c r="AS435" s="83"/>
      <c r="AT435" s="83"/>
      <c r="AU435" s="83"/>
      <c r="AV435" s="83"/>
      <c r="AW435" s="83"/>
      <c r="AX435" s="83"/>
      <c r="AY435" s="83"/>
      <c r="AZ435" s="83"/>
      <c r="BA435" s="115"/>
      <c r="BB435" s="115"/>
      <c r="BC435" s="83"/>
      <c r="BD435" s="83"/>
    </row>
    <row r="436" spans="41:56" ht="18" customHeight="1">
      <c r="AO436" s="83"/>
      <c r="AP436" s="83"/>
      <c r="AQ436" s="83"/>
      <c r="AR436" s="83"/>
      <c r="AS436" s="83"/>
      <c r="AT436" s="83"/>
      <c r="AU436" s="83"/>
      <c r="AV436" s="83"/>
      <c r="AW436" s="83"/>
      <c r="AX436" s="83"/>
      <c r="AY436" s="83"/>
      <c r="AZ436" s="83"/>
      <c r="BA436" s="115"/>
      <c r="BB436" s="115"/>
      <c r="BC436" s="83"/>
      <c r="BD436" s="83"/>
    </row>
    <row r="437" spans="41:56" ht="18" customHeight="1">
      <c r="AO437" s="83"/>
      <c r="AP437" s="83"/>
      <c r="AQ437" s="83"/>
      <c r="AR437" s="83"/>
      <c r="AS437" s="83"/>
      <c r="AT437" s="83"/>
      <c r="AU437" s="83"/>
      <c r="AV437" s="83"/>
      <c r="AW437" s="83"/>
      <c r="AX437" s="83"/>
      <c r="AY437" s="83"/>
      <c r="AZ437" s="83"/>
      <c r="BA437" s="115"/>
      <c r="BB437" s="115"/>
      <c r="BC437" s="83"/>
      <c r="BD437" s="83"/>
    </row>
    <row r="438" spans="41:56" ht="18" customHeight="1">
      <c r="AO438" s="83"/>
      <c r="AP438" s="83"/>
      <c r="AQ438" s="83"/>
      <c r="AR438" s="83"/>
      <c r="AS438" s="83"/>
      <c r="AT438" s="83"/>
      <c r="AU438" s="83"/>
      <c r="AV438" s="83"/>
      <c r="AW438" s="83"/>
      <c r="AX438" s="83"/>
      <c r="AY438" s="83"/>
      <c r="AZ438" s="83"/>
      <c r="BA438" s="115"/>
      <c r="BB438" s="115"/>
      <c r="BC438" s="83"/>
      <c r="BD438" s="83"/>
    </row>
    <row r="439" spans="41:56" ht="18" customHeight="1">
      <c r="AO439" s="83"/>
      <c r="AP439" s="83"/>
      <c r="AQ439" s="83"/>
      <c r="AR439" s="83"/>
      <c r="AS439" s="83"/>
      <c r="AT439" s="83"/>
      <c r="AU439" s="83"/>
      <c r="AV439" s="83"/>
      <c r="AW439" s="83"/>
      <c r="AX439" s="83"/>
      <c r="AY439" s="83"/>
      <c r="AZ439" s="83"/>
      <c r="BA439" s="115"/>
      <c r="BB439" s="115"/>
      <c r="BC439" s="83"/>
      <c r="BD439" s="83"/>
    </row>
    <row r="440" spans="41:56" ht="18" customHeight="1">
      <c r="AO440" s="83"/>
      <c r="AP440" s="83"/>
      <c r="AQ440" s="83"/>
      <c r="AR440" s="83"/>
      <c r="AS440" s="83"/>
      <c r="AT440" s="83"/>
      <c r="AU440" s="83"/>
      <c r="AV440" s="83"/>
      <c r="AW440" s="83"/>
      <c r="AX440" s="83"/>
      <c r="AY440" s="83"/>
      <c r="AZ440" s="83"/>
      <c r="BA440" s="115"/>
      <c r="BB440" s="115"/>
      <c r="BC440" s="83"/>
      <c r="BD440" s="83"/>
    </row>
    <row r="441" spans="41:56" ht="18" customHeight="1">
      <c r="AO441" s="83"/>
      <c r="AP441" s="83"/>
      <c r="AQ441" s="83"/>
      <c r="AR441" s="83"/>
      <c r="AS441" s="83"/>
      <c r="AT441" s="83"/>
      <c r="AU441" s="83"/>
      <c r="AV441" s="83"/>
      <c r="AW441" s="83"/>
      <c r="AX441" s="83"/>
      <c r="AY441" s="83"/>
      <c r="AZ441" s="83"/>
      <c r="BA441" s="115"/>
      <c r="BB441" s="115"/>
      <c r="BC441" s="83"/>
      <c r="BD441" s="83"/>
    </row>
    <row r="442" spans="41:56" ht="18" customHeight="1">
      <c r="AO442" s="83"/>
      <c r="AP442" s="83"/>
      <c r="AQ442" s="83"/>
      <c r="AR442" s="83"/>
      <c r="AS442" s="83"/>
      <c r="AT442" s="83"/>
      <c r="AU442" s="83"/>
      <c r="AV442" s="83"/>
      <c r="AW442" s="83"/>
      <c r="AX442" s="83"/>
      <c r="AY442" s="83"/>
      <c r="AZ442" s="83"/>
      <c r="BA442" s="115"/>
      <c r="BB442" s="115"/>
      <c r="BC442" s="83"/>
      <c r="BD442" s="83"/>
    </row>
    <row r="443" spans="41:56" ht="18" customHeight="1">
      <c r="AO443" s="83"/>
      <c r="AP443" s="83"/>
      <c r="AQ443" s="83"/>
      <c r="AR443" s="83"/>
      <c r="AS443" s="83"/>
      <c r="AT443" s="83"/>
      <c r="AU443" s="83"/>
      <c r="AV443" s="83"/>
      <c r="AW443" s="83"/>
      <c r="AX443" s="83"/>
      <c r="AY443" s="83"/>
      <c r="AZ443" s="83"/>
      <c r="BA443" s="115"/>
      <c r="BB443" s="115"/>
      <c r="BC443" s="83"/>
      <c r="BD443" s="83"/>
    </row>
    <row r="444" spans="41:56" ht="18" customHeight="1">
      <c r="AO444" s="83"/>
      <c r="AP444" s="83"/>
      <c r="AQ444" s="83"/>
      <c r="AR444" s="83"/>
      <c r="AS444" s="83"/>
      <c r="AT444" s="83"/>
      <c r="AU444" s="83"/>
      <c r="AV444" s="83"/>
      <c r="AW444" s="83"/>
      <c r="AX444" s="83"/>
      <c r="AY444" s="83"/>
      <c r="AZ444" s="83"/>
      <c r="BA444" s="115"/>
      <c r="BB444" s="115"/>
      <c r="BC444" s="83"/>
      <c r="BD444" s="83"/>
    </row>
    <row r="445" spans="41:56" ht="18" customHeight="1">
      <c r="AO445" s="83"/>
      <c r="AP445" s="83"/>
      <c r="AQ445" s="83"/>
      <c r="AR445" s="83"/>
      <c r="AS445" s="83"/>
      <c r="AT445" s="83"/>
      <c r="AU445" s="83"/>
      <c r="AV445" s="83"/>
      <c r="AW445" s="83"/>
      <c r="AX445" s="83"/>
      <c r="AY445" s="83"/>
      <c r="AZ445" s="83"/>
      <c r="BA445" s="115"/>
      <c r="BB445" s="115"/>
      <c r="BC445" s="83"/>
      <c r="BD445" s="83"/>
    </row>
    <row r="446" spans="41:56" ht="18" customHeight="1">
      <c r="AO446" s="83"/>
      <c r="AP446" s="83"/>
      <c r="AQ446" s="83"/>
      <c r="AR446" s="83"/>
      <c r="AS446" s="83"/>
      <c r="AT446" s="83"/>
      <c r="AU446" s="83"/>
      <c r="AV446" s="83"/>
      <c r="AW446" s="83"/>
      <c r="AX446" s="83"/>
      <c r="AY446" s="83"/>
      <c r="AZ446" s="83"/>
      <c r="BA446" s="115"/>
      <c r="BB446" s="115"/>
      <c r="BC446" s="83"/>
      <c r="BD446" s="83"/>
    </row>
    <row r="447" spans="41:56" ht="18" customHeight="1">
      <c r="AO447" s="83"/>
      <c r="AP447" s="83"/>
      <c r="AQ447" s="83"/>
      <c r="AR447" s="83"/>
      <c r="AS447" s="83"/>
      <c r="AT447" s="83"/>
      <c r="AU447" s="83"/>
      <c r="AV447" s="83"/>
      <c r="AW447" s="83"/>
      <c r="AX447" s="83"/>
      <c r="AY447" s="83"/>
      <c r="AZ447" s="83"/>
      <c r="BA447" s="115"/>
      <c r="BB447" s="115"/>
      <c r="BC447" s="83"/>
      <c r="BD447" s="83"/>
    </row>
    <row r="448" spans="41:56" ht="18" customHeight="1">
      <c r="AO448" s="83"/>
      <c r="AP448" s="83"/>
      <c r="AQ448" s="83"/>
      <c r="AR448" s="83"/>
      <c r="AS448" s="83"/>
      <c r="AT448" s="83"/>
      <c r="AU448" s="83"/>
      <c r="AV448" s="83"/>
      <c r="AW448" s="83"/>
      <c r="AX448" s="83"/>
      <c r="AY448" s="83"/>
      <c r="AZ448" s="83"/>
      <c r="BA448" s="115"/>
      <c r="BB448" s="115"/>
      <c r="BC448" s="83"/>
      <c r="BD448" s="83"/>
    </row>
    <row r="449" spans="41:56" ht="18" customHeight="1">
      <c r="AO449" s="83"/>
      <c r="AP449" s="83"/>
      <c r="AQ449" s="83"/>
      <c r="AR449" s="83"/>
      <c r="AS449" s="83"/>
      <c r="AT449" s="83"/>
      <c r="AU449" s="83"/>
      <c r="AV449" s="83"/>
      <c r="AW449" s="83"/>
      <c r="AX449" s="83"/>
      <c r="AY449" s="83"/>
      <c r="AZ449" s="83"/>
      <c r="BA449" s="115"/>
      <c r="BB449" s="115"/>
      <c r="BC449" s="83"/>
      <c r="BD449" s="83"/>
    </row>
    <row r="450" spans="41:56" ht="18" customHeight="1">
      <c r="AO450" s="83"/>
      <c r="AP450" s="83"/>
      <c r="AQ450" s="83"/>
      <c r="AR450" s="83"/>
      <c r="AS450" s="83"/>
      <c r="AT450" s="83"/>
      <c r="AU450" s="83"/>
      <c r="AV450" s="83"/>
      <c r="AW450" s="83"/>
      <c r="AX450" s="83"/>
      <c r="AY450" s="83"/>
      <c r="AZ450" s="83"/>
      <c r="BA450" s="115"/>
      <c r="BB450" s="115"/>
      <c r="BC450" s="83"/>
      <c r="BD450" s="83"/>
    </row>
    <row r="451" spans="41:56" ht="18" customHeight="1">
      <c r="AO451" s="83"/>
      <c r="AP451" s="83"/>
      <c r="AQ451" s="83"/>
      <c r="AR451" s="83"/>
      <c r="AS451" s="83"/>
      <c r="AT451" s="83"/>
      <c r="AU451" s="83"/>
      <c r="AV451" s="83"/>
      <c r="AW451" s="83"/>
      <c r="AX451" s="83"/>
      <c r="AY451" s="83"/>
      <c r="AZ451" s="83"/>
      <c r="BA451" s="115"/>
      <c r="BB451" s="115"/>
      <c r="BC451" s="83"/>
      <c r="BD451" s="83"/>
    </row>
    <row r="452" spans="41:56" ht="18" customHeight="1">
      <c r="AO452" s="83"/>
      <c r="AP452" s="83"/>
      <c r="AQ452" s="83"/>
      <c r="AR452" s="83"/>
      <c r="AS452" s="83"/>
      <c r="AT452" s="83"/>
      <c r="AU452" s="83"/>
      <c r="AV452" s="83"/>
      <c r="AW452" s="83"/>
      <c r="AX452" s="83"/>
      <c r="AY452" s="83"/>
      <c r="AZ452" s="83"/>
      <c r="BA452" s="115"/>
      <c r="BB452" s="115"/>
      <c r="BC452" s="83"/>
      <c r="BD452" s="83"/>
    </row>
    <row r="453" spans="41:56" ht="18" customHeight="1">
      <c r="AO453" s="83"/>
      <c r="AP453" s="83"/>
      <c r="AQ453" s="83"/>
      <c r="AR453" s="83"/>
      <c r="AS453" s="83"/>
      <c r="AT453" s="83"/>
      <c r="AU453" s="83"/>
      <c r="AV453" s="83"/>
      <c r="AW453" s="83"/>
      <c r="AX453" s="83"/>
      <c r="AY453" s="83"/>
      <c r="AZ453" s="83"/>
      <c r="BA453" s="115"/>
      <c r="BB453" s="115"/>
      <c r="BC453" s="83"/>
      <c r="BD453" s="83"/>
    </row>
    <row r="454" spans="41:56" ht="18" customHeight="1">
      <c r="AO454" s="83"/>
      <c r="AP454" s="83"/>
      <c r="AQ454" s="83"/>
      <c r="AR454" s="83"/>
      <c r="AS454" s="83"/>
      <c r="AT454" s="83"/>
      <c r="AU454" s="83"/>
      <c r="AV454" s="83"/>
      <c r="AW454" s="83"/>
      <c r="AX454" s="83"/>
      <c r="AY454" s="83"/>
      <c r="AZ454" s="83"/>
      <c r="BA454" s="115"/>
      <c r="BB454" s="115"/>
      <c r="BC454" s="83"/>
      <c r="BD454" s="83"/>
    </row>
    <row r="455" spans="41:56" ht="18" customHeight="1">
      <c r="AO455" s="83"/>
      <c r="AP455" s="83"/>
      <c r="AQ455" s="83"/>
      <c r="AR455" s="83"/>
      <c r="AS455" s="83"/>
      <c r="AT455" s="83"/>
      <c r="AU455" s="83"/>
      <c r="AV455" s="83"/>
      <c r="AW455" s="83"/>
      <c r="AX455" s="83"/>
      <c r="AY455" s="83"/>
      <c r="AZ455" s="83"/>
      <c r="BA455" s="115"/>
      <c r="BB455" s="115"/>
      <c r="BC455" s="83"/>
      <c r="BD455" s="83"/>
    </row>
    <row r="456" spans="41:56" ht="18" customHeight="1">
      <c r="AO456" s="83"/>
      <c r="AP456" s="83"/>
      <c r="AQ456" s="83"/>
      <c r="AR456" s="83"/>
      <c r="AS456" s="83"/>
      <c r="AT456" s="83"/>
      <c r="AU456" s="83"/>
      <c r="AV456" s="83"/>
      <c r="AW456" s="83"/>
      <c r="AX456" s="83"/>
      <c r="AY456" s="83"/>
      <c r="AZ456" s="83"/>
      <c r="BA456" s="115"/>
      <c r="BB456" s="115"/>
      <c r="BC456" s="83"/>
      <c r="BD456" s="83"/>
    </row>
    <row r="457" spans="41:56" ht="18" customHeight="1">
      <c r="AO457" s="83"/>
      <c r="AP457" s="83"/>
      <c r="AQ457" s="83"/>
      <c r="AR457" s="83"/>
      <c r="AS457" s="83"/>
      <c r="AT457" s="83"/>
      <c r="AU457" s="83"/>
      <c r="AV457" s="83"/>
      <c r="AW457" s="83"/>
      <c r="AX457" s="83"/>
      <c r="AY457" s="83"/>
      <c r="AZ457" s="83"/>
      <c r="BA457" s="115"/>
      <c r="BB457" s="115"/>
      <c r="BC457" s="83"/>
      <c r="BD457" s="83"/>
    </row>
    <row r="458" spans="41:56" ht="18" customHeight="1">
      <c r="AO458" s="83"/>
      <c r="AP458" s="83"/>
      <c r="AQ458" s="83"/>
      <c r="AR458" s="83"/>
      <c r="AS458" s="83"/>
      <c r="AT458" s="83"/>
      <c r="AU458" s="83"/>
      <c r="AV458" s="83"/>
      <c r="AW458" s="83"/>
      <c r="AX458" s="83"/>
      <c r="AY458" s="83"/>
      <c r="AZ458" s="83"/>
      <c r="BA458" s="115"/>
      <c r="BB458" s="115"/>
      <c r="BC458" s="83"/>
      <c r="BD458" s="83"/>
    </row>
    <row r="459" spans="41:56" ht="18" customHeight="1">
      <c r="AO459" s="83"/>
      <c r="AP459" s="83"/>
      <c r="AQ459" s="83"/>
      <c r="AR459" s="83"/>
      <c r="AS459" s="83"/>
      <c r="AT459" s="83"/>
      <c r="AU459" s="83"/>
      <c r="AV459" s="83"/>
      <c r="AW459" s="83"/>
      <c r="AX459" s="83"/>
      <c r="AY459" s="83"/>
      <c r="AZ459" s="83"/>
      <c r="BA459" s="115"/>
      <c r="BB459" s="115"/>
      <c r="BC459" s="83"/>
      <c r="BD459" s="83"/>
    </row>
    <row r="460" spans="41:56" ht="18" customHeight="1">
      <c r="AO460" s="83"/>
      <c r="AP460" s="83"/>
      <c r="AQ460" s="83"/>
      <c r="AR460" s="83"/>
      <c r="AS460" s="83"/>
      <c r="AT460" s="83"/>
      <c r="AU460" s="83"/>
      <c r="AV460" s="83"/>
      <c r="AW460" s="83"/>
      <c r="AX460" s="83"/>
      <c r="AY460" s="83"/>
      <c r="AZ460" s="83"/>
      <c r="BA460" s="115"/>
      <c r="BB460" s="115"/>
      <c r="BC460" s="83"/>
      <c r="BD460" s="83"/>
    </row>
    <row r="461" spans="41:56" ht="18" customHeight="1">
      <c r="AO461" s="83"/>
      <c r="AP461" s="83"/>
      <c r="AQ461" s="83"/>
      <c r="AR461" s="83"/>
      <c r="AS461" s="83"/>
      <c r="AT461" s="83"/>
      <c r="AU461" s="83"/>
      <c r="AV461" s="83"/>
      <c r="AW461" s="83"/>
      <c r="AX461" s="83"/>
      <c r="AY461" s="83"/>
      <c r="AZ461" s="83"/>
      <c r="BA461" s="115"/>
      <c r="BB461" s="115"/>
      <c r="BC461" s="83"/>
      <c r="BD461" s="83"/>
    </row>
    <row r="462" spans="41:56" ht="18" customHeight="1">
      <c r="AO462" s="83"/>
      <c r="AP462" s="83"/>
      <c r="AQ462" s="83"/>
      <c r="AR462" s="83"/>
      <c r="AS462" s="83"/>
      <c r="AT462" s="83"/>
      <c r="AU462" s="83"/>
      <c r="AV462" s="83"/>
      <c r="AW462" s="83"/>
      <c r="AX462" s="83"/>
      <c r="AY462" s="83"/>
      <c r="AZ462" s="83"/>
      <c r="BA462" s="115"/>
      <c r="BB462" s="115"/>
      <c r="BC462" s="83"/>
      <c r="BD462" s="83"/>
    </row>
    <row r="463" spans="41:56" ht="18" customHeight="1">
      <c r="AO463" s="83"/>
      <c r="AP463" s="83"/>
      <c r="AQ463" s="83"/>
      <c r="AR463" s="83"/>
      <c r="AS463" s="83"/>
      <c r="AT463" s="83"/>
      <c r="AU463" s="83"/>
      <c r="AV463" s="83"/>
      <c r="AW463" s="83"/>
      <c r="AX463" s="83"/>
      <c r="AY463" s="83"/>
      <c r="AZ463" s="83"/>
      <c r="BA463" s="115"/>
      <c r="BB463" s="115"/>
      <c r="BC463" s="83"/>
      <c r="BD463" s="83"/>
    </row>
    <row r="464" spans="41:56" ht="18" customHeight="1">
      <c r="AO464" s="83"/>
      <c r="AP464" s="83"/>
      <c r="AQ464" s="83"/>
      <c r="AR464" s="83"/>
      <c r="AS464" s="83"/>
      <c r="AT464" s="83"/>
      <c r="AU464" s="83"/>
      <c r="AV464" s="83"/>
      <c r="AW464" s="83"/>
      <c r="AX464" s="83"/>
      <c r="AY464" s="83"/>
      <c r="AZ464" s="83"/>
      <c r="BA464" s="115"/>
      <c r="BB464" s="115"/>
      <c r="BC464" s="83"/>
      <c r="BD464" s="83"/>
    </row>
    <row r="465" spans="41:56" ht="18" customHeight="1">
      <c r="AO465" s="83"/>
      <c r="AP465" s="83"/>
      <c r="AQ465" s="83"/>
      <c r="AR465" s="83"/>
      <c r="AS465" s="83"/>
      <c r="AT465" s="83"/>
      <c r="AU465" s="83"/>
      <c r="AV465" s="83"/>
      <c r="AW465" s="83"/>
      <c r="AX465" s="83"/>
      <c r="AY465" s="83"/>
      <c r="AZ465" s="83"/>
      <c r="BA465" s="115"/>
      <c r="BB465" s="115"/>
      <c r="BC465" s="83"/>
      <c r="BD465" s="83"/>
    </row>
    <row r="466" spans="41:56" ht="18" customHeight="1">
      <c r="AO466" s="83"/>
      <c r="AP466" s="83"/>
      <c r="AQ466" s="83"/>
      <c r="AR466" s="83"/>
      <c r="AS466" s="83"/>
      <c r="AT466" s="83"/>
      <c r="AU466" s="83"/>
      <c r="AV466" s="83"/>
      <c r="AW466" s="83"/>
      <c r="AX466" s="83"/>
      <c r="AY466" s="83"/>
      <c r="AZ466" s="83"/>
      <c r="BA466" s="115"/>
      <c r="BB466" s="115"/>
      <c r="BC466" s="83"/>
      <c r="BD466" s="83"/>
    </row>
    <row r="467" spans="41:56" ht="18" customHeight="1">
      <c r="AO467" s="83"/>
      <c r="AP467" s="83"/>
      <c r="AQ467" s="83"/>
      <c r="AR467" s="83"/>
      <c r="AS467" s="83"/>
      <c r="AT467" s="83"/>
      <c r="AU467" s="83"/>
      <c r="AV467" s="83"/>
      <c r="AW467" s="83"/>
      <c r="AX467" s="83"/>
      <c r="AY467" s="83"/>
      <c r="AZ467" s="83"/>
      <c r="BA467" s="115"/>
      <c r="BB467" s="115"/>
      <c r="BC467" s="83"/>
      <c r="BD467" s="83"/>
    </row>
    <row r="468" spans="41:56" ht="18" customHeight="1">
      <c r="AO468" s="83"/>
      <c r="AP468" s="83"/>
      <c r="AQ468" s="83"/>
      <c r="AR468" s="83"/>
      <c r="AS468" s="83"/>
      <c r="AT468" s="83"/>
      <c r="AU468" s="83"/>
      <c r="AV468" s="83"/>
      <c r="AW468" s="83"/>
      <c r="AX468" s="83"/>
      <c r="AY468" s="83"/>
      <c r="AZ468" s="83"/>
      <c r="BA468" s="115"/>
      <c r="BB468" s="115"/>
      <c r="BC468" s="83"/>
      <c r="BD468" s="83"/>
    </row>
    <row r="469" spans="41:56" ht="18" customHeight="1">
      <c r="AO469" s="83"/>
      <c r="AP469" s="83"/>
      <c r="AQ469" s="83"/>
      <c r="AR469" s="83"/>
      <c r="AS469" s="83"/>
      <c r="AT469" s="83"/>
      <c r="AU469" s="83"/>
      <c r="AV469" s="83"/>
      <c r="AW469" s="83"/>
      <c r="AX469" s="83"/>
      <c r="AY469" s="83"/>
      <c r="AZ469" s="83"/>
      <c r="BA469" s="115"/>
      <c r="BB469" s="115"/>
      <c r="BC469" s="83"/>
      <c r="BD469" s="83"/>
    </row>
    <row r="470" spans="41:56" ht="18" customHeight="1">
      <c r="AO470" s="83"/>
      <c r="AP470" s="83"/>
      <c r="AQ470" s="83"/>
      <c r="AR470" s="83"/>
      <c r="AS470" s="83"/>
      <c r="AT470" s="83"/>
      <c r="AU470" s="83"/>
      <c r="AV470" s="83"/>
      <c r="AW470" s="83"/>
      <c r="AX470" s="83"/>
      <c r="AY470" s="83"/>
      <c r="AZ470" s="83"/>
      <c r="BA470" s="115"/>
      <c r="BB470" s="115"/>
      <c r="BC470" s="83"/>
      <c r="BD470" s="83"/>
    </row>
    <row r="471" spans="41:56" ht="18" customHeight="1">
      <c r="AO471" s="83"/>
      <c r="AP471" s="83"/>
      <c r="AQ471" s="83"/>
      <c r="AR471" s="83"/>
      <c r="AS471" s="83"/>
      <c r="AT471" s="83"/>
      <c r="AU471" s="83"/>
      <c r="AV471" s="83"/>
      <c r="AW471" s="83"/>
      <c r="AX471" s="83"/>
      <c r="AY471" s="83"/>
      <c r="AZ471" s="83"/>
      <c r="BA471" s="115"/>
      <c r="BB471" s="115"/>
      <c r="BC471" s="83"/>
      <c r="BD471" s="83"/>
    </row>
    <row r="472" spans="41:56" ht="18" customHeight="1">
      <c r="AO472" s="83"/>
      <c r="AP472" s="83"/>
      <c r="AQ472" s="83"/>
      <c r="AR472" s="83"/>
      <c r="AS472" s="83"/>
      <c r="AT472" s="83"/>
      <c r="AU472" s="83"/>
      <c r="AV472" s="83"/>
      <c r="AW472" s="83"/>
      <c r="AX472" s="83"/>
      <c r="AY472" s="83"/>
      <c r="AZ472" s="83"/>
      <c r="BA472" s="115"/>
      <c r="BB472" s="115"/>
      <c r="BC472" s="83"/>
      <c r="BD472" s="83"/>
    </row>
    <row r="473" spans="41:56" ht="18" customHeight="1">
      <c r="AO473" s="83"/>
      <c r="AP473" s="83"/>
      <c r="AQ473" s="83"/>
      <c r="AR473" s="83"/>
      <c r="AS473" s="83"/>
      <c r="AT473" s="83"/>
      <c r="AU473" s="83"/>
      <c r="AV473" s="83"/>
      <c r="AW473" s="83"/>
      <c r="AX473" s="83"/>
      <c r="AY473" s="83"/>
      <c r="AZ473" s="83"/>
      <c r="BA473" s="115"/>
      <c r="BB473" s="115"/>
      <c r="BC473" s="83"/>
      <c r="BD473" s="83"/>
    </row>
    <row r="474" spans="41:56" ht="18" customHeight="1">
      <c r="AO474" s="83"/>
      <c r="AP474" s="83"/>
      <c r="AQ474" s="83"/>
      <c r="AR474" s="83"/>
      <c r="AS474" s="83"/>
      <c r="AT474" s="83"/>
      <c r="AU474" s="83"/>
      <c r="AV474" s="83"/>
      <c r="AW474" s="83"/>
      <c r="AX474" s="83"/>
      <c r="AY474" s="83"/>
      <c r="AZ474" s="83"/>
      <c r="BA474" s="115"/>
      <c r="BB474" s="115"/>
      <c r="BC474" s="83"/>
      <c r="BD474" s="83"/>
    </row>
    <row r="475" spans="41:56" ht="18" customHeight="1">
      <c r="AO475" s="83"/>
      <c r="AP475" s="83"/>
      <c r="AQ475" s="83"/>
      <c r="AR475" s="83"/>
      <c r="AS475" s="83"/>
      <c r="AT475" s="83"/>
      <c r="AU475" s="83"/>
      <c r="AV475" s="83"/>
      <c r="AW475" s="83"/>
      <c r="AX475" s="83"/>
      <c r="AY475" s="83"/>
      <c r="AZ475" s="83"/>
      <c r="BA475" s="115"/>
      <c r="BB475" s="115"/>
      <c r="BC475" s="83"/>
      <c r="BD475" s="83"/>
    </row>
    <row r="476" spans="41:56" ht="18" customHeight="1">
      <c r="AO476" s="83"/>
      <c r="AP476" s="83"/>
      <c r="AQ476" s="83"/>
      <c r="AR476" s="83"/>
      <c r="AS476" s="83"/>
      <c r="AT476" s="83"/>
      <c r="AU476" s="83"/>
      <c r="AV476" s="83"/>
      <c r="AW476" s="83"/>
      <c r="AX476" s="83"/>
      <c r="AY476" s="83"/>
      <c r="AZ476" s="83"/>
      <c r="BA476" s="115"/>
      <c r="BB476" s="115"/>
      <c r="BC476" s="83"/>
      <c r="BD476" s="83"/>
    </row>
    <row r="477" spans="41:56" ht="18" customHeight="1">
      <c r="AO477" s="83"/>
      <c r="AP477" s="83"/>
      <c r="AQ477" s="83"/>
      <c r="AR477" s="83"/>
      <c r="AS477" s="83"/>
      <c r="AT477" s="83"/>
      <c r="AU477" s="83"/>
      <c r="AV477" s="83"/>
      <c r="AW477" s="83"/>
      <c r="AX477" s="83"/>
      <c r="AY477" s="83"/>
      <c r="AZ477" s="83"/>
      <c r="BA477" s="115"/>
      <c r="BB477" s="115"/>
      <c r="BC477" s="83"/>
      <c r="BD477" s="83"/>
    </row>
    <row r="478" spans="41:56" ht="18" customHeight="1">
      <c r="AO478" s="83"/>
      <c r="AP478" s="83"/>
      <c r="AQ478" s="83"/>
      <c r="AR478" s="83"/>
      <c r="AS478" s="83"/>
      <c r="AT478" s="83"/>
      <c r="AU478" s="83"/>
      <c r="AV478" s="83"/>
      <c r="AW478" s="83"/>
      <c r="AX478" s="83"/>
      <c r="AY478" s="83"/>
      <c r="AZ478" s="83"/>
      <c r="BA478" s="115"/>
      <c r="BB478" s="115"/>
      <c r="BC478" s="83"/>
      <c r="BD478" s="83"/>
    </row>
    <row r="479" spans="41:56" ht="18" customHeight="1">
      <c r="AO479" s="83"/>
      <c r="AP479" s="83"/>
      <c r="AQ479" s="83"/>
      <c r="AR479" s="83"/>
      <c r="AS479" s="83"/>
      <c r="AT479" s="83"/>
      <c r="AU479" s="83"/>
      <c r="AV479" s="83"/>
      <c r="AW479" s="83"/>
      <c r="AX479" s="83"/>
      <c r="AY479" s="83"/>
      <c r="AZ479" s="83"/>
      <c r="BA479" s="115"/>
      <c r="BB479" s="115"/>
      <c r="BC479" s="83"/>
      <c r="BD479" s="83"/>
    </row>
    <row r="480" spans="41:56" ht="18" customHeight="1">
      <c r="AO480" s="83"/>
      <c r="AP480" s="83"/>
      <c r="AQ480" s="83"/>
      <c r="AR480" s="83"/>
      <c r="AS480" s="83"/>
      <c r="AT480" s="83"/>
      <c r="AU480" s="83"/>
      <c r="AV480" s="83"/>
      <c r="AW480" s="83"/>
      <c r="AX480" s="83"/>
      <c r="AY480" s="83"/>
      <c r="AZ480" s="83"/>
      <c r="BA480" s="115"/>
      <c r="BB480" s="115"/>
      <c r="BC480" s="83"/>
      <c r="BD480" s="83"/>
    </row>
    <row r="481" spans="41:56" ht="18" customHeight="1">
      <c r="AO481" s="83"/>
      <c r="AP481" s="83"/>
      <c r="AQ481" s="83"/>
      <c r="AR481" s="83"/>
      <c r="AS481" s="83"/>
      <c r="AT481" s="83"/>
      <c r="AU481" s="83"/>
      <c r="AV481" s="83"/>
      <c r="AW481" s="83"/>
      <c r="AX481" s="83"/>
      <c r="AY481" s="83"/>
      <c r="AZ481" s="83"/>
      <c r="BA481" s="115"/>
      <c r="BB481" s="115"/>
      <c r="BC481" s="83"/>
      <c r="BD481" s="83"/>
    </row>
    <row r="482" spans="41:56" ht="18" customHeight="1">
      <c r="AO482" s="83"/>
      <c r="AP482" s="83"/>
      <c r="AQ482" s="83"/>
      <c r="AR482" s="83"/>
      <c r="AS482" s="83"/>
      <c r="AT482" s="83"/>
      <c r="AU482" s="83"/>
      <c r="AV482" s="83"/>
      <c r="AW482" s="83"/>
      <c r="AX482" s="83"/>
      <c r="AY482" s="83"/>
      <c r="AZ482" s="83"/>
      <c r="BA482" s="115"/>
      <c r="BB482" s="115"/>
      <c r="BC482" s="83"/>
      <c r="BD482" s="83"/>
    </row>
    <row r="483" spans="41:56" ht="18" customHeight="1">
      <c r="AO483" s="83"/>
      <c r="AP483" s="83"/>
      <c r="AQ483" s="83"/>
      <c r="AR483" s="83"/>
      <c r="AS483" s="83"/>
      <c r="AT483" s="83"/>
      <c r="AU483" s="83"/>
      <c r="AV483" s="83"/>
      <c r="AW483" s="83"/>
      <c r="AX483" s="83"/>
      <c r="AY483" s="83"/>
      <c r="AZ483" s="83"/>
      <c r="BA483" s="115"/>
      <c r="BB483" s="115"/>
      <c r="BC483" s="83"/>
      <c r="BD483" s="83"/>
    </row>
    <row r="484" spans="41:56" ht="18" customHeight="1">
      <c r="AO484" s="83"/>
      <c r="AP484" s="83"/>
      <c r="AQ484" s="83"/>
      <c r="AR484" s="83"/>
      <c r="AS484" s="83"/>
      <c r="AT484" s="83"/>
      <c r="AU484" s="83"/>
      <c r="AV484" s="83"/>
      <c r="AW484" s="83"/>
      <c r="AX484" s="83"/>
      <c r="AY484" s="83"/>
      <c r="AZ484" s="83"/>
      <c r="BA484" s="115"/>
      <c r="BB484" s="115"/>
      <c r="BC484" s="83"/>
      <c r="BD484" s="83"/>
    </row>
    <row r="485" spans="41:56" ht="18" customHeight="1">
      <c r="AO485" s="83"/>
      <c r="AP485" s="83"/>
      <c r="AQ485" s="83"/>
      <c r="AR485" s="83"/>
      <c r="AS485" s="83"/>
      <c r="AT485" s="83"/>
      <c r="AU485" s="83"/>
      <c r="AV485" s="83"/>
      <c r="AW485" s="83"/>
      <c r="AX485" s="83"/>
      <c r="AY485" s="83"/>
      <c r="AZ485" s="83"/>
      <c r="BA485" s="115"/>
      <c r="BB485" s="115"/>
      <c r="BC485" s="83"/>
      <c r="BD485" s="83"/>
    </row>
    <row r="486" spans="41:56" ht="18" customHeight="1">
      <c r="AO486" s="83"/>
      <c r="AP486" s="83"/>
      <c r="AQ486" s="83"/>
      <c r="AR486" s="83"/>
      <c r="AS486" s="83"/>
      <c r="AT486" s="83"/>
      <c r="AU486" s="83"/>
      <c r="AV486" s="83"/>
      <c r="AW486" s="83"/>
      <c r="AX486" s="83"/>
      <c r="AY486" s="83"/>
      <c r="AZ486" s="83"/>
      <c r="BA486" s="115"/>
      <c r="BB486" s="115"/>
      <c r="BC486" s="83"/>
      <c r="BD486" s="83"/>
    </row>
    <row r="487" spans="41:56" ht="18" customHeight="1">
      <c r="AO487" s="83"/>
      <c r="AP487" s="83"/>
      <c r="AQ487" s="83"/>
      <c r="AR487" s="83"/>
      <c r="AS487" s="83"/>
      <c r="AT487" s="83"/>
      <c r="AU487" s="83"/>
      <c r="AV487" s="83"/>
      <c r="AW487" s="83"/>
      <c r="AX487" s="83"/>
      <c r="AY487" s="83"/>
      <c r="AZ487" s="83"/>
      <c r="BA487" s="115"/>
      <c r="BB487" s="115"/>
      <c r="BC487" s="83"/>
      <c r="BD487" s="83"/>
    </row>
    <row r="488" spans="41:56" ht="18" customHeight="1">
      <c r="AO488" s="83"/>
      <c r="AP488" s="83"/>
      <c r="AQ488" s="83"/>
      <c r="AR488" s="83"/>
      <c r="AS488" s="83"/>
      <c r="AT488" s="83"/>
      <c r="AU488" s="83"/>
      <c r="AV488" s="83"/>
      <c r="AW488" s="83"/>
      <c r="AX488" s="83"/>
      <c r="AY488" s="83"/>
      <c r="AZ488" s="83"/>
      <c r="BA488" s="115"/>
      <c r="BB488" s="115"/>
      <c r="BC488" s="83"/>
      <c r="BD488" s="83"/>
    </row>
    <row r="489" spans="41:56" ht="18" customHeight="1">
      <c r="AO489" s="83"/>
      <c r="AP489" s="83"/>
      <c r="AQ489" s="83"/>
      <c r="AR489" s="83"/>
      <c r="AS489" s="83"/>
      <c r="AT489" s="83"/>
      <c r="AU489" s="83"/>
      <c r="AV489" s="83"/>
      <c r="AW489" s="83"/>
      <c r="AX489" s="83"/>
      <c r="AY489" s="83"/>
      <c r="AZ489" s="83"/>
      <c r="BA489" s="115"/>
      <c r="BB489" s="115"/>
      <c r="BC489" s="83"/>
      <c r="BD489" s="83"/>
    </row>
    <row r="490" spans="41:56" ht="18" customHeight="1">
      <c r="AO490" s="83"/>
      <c r="AP490" s="83"/>
      <c r="AQ490" s="83"/>
      <c r="AR490" s="83"/>
      <c r="AS490" s="83"/>
      <c r="AT490" s="83"/>
      <c r="AU490" s="83"/>
      <c r="AV490" s="83"/>
      <c r="AW490" s="83"/>
      <c r="AX490" s="83"/>
      <c r="AY490" s="83"/>
      <c r="AZ490" s="83"/>
      <c r="BA490" s="115"/>
      <c r="BB490" s="115"/>
      <c r="BC490" s="83"/>
      <c r="BD490" s="83"/>
    </row>
    <row r="491" spans="41:56" ht="18" customHeight="1">
      <c r="AO491" s="83"/>
      <c r="AP491" s="83"/>
      <c r="AQ491" s="83"/>
      <c r="AR491" s="83"/>
      <c r="AS491" s="83"/>
      <c r="AT491" s="83"/>
      <c r="AU491" s="83"/>
      <c r="AV491" s="83"/>
      <c r="AW491" s="83"/>
      <c r="AX491" s="83"/>
      <c r="AY491" s="83"/>
      <c r="AZ491" s="83"/>
      <c r="BA491" s="115"/>
      <c r="BB491" s="115"/>
      <c r="BC491" s="83"/>
      <c r="BD491" s="83"/>
    </row>
    <row r="492" spans="41:56" ht="18" customHeight="1">
      <c r="AO492" s="83"/>
      <c r="AP492" s="83"/>
      <c r="AQ492" s="83"/>
      <c r="AR492" s="83"/>
      <c r="AS492" s="83"/>
      <c r="AT492" s="83"/>
      <c r="AU492" s="83"/>
      <c r="AV492" s="83"/>
      <c r="AW492" s="83"/>
      <c r="AX492" s="83"/>
      <c r="AY492" s="83"/>
      <c r="AZ492" s="83"/>
      <c r="BA492" s="115"/>
      <c r="BB492" s="115"/>
      <c r="BC492" s="83"/>
      <c r="BD492" s="83"/>
    </row>
    <row r="493" spans="41:56" ht="18" customHeight="1">
      <c r="AO493" s="83"/>
      <c r="AP493" s="83"/>
      <c r="AQ493" s="83"/>
      <c r="AR493" s="83"/>
      <c r="AS493" s="83"/>
      <c r="AT493" s="83"/>
      <c r="AU493" s="83"/>
      <c r="AV493" s="83"/>
      <c r="AW493" s="83"/>
      <c r="AX493" s="83"/>
      <c r="AY493" s="83"/>
      <c r="AZ493" s="83"/>
      <c r="BA493" s="115"/>
      <c r="BB493" s="115"/>
      <c r="BC493" s="83"/>
      <c r="BD493" s="83"/>
    </row>
    <row r="494" spans="41:56" ht="18" customHeight="1">
      <c r="AO494" s="83"/>
      <c r="AP494" s="83"/>
      <c r="AQ494" s="83"/>
      <c r="AR494" s="83"/>
      <c r="AS494" s="83"/>
      <c r="AT494" s="83"/>
      <c r="AU494" s="83"/>
      <c r="AV494" s="83"/>
      <c r="AW494" s="83"/>
      <c r="AX494" s="83"/>
      <c r="AY494" s="83"/>
      <c r="AZ494" s="83"/>
      <c r="BA494" s="115"/>
      <c r="BB494" s="115"/>
      <c r="BC494" s="83"/>
      <c r="BD494" s="83"/>
    </row>
    <row r="495" spans="41:56" ht="18" customHeight="1">
      <c r="AO495" s="83"/>
      <c r="AP495" s="83"/>
      <c r="AQ495" s="83"/>
      <c r="AR495" s="83"/>
      <c r="AS495" s="83"/>
      <c r="AT495" s="83"/>
      <c r="AU495" s="83"/>
      <c r="AV495" s="83"/>
      <c r="AW495" s="83"/>
      <c r="AX495" s="83"/>
      <c r="AY495" s="83"/>
      <c r="AZ495" s="83"/>
      <c r="BA495" s="115"/>
      <c r="BB495" s="115"/>
      <c r="BC495" s="83"/>
      <c r="BD495" s="83"/>
    </row>
    <row r="496" spans="41:56" ht="18" customHeight="1">
      <c r="AO496" s="83"/>
      <c r="AP496" s="83"/>
      <c r="AQ496" s="83"/>
      <c r="AR496" s="83"/>
      <c r="AS496" s="83"/>
      <c r="AT496" s="83"/>
      <c r="AU496" s="83"/>
      <c r="AV496" s="83"/>
      <c r="AW496" s="83"/>
      <c r="AX496" s="83"/>
      <c r="AY496" s="83"/>
      <c r="AZ496" s="83"/>
      <c r="BA496" s="115"/>
      <c r="BB496" s="115"/>
      <c r="BC496" s="83"/>
      <c r="BD496" s="83"/>
    </row>
    <row r="497" spans="41:56" ht="18" customHeight="1">
      <c r="AO497" s="83"/>
      <c r="AP497" s="83"/>
      <c r="AQ497" s="83"/>
      <c r="AR497" s="83"/>
      <c r="AS497" s="83"/>
      <c r="AT497" s="83"/>
      <c r="AU497" s="83"/>
      <c r="AV497" s="83"/>
      <c r="AW497" s="83"/>
      <c r="AX497" s="83"/>
      <c r="AY497" s="83"/>
      <c r="AZ497" s="83"/>
      <c r="BA497" s="115"/>
      <c r="BB497" s="115"/>
      <c r="BC497" s="83"/>
      <c r="BD497" s="83"/>
    </row>
    <row r="498" spans="41:56" ht="18" customHeight="1">
      <c r="AO498" s="83"/>
      <c r="AP498" s="83"/>
      <c r="AQ498" s="83"/>
      <c r="AR498" s="83"/>
      <c r="AS498" s="83"/>
      <c r="AT498" s="83"/>
      <c r="AU498" s="83"/>
      <c r="AV498" s="83"/>
      <c r="AW498" s="83"/>
      <c r="AX498" s="83"/>
      <c r="AY498" s="83"/>
      <c r="AZ498" s="83"/>
      <c r="BA498" s="115"/>
      <c r="BB498" s="115"/>
      <c r="BC498" s="83"/>
      <c r="BD498" s="83"/>
    </row>
    <row r="499" spans="41:56" ht="18" customHeight="1">
      <c r="AO499" s="83"/>
      <c r="AP499" s="83"/>
      <c r="AQ499" s="83"/>
      <c r="AR499" s="83"/>
      <c r="AS499" s="83"/>
      <c r="AT499" s="83"/>
      <c r="AU499" s="83"/>
      <c r="AV499" s="83"/>
      <c r="AW499" s="83"/>
      <c r="AX499" s="83"/>
      <c r="AY499" s="83"/>
      <c r="AZ499" s="83"/>
      <c r="BA499" s="115"/>
      <c r="BB499" s="115"/>
      <c r="BC499" s="83"/>
      <c r="BD499" s="83"/>
    </row>
    <row r="500" spans="41:56" ht="18" customHeight="1">
      <c r="AO500" s="83"/>
      <c r="AP500" s="83"/>
      <c r="AQ500" s="83"/>
      <c r="AR500" s="83"/>
      <c r="AS500" s="83"/>
      <c r="AT500" s="83"/>
      <c r="AU500" s="83"/>
      <c r="AV500" s="83"/>
      <c r="AW500" s="83"/>
      <c r="AX500" s="83"/>
      <c r="AY500" s="83"/>
      <c r="AZ500" s="83"/>
      <c r="BA500" s="115"/>
      <c r="BB500" s="115"/>
      <c r="BC500" s="83"/>
      <c r="BD500" s="83"/>
    </row>
    <row r="501" spans="41:56" ht="18" customHeight="1">
      <c r="AO501" s="83"/>
      <c r="AP501" s="83"/>
      <c r="AQ501" s="83"/>
      <c r="AR501" s="83"/>
      <c r="AS501" s="83"/>
      <c r="AT501" s="83"/>
      <c r="AU501" s="83"/>
      <c r="AV501" s="83"/>
      <c r="AW501" s="83"/>
      <c r="AX501" s="83"/>
      <c r="AY501" s="83"/>
      <c r="AZ501" s="83"/>
      <c r="BA501" s="115"/>
      <c r="BB501" s="115"/>
      <c r="BC501" s="83"/>
      <c r="BD501" s="83"/>
    </row>
    <row r="502" spans="41:56" ht="18" customHeight="1">
      <c r="AO502" s="83"/>
      <c r="AP502" s="83"/>
      <c r="AQ502" s="83"/>
      <c r="AR502" s="83"/>
      <c r="AS502" s="83"/>
      <c r="AT502" s="83"/>
      <c r="AU502" s="83"/>
      <c r="AV502" s="83"/>
      <c r="AW502" s="83"/>
      <c r="AX502" s="83"/>
      <c r="AY502" s="83"/>
      <c r="AZ502" s="83"/>
      <c r="BA502" s="115"/>
      <c r="BB502" s="115"/>
      <c r="BC502" s="83"/>
      <c r="BD502" s="83"/>
    </row>
    <row r="503" spans="41:56" ht="18" customHeight="1">
      <c r="AO503" s="83"/>
      <c r="AP503" s="83"/>
      <c r="AQ503" s="83"/>
      <c r="AR503" s="83"/>
      <c r="AS503" s="83"/>
      <c r="AT503" s="83"/>
      <c r="AU503" s="83"/>
      <c r="AV503" s="83"/>
      <c r="AW503" s="83"/>
      <c r="AX503" s="83"/>
      <c r="AY503" s="83"/>
      <c r="AZ503" s="83"/>
      <c r="BA503" s="115"/>
      <c r="BB503" s="115"/>
      <c r="BC503" s="83"/>
      <c r="BD503" s="83"/>
    </row>
    <row r="504" spans="41:56" ht="18" customHeight="1">
      <c r="AO504" s="83"/>
      <c r="AP504" s="83"/>
      <c r="AQ504" s="83"/>
      <c r="AR504" s="83"/>
      <c r="AS504" s="83"/>
      <c r="AT504" s="83"/>
      <c r="AU504" s="83"/>
      <c r="AV504" s="83"/>
      <c r="AW504" s="83"/>
      <c r="AX504" s="83"/>
      <c r="AY504" s="83"/>
      <c r="AZ504" s="83"/>
      <c r="BA504" s="115"/>
      <c r="BB504" s="115"/>
      <c r="BC504" s="83"/>
      <c r="BD504" s="83"/>
    </row>
    <row r="505" spans="41:56" ht="18" customHeight="1">
      <c r="AO505" s="83"/>
      <c r="AP505" s="83"/>
      <c r="AQ505" s="83"/>
      <c r="AR505" s="83"/>
      <c r="AS505" s="83"/>
      <c r="AT505" s="83"/>
      <c r="AU505" s="83"/>
      <c r="AV505" s="83"/>
      <c r="AW505" s="83"/>
      <c r="AX505" s="83"/>
      <c r="AY505" s="83"/>
      <c r="AZ505" s="83"/>
      <c r="BA505" s="115"/>
      <c r="BB505" s="115"/>
      <c r="BC505" s="83"/>
      <c r="BD505" s="83"/>
    </row>
    <row r="506" spans="41:56" ht="18" customHeight="1">
      <c r="AO506" s="83"/>
      <c r="AP506" s="83"/>
      <c r="AQ506" s="83"/>
      <c r="AR506" s="83"/>
      <c r="AS506" s="83"/>
      <c r="AT506" s="83"/>
      <c r="AU506" s="83"/>
      <c r="AV506" s="83"/>
      <c r="AW506" s="83"/>
      <c r="AX506" s="83"/>
      <c r="AY506" s="83"/>
      <c r="AZ506" s="83"/>
      <c r="BA506" s="115"/>
      <c r="BB506" s="115"/>
      <c r="BC506" s="83"/>
      <c r="BD506" s="83"/>
    </row>
    <row r="507" spans="41:56" ht="18" customHeight="1">
      <c r="AO507" s="83"/>
      <c r="AP507" s="83"/>
      <c r="AQ507" s="83"/>
      <c r="AR507" s="83"/>
      <c r="AS507" s="83"/>
      <c r="AT507" s="83"/>
      <c r="AU507" s="83"/>
      <c r="AV507" s="83"/>
      <c r="AW507" s="83"/>
      <c r="AX507" s="83"/>
      <c r="AY507" s="83"/>
      <c r="AZ507" s="83"/>
      <c r="BA507" s="115"/>
      <c r="BB507" s="115"/>
      <c r="BC507" s="83"/>
      <c r="BD507" s="83"/>
    </row>
    <row r="508" spans="41:56" ht="18" customHeight="1">
      <c r="AO508" s="83"/>
      <c r="AP508" s="83"/>
      <c r="AQ508" s="83"/>
      <c r="AR508" s="83"/>
      <c r="AS508" s="83"/>
      <c r="AT508" s="83"/>
      <c r="AU508" s="83"/>
      <c r="AV508" s="83"/>
      <c r="AW508" s="83"/>
      <c r="AX508" s="83"/>
      <c r="AY508" s="83"/>
      <c r="AZ508" s="83"/>
      <c r="BA508" s="115"/>
      <c r="BB508" s="115"/>
      <c r="BC508" s="83"/>
      <c r="BD508" s="83"/>
    </row>
    <row r="509" spans="41:56" ht="18" customHeight="1">
      <c r="AO509" s="83"/>
      <c r="AP509" s="83"/>
      <c r="AQ509" s="83"/>
      <c r="AR509" s="83"/>
      <c r="AS509" s="83"/>
      <c r="AT509" s="83"/>
      <c r="AU509" s="83"/>
      <c r="AV509" s="83"/>
      <c r="AW509" s="83"/>
      <c r="AX509" s="83"/>
      <c r="AY509" s="83"/>
      <c r="AZ509" s="83"/>
      <c r="BA509" s="115"/>
      <c r="BB509" s="115"/>
      <c r="BC509" s="83"/>
      <c r="BD509" s="83"/>
    </row>
    <row r="510" spans="41:56" ht="18" customHeight="1">
      <c r="AO510" s="83"/>
      <c r="AP510" s="83"/>
      <c r="AQ510" s="83"/>
      <c r="AR510" s="83"/>
      <c r="AS510" s="83"/>
      <c r="AT510" s="83"/>
      <c r="AU510" s="83"/>
      <c r="AV510" s="83"/>
      <c r="AW510" s="83"/>
      <c r="AX510" s="83"/>
      <c r="AY510" s="83"/>
      <c r="AZ510" s="83"/>
      <c r="BA510" s="115"/>
      <c r="BB510" s="115"/>
      <c r="BC510" s="83"/>
      <c r="BD510" s="83"/>
    </row>
    <row r="511" spans="41:56" ht="18" customHeight="1">
      <c r="AO511" s="83"/>
      <c r="AP511" s="83"/>
      <c r="AQ511" s="83"/>
      <c r="AR511" s="83"/>
      <c r="AS511" s="83"/>
      <c r="AT511" s="83"/>
      <c r="AU511" s="83"/>
      <c r="AV511" s="83"/>
      <c r="AW511" s="83"/>
      <c r="AX511" s="83"/>
      <c r="AY511" s="83"/>
      <c r="AZ511" s="83"/>
      <c r="BA511" s="115"/>
      <c r="BB511" s="115"/>
      <c r="BC511" s="83"/>
      <c r="BD511" s="83"/>
    </row>
    <row r="512" spans="41:56" ht="18" customHeight="1">
      <c r="AO512" s="83"/>
      <c r="AP512" s="83"/>
      <c r="AQ512" s="83"/>
      <c r="AR512" s="83"/>
      <c r="AS512" s="83"/>
      <c r="AT512" s="83"/>
      <c r="AU512" s="83"/>
      <c r="AV512" s="83"/>
      <c r="AW512" s="83"/>
      <c r="AX512" s="83"/>
      <c r="AY512" s="83"/>
      <c r="AZ512" s="83"/>
      <c r="BA512" s="115"/>
      <c r="BB512" s="115"/>
      <c r="BC512" s="83"/>
      <c r="BD512" s="83"/>
    </row>
    <row r="513" spans="41:56" ht="18" customHeight="1">
      <c r="AO513" s="83"/>
      <c r="AP513" s="83"/>
      <c r="AQ513" s="83"/>
      <c r="AR513" s="83"/>
      <c r="AS513" s="83"/>
      <c r="AT513" s="83"/>
      <c r="AU513" s="83"/>
      <c r="AV513" s="83"/>
      <c r="AW513" s="83"/>
      <c r="AX513" s="83"/>
      <c r="AY513" s="83"/>
      <c r="AZ513" s="83"/>
      <c r="BA513" s="115"/>
      <c r="BB513" s="115"/>
      <c r="BC513" s="83"/>
      <c r="BD513" s="83"/>
    </row>
    <row r="514" spans="41:56" ht="18" customHeight="1">
      <c r="AO514" s="83"/>
      <c r="AP514" s="83"/>
      <c r="AQ514" s="83"/>
      <c r="AR514" s="83"/>
      <c r="AS514" s="83"/>
      <c r="AT514" s="83"/>
      <c r="AU514" s="83"/>
      <c r="AV514" s="83"/>
      <c r="AW514" s="83"/>
      <c r="AX514" s="83"/>
      <c r="AY514" s="83"/>
      <c r="AZ514" s="83"/>
      <c r="BA514" s="115"/>
      <c r="BB514" s="115"/>
      <c r="BC514" s="83"/>
      <c r="BD514" s="83"/>
    </row>
    <row r="515" spans="41:56" ht="18" customHeight="1">
      <c r="AO515" s="83"/>
      <c r="AP515" s="83"/>
      <c r="AQ515" s="83"/>
      <c r="AR515" s="83"/>
      <c r="AS515" s="83"/>
      <c r="AT515" s="83"/>
      <c r="AU515" s="83"/>
      <c r="AV515" s="83"/>
      <c r="AW515" s="83"/>
      <c r="AX515" s="83"/>
      <c r="AY515" s="83"/>
      <c r="AZ515" s="83"/>
      <c r="BA515" s="115"/>
      <c r="BB515" s="115"/>
      <c r="BC515" s="83"/>
      <c r="BD515" s="83"/>
    </row>
    <row r="516" spans="41:56" ht="18" customHeight="1">
      <c r="AO516" s="83"/>
      <c r="AP516" s="83"/>
      <c r="AQ516" s="83"/>
      <c r="AR516" s="83"/>
      <c r="AS516" s="83"/>
      <c r="AT516" s="83"/>
      <c r="AU516" s="83"/>
      <c r="AV516" s="83"/>
      <c r="AW516" s="83"/>
      <c r="AX516" s="83"/>
      <c r="AY516" s="83"/>
      <c r="AZ516" s="83"/>
      <c r="BA516" s="115"/>
      <c r="BB516" s="115"/>
      <c r="BC516" s="83"/>
      <c r="BD516" s="83"/>
    </row>
    <row r="517" spans="41:56" ht="18" customHeight="1">
      <c r="AO517" s="83"/>
      <c r="AP517" s="83"/>
      <c r="AQ517" s="83"/>
      <c r="AR517" s="83"/>
      <c r="AS517" s="83"/>
      <c r="AT517" s="83"/>
      <c r="AU517" s="83"/>
      <c r="AV517" s="83"/>
      <c r="AW517" s="83"/>
      <c r="AX517" s="83"/>
      <c r="AY517" s="83"/>
      <c r="AZ517" s="83"/>
      <c r="BA517" s="115"/>
      <c r="BB517" s="115"/>
      <c r="BC517" s="83"/>
      <c r="BD517" s="83"/>
    </row>
    <row r="518" spans="41:56" ht="18" customHeight="1">
      <c r="AO518" s="83"/>
      <c r="AP518" s="83"/>
      <c r="AQ518" s="83"/>
      <c r="AR518" s="83"/>
      <c r="AS518" s="83"/>
      <c r="AT518" s="83"/>
      <c r="AU518" s="83"/>
      <c r="AV518" s="83"/>
      <c r="AW518" s="83"/>
      <c r="AX518" s="83"/>
      <c r="AY518" s="83"/>
      <c r="AZ518" s="83"/>
      <c r="BA518" s="115"/>
      <c r="BB518" s="115"/>
      <c r="BC518" s="83"/>
      <c r="BD518" s="83"/>
    </row>
    <row r="519" spans="41:56" ht="18" customHeight="1">
      <c r="AO519" s="83"/>
      <c r="AP519" s="83"/>
      <c r="AQ519" s="83"/>
      <c r="AR519" s="83"/>
      <c r="AS519" s="83"/>
      <c r="AT519" s="83"/>
      <c r="AU519" s="83"/>
      <c r="AV519" s="83"/>
      <c r="AW519" s="83"/>
      <c r="AX519" s="83"/>
      <c r="AY519" s="83"/>
      <c r="AZ519" s="83"/>
      <c r="BA519" s="115"/>
      <c r="BB519" s="115"/>
      <c r="BC519" s="83"/>
      <c r="BD519" s="83"/>
    </row>
    <row r="520" spans="41:56" ht="18" customHeight="1">
      <c r="AO520" s="83"/>
      <c r="AP520" s="83"/>
      <c r="AQ520" s="83"/>
      <c r="AR520" s="83"/>
      <c r="AS520" s="83"/>
      <c r="AT520" s="83"/>
      <c r="AU520" s="83"/>
      <c r="AV520" s="83"/>
      <c r="AW520" s="83"/>
      <c r="AX520" s="83"/>
      <c r="AY520" s="83"/>
      <c r="AZ520" s="83"/>
      <c r="BA520" s="115"/>
      <c r="BB520" s="115"/>
      <c r="BC520" s="83"/>
      <c r="BD520" s="83"/>
    </row>
    <row r="521" spans="41:56" ht="18" customHeight="1">
      <c r="AO521" s="83"/>
      <c r="AP521" s="83"/>
      <c r="AQ521" s="83"/>
      <c r="AR521" s="83"/>
      <c r="AS521" s="83"/>
      <c r="AT521" s="83"/>
      <c r="AU521" s="83"/>
      <c r="AV521" s="83"/>
      <c r="AW521" s="83"/>
      <c r="AX521" s="83"/>
      <c r="AY521" s="83"/>
      <c r="AZ521" s="83"/>
      <c r="BA521" s="115"/>
      <c r="BB521" s="115"/>
      <c r="BC521" s="83"/>
      <c r="BD521" s="83"/>
    </row>
    <row r="522" spans="41:56" ht="18" customHeight="1">
      <c r="AO522" s="83"/>
      <c r="AP522" s="83"/>
      <c r="AQ522" s="83"/>
      <c r="AR522" s="83"/>
      <c r="AS522" s="83"/>
      <c r="AT522" s="83"/>
      <c r="AU522" s="83"/>
      <c r="AV522" s="83"/>
      <c r="AW522" s="83"/>
      <c r="AX522" s="83"/>
      <c r="AY522" s="83"/>
      <c r="AZ522" s="83"/>
      <c r="BA522" s="115"/>
      <c r="BB522" s="115"/>
      <c r="BC522" s="83"/>
      <c r="BD522" s="83"/>
    </row>
    <row r="523" spans="41:56" ht="18" customHeight="1">
      <c r="AO523" s="83"/>
      <c r="AP523" s="83"/>
      <c r="AQ523" s="83"/>
      <c r="AR523" s="83"/>
      <c r="AS523" s="83"/>
      <c r="AT523" s="83"/>
      <c r="AU523" s="83"/>
      <c r="AV523" s="83"/>
      <c r="AW523" s="83"/>
      <c r="AX523" s="83"/>
      <c r="AY523" s="83"/>
      <c r="AZ523" s="83"/>
      <c r="BA523" s="115"/>
      <c r="BB523" s="115"/>
      <c r="BC523" s="83"/>
      <c r="BD523" s="83"/>
    </row>
    <row r="524" spans="41:56" ht="18" customHeight="1">
      <c r="AO524" s="83"/>
      <c r="AP524" s="83"/>
      <c r="AQ524" s="83"/>
      <c r="AR524" s="83"/>
      <c r="AS524" s="83"/>
      <c r="AT524" s="83"/>
      <c r="AU524" s="83"/>
      <c r="AV524" s="83"/>
      <c r="AW524" s="83"/>
      <c r="AX524" s="83"/>
      <c r="AY524" s="83"/>
      <c r="AZ524" s="83"/>
      <c r="BA524" s="115"/>
      <c r="BB524" s="115"/>
      <c r="BC524" s="83"/>
      <c r="BD524" s="83"/>
    </row>
    <row r="525" spans="41:56" ht="18" customHeight="1">
      <c r="AO525" s="83"/>
      <c r="AP525" s="83"/>
      <c r="AQ525" s="83"/>
      <c r="AR525" s="83"/>
      <c r="AS525" s="83"/>
      <c r="AT525" s="83"/>
      <c r="AU525" s="83"/>
      <c r="AV525" s="83"/>
      <c r="AW525" s="83"/>
      <c r="AX525" s="83"/>
      <c r="AY525" s="83"/>
      <c r="AZ525" s="83"/>
      <c r="BA525" s="115"/>
      <c r="BB525" s="115"/>
      <c r="BC525" s="83"/>
      <c r="BD525" s="83"/>
    </row>
    <row r="526" spans="41:56" ht="18" customHeight="1">
      <c r="AO526" s="83"/>
      <c r="AP526" s="83"/>
      <c r="AQ526" s="83"/>
      <c r="AR526" s="83"/>
      <c r="AS526" s="83"/>
      <c r="AT526" s="83"/>
      <c r="AU526" s="83"/>
      <c r="AV526" s="83"/>
      <c r="AW526" s="83"/>
      <c r="AX526" s="83"/>
      <c r="AY526" s="83"/>
      <c r="AZ526" s="83"/>
      <c r="BA526" s="115"/>
      <c r="BB526" s="115"/>
      <c r="BC526" s="83"/>
      <c r="BD526" s="83"/>
    </row>
    <row r="527" spans="41:56" ht="18" customHeight="1">
      <c r="AO527" s="83"/>
      <c r="AP527" s="83"/>
      <c r="AQ527" s="83"/>
      <c r="AR527" s="83"/>
      <c r="AS527" s="83"/>
      <c r="AT527" s="83"/>
      <c r="AU527" s="83"/>
      <c r="AV527" s="83"/>
      <c r="AW527" s="83"/>
      <c r="AX527" s="83"/>
      <c r="AY527" s="83"/>
      <c r="AZ527" s="83"/>
      <c r="BA527" s="115"/>
      <c r="BB527" s="115"/>
      <c r="BC527" s="83"/>
      <c r="BD527" s="83"/>
    </row>
    <row r="528" spans="41:56" ht="18" customHeight="1">
      <c r="AO528" s="83"/>
      <c r="AP528" s="83"/>
      <c r="AQ528" s="83"/>
      <c r="AR528" s="83"/>
      <c r="AS528" s="83"/>
      <c r="AT528" s="83"/>
      <c r="AU528" s="83"/>
      <c r="AV528" s="83"/>
      <c r="AW528" s="83"/>
      <c r="AX528" s="83"/>
      <c r="AY528" s="83"/>
      <c r="AZ528" s="83"/>
      <c r="BA528" s="115"/>
      <c r="BB528" s="115"/>
      <c r="BC528" s="83"/>
      <c r="BD528" s="83"/>
    </row>
    <row r="529" spans="41:56" ht="18" customHeight="1">
      <c r="AO529" s="83"/>
      <c r="AP529" s="83"/>
      <c r="AQ529" s="83"/>
      <c r="AR529" s="83"/>
      <c r="AS529" s="83"/>
      <c r="AT529" s="83"/>
      <c r="AU529" s="83"/>
      <c r="AV529" s="83"/>
      <c r="AW529" s="83"/>
      <c r="AX529" s="83"/>
      <c r="AY529" s="83"/>
      <c r="AZ529" s="83"/>
      <c r="BA529" s="115"/>
      <c r="BB529" s="115"/>
      <c r="BC529" s="83"/>
      <c r="BD529" s="83"/>
    </row>
    <row r="530" spans="41:56" ht="18" customHeight="1">
      <c r="AO530" s="83"/>
      <c r="AP530" s="83"/>
      <c r="AQ530" s="83"/>
      <c r="AR530" s="83"/>
      <c r="AS530" s="83"/>
      <c r="AT530" s="83"/>
      <c r="AU530" s="83"/>
      <c r="AV530" s="83"/>
      <c r="AW530" s="83"/>
      <c r="AX530" s="83"/>
      <c r="AY530" s="83"/>
      <c r="AZ530" s="83"/>
      <c r="BA530" s="115"/>
      <c r="BB530" s="115"/>
      <c r="BC530" s="83"/>
      <c r="BD530" s="83"/>
    </row>
    <row r="531" spans="41:56" ht="18" customHeight="1">
      <c r="AO531" s="83"/>
      <c r="AP531" s="83"/>
      <c r="AQ531" s="83"/>
      <c r="AR531" s="83"/>
      <c r="AS531" s="83"/>
      <c r="AT531" s="83"/>
      <c r="AU531" s="83"/>
      <c r="AV531" s="83"/>
      <c r="AW531" s="83"/>
      <c r="AX531" s="83"/>
      <c r="AY531" s="83"/>
      <c r="AZ531" s="83"/>
      <c r="BA531" s="115"/>
      <c r="BB531" s="115"/>
      <c r="BC531" s="83"/>
      <c r="BD531" s="83"/>
    </row>
    <row r="532" spans="41:56" ht="18" customHeight="1">
      <c r="AO532" s="83"/>
      <c r="AP532" s="83"/>
      <c r="AQ532" s="83"/>
      <c r="AR532" s="83"/>
      <c r="AS532" s="83"/>
      <c r="AT532" s="83"/>
      <c r="AU532" s="83"/>
      <c r="AV532" s="83"/>
      <c r="AW532" s="83"/>
      <c r="AX532" s="83"/>
      <c r="AY532" s="83"/>
      <c r="AZ532" s="83"/>
      <c r="BA532" s="115"/>
      <c r="BB532" s="115"/>
      <c r="BC532" s="83"/>
      <c r="BD532" s="83"/>
    </row>
    <row r="533" spans="41:56" ht="18" customHeight="1">
      <c r="AO533" s="83"/>
      <c r="AP533" s="83"/>
      <c r="AQ533" s="83"/>
      <c r="AR533" s="83"/>
      <c r="AS533" s="83"/>
      <c r="AT533" s="83"/>
      <c r="AU533" s="83"/>
      <c r="AV533" s="83"/>
      <c r="AW533" s="83"/>
      <c r="AX533" s="83"/>
      <c r="AY533" s="83"/>
      <c r="AZ533" s="83"/>
      <c r="BA533" s="115"/>
      <c r="BB533" s="115"/>
      <c r="BC533" s="83"/>
      <c r="BD533" s="83"/>
    </row>
    <row r="534" spans="41:56" ht="18" customHeight="1">
      <c r="AO534" s="83"/>
      <c r="AP534" s="83"/>
      <c r="AQ534" s="83"/>
      <c r="AR534" s="83"/>
      <c r="AS534" s="83"/>
      <c r="AT534" s="83"/>
      <c r="AU534" s="83"/>
      <c r="AV534" s="83"/>
      <c r="AW534" s="83"/>
      <c r="AX534" s="83"/>
      <c r="AY534" s="83"/>
      <c r="AZ534" s="83"/>
      <c r="BA534" s="115"/>
      <c r="BB534" s="115"/>
      <c r="BC534" s="83"/>
      <c r="BD534" s="83"/>
    </row>
    <row r="535" spans="41:56" ht="18" customHeight="1">
      <c r="AO535" s="83"/>
      <c r="AP535" s="83"/>
      <c r="AQ535" s="83"/>
      <c r="AR535" s="83"/>
      <c r="AS535" s="83"/>
      <c r="AT535" s="83"/>
      <c r="AU535" s="83"/>
      <c r="AV535" s="83"/>
      <c r="AW535" s="83"/>
      <c r="AX535" s="83"/>
      <c r="AY535" s="83"/>
      <c r="AZ535" s="83"/>
      <c r="BA535" s="115"/>
      <c r="BB535" s="115"/>
      <c r="BC535" s="83"/>
      <c r="BD535" s="83"/>
    </row>
    <row r="536" spans="41:56" ht="18" customHeight="1">
      <c r="AO536" s="83"/>
      <c r="AP536" s="83"/>
      <c r="AQ536" s="83"/>
      <c r="AR536" s="83"/>
      <c r="AS536" s="83"/>
      <c r="AT536" s="83"/>
      <c r="AU536" s="83"/>
      <c r="AV536" s="83"/>
      <c r="AW536" s="83"/>
      <c r="AX536" s="83"/>
      <c r="AY536" s="83"/>
      <c r="AZ536" s="83"/>
      <c r="BA536" s="115"/>
      <c r="BB536" s="115"/>
      <c r="BC536" s="83"/>
      <c r="BD536" s="83"/>
    </row>
    <row r="537" spans="41:56" ht="18" customHeight="1">
      <c r="AO537" s="83"/>
      <c r="AP537" s="83"/>
      <c r="AQ537" s="83"/>
      <c r="AR537" s="83"/>
      <c r="AS537" s="83"/>
      <c r="AT537" s="83"/>
      <c r="AU537" s="83"/>
      <c r="AV537" s="83"/>
      <c r="AW537" s="83"/>
      <c r="AX537" s="83"/>
      <c r="AY537" s="83"/>
      <c r="AZ537" s="83"/>
      <c r="BA537" s="115"/>
      <c r="BB537" s="115"/>
      <c r="BC537" s="83"/>
      <c r="BD537" s="83"/>
    </row>
    <row r="538" spans="41:56" ht="18" customHeight="1">
      <c r="AO538" s="83"/>
      <c r="AP538" s="83"/>
      <c r="AQ538" s="83"/>
      <c r="AR538" s="83"/>
      <c r="AS538" s="83"/>
      <c r="AT538" s="83"/>
      <c r="AU538" s="83"/>
      <c r="AV538" s="83"/>
      <c r="AW538" s="83"/>
      <c r="AX538" s="83"/>
      <c r="AY538" s="83"/>
      <c r="AZ538" s="83"/>
      <c r="BA538" s="115"/>
      <c r="BB538" s="115"/>
      <c r="BC538" s="83"/>
      <c r="BD538" s="83"/>
    </row>
    <row r="539" spans="41:56" ht="18" customHeight="1">
      <c r="AO539" s="83"/>
      <c r="AP539" s="83"/>
      <c r="AQ539" s="83"/>
      <c r="AR539" s="83"/>
      <c r="AS539" s="83"/>
      <c r="AT539" s="83"/>
      <c r="AU539" s="83"/>
      <c r="AV539" s="83"/>
      <c r="AW539" s="83"/>
      <c r="AX539" s="83"/>
      <c r="AY539" s="83"/>
      <c r="AZ539" s="83"/>
      <c r="BA539" s="115"/>
      <c r="BB539" s="115"/>
      <c r="BC539" s="83"/>
      <c r="BD539" s="83"/>
    </row>
    <row r="540" spans="41:56" ht="18" customHeight="1">
      <c r="AO540" s="83"/>
      <c r="AP540" s="83"/>
      <c r="AQ540" s="83"/>
      <c r="AR540" s="83"/>
      <c r="AS540" s="83"/>
      <c r="AT540" s="83"/>
      <c r="AU540" s="83"/>
      <c r="AV540" s="83"/>
      <c r="AW540" s="83"/>
      <c r="AX540" s="83"/>
      <c r="AY540" s="83"/>
      <c r="AZ540" s="83"/>
      <c r="BA540" s="115"/>
      <c r="BB540" s="115"/>
      <c r="BC540" s="83"/>
      <c r="BD540" s="83"/>
    </row>
    <row r="541" spans="41:56" ht="18" customHeight="1">
      <c r="AO541" s="83"/>
      <c r="AP541" s="83"/>
      <c r="AQ541" s="83"/>
      <c r="AR541" s="83"/>
      <c r="AS541" s="83"/>
      <c r="AT541" s="83"/>
      <c r="AU541" s="83"/>
      <c r="AV541" s="83"/>
      <c r="AW541" s="83"/>
      <c r="AX541" s="83"/>
      <c r="AY541" s="83"/>
      <c r="AZ541" s="83"/>
      <c r="BA541" s="115"/>
      <c r="BB541" s="115"/>
      <c r="BC541" s="83"/>
      <c r="BD541" s="83"/>
    </row>
    <row r="542" spans="41:56" ht="18" customHeight="1">
      <c r="AO542" s="83"/>
      <c r="AP542" s="83"/>
      <c r="AQ542" s="83"/>
      <c r="AR542" s="83"/>
      <c r="AS542" s="83"/>
      <c r="AT542" s="83"/>
      <c r="AU542" s="83"/>
      <c r="AV542" s="83"/>
      <c r="AW542" s="83"/>
      <c r="AX542" s="83"/>
      <c r="AY542" s="83"/>
      <c r="AZ542" s="83"/>
      <c r="BA542" s="115"/>
      <c r="BB542" s="115"/>
      <c r="BC542" s="83"/>
      <c r="BD542" s="83"/>
    </row>
    <row r="543" spans="41:56" ht="18" customHeight="1">
      <c r="AO543" s="83"/>
      <c r="AP543" s="83"/>
      <c r="AQ543" s="83"/>
      <c r="AR543" s="83"/>
      <c r="AS543" s="83"/>
      <c r="AT543" s="83"/>
      <c r="AU543" s="83"/>
      <c r="AV543" s="83"/>
      <c r="AW543" s="83"/>
      <c r="AX543" s="83"/>
      <c r="AY543" s="83"/>
      <c r="AZ543" s="83"/>
      <c r="BA543" s="115"/>
      <c r="BB543" s="115"/>
      <c r="BC543" s="83"/>
      <c r="BD543" s="83"/>
    </row>
    <row r="544" spans="41:56" ht="18" customHeight="1">
      <c r="AO544" s="83"/>
      <c r="AP544" s="83"/>
      <c r="AQ544" s="83"/>
      <c r="AR544" s="83"/>
      <c r="AS544" s="83"/>
      <c r="AT544" s="83"/>
      <c r="AU544" s="83"/>
      <c r="AV544" s="83"/>
      <c r="AW544" s="83"/>
      <c r="AX544" s="83"/>
      <c r="AY544" s="83"/>
      <c r="AZ544" s="83"/>
      <c r="BA544" s="115"/>
      <c r="BB544" s="115"/>
      <c r="BC544" s="83"/>
      <c r="BD544" s="83"/>
    </row>
    <row r="545" spans="41:56" ht="18" customHeight="1">
      <c r="AO545" s="83"/>
      <c r="AP545" s="83"/>
      <c r="AQ545" s="83"/>
      <c r="AR545" s="83"/>
      <c r="AS545" s="83"/>
      <c r="AT545" s="83"/>
      <c r="AU545" s="83"/>
      <c r="AV545" s="83"/>
      <c r="AW545" s="83"/>
      <c r="AX545" s="83"/>
      <c r="AY545" s="83"/>
      <c r="AZ545" s="83"/>
      <c r="BA545" s="115"/>
      <c r="BB545" s="115"/>
      <c r="BC545" s="83"/>
      <c r="BD545" s="83"/>
    </row>
    <row r="546" spans="41:56" ht="18" customHeight="1">
      <c r="AO546" s="83"/>
      <c r="AP546" s="83"/>
      <c r="AQ546" s="83"/>
      <c r="AR546" s="83"/>
      <c r="AS546" s="83"/>
      <c r="AT546" s="83"/>
      <c r="AU546" s="83"/>
      <c r="AV546" s="83"/>
      <c r="AW546" s="83"/>
      <c r="AX546" s="83"/>
      <c r="AY546" s="83"/>
      <c r="AZ546" s="83"/>
      <c r="BA546" s="115"/>
      <c r="BB546" s="115"/>
      <c r="BC546" s="83"/>
      <c r="BD546" s="83"/>
    </row>
    <row r="547" spans="41:56" ht="18" customHeight="1">
      <c r="AO547" s="83"/>
      <c r="AP547" s="83"/>
      <c r="AQ547" s="83"/>
      <c r="AR547" s="83"/>
      <c r="AS547" s="83"/>
      <c r="AT547" s="83"/>
      <c r="AU547" s="83"/>
      <c r="AV547" s="83"/>
      <c r="AW547" s="83"/>
      <c r="AX547" s="83"/>
      <c r="AY547" s="83"/>
      <c r="AZ547" s="83"/>
      <c r="BA547" s="115"/>
      <c r="BB547" s="115"/>
      <c r="BC547" s="83"/>
      <c r="BD547" s="83"/>
    </row>
    <row r="548" spans="41:56" ht="18" customHeight="1">
      <c r="AO548" s="83"/>
      <c r="AP548" s="83"/>
      <c r="AQ548" s="83"/>
      <c r="AR548" s="83"/>
      <c r="AS548" s="83"/>
      <c r="AT548" s="83"/>
      <c r="AU548" s="83"/>
      <c r="AV548" s="83"/>
      <c r="AW548" s="83"/>
      <c r="AX548" s="83"/>
      <c r="AY548" s="83"/>
      <c r="AZ548" s="83"/>
      <c r="BA548" s="115"/>
      <c r="BB548" s="115"/>
      <c r="BC548" s="83"/>
      <c r="BD548" s="83"/>
    </row>
    <row r="549" spans="41:56" ht="18" customHeight="1">
      <c r="AO549" s="83"/>
      <c r="AP549" s="83"/>
      <c r="AQ549" s="83"/>
      <c r="AR549" s="83"/>
      <c r="AS549" s="83"/>
      <c r="AT549" s="83"/>
      <c r="AU549" s="83"/>
      <c r="AV549" s="83"/>
      <c r="AW549" s="83"/>
      <c r="AX549" s="83"/>
      <c r="AY549" s="83"/>
      <c r="AZ549" s="83"/>
      <c r="BA549" s="115"/>
      <c r="BB549" s="115"/>
      <c r="BC549" s="83"/>
      <c r="BD549" s="83"/>
    </row>
    <row r="550" spans="41:56" ht="18" customHeight="1">
      <c r="AO550" s="83"/>
      <c r="AP550" s="83"/>
      <c r="AQ550" s="83"/>
      <c r="AR550" s="83"/>
      <c r="AS550" s="83"/>
      <c r="AT550" s="83"/>
      <c r="AU550" s="83"/>
      <c r="AV550" s="83"/>
      <c r="AW550" s="83"/>
      <c r="AX550" s="83"/>
      <c r="AY550" s="83"/>
      <c r="AZ550" s="83"/>
      <c r="BA550" s="115"/>
      <c r="BB550" s="115"/>
      <c r="BC550" s="83"/>
      <c r="BD550" s="83"/>
    </row>
    <row r="551" spans="41:56" ht="18" customHeight="1">
      <c r="AO551" s="83"/>
      <c r="AP551" s="83"/>
      <c r="AQ551" s="83"/>
      <c r="AR551" s="83"/>
      <c r="AS551" s="83"/>
      <c r="AT551" s="83"/>
      <c r="AU551" s="83"/>
      <c r="AV551" s="83"/>
      <c r="AW551" s="83"/>
      <c r="AX551" s="83"/>
      <c r="AY551" s="83"/>
      <c r="AZ551" s="83"/>
      <c r="BA551" s="115"/>
      <c r="BB551" s="115"/>
      <c r="BC551" s="83"/>
      <c r="BD551" s="83"/>
    </row>
    <row r="552" spans="41:56" ht="18" customHeight="1">
      <c r="AO552" s="83"/>
      <c r="AP552" s="83"/>
      <c r="AQ552" s="83"/>
      <c r="AR552" s="83"/>
      <c r="AS552" s="83"/>
      <c r="AT552" s="83"/>
      <c r="AU552" s="83"/>
      <c r="AV552" s="83"/>
      <c r="AW552" s="83"/>
      <c r="AX552" s="83"/>
      <c r="AY552" s="83"/>
      <c r="AZ552" s="83"/>
      <c r="BA552" s="115"/>
      <c r="BB552" s="115"/>
      <c r="BC552" s="83"/>
      <c r="BD552" s="83"/>
    </row>
    <row r="553" spans="41:56" ht="18" customHeight="1">
      <c r="AO553" s="83"/>
      <c r="AP553" s="83"/>
      <c r="AQ553" s="83"/>
      <c r="AR553" s="83"/>
      <c r="AS553" s="83"/>
      <c r="AT553" s="83"/>
      <c r="AU553" s="83"/>
      <c r="AV553" s="83"/>
      <c r="AW553" s="83"/>
      <c r="AX553" s="83"/>
      <c r="AY553" s="83"/>
      <c r="AZ553" s="83"/>
      <c r="BA553" s="115"/>
      <c r="BB553" s="115"/>
      <c r="BC553" s="83"/>
      <c r="BD553" s="83"/>
    </row>
    <row r="554" spans="41:56" ht="18" customHeight="1">
      <c r="AO554" s="83"/>
      <c r="AP554" s="83"/>
      <c r="AQ554" s="83"/>
      <c r="AR554" s="83"/>
      <c r="AS554" s="83"/>
      <c r="AT554" s="83"/>
      <c r="AU554" s="83"/>
      <c r="AV554" s="83"/>
      <c r="AW554" s="83"/>
      <c r="AX554" s="83"/>
      <c r="AY554" s="83"/>
      <c r="AZ554" s="83"/>
      <c r="BA554" s="115"/>
      <c r="BB554" s="115"/>
      <c r="BC554" s="83"/>
      <c r="BD554" s="83"/>
    </row>
    <row r="555" spans="41:56" ht="18" customHeight="1">
      <c r="AO555" s="83"/>
      <c r="AP555" s="83"/>
      <c r="AQ555" s="83"/>
      <c r="AR555" s="83"/>
      <c r="AS555" s="83"/>
      <c r="AT555" s="83"/>
      <c r="AU555" s="83"/>
      <c r="AV555" s="83"/>
      <c r="AW555" s="83"/>
      <c r="AX555" s="83"/>
      <c r="AY555" s="83"/>
      <c r="AZ555" s="83"/>
      <c r="BA555" s="115"/>
      <c r="BB555" s="115"/>
      <c r="BC555" s="83"/>
      <c r="BD555" s="83"/>
    </row>
    <row r="556" spans="41:56" ht="18" customHeight="1">
      <c r="AO556" s="83"/>
      <c r="AP556" s="83"/>
      <c r="AQ556" s="83"/>
      <c r="AR556" s="83"/>
      <c r="AS556" s="83"/>
      <c r="AT556" s="83"/>
      <c r="AU556" s="83"/>
      <c r="AV556" s="83"/>
      <c r="AW556" s="83"/>
      <c r="AX556" s="83"/>
      <c r="AY556" s="83"/>
      <c r="AZ556" s="83"/>
      <c r="BA556" s="115"/>
      <c r="BB556" s="115"/>
      <c r="BC556" s="83"/>
      <c r="BD556" s="83"/>
    </row>
    <row r="557" spans="41:56" ht="18" customHeight="1">
      <c r="AO557" s="83"/>
      <c r="AP557" s="83"/>
      <c r="AQ557" s="83"/>
      <c r="AR557" s="83"/>
      <c r="AS557" s="83"/>
      <c r="AT557" s="83"/>
      <c r="AU557" s="83"/>
      <c r="AV557" s="83"/>
      <c r="AW557" s="83"/>
      <c r="AX557" s="83"/>
      <c r="AY557" s="83"/>
      <c r="AZ557" s="83"/>
      <c r="BA557" s="115"/>
      <c r="BB557" s="115"/>
      <c r="BC557" s="83"/>
      <c r="BD557" s="83"/>
    </row>
    <row r="558" spans="41:56" ht="18" customHeight="1">
      <c r="AO558" s="83"/>
      <c r="AP558" s="83"/>
      <c r="AQ558" s="83"/>
      <c r="AR558" s="83"/>
      <c r="AS558" s="83"/>
      <c r="AT558" s="83"/>
      <c r="AU558" s="83"/>
      <c r="AV558" s="83"/>
      <c r="AW558" s="83"/>
      <c r="AX558" s="83"/>
      <c r="AY558" s="83"/>
      <c r="AZ558" s="83"/>
      <c r="BA558" s="115"/>
      <c r="BB558" s="115"/>
      <c r="BC558" s="83"/>
      <c r="BD558" s="83"/>
    </row>
    <row r="559" spans="41:56" ht="18" customHeight="1">
      <c r="AO559" s="83"/>
      <c r="AP559" s="83"/>
      <c r="AQ559" s="83"/>
      <c r="AR559" s="83"/>
      <c r="AS559" s="83"/>
      <c r="AT559" s="83"/>
      <c r="AU559" s="83"/>
      <c r="AV559" s="83"/>
      <c r="AW559" s="83"/>
      <c r="AX559" s="83"/>
      <c r="AY559" s="83"/>
      <c r="AZ559" s="83"/>
      <c r="BA559" s="115"/>
      <c r="BB559" s="115"/>
      <c r="BC559" s="83"/>
      <c r="BD559" s="83"/>
    </row>
    <row r="560" spans="41:56" ht="18" customHeight="1">
      <c r="AO560" s="83"/>
      <c r="AP560" s="83"/>
      <c r="AQ560" s="83"/>
      <c r="AR560" s="83"/>
      <c r="AS560" s="83"/>
      <c r="AT560" s="83"/>
      <c r="AU560" s="83"/>
      <c r="AV560" s="83"/>
      <c r="AW560" s="83"/>
      <c r="AX560" s="83"/>
      <c r="AY560" s="83"/>
      <c r="AZ560" s="83"/>
      <c r="BA560" s="115"/>
      <c r="BB560" s="115"/>
      <c r="BC560" s="83"/>
      <c r="BD560" s="83"/>
    </row>
    <row r="561" spans="41:56" ht="18" customHeight="1">
      <c r="AO561" s="83"/>
      <c r="AP561" s="83"/>
      <c r="AQ561" s="83"/>
      <c r="AR561" s="83"/>
      <c r="AS561" s="83"/>
      <c r="AT561" s="83"/>
      <c r="AU561" s="83"/>
      <c r="AV561" s="83"/>
      <c r="AW561" s="83"/>
      <c r="AX561" s="83"/>
      <c r="AY561" s="83"/>
      <c r="AZ561" s="83"/>
      <c r="BA561" s="115"/>
      <c r="BB561" s="115"/>
      <c r="BC561" s="83"/>
      <c r="BD561" s="83"/>
    </row>
    <row r="562" spans="41:56" ht="18" customHeight="1">
      <c r="AO562" s="83"/>
      <c r="AP562" s="83"/>
      <c r="AQ562" s="83"/>
      <c r="AR562" s="83"/>
      <c r="AS562" s="83"/>
      <c r="AT562" s="83"/>
      <c r="AU562" s="83"/>
      <c r="AV562" s="83"/>
      <c r="AW562" s="83"/>
      <c r="AX562" s="83"/>
      <c r="AY562" s="83"/>
      <c r="AZ562" s="83"/>
      <c r="BA562" s="115"/>
      <c r="BB562" s="115"/>
      <c r="BC562" s="83"/>
      <c r="BD562" s="83"/>
    </row>
    <row r="563" spans="41:56" ht="18" customHeight="1">
      <c r="AO563" s="83"/>
      <c r="AP563" s="83"/>
      <c r="AQ563" s="83"/>
      <c r="AR563" s="83"/>
      <c r="AS563" s="83"/>
      <c r="AT563" s="83"/>
      <c r="AU563" s="83"/>
      <c r="AV563" s="83"/>
      <c r="AW563" s="83"/>
      <c r="AX563" s="83"/>
      <c r="AY563" s="83"/>
      <c r="AZ563" s="83"/>
      <c r="BA563" s="115"/>
      <c r="BB563" s="115"/>
      <c r="BC563" s="83"/>
      <c r="BD563" s="83"/>
    </row>
    <row r="564" spans="41:56" ht="18" customHeight="1">
      <c r="AO564" s="83"/>
      <c r="AP564" s="83"/>
      <c r="AQ564" s="83"/>
      <c r="AR564" s="83"/>
      <c r="AS564" s="83"/>
      <c r="AT564" s="83"/>
      <c r="AU564" s="83"/>
      <c r="AV564" s="83"/>
      <c r="AW564" s="83"/>
      <c r="AX564" s="83"/>
      <c r="AY564" s="83"/>
      <c r="AZ564" s="83"/>
      <c r="BA564" s="115"/>
      <c r="BB564" s="115"/>
      <c r="BC564" s="83"/>
      <c r="BD564" s="83"/>
    </row>
    <row r="565" spans="41:56" ht="18" customHeight="1">
      <c r="AO565" s="83"/>
      <c r="AP565" s="83"/>
      <c r="AQ565" s="83"/>
      <c r="AR565" s="83"/>
      <c r="AS565" s="83"/>
      <c r="AT565" s="83"/>
      <c r="AU565" s="83"/>
      <c r="AV565" s="83"/>
      <c r="AW565" s="83"/>
      <c r="AX565" s="83"/>
      <c r="AY565" s="83"/>
      <c r="AZ565" s="83"/>
      <c r="BA565" s="115"/>
      <c r="BB565" s="115"/>
      <c r="BC565" s="83"/>
      <c r="BD565" s="83"/>
    </row>
    <row r="566" spans="41:56" ht="18" customHeight="1">
      <c r="AO566" s="83"/>
      <c r="AP566" s="83"/>
      <c r="AQ566" s="83"/>
      <c r="AR566" s="83"/>
      <c r="AS566" s="83"/>
      <c r="AT566" s="83"/>
      <c r="AU566" s="83"/>
      <c r="AV566" s="83"/>
      <c r="AW566" s="83"/>
      <c r="AX566" s="83"/>
      <c r="AY566" s="83"/>
      <c r="AZ566" s="83"/>
      <c r="BA566" s="115"/>
      <c r="BB566" s="115"/>
      <c r="BC566" s="83"/>
      <c r="BD566" s="83"/>
    </row>
    <row r="567" spans="41:56" ht="18" customHeight="1">
      <c r="AO567" s="83"/>
      <c r="AP567" s="83"/>
      <c r="AQ567" s="83"/>
      <c r="AR567" s="83"/>
      <c r="AS567" s="83"/>
      <c r="AT567" s="83"/>
      <c r="AU567" s="83"/>
      <c r="AV567" s="83"/>
      <c r="AW567" s="83"/>
      <c r="AX567" s="83"/>
      <c r="AY567" s="83"/>
      <c r="AZ567" s="83"/>
      <c r="BA567" s="115"/>
      <c r="BB567" s="115"/>
      <c r="BC567" s="83"/>
      <c r="BD567" s="83"/>
    </row>
    <row r="568" spans="41:56" ht="18" customHeight="1">
      <c r="AO568" s="83"/>
      <c r="AP568" s="83"/>
      <c r="AQ568" s="83"/>
      <c r="AR568" s="83"/>
      <c r="AS568" s="83"/>
      <c r="AT568" s="83"/>
      <c r="AU568" s="83"/>
      <c r="AV568" s="83"/>
      <c r="AW568" s="83"/>
      <c r="AX568" s="83"/>
      <c r="AY568" s="83"/>
      <c r="AZ568" s="83"/>
      <c r="BA568" s="115"/>
      <c r="BB568" s="115"/>
      <c r="BC568" s="83"/>
      <c r="BD568" s="83"/>
    </row>
    <row r="569" spans="41:56" ht="18" customHeight="1">
      <c r="AO569" s="83"/>
      <c r="AP569" s="83"/>
      <c r="AQ569" s="83"/>
      <c r="AR569" s="83"/>
      <c r="AS569" s="83"/>
      <c r="AT569" s="83"/>
      <c r="AU569" s="83"/>
      <c r="AV569" s="83"/>
      <c r="AW569" s="83"/>
      <c r="AX569" s="83"/>
      <c r="AY569" s="83"/>
      <c r="AZ569" s="83"/>
      <c r="BA569" s="115"/>
      <c r="BB569" s="115"/>
      <c r="BC569" s="83"/>
      <c r="BD569" s="83"/>
    </row>
    <row r="570" spans="41:56" ht="18" customHeight="1">
      <c r="AO570" s="83"/>
      <c r="AP570" s="83"/>
      <c r="AQ570" s="83"/>
      <c r="AR570" s="83"/>
      <c r="AS570" s="83"/>
      <c r="AT570" s="83"/>
      <c r="AU570" s="83"/>
      <c r="AV570" s="83"/>
      <c r="AW570" s="83"/>
      <c r="AX570" s="83"/>
      <c r="AY570" s="83"/>
      <c r="AZ570" s="83"/>
      <c r="BA570" s="115"/>
      <c r="BB570" s="115"/>
      <c r="BC570" s="83"/>
      <c r="BD570" s="83"/>
    </row>
    <row r="571" spans="41:56" ht="18" customHeight="1">
      <c r="AO571" s="83"/>
      <c r="AP571" s="83"/>
      <c r="AQ571" s="83"/>
      <c r="AR571" s="83"/>
      <c r="AS571" s="83"/>
      <c r="AT571" s="83"/>
      <c r="AU571" s="83"/>
      <c r="AV571" s="83"/>
      <c r="AW571" s="83"/>
      <c r="AX571" s="83"/>
      <c r="AY571" s="83"/>
      <c r="AZ571" s="83"/>
      <c r="BA571" s="115"/>
      <c r="BB571" s="115"/>
      <c r="BC571" s="83"/>
      <c r="BD571" s="83"/>
    </row>
    <row r="572" spans="41:56" ht="18" customHeight="1">
      <c r="AO572" s="83"/>
      <c r="AP572" s="83"/>
      <c r="AQ572" s="83"/>
      <c r="AR572" s="83"/>
      <c r="AS572" s="83"/>
      <c r="AT572" s="83"/>
      <c r="AU572" s="83"/>
      <c r="AV572" s="83"/>
      <c r="AW572" s="83"/>
      <c r="AX572" s="83"/>
      <c r="AY572" s="83"/>
      <c r="AZ572" s="83"/>
      <c r="BA572" s="115"/>
      <c r="BB572" s="115"/>
      <c r="BC572" s="83"/>
      <c r="BD572" s="83"/>
    </row>
    <row r="573" spans="41:56" ht="18" customHeight="1">
      <c r="AO573" s="83"/>
      <c r="AP573" s="83"/>
      <c r="AQ573" s="83"/>
      <c r="AR573" s="83"/>
      <c r="AS573" s="83"/>
      <c r="AT573" s="83"/>
      <c r="AU573" s="83"/>
      <c r="AV573" s="83"/>
      <c r="AW573" s="83"/>
      <c r="AX573" s="83"/>
      <c r="AY573" s="83"/>
      <c r="AZ573" s="83"/>
      <c r="BA573" s="115"/>
      <c r="BB573" s="115"/>
      <c r="BC573" s="83"/>
      <c r="BD573" s="83"/>
    </row>
    <row r="574" spans="41:56" ht="18" customHeight="1">
      <c r="AO574" s="83"/>
      <c r="AP574" s="83"/>
      <c r="AQ574" s="83"/>
      <c r="AR574" s="83"/>
      <c r="AS574" s="83"/>
      <c r="AT574" s="83"/>
      <c r="AU574" s="83"/>
      <c r="AV574" s="83"/>
      <c r="AW574" s="83"/>
      <c r="AX574" s="83"/>
      <c r="AY574" s="83"/>
      <c r="AZ574" s="83"/>
      <c r="BA574" s="115"/>
      <c r="BB574" s="115"/>
      <c r="BC574" s="83"/>
      <c r="BD574" s="83"/>
    </row>
    <row r="575" spans="41:56" ht="18" customHeight="1">
      <c r="AO575" s="83"/>
      <c r="AP575" s="83"/>
      <c r="AQ575" s="83"/>
      <c r="AR575" s="83"/>
      <c r="AS575" s="83"/>
      <c r="AT575" s="83"/>
      <c r="AU575" s="83"/>
      <c r="AV575" s="83"/>
      <c r="AW575" s="83"/>
      <c r="AX575" s="83"/>
      <c r="AY575" s="83"/>
      <c r="AZ575" s="83"/>
      <c r="BA575" s="115"/>
      <c r="BB575" s="115"/>
      <c r="BC575" s="83"/>
      <c r="BD575" s="83"/>
    </row>
    <row r="576" spans="41:56" ht="18" customHeight="1">
      <c r="AO576" s="83"/>
      <c r="AP576" s="83"/>
      <c r="AQ576" s="83"/>
      <c r="AR576" s="83"/>
      <c r="AS576" s="83"/>
      <c r="AT576" s="83"/>
      <c r="AU576" s="83"/>
      <c r="AV576" s="83"/>
      <c r="AW576" s="145"/>
    </row>
  </sheetData>
  <mergeCells count="2">
    <mergeCell ref="A2:AM2"/>
    <mergeCell ref="AO1:BL3"/>
  </mergeCells>
  <phoneticPr fontId="0" type="noConversion"/>
  <conditionalFormatting sqref="C2:C1048576">
    <cfRule type="duplicateValues" dxfId="0" priority="1"/>
  </conditionalFormatting>
  <pageMargins left="0" right="0" top="0" bottom="0" header="0" footer="0"/>
  <pageSetup paperSize="9" scale="72" orientation="landscape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21AD9-8BC3-46A7-93E8-4F5FA26E3DD0}">
  <dimension ref="A1:AL144"/>
  <sheetViews>
    <sheetView showZeros="0" zoomScale="99" zoomScaleNormal="99" workbookViewId="0">
      <selection activeCell="F9" sqref="F9"/>
    </sheetView>
  </sheetViews>
  <sheetFormatPr defaultColWidth="9" defaultRowHeight="17.100000000000001" customHeight="1" outlineLevelCol="1"/>
  <cols>
    <col min="1" max="1" width="3.75" style="243" customWidth="1"/>
    <col min="2" max="2" width="17.375" style="243" customWidth="1"/>
    <col min="3" max="3" width="5.25" style="243" customWidth="1"/>
    <col min="4" max="5" width="4" style="243" customWidth="1"/>
    <col min="6" max="6" width="6.375" style="243" customWidth="1"/>
    <col min="7" max="7" width="8" style="243" hidden="1" customWidth="1" outlineLevel="1"/>
    <col min="8" max="8" width="9.625" style="243" hidden="1" customWidth="1" outlineLevel="1"/>
    <col min="9" max="9" width="7.125" style="243" customWidth="1" collapsed="1"/>
    <col min="10" max="10" width="6.875" style="243" customWidth="1"/>
    <col min="11" max="11" width="5.25" style="243" bestFit="1" customWidth="1"/>
    <col min="12" max="13" width="4.625" style="243" customWidth="1"/>
    <col min="14" max="14" width="5.125" style="243" customWidth="1"/>
    <col min="15" max="15" width="4.875" style="243" customWidth="1"/>
    <col min="16" max="16" width="5.625" style="14" customWidth="1"/>
    <col min="17" max="17" width="7.125" style="243" customWidth="1"/>
    <col min="18" max="18" width="5.625" style="243" customWidth="1"/>
    <col min="19" max="19" width="5.875" style="243" customWidth="1"/>
    <col min="20" max="20" width="4.5" style="243" customWidth="1"/>
    <col min="21" max="21" width="6.875" style="243" customWidth="1"/>
    <col min="22" max="22" width="7.5" style="243" customWidth="1"/>
    <col min="23" max="23" width="5" style="243" customWidth="1"/>
    <col min="24" max="25" width="7.25" style="243" hidden="1" customWidth="1"/>
    <col min="26" max="26" width="6" style="243" customWidth="1"/>
    <col min="27" max="27" width="4.875" style="243" customWidth="1"/>
    <col min="28" max="28" width="8.375" style="14" customWidth="1"/>
    <col min="29" max="29" width="6.375" style="243" customWidth="1"/>
    <col min="30" max="30" width="5" style="243" customWidth="1"/>
    <col min="31" max="31" width="7.5" style="14" customWidth="1"/>
    <col min="32" max="32" width="7.375" style="243" customWidth="1"/>
    <col min="33" max="33" width="11.125" style="244" customWidth="1"/>
    <col min="34" max="34" width="12.375" style="243" customWidth="1"/>
    <col min="35" max="35" width="11.5" style="245" bestFit="1" customWidth="1"/>
    <col min="36" max="36" width="9" style="243"/>
    <col min="37" max="37" width="9" style="245"/>
    <col min="38" max="16384" width="9" style="243"/>
  </cols>
  <sheetData>
    <row r="1" spans="1:38" ht="17.100000000000001" customHeight="1">
      <c r="A1" s="242" t="s">
        <v>160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5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5"/>
      <c r="AC1" s="242"/>
      <c r="AD1" s="242"/>
      <c r="AE1" s="5"/>
    </row>
    <row r="2" spans="1:38" ht="17.100000000000001" customHeight="1">
      <c r="A2" s="246" t="s">
        <v>216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6"/>
      <c r="N2" s="246"/>
      <c r="O2" s="247" t="s">
        <v>18</v>
      </c>
      <c r="P2" s="246"/>
      <c r="Q2" s="246"/>
      <c r="R2" s="246"/>
      <c r="S2" s="246"/>
      <c r="T2" s="246"/>
      <c r="U2" s="6"/>
      <c r="V2" s="6"/>
      <c r="W2" s="246"/>
      <c r="X2" s="6"/>
      <c r="Y2" s="6"/>
      <c r="Z2" s="6"/>
      <c r="AA2" s="6"/>
      <c r="AB2" s="6"/>
      <c r="AC2" s="246"/>
      <c r="AD2" s="246"/>
      <c r="AE2" s="7"/>
    </row>
    <row r="3" spans="1:38" ht="17.100000000000001" customHeight="1">
      <c r="A3" s="246"/>
      <c r="B3" s="246"/>
      <c r="C3" s="246"/>
      <c r="D3" s="246"/>
      <c r="E3" s="246"/>
      <c r="F3" s="246"/>
      <c r="G3" s="246"/>
      <c r="H3" s="248"/>
      <c r="I3" s="246"/>
      <c r="J3" s="246"/>
      <c r="K3" s="246"/>
      <c r="L3" s="246"/>
      <c r="M3" s="6"/>
      <c r="N3" s="246"/>
      <c r="O3" s="247" t="s">
        <v>229</v>
      </c>
      <c r="P3" s="246"/>
      <c r="Q3" s="246"/>
      <c r="R3" s="246"/>
      <c r="S3" s="246"/>
      <c r="T3" s="246"/>
      <c r="U3" s="6"/>
      <c r="V3" s="6"/>
      <c r="W3" s="249"/>
      <c r="X3" s="6"/>
      <c r="Y3" s="6"/>
      <c r="Z3" s="6"/>
      <c r="AA3" s="6"/>
      <c r="AB3" s="248"/>
      <c r="AC3" s="248"/>
      <c r="AD3" s="248"/>
      <c r="AE3" s="8"/>
    </row>
    <row r="4" spans="1:38" ht="17.100000000000001" customHeight="1">
      <c r="A4" s="246"/>
      <c r="B4" s="246"/>
      <c r="C4" s="246"/>
      <c r="D4" s="246"/>
      <c r="E4" s="246"/>
      <c r="F4" s="246" t="s">
        <v>186</v>
      </c>
      <c r="G4" s="246"/>
      <c r="H4" s="246"/>
      <c r="I4" s="246">
        <v>1</v>
      </c>
      <c r="J4" s="246"/>
      <c r="K4" s="246"/>
      <c r="L4" s="246"/>
      <c r="M4" s="246"/>
      <c r="N4" s="246"/>
      <c r="O4" s="246"/>
      <c r="P4" s="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9"/>
      <c r="AC4" s="246"/>
      <c r="AD4" s="246"/>
      <c r="AE4" s="6"/>
    </row>
    <row r="5" spans="1:38" ht="17.100000000000001" customHeight="1">
      <c r="A5" s="327" t="s">
        <v>9</v>
      </c>
      <c r="B5" s="327" t="s">
        <v>4</v>
      </c>
      <c r="C5" s="327" t="s">
        <v>19</v>
      </c>
      <c r="D5" s="343" t="s">
        <v>20</v>
      </c>
      <c r="E5" s="344"/>
      <c r="F5" s="321" t="s">
        <v>2</v>
      </c>
      <c r="G5" s="250"/>
      <c r="H5" s="250"/>
      <c r="I5" s="327" t="s">
        <v>203</v>
      </c>
      <c r="J5" s="327"/>
      <c r="K5" s="327"/>
      <c r="L5" s="327"/>
      <c r="M5" s="327"/>
      <c r="N5" s="327"/>
      <c r="O5" s="327"/>
      <c r="P5" s="327"/>
      <c r="Q5" s="336" t="s">
        <v>204</v>
      </c>
      <c r="R5" s="337"/>
      <c r="S5" s="337"/>
      <c r="T5" s="337"/>
      <c r="U5" s="337"/>
      <c r="V5" s="337"/>
      <c r="W5" s="338"/>
      <c r="X5" s="250"/>
      <c r="Y5" s="250"/>
      <c r="Z5" s="321" t="s">
        <v>14</v>
      </c>
      <c r="AA5" s="340" t="s">
        <v>205</v>
      </c>
      <c r="AB5" s="342" t="s">
        <v>21</v>
      </c>
      <c r="AC5" s="327" t="s">
        <v>200</v>
      </c>
      <c r="AD5" s="327"/>
      <c r="AE5" s="342" t="s">
        <v>22</v>
      </c>
      <c r="AF5" s="327" t="s">
        <v>3</v>
      </c>
      <c r="AG5" s="323" t="s">
        <v>235</v>
      </c>
      <c r="AH5" s="325" t="s">
        <v>236</v>
      </c>
      <c r="AI5" s="332" t="s">
        <v>230</v>
      </c>
      <c r="AJ5" s="334" t="s">
        <v>237</v>
      </c>
      <c r="AK5" s="332" t="s">
        <v>174</v>
      </c>
      <c r="AL5" s="328" t="s">
        <v>176</v>
      </c>
    </row>
    <row r="6" spans="1:38" s="226" customFormat="1" ht="64.5" customHeight="1">
      <c r="A6" s="327"/>
      <c r="B6" s="327"/>
      <c r="C6" s="327"/>
      <c r="D6" s="345"/>
      <c r="E6" s="346"/>
      <c r="F6" s="322"/>
      <c r="G6" s="250"/>
      <c r="H6" s="250"/>
      <c r="I6" s="250" t="s">
        <v>206</v>
      </c>
      <c r="J6" s="250" t="s">
        <v>143</v>
      </c>
      <c r="K6" s="250" t="s">
        <v>23</v>
      </c>
      <c r="L6" s="250" t="s">
        <v>24</v>
      </c>
      <c r="M6" s="250" t="s">
        <v>25</v>
      </c>
      <c r="N6" s="250" t="s">
        <v>223</v>
      </c>
      <c r="O6" s="250" t="s">
        <v>222</v>
      </c>
      <c r="P6" s="252" t="s">
        <v>227</v>
      </c>
      <c r="Q6" s="251" t="s">
        <v>207</v>
      </c>
      <c r="R6" s="251" t="s">
        <v>162</v>
      </c>
      <c r="S6" s="251" t="s">
        <v>208</v>
      </c>
      <c r="T6" s="251" t="s">
        <v>209</v>
      </c>
      <c r="U6" s="251" t="s">
        <v>210</v>
      </c>
      <c r="V6" s="251" t="s">
        <v>211</v>
      </c>
      <c r="W6" s="250" t="s">
        <v>188</v>
      </c>
      <c r="X6" s="251" t="s">
        <v>16</v>
      </c>
      <c r="Y6" s="251" t="s">
        <v>17</v>
      </c>
      <c r="Z6" s="339"/>
      <c r="AA6" s="341"/>
      <c r="AB6" s="342"/>
      <c r="AC6" s="251" t="s">
        <v>10</v>
      </c>
      <c r="AD6" s="251" t="s">
        <v>199</v>
      </c>
      <c r="AE6" s="342"/>
      <c r="AF6" s="327"/>
      <c r="AG6" s="324"/>
      <c r="AH6" s="326"/>
      <c r="AI6" s="333"/>
      <c r="AJ6" s="335"/>
      <c r="AK6" s="333"/>
      <c r="AL6" s="329"/>
    </row>
    <row r="7" spans="1:38" ht="17.100000000000001" customHeight="1">
      <c r="A7" s="253">
        <v>1</v>
      </c>
      <c r="B7" s="253">
        <v>2</v>
      </c>
      <c r="C7" s="253">
        <v>3</v>
      </c>
      <c r="D7" s="330">
        <v>4</v>
      </c>
      <c r="E7" s="331"/>
      <c r="F7" s="253">
        <v>5</v>
      </c>
      <c r="G7" s="253"/>
      <c r="H7" s="253"/>
      <c r="I7" s="253">
        <v>6</v>
      </c>
      <c r="J7" s="253">
        <v>7</v>
      </c>
      <c r="K7" s="253">
        <v>8</v>
      </c>
      <c r="L7" s="253">
        <v>9</v>
      </c>
      <c r="M7" s="253">
        <v>10</v>
      </c>
      <c r="N7" s="253">
        <v>11</v>
      </c>
      <c r="O7" s="253">
        <v>12</v>
      </c>
      <c r="P7" s="254">
        <v>13</v>
      </c>
      <c r="Q7" s="253">
        <v>14</v>
      </c>
      <c r="R7" s="253">
        <v>15</v>
      </c>
      <c r="S7" s="253">
        <v>16</v>
      </c>
      <c r="T7" s="253">
        <v>17</v>
      </c>
      <c r="U7" s="253">
        <v>18</v>
      </c>
      <c r="V7" s="253">
        <v>19</v>
      </c>
      <c r="W7" s="253">
        <v>20</v>
      </c>
      <c r="X7" s="253">
        <v>21</v>
      </c>
      <c r="Y7" s="253">
        <v>22</v>
      </c>
      <c r="Z7" s="253">
        <v>23</v>
      </c>
      <c r="AA7" s="253">
        <v>24</v>
      </c>
      <c r="AB7" s="253">
        <v>25</v>
      </c>
      <c r="AC7" s="253">
        <v>26</v>
      </c>
      <c r="AD7" s="253">
        <v>27</v>
      </c>
      <c r="AE7" s="253">
        <v>28</v>
      </c>
      <c r="AF7" s="253">
        <v>29</v>
      </c>
      <c r="AG7" s="255">
        <v>30</v>
      </c>
      <c r="AH7" s="255">
        <v>31</v>
      </c>
      <c r="AI7" s="256" t="s">
        <v>212</v>
      </c>
      <c r="AJ7" s="257" t="s">
        <v>213</v>
      </c>
      <c r="AK7" s="258" t="s">
        <v>214</v>
      </c>
      <c r="AL7" s="172" t="s">
        <v>215</v>
      </c>
    </row>
    <row r="8" spans="1:38" ht="17.100000000000001" customHeight="1">
      <c r="A8" s="305">
        <v>1</v>
      </c>
      <c r="B8" s="307">
        <f>'Bang TH nop'!B9</f>
        <v>0</v>
      </c>
      <c r="C8" s="309">
        <f>IFERROR(IF(LEN(TRIM(B8))&gt;0,'Bang TH nop'!C9,""),"")</f>
        <v>0</v>
      </c>
      <c r="D8" s="311">
        <f>IFERROR(IF(AND(LEN(TRIM(B8))&gt;0,LEN(TRIM(C8))&gt;0),'Bang TH nop'!AO9,""),"")</f>
        <v>0</v>
      </c>
      <c r="E8" s="312"/>
      <c r="F8" s="259"/>
      <c r="G8" s="260"/>
      <c r="H8" s="260"/>
      <c r="I8" s="10">
        <f>IFERROR(IF(AND(LEN(TRIM(B8))&gt;0,LEN(TRIM(C8))&gt;0),'Bang TH nop'!BB9,0),0)</f>
        <v>0</v>
      </c>
      <c r="J8" s="10">
        <f>IFERROR(IF(AND(LEN(TRIM(B8))&gt;0,LEN(TRIM(C8))&gt;0),'Bang TH nop'!AV9,0),0)</f>
        <v>0</v>
      </c>
      <c r="K8" s="10">
        <f>IFERROR(IF(AND(LEN(TRIM(B8))&gt;0,LEN(TRIM(C8))&gt;0),'Bang TH nop'!AR9,0),0)</f>
        <v>0</v>
      </c>
      <c r="L8" s="12">
        <f>IFERROR(IF(AND(LEN(TRIM(B8))&gt;0,LEN(TRIM(C8))&gt;0),'Bang TH nop'!AS9,0),0)</f>
        <v>0</v>
      </c>
      <c r="M8" s="12">
        <f>IFERROR(IF(AND(LEN(TRIM(C8))&gt;0,LEN(TRIM(D8))&gt;0),'Bang TH nop'!AT9,0),0)</f>
        <v>0</v>
      </c>
      <c r="N8" s="12">
        <f>IFERROR(IF(AND(LEN(TRIM(B8))&gt;0,LEN(TRIM(C8))&gt;0),'Bang TH nop'!AU9,0),0)</f>
        <v>0</v>
      </c>
      <c r="O8" s="12">
        <f>IFERROR(IF(AND(LEN(TRIM(B8))&gt;0,LEN(TRIM(C8))&gt;0),'Bang TH nop'!BE9,0),0)</f>
        <v>0</v>
      </c>
      <c r="P8" s="12">
        <f>IFERROR(IF(AND(LEN(TRIM(B9))&gt;0,LEN(TRIM(C8))&gt;0),'Bang TH nop'!AZ9,0),0)</f>
        <v>0</v>
      </c>
      <c r="Q8" s="12"/>
      <c r="R8" s="261"/>
      <c r="S8" s="261"/>
      <c r="T8" s="261"/>
      <c r="U8" s="260"/>
      <c r="V8" s="260"/>
      <c r="W8" s="260"/>
      <c r="X8" s="260"/>
      <c r="Y8" s="260"/>
      <c r="Z8" s="260"/>
      <c r="AA8" s="259" t="str">
        <f>IFERROR(
IF(AND(LEN(TRIM(B8))&gt;0,LEN(TRIM(C8))&gt;0),
'Bang TH nop'!AH9,
0
),
0
)</f>
        <v>A</v>
      </c>
      <c r="AB8" s="11"/>
      <c r="AC8" s="11"/>
      <c r="AD8" s="260"/>
      <c r="AE8" s="11"/>
      <c r="AF8" s="260"/>
      <c r="AG8" s="241"/>
      <c r="AH8" s="286"/>
      <c r="AI8" s="287"/>
      <c r="AJ8" s="288"/>
      <c r="AK8" s="287"/>
      <c r="AL8" s="173"/>
    </row>
    <row r="9" spans="1:38" ht="17.100000000000001" customHeight="1">
      <c r="A9" s="306"/>
      <c r="B9" s="308"/>
      <c r="C9" s="310"/>
      <c r="D9" s="319">
        <f>IFERROR(IF(AND(LEN(TRIM(B8))&gt;0,LEN(TRIM(C8))&gt;0),'Bang TH nop'!AP9,""),"")</f>
        <v>0</v>
      </c>
      <c r="E9" s="320"/>
      <c r="F9" s="55">
        <f>IFERROR(IF(AND(LEN(TRIM(B8))&gt;0,LEN(TRIM(C8))&gt;0),'Bang TH nop'!AL9,0),0)</f>
        <v>0</v>
      </c>
      <c r="G9" s="263">
        <f>D9*I8/26</f>
        <v>0</v>
      </c>
      <c r="H9" s="263">
        <f>D9*J8*150%/(26*8)</f>
        <v>0</v>
      </c>
      <c r="I9" s="263">
        <f>IFERROR(
IF(AND(LEN(TRIM(B8))&gt;0,LEN(TRIM(C8))&gt;0),
IF(((I8-N8)*8+N8*7+J8)=0,0,
F9*680*(((I8-N8)*8+N8*7))/(((I8-N8)*8+N8*7+J8))*$I$4
),
0
),
0
)</f>
        <v>0</v>
      </c>
      <c r="J9" s="263">
        <f>IFERROR(
IF(AND(LEN(TRIM(B8))&gt;0,LEN(TRIM(C8))&gt;0),
IF(((I8-N8)*8+N8*7+J8)=0,0,
F9*680*150%*J8/(((I8-N8)*8+N8*7+J8))*$I$4
),
0
),
0
)</f>
        <v>0</v>
      </c>
      <c r="K9" s="264">
        <f>IFERROR(
IF(AND(LEN(TRIM(B8))&gt;0,LEN(TRIM(C8))&gt;0),
ROUND(D9/26*K8,0),
0
),
0
)</f>
        <v>0</v>
      </c>
      <c r="L9" s="264">
        <f>IFERROR(
IF(AND(LEN(TRIM(B8))&gt;0,LEN(TRIM(C8))&gt;0),
ROUND(D9/26*L8,0),
0
),
0
)</f>
        <v>0</v>
      </c>
      <c r="M9" s="264">
        <f>IFERROR(
IF(AND(LEN(TRIM(B8))&gt;0,LEN(TRIM(C8))&gt;0),
ROUND(D9/26*M8,0),
0
),
0
)</f>
        <v>0</v>
      </c>
      <c r="N9" s="264">
        <f>IFERROR(
IF(AND(LEN(TRIM(B8))&gt;0,LEN(TRIM(C8))&gt;0),
D9*N8/(26*8),
0
),
0
)</f>
        <v>0</v>
      </c>
      <c r="O9" s="264">
        <f>IFERROR(
IF(AND(LEN(TRIM(B8))&gt;0,LEN(TRIM(C8))&gt;0),
D9*O8/(26*8),
0
),
0
)</f>
        <v>0</v>
      </c>
      <c r="P9" s="264">
        <f>IFERROR(
IF(AND(LEN(TRIM(B8))&gt;0,LEN(TRIM(C8))&gt;0),
(D9/26/8*P8),
0
),
0
)</f>
        <v>0</v>
      </c>
      <c r="Q9" s="56">
        <f>IFERROR(
IF(AND(LEN(TRIM(B8))&gt;0,LEN(TRIM(C8))&gt;0),
'Bang TH nop'!BC9,
0
),
0
)</f>
        <v>0</v>
      </c>
      <c r="R9" s="263">
        <f>IFERROR(
IF(AND(LEN(TRIM(B8))&gt;0,LEN(TRIM(C8))&gt;0),
'Bang TH nop'!BD9,
0
),
0
)</f>
        <v>0</v>
      </c>
      <c r="S9" s="263">
        <f>IFERROR(
IF(AND(LEN(TRIM(B8))&gt;0,LEN(TRIM(C8))&gt;0),
'Bang TH nop'!BJ9,
0
),
0
)</f>
        <v>0</v>
      </c>
      <c r="T9" s="263">
        <f>IFERROR(
IF(AND(LEN(TRIM(B8))&gt;0,LEN(TRIM(C8))&gt;0),
'Bang TH nop'!AW9,
0
),
0
)</f>
        <v>0</v>
      </c>
      <c r="U9" s="264">
        <f>IFERROR(
IF(AND(LEN(TRIM(B8))&gt;0,LEN(TRIM(C8))&gt;0),
D9/26/8*U8,
0
),
0
)</f>
        <v>0</v>
      </c>
      <c r="V9" s="264"/>
      <c r="W9" s="264"/>
      <c r="X9" s="263">
        <f>+IF(G9-I9&lt;0,0,G9-I9)</f>
        <v>0</v>
      </c>
      <c r="Y9" s="263">
        <f>+IF(H9-J9&lt;0,0, H9-J9)</f>
        <v>0</v>
      </c>
      <c r="Z9" s="263">
        <f>IFERROR(
IF(AND(LEN(TRIM(B8))&gt;0,LEN(TRIM(C8))&gt;0),
(X9+Y9)*25%,
0
),
0
)</f>
        <v>0</v>
      </c>
      <c r="AA9" s="263">
        <f>IFERROR(
IF(AND(LEN(TRIM(B8))&gt;0,LEN(TRIM(C8))&gt;0),
'Bang TH nop'!BG9,
0
),
0
)</f>
        <v>0</v>
      </c>
      <c r="AB9" s="264">
        <f>IFERROR(
IF(AND(LEN(TRIM(B8))&gt;0,LEN(TRIM(C8))&gt;0),
SUM(I9:W9)+IFERROR(Z9,0)+IFERROR(AA9,0),
0
),
0
)</f>
        <v>0</v>
      </c>
      <c r="AC9" s="263">
        <f>IFERROR(
IF(AND(LEN(TRIM(B8))&gt;0,LEN(TRIM(C8))&gt;0),
IF((26-(IFERROR(I8,0)+IFERROR(K8,0)+IFERROR(L8,0)+IFERROR(M8,0)))&gt;12,0,D9*10.5%),
0
),
0
)</f>
        <v>0</v>
      </c>
      <c r="AD9" s="291">
        <f>IFERROR(
IF(AND(LEN(TRIM(B8))&gt;0,LEN(TRIM(C8))&gt;0),
ROUND(IF(D9=4939000,D9*0.5%,0),-2),
0
),
0
)</f>
        <v>0</v>
      </c>
      <c r="AE9" s="264">
        <f>IFERROR(
IF(AND(LEN(TRIM(B8))&gt;0,LEN(TRIM(C8))&gt;0),
ROUND(IFERROR(AB9,0)-IFERROR(AC9,0)-IFERROR(AD9,0),-2),
0
),
0
)</f>
        <v>0</v>
      </c>
      <c r="AF9" s="13">
        <f>IFERROR(
IF(AND(LEN(TRIM(B8))&gt;0,LEN(TRIM(C8))&gt;0),
IFERROR('Bang TH nop'!AR9,0)+IFERROR('Bang TH nop'!AU9,0)+IFERROR('Bang TH nop'!BG9,0),
0
),
0
)</f>
        <v>0</v>
      </c>
      <c r="AG9" s="241"/>
      <c r="AH9" s="266"/>
      <c r="AI9" s="174">
        <f>IFERROR(
IF(AND(LEN(TRIM(B8))&gt;0,LEN(TRIM(C8))&gt;0),
AH9/AG9,
0
),
0
)</f>
        <v>0</v>
      </c>
      <c r="AJ9" s="174">
        <f>IFERROR(
IF(AND(LEN(TRIM(B8))&gt;0,LEN(TRIM(C8))&gt;0),
AL9/AF9,
0
),
0
)</f>
        <v>0</v>
      </c>
      <c r="AK9" s="175">
        <f>IFERROR(
IF(AND(LEN(TRIM(B8))&gt;0,LEN(TRIM(C8))&gt;0),
AJ9/AI9,
0
),
0
)</f>
        <v>0</v>
      </c>
      <c r="AL9" s="176">
        <f>IFERROR(
IF(AND(LEN(TRIM(B8))&gt;0,LEN(TRIM(C8))&gt;0),
AB9/L9,
0
),
0
)</f>
        <v>0</v>
      </c>
    </row>
    <row r="10" spans="1:38" ht="17.100000000000001" customHeight="1">
      <c r="A10" s="305">
        <v>2</v>
      </c>
      <c r="B10" s="307">
        <f>'Bang TH nop'!B11</f>
        <v>0</v>
      </c>
      <c r="C10" s="309">
        <f>IFERROR(IF(LEN(TRIM(B10))&gt;0,'Bang TH nop'!C11,""),"")</f>
        <v>0</v>
      </c>
      <c r="D10" s="311">
        <f>IFERROR(IF(AND(LEN(TRIM(B10))&gt;0,LEN(TRIM(C10))&gt;0),'Bang TH nop'!AO11,""),"")</f>
        <v>0</v>
      </c>
      <c r="E10" s="312"/>
      <c r="F10" s="259"/>
      <c r="G10" s="260"/>
      <c r="H10" s="260"/>
      <c r="I10" s="10">
        <f>IFERROR(IF(AND(LEN(TRIM(B10))&gt;0,LEN(TRIM(C10))&gt;0),'Bang TH nop'!BB11,0),0)</f>
        <v>0</v>
      </c>
      <c r="J10" s="10">
        <f>IFERROR(IF(AND(LEN(TRIM(B10))&gt;0,LEN(TRIM(C10))&gt;0),'Bang TH nop'!AV11,0),0)</f>
        <v>0</v>
      </c>
      <c r="K10" s="10">
        <f>IFERROR(IF(AND(LEN(TRIM(B10))&gt;0,LEN(TRIM(C10))&gt;0),'Bang TH nop'!AR11,0),0)</f>
        <v>0</v>
      </c>
      <c r="L10" s="12">
        <f>IFERROR(IF(AND(LEN(TRIM(B10))&gt;0,LEN(TRIM(C10))&gt;0),'Bang TH nop'!AS11,0),0)</f>
        <v>0</v>
      </c>
      <c r="M10" s="12">
        <f>IFERROR(IF(AND(LEN(TRIM(C10))&gt;0,LEN(TRIM(D10))&gt;0),'Bang TH nop'!AT11,0),0)</f>
        <v>0</v>
      </c>
      <c r="N10" s="12">
        <f>IFERROR(IF(AND(LEN(TRIM(B10))&gt;0,LEN(TRIM(C10))&gt;0),'Bang TH nop'!AU11,0),0)</f>
        <v>0</v>
      </c>
      <c r="O10" s="12">
        <f>IFERROR(IF(AND(LEN(TRIM(B10))&gt;0,LEN(TRIM(C10))&gt;0),'Bang TH nop'!BE11,0),0)</f>
        <v>0</v>
      </c>
      <c r="P10" s="12">
        <f>IFERROR(IF(AND(LEN(TRIM(B11))&gt;0,LEN(TRIM(C10))&gt;0),'Bang TH nop'!AZ11,0),0)</f>
        <v>0</v>
      </c>
      <c r="Q10" s="12"/>
      <c r="R10" s="261"/>
      <c r="S10" s="261"/>
      <c r="T10" s="261"/>
      <c r="U10" s="260"/>
      <c r="V10" s="260"/>
      <c r="W10" s="260"/>
      <c r="X10" s="260"/>
      <c r="Y10" s="260"/>
      <c r="Z10" s="260"/>
      <c r="AA10" s="259" t="str">
        <f>IFERROR(
IF(AND(LEN(TRIM(B10))&gt;0,LEN(TRIM(C10))&gt;0),
'Bang TH nop'!AH11,
0
),
0
)</f>
        <v>A</v>
      </c>
      <c r="AB10" s="11"/>
      <c r="AC10" s="11"/>
      <c r="AD10" s="260"/>
      <c r="AE10" s="11"/>
      <c r="AF10" s="260"/>
      <c r="AG10" s="241"/>
      <c r="AH10" s="286"/>
      <c r="AI10" s="287"/>
      <c r="AJ10" s="288"/>
      <c r="AK10" s="287"/>
      <c r="AL10" s="173"/>
    </row>
    <row r="11" spans="1:38" ht="17.100000000000001" customHeight="1">
      <c r="A11" s="306"/>
      <c r="B11" s="308"/>
      <c r="C11" s="310"/>
      <c r="D11" s="319">
        <f>IFERROR(IF(AND(LEN(TRIM(B10))&gt;0,LEN(TRIM(C10))&gt;0),'Bang TH nop'!AP11,""),"")</f>
        <v>0</v>
      </c>
      <c r="E11" s="320"/>
      <c r="F11" s="55">
        <f>IFERROR(IF(AND(LEN(TRIM(B10))&gt;0,LEN(TRIM(C10))&gt;0),'Bang TH nop'!AL11,0),0)</f>
        <v>0</v>
      </c>
      <c r="G11" s="263">
        <f t="shared" ref="G11:G42" si="0">D11*I10/26</f>
        <v>0</v>
      </c>
      <c r="H11" s="263">
        <f t="shared" ref="H11:H42" si="1">D11*J10*150%/(26*8)</f>
        <v>0</v>
      </c>
      <c r="I11" s="263">
        <f t="shared" ref="I11:I42" si="2">IFERROR(
IF(AND(LEN(TRIM(B10))&gt;0,LEN(TRIM(C10))&gt;0),
IF(((I10-N10)*8+N10*7+J10)=0,0,
F11*680*(((I10-N10)*8+N10*7))/(((I10-N10)*8+N10*7+J10))*$I$4
),
0
),
0
)</f>
        <v>0</v>
      </c>
      <c r="J11" s="263">
        <f t="shared" ref="J11:J42" si="3">IFERROR(
IF(AND(LEN(TRIM(B10))&gt;0,LEN(TRIM(C10))&gt;0),
IF(((I10-N10)*8+N10*7+J10)=0,0,
F11*680*150%*J10/(((I10-N10)*8+N10*7+J10))*$I$4
),
0
),
0
)</f>
        <v>0</v>
      </c>
      <c r="K11" s="264">
        <f t="shared" ref="K11:K42" si="4">IFERROR(
IF(AND(LEN(TRIM(B10))&gt;0,LEN(TRIM(C10))&gt;0),
ROUND(D11/26*K10,0),
0
),
0
)</f>
        <v>0</v>
      </c>
      <c r="L11" s="264">
        <f t="shared" ref="L11:L42" si="5">IFERROR(
IF(AND(LEN(TRIM(B10))&gt;0,LEN(TRIM(C10))&gt;0),
ROUND(D11/26*L10,0),
0
),
0
)</f>
        <v>0</v>
      </c>
      <c r="M11" s="264">
        <f t="shared" ref="M11:M42" si="6">IFERROR(
IF(AND(LEN(TRIM(B10))&gt;0,LEN(TRIM(C10))&gt;0),
ROUND(D11/26*M10,0),
0
),
0
)</f>
        <v>0</v>
      </c>
      <c r="N11" s="264">
        <f t="shared" ref="N11:N42" si="7">IFERROR(
IF(AND(LEN(TRIM(B10))&gt;0,LEN(TRIM(C10))&gt;0),
D11*N10/(26*8),
0
),
0
)</f>
        <v>0</v>
      </c>
      <c r="O11" s="264">
        <f t="shared" ref="O11:O42" si="8">IFERROR(
IF(AND(LEN(TRIM(B10))&gt;0,LEN(TRIM(C10))&gt;0),
D11*O10/(26*8),
0
),
0
)</f>
        <v>0</v>
      </c>
      <c r="P11" s="264">
        <f t="shared" ref="P11:P42" si="9">IFERROR(
IF(AND(LEN(TRIM(B10))&gt;0,LEN(TRIM(C10))&gt;0),
(D11/26/8*P10),
0
),
0
)</f>
        <v>0</v>
      </c>
      <c r="Q11" s="56">
        <f>IFERROR(
IF(AND(LEN(TRIM(B10))&gt;0,LEN(TRIM(C10))&gt;0),
'Bang TH nop'!BC11,
0
),
0
)</f>
        <v>0</v>
      </c>
      <c r="R11" s="263">
        <f>IFERROR(
IF(AND(LEN(TRIM(B10))&gt;0,LEN(TRIM(C10))&gt;0),
'Bang TH nop'!BD11,
0
),
0
)</f>
        <v>0</v>
      </c>
      <c r="S11" s="263">
        <f>IFERROR(
IF(AND(LEN(TRIM(B10))&gt;0,LEN(TRIM(C10))&gt;0),
'Bang TH nop'!BJ11,
0
),
0
)</f>
        <v>0</v>
      </c>
      <c r="T11" s="263">
        <f>IFERROR(
IF(AND(LEN(TRIM(B10))&gt;0,LEN(TRIM(C10))&gt;0),
'Bang TH nop'!AW11,
0
),
0
)</f>
        <v>0</v>
      </c>
      <c r="U11" s="264">
        <f t="shared" ref="U11:U42" si="10">IFERROR(
IF(AND(LEN(TRIM(B10))&gt;0,LEN(TRIM(C10))&gt;0),
D11/26/8*U10,
0
),
0
)</f>
        <v>0</v>
      </c>
      <c r="V11" s="264"/>
      <c r="W11" s="264"/>
      <c r="X11" s="263">
        <f t="shared" ref="X11:X42" si="11">+IF(G11-I11&lt;0,0,G11-I11)</f>
        <v>0</v>
      </c>
      <c r="Y11" s="263">
        <f t="shared" ref="Y11:Y42" si="12">+IF(H11-J11&lt;0,0, H11-J11)</f>
        <v>0</v>
      </c>
      <c r="Z11" s="263">
        <f t="shared" ref="Z11" si="13">IFERROR(
IF(AND(LEN(TRIM(B10))&gt;0,LEN(TRIM(C10))&gt;0),
(X11+Y11)*25%,
0
),
0
)</f>
        <v>0</v>
      </c>
      <c r="AA11" s="263">
        <f>IFERROR(
IF(AND(LEN(TRIM(B10))&gt;0,LEN(TRIM(C10))&gt;0),
'Bang TH nop'!BG11,
0
),
0
)</f>
        <v>0</v>
      </c>
      <c r="AB11" s="264">
        <f t="shared" ref="AB11" si="14">IFERROR(
IF(AND(LEN(TRIM(B10))&gt;0,LEN(TRIM(C10))&gt;0),
SUM(I11:W11)+IFERROR(Z11,0)+IFERROR(AA11,0),
0
),
0
)</f>
        <v>0</v>
      </c>
      <c r="AC11" s="263">
        <f t="shared" ref="AC11:AC42" si="15">IFERROR(
IF(AND(LEN(TRIM(B10))&gt;0,LEN(TRIM(C10))&gt;0),
IF((26-(IFERROR(I10,0)+IFERROR(K10,0)+IFERROR(L10,0)+IFERROR(M10,0)))&gt;12,0,D11*10.5%),
0
),
0
)</f>
        <v>0</v>
      </c>
      <c r="AD11" s="291">
        <f t="shared" ref="AD11:AD42" si="16">IFERROR(
IF(AND(LEN(TRIM(B10))&gt;0,LEN(TRIM(C10))&gt;0),
ROUND(IF(D11=4939000,D11*0.5%,0),-2),
0
),
0
)</f>
        <v>0</v>
      </c>
      <c r="AE11" s="264">
        <f t="shared" ref="AE11" si="17">IFERROR(
IF(AND(LEN(TRIM(B10))&gt;0,LEN(TRIM(C10))&gt;0),
ROUND(IFERROR(AB11,0)-IFERROR(AC11,0)-IFERROR(AD11,0),-2),
0
),
0
)</f>
        <v>0</v>
      </c>
      <c r="AF11" s="13">
        <f>IFERROR(
IF(AND(LEN(TRIM(B10))&gt;0,LEN(TRIM(C10))&gt;0),
IFERROR('Bang TH nop'!AR11,0)+IFERROR('Bang TH nop'!AU11,0)+IFERROR('Bang TH nop'!BG11,0),
0
),
0
)</f>
        <v>0</v>
      </c>
      <c r="AG11" s="241"/>
      <c r="AH11" s="266"/>
      <c r="AI11" s="174">
        <f t="shared" ref="AI11" si="18">IFERROR(
IF(AND(LEN(TRIM(B10))&gt;0,LEN(TRIM(C10))&gt;0),
AH11/AG11,
0
),
0
)</f>
        <v>0</v>
      </c>
      <c r="AJ11" s="174">
        <f t="shared" ref="AJ11:AJ42" si="19">IFERROR(
IF(AND(LEN(TRIM(B10))&gt;0,LEN(TRIM(C10))&gt;0),
AL11/AF11,
0
),
0
)</f>
        <v>0</v>
      </c>
      <c r="AK11" s="175">
        <f t="shared" ref="AK11" si="20">IFERROR(
IF(AND(LEN(TRIM(B10))&gt;0,LEN(TRIM(C10))&gt;0),
AJ11/AI11,
0
),
0
)</f>
        <v>0</v>
      </c>
      <c r="AL11" s="176">
        <f t="shared" ref="AL11:AL42" si="21">IFERROR(
IF(AND(LEN(TRIM(B10))&gt;0,LEN(TRIM(C10))&gt;0),
AB11/L11,
0
),
0
)</f>
        <v>0</v>
      </c>
    </row>
    <row r="12" spans="1:38" ht="17.100000000000001" customHeight="1">
      <c r="A12" s="305">
        <v>3</v>
      </c>
      <c r="B12" s="307">
        <f>'Bang TH nop'!B13</f>
        <v>0</v>
      </c>
      <c r="C12" s="309">
        <f>IFERROR(IF(LEN(TRIM(B12))&gt;0,'Bang TH nop'!C13,""),"")</f>
        <v>0</v>
      </c>
      <c r="D12" s="311">
        <f>IFERROR(IF(AND(LEN(TRIM(B12))&gt;0,LEN(TRIM(C12))&gt;0),'Bang TH nop'!AO13,""),"")</f>
        <v>0</v>
      </c>
      <c r="E12" s="312"/>
      <c r="F12" s="259"/>
      <c r="G12" s="260"/>
      <c r="H12" s="260"/>
      <c r="I12" s="10">
        <f>IFERROR(IF(AND(LEN(TRIM(B12))&gt;0,LEN(TRIM(C12))&gt;0),'Bang TH nop'!BB13,0),0)</f>
        <v>0</v>
      </c>
      <c r="J12" s="10">
        <f>IFERROR(IF(AND(LEN(TRIM(B12))&gt;0,LEN(TRIM(C12))&gt;0),'Bang TH nop'!AV13,0),0)</f>
        <v>0</v>
      </c>
      <c r="K12" s="10">
        <f>IFERROR(IF(AND(LEN(TRIM(B12))&gt;0,LEN(TRIM(C12))&gt;0),'Bang TH nop'!AR13,0),0)</f>
        <v>0</v>
      </c>
      <c r="L12" s="12">
        <f>IFERROR(IF(AND(LEN(TRIM(B12))&gt;0,LEN(TRIM(C12))&gt;0),'Bang TH nop'!AS13,0),0)</f>
        <v>0</v>
      </c>
      <c r="M12" s="12">
        <f>IFERROR(IF(AND(LEN(TRIM(C12))&gt;0,LEN(TRIM(D12))&gt;0),'Bang TH nop'!AT13,0),0)</f>
        <v>0</v>
      </c>
      <c r="N12" s="12">
        <f>IFERROR(IF(AND(LEN(TRIM(B12))&gt;0,LEN(TRIM(C12))&gt;0),'Bang TH nop'!AU13,0),0)</f>
        <v>0</v>
      </c>
      <c r="O12" s="12">
        <f>IFERROR(IF(AND(LEN(TRIM(B12))&gt;0,LEN(TRIM(C12))&gt;0),'Bang TH nop'!BE13,0),0)</f>
        <v>0</v>
      </c>
      <c r="P12" s="12">
        <f>IFERROR(IF(AND(LEN(TRIM(B13))&gt;0,LEN(TRIM(C12))&gt;0),'Bang TH nop'!AZ13,0),0)</f>
        <v>0</v>
      </c>
      <c r="Q12" s="12"/>
      <c r="R12" s="261"/>
      <c r="S12" s="261"/>
      <c r="T12" s="261"/>
      <c r="U12" s="260"/>
      <c r="V12" s="260"/>
      <c r="W12" s="260"/>
      <c r="X12" s="260"/>
      <c r="Y12" s="260"/>
      <c r="Z12" s="260"/>
      <c r="AA12" s="259" t="str">
        <f>IFERROR(
IF(AND(LEN(TRIM(B12))&gt;0,LEN(TRIM(C12))&gt;0),
'Bang TH nop'!AH13,
0
),
0
)</f>
        <v>A</v>
      </c>
      <c r="AB12" s="11"/>
      <c r="AC12" s="11"/>
      <c r="AD12" s="260"/>
      <c r="AE12" s="11"/>
      <c r="AF12" s="260"/>
      <c r="AG12" s="241"/>
      <c r="AH12" s="286"/>
      <c r="AI12" s="287"/>
      <c r="AJ12" s="288"/>
      <c r="AK12" s="287"/>
      <c r="AL12" s="173"/>
    </row>
    <row r="13" spans="1:38" ht="17.100000000000001" customHeight="1">
      <c r="A13" s="306"/>
      <c r="B13" s="308"/>
      <c r="C13" s="310"/>
      <c r="D13" s="319">
        <f>IFERROR(IF(AND(LEN(TRIM(B12))&gt;0,LEN(TRIM(C12))&gt;0),'Bang TH nop'!AP13,""),"")</f>
        <v>0</v>
      </c>
      <c r="E13" s="320"/>
      <c r="F13" s="55">
        <f>IFERROR(IF(AND(LEN(TRIM(B12))&gt;0,LEN(TRIM(C12))&gt;0),'Bang TH nop'!AL13,0),0)</f>
        <v>0</v>
      </c>
      <c r="G13" s="263">
        <f t="shared" ref="G13:G44" si="22">D13*I12/26</f>
        <v>0</v>
      </c>
      <c r="H13" s="263">
        <f t="shared" ref="H13:H44" si="23">D13*J12*150%/(26*8)</f>
        <v>0</v>
      </c>
      <c r="I13" s="263">
        <f t="shared" ref="I13:I44" si="24">IFERROR(
IF(AND(LEN(TRIM(B12))&gt;0,LEN(TRIM(C12))&gt;0),
IF(((I12-N12)*8+N12*7+J12)=0,0,
F13*680*(((I12-N12)*8+N12*7))/(((I12-N12)*8+N12*7+J12))*$I$4
),
0
),
0
)</f>
        <v>0</v>
      </c>
      <c r="J13" s="263">
        <f t="shared" ref="J13:J44" si="25">IFERROR(
IF(AND(LEN(TRIM(B12))&gt;0,LEN(TRIM(C12))&gt;0),
IF(((I12-N12)*8+N12*7+J12)=0,0,
F13*680*150%*J12/(((I12-N12)*8+N12*7+J12))*$I$4
),
0
),
0
)</f>
        <v>0</v>
      </c>
      <c r="K13" s="264">
        <f t="shared" ref="K13:K44" si="26">IFERROR(
IF(AND(LEN(TRIM(B12))&gt;0,LEN(TRIM(C12))&gt;0),
ROUND(D13/26*K12,0),
0
),
0
)</f>
        <v>0</v>
      </c>
      <c r="L13" s="264">
        <f t="shared" ref="L13:L44" si="27">IFERROR(
IF(AND(LEN(TRIM(B12))&gt;0,LEN(TRIM(C12))&gt;0),
ROUND(D13/26*L12,0),
0
),
0
)</f>
        <v>0</v>
      </c>
      <c r="M13" s="264">
        <f t="shared" ref="M13:M44" si="28">IFERROR(
IF(AND(LEN(TRIM(B12))&gt;0,LEN(TRIM(C12))&gt;0),
ROUND(D13/26*M12,0),
0
),
0
)</f>
        <v>0</v>
      </c>
      <c r="N13" s="264">
        <f t="shared" ref="N13:N44" si="29">IFERROR(
IF(AND(LEN(TRIM(B12))&gt;0,LEN(TRIM(C12))&gt;0),
D13*N12/(26*8),
0
),
0
)</f>
        <v>0</v>
      </c>
      <c r="O13" s="264">
        <f t="shared" ref="O13:O44" si="30">IFERROR(
IF(AND(LEN(TRIM(B12))&gt;0,LEN(TRIM(C12))&gt;0),
D13*O12/(26*8),
0
),
0
)</f>
        <v>0</v>
      </c>
      <c r="P13" s="264">
        <f t="shared" ref="P13:P44" si="31">IFERROR(
IF(AND(LEN(TRIM(B12))&gt;0,LEN(TRIM(C12))&gt;0),
(D13/26/8*P12),
0
),
0
)</f>
        <v>0</v>
      </c>
      <c r="Q13" s="56">
        <f>IFERROR(
IF(AND(LEN(TRIM(B12))&gt;0,LEN(TRIM(C12))&gt;0),
'Bang TH nop'!BC13,
0
),
0
)</f>
        <v>0</v>
      </c>
      <c r="R13" s="263">
        <f>IFERROR(
IF(AND(LEN(TRIM(B12))&gt;0,LEN(TRIM(C12))&gt;0),
'Bang TH nop'!BD13,
0
),
0
)</f>
        <v>0</v>
      </c>
      <c r="S13" s="263">
        <f>IFERROR(
IF(AND(LEN(TRIM(B12))&gt;0,LEN(TRIM(C12))&gt;0),
'Bang TH nop'!BJ13,
0
),
0
)</f>
        <v>0</v>
      </c>
      <c r="T13" s="263">
        <f>IFERROR(
IF(AND(LEN(TRIM(B12))&gt;0,LEN(TRIM(C12))&gt;0),
'Bang TH nop'!AW13,
0
),
0
)</f>
        <v>0</v>
      </c>
      <c r="U13" s="264">
        <f t="shared" ref="U13:U44" si="32">IFERROR(
IF(AND(LEN(TRIM(B12))&gt;0,LEN(TRIM(C12))&gt;0),
D13/26/8*U12,
0
),
0
)</f>
        <v>0</v>
      </c>
      <c r="V13" s="264"/>
      <c r="W13" s="264"/>
      <c r="X13" s="263">
        <f t="shared" ref="X13:X44" si="33">+IF(G13-I13&lt;0,0,G13-I13)</f>
        <v>0</v>
      </c>
      <c r="Y13" s="263">
        <f t="shared" ref="Y13:Y44" si="34">+IF(H13-J13&lt;0,0, H13-J13)</f>
        <v>0</v>
      </c>
      <c r="Z13" s="263">
        <f t="shared" ref="Z13" si="35">IFERROR(
IF(AND(LEN(TRIM(B12))&gt;0,LEN(TRIM(C12))&gt;0),
(X13+Y13)*25%,
0
),
0
)</f>
        <v>0</v>
      </c>
      <c r="AA13" s="263">
        <f>IFERROR(
IF(AND(LEN(TRIM(B12))&gt;0,LEN(TRIM(C12))&gt;0),
'Bang TH nop'!BG13,
0
),
0
)</f>
        <v>0</v>
      </c>
      <c r="AB13" s="264">
        <f t="shared" ref="AB13" si="36">IFERROR(
IF(AND(LEN(TRIM(B12))&gt;0,LEN(TRIM(C12))&gt;0),
SUM(I13:W13)+IFERROR(Z13,0)+IFERROR(AA13,0),
0
),
0
)</f>
        <v>0</v>
      </c>
      <c r="AC13" s="263">
        <f t="shared" ref="AC13:AC44" si="37">IFERROR(
IF(AND(LEN(TRIM(B12))&gt;0,LEN(TRIM(C12))&gt;0),
IF((26-(IFERROR(I12,0)+IFERROR(K12,0)+IFERROR(L12,0)+IFERROR(M12,0)))&gt;12,0,D13*10.5%),
0
),
0
)</f>
        <v>0</v>
      </c>
      <c r="AD13" s="291">
        <f t="shared" ref="AD13:AD44" si="38">IFERROR(
IF(AND(LEN(TRIM(B12))&gt;0,LEN(TRIM(C12))&gt;0),
ROUND(IF(D13=4939000,D13*0.5%,0),-2),
0
),
0
)</f>
        <v>0</v>
      </c>
      <c r="AE13" s="264">
        <f t="shared" ref="AE13" si="39">IFERROR(
IF(AND(LEN(TRIM(B12))&gt;0,LEN(TRIM(C12))&gt;0),
ROUND(IFERROR(AB13,0)-IFERROR(AC13,0)-IFERROR(AD13,0),-2),
0
),
0
)</f>
        <v>0</v>
      </c>
      <c r="AF13" s="13">
        <f>IFERROR(
IF(AND(LEN(TRIM(B12))&gt;0,LEN(TRIM(C12))&gt;0),
IFERROR('Bang TH nop'!AR13,0)+IFERROR('Bang TH nop'!AU13,0)+IFERROR('Bang TH nop'!BG13,0),
0
),
0
)</f>
        <v>0</v>
      </c>
      <c r="AG13" s="241"/>
      <c r="AH13" s="266"/>
      <c r="AI13" s="174">
        <f t="shared" ref="AI13" si="40">IFERROR(
IF(AND(LEN(TRIM(B12))&gt;0,LEN(TRIM(C12))&gt;0),
AH13/AG13,
0
),
0
)</f>
        <v>0</v>
      </c>
      <c r="AJ13" s="174">
        <f t="shared" ref="AJ13:AJ44" si="41">IFERROR(
IF(AND(LEN(TRIM(B12))&gt;0,LEN(TRIM(C12))&gt;0),
AL13/AF13,
0
),
0
)</f>
        <v>0</v>
      </c>
      <c r="AK13" s="175">
        <f t="shared" ref="AK13" si="42">IFERROR(
IF(AND(LEN(TRIM(B12))&gt;0,LEN(TRIM(C12))&gt;0),
AJ13/AI13,
0
),
0
)</f>
        <v>0</v>
      </c>
      <c r="AL13" s="176">
        <f t="shared" ref="AL13:AL44" si="43">IFERROR(
IF(AND(LEN(TRIM(B12))&gt;0,LEN(TRIM(C12))&gt;0),
AB13/L13,
0
),
0
)</f>
        <v>0</v>
      </c>
    </row>
    <row r="14" spans="1:38" ht="17.100000000000001" customHeight="1">
      <c r="A14" s="305">
        <v>4</v>
      </c>
      <c r="B14" s="307">
        <f>'Bang TH nop'!B15</f>
        <v>0</v>
      </c>
      <c r="C14" s="309">
        <f>IFERROR(IF(LEN(TRIM(B14))&gt;0,'Bang TH nop'!C15,""),"")</f>
        <v>0</v>
      </c>
      <c r="D14" s="311">
        <f>IFERROR(IF(AND(LEN(TRIM(B14))&gt;0,LEN(TRIM(C14))&gt;0),'Bang TH nop'!AO15,""),"")</f>
        <v>0</v>
      </c>
      <c r="E14" s="312"/>
      <c r="F14" s="259"/>
      <c r="G14" s="260"/>
      <c r="H14" s="260"/>
      <c r="I14" s="10">
        <f>IFERROR(IF(AND(LEN(TRIM(B14))&gt;0,LEN(TRIM(C14))&gt;0),'Bang TH nop'!BB15,0),0)</f>
        <v>0</v>
      </c>
      <c r="J14" s="10">
        <f>IFERROR(IF(AND(LEN(TRIM(B14))&gt;0,LEN(TRIM(C14))&gt;0),'Bang TH nop'!AV15,0),0)</f>
        <v>0</v>
      </c>
      <c r="K14" s="10">
        <f>IFERROR(IF(AND(LEN(TRIM(B14))&gt;0,LEN(TRIM(C14))&gt;0),'Bang TH nop'!AR15,0),0)</f>
        <v>0</v>
      </c>
      <c r="L14" s="12">
        <f>IFERROR(IF(AND(LEN(TRIM(B14))&gt;0,LEN(TRIM(C14))&gt;0),'Bang TH nop'!AS15,0),0)</f>
        <v>0</v>
      </c>
      <c r="M14" s="12">
        <f>IFERROR(IF(AND(LEN(TRIM(C14))&gt;0,LEN(TRIM(D14))&gt;0),'Bang TH nop'!AT15,0),0)</f>
        <v>0</v>
      </c>
      <c r="N14" s="12">
        <f>IFERROR(IF(AND(LEN(TRIM(B14))&gt;0,LEN(TRIM(C14))&gt;0),'Bang TH nop'!AU15,0),0)</f>
        <v>0</v>
      </c>
      <c r="O14" s="12">
        <f>IFERROR(IF(AND(LEN(TRIM(B14))&gt;0,LEN(TRIM(C14))&gt;0),'Bang TH nop'!BE15,0),0)</f>
        <v>0</v>
      </c>
      <c r="P14" s="12">
        <f>IFERROR(IF(AND(LEN(TRIM(B15))&gt;0,LEN(TRIM(C14))&gt;0),'Bang TH nop'!AZ15,0),0)</f>
        <v>0</v>
      </c>
      <c r="Q14" s="12"/>
      <c r="R14" s="261"/>
      <c r="S14" s="261"/>
      <c r="T14" s="261"/>
      <c r="U14" s="260"/>
      <c r="V14" s="260"/>
      <c r="W14" s="260"/>
      <c r="X14" s="260"/>
      <c r="Y14" s="260"/>
      <c r="Z14" s="260"/>
      <c r="AA14" s="259" t="str">
        <f>IFERROR(
IF(AND(LEN(TRIM(B14))&gt;0,LEN(TRIM(C14))&gt;0),
'Bang TH nop'!AH15,
0
),
0
)</f>
        <v>A</v>
      </c>
      <c r="AB14" s="11"/>
      <c r="AC14" s="11"/>
      <c r="AD14" s="260"/>
      <c r="AE14" s="11"/>
      <c r="AF14" s="260"/>
      <c r="AG14" s="241"/>
      <c r="AH14" s="286"/>
      <c r="AI14" s="287"/>
      <c r="AJ14" s="288"/>
      <c r="AK14" s="287"/>
      <c r="AL14" s="173"/>
    </row>
    <row r="15" spans="1:38" ht="17.100000000000001" customHeight="1">
      <c r="A15" s="306"/>
      <c r="B15" s="308"/>
      <c r="C15" s="310"/>
      <c r="D15" s="319">
        <f>IFERROR(IF(AND(LEN(TRIM(B14))&gt;0,LEN(TRIM(C14))&gt;0),'Bang TH nop'!AP15,""),"")</f>
        <v>0</v>
      </c>
      <c r="E15" s="320"/>
      <c r="F15" s="55">
        <f>IFERROR(IF(AND(LEN(TRIM(B14))&gt;0,LEN(TRIM(C14))&gt;0),'Bang TH nop'!AL15,0),0)</f>
        <v>0</v>
      </c>
      <c r="G15" s="263">
        <f t="shared" ref="G15:G46" si="44">D15*I14/26</f>
        <v>0</v>
      </c>
      <c r="H15" s="263">
        <f t="shared" ref="H15:H46" si="45">D15*J14*150%/(26*8)</f>
        <v>0</v>
      </c>
      <c r="I15" s="263">
        <f t="shared" ref="I15:I46" si="46">IFERROR(
IF(AND(LEN(TRIM(B14))&gt;0,LEN(TRIM(C14))&gt;0),
IF(((I14-N14)*8+N14*7+J14)=0,0,
F15*680*(((I14-N14)*8+N14*7))/(((I14-N14)*8+N14*7+J14))*$I$4
),
0
),
0
)</f>
        <v>0</v>
      </c>
      <c r="J15" s="263">
        <f t="shared" ref="J15:J46" si="47">IFERROR(
IF(AND(LEN(TRIM(B14))&gt;0,LEN(TRIM(C14))&gt;0),
IF(((I14-N14)*8+N14*7+J14)=0,0,
F15*680*150%*J14/(((I14-N14)*8+N14*7+J14))*$I$4
),
0
),
0
)</f>
        <v>0</v>
      </c>
      <c r="K15" s="264">
        <f t="shared" ref="K15:K46" si="48">IFERROR(
IF(AND(LEN(TRIM(B14))&gt;0,LEN(TRIM(C14))&gt;0),
ROUND(D15/26*K14,0),
0
),
0
)</f>
        <v>0</v>
      </c>
      <c r="L15" s="264">
        <f t="shared" ref="L15:L46" si="49">IFERROR(
IF(AND(LEN(TRIM(B14))&gt;0,LEN(TRIM(C14))&gt;0),
ROUND(D15/26*L14,0),
0
),
0
)</f>
        <v>0</v>
      </c>
      <c r="M15" s="264">
        <f t="shared" ref="M15:M46" si="50">IFERROR(
IF(AND(LEN(TRIM(B14))&gt;0,LEN(TRIM(C14))&gt;0),
ROUND(D15/26*M14,0),
0
),
0
)</f>
        <v>0</v>
      </c>
      <c r="N15" s="264">
        <f t="shared" ref="N15:N46" si="51">IFERROR(
IF(AND(LEN(TRIM(B14))&gt;0,LEN(TRIM(C14))&gt;0),
D15*N14/(26*8),
0
),
0
)</f>
        <v>0</v>
      </c>
      <c r="O15" s="264">
        <f t="shared" ref="O15:O46" si="52">IFERROR(
IF(AND(LEN(TRIM(B14))&gt;0,LEN(TRIM(C14))&gt;0),
D15*O14/(26*8),
0
),
0
)</f>
        <v>0</v>
      </c>
      <c r="P15" s="264">
        <f t="shared" ref="P15:P46" si="53">IFERROR(
IF(AND(LEN(TRIM(B14))&gt;0,LEN(TRIM(C14))&gt;0),
(D15/26/8*P14),
0
),
0
)</f>
        <v>0</v>
      </c>
      <c r="Q15" s="56">
        <f>IFERROR(
IF(AND(LEN(TRIM(B14))&gt;0,LEN(TRIM(C14))&gt;0),
'Bang TH nop'!BC15,
0
),
0
)</f>
        <v>0</v>
      </c>
      <c r="R15" s="263">
        <f>IFERROR(
IF(AND(LEN(TRIM(B14))&gt;0,LEN(TRIM(C14))&gt;0),
'Bang TH nop'!BD15,
0
),
0
)</f>
        <v>0</v>
      </c>
      <c r="S15" s="263">
        <f>IFERROR(
IF(AND(LEN(TRIM(B14))&gt;0,LEN(TRIM(C14))&gt;0),
'Bang TH nop'!BJ15,
0
),
0
)</f>
        <v>0</v>
      </c>
      <c r="T15" s="263">
        <f>IFERROR(
IF(AND(LEN(TRIM(B14))&gt;0,LEN(TRIM(C14))&gt;0),
'Bang TH nop'!AW15,
0
),
0
)</f>
        <v>0</v>
      </c>
      <c r="U15" s="264">
        <f t="shared" ref="U15:U46" si="54">IFERROR(
IF(AND(LEN(TRIM(B14))&gt;0,LEN(TRIM(C14))&gt;0),
D15/26/8*U14,
0
),
0
)</f>
        <v>0</v>
      </c>
      <c r="V15" s="264"/>
      <c r="W15" s="264"/>
      <c r="X15" s="263">
        <f t="shared" ref="X15:X46" si="55">+IF(G15-I15&lt;0,0,G15-I15)</f>
        <v>0</v>
      </c>
      <c r="Y15" s="263">
        <f t="shared" ref="Y15:Y46" si="56">+IF(H15-J15&lt;0,0, H15-J15)</f>
        <v>0</v>
      </c>
      <c r="Z15" s="263">
        <f t="shared" ref="Z15" si="57">IFERROR(
IF(AND(LEN(TRIM(B14))&gt;0,LEN(TRIM(C14))&gt;0),
(X15+Y15)*25%,
0
),
0
)</f>
        <v>0</v>
      </c>
      <c r="AA15" s="263">
        <f>IFERROR(
IF(AND(LEN(TRIM(B14))&gt;0,LEN(TRIM(C14))&gt;0),
'Bang TH nop'!BG15,
0
),
0
)</f>
        <v>0</v>
      </c>
      <c r="AB15" s="264">
        <f t="shared" ref="AB15" si="58">IFERROR(
IF(AND(LEN(TRIM(B14))&gt;0,LEN(TRIM(C14))&gt;0),
SUM(I15:W15)+IFERROR(Z15,0)+IFERROR(AA15,0),
0
),
0
)</f>
        <v>0</v>
      </c>
      <c r="AC15" s="263">
        <f t="shared" ref="AC15:AC46" si="59">IFERROR(
IF(AND(LEN(TRIM(B14))&gt;0,LEN(TRIM(C14))&gt;0),
IF((26-(IFERROR(I14,0)+IFERROR(K14,0)+IFERROR(L14,0)+IFERROR(M14,0)))&gt;12,0,D15*10.5%),
0
),
0
)</f>
        <v>0</v>
      </c>
      <c r="AD15" s="291">
        <f t="shared" ref="AD15:AD46" si="60">IFERROR(
IF(AND(LEN(TRIM(B14))&gt;0,LEN(TRIM(C14))&gt;0),
ROUND(IF(D15=4939000,D15*0.5%,0),-2),
0
),
0
)</f>
        <v>0</v>
      </c>
      <c r="AE15" s="264">
        <f t="shared" ref="AE15" si="61">IFERROR(
IF(AND(LEN(TRIM(B14))&gt;0,LEN(TRIM(C14))&gt;0),
ROUND(IFERROR(AB15,0)-IFERROR(AC15,0)-IFERROR(AD15,0),-2),
0
),
0
)</f>
        <v>0</v>
      </c>
      <c r="AF15" s="13">
        <f>IFERROR(
IF(AND(LEN(TRIM(B14))&gt;0,LEN(TRIM(C14))&gt;0),
IFERROR('Bang TH nop'!AR15,0)+IFERROR('Bang TH nop'!AU15,0)+IFERROR('Bang TH nop'!BG15,0),
0
),
0
)</f>
        <v>0</v>
      </c>
      <c r="AG15" s="241"/>
      <c r="AH15" s="266"/>
      <c r="AI15" s="174">
        <f t="shared" ref="AI15" si="62">IFERROR(
IF(AND(LEN(TRIM(B14))&gt;0,LEN(TRIM(C14))&gt;0),
AH15/AG15,
0
),
0
)</f>
        <v>0</v>
      </c>
      <c r="AJ15" s="174">
        <f t="shared" ref="AJ15:AJ46" si="63">IFERROR(
IF(AND(LEN(TRIM(B14))&gt;0,LEN(TRIM(C14))&gt;0),
AL15/AF15,
0
),
0
)</f>
        <v>0</v>
      </c>
      <c r="AK15" s="175">
        <f t="shared" ref="AK15" si="64">IFERROR(
IF(AND(LEN(TRIM(B14))&gt;0,LEN(TRIM(C14))&gt;0),
AJ15/AI15,
0
),
0
)</f>
        <v>0</v>
      </c>
      <c r="AL15" s="176">
        <f t="shared" ref="AL15:AL46" si="65">IFERROR(
IF(AND(LEN(TRIM(B14))&gt;0,LEN(TRIM(C14))&gt;0),
AB15/L15,
0
),
0
)</f>
        <v>0</v>
      </c>
    </row>
    <row r="16" spans="1:38" ht="17.100000000000001" customHeight="1">
      <c r="A16" s="305">
        <v>5</v>
      </c>
      <c r="B16" s="307">
        <f>'Bang TH nop'!B17</f>
        <v>0</v>
      </c>
      <c r="C16" s="309">
        <f>IFERROR(IF(LEN(TRIM(B16))&gt;0,'Bang TH nop'!C17,""),"")</f>
        <v>0</v>
      </c>
      <c r="D16" s="311">
        <f>IFERROR(IF(AND(LEN(TRIM(B16))&gt;0,LEN(TRIM(C16))&gt;0),'Bang TH nop'!AO17,""),"")</f>
        <v>0</v>
      </c>
      <c r="E16" s="312"/>
      <c r="F16" s="259"/>
      <c r="G16" s="260"/>
      <c r="H16" s="260"/>
      <c r="I16" s="10">
        <f>IFERROR(IF(AND(LEN(TRIM(B16))&gt;0,LEN(TRIM(C16))&gt;0),'Bang TH nop'!BB17,0),0)</f>
        <v>0</v>
      </c>
      <c r="J16" s="10">
        <f>IFERROR(IF(AND(LEN(TRIM(B16))&gt;0,LEN(TRIM(C16))&gt;0),'Bang TH nop'!AV17,0),0)</f>
        <v>0</v>
      </c>
      <c r="K16" s="10">
        <f>IFERROR(IF(AND(LEN(TRIM(B16))&gt;0,LEN(TRIM(C16))&gt;0),'Bang TH nop'!AR17,0),0)</f>
        <v>0</v>
      </c>
      <c r="L16" s="12">
        <f>IFERROR(IF(AND(LEN(TRIM(B16))&gt;0,LEN(TRIM(C16))&gt;0),'Bang TH nop'!AS17,0),0)</f>
        <v>0</v>
      </c>
      <c r="M16" s="12">
        <f>IFERROR(IF(AND(LEN(TRIM(C16))&gt;0,LEN(TRIM(D16))&gt;0),'Bang TH nop'!AT17,0),0)</f>
        <v>0</v>
      </c>
      <c r="N16" s="12">
        <f>IFERROR(IF(AND(LEN(TRIM(B16))&gt;0,LEN(TRIM(C16))&gt;0),'Bang TH nop'!AU17,0),0)</f>
        <v>0</v>
      </c>
      <c r="O16" s="12">
        <f>IFERROR(IF(AND(LEN(TRIM(B16))&gt;0,LEN(TRIM(C16))&gt;0),'Bang TH nop'!BE17,0),0)</f>
        <v>0</v>
      </c>
      <c r="P16" s="12">
        <f>IFERROR(IF(AND(LEN(TRIM(B17))&gt;0,LEN(TRIM(C16))&gt;0),'Bang TH nop'!AZ17,0),0)</f>
        <v>0</v>
      </c>
      <c r="Q16" s="12"/>
      <c r="R16" s="261"/>
      <c r="S16" s="261"/>
      <c r="T16" s="261"/>
      <c r="U16" s="260"/>
      <c r="V16" s="260"/>
      <c r="W16" s="260"/>
      <c r="X16" s="260"/>
      <c r="Y16" s="260"/>
      <c r="Z16" s="260"/>
      <c r="AA16" s="259" t="str">
        <f>IFERROR(
IF(AND(LEN(TRIM(B16))&gt;0,LEN(TRIM(C16))&gt;0),
'Bang TH nop'!AH17,
0
),
0
)</f>
        <v>A</v>
      </c>
      <c r="AB16" s="11"/>
      <c r="AC16" s="11"/>
      <c r="AD16" s="260"/>
      <c r="AE16" s="11"/>
      <c r="AF16" s="260"/>
      <c r="AG16" s="241"/>
      <c r="AH16" s="286"/>
      <c r="AI16" s="287"/>
      <c r="AJ16" s="288"/>
      <c r="AK16" s="287"/>
      <c r="AL16" s="173"/>
    </row>
    <row r="17" spans="1:38" ht="17.100000000000001" customHeight="1">
      <c r="A17" s="306"/>
      <c r="B17" s="308"/>
      <c r="C17" s="310"/>
      <c r="D17" s="319">
        <f>IFERROR(IF(AND(LEN(TRIM(B16))&gt;0,LEN(TRIM(C16))&gt;0),'Bang TH nop'!AP17,""),"")</f>
        <v>0</v>
      </c>
      <c r="E17" s="320"/>
      <c r="F17" s="55">
        <f>IFERROR(IF(AND(LEN(TRIM(B16))&gt;0,LEN(TRIM(C16))&gt;0),'Bang TH nop'!AL17,0),0)</f>
        <v>0</v>
      </c>
      <c r="G17" s="263">
        <f t="shared" ref="G17:G48" si="66">D17*I16/26</f>
        <v>0</v>
      </c>
      <c r="H17" s="263">
        <f t="shared" ref="H17:H48" si="67">D17*J16*150%/(26*8)</f>
        <v>0</v>
      </c>
      <c r="I17" s="263">
        <f t="shared" ref="I17:I48" si="68">IFERROR(
IF(AND(LEN(TRIM(B16))&gt;0,LEN(TRIM(C16))&gt;0),
IF(((I16-N16)*8+N16*7+J16)=0,0,
F17*680*(((I16-N16)*8+N16*7))/(((I16-N16)*8+N16*7+J16))*$I$4
),
0
),
0
)</f>
        <v>0</v>
      </c>
      <c r="J17" s="263">
        <f t="shared" ref="J17:J48" si="69">IFERROR(
IF(AND(LEN(TRIM(B16))&gt;0,LEN(TRIM(C16))&gt;0),
IF(((I16-N16)*8+N16*7+J16)=0,0,
F17*680*150%*J16/(((I16-N16)*8+N16*7+J16))*$I$4
),
0
),
0
)</f>
        <v>0</v>
      </c>
      <c r="K17" s="264">
        <f t="shared" ref="K17:K48" si="70">IFERROR(
IF(AND(LEN(TRIM(B16))&gt;0,LEN(TRIM(C16))&gt;0),
ROUND(D17/26*K16,0),
0
),
0
)</f>
        <v>0</v>
      </c>
      <c r="L17" s="264">
        <f t="shared" ref="L17:L48" si="71">IFERROR(
IF(AND(LEN(TRIM(B16))&gt;0,LEN(TRIM(C16))&gt;0),
ROUND(D17/26*L16,0),
0
),
0
)</f>
        <v>0</v>
      </c>
      <c r="M17" s="264">
        <f t="shared" ref="M17:M48" si="72">IFERROR(
IF(AND(LEN(TRIM(B16))&gt;0,LEN(TRIM(C16))&gt;0),
ROUND(D17/26*M16,0),
0
),
0
)</f>
        <v>0</v>
      </c>
      <c r="N17" s="264">
        <f t="shared" ref="N17:N48" si="73">IFERROR(
IF(AND(LEN(TRIM(B16))&gt;0,LEN(TRIM(C16))&gt;0),
D17*N16/(26*8),
0
),
0
)</f>
        <v>0</v>
      </c>
      <c r="O17" s="264">
        <f t="shared" ref="O17:O48" si="74">IFERROR(
IF(AND(LEN(TRIM(B16))&gt;0,LEN(TRIM(C16))&gt;0),
D17*O16/(26*8),
0
),
0
)</f>
        <v>0</v>
      </c>
      <c r="P17" s="264">
        <f t="shared" ref="P17:P48" si="75">IFERROR(
IF(AND(LEN(TRIM(B16))&gt;0,LEN(TRIM(C16))&gt;0),
(D17/26/8*P16),
0
),
0
)</f>
        <v>0</v>
      </c>
      <c r="Q17" s="56">
        <f>IFERROR(
IF(AND(LEN(TRIM(B16))&gt;0,LEN(TRIM(C16))&gt;0),
'Bang TH nop'!BC17,
0
),
0
)</f>
        <v>0</v>
      </c>
      <c r="R17" s="263">
        <f>IFERROR(
IF(AND(LEN(TRIM(B16))&gt;0,LEN(TRIM(C16))&gt;0),
'Bang TH nop'!BD17,
0
),
0
)</f>
        <v>0</v>
      </c>
      <c r="S17" s="263">
        <f>IFERROR(
IF(AND(LEN(TRIM(B16))&gt;0,LEN(TRIM(C16))&gt;0),
'Bang TH nop'!BJ17,
0
),
0
)</f>
        <v>0</v>
      </c>
      <c r="T17" s="263">
        <f>IFERROR(
IF(AND(LEN(TRIM(B16))&gt;0,LEN(TRIM(C16))&gt;0),
'Bang TH nop'!AW17,
0
),
0
)</f>
        <v>0</v>
      </c>
      <c r="U17" s="264">
        <f t="shared" ref="U17:U48" si="76">IFERROR(
IF(AND(LEN(TRIM(B16))&gt;0,LEN(TRIM(C16))&gt;0),
D17/26/8*U16,
0
),
0
)</f>
        <v>0</v>
      </c>
      <c r="V17" s="264"/>
      <c r="W17" s="264"/>
      <c r="X17" s="263">
        <f t="shared" ref="X17:X48" si="77">+IF(G17-I17&lt;0,0,G17-I17)</f>
        <v>0</v>
      </c>
      <c r="Y17" s="263">
        <f t="shared" ref="Y17:Y48" si="78">+IF(H17-J17&lt;0,0, H17-J17)</f>
        <v>0</v>
      </c>
      <c r="Z17" s="263">
        <f t="shared" ref="Z17" si="79">IFERROR(
IF(AND(LEN(TRIM(B16))&gt;0,LEN(TRIM(C16))&gt;0),
(X17+Y17)*25%,
0
),
0
)</f>
        <v>0</v>
      </c>
      <c r="AA17" s="263">
        <f>IFERROR(
IF(AND(LEN(TRIM(B16))&gt;0,LEN(TRIM(C16))&gt;0),
'Bang TH nop'!BG17,
0
),
0
)</f>
        <v>0</v>
      </c>
      <c r="AB17" s="264">
        <f t="shared" ref="AB17" si="80">IFERROR(
IF(AND(LEN(TRIM(B16))&gt;0,LEN(TRIM(C16))&gt;0),
SUM(I17:W17)+IFERROR(Z17,0)+IFERROR(AA17,0),
0
),
0
)</f>
        <v>0</v>
      </c>
      <c r="AC17" s="263">
        <f t="shared" ref="AC17:AC48" si="81">IFERROR(
IF(AND(LEN(TRIM(B16))&gt;0,LEN(TRIM(C16))&gt;0),
IF((26-(IFERROR(I16,0)+IFERROR(K16,0)+IFERROR(L16,0)+IFERROR(M16,0)))&gt;12,0,D17*10.5%),
0
),
0
)</f>
        <v>0</v>
      </c>
      <c r="AD17" s="291">
        <f t="shared" ref="AD17:AD48" si="82">IFERROR(
IF(AND(LEN(TRIM(B16))&gt;0,LEN(TRIM(C16))&gt;0),
ROUND(IF(D17=4939000,D17*0.5%,0),-2),
0
),
0
)</f>
        <v>0</v>
      </c>
      <c r="AE17" s="264">
        <f t="shared" ref="AE17" si="83">IFERROR(
IF(AND(LEN(TRIM(B16))&gt;0,LEN(TRIM(C16))&gt;0),
ROUND(IFERROR(AB17,0)-IFERROR(AC17,0)-IFERROR(AD17,0),-2),
0
),
0
)</f>
        <v>0</v>
      </c>
      <c r="AF17" s="13">
        <f>IFERROR(
IF(AND(LEN(TRIM(B16))&gt;0,LEN(TRIM(C16))&gt;0),
IFERROR('Bang TH nop'!AR17,0)+IFERROR('Bang TH nop'!AU17,0)+IFERROR('Bang TH nop'!BG17,0),
0
),
0
)</f>
        <v>0</v>
      </c>
      <c r="AG17" s="241"/>
      <c r="AH17" s="266"/>
      <c r="AI17" s="174">
        <f t="shared" ref="AI17" si="84">IFERROR(
IF(AND(LEN(TRIM(B16))&gt;0,LEN(TRIM(C16))&gt;0),
AH17/AG17,
0
),
0
)</f>
        <v>0</v>
      </c>
      <c r="AJ17" s="174">
        <f t="shared" ref="AJ17:AJ48" si="85">IFERROR(
IF(AND(LEN(TRIM(B16))&gt;0,LEN(TRIM(C16))&gt;0),
AL17/AF17,
0
),
0
)</f>
        <v>0</v>
      </c>
      <c r="AK17" s="175">
        <f t="shared" ref="AK17" si="86">IFERROR(
IF(AND(LEN(TRIM(B16))&gt;0,LEN(TRIM(C16))&gt;0),
AJ17/AI17,
0
),
0
)</f>
        <v>0</v>
      </c>
      <c r="AL17" s="176">
        <f t="shared" ref="AL17:AL48" si="87">IFERROR(
IF(AND(LEN(TRIM(B16))&gt;0,LEN(TRIM(C16))&gt;0),
AB17/L17,
0
),
0
)</f>
        <v>0</v>
      </c>
    </row>
    <row r="18" spans="1:38" ht="17.100000000000001" customHeight="1">
      <c r="A18" s="305">
        <v>6</v>
      </c>
      <c r="B18" s="307">
        <f>'Bang TH nop'!B19</f>
        <v>0</v>
      </c>
      <c r="C18" s="309">
        <f>IFERROR(IF(LEN(TRIM(B18))&gt;0,'Bang TH nop'!C19,""),"")</f>
        <v>0</v>
      </c>
      <c r="D18" s="311">
        <f>IFERROR(IF(AND(LEN(TRIM(B18))&gt;0,LEN(TRIM(C18))&gt;0),'Bang TH nop'!AO19,""),"")</f>
        <v>0</v>
      </c>
      <c r="E18" s="312"/>
      <c r="F18" s="259"/>
      <c r="G18" s="260"/>
      <c r="H18" s="260"/>
      <c r="I18" s="10">
        <f>IFERROR(IF(AND(LEN(TRIM(B18))&gt;0,LEN(TRIM(C18))&gt;0),'Bang TH nop'!BB19,0),0)</f>
        <v>0</v>
      </c>
      <c r="J18" s="10">
        <f>IFERROR(IF(AND(LEN(TRIM(B18))&gt;0,LEN(TRIM(C18))&gt;0),'Bang TH nop'!AV19,0),0)</f>
        <v>0</v>
      </c>
      <c r="K18" s="10">
        <f>IFERROR(IF(AND(LEN(TRIM(B18))&gt;0,LEN(TRIM(C18))&gt;0),'Bang TH nop'!AR19,0),0)</f>
        <v>0</v>
      </c>
      <c r="L18" s="12">
        <f>IFERROR(IF(AND(LEN(TRIM(B18))&gt;0,LEN(TRIM(C18))&gt;0),'Bang TH nop'!AS19,0),0)</f>
        <v>0</v>
      </c>
      <c r="M18" s="12">
        <f>IFERROR(IF(AND(LEN(TRIM(C18))&gt;0,LEN(TRIM(D18))&gt;0),'Bang TH nop'!AT19,0),0)</f>
        <v>0</v>
      </c>
      <c r="N18" s="12">
        <f>IFERROR(IF(AND(LEN(TRIM(B18))&gt;0,LEN(TRIM(C18))&gt;0),'Bang TH nop'!AU19,0),0)</f>
        <v>0</v>
      </c>
      <c r="O18" s="12">
        <f>IFERROR(IF(AND(LEN(TRIM(B18))&gt;0,LEN(TRIM(C18))&gt;0),'Bang TH nop'!BE19,0),0)</f>
        <v>0</v>
      </c>
      <c r="P18" s="12">
        <f>IFERROR(IF(AND(LEN(TRIM(B19))&gt;0,LEN(TRIM(C18))&gt;0),'Bang TH nop'!AZ19,0),0)</f>
        <v>0</v>
      </c>
      <c r="Q18" s="12"/>
      <c r="R18" s="261"/>
      <c r="S18" s="261"/>
      <c r="T18" s="261"/>
      <c r="U18" s="260"/>
      <c r="V18" s="260"/>
      <c r="W18" s="260"/>
      <c r="X18" s="260"/>
      <c r="Y18" s="260"/>
      <c r="Z18" s="260"/>
      <c r="AA18" s="259" t="str">
        <f>IFERROR(
IF(AND(LEN(TRIM(B18))&gt;0,LEN(TRIM(C18))&gt;0),
'Bang TH nop'!AH19,
0
),
0
)</f>
        <v>A</v>
      </c>
      <c r="AB18" s="11"/>
      <c r="AC18" s="11"/>
      <c r="AD18" s="260"/>
      <c r="AE18" s="11"/>
      <c r="AF18" s="260"/>
      <c r="AG18" s="241"/>
      <c r="AH18" s="286"/>
      <c r="AI18" s="287"/>
      <c r="AJ18" s="288"/>
      <c r="AK18" s="287"/>
      <c r="AL18" s="173"/>
    </row>
    <row r="19" spans="1:38" ht="17.100000000000001" customHeight="1">
      <c r="A19" s="306"/>
      <c r="B19" s="308"/>
      <c r="C19" s="310"/>
      <c r="D19" s="319">
        <f>IFERROR(IF(AND(LEN(TRIM(B18))&gt;0,LEN(TRIM(C18))&gt;0),'Bang TH nop'!AP19,""),"")</f>
        <v>0</v>
      </c>
      <c r="E19" s="320"/>
      <c r="F19" s="55">
        <f>IFERROR(IF(AND(LEN(TRIM(B18))&gt;0,LEN(TRIM(C18))&gt;0),'Bang TH nop'!AL19,0),0)</f>
        <v>0</v>
      </c>
      <c r="G19" s="263">
        <f t="shared" ref="G19:G50" si="88">D19*I18/26</f>
        <v>0</v>
      </c>
      <c r="H19" s="263">
        <f t="shared" ref="H19:H50" si="89">D19*J18*150%/(26*8)</f>
        <v>0</v>
      </c>
      <c r="I19" s="263">
        <f t="shared" ref="I19:I50" si="90">IFERROR(
IF(AND(LEN(TRIM(B18))&gt;0,LEN(TRIM(C18))&gt;0),
IF(((I18-N18)*8+N18*7+J18)=0,0,
F19*680*(((I18-N18)*8+N18*7))/(((I18-N18)*8+N18*7+J18))*$I$4
),
0
),
0
)</f>
        <v>0</v>
      </c>
      <c r="J19" s="263">
        <f t="shared" ref="J19:J50" si="91">IFERROR(
IF(AND(LEN(TRIM(B18))&gt;0,LEN(TRIM(C18))&gt;0),
IF(((I18-N18)*8+N18*7+J18)=0,0,
F19*680*150%*J18/(((I18-N18)*8+N18*7+J18))*$I$4
),
0
),
0
)</f>
        <v>0</v>
      </c>
      <c r="K19" s="264">
        <f t="shared" ref="K19:K50" si="92">IFERROR(
IF(AND(LEN(TRIM(B18))&gt;0,LEN(TRIM(C18))&gt;0),
ROUND(D19/26*K18,0),
0
),
0
)</f>
        <v>0</v>
      </c>
      <c r="L19" s="264">
        <f t="shared" ref="L19:L50" si="93">IFERROR(
IF(AND(LEN(TRIM(B18))&gt;0,LEN(TRIM(C18))&gt;0),
ROUND(D19/26*L18,0),
0
),
0
)</f>
        <v>0</v>
      </c>
      <c r="M19" s="264">
        <f t="shared" ref="M19:M50" si="94">IFERROR(
IF(AND(LEN(TRIM(B18))&gt;0,LEN(TRIM(C18))&gt;0),
ROUND(D19/26*M18,0),
0
),
0
)</f>
        <v>0</v>
      </c>
      <c r="N19" s="264">
        <f t="shared" ref="N19:N50" si="95">IFERROR(
IF(AND(LEN(TRIM(B18))&gt;0,LEN(TRIM(C18))&gt;0),
D19*N18/(26*8),
0
),
0
)</f>
        <v>0</v>
      </c>
      <c r="O19" s="264">
        <f t="shared" ref="O19:O50" si="96">IFERROR(
IF(AND(LEN(TRIM(B18))&gt;0,LEN(TRIM(C18))&gt;0),
D19*O18/(26*8),
0
),
0
)</f>
        <v>0</v>
      </c>
      <c r="P19" s="264">
        <f t="shared" ref="P19:P50" si="97">IFERROR(
IF(AND(LEN(TRIM(B18))&gt;0,LEN(TRIM(C18))&gt;0),
(D19/26/8*P18),
0
),
0
)</f>
        <v>0</v>
      </c>
      <c r="Q19" s="56">
        <f>IFERROR(
IF(AND(LEN(TRIM(B18))&gt;0,LEN(TRIM(C18))&gt;0),
'Bang TH nop'!BC19,
0
),
0
)</f>
        <v>0</v>
      </c>
      <c r="R19" s="263">
        <f>IFERROR(
IF(AND(LEN(TRIM(B18))&gt;0,LEN(TRIM(C18))&gt;0),
'Bang TH nop'!BD19,
0
),
0
)</f>
        <v>0</v>
      </c>
      <c r="S19" s="263">
        <f>IFERROR(
IF(AND(LEN(TRIM(B18))&gt;0,LEN(TRIM(C18))&gt;0),
'Bang TH nop'!BJ19,
0
),
0
)</f>
        <v>0</v>
      </c>
      <c r="T19" s="263">
        <f>IFERROR(
IF(AND(LEN(TRIM(B18))&gt;0,LEN(TRIM(C18))&gt;0),
'Bang TH nop'!AW19,
0
),
0
)</f>
        <v>0</v>
      </c>
      <c r="U19" s="264">
        <f t="shared" ref="U19:U50" si="98">IFERROR(
IF(AND(LEN(TRIM(B18))&gt;0,LEN(TRIM(C18))&gt;0),
D19/26/8*U18,
0
),
0
)</f>
        <v>0</v>
      </c>
      <c r="V19" s="264"/>
      <c r="W19" s="264"/>
      <c r="X19" s="263">
        <f t="shared" ref="X19:X50" si="99">+IF(G19-I19&lt;0,0,G19-I19)</f>
        <v>0</v>
      </c>
      <c r="Y19" s="263">
        <f t="shared" ref="Y19:Y50" si="100">+IF(H19-J19&lt;0,0, H19-J19)</f>
        <v>0</v>
      </c>
      <c r="Z19" s="263">
        <f t="shared" ref="Z19" si="101">IFERROR(
IF(AND(LEN(TRIM(B18))&gt;0,LEN(TRIM(C18))&gt;0),
(X19+Y19)*25%,
0
),
0
)</f>
        <v>0</v>
      </c>
      <c r="AA19" s="263">
        <f>IFERROR(
IF(AND(LEN(TRIM(B18))&gt;0,LEN(TRIM(C18))&gt;0),
'Bang TH nop'!BG19,
0
),
0
)</f>
        <v>0</v>
      </c>
      <c r="AB19" s="264">
        <f t="shared" ref="AB19" si="102">IFERROR(
IF(AND(LEN(TRIM(B18))&gt;0,LEN(TRIM(C18))&gt;0),
SUM(I19:W19)+IFERROR(Z19,0)+IFERROR(AA19,0),
0
),
0
)</f>
        <v>0</v>
      </c>
      <c r="AC19" s="263">
        <f t="shared" ref="AC19:AC50" si="103">IFERROR(
IF(AND(LEN(TRIM(B18))&gt;0,LEN(TRIM(C18))&gt;0),
IF((26-(IFERROR(I18,0)+IFERROR(K18,0)+IFERROR(L18,0)+IFERROR(M18,0)))&gt;12,0,D19*10.5%),
0
),
0
)</f>
        <v>0</v>
      </c>
      <c r="AD19" s="291">
        <f t="shared" ref="AD19:AD50" si="104">IFERROR(
IF(AND(LEN(TRIM(B18))&gt;0,LEN(TRIM(C18))&gt;0),
ROUND(IF(D19=4939000,D19*0.5%,0),-2),
0
),
0
)</f>
        <v>0</v>
      </c>
      <c r="AE19" s="264">
        <f t="shared" ref="AE19" si="105">IFERROR(
IF(AND(LEN(TRIM(B18))&gt;0,LEN(TRIM(C18))&gt;0),
ROUND(IFERROR(AB19,0)-IFERROR(AC19,0)-IFERROR(AD19,0),-2),
0
),
0
)</f>
        <v>0</v>
      </c>
      <c r="AF19" s="13">
        <f>IFERROR(
IF(AND(LEN(TRIM(B18))&gt;0,LEN(TRIM(C18))&gt;0),
IFERROR('Bang TH nop'!AR19,0)+IFERROR('Bang TH nop'!AU19,0)+IFERROR('Bang TH nop'!BG19,0),
0
),
0
)</f>
        <v>0</v>
      </c>
      <c r="AG19" s="241"/>
      <c r="AH19" s="266"/>
      <c r="AI19" s="174">
        <f t="shared" ref="AI19" si="106">IFERROR(
IF(AND(LEN(TRIM(B18))&gt;0,LEN(TRIM(C18))&gt;0),
AH19/AG19,
0
),
0
)</f>
        <v>0</v>
      </c>
      <c r="AJ19" s="174">
        <f t="shared" ref="AJ19:AJ50" si="107">IFERROR(
IF(AND(LEN(TRIM(B18))&gt;0,LEN(TRIM(C18))&gt;0),
AL19/AF19,
0
),
0
)</f>
        <v>0</v>
      </c>
      <c r="AK19" s="175">
        <f t="shared" ref="AK19" si="108">IFERROR(
IF(AND(LEN(TRIM(B18))&gt;0,LEN(TRIM(C18))&gt;0),
AJ19/AI19,
0
),
0
)</f>
        <v>0</v>
      </c>
      <c r="AL19" s="176">
        <f t="shared" ref="AL19:AL50" si="109">IFERROR(
IF(AND(LEN(TRIM(B18))&gt;0,LEN(TRIM(C18))&gt;0),
AB19/L19,
0
),
0
)</f>
        <v>0</v>
      </c>
    </row>
    <row r="20" spans="1:38" ht="17.100000000000001" customHeight="1">
      <c r="A20" s="305">
        <v>7</v>
      </c>
      <c r="B20" s="307">
        <f>'Bang TH nop'!B21</f>
        <v>0</v>
      </c>
      <c r="C20" s="309">
        <f>IFERROR(IF(LEN(TRIM(B20))&gt;0,'Bang TH nop'!C21,""),"")</f>
        <v>0</v>
      </c>
      <c r="D20" s="311">
        <f>IFERROR(IF(AND(LEN(TRIM(B20))&gt;0,LEN(TRIM(C20))&gt;0),'Bang TH nop'!AO21,""),"")</f>
        <v>0</v>
      </c>
      <c r="E20" s="312"/>
      <c r="F20" s="259"/>
      <c r="G20" s="260"/>
      <c r="H20" s="260"/>
      <c r="I20" s="10">
        <f>IFERROR(IF(AND(LEN(TRIM(B20))&gt;0,LEN(TRIM(C20))&gt;0),'Bang TH nop'!BB21,0),0)</f>
        <v>0</v>
      </c>
      <c r="J20" s="10">
        <f>IFERROR(IF(AND(LEN(TRIM(B20))&gt;0,LEN(TRIM(C20))&gt;0),'Bang TH nop'!AV21,0),0)</f>
        <v>0</v>
      </c>
      <c r="K20" s="10">
        <f>IFERROR(IF(AND(LEN(TRIM(B20))&gt;0,LEN(TRIM(C20))&gt;0),'Bang TH nop'!AR21,0),0)</f>
        <v>0</v>
      </c>
      <c r="L20" s="12">
        <f>IFERROR(IF(AND(LEN(TRIM(B20))&gt;0,LEN(TRIM(C20))&gt;0),'Bang TH nop'!AS21,0),0)</f>
        <v>0</v>
      </c>
      <c r="M20" s="12">
        <f>IFERROR(IF(AND(LEN(TRIM(C20))&gt;0,LEN(TRIM(D20))&gt;0),'Bang TH nop'!AT21,0),0)</f>
        <v>0</v>
      </c>
      <c r="N20" s="12">
        <f>IFERROR(IF(AND(LEN(TRIM(B20))&gt;0,LEN(TRIM(C20))&gt;0),'Bang TH nop'!AU21,0),0)</f>
        <v>0</v>
      </c>
      <c r="O20" s="12">
        <f>IFERROR(IF(AND(LEN(TRIM(B20))&gt;0,LEN(TRIM(C20))&gt;0),'Bang TH nop'!BE21,0),0)</f>
        <v>0</v>
      </c>
      <c r="P20" s="12">
        <f>IFERROR(IF(AND(LEN(TRIM(B21))&gt;0,LEN(TRIM(C20))&gt;0),'Bang TH nop'!AZ21,0),0)</f>
        <v>0</v>
      </c>
      <c r="Q20" s="12"/>
      <c r="R20" s="261"/>
      <c r="S20" s="261"/>
      <c r="T20" s="261"/>
      <c r="U20" s="260"/>
      <c r="V20" s="260"/>
      <c r="W20" s="260"/>
      <c r="X20" s="260"/>
      <c r="Y20" s="260"/>
      <c r="Z20" s="260"/>
      <c r="AA20" s="259" t="str">
        <f>IFERROR(
IF(AND(LEN(TRIM(B20))&gt;0,LEN(TRIM(C20))&gt;0),
'Bang TH nop'!AH21,
0
),
0
)</f>
        <v>A</v>
      </c>
      <c r="AB20" s="11"/>
      <c r="AC20" s="11"/>
      <c r="AD20" s="260"/>
      <c r="AE20" s="11"/>
      <c r="AF20" s="260"/>
      <c r="AG20" s="241"/>
      <c r="AH20" s="286"/>
      <c r="AI20" s="287"/>
      <c r="AJ20" s="288"/>
      <c r="AK20" s="287"/>
      <c r="AL20" s="173"/>
    </row>
    <row r="21" spans="1:38" ht="17.100000000000001" customHeight="1">
      <c r="A21" s="306"/>
      <c r="B21" s="308"/>
      <c r="C21" s="310"/>
      <c r="D21" s="319">
        <f>IFERROR(IF(AND(LEN(TRIM(B20))&gt;0,LEN(TRIM(C20))&gt;0),'Bang TH nop'!AP21,""),"")</f>
        <v>0</v>
      </c>
      <c r="E21" s="320"/>
      <c r="F21" s="55">
        <f>IFERROR(IF(AND(LEN(TRIM(B20))&gt;0,LEN(TRIM(C20))&gt;0),'Bang TH nop'!AL21,0),0)</f>
        <v>0</v>
      </c>
      <c r="G21" s="263">
        <f t="shared" ref="G21:G52" si="110">D21*I20/26</f>
        <v>0</v>
      </c>
      <c r="H21" s="263">
        <f t="shared" ref="H21:H52" si="111">D21*J20*150%/(26*8)</f>
        <v>0</v>
      </c>
      <c r="I21" s="263">
        <f t="shared" ref="I21:I52" si="112">IFERROR(
IF(AND(LEN(TRIM(B20))&gt;0,LEN(TRIM(C20))&gt;0),
IF(((I20-N20)*8+N20*7+J20)=0,0,
F21*680*(((I20-N20)*8+N20*7))/(((I20-N20)*8+N20*7+J20))*$I$4
),
0
),
0
)</f>
        <v>0</v>
      </c>
      <c r="J21" s="263">
        <f t="shared" ref="J21:J52" si="113">IFERROR(
IF(AND(LEN(TRIM(B20))&gt;0,LEN(TRIM(C20))&gt;0),
IF(((I20-N20)*8+N20*7+J20)=0,0,
F21*680*150%*J20/(((I20-N20)*8+N20*7+J20))*$I$4
),
0
),
0
)</f>
        <v>0</v>
      </c>
      <c r="K21" s="264">
        <f t="shared" ref="K21:K52" si="114">IFERROR(
IF(AND(LEN(TRIM(B20))&gt;0,LEN(TRIM(C20))&gt;0),
ROUND(D21/26*K20,0),
0
),
0
)</f>
        <v>0</v>
      </c>
      <c r="L21" s="264">
        <f t="shared" ref="L21:L52" si="115">IFERROR(
IF(AND(LEN(TRIM(B20))&gt;0,LEN(TRIM(C20))&gt;0),
ROUND(D21/26*L20,0),
0
),
0
)</f>
        <v>0</v>
      </c>
      <c r="M21" s="264">
        <f t="shared" ref="M21:M52" si="116">IFERROR(
IF(AND(LEN(TRIM(B20))&gt;0,LEN(TRIM(C20))&gt;0),
ROUND(D21/26*M20,0),
0
),
0
)</f>
        <v>0</v>
      </c>
      <c r="N21" s="264">
        <f t="shared" ref="N21:N52" si="117">IFERROR(
IF(AND(LEN(TRIM(B20))&gt;0,LEN(TRIM(C20))&gt;0),
D21*N20/(26*8),
0
),
0
)</f>
        <v>0</v>
      </c>
      <c r="O21" s="264">
        <f t="shared" ref="O21:O52" si="118">IFERROR(
IF(AND(LEN(TRIM(B20))&gt;0,LEN(TRIM(C20))&gt;0),
D21*O20/(26*8),
0
),
0
)</f>
        <v>0</v>
      </c>
      <c r="P21" s="264">
        <f t="shared" ref="P21:P52" si="119">IFERROR(
IF(AND(LEN(TRIM(B20))&gt;0,LEN(TRIM(C20))&gt;0),
(D21/26/8*P20),
0
),
0
)</f>
        <v>0</v>
      </c>
      <c r="Q21" s="56">
        <f>IFERROR(
IF(AND(LEN(TRIM(B20))&gt;0,LEN(TRIM(C20))&gt;0),
'Bang TH nop'!BC21,
0
),
0
)</f>
        <v>0</v>
      </c>
      <c r="R21" s="263">
        <f>IFERROR(
IF(AND(LEN(TRIM(B20))&gt;0,LEN(TRIM(C20))&gt;0),
'Bang TH nop'!BD21,
0
),
0
)</f>
        <v>0</v>
      </c>
      <c r="S21" s="263">
        <f>IFERROR(
IF(AND(LEN(TRIM(B20))&gt;0,LEN(TRIM(C20))&gt;0),
'Bang TH nop'!BJ21,
0
),
0
)</f>
        <v>0</v>
      </c>
      <c r="T21" s="263">
        <f>IFERROR(
IF(AND(LEN(TRIM(B20))&gt;0,LEN(TRIM(C20))&gt;0),
'Bang TH nop'!AW21,
0
),
0
)</f>
        <v>0</v>
      </c>
      <c r="U21" s="264">
        <f t="shared" ref="U21:U52" si="120">IFERROR(
IF(AND(LEN(TRIM(B20))&gt;0,LEN(TRIM(C20))&gt;0),
D21/26/8*U20,
0
),
0
)</f>
        <v>0</v>
      </c>
      <c r="V21" s="264"/>
      <c r="W21" s="264"/>
      <c r="X21" s="263">
        <f t="shared" ref="X21:X52" si="121">+IF(G21-I21&lt;0,0,G21-I21)</f>
        <v>0</v>
      </c>
      <c r="Y21" s="263">
        <f t="shared" ref="Y21:Y52" si="122">+IF(H21-J21&lt;0,0, H21-J21)</f>
        <v>0</v>
      </c>
      <c r="Z21" s="263">
        <f t="shared" ref="Z21" si="123">IFERROR(
IF(AND(LEN(TRIM(B20))&gt;0,LEN(TRIM(C20))&gt;0),
(X21+Y21)*25%,
0
),
0
)</f>
        <v>0</v>
      </c>
      <c r="AA21" s="263">
        <f>IFERROR(
IF(AND(LEN(TRIM(B20))&gt;0,LEN(TRIM(C20))&gt;0),
'Bang TH nop'!BG21,
0
),
0
)</f>
        <v>0</v>
      </c>
      <c r="AB21" s="264">
        <f t="shared" ref="AB21" si="124">IFERROR(
IF(AND(LEN(TRIM(B20))&gt;0,LEN(TRIM(C20))&gt;0),
SUM(I21:W21)+IFERROR(Z21,0)+IFERROR(AA21,0),
0
),
0
)</f>
        <v>0</v>
      </c>
      <c r="AC21" s="263">
        <f t="shared" ref="AC21:AC52" si="125">IFERROR(
IF(AND(LEN(TRIM(B20))&gt;0,LEN(TRIM(C20))&gt;0),
IF((26-(IFERROR(I20,0)+IFERROR(K20,0)+IFERROR(L20,0)+IFERROR(M20,0)))&gt;12,0,D21*10.5%),
0
),
0
)</f>
        <v>0</v>
      </c>
      <c r="AD21" s="291">
        <f t="shared" ref="AD21:AD52" si="126">IFERROR(
IF(AND(LEN(TRIM(B20))&gt;0,LEN(TRIM(C20))&gt;0),
ROUND(IF(D21=4939000,D21*0.5%,0),-2),
0
),
0
)</f>
        <v>0</v>
      </c>
      <c r="AE21" s="264">
        <f t="shared" ref="AE21" si="127">IFERROR(
IF(AND(LEN(TRIM(B20))&gt;0,LEN(TRIM(C20))&gt;0),
ROUND(IFERROR(AB21,0)-IFERROR(AC21,0)-IFERROR(AD21,0),-2),
0
),
0
)</f>
        <v>0</v>
      </c>
      <c r="AF21" s="13">
        <f>IFERROR(
IF(AND(LEN(TRIM(B20))&gt;0,LEN(TRIM(C20))&gt;0),
IFERROR('Bang TH nop'!AR21,0)+IFERROR('Bang TH nop'!AU21,0)+IFERROR('Bang TH nop'!BG21,0),
0
),
0
)</f>
        <v>0</v>
      </c>
      <c r="AG21" s="241"/>
      <c r="AH21" s="266"/>
      <c r="AI21" s="174">
        <f t="shared" ref="AI21" si="128">IFERROR(
IF(AND(LEN(TRIM(B20))&gt;0,LEN(TRIM(C20))&gt;0),
AH21/AG21,
0
),
0
)</f>
        <v>0</v>
      </c>
      <c r="AJ21" s="174">
        <f t="shared" ref="AJ21:AJ52" si="129">IFERROR(
IF(AND(LEN(TRIM(B20))&gt;0,LEN(TRIM(C20))&gt;0),
AL21/AF21,
0
),
0
)</f>
        <v>0</v>
      </c>
      <c r="AK21" s="175">
        <f t="shared" ref="AK21" si="130">IFERROR(
IF(AND(LEN(TRIM(B20))&gt;0,LEN(TRIM(C20))&gt;0),
AJ21/AI21,
0
),
0
)</f>
        <v>0</v>
      </c>
      <c r="AL21" s="176">
        <f t="shared" ref="AL21:AL52" si="131">IFERROR(
IF(AND(LEN(TRIM(B20))&gt;0,LEN(TRIM(C20))&gt;0),
AB21/L21,
0
),
0
)</f>
        <v>0</v>
      </c>
    </row>
    <row r="22" spans="1:38" ht="17.100000000000001" customHeight="1">
      <c r="A22" s="305">
        <v>8</v>
      </c>
      <c r="B22" s="307">
        <f>'Bang TH nop'!B23</f>
        <v>0</v>
      </c>
      <c r="C22" s="309">
        <f>IFERROR(IF(LEN(TRIM(B22))&gt;0,'Bang TH nop'!C23,""),"")</f>
        <v>0</v>
      </c>
      <c r="D22" s="311">
        <f>IFERROR(IF(AND(LEN(TRIM(B22))&gt;0,LEN(TRIM(C22))&gt;0),'Bang TH nop'!AO23,""),"")</f>
        <v>0</v>
      </c>
      <c r="E22" s="312"/>
      <c r="F22" s="259"/>
      <c r="G22" s="260"/>
      <c r="H22" s="260"/>
      <c r="I22" s="10">
        <f>IFERROR(IF(AND(LEN(TRIM(B22))&gt;0,LEN(TRIM(C22))&gt;0),'Bang TH nop'!BB23,0),0)</f>
        <v>0</v>
      </c>
      <c r="J22" s="10">
        <f>IFERROR(IF(AND(LEN(TRIM(B22))&gt;0,LEN(TRIM(C22))&gt;0),'Bang TH nop'!AV23,0),0)</f>
        <v>0</v>
      </c>
      <c r="K22" s="10">
        <f>IFERROR(IF(AND(LEN(TRIM(B22))&gt;0,LEN(TRIM(C22))&gt;0),'Bang TH nop'!AR23,0),0)</f>
        <v>0</v>
      </c>
      <c r="L22" s="12">
        <f>IFERROR(IF(AND(LEN(TRIM(B22))&gt;0,LEN(TRIM(C22))&gt;0),'Bang TH nop'!AS23,0),0)</f>
        <v>0</v>
      </c>
      <c r="M22" s="12">
        <f>IFERROR(IF(AND(LEN(TRIM(C22))&gt;0,LEN(TRIM(D22))&gt;0),'Bang TH nop'!AT23,0),0)</f>
        <v>0</v>
      </c>
      <c r="N22" s="12">
        <f>IFERROR(IF(AND(LEN(TRIM(B22))&gt;0,LEN(TRIM(C22))&gt;0),'Bang TH nop'!AU23,0),0)</f>
        <v>0</v>
      </c>
      <c r="O22" s="12">
        <f>IFERROR(IF(AND(LEN(TRIM(B22))&gt;0,LEN(TRIM(C22))&gt;0),'Bang TH nop'!BE23,0),0)</f>
        <v>0</v>
      </c>
      <c r="P22" s="12">
        <f>IFERROR(IF(AND(LEN(TRIM(B23))&gt;0,LEN(TRIM(C22))&gt;0),'Bang TH nop'!AZ23,0),0)</f>
        <v>0</v>
      </c>
      <c r="Q22" s="12"/>
      <c r="R22" s="261"/>
      <c r="S22" s="261"/>
      <c r="T22" s="261"/>
      <c r="U22" s="260"/>
      <c r="V22" s="260"/>
      <c r="W22" s="260"/>
      <c r="X22" s="260"/>
      <c r="Y22" s="260"/>
      <c r="Z22" s="260"/>
      <c r="AA22" s="259" t="str">
        <f>IFERROR(
IF(AND(LEN(TRIM(B22))&gt;0,LEN(TRIM(C22))&gt;0),
'Bang TH nop'!AH23,
0
),
0
)</f>
        <v>A</v>
      </c>
      <c r="AB22" s="11"/>
      <c r="AC22" s="11"/>
      <c r="AD22" s="260"/>
      <c r="AE22" s="11"/>
      <c r="AF22" s="260"/>
      <c r="AG22" s="241"/>
      <c r="AH22" s="286"/>
      <c r="AI22" s="287"/>
      <c r="AJ22" s="288"/>
      <c r="AK22" s="287"/>
      <c r="AL22" s="173"/>
    </row>
    <row r="23" spans="1:38" ht="17.100000000000001" customHeight="1">
      <c r="A23" s="306"/>
      <c r="B23" s="308"/>
      <c r="C23" s="310"/>
      <c r="D23" s="319">
        <f>IFERROR(IF(AND(LEN(TRIM(B22))&gt;0,LEN(TRIM(C22))&gt;0),'Bang TH nop'!AP23,""),"")</f>
        <v>0</v>
      </c>
      <c r="E23" s="320"/>
      <c r="F23" s="55">
        <f>IFERROR(IF(AND(LEN(TRIM(B22))&gt;0,LEN(TRIM(C22))&gt;0),'Bang TH nop'!AL23,0),0)</f>
        <v>0</v>
      </c>
      <c r="G23" s="263">
        <f t="shared" ref="G23:G54" si="132">D23*I22/26</f>
        <v>0</v>
      </c>
      <c r="H23" s="263">
        <f t="shared" ref="H23:H54" si="133">D23*J22*150%/(26*8)</f>
        <v>0</v>
      </c>
      <c r="I23" s="263">
        <f t="shared" ref="I23:I54" si="134">IFERROR(
IF(AND(LEN(TRIM(B22))&gt;0,LEN(TRIM(C22))&gt;0),
IF(((I22-N22)*8+N22*7+J22)=0,0,
F23*680*(((I22-N22)*8+N22*7))/(((I22-N22)*8+N22*7+J22))*$I$4
),
0
),
0
)</f>
        <v>0</v>
      </c>
      <c r="J23" s="263">
        <f t="shared" ref="J23:J54" si="135">IFERROR(
IF(AND(LEN(TRIM(B22))&gt;0,LEN(TRIM(C22))&gt;0),
IF(((I22-N22)*8+N22*7+J22)=0,0,
F23*680*150%*J22/(((I22-N22)*8+N22*7+J22))*$I$4
),
0
),
0
)</f>
        <v>0</v>
      </c>
      <c r="K23" s="264">
        <f t="shared" ref="K23:K54" si="136">IFERROR(
IF(AND(LEN(TRIM(B22))&gt;0,LEN(TRIM(C22))&gt;0),
ROUND(D23/26*K22,0),
0
),
0
)</f>
        <v>0</v>
      </c>
      <c r="L23" s="264">
        <f t="shared" ref="L23:L54" si="137">IFERROR(
IF(AND(LEN(TRIM(B22))&gt;0,LEN(TRIM(C22))&gt;0),
ROUND(D23/26*L22,0),
0
),
0
)</f>
        <v>0</v>
      </c>
      <c r="M23" s="264">
        <f t="shared" ref="M23:M54" si="138">IFERROR(
IF(AND(LEN(TRIM(B22))&gt;0,LEN(TRIM(C22))&gt;0),
ROUND(D23/26*M22,0),
0
),
0
)</f>
        <v>0</v>
      </c>
      <c r="N23" s="264">
        <f t="shared" ref="N23:N54" si="139">IFERROR(
IF(AND(LEN(TRIM(B22))&gt;0,LEN(TRIM(C22))&gt;0),
D23*N22/(26*8),
0
),
0
)</f>
        <v>0</v>
      </c>
      <c r="O23" s="264">
        <f t="shared" ref="O23:O54" si="140">IFERROR(
IF(AND(LEN(TRIM(B22))&gt;0,LEN(TRIM(C22))&gt;0),
D23*O22/(26*8),
0
),
0
)</f>
        <v>0</v>
      </c>
      <c r="P23" s="264">
        <f t="shared" ref="P23:P54" si="141">IFERROR(
IF(AND(LEN(TRIM(B22))&gt;0,LEN(TRIM(C22))&gt;0),
(D23/26/8*P22),
0
),
0
)</f>
        <v>0</v>
      </c>
      <c r="Q23" s="56">
        <f>IFERROR(
IF(AND(LEN(TRIM(B22))&gt;0,LEN(TRIM(C22))&gt;0),
'Bang TH nop'!BC23,
0
),
0
)</f>
        <v>0</v>
      </c>
      <c r="R23" s="263">
        <f>IFERROR(
IF(AND(LEN(TRIM(B22))&gt;0,LEN(TRIM(C22))&gt;0),
'Bang TH nop'!BD23,
0
),
0
)</f>
        <v>0</v>
      </c>
      <c r="S23" s="263">
        <f>IFERROR(
IF(AND(LEN(TRIM(B22))&gt;0,LEN(TRIM(C22))&gt;0),
'Bang TH nop'!BJ23,
0
),
0
)</f>
        <v>0</v>
      </c>
      <c r="T23" s="263">
        <f>IFERROR(
IF(AND(LEN(TRIM(B22))&gt;0,LEN(TRIM(C22))&gt;0),
'Bang TH nop'!AW23,
0
),
0
)</f>
        <v>0</v>
      </c>
      <c r="U23" s="264">
        <f t="shared" ref="U23:U54" si="142">IFERROR(
IF(AND(LEN(TRIM(B22))&gt;0,LEN(TRIM(C22))&gt;0),
D23/26/8*U22,
0
),
0
)</f>
        <v>0</v>
      </c>
      <c r="V23" s="264"/>
      <c r="W23" s="264"/>
      <c r="X23" s="263">
        <f t="shared" ref="X23:X54" si="143">+IF(G23-I23&lt;0,0,G23-I23)</f>
        <v>0</v>
      </c>
      <c r="Y23" s="263">
        <f t="shared" ref="Y23:Y54" si="144">+IF(H23-J23&lt;0,0, H23-J23)</f>
        <v>0</v>
      </c>
      <c r="Z23" s="263">
        <f t="shared" ref="Z23" si="145">IFERROR(
IF(AND(LEN(TRIM(B22))&gt;0,LEN(TRIM(C22))&gt;0),
(X23+Y23)*25%,
0
),
0
)</f>
        <v>0</v>
      </c>
      <c r="AA23" s="263">
        <f>IFERROR(
IF(AND(LEN(TRIM(B22))&gt;0,LEN(TRIM(C22))&gt;0),
'Bang TH nop'!BG23,
0
),
0
)</f>
        <v>0</v>
      </c>
      <c r="AB23" s="264">
        <f t="shared" ref="AB23" si="146">IFERROR(
IF(AND(LEN(TRIM(B22))&gt;0,LEN(TRIM(C22))&gt;0),
SUM(I23:W23)+IFERROR(Z23,0)+IFERROR(AA23,0),
0
),
0
)</f>
        <v>0</v>
      </c>
      <c r="AC23" s="263">
        <f t="shared" ref="AC23:AC54" si="147">IFERROR(
IF(AND(LEN(TRIM(B22))&gt;0,LEN(TRIM(C22))&gt;0),
IF((26-(IFERROR(I22,0)+IFERROR(K22,0)+IFERROR(L22,0)+IFERROR(M22,0)))&gt;12,0,D23*10.5%),
0
),
0
)</f>
        <v>0</v>
      </c>
      <c r="AD23" s="291">
        <f t="shared" ref="AD23:AD54" si="148">IFERROR(
IF(AND(LEN(TRIM(B22))&gt;0,LEN(TRIM(C22))&gt;0),
ROUND(IF(D23=4939000,D23*0.5%,0),-2),
0
),
0
)</f>
        <v>0</v>
      </c>
      <c r="AE23" s="264">
        <f t="shared" ref="AE23" si="149">IFERROR(
IF(AND(LEN(TRIM(B22))&gt;0,LEN(TRIM(C22))&gt;0),
ROUND(IFERROR(AB23,0)-IFERROR(AC23,0)-IFERROR(AD23,0),-2),
0
),
0
)</f>
        <v>0</v>
      </c>
      <c r="AF23" s="13">
        <f>IFERROR(
IF(AND(LEN(TRIM(B22))&gt;0,LEN(TRIM(C22))&gt;0),
IFERROR('Bang TH nop'!AR23,0)+IFERROR('Bang TH nop'!AU23,0)+IFERROR('Bang TH nop'!BG23,0),
0
),
0
)</f>
        <v>0</v>
      </c>
      <c r="AG23" s="241"/>
      <c r="AH23" s="266"/>
      <c r="AI23" s="174">
        <f t="shared" ref="AI23" si="150">IFERROR(
IF(AND(LEN(TRIM(B22))&gt;0,LEN(TRIM(C22))&gt;0),
AH23/AG23,
0
),
0
)</f>
        <v>0</v>
      </c>
      <c r="AJ23" s="174">
        <f t="shared" ref="AJ23:AJ54" si="151">IFERROR(
IF(AND(LEN(TRIM(B22))&gt;0,LEN(TRIM(C22))&gt;0),
AL23/AF23,
0
),
0
)</f>
        <v>0</v>
      </c>
      <c r="AK23" s="175">
        <f t="shared" ref="AK23" si="152">IFERROR(
IF(AND(LEN(TRIM(B22))&gt;0,LEN(TRIM(C22))&gt;0),
AJ23/AI23,
0
),
0
)</f>
        <v>0</v>
      </c>
      <c r="AL23" s="176">
        <f t="shared" ref="AL23:AL54" si="153">IFERROR(
IF(AND(LEN(TRIM(B22))&gt;0,LEN(TRIM(C22))&gt;0),
AB23/L23,
0
),
0
)</f>
        <v>0</v>
      </c>
    </row>
    <row r="24" spans="1:38" ht="17.100000000000001" customHeight="1">
      <c r="A24" s="305">
        <v>9</v>
      </c>
      <c r="B24" s="307">
        <f>'Bang TH nop'!B25</f>
        <v>0</v>
      </c>
      <c r="C24" s="309">
        <f>IFERROR(IF(LEN(TRIM(B24))&gt;0,'Bang TH nop'!C25,""),"")</f>
        <v>0</v>
      </c>
      <c r="D24" s="311">
        <f>IFERROR(IF(AND(LEN(TRIM(B24))&gt;0,LEN(TRIM(C24))&gt;0),'Bang TH nop'!AO25,""),"")</f>
        <v>0</v>
      </c>
      <c r="E24" s="312"/>
      <c r="F24" s="259"/>
      <c r="G24" s="260"/>
      <c r="H24" s="260"/>
      <c r="I24" s="10">
        <f>IFERROR(IF(AND(LEN(TRIM(B24))&gt;0,LEN(TRIM(C24))&gt;0),'Bang TH nop'!BB25,0),0)</f>
        <v>0</v>
      </c>
      <c r="J24" s="10">
        <f>IFERROR(IF(AND(LEN(TRIM(B24))&gt;0,LEN(TRIM(C24))&gt;0),'Bang TH nop'!AV25,0),0)</f>
        <v>0</v>
      </c>
      <c r="K24" s="10">
        <f>IFERROR(IF(AND(LEN(TRIM(B24))&gt;0,LEN(TRIM(C24))&gt;0),'Bang TH nop'!AR25,0),0)</f>
        <v>0</v>
      </c>
      <c r="L24" s="12">
        <f>IFERROR(IF(AND(LEN(TRIM(B24))&gt;0,LEN(TRIM(C24))&gt;0),'Bang TH nop'!AS25,0),0)</f>
        <v>0</v>
      </c>
      <c r="M24" s="12">
        <f>IFERROR(IF(AND(LEN(TRIM(C24))&gt;0,LEN(TRIM(D24))&gt;0),'Bang TH nop'!AT25,0),0)</f>
        <v>0</v>
      </c>
      <c r="N24" s="12">
        <f>IFERROR(IF(AND(LEN(TRIM(B24))&gt;0,LEN(TRIM(C24))&gt;0),'Bang TH nop'!AU25,0),0)</f>
        <v>0</v>
      </c>
      <c r="O24" s="12">
        <f>IFERROR(IF(AND(LEN(TRIM(B24))&gt;0,LEN(TRIM(C24))&gt;0),'Bang TH nop'!BE25,0),0)</f>
        <v>0</v>
      </c>
      <c r="P24" s="12">
        <f>IFERROR(IF(AND(LEN(TRIM(B25))&gt;0,LEN(TRIM(C24))&gt;0),'Bang TH nop'!AZ25,0),0)</f>
        <v>0</v>
      </c>
      <c r="Q24" s="12"/>
      <c r="R24" s="261"/>
      <c r="S24" s="261"/>
      <c r="T24" s="261"/>
      <c r="U24" s="260"/>
      <c r="V24" s="260"/>
      <c r="W24" s="260"/>
      <c r="X24" s="260"/>
      <c r="Y24" s="260"/>
      <c r="Z24" s="260"/>
      <c r="AA24" s="259" t="str">
        <f>IFERROR(
IF(AND(LEN(TRIM(B24))&gt;0,LEN(TRIM(C24))&gt;0),
'Bang TH nop'!AH25,
0
),
0
)</f>
        <v>A</v>
      </c>
      <c r="AB24" s="11"/>
      <c r="AC24" s="11"/>
      <c r="AD24" s="260"/>
      <c r="AE24" s="11"/>
      <c r="AF24" s="260"/>
      <c r="AG24" s="241"/>
      <c r="AH24" s="286"/>
      <c r="AI24" s="287"/>
      <c r="AJ24" s="288"/>
      <c r="AK24" s="287"/>
      <c r="AL24" s="173"/>
    </row>
    <row r="25" spans="1:38" ht="17.100000000000001" customHeight="1">
      <c r="A25" s="306"/>
      <c r="B25" s="308"/>
      <c r="C25" s="310"/>
      <c r="D25" s="319">
        <f>IFERROR(IF(AND(LEN(TRIM(B24))&gt;0,LEN(TRIM(C24))&gt;0),'Bang TH nop'!AP25,""),"")</f>
        <v>0</v>
      </c>
      <c r="E25" s="320"/>
      <c r="F25" s="55">
        <f>IFERROR(IF(AND(LEN(TRIM(B24))&gt;0,LEN(TRIM(C24))&gt;0),'Bang TH nop'!AL25,0),0)</f>
        <v>0</v>
      </c>
      <c r="G25" s="263">
        <f t="shared" ref="G25:G56" si="154">D25*I24/26</f>
        <v>0</v>
      </c>
      <c r="H25" s="263">
        <f t="shared" ref="H25:H56" si="155">D25*J24*150%/(26*8)</f>
        <v>0</v>
      </c>
      <c r="I25" s="263">
        <f t="shared" ref="I25:I56" si="156">IFERROR(
IF(AND(LEN(TRIM(B24))&gt;0,LEN(TRIM(C24))&gt;0),
IF(((I24-N24)*8+N24*7+J24)=0,0,
F25*680*(((I24-N24)*8+N24*7))/(((I24-N24)*8+N24*7+J24))*$I$4
),
0
),
0
)</f>
        <v>0</v>
      </c>
      <c r="J25" s="263">
        <f t="shared" ref="J25:J56" si="157">IFERROR(
IF(AND(LEN(TRIM(B24))&gt;0,LEN(TRIM(C24))&gt;0),
IF(((I24-N24)*8+N24*7+J24)=0,0,
F25*680*150%*J24/(((I24-N24)*8+N24*7+J24))*$I$4
),
0
),
0
)</f>
        <v>0</v>
      </c>
      <c r="K25" s="264">
        <f t="shared" ref="K25:K56" si="158">IFERROR(
IF(AND(LEN(TRIM(B24))&gt;0,LEN(TRIM(C24))&gt;0),
ROUND(D25/26*K24,0),
0
),
0
)</f>
        <v>0</v>
      </c>
      <c r="L25" s="264">
        <f t="shared" ref="L25:L56" si="159">IFERROR(
IF(AND(LEN(TRIM(B24))&gt;0,LEN(TRIM(C24))&gt;0),
ROUND(D25/26*L24,0),
0
),
0
)</f>
        <v>0</v>
      </c>
      <c r="M25" s="264">
        <f t="shared" ref="M25:M56" si="160">IFERROR(
IF(AND(LEN(TRIM(B24))&gt;0,LEN(TRIM(C24))&gt;0),
ROUND(D25/26*M24,0),
0
),
0
)</f>
        <v>0</v>
      </c>
      <c r="N25" s="264">
        <f t="shared" ref="N25:N56" si="161">IFERROR(
IF(AND(LEN(TRIM(B24))&gt;0,LEN(TRIM(C24))&gt;0),
D25*N24/(26*8),
0
),
0
)</f>
        <v>0</v>
      </c>
      <c r="O25" s="264">
        <f t="shared" ref="O25:O56" si="162">IFERROR(
IF(AND(LEN(TRIM(B24))&gt;0,LEN(TRIM(C24))&gt;0),
D25*O24/(26*8),
0
),
0
)</f>
        <v>0</v>
      </c>
      <c r="P25" s="264">
        <f t="shared" ref="P25:P56" si="163">IFERROR(
IF(AND(LEN(TRIM(B24))&gt;0,LEN(TRIM(C24))&gt;0),
(D25/26/8*P24),
0
),
0
)</f>
        <v>0</v>
      </c>
      <c r="Q25" s="56">
        <f>IFERROR(
IF(AND(LEN(TRIM(B24))&gt;0,LEN(TRIM(C24))&gt;0),
'Bang TH nop'!BC25,
0
),
0
)</f>
        <v>0</v>
      </c>
      <c r="R25" s="263">
        <f>IFERROR(
IF(AND(LEN(TRIM(B24))&gt;0,LEN(TRIM(C24))&gt;0),
'Bang TH nop'!BD25,
0
),
0
)</f>
        <v>0</v>
      </c>
      <c r="S25" s="263">
        <f>IFERROR(
IF(AND(LEN(TRIM(B24))&gt;0,LEN(TRIM(C24))&gt;0),
'Bang TH nop'!BJ25,
0
),
0
)</f>
        <v>0</v>
      </c>
      <c r="T25" s="263">
        <f>IFERROR(
IF(AND(LEN(TRIM(B24))&gt;0,LEN(TRIM(C24))&gt;0),
'Bang TH nop'!AW25,
0
),
0
)</f>
        <v>0</v>
      </c>
      <c r="U25" s="264">
        <f t="shared" ref="U25:U56" si="164">IFERROR(
IF(AND(LEN(TRIM(B24))&gt;0,LEN(TRIM(C24))&gt;0),
D25/26/8*U24,
0
),
0
)</f>
        <v>0</v>
      </c>
      <c r="V25" s="264"/>
      <c r="W25" s="264"/>
      <c r="X25" s="263">
        <f t="shared" ref="X25:X56" si="165">+IF(G25-I25&lt;0,0,G25-I25)</f>
        <v>0</v>
      </c>
      <c r="Y25" s="263">
        <f t="shared" ref="Y25:Y56" si="166">+IF(H25-J25&lt;0,0, H25-J25)</f>
        <v>0</v>
      </c>
      <c r="Z25" s="263">
        <f t="shared" ref="Z25" si="167">IFERROR(
IF(AND(LEN(TRIM(B24))&gt;0,LEN(TRIM(C24))&gt;0),
(X25+Y25)*25%,
0
),
0
)</f>
        <v>0</v>
      </c>
      <c r="AA25" s="263">
        <f>IFERROR(
IF(AND(LEN(TRIM(B24))&gt;0,LEN(TRIM(C24))&gt;0),
'Bang TH nop'!BG25,
0
),
0
)</f>
        <v>0</v>
      </c>
      <c r="AB25" s="264">
        <f t="shared" ref="AB25" si="168">IFERROR(
IF(AND(LEN(TRIM(B24))&gt;0,LEN(TRIM(C24))&gt;0),
SUM(I25:W25)+IFERROR(Z25,0)+IFERROR(AA25,0),
0
),
0
)</f>
        <v>0</v>
      </c>
      <c r="AC25" s="263">
        <f t="shared" ref="AC25:AC56" si="169">IFERROR(
IF(AND(LEN(TRIM(B24))&gt;0,LEN(TRIM(C24))&gt;0),
IF((26-(IFERROR(I24,0)+IFERROR(K24,0)+IFERROR(L24,0)+IFERROR(M24,0)))&gt;12,0,D25*10.5%),
0
),
0
)</f>
        <v>0</v>
      </c>
      <c r="AD25" s="291">
        <f t="shared" ref="AD25:AD56" si="170">IFERROR(
IF(AND(LEN(TRIM(B24))&gt;0,LEN(TRIM(C24))&gt;0),
ROUND(IF(D25=4939000,D25*0.5%,0),-2),
0
),
0
)</f>
        <v>0</v>
      </c>
      <c r="AE25" s="264">
        <f t="shared" ref="AE25" si="171">IFERROR(
IF(AND(LEN(TRIM(B24))&gt;0,LEN(TRIM(C24))&gt;0),
ROUND(IFERROR(AB25,0)-IFERROR(AC25,0)-IFERROR(AD25,0),-2),
0
),
0
)</f>
        <v>0</v>
      </c>
      <c r="AF25" s="13">
        <f>IFERROR(
IF(AND(LEN(TRIM(B24))&gt;0,LEN(TRIM(C24))&gt;0),
IFERROR('Bang TH nop'!AR25,0)+IFERROR('Bang TH nop'!AU25,0)+IFERROR('Bang TH nop'!BG25,0),
0
),
0
)</f>
        <v>0</v>
      </c>
      <c r="AG25" s="241"/>
      <c r="AH25" s="266"/>
      <c r="AI25" s="174">
        <f t="shared" ref="AI25" si="172">IFERROR(
IF(AND(LEN(TRIM(B24))&gt;0,LEN(TRIM(C24))&gt;0),
AH25/AG25,
0
),
0
)</f>
        <v>0</v>
      </c>
      <c r="AJ25" s="174">
        <f t="shared" ref="AJ25:AJ56" si="173">IFERROR(
IF(AND(LEN(TRIM(B24))&gt;0,LEN(TRIM(C24))&gt;0),
AL25/AF25,
0
),
0
)</f>
        <v>0</v>
      </c>
      <c r="AK25" s="175">
        <f t="shared" ref="AK25" si="174">IFERROR(
IF(AND(LEN(TRIM(B24))&gt;0,LEN(TRIM(C24))&gt;0),
AJ25/AI25,
0
),
0
)</f>
        <v>0</v>
      </c>
      <c r="AL25" s="176">
        <f t="shared" ref="AL25:AL56" si="175">IFERROR(
IF(AND(LEN(TRIM(B24))&gt;0,LEN(TRIM(C24))&gt;0),
AB25/L25,
0
),
0
)</f>
        <v>0</v>
      </c>
    </row>
    <row r="26" spans="1:38" ht="17.100000000000001" customHeight="1">
      <c r="A26" s="305">
        <v>10</v>
      </c>
      <c r="B26" s="307">
        <f>'Bang TH nop'!B27</f>
        <v>0</v>
      </c>
      <c r="C26" s="309">
        <f>IFERROR(IF(LEN(TRIM(B26))&gt;0,'Bang TH nop'!C27,""),"")</f>
        <v>0</v>
      </c>
      <c r="D26" s="311">
        <f>IFERROR(IF(AND(LEN(TRIM(B26))&gt;0,LEN(TRIM(C26))&gt;0),'Bang TH nop'!AO27,""),"")</f>
        <v>0</v>
      </c>
      <c r="E26" s="312"/>
      <c r="F26" s="259"/>
      <c r="G26" s="260"/>
      <c r="H26" s="260"/>
      <c r="I26" s="10">
        <f>IFERROR(IF(AND(LEN(TRIM(B26))&gt;0,LEN(TRIM(C26))&gt;0),'Bang TH nop'!BB27,0),0)</f>
        <v>0</v>
      </c>
      <c r="J26" s="10">
        <f>IFERROR(IF(AND(LEN(TRIM(B26))&gt;0,LEN(TRIM(C26))&gt;0),'Bang TH nop'!AV27,0),0)</f>
        <v>0</v>
      </c>
      <c r="K26" s="10">
        <f>IFERROR(IF(AND(LEN(TRIM(B26))&gt;0,LEN(TRIM(C26))&gt;0),'Bang TH nop'!AR27,0),0)</f>
        <v>0</v>
      </c>
      <c r="L26" s="12">
        <f>IFERROR(IF(AND(LEN(TRIM(B26))&gt;0,LEN(TRIM(C26))&gt;0),'Bang TH nop'!AS27,0),0)</f>
        <v>0</v>
      </c>
      <c r="M26" s="12">
        <f>IFERROR(IF(AND(LEN(TRIM(C26))&gt;0,LEN(TRIM(D26))&gt;0),'Bang TH nop'!AT27,0),0)</f>
        <v>0</v>
      </c>
      <c r="N26" s="12">
        <f>IFERROR(IF(AND(LEN(TRIM(B26))&gt;0,LEN(TRIM(C26))&gt;0),'Bang TH nop'!AU27,0),0)</f>
        <v>0</v>
      </c>
      <c r="O26" s="12">
        <f>IFERROR(IF(AND(LEN(TRIM(B26))&gt;0,LEN(TRIM(C26))&gt;0),'Bang TH nop'!BE27,0),0)</f>
        <v>0</v>
      </c>
      <c r="P26" s="12">
        <f>IFERROR(IF(AND(LEN(TRIM(B27))&gt;0,LEN(TRIM(C26))&gt;0),'Bang TH nop'!AZ27,0),0)</f>
        <v>0</v>
      </c>
      <c r="Q26" s="12"/>
      <c r="R26" s="261"/>
      <c r="S26" s="261"/>
      <c r="T26" s="261"/>
      <c r="U26" s="260"/>
      <c r="V26" s="260"/>
      <c r="W26" s="260"/>
      <c r="X26" s="260"/>
      <c r="Y26" s="260"/>
      <c r="Z26" s="260"/>
      <c r="AA26" s="259" t="str">
        <f>IFERROR(
IF(AND(LEN(TRIM(B26))&gt;0,LEN(TRIM(C26))&gt;0),
'Bang TH nop'!AH27,
0
),
0
)</f>
        <v>A</v>
      </c>
      <c r="AB26" s="11"/>
      <c r="AC26" s="11"/>
      <c r="AD26" s="260"/>
      <c r="AE26" s="11"/>
      <c r="AF26" s="260"/>
      <c r="AG26" s="241"/>
      <c r="AH26" s="286"/>
      <c r="AI26" s="287"/>
      <c r="AJ26" s="288"/>
      <c r="AK26" s="287"/>
      <c r="AL26" s="173"/>
    </row>
    <row r="27" spans="1:38" ht="17.100000000000001" customHeight="1">
      <c r="A27" s="306"/>
      <c r="B27" s="308"/>
      <c r="C27" s="310"/>
      <c r="D27" s="319">
        <f>IFERROR(IF(AND(LEN(TRIM(B26))&gt;0,LEN(TRIM(C26))&gt;0),'Bang TH nop'!AP27,""),"")</f>
        <v>0</v>
      </c>
      <c r="E27" s="320"/>
      <c r="F27" s="55">
        <f>IFERROR(IF(AND(LEN(TRIM(B26))&gt;0,LEN(TRIM(C26))&gt;0),'Bang TH nop'!AL27,0),0)</f>
        <v>0</v>
      </c>
      <c r="G27" s="263">
        <f t="shared" ref="G27:G58" si="176">D27*I26/26</f>
        <v>0</v>
      </c>
      <c r="H27" s="263">
        <f t="shared" ref="H27:H58" si="177">D27*J26*150%/(26*8)</f>
        <v>0</v>
      </c>
      <c r="I27" s="263">
        <f t="shared" ref="I27:I58" si="178">IFERROR(
IF(AND(LEN(TRIM(B26))&gt;0,LEN(TRIM(C26))&gt;0),
IF(((I26-N26)*8+N26*7+J26)=0,0,
F27*680*(((I26-N26)*8+N26*7))/(((I26-N26)*8+N26*7+J26))*$I$4
),
0
),
0
)</f>
        <v>0</v>
      </c>
      <c r="J27" s="263">
        <f t="shared" ref="J27:J58" si="179">IFERROR(
IF(AND(LEN(TRIM(B26))&gt;0,LEN(TRIM(C26))&gt;0),
IF(((I26-N26)*8+N26*7+J26)=0,0,
F27*680*150%*J26/(((I26-N26)*8+N26*7+J26))*$I$4
),
0
),
0
)</f>
        <v>0</v>
      </c>
      <c r="K27" s="264">
        <f t="shared" ref="K27:K58" si="180">IFERROR(
IF(AND(LEN(TRIM(B26))&gt;0,LEN(TRIM(C26))&gt;0),
ROUND(D27/26*K26,0),
0
),
0
)</f>
        <v>0</v>
      </c>
      <c r="L27" s="264">
        <f t="shared" ref="L27:L58" si="181">IFERROR(
IF(AND(LEN(TRIM(B26))&gt;0,LEN(TRIM(C26))&gt;0),
ROUND(D27/26*L26,0),
0
),
0
)</f>
        <v>0</v>
      </c>
      <c r="M27" s="264">
        <f t="shared" ref="M27:M58" si="182">IFERROR(
IF(AND(LEN(TRIM(B26))&gt;0,LEN(TRIM(C26))&gt;0),
ROUND(D27/26*M26,0),
0
),
0
)</f>
        <v>0</v>
      </c>
      <c r="N27" s="264">
        <f t="shared" ref="N27:N58" si="183">IFERROR(
IF(AND(LEN(TRIM(B26))&gt;0,LEN(TRIM(C26))&gt;0),
D27*N26/(26*8),
0
),
0
)</f>
        <v>0</v>
      </c>
      <c r="O27" s="264">
        <f t="shared" ref="O27:O58" si="184">IFERROR(
IF(AND(LEN(TRIM(B26))&gt;0,LEN(TRIM(C26))&gt;0),
D27*O26/(26*8),
0
),
0
)</f>
        <v>0</v>
      </c>
      <c r="P27" s="264">
        <f t="shared" ref="P27:P58" si="185">IFERROR(
IF(AND(LEN(TRIM(B26))&gt;0,LEN(TRIM(C26))&gt;0),
(D27/26/8*P26),
0
),
0
)</f>
        <v>0</v>
      </c>
      <c r="Q27" s="56">
        <f>IFERROR(
IF(AND(LEN(TRIM(B26))&gt;0,LEN(TRIM(C26))&gt;0),
'Bang TH nop'!BC27,
0
),
0
)</f>
        <v>0</v>
      </c>
      <c r="R27" s="263">
        <f>IFERROR(
IF(AND(LEN(TRIM(B26))&gt;0,LEN(TRIM(C26))&gt;0),
'Bang TH nop'!BD27,
0
),
0
)</f>
        <v>0</v>
      </c>
      <c r="S27" s="263">
        <f>IFERROR(
IF(AND(LEN(TRIM(B26))&gt;0,LEN(TRIM(C26))&gt;0),
'Bang TH nop'!BJ27,
0
),
0
)</f>
        <v>0</v>
      </c>
      <c r="T27" s="263">
        <f>IFERROR(
IF(AND(LEN(TRIM(B26))&gt;0,LEN(TRIM(C26))&gt;0),
'Bang TH nop'!AW27,
0
),
0
)</f>
        <v>0</v>
      </c>
      <c r="U27" s="264">
        <f t="shared" ref="U27:U58" si="186">IFERROR(
IF(AND(LEN(TRIM(B26))&gt;0,LEN(TRIM(C26))&gt;0),
D27/26/8*U26,
0
),
0
)</f>
        <v>0</v>
      </c>
      <c r="V27" s="264"/>
      <c r="W27" s="264"/>
      <c r="X27" s="263">
        <f t="shared" ref="X27:X58" si="187">+IF(G27-I27&lt;0,0,G27-I27)</f>
        <v>0</v>
      </c>
      <c r="Y27" s="263">
        <f t="shared" ref="Y27:Y58" si="188">+IF(H27-J27&lt;0,0, H27-J27)</f>
        <v>0</v>
      </c>
      <c r="Z27" s="263">
        <f t="shared" ref="Z27" si="189">IFERROR(
IF(AND(LEN(TRIM(B26))&gt;0,LEN(TRIM(C26))&gt;0),
(X27+Y27)*25%,
0
),
0
)</f>
        <v>0</v>
      </c>
      <c r="AA27" s="263">
        <f>IFERROR(
IF(AND(LEN(TRIM(B26))&gt;0,LEN(TRIM(C26))&gt;0),
'Bang TH nop'!BG27,
0
),
0
)</f>
        <v>0</v>
      </c>
      <c r="AB27" s="264">
        <f t="shared" ref="AB27" si="190">IFERROR(
IF(AND(LEN(TRIM(B26))&gt;0,LEN(TRIM(C26))&gt;0),
SUM(I27:W27)+IFERROR(Z27,0)+IFERROR(AA27,0),
0
),
0
)</f>
        <v>0</v>
      </c>
      <c r="AC27" s="263">
        <f t="shared" ref="AC27:AC58" si="191">IFERROR(
IF(AND(LEN(TRIM(B26))&gt;0,LEN(TRIM(C26))&gt;0),
IF((26-(IFERROR(I26,0)+IFERROR(K26,0)+IFERROR(L26,0)+IFERROR(M26,0)))&gt;12,0,D27*10.5%),
0
),
0
)</f>
        <v>0</v>
      </c>
      <c r="AD27" s="291">
        <f t="shared" ref="AD27:AD58" si="192">IFERROR(
IF(AND(LEN(TRIM(B26))&gt;0,LEN(TRIM(C26))&gt;0),
ROUND(IF(D27=4939000,D27*0.5%,0),-2),
0
),
0
)</f>
        <v>0</v>
      </c>
      <c r="AE27" s="264">
        <f t="shared" ref="AE27" si="193">IFERROR(
IF(AND(LEN(TRIM(B26))&gt;0,LEN(TRIM(C26))&gt;0),
ROUND(IFERROR(AB27,0)-IFERROR(AC27,0)-IFERROR(AD27,0),-2),
0
),
0
)</f>
        <v>0</v>
      </c>
      <c r="AF27" s="13">
        <f>IFERROR(
IF(AND(LEN(TRIM(B26))&gt;0,LEN(TRIM(C26))&gt;0),
IFERROR('Bang TH nop'!AR27,0)+IFERROR('Bang TH nop'!AU27,0)+IFERROR('Bang TH nop'!BG27,0),
0
),
0
)</f>
        <v>0</v>
      </c>
      <c r="AG27" s="241"/>
      <c r="AH27" s="266"/>
      <c r="AI27" s="174">
        <f t="shared" ref="AI27" si="194">IFERROR(
IF(AND(LEN(TRIM(B26))&gt;0,LEN(TRIM(C26))&gt;0),
AH27/AG27,
0
),
0
)</f>
        <v>0</v>
      </c>
      <c r="AJ27" s="174">
        <f t="shared" ref="AJ27:AJ58" si="195">IFERROR(
IF(AND(LEN(TRIM(B26))&gt;0,LEN(TRIM(C26))&gt;0),
AL27/AF27,
0
),
0
)</f>
        <v>0</v>
      </c>
      <c r="AK27" s="175">
        <f t="shared" ref="AK27" si="196">IFERROR(
IF(AND(LEN(TRIM(B26))&gt;0,LEN(TRIM(C26))&gt;0),
AJ27/AI27,
0
),
0
)</f>
        <v>0</v>
      </c>
      <c r="AL27" s="176">
        <f t="shared" ref="AL27:AL58" si="197">IFERROR(
IF(AND(LEN(TRIM(B26))&gt;0,LEN(TRIM(C26))&gt;0),
AB27/L27,
0
),
0
)</f>
        <v>0</v>
      </c>
    </row>
    <row r="28" spans="1:38" ht="17.100000000000001" customHeight="1">
      <c r="A28" s="305">
        <v>11</v>
      </c>
      <c r="B28" s="307">
        <f>'Bang TH nop'!B29</f>
        <v>0</v>
      </c>
      <c r="C28" s="309">
        <f>IFERROR(IF(LEN(TRIM(B28))&gt;0,'Bang TH nop'!C29,""),"")</f>
        <v>0</v>
      </c>
      <c r="D28" s="311">
        <f>IFERROR(IF(AND(LEN(TRIM(B28))&gt;0,LEN(TRIM(C28))&gt;0),'Bang TH nop'!AO29,""),"")</f>
        <v>0</v>
      </c>
      <c r="E28" s="312"/>
      <c r="F28" s="259"/>
      <c r="G28" s="260"/>
      <c r="H28" s="260"/>
      <c r="I28" s="10">
        <f>IFERROR(IF(AND(LEN(TRIM(B28))&gt;0,LEN(TRIM(C28))&gt;0),'Bang TH nop'!BB29,0),0)</f>
        <v>0</v>
      </c>
      <c r="J28" s="10">
        <f>IFERROR(IF(AND(LEN(TRIM(B28))&gt;0,LEN(TRIM(C28))&gt;0),'Bang TH nop'!AV29,0),0)</f>
        <v>0</v>
      </c>
      <c r="K28" s="10">
        <f>IFERROR(IF(AND(LEN(TRIM(B28))&gt;0,LEN(TRIM(C28))&gt;0),'Bang TH nop'!AR29,0),0)</f>
        <v>0</v>
      </c>
      <c r="L28" s="12">
        <f>IFERROR(IF(AND(LEN(TRIM(B28))&gt;0,LEN(TRIM(C28))&gt;0),'Bang TH nop'!AS29,0),0)</f>
        <v>0</v>
      </c>
      <c r="M28" s="12">
        <f>IFERROR(IF(AND(LEN(TRIM(C28))&gt;0,LEN(TRIM(D28))&gt;0),'Bang TH nop'!AT29,0),0)</f>
        <v>0</v>
      </c>
      <c r="N28" s="12">
        <f>IFERROR(IF(AND(LEN(TRIM(B28))&gt;0,LEN(TRIM(C28))&gt;0),'Bang TH nop'!AU29,0),0)</f>
        <v>0</v>
      </c>
      <c r="O28" s="12">
        <f>IFERROR(IF(AND(LEN(TRIM(B28))&gt;0,LEN(TRIM(C28))&gt;0),'Bang TH nop'!BE29,0),0)</f>
        <v>0</v>
      </c>
      <c r="P28" s="12">
        <f>IFERROR(IF(AND(LEN(TRIM(B29))&gt;0,LEN(TRIM(C28))&gt;0),'Bang TH nop'!AZ29,0),0)</f>
        <v>0</v>
      </c>
      <c r="Q28" s="12"/>
      <c r="R28" s="261"/>
      <c r="S28" s="261"/>
      <c r="T28" s="261"/>
      <c r="U28" s="260"/>
      <c r="V28" s="260"/>
      <c r="W28" s="260"/>
      <c r="X28" s="260"/>
      <c r="Y28" s="260"/>
      <c r="Z28" s="260"/>
      <c r="AA28" s="259" t="str">
        <f>IFERROR(
IF(AND(LEN(TRIM(B28))&gt;0,LEN(TRIM(C28))&gt;0),
'Bang TH nop'!AH29,
0
),
0
)</f>
        <v>A</v>
      </c>
      <c r="AB28" s="11"/>
      <c r="AC28" s="11"/>
      <c r="AD28" s="260"/>
      <c r="AE28" s="11"/>
      <c r="AF28" s="260"/>
      <c r="AG28" s="241"/>
      <c r="AH28" s="286"/>
      <c r="AI28" s="287"/>
      <c r="AJ28" s="288"/>
      <c r="AK28" s="287"/>
      <c r="AL28" s="173"/>
    </row>
    <row r="29" spans="1:38" ht="17.100000000000001" customHeight="1">
      <c r="A29" s="306"/>
      <c r="B29" s="308"/>
      <c r="C29" s="310"/>
      <c r="D29" s="319">
        <f>IFERROR(IF(AND(LEN(TRIM(B28))&gt;0,LEN(TRIM(C28))&gt;0),'Bang TH nop'!AP29,""),"")</f>
        <v>0</v>
      </c>
      <c r="E29" s="320"/>
      <c r="F29" s="55">
        <f>IFERROR(IF(AND(LEN(TRIM(B28))&gt;0,LEN(TRIM(C28))&gt;0),'Bang TH nop'!AL29,0),0)</f>
        <v>0</v>
      </c>
      <c r="G29" s="263">
        <f t="shared" ref="G29:G60" si="198">D29*I28/26</f>
        <v>0</v>
      </c>
      <c r="H29" s="263">
        <f t="shared" ref="H29:H60" si="199">D29*J28*150%/(26*8)</f>
        <v>0</v>
      </c>
      <c r="I29" s="263">
        <f t="shared" ref="I29:I60" si="200">IFERROR(
IF(AND(LEN(TRIM(B28))&gt;0,LEN(TRIM(C28))&gt;0),
IF(((I28-N28)*8+N28*7+J28)=0,0,
F29*680*(((I28-N28)*8+N28*7))/(((I28-N28)*8+N28*7+J28))*$I$4
),
0
),
0
)</f>
        <v>0</v>
      </c>
      <c r="J29" s="263">
        <f t="shared" ref="J29:J60" si="201">IFERROR(
IF(AND(LEN(TRIM(B28))&gt;0,LEN(TRIM(C28))&gt;0),
IF(((I28-N28)*8+N28*7+J28)=0,0,
F29*680*150%*J28/(((I28-N28)*8+N28*7+J28))*$I$4
),
0
),
0
)</f>
        <v>0</v>
      </c>
      <c r="K29" s="264">
        <f t="shared" ref="K29:K60" si="202">IFERROR(
IF(AND(LEN(TRIM(B28))&gt;0,LEN(TRIM(C28))&gt;0),
ROUND(D29/26*K28,0),
0
),
0
)</f>
        <v>0</v>
      </c>
      <c r="L29" s="264">
        <f t="shared" ref="L29:L60" si="203">IFERROR(
IF(AND(LEN(TRIM(B28))&gt;0,LEN(TRIM(C28))&gt;0),
ROUND(D29/26*L28,0),
0
),
0
)</f>
        <v>0</v>
      </c>
      <c r="M29" s="264">
        <f t="shared" ref="M29:M60" si="204">IFERROR(
IF(AND(LEN(TRIM(B28))&gt;0,LEN(TRIM(C28))&gt;0),
ROUND(D29/26*M28,0),
0
),
0
)</f>
        <v>0</v>
      </c>
      <c r="N29" s="264">
        <f t="shared" ref="N29:N60" si="205">IFERROR(
IF(AND(LEN(TRIM(B28))&gt;0,LEN(TRIM(C28))&gt;0),
D29*N28/(26*8),
0
),
0
)</f>
        <v>0</v>
      </c>
      <c r="O29" s="264">
        <f t="shared" ref="O29:O60" si="206">IFERROR(
IF(AND(LEN(TRIM(B28))&gt;0,LEN(TRIM(C28))&gt;0),
D29*O28/(26*8),
0
),
0
)</f>
        <v>0</v>
      </c>
      <c r="P29" s="264">
        <f t="shared" ref="P29:P60" si="207">IFERROR(
IF(AND(LEN(TRIM(B28))&gt;0,LEN(TRIM(C28))&gt;0),
(D29/26/8*P28),
0
),
0
)</f>
        <v>0</v>
      </c>
      <c r="Q29" s="56">
        <f>IFERROR(
IF(AND(LEN(TRIM(B28))&gt;0,LEN(TRIM(C28))&gt;0),
'Bang TH nop'!BC29,
0
),
0
)</f>
        <v>0</v>
      </c>
      <c r="R29" s="263">
        <f>IFERROR(
IF(AND(LEN(TRIM(B28))&gt;0,LEN(TRIM(C28))&gt;0),
'Bang TH nop'!BD29,
0
),
0
)</f>
        <v>0</v>
      </c>
      <c r="S29" s="263">
        <f>IFERROR(
IF(AND(LEN(TRIM(B28))&gt;0,LEN(TRIM(C28))&gt;0),
'Bang TH nop'!BJ29,
0
),
0
)</f>
        <v>0</v>
      </c>
      <c r="T29" s="263">
        <f>IFERROR(
IF(AND(LEN(TRIM(B28))&gt;0,LEN(TRIM(C28))&gt;0),
'Bang TH nop'!AW29,
0
),
0
)</f>
        <v>0</v>
      </c>
      <c r="U29" s="264">
        <f t="shared" ref="U29:U60" si="208">IFERROR(
IF(AND(LEN(TRIM(B28))&gt;0,LEN(TRIM(C28))&gt;0),
D29/26/8*U28,
0
),
0
)</f>
        <v>0</v>
      </c>
      <c r="V29" s="264"/>
      <c r="W29" s="264"/>
      <c r="X29" s="263">
        <f t="shared" ref="X29:X60" si="209">+IF(G29-I29&lt;0,0,G29-I29)</f>
        <v>0</v>
      </c>
      <c r="Y29" s="263">
        <f t="shared" ref="Y29:Y60" si="210">+IF(H29-J29&lt;0,0, H29-J29)</f>
        <v>0</v>
      </c>
      <c r="Z29" s="263">
        <f t="shared" ref="Z29" si="211">IFERROR(
IF(AND(LEN(TRIM(B28))&gt;0,LEN(TRIM(C28))&gt;0),
(X29+Y29)*25%,
0
),
0
)</f>
        <v>0</v>
      </c>
      <c r="AA29" s="263">
        <f>IFERROR(
IF(AND(LEN(TRIM(B28))&gt;0,LEN(TRIM(C28))&gt;0),
'Bang TH nop'!BG29,
0
),
0
)</f>
        <v>0</v>
      </c>
      <c r="AB29" s="264">
        <f t="shared" ref="AB29" si="212">IFERROR(
IF(AND(LEN(TRIM(B28))&gt;0,LEN(TRIM(C28))&gt;0),
SUM(I29:W29)+IFERROR(Z29,0)+IFERROR(AA29,0),
0
),
0
)</f>
        <v>0</v>
      </c>
      <c r="AC29" s="263">
        <f t="shared" ref="AC29:AC60" si="213">IFERROR(
IF(AND(LEN(TRIM(B28))&gt;0,LEN(TRIM(C28))&gt;0),
IF((26-(IFERROR(I28,0)+IFERROR(K28,0)+IFERROR(L28,0)+IFERROR(M28,0)))&gt;12,0,D29*10.5%),
0
),
0
)</f>
        <v>0</v>
      </c>
      <c r="AD29" s="291">
        <f t="shared" ref="AD29:AD60" si="214">IFERROR(
IF(AND(LEN(TRIM(B28))&gt;0,LEN(TRIM(C28))&gt;0),
ROUND(IF(D29=4939000,D29*0.5%,0),-2),
0
),
0
)</f>
        <v>0</v>
      </c>
      <c r="AE29" s="264">
        <f t="shared" ref="AE29" si="215">IFERROR(
IF(AND(LEN(TRIM(B28))&gt;0,LEN(TRIM(C28))&gt;0),
ROUND(IFERROR(AB29,0)-IFERROR(AC29,0)-IFERROR(AD29,0),-2),
0
),
0
)</f>
        <v>0</v>
      </c>
      <c r="AF29" s="13">
        <f>IFERROR(
IF(AND(LEN(TRIM(B28))&gt;0,LEN(TRIM(C28))&gt;0),
IFERROR('Bang TH nop'!AR29,0)+IFERROR('Bang TH nop'!AU29,0)+IFERROR('Bang TH nop'!BG29,0),
0
),
0
)</f>
        <v>0</v>
      </c>
      <c r="AG29" s="241"/>
      <c r="AH29" s="266"/>
      <c r="AI29" s="174">
        <f t="shared" ref="AI29" si="216">IFERROR(
IF(AND(LEN(TRIM(B28))&gt;0,LEN(TRIM(C28))&gt;0),
AH29/AG29,
0
),
0
)</f>
        <v>0</v>
      </c>
      <c r="AJ29" s="174">
        <f t="shared" ref="AJ29:AJ60" si="217">IFERROR(
IF(AND(LEN(TRIM(B28))&gt;0,LEN(TRIM(C28))&gt;0),
AL29/AF29,
0
),
0
)</f>
        <v>0</v>
      </c>
      <c r="AK29" s="175">
        <f t="shared" ref="AK29" si="218">IFERROR(
IF(AND(LEN(TRIM(B28))&gt;0,LEN(TRIM(C28))&gt;0),
AJ29/AI29,
0
),
0
)</f>
        <v>0</v>
      </c>
      <c r="AL29" s="176">
        <f t="shared" ref="AL29:AL60" si="219">IFERROR(
IF(AND(LEN(TRIM(B28))&gt;0,LEN(TRIM(C28))&gt;0),
AB29/L29,
0
),
0
)</f>
        <v>0</v>
      </c>
    </row>
    <row r="30" spans="1:38" ht="17.100000000000001" customHeight="1">
      <c r="A30" s="305">
        <v>12</v>
      </c>
      <c r="B30" s="307">
        <f>'Bang TH nop'!B31</f>
        <v>0</v>
      </c>
      <c r="C30" s="309">
        <f>IFERROR(IF(LEN(TRIM(B30))&gt;0,'Bang TH nop'!C31,""),"")</f>
        <v>0</v>
      </c>
      <c r="D30" s="311">
        <f>IFERROR(IF(AND(LEN(TRIM(B30))&gt;0,LEN(TRIM(C30))&gt;0),'Bang TH nop'!AO31,""),"")</f>
        <v>0</v>
      </c>
      <c r="E30" s="312"/>
      <c r="F30" s="259"/>
      <c r="G30" s="260"/>
      <c r="H30" s="260"/>
      <c r="I30" s="10">
        <f>IFERROR(IF(AND(LEN(TRIM(B30))&gt;0,LEN(TRIM(C30))&gt;0),'Bang TH nop'!BB31,0),0)</f>
        <v>0</v>
      </c>
      <c r="J30" s="10">
        <f>IFERROR(IF(AND(LEN(TRIM(B30))&gt;0,LEN(TRIM(C30))&gt;0),'Bang TH nop'!AV31,0),0)</f>
        <v>0</v>
      </c>
      <c r="K30" s="10">
        <f>IFERROR(IF(AND(LEN(TRIM(B30))&gt;0,LEN(TRIM(C30))&gt;0),'Bang TH nop'!AR31,0),0)</f>
        <v>0</v>
      </c>
      <c r="L30" s="12">
        <f>IFERROR(IF(AND(LEN(TRIM(B30))&gt;0,LEN(TRIM(C30))&gt;0),'Bang TH nop'!AS31,0),0)</f>
        <v>0</v>
      </c>
      <c r="M30" s="12">
        <f>IFERROR(IF(AND(LEN(TRIM(C30))&gt;0,LEN(TRIM(D30))&gt;0),'Bang TH nop'!AT31,0),0)</f>
        <v>0</v>
      </c>
      <c r="N30" s="12">
        <f>IFERROR(IF(AND(LEN(TRIM(B30))&gt;0,LEN(TRIM(C30))&gt;0),'Bang TH nop'!AU31,0),0)</f>
        <v>0</v>
      </c>
      <c r="O30" s="12">
        <f>IFERROR(IF(AND(LEN(TRIM(B30))&gt;0,LEN(TRIM(C30))&gt;0),'Bang TH nop'!BE31,0),0)</f>
        <v>0</v>
      </c>
      <c r="P30" s="12">
        <f>IFERROR(IF(AND(LEN(TRIM(B31))&gt;0,LEN(TRIM(C30))&gt;0),'Bang TH nop'!AZ31,0),0)</f>
        <v>0</v>
      </c>
      <c r="Q30" s="12"/>
      <c r="R30" s="261"/>
      <c r="S30" s="261"/>
      <c r="T30" s="261"/>
      <c r="U30" s="260"/>
      <c r="V30" s="260"/>
      <c r="W30" s="260"/>
      <c r="X30" s="260"/>
      <c r="Y30" s="260"/>
      <c r="Z30" s="260"/>
      <c r="AA30" s="259" t="str">
        <f>IFERROR(
IF(AND(LEN(TRIM(B30))&gt;0,LEN(TRIM(C30))&gt;0),
'Bang TH nop'!AH31,
0
),
0
)</f>
        <v>A</v>
      </c>
      <c r="AB30" s="11"/>
      <c r="AC30" s="11"/>
      <c r="AD30" s="260"/>
      <c r="AE30" s="11"/>
      <c r="AF30" s="260"/>
      <c r="AG30" s="241"/>
      <c r="AH30" s="286"/>
      <c r="AI30" s="287"/>
      <c r="AJ30" s="288"/>
      <c r="AK30" s="287"/>
      <c r="AL30" s="173"/>
    </row>
    <row r="31" spans="1:38" ht="17.100000000000001" customHeight="1">
      <c r="A31" s="306"/>
      <c r="B31" s="308"/>
      <c r="C31" s="310"/>
      <c r="D31" s="319">
        <f>IFERROR(IF(AND(LEN(TRIM(B30))&gt;0,LEN(TRIM(C30))&gt;0),'Bang TH nop'!AP31,""),"")</f>
        <v>0</v>
      </c>
      <c r="E31" s="320"/>
      <c r="F31" s="55">
        <f>IFERROR(IF(AND(LEN(TRIM(B30))&gt;0,LEN(TRIM(C30))&gt;0),'Bang TH nop'!AL31,0),0)</f>
        <v>0</v>
      </c>
      <c r="G31" s="263">
        <f t="shared" ref="G31:G62" si="220">D31*I30/26</f>
        <v>0</v>
      </c>
      <c r="H31" s="263">
        <f t="shared" ref="H31:H62" si="221">D31*J30*150%/(26*8)</f>
        <v>0</v>
      </c>
      <c r="I31" s="263">
        <f t="shared" ref="I31:I62" si="222">IFERROR(
IF(AND(LEN(TRIM(B30))&gt;0,LEN(TRIM(C30))&gt;0),
IF(((I30-N30)*8+N30*7+J30)=0,0,
F31*680*(((I30-N30)*8+N30*7))/(((I30-N30)*8+N30*7+J30))*$I$4
),
0
),
0
)</f>
        <v>0</v>
      </c>
      <c r="J31" s="263">
        <f t="shared" ref="J31:J62" si="223">IFERROR(
IF(AND(LEN(TRIM(B30))&gt;0,LEN(TRIM(C30))&gt;0),
IF(((I30-N30)*8+N30*7+J30)=0,0,
F31*680*150%*J30/(((I30-N30)*8+N30*7+J30))*$I$4
),
0
),
0
)</f>
        <v>0</v>
      </c>
      <c r="K31" s="264">
        <f t="shared" ref="K31:K62" si="224">IFERROR(
IF(AND(LEN(TRIM(B30))&gt;0,LEN(TRIM(C30))&gt;0),
ROUND(D31/26*K30,0),
0
),
0
)</f>
        <v>0</v>
      </c>
      <c r="L31" s="264">
        <f t="shared" ref="L31:L62" si="225">IFERROR(
IF(AND(LEN(TRIM(B30))&gt;0,LEN(TRIM(C30))&gt;0),
ROUND(D31/26*L30,0),
0
),
0
)</f>
        <v>0</v>
      </c>
      <c r="M31" s="264">
        <f t="shared" ref="M31:M62" si="226">IFERROR(
IF(AND(LEN(TRIM(B30))&gt;0,LEN(TRIM(C30))&gt;0),
ROUND(D31/26*M30,0),
0
),
0
)</f>
        <v>0</v>
      </c>
      <c r="N31" s="264">
        <f t="shared" ref="N31:N62" si="227">IFERROR(
IF(AND(LEN(TRIM(B30))&gt;0,LEN(TRIM(C30))&gt;0),
D31*N30/(26*8),
0
),
0
)</f>
        <v>0</v>
      </c>
      <c r="O31" s="264">
        <f t="shared" ref="O31:O62" si="228">IFERROR(
IF(AND(LEN(TRIM(B30))&gt;0,LEN(TRIM(C30))&gt;0),
D31*O30/(26*8),
0
),
0
)</f>
        <v>0</v>
      </c>
      <c r="P31" s="264">
        <f t="shared" ref="P31:P62" si="229">IFERROR(
IF(AND(LEN(TRIM(B30))&gt;0,LEN(TRIM(C30))&gt;0),
(D31/26/8*P30),
0
),
0
)</f>
        <v>0</v>
      </c>
      <c r="Q31" s="56">
        <f>IFERROR(
IF(AND(LEN(TRIM(B30))&gt;0,LEN(TRIM(C30))&gt;0),
'Bang TH nop'!BC31,
0
),
0
)</f>
        <v>0</v>
      </c>
      <c r="R31" s="263">
        <f>IFERROR(
IF(AND(LEN(TRIM(B30))&gt;0,LEN(TRIM(C30))&gt;0),
'Bang TH nop'!BD31,
0
),
0
)</f>
        <v>0</v>
      </c>
      <c r="S31" s="263">
        <f>IFERROR(
IF(AND(LEN(TRIM(B30))&gt;0,LEN(TRIM(C30))&gt;0),
'Bang TH nop'!BJ31,
0
),
0
)</f>
        <v>0</v>
      </c>
      <c r="T31" s="263">
        <f>IFERROR(
IF(AND(LEN(TRIM(B30))&gt;0,LEN(TRIM(C30))&gt;0),
'Bang TH nop'!AW31,
0
),
0
)</f>
        <v>0</v>
      </c>
      <c r="U31" s="264">
        <f t="shared" ref="U31:U62" si="230">IFERROR(
IF(AND(LEN(TRIM(B30))&gt;0,LEN(TRIM(C30))&gt;0),
D31/26/8*U30,
0
),
0
)</f>
        <v>0</v>
      </c>
      <c r="V31" s="264"/>
      <c r="W31" s="264"/>
      <c r="X31" s="263">
        <f t="shared" ref="X31:X62" si="231">+IF(G31-I31&lt;0,0,G31-I31)</f>
        <v>0</v>
      </c>
      <c r="Y31" s="263">
        <f t="shared" ref="Y31:Y62" si="232">+IF(H31-J31&lt;0,0, H31-J31)</f>
        <v>0</v>
      </c>
      <c r="Z31" s="263">
        <f t="shared" ref="Z31" si="233">IFERROR(
IF(AND(LEN(TRIM(B30))&gt;0,LEN(TRIM(C30))&gt;0),
(X31+Y31)*25%,
0
),
0
)</f>
        <v>0</v>
      </c>
      <c r="AA31" s="263">
        <f>IFERROR(
IF(AND(LEN(TRIM(B30))&gt;0,LEN(TRIM(C30))&gt;0),
'Bang TH nop'!BG31,
0
),
0
)</f>
        <v>0</v>
      </c>
      <c r="AB31" s="264">
        <f t="shared" ref="AB31" si="234">IFERROR(
IF(AND(LEN(TRIM(B30))&gt;0,LEN(TRIM(C30))&gt;0),
SUM(I31:W31)+IFERROR(Z31,0)+IFERROR(AA31,0),
0
),
0
)</f>
        <v>0</v>
      </c>
      <c r="AC31" s="263">
        <f t="shared" ref="AC31:AC62" si="235">IFERROR(
IF(AND(LEN(TRIM(B30))&gt;0,LEN(TRIM(C30))&gt;0),
IF((26-(IFERROR(I30,0)+IFERROR(K30,0)+IFERROR(L30,0)+IFERROR(M30,0)))&gt;12,0,D31*10.5%),
0
),
0
)</f>
        <v>0</v>
      </c>
      <c r="AD31" s="291">
        <f t="shared" ref="AD31:AD62" si="236">IFERROR(
IF(AND(LEN(TRIM(B30))&gt;0,LEN(TRIM(C30))&gt;0),
ROUND(IF(D31=4939000,D31*0.5%,0),-2),
0
),
0
)</f>
        <v>0</v>
      </c>
      <c r="AE31" s="264">
        <f t="shared" ref="AE31" si="237">IFERROR(
IF(AND(LEN(TRIM(B30))&gt;0,LEN(TRIM(C30))&gt;0),
ROUND(IFERROR(AB31,0)-IFERROR(AC31,0)-IFERROR(AD31,0),-2),
0
),
0
)</f>
        <v>0</v>
      </c>
      <c r="AF31" s="13">
        <f>IFERROR(
IF(AND(LEN(TRIM(B30))&gt;0,LEN(TRIM(C30))&gt;0),
IFERROR('Bang TH nop'!AR31,0)+IFERROR('Bang TH nop'!AU31,0)+IFERROR('Bang TH nop'!BG31,0),
0
),
0
)</f>
        <v>0</v>
      </c>
      <c r="AG31" s="241"/>
      <c r="AH31" s="266"/>
      <c r="AI31" s="174">
        <f t="shared" ref="AI31" si="238">IFERROR(
IF(AND(LEN(TRIM(B30))&gt;0,LEN(TRIM(C30))&gt;0),
AH31/AG31,
0
),
0
)</f>
        <v>0</v>
      </c>
      <c r="AJ31" s="174">
        <f t="shared" ref="AJ31:AJ62" si="239">IFERROR(
IF(AND(LEN(TRIM(B30))&gt;0,LEN(TRIM(C30))&gt;0),
AL31/AF31,
0
),
0
)</f>
        <v>0</v>
      </c>
      <c r="AK31" s="175">
        <f t="shared" ref="AK31" si="240">IFERROR(
IF(AND(LEN(TRIM(B30))&gt;0,LEN(TRIM(C30))&gt;0),
AJ31/AI31,
0
),
0
)</f>
        <v>0</v>
      </c>
      <c r="AL31" s="176">
        <f t="shared" ref="AL31:AL62" si="241">IFERROR(
IF(AND(LEN(TRIM(B30))&gt;0,LEN(TRIM(C30))&gt;0),
AB31/L31,
0
),
0
)</f>
        <v>0</v>
      </c>
    </row>
    <row r="32" spans="1:38" ht="17.100000000000001" customHeight="1">
      <c r="A32" s="305">
        <v>13</v>
      </c>
      <c r="B32" s="307">
        <f>'Bang TH nop'!B33</f>
        <v>0</v>
      </c>
      <c r="C32" s="309">
        <f>IFERROR(IF(LEN(TRIM(B32))&gt;0,'Bang TH nop'!C33,""),"")</f>
        <v>0</v>
      </c>
      <c r="D32" s="311">
        <f>IFERROR(IF(AND(LEN(TRIM(B32))&gt;0,LEN(TRIM(C32))&gt;0),'Bang TH nop'!AO33,""),"")</f>
        <v>0</v>
      </c>
      <c r="E32" s="312"/>
      <c r="F32" s="259"/>
      <c r="G32" s="260"/>
      <c r="H32" s="260"/>
      <c r="I32" s="10">
        <f>IFERROR(IF(AND(LEN(TRIM(B32))&gt;0,LEN(TRIM(C32))&gt;0),'Bang TH nop'!BB33,0),0)</f>
        <v>0</v>
      </c>
      <c r="J32" s="10">
        <f>IFERROR(IF(AND(LEN(TRIM(B32))&gt;0,LEN(TRIM(C32))&gt;0),'Bang TH nop'!AV33,0),0)</f>
        <v>0</v>
      </c>
      <c r="K32" s="10">
        <f>IFERROR(IF(AND(LEN(TRIM(B32))&gt;0,LEN(TRIM(C32))&gt;0),'Bang TH nop'!AR33,0),0)</f>
        <v>0</v>
      </c>
      <c r="L32" s="12">
        <f>IFERROR(IF(AND(LEN(TRIM(B32))&gt;0,LEN(TRIM(C32))&gt;0),'Bang TH nop'!AS33,0),0)</f>
        <v>0</v>
      </c>
      <c r="M32" s="12">
        <f>IFERROR(IF(AND(LEN(TRIM(C32))&gt;0,LEN(TRIM(D32))&gt;0),'Bang TH nop'!AT33,0),0)</f>
        <v>0</v>
      </c>
      <c r="N32" s="12">
        <f>IFERROR(IF(AND(LEN(TRIM(B32))&gt;0,LEN(TRIM(C32))&gt;0),'Bang TH nop'!AU33,0),0)</f>
        <v>0</v>
      </c>
      <c r="O32" s="12">
        <f>IFERROR(IF(AND(LEN(TRIM(B32))&gt;0,LEN(TRIM(C32))&gt;0),'Bang TH nop'!BE33,0),0)</f>
        <v>0</v>
      </c>
      <c r="P32" s="12">
        <f>IFERROR(IF(AND(LEN(TRIM(B33))&gt;0,LEN(TRIM(C32))&gt;0),'Bang TH nop'!AZ33,0),0)</f>
        <v>0</v>
      </c>
      <c r="Q32" s="12"/>
      <c r="R32" s="261"/>
      <c r="S32" s="261"/>
      <c r="T32" s="261"/>
      <c r="U32" s="260"/>
      <c r="V32" s="260"/>
      <c r="W32" s="260"/>
      <c r="X32" s="260"/>
      <c r="Y32" s="260"/>
      <c r="Z32" s="260"/>
      <c r="AA32" s="259" t="str">
        <f>IFERROR(
IF(AND(LEN(TRIM(B32))&gt;0,LEN(TRIM(C32))&gt;0),
'Bang TH nop'!AH33,
0
),
0
)</f>
        <v>A</v>
      </c>
      <c r="AB32" s="11"/>
      <c r="AC32" s="11"/>
      <c r="AD32" s="260"/>
      <c r="AE32" s="11"/>
      <c r="AF32" s="260"/>
      <c r="AG32" s="241"/>
      <c r="AH32" s="286"/>
      <c r="AI32" s="287"/>
      <c r="AJ32" s="288"/>
      <c r="AK32" s="287"/>
      <c r="AL32" s="173"/>
    </row>
    <row r="33" spans="1:38" ht="17.100000000000001" customHeight="1">
      <c r="A33" s="306"/>
      <c r="B33" s="308"/>
      <c r="C33" s="310"/>
      <c r="D33" s="319">
        <f>IFERROR(IF(AND(LEN(TRIM(B32))&gt;0,LEN(TRIM(C32))&gt;0),'Bang TH nop'!AP33,""),"")</f>
        <v>0</v>
      </c>
      <c r="E33" s="320"/>
      <c r="F33" s="55">
        <f>IFERROR(IF(AND(LEN(TRIM(B32))&gt;0,LEN(TRIM(C32))&gt;0),'Bang TH nop'!AL33,0),0)</f>
        <v>0</v>
      </c>
      <c r="G33" s="263">
        <f t="shared" ref="G33:G64" si="242">D33*I32/26</f>
        <v>0</v>
      </c>
      <c r="H33" s="263">
        <f t="shared" ref="H33:H64" si="243">D33*J32*150%/(26*8)</f>
        <v>0</v>
      </c>
      <c r="I33" s="263">
        <f t="shared" ref="I33:I64" si="244">IFERROR(
IF(AND(LEN(TRIM(B32))&gt;0,LEN(TRIM(C32))&gt;0),
IF(((I32-N32)*8+N32*7+J32)=0,0,
F33*680*(((I32-N32)*8+N32*7))/(((I32-N32)*8+N32*7+J32))*$I$4
),
0
),
0
)</f>
        <v>0</v>
      </c>
      <c r="J33" s="263">
        <f t="shared" ref="J33:J64" si="245">IFERROR(
IF(AND(LEN(TRIM(B32))&gt;0,LEN(TRIM(C32))&gt;0),
IF(((I32-N32)*8+N32*7+J32)=0,0,
F33*680*150%*J32/(((I32-N32)*8+N32*7+J32))*$I$4
),
0
),
0
)</f>
        <v>0</v>
      </c>
      <c r="K33" s="264">
        <f t="shared" ref="K33:K64" si="246">IFERROR(
IF(AND(LEN(TRIM(B32))&gt;0,LEN(TRIM(C32))&gt;0),
ROUND(D33/26*K32,0),
0
),
0
)</f>
        <v>0</v>
      </c>
      <c r="L33" s="264">
        <f t="shared" ref="L33:L64" si="247">IFERROR(
IF(AND(LEN(TRIM(B32))&gt;0,LEN(TRIM(C32))&gt;0),
ROUND(D33/26*L32,0),
0
),
0
)</f>
        <v>0</v>
      </c>
      <c r="M33" s="264">
        <f t="shared" ref="M33:M64" si="248">IFERROR(
IF(AND(LEN(TRIM(B32))&gt;0,LEN(TRIM(C32))&gt;0),
ROUND(D33/26*M32,0),
0
),
0
)</f>
        <v>0</v>
      </c>
      <c r="N33" s="264">
        <f t="shared" ref="N33:N64" si="249">IFERROR(
IF(AND(LEN(TRIM(B32))&gt;0,LEN(TRIM(C32))&gt;0),
D33*N32/(26*8),
0
),
0
)</f>
        <v>0</v>
      </c>
      <c r="O33" s="264">
        <f t="shared" ref="O33:O64" si="250">IFERROR(
IF(AND(LEN(TRIM(B32))&gt;0,LEN(TRIM(C32))&gt;0),
D33*O32/(26*8),
0
),
0
)</f>
        <v>0</v>
      </c>
      <c r="P33" s="264">
        <f t="shared" ref="P33:P64" si="251">IFERROR(
IF(AND(LEN(TRIM(B32))&gt;0,LEN(TRIM(C32))&gt;0),
(D33/26/8*P32),
0
),
0
)</f>
        <v>0</v>
      </c>
      <c r="Q33" s="56">
        <f>IFERROR(
IF(AND(LEN(TRIM(B32))&gt;0,LEN(TRIM(C32))&gt;0),
'Bang TH nop'!BC33,
0
),
0
)</f>
        <v>0</v>
      </c>
      <c r="R33" s="263">
        <f>IFERROR(
IF(AND(LEN(TRIM(B32))&gt;0,LEN(TRIM(C32))&gt;0),
'Bang TH nop'!BD33,
0
),
0
)</f>
        <v>0</v>
      </c>
      <c r="S33" s="263">
        <f>IFERROR(
IF(AND(LEN(TRIM(B32))&gt;0,LEN(TRIM(C32))&gt;0),
'Bang TH nop'!BJ33,
0
),
0
)</f>
        <v>0</v>
      </c>
      <c r="T33" s="263">
        <f>IFERROR(
IF(AND(LEN(TRIM(B32))&gt;0,LEN(TRIM(C32))&gt;0),
'Bang TH nop'!AW33,
0
),
0
)</f>
        <v>0</v>
      </c>
      <c r="U33" s="264">
        <f t="shared" ref="U33:U64" si="252">IFERROR(
IF(AND(LEN(TRIM(B32))&gt;0,LEN(TRIM(C32))&gt;0),
D33/26/8*U32,
0
),
0
)</f>
        <v>0</v>
      </c>
      <c r="V33" s="264"/>
      <c r="W33" s="264"/>
      <c r="X33" s="263">
        <f t="shared" ref="X33:X64" si="253">+IF(G33-I33&lt;0,0,G33-I33)</f>
        <v>0</v>
      </c>
      <c r="Y33" s="263">
        <f t="shared" ref="Y33:Y64" si="254">+IF(H33-J33&lt;0,0, H33-J33)</f>
        <v>0</v>
      </c>
      <c r="Z33" s="263">
        <f t="shared" ref="Z33" si="255">IFERROR(
IF(AND(LEN(TRIM(B32))&gt;0,LEN(TRIM(C32))&gt;0),
(X33+Y33)*25%,
0
),
0
)</f>
        <v>0</v>
      </c>
      <c r="AA33" s="263">
        <f>IFERROR(
IF(AND(LEN(TRIM(B32))&gt;0,LEN(TRIM(C32))&gt;0),
'Bang TH nop'!BG33,
0
),
0
)</f>
        <v>0</v>
      </c>
      <c r="AB33" s="264">
        <f t="shared" ref="AB33" si="256">IFERROR(
IF(AND(LEN(TRIM(B32))&gt;0,LEN(TRIM(C32))&gt;0),
SUM(I33:W33)+IFERROR(Z33,0)+IFERROR(AA33,0),
0
),
0
)</f>
        <v>0</v>
      </c>
      <c r="AC33" s="263">
        <f t="shared" ref="AC33:AC64" si="257">IFERROR(
IF(AND(LEN(TRIM(B32))&gt;0,LEN(TRIM(C32))&gt;0),
IF((26-(IFERROR(I32,0)+IFERROR(K32,0)+IFERROR(L32,0)+IFERROR(M32,0)))&gt;12,0,D33*10.5%),
0
),
0
)</f>
        <v>0</v>
      </c>
      <c r="AD33" s="291">
        <f t="shared" ref="AD33:AD64" si="258">IFERROR(
IF(AND(LEN(TRIM(B32))&gt;0,LEN(TRIM(C32))&gt;0),
ROUND(IF(D33=4939000,D33*0.5%,0),-2),
0
),
0
)</f>
        <v>0</v>
      </c>
      <c r="AE33" s="264">
        <f t="shared" ref="AE33" si="259">IFERROR(
IF(AND(LEN(TRIM(B32))&gt;0,LEN(TRIM(C32))&gt;0),
ROUND(IFERROR(AB33,0)-IFERROR(AC33,0)-IFERROR(AD33,0),-2),
0
),
0
)</f>
        <v>0</v>
      </c>
      <c r="AF33" s="13">
        <f>IFERROR(
IF(AND(LEN(TRIM(B32))&gt;0,LEN(TRIM(C32))&gt;0),
IFERROR('Bang TH nop'!AR33,0)+IFERROR('Bang TH nop'!AU33,0)+IFERROR('Bang TH nop'!BG33,0),
0
),
0
)</f>
        <v>0</v>
      </c>
      <c r="AG33" s="241"/>
      <c r="AH33" s="266"/>
      <c r="AI33" s="174">
        <f t="shared" ref="AI33" si="260">IFERROR(
IF(AND(LEN(TRIM(B32))&gt;0,LEN(TRIM(C32))&gt;0),
AH33/AG33,
0
),
0
)</f>
        <v>0</v>
      </c>
      <c r="AJ33" s="174">
        <f t="shared" ref="AJ33:AJ64" si="261">IFERROR(
IF(AND(LEN(TRIM(B32))&gt;0,LEN(TRIM(C32))&gt;0),
AL33/AF33,
0
),
0
)</f>
        <v>0</v>
      </c>
      <c r="AK33" s="175">
        <f t="shared" ref="AK33" si="262">IFERROR(
IF(AND(LEN(TRIM(B32))&gt;0,LEN(TRIM(C32))&gt;0),
AJ33/AI33,
0
),
0
)</f>
        <v>0</v>
      </c>
      <c r="AL33" s="176">
        <f t="shared" ref="AL33:AL64" si="263">IFERROR(
IF(AND(LEN(TRIM(B32))&gt;0,LEN(TRIM(C32))&gt;0),
AB33/L33,
0
),
0
)</f>
        <v>0</v>
      </c>
    </row>
    <row r="34" spans="1:38" ht="17.100000000000001" customHeight="1">
      <c r="A34" s="305">
        <v>14</v>
      </c>
      <c r="B34" s="307">
        <f>'Bang TH nop'!B35</f>
        <v>0</v>
      </c>
      <c r="C34" s="309">
        <f>IFERROR(IF(LEN(TRIM(B34))&gt;0,'Bang TH nop'!C35,""),"")</f>
        <v>0</v>
      </c>
      <c r="D34" s="311">
        <f>IFERROR(IF(AND(LEN(TRIM(B34))&gt;0,LEN(TRIM(C34))&gt;0),'Bang TH nop'!AO35,""),"")</f>
        <v>0</v>
      </c>
      <c r="E34" s="312"/>
      <c r="F34" s="259"/>
      <c r="G34" s="260"/>
      <c r="H34" s="260"/>
      <c r="I34" s="10">
        <f>IFERROR(IF(AND(LEN(TRIM(B34))&gt;0,LEN(TRIM(C34))&gt;0),'Bang TH nop'!BB35,0),0)</f>
        <v>0</v>
      </c>
      <c r="J34" s="10">
        <f>IFERROR(IF(AND(LEN(TRIM(B34))&gt;0,LEN(TRIM(C34))&gt;0),'Bang TH nop'!AV35,0),0)</f>
        <v>0</v>
      </c>
      <c r="K34" s="10">
        <f>IFERROR(IF(AND(LEN(TRIM(B34))&gt;0,LEN(TRIM(C34))&gt;0),'Bang TH nop'!AR35,0),0)</f>
        <v>0</v>
      </c>
      <c r="L34" s="12">
        <f>IFERROR(IF(AND(LEN(TRIM(B34))&gt;0,LEN(TRIM(C34))&gt;0),'Bang TH nop'!AS35,0),0)</f>
        <v>0</v>
      </c>
      <c r="M34" s="12">
        <f>IFERROR(IF(AND(LEN(TRIM(C34))&gt;0,LEN(TRIM(D34))&gt;0),'Bang TH nop'!AT35,0),0)</f>
        <v>0</v>
      </c>
      <c r="N34" s="12">
        <f>IFERROR(IF(AND(LEN(TRIM(B34))&gt;0,LEN(TRIM(C34))&gt;0),'Bang TH nop'!AU35,0),0)</f>
        <v>0</v>
      </c>
      <c r="O34" s="12">
        <f>IFERROR(IF(AND(LEN(TRIM(B34))&gt;0,LEN(TRIM(C34))&gt;0),'Bang TH nop'!BE35,0),0)</f>
        <v>0</v>
      </c>
      <c r="P34" s="12">
        <f>IFERROR(IF(AND(LEN(TRIM(B35))&gt;0,LEN(TRIM(C34))&gt;0),'Bang TH nop'!AZ35,0),0)</f>
        <v>0</v>
      </c>
      <c r="Q34" s="12"/>
      <c r="R34" s="261"/>
      <c r="S34" s="261"/>
      <c r="T34" s="261"/>
      <c r="U34" s="260"/>
      <c r="V34" s="260"/>
      <c r="W34" s="260"/>
      <c r="X34" s="260"/>
      <c r="Y34" s="260"/>
      <c r="Z34" s="260"/>
      <c r="AA34" s="259" t="str">
        <f>IFERROR(
IF(AND(LEN(TRIM(B34))&gt;0,LEN(TRIM(C34))&gt;0),
'Bang TH nop'!AH35,
0
),
0
)</f>
        <v>A</v>
      </c>
      <c r="AB34" s="11"/>
      <c r="AC34" s="11"/>
      <c r="AD34" s="260"/>
      <c r="AE34" s="11"/>
      <c r="AF34" s="260"/>
      <c r="AG34" s="241"/>
      <c r="AH34" s="286"/>
      <c r="AI34" s="287"/>
      <c r="AJ34" s="288"/>
      <c r="AK34" s="287"/>
      <c r="AL34" s="173"/>
    </row>
    <row r="35" spans="1:38" ht="17.100000000000001" customHeight="1">
      <c r="A35" s="306"/>
      <c r="B35" s="308"/>
      <c r="C35" s="310"/>
      <c r="D35" s="319">
        <f>IFERROR(IF(AND(LEN(TRIM(B34))&gt;0,LEN(TRIM(C34))&gt;0),'Bang TH nop'!AP35,""),"")</f>
        <v>0</v>
      </c>
      <c r="E35" s="320"/>
      <c r="F35" s="55">
        <f>IFERROR(IF(AND(LEN(TRIM(B34))&gt;0,LEN(TRIM(C34))&gt;0),'Bang TH nop'!AL35,0),0)</f>
        <v>0</v>
      </c>
      <c r="G35" s="263">
        <f t="shared" ref="G35:G66" si="264">D35*I34/26</f>
        <v>0</v>
      </c>
      <c r="H35" s="263">
        <f t="shared" ref="H35:H66" si="265">D35*J34*150%/(26*8)</f>
        <v>0</v>
      </c>
      <c r="I35" s="263">
        <f t="shared" ref="I35:I66" si="266">IFERROR(
IF(AND(LEN(TRIM(B34))&gt;0,LEN(TRIM(C34))&gt;0),
IF(((I34-N34)*8+N34*7+J34)=0,0,
F35*680*(((I34-N34)*8+N34*7))/(((I34-N34)*8+N34*7+J34))*$I$4
),
0
),
0
)</f>
        <v>0</v>
      </c>
      <c r="J35" s="263">
        <f t="shared" ref="J35:J66" si="267">IFERROR(
IF(AND(LEN(TRIM(B34))&gt;0,LEN(TRIM(C34))&gt;0),
IF(((I34-N34)*8+N34*7+J34)=0,0,
F35*680*150%*J34/(((I34-N34)*8+N34*7+J34))*$I$4
),
0
),
0
)</f>
        <v>0</v>
      </c>
      <c r="K35" s="264">
        <f t="shared" ref="K35:K66" si="268">IFERROR(
IF(AND(LEN(TRIM(B34))&gt;0,LEN(TRIM(C34))&gt;0),
ROUND(D35/26*K34,0),
0
),
0
)</f>
        <v>0</v>
      </c>
      <c r="L35" s="264">
        <f t="shared" ref="L35:L66" si="269">IFERROR(
IF(AND(LEN(TRIM(B34))&gt;0,LEN(TRIM(C34))&gt;0),
ROUND(D35/26*L34,0),
0
),
0
)</f>
        <v>0</v>
      </c>
      <c r="M35" s="264">
        <f t="shared" ref="M35:M66" si="270">IFERROR(
IF(AND(LEN(TRIM(B34))&gt;0,LEN(TRIM(C34))&gt;0),
ROUND(D35/26*M34,0),
0
),
0
)</f>
        <v>0</v>
      </c>
      <c r="N35" s="264">
        <f t="shared" ref="N35:N66" si="271">IFERROR(
IF(AND(LEN(TRIM(B34))&gt;0,LEN(TRIM(C34))&gt;0),
D35*N34/(26*8),
0
),
0
)</f>
        <v>0</v>
      </c>
      <c r="O35" s="264">
        <f t="shared" ref="O35:O66" si="272">IFERROR(
IF(AND(LEN(TRIM(B34))&gt;0,LEN(TRIM(C34))&gt;0),
D35*O34/(26*8),
0
),
0
)</f>
        <v>0</v>
      </c>
      <c r="P35" s="264">
        <f t="shared" ref="P35:P66" si="273">IFERROR(
IF(AND(LEN(TRIM(B34))&gt;0,LEN(TRIM(C34))&gt;0),
(D35/26/8*P34),
0
),
0
)</f>
        <v>0</v>
      </c>
      <c r="Q35" s="56">
        <f>IFERROR(
IF(AND(LEN(TRIM(B34))&gt;0,LEN(TRIM(C34))&gt;0),
'Bang TH nop'!BC35,
0
),
0
)</f>
        <v>0</v>
      </c>
      <c r="R35" s="263">
        <f>IFERROR(
IF(AND(LEN(TRIM(B34))&gt;0,LEN(TRIM(C34))&gt;0),
'Bang TH nop'!BD35,
0
),
0
)</f>
        <v>0</v>
      </c>
      <c r="S35" s="263">
        <f>IFERROR(
IF(AND(LEN(TRIM(B34))&gt;0,LEN(TRIM(C34))&gt;0),
'Bang TH nop'!BJ35,
0
),
0
)</f>
        <v>0</v>
      </c>
      <c r="T35" s="263">
        <f>IFERROR(
IF(AND(LEN(TRIM(B34))&gt;0,LEN(TRIM(C34))&gt;0),
'Bang TH nop'!AW35,
0
),
0
)</f>
        <v>0</v>
      </c>
      <c r="U35" s="264">
        <f t="shared" ref="U35:U66" si="274">IFERROR(
IF(AND(LEN(TRIM(B34))&gt;0,LEN(TRIM(C34))&gt;0),
D35/26/8*U34,
0
),
0
)</f>
        <v>0</v>
      </c>
      <c r="V35" s="264"/>
      <c r="W35" s="264"/>
      <c r="X35" s="263">
        <f t="shared" ref="X35:X66" si="275">+IF(G35-I35&lt;0,0,G35-I35)</f>
        <v>0</v>
      </c>
      <c r="Y35" s="263">
        <f t="shared" ref="Y35:Y66" si="276">+IF(H35-J35&lt;0,0, H35-J35)</f>
        <v>0</v>
      </c>
      <c r="Z35" s="263">
        <f t="shared" ref="Z35" si="277">IFERROR(
IF(AND(LEN(TRIM(B34))&gt;0,LEN(TRIM(C34))&gt;0),
(X35+Y35)*25%,
0
),
0
)</f>
        <v>0</v>
      </c>
      <c r="AA35" s="263">
        <f>IFERROR(
IF(AND(LEN(TRIM(B34))&gt;0,LEN(TRIM(C34))&gt;0),
'Bang TH nop'!BG35,
0
),
0
)</f>
        <v>0</v>
      </c>
      <c r="AB35" s="264">
        <f t="shared" ref="AB35" si="278">IFERROR(
IF(AND(LEN(TRIM(B34))&gt;0,LEN(TRIM(C34))&gt;0),
SUM(I35:W35)+IFERROR(Z35,0)+IFERROR(AA35,0),
0
),
0
)</f>
        <v>0</v>
      </c>
      <c r="AC35" s="263">
        <f t="shared" ref="AC35:AC66" si="279">IFERROR(
IF(AND(LEN(TRIM(B34))&gt;0,LEN(TRIM(C34))&gt;0),
IF((26-(IFERROR(I34,0)+IFERROR(K34,0)+IFERROR(L34,0)+IFERROR(M34,0)))&gt;12,0,D35*10.5%),
0
),
0
)</f>
        <v>0</v>
      </c>
      <c r="AD35" s="291">
        <f t="shared" ref="AD35:AD66" si="280">IFERROR(
IF(AND(LEN(TRIM(B34))&gt;0,LEN(TRIM(C34))&gt;0),
ROUND(IF(D35=4939000,D35*0.5%,0),-2),
0
),
0
)</f>
        <v>0</v>
      </c>
      <c r="AE35" s="264">
        <f t="shared" ref="AE35" si="281">IFERROR(
IF(AND(LEN(TRIM(B34))&gt;0,LEN(TRIM(C34))&gt;0),
ROUND(IFERROR(AB35,0)-IFERROR(AC35,0)-IFERROR(AD35,0),-2),
0
),
0
)</f>
        <v>0</v>
      </c>
      <c r="AF35" s="13">
        <f>IFERROR(
IF(AND(LEN(TRIM(B34))&gt;0,LEN(TRIM(C34))&gt;0),
IFERROR('Bang TH nop'!AR35,0)+IFERROR('Bang TH nop'!AU35,0)+IFERROR('Bang TH nop'!BG35,0),
0
),
0
)</f>
        <v>0</v>
      </c>
      <c r="AG35" s="241"/>
      <c r="AH35" s="266"/>
      <c r="AI35" s="174">
        <f t="shared" ref="AI35" si="282">IFERROR(
IF(AND(LEN(TRIM(B34))&gt;0,LEN(TRIM(C34))&gt;0),
AH35/AG35,
0
),
0
)</f>
        <v>0</v>
      </c>
      <c r="AJ35" s="174">
        <f t="shared" ref="AJ35:AJ66" si="283">IFERROR(
IF(AND(LEN(TRIM(B34))&gt;0,LEN(TRIM(C34))&gt;0),
AL35/AF35,
0
),
0
)</f>
        <v>0</v>
      </c>
      <c r="AK35" s="175">
        <f t="shared" ref="AK35" si="284">IFERROR(
IF(AND(LEN(TRIM(B34))&gt;0,LEN(TRIM(C34))&gt;0),
AJ35/AI35,
0
),
0
)</f>
        <v>0</v>
      </c>
      <c r="AL35" s="176">
        <f t="shared" ref="AL35:AL66" si="285">IFERROR(
IF(AND(LEN(TRIM(B34))&gt;0,LEN(TRIM(C34))&gt;0),
AB35/L35,
0
),
0
)</f>
        <v>0</v>
      </c>
    </row>
    <row r="36" spans="1:38" ht="17.100000000000001" customHeight="1">
      <c r="A36" s="305">
        <v>15</v>
      </c>
      <c r="B36" s="307">
        <f>'Bang TH nop'!B37</f>
        <v>0</v>
      </c>
      <c r="C36" s="309">
        <f>IFERROR(IF(LEN(TRIM(B36))&gt;0,'Bang TH nop'!C37,""),"")</f>
        <v>0</v>
      </c>
      <c r="D36" s="311">
        <f>IFERROR(IF(AND(LEN(TRIM(B36))&gt;0,LEN(TRIM(C36))&gt;0),'Bang TH nop'!AO37,""),"")</f>
        <v>0</v>
      </c>
      <c r="E36" s="312"/>
      <c r="F36" s="259"/>
      <c r="G36" s="260"/>
      <c r="H36" s="260"/>
      <c r="I36" s="10">
        <f>IFERROR(IF(AND(LEN(TRIM(B36))&gt;0,LEN(TRIM(C36))&gt;0),'Bang TH nop'!BB37,0),0)</f>
        <v>0</v>
      </c>
      <c r="J36" s="10">
        <f>IFERROR(IF(AND(LEN(TRIM(B36))&gt;0,LEN(TRIM(C36))&gt;0),'Bang TH nop'!AV37,0),0)</f>
        <v>0</v>
      </c>
      <c r="K36" s="10">
        <f>IFERROR(IF(AND(LEN(TRIM(B36))&gt;0,LEN(TRIM(C36))&gt;0),'Bang TH nop'!AR37,0),0)</f>
        <v>0</v>
      </c>
      <c r="L36" s="12">
        <f>IFERROR(IF(AND(LEN(TRIM(B36))&gt;0,LEN(TRIM(C36))&gt;0),'Bang TH nop'!AS37,0),0)</f>
        <v>0</v>
      </c>
      <c r="M36" s="12">
        <f>IFERROR(IF(AND(LEN(TRIM(C36))&gt;0,LEN(TRIM(D36))&gt;0),'Bang TH nop'!AT37,0),0)</f>
        <v>0</v>
      </c>
      <c r="N36" s="12">
        <f>IFERROR(IF(AND(LEN(TRIM(B36))&gt;0,LEN(TRIM(C36))&gt;0),'Bang TH nop'!AU37,0),0)</f>
        <v>0</v>
      </c>
      <c r="O36" s="12">
        <f>IFERROR(IF(AND(LEN(TRIM(B36))&gt;0,LEN(TRIM(C36))&gt;0),'Bang TH nop'!BE37,0),0)</f>
        <v>0</v>
      </c>
      <c r="P36" s="12">
        <f>IFERROR(IF(AND(LEN(TRIM(B37))&gt;0,LEN(TRIM(C36))&gt;0),'Bang TH nop'!AZ37,0),0)</f>
        <v>0</v>
      </c>
      <c r="Q36" s="12"/>
      <c r="R36" s="261"/>
      <c r="S36" s="261"/>
      <c r="T36" s="261"/>
      <c r="U36" s="260"/>
      <c r="V36" s="260"/>
      <c r="W36" s="260"/>
      <c r="X36" s="260"/>
      <c r="Y36" s="260"/>
      <c r="Z36" s="260"/>
      <c r="AA36" s="259" t="str">
        <f>IFERROR(
IF(AND(LEN(TRIM(B36))&gt;0,LEN(TRIM(C36))&gt;0),
'Bang TH nop'!AH37,
0
),
0
)</f>
        <v>A</v>
      </c>
      <c r="AB36" s="11"/>
      <c r="AC36" s="11"/>
      <c r="AD36" s="260"/>
      <c r="AE36" s="11"/>
      <c r="AF36" s="260"/>
      <c r="AG36" s="241"/>
      <c r="AH36" s="286"/>
      <c r="AI36" s="287"/>
      <c r="AJ36" s="288"/>
      <c r="AK36" s="287"/>
      <c r="AL36" s="173"/>
    </row>
    <row r="37" spans="1:38" ht="17.100000000000001" customHeight="1">
      <c r="A37" s="306"/>
      <c r="B37" s="308"/>
      <c r="C37" s="310"/>
      <c r="D37" s="319">
        <f>IFERROR(IF(AND(LEN(TRIM(B36))&gt;0,LEN(TRIM(C36))&gt;0),'Bang TH nop'!AP37,""),"")</f>
        <v>0</v>
      </c>
      <c r="E37" s="320"/>
      <c r="F37" s="55">
        <f>IFERROR(IF(AND(LEN(TRIM(B36))&gt;0,LEN(TRIM(C36))&gt;0),'Bang TH nop'!AL37,0),0)</f>
        <v>0</v>
      </c>
      <c r="G37" s="263">
        <f t="shared" ref="G37:G68" si="286">D37*I36/26</f>
        <v>0</v>
      </c>
      <c r="H37" s="263">
        <f t="shared" ref="H37:H68" si="287">D37*J36*150%/(26*8)</f>
        <v>0</v>
      </c>
      <c r="I37" s="263">
        <f t="shared" ref="I37:I68" si="288">IFERROR(
IF(AND(LEN(TRIM(B36))&gt;0,LEN(TRIM(C36))&gt;0),
IF(((I36-N36)*8+N36*7+J36)=0,0,
F37*680*(((I36-N36)*8+N36*7))/(((I36-N36)*8+N36*7+J36))*$I$4
),
0
),
0
)</f>
        <v>0</v>
      </c>
      <c r="J37" s="263">
        <f t="shared" ref="J37:J68" si="289">IFERROR(
IF(AND(LEN(TRIM(B36))&gt;0,LEN(TRIM(C36))&gt;0),
IF(((I36-N36)*8+N36*7+J36)=0,0,
F37*680*150%*J36/(((I36-N36)*8+N36*7+J36))*$I$4
),
0
),
0
)</f>
        <v>0</v>
      </c>
      <c r="K37" s="264">
        <f t="shared" ref="K37:K68" si="290">IFERROR(
IF(AND(LEN(TRIM(B36))&gt;0,LEN(TRIM(C36))&gt;0),
ROUND(D37/26*K36,0),
0
),
0
)</f>
        <v>0</v>
      </c>
      <c r="L37" s="264">
        <f t="shared" ref="L37:L68" si="291">IFERROR(
IF(AND(LEN(TRIM(B36))&gt;0,LEN(TRIM(C36))&gt;0),
ROUND(D37/26*L36,0),
0
),
0
)</f>
        <v>0</v>
      </c>
      <c r="M37" s="264">
        <f t="shared" ref="M37:M68" si="292">IFERROR(
IF(AND(LEN(TRIM(B36))&gt;0,LEN(TRIM(C36))&gt;0),
ROUND(D37/26*M36,0),
0
),
0
)</f>
        <v>0</v>
      </c>
      <c r="N37" s="264">
        <f t="shared" ref="N37:N68" si="293">IFERROR(
IF(AND(LEN(TRIM(B36))&gt;0,LEN(TRIM(C36))&gt;0),
D37*N36/(26*8),
0
),
0
)</f>
        <v>0</v>
      </c>
      <c r="O37" s="264">
        <f t="shared" ref="O37:O68" si="294">IFERROR(
IF(AND(LEN(TRIM(B36))&gt;0,LEN(TRIM(C36))&gt;0),
D37*O36/(26*8),
0
),
0
)</f>
        <v>0</v>
      </c>
      <c r="P37" s="264">
        <f t="shared" ref="P37:P68" si="295">IFERROR(
IF(AND(LEN(TRIM(B36))&gt;0,LEN(TRIM(C36))&gt;0),
(D37/26/8*P36),
0
),
0
)</f>
        <v>0</v>
      </c>
      <c r="Q37" s="56">
        <f>IFERROR(
IF(AND(LEN(TRIM(B36))&gt;0,LEN(TRIM(C36))&gt;0),
'Bang TH nop'!BC37,
0
),
0
)</f>
        <v>0</v>
      </c>
      <c r="R37" s="263">
        <f>IFERROR(
IF(AND(LEN(TRIM(B36))&gt;0,LEN(TRIM(C36))&gt;0),
'Bang TH nop'!BD37,
0
),
0
)</f>
        <v>0</v>
      </c>
      <c r="S37" s="263">
        <f>IFERROR(
IF(AND(LEN(TRIM(B36))&gt;0,LEN(TRIM(C36))&gt;0),
'Bang TH nop'!BJ37,
0
),
0
)</f>
        <v>0</v>
      </c>
      <c r="T37" s="263">
        <f>IFERROR(
IF(AND(LEN(TRIM(B36))&gt;0,LEN(TRIM(C36))&gt;0),
'Bang TH nop'!AW37,
0
),
0
)</f>
        <v>0</v>
      </c>
      <c r="U37" s="264">
        <f t="shared" ref="U37:U68" si="296">IFERROR(
IF(AND(LEN(TRIM(B36))&gt;0,LEN(TRIM(C36))&gt;0),
D37/26/8*U36,
0
),
0
)</f>
        <v>0</v>
      </c>
      <c r="V37" s="264"/>
      <c r="W37" s="264"/>
      <c r="X37" s="263">
        <f t="shared" ref="X37:X68" si="297">+IF(G37-I37&lt;0,0,G37-I37)</f>
        <v>0</v>
      </c>
      <c r="Y37" s="263">
        <f t="shared" ref="Y37:Y68" si="298">+IF(H37-J37&lt;0,0, H37-J37)</f>
        <v>0</v>
      </c>
      <c r="Z37" s="263">
        <f t="shared" ref="Z37" si="299">IFERROR(
IF(AND(LEN(TRIM(B36))&gt;0,LEN(TRIM(C36))&gt;0),
(X37+Y37)*25%,
0
),
0
)</f>
        <v>0</v>
      </c>
      <c r="AA37" s="263">
        <f>IFERROR(
IF(AND(LEN(TRIM(B36))&gt;0,LEN(TRIM(C36))&gt;0),
'Bang TH nop'!BG37,
0
),
0
)</f>
        <v>0</v>
      </c>
      <c r="AB37" s="264">
        <f t="shared" ref="AB37" si="300">IFERROR(
IF(AND(LEN(TRIM(B36))&gt;0,LEN(TRIM(C36))&gt;0),
SUM(I37:W37)+IFERROR(Z37,0)+IFERROR(AA37,0),
0
),
0
)</f>
        <v>0</v>
      </c>
      <c r="AC37" s="263">
        <f t="shared" ref="AC37:AC68" si="301">IFERROR(
IF(AND(LEN(TRIM(B36))&gt;0,LEN(TRIM(C36))&gt;0),
IF((26-(IFERROR(I36,0)+IFERROR(K36,0)+IFERROR(L36,0)+IFERROR(M36,0)))&gt;12,0,D37*10.5%),
0
),
0
)</f>
        <v>0</v>
      </c>
      <c r="AD37" s="291">
        <f t="shared" ref="AD37:AD68" si="302">IFERROR(
IF(AND(LEN(TRIM(B36))&gt;0,LEN(TRIM(C36))&gt;0),
ROUND(IF(D37=4939000,D37*0.5%,0),-2),
0
),
0
)</f>
        <v>0</v>
      </c>
      <c r="AE37" s="264">
        <f t="shared" ref="AE37" si="303">IFERROR(
IF(AND(LEN(TRIM(B36))&gt;0,LEN(TRIM(C36))&gt;0),
ROUND(IFERROR(AB37,0)-IFERROR(AC37,0)-IFERROR(AD37,0),-2),
0
),
0
)</f>
        <v>0</v>
      </c>
      <c r="AF37" s="13">
        <f>IFERROR(
IF(AND(LEN(TRIM(B36))&gt;0,LEN(TRIM(C36))&gt;0),
IFERROR('Bang TH nop'!AR37,0)+IFERROR('Bang TH nop'!AU37,0)+IFERROR('Bang TH nop'!BG37,0),
0
),
0
)</f>
        <v>0</v>
      </c>
      <c r="AG37" s="241"/>
      <c r="AH37" s="266"/>
      <c r="AI37" s="174">
        <f t="shared" ref="AI37" si="304">IFERROR(
IF(AND(LEN(TRIM(B36))&gt;0,LEN(TRIM(C36))&gt;0),
AH37/AG37,
0
),
0
)</f>
        <v>0</v>
      </c>
      <c r="AJ37" s="174">
        <f t="shared" ref="AJ37:AJ68" si="305">IFERROR(
IF(AND(LEN(TRIM(B36))&gt;0,LEN(TRIM(C36))&gt;0),
AL37/AF37,
0
),
0
)</f>
        <v>0</v>
      </c>
      <c r="AK37" s="175">
        <f t="shared" ref="AK37" si="306">IFERROR(
IF(AND(LEN(TRIM(B36))&gt;0,LEN(TRIM(C36))&gt;0),
AJ37/AI37,
0
),
0
)</f>
        <v>0</v>
      </c>
      <c r="AL37" s="176">
        <f t="shared" ref="AL37:AL68" si="307">IFERROR(
IF(AND(LEN(TRIM(B36))&gt;0,LEN(TRIM(C36))&gt;0),
AB37/L37,
0
),
0
)</f>
        <v>0</v>
      </c>
    </row>
    <row r="38" spans="1:38" ht="17.100000000000001" customHeight="1">
      <c r="A38" s="305">
        <v>16</v>
      </c>
      <c r="B38" s="307">
        <f>'Bang TH nop'!B39</f>
        <v>0</v>
      </c>
      <c r="C38" s="309">
        <f>IFERROR(IF(LEN(TRIM(B38))&gt;0,'Bang TH nop'!C39,""),"")</f>
        <v>0</v>
      </c>
      <c r="D38" s="311">
        <f>IFERROR(IF(AND(LEN(TRIM(B38))&gt;0,LEN(TRIM(C38))&gt;0),'Bang TH nop'!AO39,""),"")</f>
        <v>0</v>
      </c>
      <c r="E38" s="312"/>
      <c r="F38" s="259"/>
      <c r="G38" s="260"/>
      <c r="H38" s="260"/>
      <c r="I38" s="10">
        <f>IFERROR(IF(AND(LEN(TRIM(B38))&gt;0,LEN(TRIM(C38))&gt;0),'Bang TH nop'!BB39,0),0)</f>
        <v>0</v>
      </c>
      <c r="J38" s="10">
        <f>IFERROR(IF(AND(LEN(TRIM(B38))&gt;0,LEN(TRIM(C38))&gt;0),'Bang TH nop'!AV39,0),0)</f>
        <v>0</v>
      </c>
      <c r="K38" s="10">
        <f>IFERROR(IF(AND(LEN(TRIM(B38))&gt;0,LEN(TRIM(C38))&gt;0),'Bang TH nop'!AR39,0),0)</f>
        <v>0</v>
      </c>
      <c r="L38" s="12">
        <f>IFERROR(IF(AND(LEN(TRIM(B38))&gt;0,LEN(TRIM(C38))&gt;0),'Bang TH nop'!AS39,0),0)</f>
        <v>0</v>
      </c>
      <c r="M38" s="12">
        <f>IFERROR(IF(AND(LEN(TRIM(C38))&gt;0,LEN(TRIM(D38))&gt;0),'Bang TH nop'!AT39,0),0)</f>
        <v>0</v>
      </c>
      <c r="N38" s="12">
        <f>IFERROR(IF(AND(LEN(TRIM(B38))&gt;0,LEN(TRIM(C38))&gt;0),'Bang TH nop'!AU39,0),0)</f>
        <v>0</v>
      </c>
      <c r="O38" s="12">
        <f>IFERROR(IF(AND(LEN(TRIM(B38))&gt;0,LEN(TRIM(C38))&gt;0),'Bang TH nop'!BE39,0),0)</f>
        <v>0</v>
      </c>
      <c r="P38" s="12">
        <f>IFERROR(IF(AND(LEN(TRIM(B39))&gt;0,LEN(TRIM(C38))&gt;0),'Bang TH nop'!AZ39,0),0)</f>
        <v>0</v>
      </c>
      <c r="Q38" s="12"/>
      <c r="R38" s="261"/>
      <c r="S38" s="261"/>
      <c r="T38" s="261"/>
      <c r="U38" s="260"/>
      <c r="V38" s="260"/>
      <c r="W38" s="260"/>
      <c r="X38" s="260"/>
      <c r="Y38" s="260"/>
      <c r="Z38" s="260"/>
      <c r="AA38" s="259" t="str">
        <f>IFERROR(
IF(AND(LEN(TRIM(B38))&gt;0,LEN(TRIM(C38))&gt;0),
'Bang TH nop'!AH39,
0
),
0
)</f>
        <v>A</v>
      </c>
      <c r="AB38" s="11"/>
      <c r="AC38" s="11"/>
      <c r="AD38" s="260"/>
      <c r="AE38" s="11"/>
      <c r="AF38" s="260"/>
      <c r="AG38" s="241"/>
      <c r="AH38" s="286"/>
      <c r="AI38" s="287"/>
      <c r="AJ38" s="288"/>
      <c r="AK38" s="287"/>
      <c r="AL38" s="173"/>
    </row>
    <row r="39" spans="1:38" ht="17.100000000000001" customHeight="1">
      <c r="A39" s="306"/>
      <c r="B39" s="308"/>
      <c r="C39" s="310"/>
      <c r="D39" s="319">
        <f>IFERROR(IF(AND(LEN(TRIM(B38))&gt;0,LEN(TRIM(C38))&gt;0),'Bang TH nop'!AP39,""),"")</f>
        <v>0</v>
      </c>
      <c r="E39" s="320"/>
      <c r="F39" s="55">
        <f>IFERROR(IF(AND(LEN(TRIM(B38))&gt;0,LEN(TRIM(C38))&gt;0),'Bang TH nop'!AL39,0),0)</f>
        <v>0</v>
      </c>
      <c r="G39" s="263">
        <f t="shared" ref="G39:G70" si="308">D39*I38/26</f>
        <v>0</v>
      </c>
      <c r="H39" s="263">
        <f t="shared" ref="H39:H70" si="309">D39*J38*150%/(26*8)</f>
        <v>0</v>
      </c>
      <c r="I39" s="263">
        <f t="shared" ref="I39:I70" si="310">IFERROR(
IF(AND(LEN(TRIM(B38))&gt;0,LEN(TRIM(C38))&gt;0),
IF(((I38-N38)*8+N38*7+J38)=0,0,
F39*680*(((I38-N38)*8+N38*7))/(((I38-N38)*8+N38*7+J38))*$I$4
),
0
),
0
)</f>
        <v>0</v>
      </c>
      <c r="J39" s="263">
        <f t="shared" ref="J39:J70" si="311">IFERROR(
IF(AND(LEN(TRIM(B38))&gt;0,LEN(TRIM(C38))&gt;0),
IF(((I38-N38)*8+N38*7+J38)=0,0,
F39*680*150%*J38/(((I38-N38)*8+N38*7+J38))*$I$4
),
0
),
0
)</f>
        <v>0</v>
      </c>
      <c r="K39" s="264">
        <f t="shared" ref="K39:K70" si="312">IFERROR(
IF(AND(LEN(TRIM(B38))&gt;0,LEN(TRIM(C38))&gt;0),
ROUND(D39/26*K38,0),
0
),
0
)</f>
        <v>0</v>
      </c>
      <c r="L39" s="264">
        <f t="shared" ref="L39:L70" si="313">IFERROR(
IF(AND(LEN(TRIM(B38))&gt;0,LEN(TRIM(C38))&gt;0),
ROUND(D39/26*L38,0),
0
),
0
)</f>
        <v>0</v>
      </c>
      <c r="M39" s="264">
        <f t="shared" ref="M39:M70" si="314">IFERROR(
IF(AND(LEN(TRIM(B38))&gt;0,LEN(TRIM(C38))&gt;0),
ROUND(D39/26*M38,0),
0
),
0
)</f>
        <v>0</v>
      </c>
      <c r="N39" s="264">
        <f t="shared" ref="N39:N70" si="315">IFERROR(
IF(AND(LEN(TRIM(B38))&gt;0,LEN(TRIM(C38))&gt;0),
D39*N38/(26*8),
0
),
0
)</f>
        <v>0</v>
      </c>
      <c r="O39" s="264">
        <f t="shared" ref="O39:O70" si="316">IFERROR(
IF(AND(LEN(TRIM(B38))&gt;0,LEN(TRIM(C38))&gt;0),
D39*O38/(26*8),
0
),
0
)</f>
        <v>0</v>
      </c>
      <c r="P39" s="264">
        <f t="shared" ref="P39:P70" si="317">IFERROR(
IF(AND(LEN(TRIM(B38))&gt;0,LEN(TRIM(C38))&gt;0),
(D39/26/8*P38),
0
),
0
)</f>
        <v>0</v>
      </c>
      <c r="Q39" s="56">
        <f>IFERROR(
IF(AND(LEN(TRIM(B38))&gt;0,LEN(TRIM(C38))&gt;0),
'Bang TH nop'!BC39,
0
),
0
)</f>
        <v>0</v>
      </c>
      <c r="R39" s="263">
        <f>IFERROR(
IF(AND(LEN(TRIM(B38))&gt;0,LEN(TRIM(C38))&gt;0),
'Bang TH nop'!BD39,
0
),
0
)</f>
        <v>0</v>
      </c>
      <c r="S39" s="263">
        <f>IFERROR(
IF(AND(LEN(TRIM(B38))&gt;0,LEN(TRIM(C38))&gt;0),
'Bang TH nop'!BJ39,
0
),
0
)</f>
        <v>0</v>
      </c>
      <c r="T39" s="263">
        <f>IFERROR(
IF(AND(LEN(TRIM(B38))&gt;0,LEN(TRIM(C38))&gt;0),
'Bang TH nop'!AW39,
0
),
0
)</f>
        <v>0</v>
      </c>
      <c r="U39" s="264">
        <f t="shared" ref="U39:U70" si="318">IFERROR(
IF(AND(LEN(TRIM(B38))&gt;0,LEN(TRIM(C38))&gt;0),
D39/26/8*U38,
0
),
0
)</f>
        <v>0</v>
      </c>
      <c r="V39" s="264"/>
      <c r="W39" s="264"/>
      <c r="X39" s="263">
        <f t="shared" ref="X39:X70" si="319">+IF(G39-I39&lt;0,0,G39-I39)</f>
        <v>0</v>
      </c>
      <c r="Y39" s="263">
        <f t="shared" ref="Y39:Y70" si="320">+IF(H39-J39&lt;0,0, H39-J39)</f>
        <v>0</v>
      </c>
      <c r="Z39" s="263">
        <f t="shared" ref="Z39" si="321">IFERROR(
IF(AND(LEN(TRIM(B38))&gt;0,LEN(TRIM(C38))&gt;0),
(X39+Y39)*25%,
0
),
0
)</f>
        <v>0</v>
      </c>
      <c r="AA39" s="263">
        <f>IFERROR(
IF(AND(LEN(TRIM(B38))&gt;0,LEN(TRIM(C38))&gt;0),
'Bang TH nop'!BG39,
0
),
0
)</f>
        <v>0</v>
      </c>
      <c r="AB39" s="264">
        <f t="shared" ref="AB39" si="322">IFERROR(
IF(AND(LEN(TRIM(B38))&gt;0,LEN(TRIM(C38))&gt;0),
SUM(I39:W39)+IFERROR(Z39,0)+IFERROR(AA39,0),
0
),
0
)</f>
        <v>0</v>
      </c>
      <c r="AC39" s="263">
        <f t="shared" ref="AC39:AC70" si="323">IFERROR(
IF(AND(LEN(TRIM(B38))&gt;0,LEN(TRIM(C38))&gt;0),
IF((26-(IFERROR(I38,0)+IFERROR(K38,0)+IFERROR(L38,0)+IFERROR(M38,0)))&gt;12,0,D39*10.5%),
0
),
0
)</f>
        <v>0</v>
      </c>
      <c r="AD39" s="291">
        <f t="shared" ref="AD39:AD70" si="324">IFERROR(
IF(AND(LEN(TRIM(B38))&gt;0,LEN(TRIM(C38))&gt;0),
ROUND(IF(D39=4939000,D39*0.5%,0),-2),
0
),
0
)</f>
        <v>0</v>
      </c>
      <c r="AE39" s="264">
        <f t="shared" ref="AE39" si="325">IFERROR(
IF(AND(LEN(TRIM(B38))&gt;0,LEN(TRIM(C38))&gt;0),
ROUND(IFERROR(AB39,0)-IFERROR(AC39,0)-IFERROR(AD39,0),-2),
0
),
0
)</f>
        <v>0</v>
      </c>
      <c r="AF39" s="13">
        <f>IFERROR(
IF(AND(LEN(TRIM(B38))&gt;0,LEN(TRIM(C38))&gt;0),
IFERROR('Bang TH nop'!AR39,0)+IFERROR('Bang TH nop'!AU39,0)+IFERROR('Bang TH nop'!BG39,0),
0
),
0
)</f>
        <v>0</v>
      </c>
      <c r="AG39" s="241"/>
      <c r="AH39" s="266"/>
      <c r="AI39" s="174">
        <f t="shared" ref="AI39" si="326">IFERROR(
IF(AND(LEN(TRIM(B38))&gt;0,LEN(TRIM(C38))&gt;0),
AH39/AG39,
0
),
0
)</f>
        <v>0</v>
      </c>
      <c r="AJ39" s="174">
        <f t="shared" ref="AJ39:AJ70" si="327">IFERROR(
IF(AND(LEN(TRIM(B38))&gt;0,LEN(TRIM(C38))&gt;0),
AL39/AF39,
0
),
0
)</f>
        <v>0</v>
      </c>
      <c r="AK39" s="175">
        <f t="shared" ref="AK39" si="328">IFERROR(
IF(AND(LEN(TRIM(B38))&gt;0,LEN(TRIM(C38))&gt;0),
AJ39/AI39,
0
),
0
)</f>
        <v>0</v>
      </c>
      <c r="AL39" s="176">
        <f t="shared" ref="AL39:AL70" si="329">IFERROR(
IF(AND(LEN(TRIM(B38))&gt;0,LEN(TRIM(C38))&gt;0),
AB39/L39,
0
),
0
)</f>
        <v>0</v>
      </c>
    </row>
    <row r="40" spans="1:38" ht="17.100000000000001" customHeight="1">
      <c r="A40" s="305">
        <v>17</v>
      </c>
      <c r="B40" s="307">
        <f>'Bang TH nop'!B41</f>
        <v>0</v>
      </c>
      <c r="C40" s="309">
        <f>IFERROR(IF(LEN(TRIM(B40))&gt;0,'Bang TH nop'!C41,""),"")</f>
        <v>0</v>
      </c>
      <c r="D40" s="311">
        <f>IFERROR(IF(AND(LEN(TRIM(B40))&gt;0,LEN(TRIM(C40))&gt;0),'Bang TH nop'!AO41,""),"")</f>
        <v>0</v>
      </c>
      <c r="E40" s="312"/>
      <c r="F40" s="259"/>
      <c r="G40" s="260"/>
      <c r="H40" s="260"/>
      <c r="I40" s="10">
        <f>IFERROR(IF(AND(LEN(TRIM(B40))&gt;0,LEN(TRIM(C40))&gt;0),'Bang TH nop'!BB41,0),0)</f>
        <v>0</v>
      </c>
      <c r="J40" s="10">
        <f>IFERROR(IF(AND(LEN(TRIM(B40))&gt;0,LEN(TRIM(C40))&gt;0),'Bang TH nop'!AV41,0),0)</f>
        <v>0</v>
      </c>
      <c r="K40" s="10">
        <f>IFERROR(IF(AND(LEN(TRIM(B40))&gt;0,LEN(TRIM(C40))&gt;0),'Bang TH nop'!AR41,0),0)</f>
        <v>0</v>
      </c>
      <c r="L40" s="12">
        <f>IFERROR(IF(AND(LEN(TRIM(B40))&gt;0,LEN(TRIM(C40))&gt;0),'Bang TH nop'!AS41,0),0)</f>
        <v>0</v>
      </c>
      <c r="M40" s="12">
        <f>IFERROR(IF(AND(LEN(TRIM(C40))&gt;0,LEN(TRIM(D40))&gt;0),'Bang TH nop'!AT41,0),0)</f>
        <v>0</v>
      </c>
      <c r="N40" s="12">
        <f>IFERROR(IF(AND(LEN(TRIM(B40))&gt;0,LEN(TRIM(C40))&gt;0),'Bang TH nop'!AU41,0),0)</f>
        <v>0</v>
      </c>
      <c r="O40" s="12">
        <f>IFERROR(IF(AND(LEN(TRIM(B40))&gt;0,LEN(TRIM(C40))&gt;0),'Bang TH nop'!BE41,0),0)</f>
        <v>0</v>
      </c>
      <c r="P40" s="12">
        <f>IFERROR(IF(AND(LEN(TRIM(B41))&gt;0,LEN(TRIM(C40))&gt;0),'Bang TH nop'!AZ41,0),0)</f>
        <v>0</v>
      </c>
      <c r="Q40" s="12"/>
      <c r="R40" s="261"/>
      <c r="S40" s="261"/>
      <c r="T40" s="261"/>
      <c r="U40" s="260"/>
      <c r="V40" s="260"/>
      <c r="W40" s="260"/>
      <c r="X40" s="260"/>
      <c r="Y40" s="260"/>
      <c r="Z40" s="260"/>
      <c r="AA40" s="259" t="str">
        <f>IFERROR(
IF(AND(LEN(TRIM(B40))&gt;0,LEN(TRIM(C40))&gt;0),
'Bang TH nop'!AH41,
0
),
0
)</f>
        <v>A</v>
      </c>
      <c r="AB40" s="11"/>
      <c r="AC40" s="11"/>
      <c r="AD40" s="260"/>
      <c r="AE40" s="11"/>
      <c r="AF40" s="260"/>
      <c r="AG40" s="241"/>
      <c r="AH40" s="286"/>
      <c r="AI40" s="287"/>
      <c r="AJ40" s="288"/>
      <c r="AK40" s="287"/>
      <c r="AL40" s="173"/>
    </row>
    <row r="41" spans="1:38" ht="17.100000000000001" customHeight="1">
      <c r="A41" s="306"/>
      <c r="B41" s="308"/>
      <c r="C41" s="310"/>
      <c r="D41" s="319">
        <f>IFERROR(IF(AND(LEN(TRIM(B40))&gt;0,LEN(TRIM(C40))&gt;0),'Bang TH nop'!AP41,""),"")</f>
        <v>0</v>
      </c>
      <c r="E41" s="320"/>
      <c r="F41" s="55">
        <f>IFERROR(IF(AND(LEN(TRIM(B40))&gt;0,LEN(TRIM(C40))&gt;0),'Bang TH nop'!AL41,0),0)</f>
        <v>0</v>
      </c>
      <c r="G41" s="263">
        <f t="shared" ref="G41:G72" si="330">D41*I40/26</f>
        <v>0</v>
      </c>
      <c r="H41" s="263">
        <f t="shared" ref="H41:H72" si="331">D41*J40*150%/(26*8)</f>
        <v>0</v>
      </c>
      <c r="I41" s="263">
        <f t="shared" ref="I41:I72" si="332">IFERROR(
IF(AND(LEN(TRIM(B40))&gt;0,LEN(TRIM(C40))&gt;0),
IF(((I40-N40)*8+N40*7+J40)=0,0,
F41*680*(((I40-N40)*8+N40*7))/(((I40-N40)*8+N40*7+J40))*$I$4
),
0
),
0
)</f>
        <v>0</v>
      </c>
      <c r="J41" s="263">
        <f t="shared" ref="J41:J72" si="333">IFERROR(
IF(AND(LEN(TRIM(B40))&gt;0,LEN(TRIM(C40))&gt;0),
IF(((I40-N40)*8+N40*7+J40)=0,0,
F41*680*150%*J40/(((I40-N40)*8+N40*7+J40))*$I$4
),
0
),
0
)</f>
        <v>0</v>
      </c>
      <c r="K41" s="264">
        <f t="shared" ref="K41:K72" si="334">IFERROR(
IF(AND(LEN(TRIM(B40))&gt;0,LEN(TRIM(C40))&gt;0),
ROUND(D41/26*K40,0),
0
),
0
)</f>
        <v>0</v>
      </c>
      <c r="L41" s="264">
        <f t="shared" ref="L41:L72" si="335">IFERROR(
IF(AND(LEN(TRIM(B40))&gt;0,LEN(TRIM(C40))&gt;0),
ROUND(D41/26*L40,0),
0
),
0
)</f>
        <v>0</v>
      </c>
      <c r="M41" s="264">
        <f t="shared" ref="M41:M72" si="336">IFERROR(
IF(AND(LEN(TRIM(B40))&gt;0,LEN(TRIM(C40))&gt;0),
ROUND(D41/26*M40,0),
0
),
0
)</f>
        <v>0</v>
      </c>
      <c r="N41" s="264">
        <f t="shared" ref="N41:N72" si="337">IFERROR(
IF(AND(LEN(TRIM(B40))&gt;0,LEN(TRIM(C40))&gt;0),
D41*N40/(26*8),
0
),
0
)</f>
        <v>0</v>
      </c>
      <c r="O41" s="264">
        <f t="shared" ref="O41:O72" si="338">IFERROR(
IF(AND(LEN(TRIM(B40))&gt;0,LEN(TRIM(C40))&gt;0),
D41*O40/(26*8),
0
),
0
)</f>
        <v>0</v>
      </c>
      <c r="P41" s="264">
        <f t="shared" ref="P41:P72" si="339">IFERROR(
IF(AND(LEN(TRIM(B40))&gt;0,LEN(TRIM(C40))&gt;0),
(D41/26/8*P40),
0
),
0
)</f>
        <v>0</v>
      </c>
      <c r="Q41" s="56">
        <f>IFERROR(
IF(AND(LEN(TRIM(B40))&gt;0,LEN(TRIM(C40))&gt;0),
'Bang TH nop'!BC41,
0
),
0
)</f>
        <v>0</v>
      </c>
      <c r="R41" s="263">
        <f>IFERROR(
IF(AND(LEN(TRIM(B40))&gt;0,LEN(TRIM(C40))&gt;0),
'Bang TH nop'!BD41,
0
),
0
)</f>
        <v>0</v>
      </c>
      <c r="S41" s="263">
        <f>IFERROR(
IF(AND(LEN(TRIM(B40))&gt;0,LEN(TRIM(C40))&gt;0),
'Bang TH nop'!BJ41,
0
),
0
)</f>
        <v>0</v>
      </c>
      <c r="T41" s="263">
        <f>IFERROR(
IF(AND(LEN(TRIM(B40))&gt;0,LEN(TRIM(C40))&gt;0),
'Bang TH nop'!AW41,
0
),
0
)</f>
        <v>0</v>
      </c>
      <c r="U41" s="264">
        <f t="shared" ref="U41:U72" si="340">IFERROR(
IF(AND(LEN(TRIM(B40))&gt;0,LEN(TRIM(C40))&gt;0),
D41/26/8*U40,
0
),
0
)</f>
        <v>0</v>
      </c>
      <c r="V41" s="264"/>
      <c r="W41" s="264"/>
      <c r="X41" s="263">
        <f t="shared" ref="X41:X72" si="341">+IF(G41-I41&lt;0,0,G41-I41)</f>
        <v>0</v>
      </c>
      <c r="Y41" s="263">
        <f t="shared" ref="Y41:Y72" si="342">+IF(H41-J41&lt;0,0, H41-J41)</f>
        <v>0</v>
      </c>
      <c r="Z41" s="263">
        <f t="shared" ref="Z41" si="343">IFERROR(
IF(AND(LEN(TRIM(B40))&gt;0,LEN(TRIM(C40))&gt;0),
(X41+Y41)*25%,
0
),
0
)</f>
        <v>0</v>
      </c>
      <c r="AA41" s="263">
        <f>IFERROR(
IF(AND(LEN(TRIM(B40))&gt;0,LEN(TRIM(C40))&gt;0),
'Bang TH nop'!BG41,
0
),
0
)</f>
        <v>0</v>
      </c>
      <c r="AB41" s="264">
        <f t="shared" ref="AB41" si="344">IFERROR(
IF(AND(LEN(TRIM(B40))&gt;0,LEN(TRIM(C40))&gt;0),
SUM(I41:W41)+IFERROR(Z41,0)+IFERROR(AA41,0),
0
),
0
)</f>
        <v>0</v>
      </c>
      <c r="AC41" s="263">
        <f t="shared" ref="AC41:AC72" si="345">IFERROR(
IF(AND(LEN(TRIM(B40))&gt;0,LEN(TRIM(C40))&gt;0),
IF((26-(IFERROR(I40,0)+IFERROR(K40,0)+IFERROR(L40,0)+IFERROR(M40,0)))&gt;12,0,D41*10.5%),
0
),
0
)</f>
        <v>0</v>
      </c>
      <c r="AD41" s="291">
        <f t="shared" ref="AD41:AD72" si="346">IFERROR(
IF(AND(LEN(TRIM(B40))&gt;0,LEN(TRIM(C40))&gt;0),
ROUND(IF(D41=4939000,D41*0.5%,0),-2),
0
),
0
)</f>
        <v>0</v>
      </c>
      <c r="AE41" s="264">
        <f t="shared" ref="AE41" si="347">IFERROR(
IF(AND(LEN(TRIM(B40))&gt;0,LEN(TRIM(C40))&gt;0),
ROUND(IFERROR(AB41,0)-IFERROR(AC41,0)-IFERROR(AD41,0),-2),
0
),
0
)</f>
        <v>0</v>
      </c>
      <c r="AF41" s="13">
        <f>IFERROR(
IF(AND(LEN(TRIM(B40))&gt;0,LEN(TRIM(C40))&gt;0),
IFERROR('Bang TH nop'!AR41,0)+IFERROR('Bang TH nop'!AU41,0)+IFERROR('Bang TH nop'!BG41,0),
0
),
0
)</f>
        <v>0</v>
      </c>
      <c r="AG41" s="241"/>
      <c r="AH41" s="266"/>
      <c r="AI41" s="174">
        <f t="shared" ref="AI41" si="348">IFERROR(
IF(AND(LEN(TRIM(B40))&gt;0,LEN(TRIM(C40))&gt;0),
AH41/AG41,
0
),
0
)</f>
        <v>0</v>
      </c>
      <c r="AJ41" s="174">
        <f t="shared" ref="AJ41:AJ72" si="349">IFERROR(
IF(AND(LEN(TRIM(B40))&gt;0,LEN(TRIM(C40))&gt;0),
AL41/AF41,
0
),
0
)</f>
        <v>0</v>
      </c>
      <c r="AK41" s="175">
        <f t="shared" ref="AK41" si="350">IFERROR(
IF(AND(LEN(TRIM(B40))&gt;0,LEN(TRIM(C40))&gt;0),
AJ41/AI41,
0
),
0
)</f>
        <v>0</v>
      </c>
      <c r="AL41" s="176">
        <f t="shared" ref="AL41:AL72" si="351">IFERROR(
IF(AND(LEN(TRIM(B40))&gt;0,LEN(TRIM(C40))&gt;0),
AB41/L41,
0
),
0
)</f>
        <v>0</v>
      </c>
    </row>
    <row r="42" spans="1:38" ht="17.100000000000001" customHeight="1">
      <c r="A42" s="305">
        <v>18</v>
      </c>
      <c r="B42" s="307">
        <f>'Bang TH nop'!B43</f>
        <v>0</v>
      </c>
      <c r="C42" s="309">
        <f>IFERROR(IF(LEN(TRIM(B42))&gt;0,'Bang TH nop'!C43,""),"")</f>
        <v>0</v>
      </c>
      <c r="D42" s="311">
        <f>IFERROR(IF(AND(LEN(TRIM(B42))&gt;0,LEN(TRIM(C42))&gt;0),'Bang TH nop'!AO43,""),"")</f>
        <v>0</v>
      </c>
      <c r="E42" s="312"/>
      <c r="F42" s="259"/>
      <c r="G42" s="260"/>
      <c r="H42" s="260"/>
      <c r="I42" s="10">
        <f>IFERROR(IF(AND(LEN(TRIM(B42))&gt;0,LEN(TRIM(C42))&gt;0),'Bang TH nop'!BB43,0),0)</f>
        <v>0</v>
      </c>
      <c r="J42" s="10">
        <f>IFERROR(IF(AND(LEN(TRIM(B42))&gt;0,LEN(TRIM(C42))&gt;0),'Bang TH nop'!AV43,0),0)</f>
        <v>0</v>
      </c>
      <c r="K42" s="10">
        <f>IFERROR(IF(AND(LEN(TRIM(B42))&gt;0,LEN(TRIM(C42))&gt;0),'Bang TH nop'!AR43,0),0)</f>
        <v>0</v>
      </c>
      <c r="L42" s="12">
        <f>IFERROR(IF(AND(LEN(TRIM(B42))&gt;0,LEN(TRIM(C42))&gt;0),'Bang TH nop'!AS43,0),0)</f>
        <v>0</v>
      </c>
      <c r="M42" s="12">
        <f>IFERROR(IF(AND(LEN(TRIM(C42))&gt;0,LEN(TRIM(D42))&gt;0),'Bang TH nop'!AT43,0),0)</f>
        <v>0</v>
      </c>
      <c r="N42" s="12">
        <f>IFERROR(IF(AND(LEN(TRIM(B42))&gt;0,LEN(TRIM(C42))&gt;0),'Bang TH nop'!AU43,0),0)</f>
        <v>0</v>
      </c>
      <c r="O42" s="12">
        <f>IFERROR(IF(AND(LEN(TRIM(B42))&gt;0,LEN(TRIM(C42))&gt;0),'Bang TH nop'!BE43,0),0)</f>
        <v>0</v>
      </c>
      <c r="P42" s="12">
        <f>IFERROR(IF(AND(LEN(TRIM(B43))&gt;0,LEN(TRIM(C42))&gt;0),'Bang TH nop'!AZ43,0),0)</f>
        <v>0</v>
      </c>
      <c r="Q42" s="12"/>
      <c r="R42" s="261"/>
      <c r="S42" s="261"/>
      <c r="T42" s="261"/>
      <c r="U42" s="260"/>
      <c r="V42" s="260"/>
      <c r="W42" s="260"/>
      <c r="X42" s="260"/>
      <c r="Y42" s="260"/>
      <c r="Z42" s="260"/>
      <c r="AA42" s="259" t="str">
        <f>IFERROR(
IF(AND(LEN(TRIM(B42))&gt;0,LEN(TRIM(C42))&gt;0),
'Bang TH nop'!AH43,
0
),
0
)</f>
        <v>A</v>
      </c>
      <c r="AB42" s="11"/>
      <c r="AC42" s="11"/>
      <c r="AD42" s="260"/>
      <c r="AE42" s="11"/>
      <c r="AF42" s="260"/>
      <c r="AG42" s="241"/>
      <c r="AH42" s="286"/>
      <c r="AI42" s="287"/>
      <c r="AJ42" s="288"/>
      <c r="AK42" s="287"/>
      <c r="AL42" s="173"/>
    </row>
    <row r="43" spans="1:38" ht="17.100000000000001" customHeight="1">
      <c r="A43" s="306"/>
      <c r="B43" s="308"/>
      <c r="C43" s="310"/>
      <c r="D43" s="319">
        <f>IFERROR(IF(AND(LEN(TRIM(B42))&gt;0,LEN(TRIM(C42))&gt;0),'Bang TH nop'!AP43,""),"")</f>
        <v>0</v>
      </c>
      <c r="E43" s="320"/>
      <c r="F43" s="55">
        <f>IFERROR(IF(AND(LEN(TRIM(B42))&gt;0,LEN(TRIM(C42))&gt;0),'Bang TH nop'!AL43,0),0)</f>
        <v>0</v>
      </c>
      <c r="G43" s="263">
        <f t="shared" ref="G43:G74" si="352">D43*I42/26</f>
        <v>0</v>
      </c>
      <c r="H43" s="263">
        <f t="shared" ref="H43:H74" si="353">D43*J42*150%/(26*8)</f>
        <v>0</v>
      </c>
      <c r="I43" s="263">
        <f t="shared" ref="I43:I74" si="354">IFERROR(
IF(AND(LEN(TRIM(B42))&gt;0,LEN(TRIM(C42))&gt;0),
IF(((I42-N42)*8+N42*7+J42)=0,0,
F43*680*(((I42-N42)*8+N42*7))/(((I42-N42)*8+N42*7+J42))*$I$4
),
0
),
0
)</f>
        <v>0</v>
      </c>
      <c r="J43" s="263">
        <f t="shared" ref="J43:J74" si="355">IFERROR(
IF(AND(LEN(TRIM(B42))&gt;0,LEN(TRIM(C42))&gt;0),
IF(((I42-N42)*8+N42*7+J42)=0,0,
F43*680*150%*J42/(((I42-N42)*8+N42*7+J42))*$I$4
),
0
),
0
)</f>
        <v>0</v>
      </c>
      <c r="K43" s="264">
        <f t="shared" ref="K43:K74" si="356">IFERROR(
IF(AND(LEN(TRIM(B42))&gt;0,LEN(TRIM(C42))&gt;0),
ROUND(D43/26*K42,0),
0
),
0
)</f>
        <v>0</v>
      </c>
      <c r="L43" s="264">
        <f t="shared" ref="L43:L74" si="357">IFERROR(
IF(AND(LEN(TRIM(B42))&gt;0,LEN(TRIM(C42))&gt;0),
ROUND(D43/26*L42,0),
0
),
0
)</f>
        <v>0</v>
      </c>
      <c r="M43" s="264">
        <f t="shared" ref="M43:M74" si="358">IFERROR(
IF(AND(LEN(TRIM(B42))&gt;0,LEN(TRIM(C42))&gt;0),
ROUND(D43/26*M42,0),
0
),
0
)</f>
        <v>0</v>
      </c>
      <c r="N43" s="264">
        <f t="shared" ref="N43:N74" si="359">IFERROR(
IF(AND(LEN(TRIM(B42))&gt;0,LEN(TRIM(C42))&gt;0),
D43*N42/(26*8),
0
),
0
)</f>
        <v>0</v>
      </c>
      <c r="O43" s="264">
        <f t="shared" ref="O43:O74" si="360">IFERROR(
IF(AND(LEN(TRIM(B42))&gt;0,LEN(TRIM(C42))&gt;0),
D43*O42/(26*8),
0
),
0
)</f>
        <v>0</v>
      </c>
      <c r="P43" s="264">
        <f t="shared" ref="P43:P74" si="361">IFERROR(
IF(AND(LEN(TRIM(B42))&gt;0,LEN(TRIM(C42))&gt;0),
(D43/26/8*P42),
0
),
0
)</f>
        <v>0</v>
      </c>
      <c r="Q43" s="56">
        <f>IFERROR(
IF(AND(LEN(TRIM(B42))&gt;0,LEN(TRIM(C42))&gt;0),
'Bang TH nop'!BC43,
0
),
0
)</f>
        <v>0</v>
      </c>
      <c r="R43" s="263">
        <f>IFERROR(
IF(AND(LEN(TRIM(B42))&gt;0,LEN(TRIM(C42))&gt;0),
'Bang TH nop'!BD43,
0
),
0
)</f>
        <v>0</v>
      </c>
      <c r="S43" s="263">
        <f>IFERROR(
IF(AND(LEN(TRIM(B42))&gt;0,LEN(TRIM(C42))&gt;0),
'Bang TH nop'!BJ43,
0
),
0
)</f>
        <v>0</v>
      </c>
      <c r="T43" s="263">
        <f>IFERROR(
IF(AND(LEN(TRIM(B42))&gt;0,LEN(TRIM(C42))&gt;0),
'Bang TH nop'!AW43,
0
),
0
)</f>
        <v>0</v>
      </c>
      <c r="U43" s="264">
        <f t="shared" ref="U43:U74" si="362">IFERROR(
IF(AND(LEN(TRIM(B42))&gt;0,LEN(TRIM(C42))&gt;0),
D43/26/8*U42,
0
),
0
)</f>
        <v>0</v>
      </c>
      <c r="V43" s="264"/>
      <c r="W43" s="264"/>
      <c r="X43" s="263">
        <f t="shared" ref="X43:X74" si="363">+IF(G43-I43&lt;0,0,G43-I43)</f>
        <v>0</v>
      </c>
      <c r="Y43" s="263">
        <f t="shared" ref="Y43:Y74" si="364">+IF(H43-J43&lt;0,0, H43-J43)</f>
        <v>0</v>
      </c>
      <c r="Z43" s="263">
        <f t="shared" ref="Z43" si="365">IFERROR(
IF(AND(LEN(TRIM(B42))&gt;0,LEN(TRIM(C42))&gt;0),
(X43+Y43)*25%,
0
),
0
)</f>
        <v>0</v>
      </c>
      <c r="AA43" s="263">
        <f>IFERROR(
IF(AND(LEN(TRIM(B42))&gt;0,LEN(TRIM(C42))&gt;0),
'Bang TH nop'!BG43,
0
),
0
)</f>
        <v>0</v>
      </c>
      <c r="AB43" s="264">
        <f t="shared" ref="AB43" si="366">IFERROR(
IF(AND(LEN(TRIM(B42))&gt;0,LEN(TRIM(C42))&gt;0),
SUM(I43:W43)+IFERROR(Z43,0)+IFERROR(AA43,0),
0
),
0
)</f>
        <v>0</v>
      </c>
      <c r="AC43" s="263">
        <f t="shared" ref="AC43:AC74" si="367">IFERROR(
IF(AND(LEN(TRIM(B42))&gt;0,LEN(TRIM(C42))&gt;0),
IF((26-(IFERROR(I42,0)+IFERROR(K42,0)+IFERROR(L42,0)+IFERROR(M42,0)))&gt;12,0,D43*10.5%),
0
),
0
)</f>
        <v>0</v>
      </c>
      <c r="AD43" s="291">
        <f t="shared" ref="AD43:AD74" si="368">IFERROR(
IF(AND(LEN(TRIM(B42))&gt;0,LEN(TRIM(C42))&gt;0),
ROUND(IF(D43=4939000,D43*0.5%,0),-2),
0
),
0
)</f>
        <v>0</v>
      </c>
      <c r="AE43" s="264">
        <f t="shared" ref="AE43" si="369">IFERROR(
IF(AND(LEN(TRIM(B42))&gt;0,LEN(TRIM(C42))&gt;0),
ROUND(IFERROR(AB43,0)-IFERROR(AC43,0)-IFERROR(AD43,0),-2),
0
),
0
)</f>
        <v>0</v>
      </c>
      <c r="AF43" s="13">
        <f>IFERROR(
IF(AND(LEN(TRIM(B42))&gt;0,LEN(TRIM(C42))&gt;0),
IFERROR('Bang TH nop'!AR43,0)+IFERROR('Bang TH nop'!AU43,0)+IFERROR('Bang TH nop'!BG43,0),
0
),
0
)</f>
        <v>0</v>
      </c>
      <c r="AG43" s="241"/>
      <c r="AH43" s="266"/>
      <c r="AI43" s="174">
        <f t="shared" ref="AI43" si="370">IFERROR(
IF(AND(LEN(TRIM(B42))&gt;0,LEN(TRIM(C42))&gt;0),
AH43/AG43,
0
),
0
)</f>
        <v>0</v>
      </c>
      <c r="AJ43" s="174">
        <f t="shared" ref="AJ43:AJ74" si="371">IFERROR(
IF(AND(LEN(TRIM(B42))&gt;0,LEN(TRIM(C42))&gt;0),
AL43/AF43,
0
),
0
)</f>
        <v>0</v>
      </c>
      <c r="AK43" s="175">
        <f t="shared" ref="AK43" si="372">IFERROR(
IF(AND(LEN(TRIM(B42))&gt;0,LEN(TRIM(C42))&gt;0),
AJ43/AI43,
0
),
0
)</f>
        <v>0</v>
      </c>
      <c r="AL43" s="176">
        <f t="shared" ref="AL43:AL74" si="373">IFERROR(
IF(AND(LEN(TRIM(B42))&gt;0,LEN(TRIM(C42))&gt;0),
AB43/L43,
0
),
0
)</f>
        <v>0</v>
      </c>
    </row>
    <row r="44" spans="1:38" ht="17.100000000000001" customHeight="1">
      <c r="A44" s="305">
        <v>19</v>
      </c>
      <c r="B44" s="307">
        <f>'Bang TH nop'!B45</f>
        <v>0</v>
      </c>
      <c r="C44" s="309">
        <f>IFERROR(IF(LEN(TRIM(B44))&gt;0,'Bang TH nop'!C45,""),"")</f>
        <v>0</v>
      </c>
      <c r="D44" s="311">
        <f>IFERROR(IF(AND(LEN(TRIM(B44))&gt;0,LEN(TRIM(C44))&gt;0),'Bang TH nop'!AO45,""),"")</f>
        <v>0</v>
      </c>
      <c r="E44" s="312"/>
      <c r="F44" s="259"/>
      <c r="G44" s="260"/>
      <c r="H44" s="260"/>
      <c r="I44" s="10">
        <f>IFERROR(IF(AND(LEN(TRIM(B44))&gt;0,LEN(TRIM(C44))&gt;0),'Bang TH nop'!BB45,0),0)</f>
        <v>0</v>
      </c>
      <c r="J44" s="10">
        <f>IFERROR(IF(AND(LEN(TRIM(B44))&gt;0,LEN(TRIM(C44))&gt;0),'Bang TH nop'!AV45,0),0)</f>
        <v>0</v>
      </c>
      <c r="K44" s="10">
        <f>IFERROR(IF(AND(LEN(TRIM(B44))&gt;0,LEN(TRIM(C44))&gt;0),'Bang TH nop'!AR45,0),0)</f>
        <v>0</v>
      </c>
      <c r="L44" s="12">
        <f>IFERROR(IF(AND(LEN(TRIM(B44))&gt;0,LEN(TRIM(C44))&gt;0),'Bang TH nop'!AS45,0),0)</f>
        <v>0</v>
      </c>
      <c r="M44" s="12">
        <f>IFERROR(IF(AND(LEN(TRIM(C44))&gt;0,LEN(TRIM(D44))&gt;0),'Bang TH nop'!AT45,0),0)</f>
        <v>0</v>
      </c>
      <c r="N44" s="12">
        <f>IFERROR(IF(AND(LEN(TRIM(B44))&gt;0,LEN(TRIM(C44))&gt;0),'Bang TH nop'!AU45,0),0)</f>
        <v>0</v>
      </c>
      <c r="O44" s="12">
        <f>IFERROR(IF(AND(LEN(TRIM(B44))&gt;0,LEN(TRIM(C44))&gt;0),'Bang TH nop'!BE45,0),0)</f>
        <v>0</v>
      </c>
      <c r="P44" s="12">
        <f>IFERROR(IF(AND(LEN(TRIM(B45))&gt;0,LEN(TRIM(C44))&gt;0),'Bang TH nop'!AZ45,0),0)</f>
        <v>0</v>
      </c>
      <c r="Q44" s="12"/>
      <c r="R44" s="261"/>
      <c r="S44" s="261"/>
      <c r="T44" s="261"/>
      <c r="U44" s="260"/>
      <c r="V44" s="260"/>
      <c r="W44" s="260"/>
      <c r="X44" s="260"/>
      <c r="Y44" s="260"/>
      <c r="Z44" s="260"/>
      <c r="AA44" s="259" t="str">
        <f>IFERROR(
IF(AND(LEN(TRIM(B44))&gt;0,LEN(TRIM(C44))&gt;0),
'Bang TH nop'!AH45,
0
),
0
)</f>
        <v>A</v>
      </c>
      <c r="AB44" s="11"/>
      <c r="AC44" s="11"/>
      <c r="AD44" s="260"/>
      <c r="AE44" s="11"/>
      <c r="AF44" s="260"/>
      <c r="AG44" s="241"/>
      <c r="AH44" s="286"/>
      <c r="AI44" s="287"/>
      <c r="AJ44" s="288"/>
      <c r="AK44" s="287"/>
      <c r="AL44" s="173"/>
    </row>
    <row r="45" spans="1:38" ht="17.100000000000001" customHeight="1">
      <c r="A45" s="306"/>
      <c r="B45" s="308"/>
      <c r="C45" s="310"/>
      <c r="D45" s="319">
        <f>IFERROR(IF(AND(LEN(TRIM(B44))&gt;0,LEN(TRIM(C44))&gt;0),'Bang TH nop'!AP45,""),"")</f>
        <v>0</v>
      </c>
      <c r="E45" s="320"/>
      <c r="F45" s="55">
        <f>IFERROR(IF(AND(LEN(TRIM(B44))&gt;0,LEN(TRIM(C44))&gt;0),'Bang TH nop'!AL45,0),0)</f>
        <v>0</v>
      </c>
      <c r="G45" s="263">
        <f t="shared" ref="G45:G76" si="374">D45*I44/26</f>
        <v>0</v>
      </c>
      <c r="H45" s="263">
        <f t="shared" ref="H45:H76" si="375">D45*J44*150%/(26*8)</f>
        <v>0</v>
      </c>
      <c r="I45" s="263">
        <f t="shared" ref="I45:I76" si="376">IFERROR(
IF(AND(LEN(TRIM(B44))&gt;0,LEN(TRIM(C44))&gt;0),
IF(((I44-N44)*8+N44*7+J44)=0,0,
F45*680*(((I44-N44)*8+N44*7))/(((I44-N44)*8+N44*7+J44))*$I$4
),
0
),
0
)</f>
        <v>0</v>
      </c>
      <c r="J45" s="263">
        <f t="shared" ref="J45:J76" si="377">IFERROR(
IF(AND(LEN(TRIM(B44))&gt;0,LEN(TRIM(C44))&gt;0),
IF(((I44-N44)*8+N44*7+J44)=0,0,
F45*680*150%*J44/(((I44-N44)*8+N44*7+J44))*$I$4
),
0
),
0
)</f>
        <v>0</v>
      </c>
      <c r="K45" s="264">
        <f t="shared" ref="K45:K76" si="378">IFERROR(
IF(AND(LEN(TRIM(B44))&gt;0,LEN(TRIM(C44))&gt;0),
ROUND(D45/26*K44,0),
0
),
0
)</f>
        <v>0</v>
      </c>
      <c r="L45" s="264">
        <f t="shared" ref="L45:L76" si="379">IFERROR(
IF(AND(LEN(TRIM(B44))&gt;0,LEN(TRIM(C44))&gt;0),
ROUND(D45/26*L44,0),
0
),
0
)</f>
        <v>0</v>
      </c>
      <c r="M45" s="264">
        <f t="shared" ref="M45:M76" si="380">IFERROR(
IF(AND(LEN(TRIM(B44))&gt;0,LEN(TRIM(C44))&gt;0),
ROUND(D45/26*M44,0),
0
),
0
)</f>
        <v>0</v>
      </c>
      <c r="N45" s="264">
        <f t="shared" ref="N45:N76" si="381">IFERROR(
IF(AND(LEN(TRIM(B44))&gt;0,LEN(TRIM(C44))&gt;0),
D45*N44/(26*8),
0
),
0
)</f>
        <v>0</v>
      </c>
      <c r="O45" s="264">
        <f t="shared" ref="O45:O76" si="382">IFERROR(
IF(AND(LEN(TRIM(B44))&gt;0,LEN(TRIM(C44))&gt;0),
D45*O44/(26*8),
0
),
0
)</f>
        <v>0</v>
      </c>
      <c r="P45" s="264">
        <f t="shared" ref="P45:P76" si="383">IFERROR(
IF(AND(LEN(TRIM(B44))&gt;0,LEN(TRIM(C44))&gt;0),
(D45/26/8*P44),
0
),
0
)</f>
        <v>0</v>
      </c>
      <c r="Q45" s="56">
        <f>IFERROR(
IF(AND(LEN(TRIM(B44))&gt;0,LEN(TRIM(C44))&gt;0),
'Bang TH nop'!BC45,
0
),
0
)</f>
        <v>0</v>
      </c>
      <c r="R45" s="263">
        <f>IFERROR(
IF(AND(LEN(TRIM(B44))&gt;0,LEN(TRIM(C44))&gt;0),
'Bang TH nop'!BD45,
0
),
0
)</f>
        <v>0</v>
      </c>
      <c r="S45" s="263">
        <f>IFERROR(
IF(AND(LEN(TRIM(B44))&gt;0,LEN(TRIM(C44))&gt;0),
'Bang TH nop'!BJ45,
0
),
0
)</f>
        <v>0</v>
      </c>
      <c r="T45" s="263">
        <f>IFERROR(
IF(AND(LEN(TRIM(B44))&gt;0,LEN(TRIM(C44))&gt;0),
'Bang TH nop'!AW45,
0
),
0
)</f>
        <v>0</v>
      </c>
      <c r="U45" s="264">
        <f t="shared" ref="U45:U76" si="384">IFERROR(
IF(AND(LEN(TRIM(B44))&gt;0,LEN(TRIM(C44))&gt;0),
D45/26/8*U44,
0
),
0
)</f>
        <v>0</v>
      </c>
      <c r="V45" s="264"/>
      <c r="W45" s="264"/>
      <c r="X45" s="263">
        <f t="shared" ref="X45:X76" si="385">+IF(G45-I45&lt;0,0,G45-I45)</f>
        <v>0</v>
      </c>
      <c r="Y45" s="263">
        <f t="shared" ref="Y45:Y76" si="386">+IF(H45-J45&lt;0,0, H45-J45)</f>
        <v>0</v>
      </c>
      <c r="Z45" s="263">
        <f t="shared" ref="Z45" si="387">IFERROR(
IF(AND(LEN(TRIM(B44))&gt;0,LEN(TRIM(C44))&gt;0),
(X45+Y45)*25%,
0
),
0
)</f>
        <v>0</v>
      </c>
      <c r="AA45" s="263">
        <f>IFERROR(
IF(AND(LEN(TRIM(B44))&gt;0,LEN(TRIM(C44))&gt;0),
'Bang TH nop'!BG45,
0
),
0
)</f>
        <v>0</v>
      </c>
      <c r="AB45" s="264">
        <f t="shared" ref="AB45" si="388">IFERROR(
IF(AND(LEN(TRIM(B44))&gt;0,LEN(TRIM(C44))&gt;0),
SUM(I45:W45)+IFERROR(Z45,0)+IFERROR(AA45,0),
0
),
0
)</f>
        <v>0</v>
      </c>
      <c r="AC45" s="263">
        <f t="shared" ref="AC45:AC76" si="389">IFERROR(
IF(AND(LEN(TRIM(B44))&gt;0,LEN(TRIM(C44))&gt;0),
IF((26-(IFERROR(I44,0)+IFERROR(K44,0)+IFERROR(L44,0)+IFERROR(M44,0)))&gt;12,0,D45*10.5%),
0
),
0
)</f>
        <v>0</v>
      </c>
      <c r="AD45" s="291">
        <f t="shared" ref="AD45:AD76" si="390">IFERROR(
IF(AND(LEN(TRIM(B44))&gt;0,LEN(TRIM(C44))&gt;0),
ROUND(IF(D45=4939000,D45*0.5%,0),-2),
0
),
0
)</f>
        <v>0</v>
      </c>
      <c r="AE45" s="264">
        <f t="shared" ref="AE45" si="391">IFERROR(
IF(AND(LEN(TRIM(B44))&gt;0,LEN(TRIM(C44))&gt;0),
ROUND(IFERROR(AB45,0)-IFERROR(AC45,0)-IFERROR(AD45,0),-2),
0
),
0
)</f>
        <v>0</v>
      </c>
      <c r="AF45" s="13">
        <f>IFERROR(
IF(AND(LEN(TRIM(B44))&gt;0,LEN(TRIM(C44))&gt;0),
IFERROR('Bang TH nop'!AR45,0)+IFERROR('Bang TH nop'!AU45,0)+IFERROR('Bang TH nop'!BG45,0),
0
),
0
)</f>
        <v>0</v>
      </c>
      <c r="AG45" s="241"/>
      <c r="AH45" s="266"/>
      <c r="AI45" s="174">
        <f t="shared" ref="AI45" si="392">IFERROR(
IF(AND(LEN(TRIM(B44))&gt;0,LEN(TRIM(C44))&gt;0),
AH45/AG45,
0
),
0
)</f>
        <v>0</v>
      </c>
      <c r="AJ45" s="174">
        <f t="shared" ref="AJ45:AJ76" si="393">IFERROR(
IF(AND(LEN(TRIM(B44))&gt;0,LEN(TRIM(C44))&gt;0),
AL45/AF45,
0
),
0
)</f>
        <v>0</v>
      </c>
      <c r="AK45" s="175">
        <f t="shared" ref="AK45" si="394">IFERROR(
IF(AND(LEN(TRIM(B44))&gt;0,LEN(TRIM(C44))&gt;0),
AJ45/AI45,
0
),
0
)</f>
        <v>0</v>
      </c>
      <c r="AL45" s="176">
        <f t="shared" ref="AL45:AL76" si="395">IFERROR(
IF(AND(LEN(TRIM(B44))&gt;0,LEN(TRIM(C44))&gt;0),
AB45/L45,
0
),
0
)</f>
        <v>0</v>
      </c>
    </row>
    <row r="46" spans="1:38" ht="17.100000000000001" customHeight="1">
      <c r="A46" s="305">
        <v>20</v>
      </c>
      <c r="B46" s="307">
        <f>'Bang TH nop'!B47</f>
        <v>0</v>
      </c>
      <c r="C46" s="309">
        <f>IFERROR(IF(LEN(TRIM(B46))&gt;0,'Bang TH nop'!C47,""),"")</f>
        <v>0</v>
      </c>
      <c r="D46" s="311">
        <f>IFERROR(IF(AND(LEN(TRIM(B46))&gt;0,LEN(TRIM(C46))&gt;0),'Bang TH nop'!AO47,""),"")</f>
        <v>0</v>
      </c>
      <c r="E46" s="312"/>
      <c r="F46" s="259"/>
      <c r="G46" s="260"/>
      <c r="H46" s="260"/>
      <c r="I46" s="10">
        <f>IFERROR(IF(AND(LEN(TRIM(B46))&gt;0,LEN(TRIM(C46))&gt;0),'Bang TH nop'!BB47,0),0)</f>
        <v>0</v>
      </c>
      <c r="J46" s="10">
        <f>IFERROR(IF(AND(LEN(TRIM(B46))&gt;0,LEN(TRIM(C46))&gt;0),'Bang TH nop'!AV47,0),0)</f>
        <v>0</v>
      </c>
      <c r="K46" s="10">
        <f>IFERROR(IF(AND(LEN(TRIM(B46))&gt;0,LEN(TRIM(C46))&gt;0),'Bang TH nop'!AR47,0),0)</f>
        <v>0</v>
      </c>
      <c r="L46" s="12">
        <f>IFERROR(IF(AND(LEN(TRIM(B46))&gt;0,LEN(TRIM(C46))&gt;0),'Bang TH nop'!AS47,0),0)</f>
        <v>0</v>
      </c>
      <c r="M46" s="12">
        <f>IFERROR(IF(AND(LEN(TRIM(C46))&gt;0,LEN(TRIM(D46))&gt;0),'Bang TH nop'!AT47,0),0)</f>
        <v>0</v>
      </c>
      <c r="N46" s="12">
        <f>IFERROR(IF(AND(LEN(TRIM(B46))&gt;0,LEN(TRIM(C46))&gt;0),'Bang TH nop'!AU47,0),0)</f>
        <v>0</v>
      </c>
      <c r="O46" s="12">
        <f>IFERROR(IF(AND(LEN(TRIM(B46))&gt;0,LEN(TRIM(C46))&gt;0),'Bang TH nop'!BE47,0),0)</f>
        <v>0</v>
      </c>
      <c r="P46" s="12">
        <f>IFERROR(IF(AND(LEN(TRIM(B47))&gt;0,LEN(TRIM(C46))&gt;0),'Bang TH nop'!AZ47,0),0)</f>
        <v>0</v>
      </c>
      <c r="Q46" s="12"/>
      <c r="R46" s="261"/>
      <c r="S46" s="261"/>
      <c r="T46" s="261"/>
      <c r="U46" s="260"/>
      <c r="V46" s="260"/>
      <c r="W46" s="260"/>
      <c r="X46" s="260"/>
      <c r="Y46" s="260"/>
      <c r="Z46" s="260"/>
      <c r="AA46" s="259" t="str">
        <f>IFERROR(
IF(AND(LEN(TRIM(B46))&gt;0,LEN(TRIM(C46))&gt;0),
'Bang TH nop'!AH47,
0
),
0
)</f>
        <v>A</v>
      </c>
      <c r="AB46" s="11"/>
      <c r="AC46" s="11"/>
      <c r="AD46" s="260"/>
      <c r="AE46" s="11"/>
      <c r="AF46" s="260"/>
      <c r="AG46" s="241"/>
      <c r="AH46" s="286"/>
      <c r="AI46" s="287"/>
      <c r="AJ46" s="288"/>
      <c r="AK46" s="287"/>
      <c r="AL46" s="173"/>
    </row>
    <row r="47" spans="1:38" ht="17.100000000000001" customHeight="1">
      <c r="A47" s="306"/>
      <c r="B47" s="308"/>
      <c r="C47" s="310"/>
      <c r="D47" s="319">
        <f>IFERROR(IF(AND(LEN(TRIM(B46))&gt;0,LEN(TRIM(C46))&gt;0),'Bang TH nop'!AP47,""),"")</f>
        <v>0</v>
      </c>
      <c r="E47" s="320"/>
      <c r="F47" s="55">
        <f>IFERROR(IF(AND(LEN(TRIM(B46))&gt;0,LEN(TRIM(C46))&gt;0),'Bang TH nop'!AL47,0),0)</f>
        <v>0</v>
      </c>
      <c r="G47" s="263">
        <f t="shared" ref="G47:G78" si="396">D47*I46/26</f>
        <v>0</v>
      </c>
      <c r="H47" s="263">
        <f t="shared" ref="H47:H78" si="397">D47*J46*150%/(26*8)</f>
        <v>0</v>
      </c>
      <c r="I47" s="263">
        <f t="shared" ref="I47:I78" si="398">IFERROR(
IF(AND(LEN(TRIM(B46))&gt;0,LEN(TRIM(C46))&gt;0),
IF(((I46-N46)*8+N46*7+J46)=0,0,
F47*680*(((I46-N46)*8+N46*7))/(((I46-N46)*8+N46*7+J46))*$I$4
),
0
),
0
)</f>
        <v>0</v>
      </c>
      <c r="J47" s="263">
        <f t="shared" ref="J47:J78" si="399">IFERROR(
IF(AND(LEN(TRIM(B46))&gt;0,LEN(TRIM(C46))&gt;0),
IF(((I46-N46)*8+N46*7+J46)=0,0,
F47*680*150%*J46/(((I46-N46)*8+N46*7+J46))*$I$4
),
0
),
0
)</f>
        <v>0</v>
      </c>
      <c r="K47" s="264">
        <f t="shared" ref="K47:K78" si="400">IFERROR(
IF(AND(LEN(TRIM(B46))&gt;0,LEN(TRIM(C46))&gt;0),
ROUND(D47/26*K46,0),
0
),
0
)</f>
        <v>0</v>
      </c>
      <c r="L47" s="264">
        <f t="shared" ref="L47:L78" si="401">IFERROR(
IF(AND(LEN(TRIM(B46))&gt;0,LEN(TRIM(C46))&gt;0),
ROUND(D47/26*L46,0),
0
),
0
)</f>
        <v>0</v>
      </c>
      <c r="M47" s="264">
        <f t="shared" ref="M47:M78" si="402">IFERROR(
IF(AND(LEN(TRIM(B46))&gt;0,LEN(TRIM(C46))&gt;0),
ROUND(D47/26*M46,0),
0
),
0
)</f>
        <v>0</v>
      </c>
      <c r="N47" s="264">
        <f t="shared" ref="N47:N78" si="403">IFERROR(
IF(AND(LEN(TRIM(B46))&gt;0,LEN(TRIM(C46))&gt;0),
D47*N46/(26*8),
0
),
0
)</f>
        <v>0</v>
      </c>
      <c r="O47" s="264">
        <f t="shared" ref="O47:O78" si="404">IFERROR(
IF(AND(LEN(TRIM(B46))&gt;0,LEN(TRIM(C46))&gt;0),
D47*O46/(26*8),
0
),
0
)</f>
        <v>0</v>
      </c>
      <c r="P47" s="264">
        <f t="shared" ref="P47:P78" si="405">IFERROR(
IF(AND(LEN(TRIM(B46))&gt;0,LEN(TRIM(C46))&gt;0),
(D47/26/8*P46),
0
),
0
)</f>
        <v>0</v>
      </c>
      <c r="Q47" s="56">
        <f>IFERROR(
IF(AND(LEN(TRIM(B46))&gt;0,LEN(TRIM(C46))&gt;0),
'Bang TH nop'!BC47,
0
),
0
)</f>
        <v>0</v>
      </c>
      <c r="R47" s="263">
        <f>IFERROR(
IF(AND(LEN(TRIM(B46))&gt;0,LEN(TRIM(C46))&gt;0),
'Bang TH nop'!BD47,
0
),
0
)</f>
        <v>0</v>
      </c>
      <c r="S47" s="263">
        <f>IFERROR(
IF(AND(LEN(TRIM(B46))&gt;0,LEN(TRIM(C46))&gt;0),
'Bang TH nop'!BJ47,
0
),
0
)</f>
        <v>0</v>
      </c>
      <c r="T47" s="263">
        <f>IFERROR(
IF(AND(LEN(TRIM(B46))&gt;0,LEN(TRIM(C46))&gt;0),
'Bang TH nop'!AW47,
0
),
0
)</f>
        <v>0</v>
      </c>
      <c r="U47" s="264">
        <f t="shared" ref="U47:U78" si="406">IFERROR(
IF(AND(LEN(TRIM(B46))&gt;0,LEN(TRIM(C46))&gt;0),
D47/26/8*U46,
0
),
0
)</f>
        <v>0</v>
      </c>
      <c r="V47" s="264"/>
      <c r="W47" s="264"/>
      <c r="X47" s="263">
        <f t="shared" ref="X47:X78" si="407">+IF(G47-I47&lt;0,0,G47-I47)</f>
        <v>0</v>
      </c>
      <c r="Y47" s="263">
        <f t="shared" ref="Y47:Y78" si="408">+IF(H47-J47&lt;0,0, H47-J47)</f>
        <v>0</v>
      </c>
      <c r="Z47" s="263">
        <f t="shared" ref="Z47" si="409">IFERROR(
IF(AND(LEN(TRIM(B46))&gt;0,LEN(TRIM(C46))&gt;0),
(X47+Y47)*25%,
0
),
0
)</f>
        <v>0</v>
      </c>
      <c r="AA47" s="263">
        <f>IFERROR(
IF(AND(LEN(TRIM(B46))&gt;0,LEN(TRIM(C46))&gt;0),
'Bang TH nop'!BG47,
0
),
0
)</f>
        <v>0</v>
      </c>
      <c r="AB47" s="264">
        <f t="shared" ref="AB47" si="410">IFERROR(
IF(AND(LEN(TRIM(B46))&gt;0,LEN(TRIM(C46))&gt;0),
SUM(I47:W47)+IFERROR(Z47,0)+IFERROR(AA47,0),
0
),
0
)</f>
        <v>0</v>
      </c>
      <c r="AC47" s="263">
        <f t="shared" ref="AC47:AC78" si="411">IFERROR(
IF(AND(LEN(TRIM(B46))&gt;0,LEN(TRIM(C46))&gt;0),
IF((26-(IFERROR(I46,0)+IFERROR(K46,0)+IFERROR(L46,0)+IFERROR(M46,0)))&gt;12,0,D47*10.5%),
0
),
0
)</f>
        <v>0</v>
      </c>
      <c r="AD47" s="291">
        <f t="shared" ref="AD47:AD78" si="412">IFERROR(
IF(AND(LEN(TRIM(B46))&gt;0,LEN(TRIM(C46))&gt;0),
ROUND(IF(D47=4939000,D47*0.5%,0),-2),
0
),
0
)</f>
        <v>0</v>
      </c>
      <c r="AE47" s="264">
        <f t="shared" ref="AE47" si="413">IFERROR(
IF(AND(LEN(TRIM(B46))&gt;0,LEN(TRIM(C46))&gt;0),
ROUND(IFERROR(AB47,0)-IFERROR(AC47,0)-IFERROR(AD47,0),-2),
0
),
0
)</f>
        <v>0</v>
      </c>
      <c r="AF47" s="13">
        <f>IFERROR(
IF(AND(LEN(TRIM(B46))&gt;0,LEN(TRIM(C46))&gt;0),
IFERROR('Bang TH nop'!AR47,0)+IFERROR('Bang TH nop'!AU47,0)+IFERROR('Bang TH nop'!BG47,0),
0
),
0
)</f>
        <v>0</v>
      </c>
      <c r="AG47" s="241"/>
      <c r="AH47" s="266"/>
      <c r="AI47" s="174">
        <f t="shared" ref="AI47" si="414">IFERROR(
IF(AND(LEN(TRIM(B46))&gt;0,LEN(TRIM(C46))&gt;0),
AH47/AG47,
0
),
0
)</f>
        <v>0</v>
      </c>
      <c r="AJ47" s="174">
        <f t="shared" ref="AJ47:AJ78" si="415">IFERROR(
IF(AND(LEN(TRIM(B46))&gt;0,LEN(TRIM(C46))&gt;0),
AL47/AF47,
0
),
0
)</f>
        <v>0</v>
      </c>
      <c r="AK47" s="175">
        <f t="shared" ref="AK47" si="416">IFERROR(
IF(AND(LEN(TRIM(B46))&gt;0,LEN(TRIM(C46))&gt;0),
AJ47/AI47,
0
),
0
)</f>
        <v>0</v>
      </c>
      <c r="AL47" s="176">
        <f t="shared" ref="AL47:AL78" si="417">IFERROR(
IF(AND(LEN(TRIM(B46))&gt;0,LEN(TRIM(C46))&gt;0),
AB47/L47,
0
),
0
)</f>
        <v>0</v>
      </c>
    </row>
    <row r="48" spans="1:38" ht="17.100000000000001" customHeight="1">
      <c r="A48" s="305">
        <v>21</v>
      </c>
      <c r="B48" s="307">
        <f>'Bang TH nop'!B49</f>
        <v>0</v>
      </c>
      <c r="C48" s="309">
        <f>IFERROR(IF(LEN(TRIM(B48))&gt;0,'Bang TH nop'!C49,""),"")</f>
        <v>0</v>
      </c>
      <c r="D48" s="311">
        <f>IFERROR(IF(AND(LEN(TRIM(B48))&gt;0,LEN(TRIM(C48))&gt;0),'Bang TH nop'!AO49,""),"")</f>
        <v>0</v>
      </c>
      <c r="E48" s="312"/>
      <c r="F48" s="259"/>
      <c r="G48" s="260"/>
      <c r="H48" s="260"/>
      <c r="I48" s="10">
        <f>IFERROR(IF(AND(LEN(TRIM(B48))&gt;0,LEN(TRIM(C48))&gt;0),'Bang TH nop'!BB49,0),0)</f>
        <v>0</v>
      </c>
      <c r="J48" s="10">
        <f>IFERROR(IF(AND(LEN(TRIM(B48))&gt;0,LEN(TRIM(C48))&gt;0),'Bang TH nop'!AV49,0),0)</f>
        <v>0</v>
      </c>
      <c r="K48" s="10">
        <f>IFERROR(IF(AND(LEN(TRIM(B48))&gt;0,LEN(TRIM(C48))&gt;0),'Bang TH nop'!AR49,0),0)</f>
        <v>0</v>
      </c>
      <c r="L48" s="12">
        <f>IFERROR(IF(AND(LEN(TRIM(B48))&gt;0,LEN(TRIM(C48))&gt;0),'Bang TH nop'!AS49,0),0)</f>
        <v>0</v>
      </c>
      <c r="M48" s="12">
        <f>IFERROR(IF(AND(LEN(TRIM(C48))&gt;0,LEN(TRIM(D48))&gt;0),'Bang TH nop'!AT49,0),0)</f>
        <v>0</v>
      </c>
      <c r="N48" s="12">
        <f>IFERROR(IF(AND(LEN(TRIM(B48))&gt;0,LEN(TRIM(C48))&gt;0),'Bang TH nop'!AU49,0),0)</f>
        <v>0</v>
      </c>
      <c r="O48" s="12">
        <f>IFERROR(IF(AND(LEN(TRIM(B48))&gt;0,LEN(TRIM(C48))&gt;0),'Bang TH nop'!BE49,0),0)</f>
        <v>0</v>
      </c>
      <c r="P48" s="12">
        <f>IFERROR(IF(AND(LEN(TRIM(B49))&gt;0,LEN(TRIM(C48))&gt;0),'Bang TH nop'!AZ49,0),0)</f>
        <v>0</v>
      </c>
      <c r="Q48" s="12"/>
      <c r="R48" s="261"/>
      <c r="S48" s="261"/>
      <c r="T48" s="261"/>
      <c r="U48" s="260"/>
      <c r="V48" s="260"/>
      <c r="W48" s="260"/>
      <c r="X48" s="260"/>
      <c r="Y48" s="260"/>
      <c r="Z48" s="260"/>
      <c r="AA48" s="259" t="str">
        <f>IFERROR(
IF(AND(LEN(TRIM(B48))&gt;0,LEN(TRIM(C48))&gt;0),
'Bang TH nop'!AH49,
0
),
0
)</f>
        <v>A</v>
      </c>
      <c r="AB48" s="11"/>
      <c r="AC48" s="11"/>
      <c r="AD48" s="260"/>
      <c r="AE48" s="11"/>
      <c r="AF48" s="260"/>
      <c r="AG48" s="241"/>
      <c r="AH48" s="286"/>
      <c r="AI48" s="287"/>
      <c r="AJ48" s="288"/>
      <c r="AK48" s="287"/>
      <c r="AL48" s="173"/>
    </row>
    <row r="49" spans="1:38" ht="17.100000000000001" customHeight="1">
      <c r="A49" s="306"/>
      <c r="B49" s="308"/>
      <c r="C49" s="310"/>
      <c r="D49" s="319">
        <f>IFERROR(IF(AND(LEN(TRIM(B48))&gt;0,LEN(TRIM(C48))&gt;0),'Bang TH nop'!AP49,""),"")</f>
        <v>0</v>
      </c>
      <c r="E49" s="320"/>
      <c r="F49" s="55">
        <f>IFERROR(IF(AND(LEN(TRIM(B48))&gt;0,LEN(TRIM(C48))&gt;0),'Bang TH nop'!AL49,0),0)</f>
        <v>0</v>
      </c>
      <c r="G49" s="263">
        <f t="shared" ref="G49:G80" si="418">D49*I48/26</f>
        <v>0</v>
      </c>
      <c r="H49" s="263">
        <f t="shared" ref="H49:H80" si="419">D49*J48*150%/(26*8)</f>
        <v>0</v>
      </c>
      <c r="I49" s="263">
        <f t="shared" ref="I49:I80" si="420">IFERROR(
IF(AND(LEN(TRIM(B48))&gt;0,LEN(TRIM(C48))&gt;0),
IF(((I48-N48)*8+N48*7+J48)=0,0,
F49*680*(((I48-N48)*8+N48*7))/(((I48-N48)*8+N48*7+J48))*$I$4
),
0
),
0
)</f>
        <v>0</v>
      </c>
      <c r="J49" s="263">
        <f t="shared" ref="J49:J80" si="421">IFERROR(
IF(AND(LEN(TRIM(B48))&gt;0,LEN(TRIM(C48))&gt;0),
IF(((I48-N48)*8+N48*7+J48)=0,0,
F49*680*150%*J48/(((I48-N48)*8+N48*7+J48))*$I$4
),
0
),
0
)</f>
        <v>0</v>
      </c>
      <c r="K49" s="264">
        <f t="shared" ref="K49:K80" si="422">IFERROR(
IF(AND(LEN(TRIM(B48))&gt;0,LEN(TRIM(C48))&gt;0),
ROUND(D49/26*K48,0),
0
),
0
)</f>
        <v>0</v>
      </c>
      <c r="L49" s="264">
        <f t="shared" ref="L49:L80" si="423">IFERROR(
IF(AND(LEN(TRIM(B48))&gt;0,LEN(TRIM(C48))&gt;0),
ROUND(D49/26*L48,0),
0
),
0
)</f>
        <v>0</v>
      </c>
      <c r="M49" s="264">
        <f t="shared" ref="M49:M80" si="424">IFERROR(
IF(AND(LEN(TRIM(B48))&gt;0,LEN(TRIM(C48))&gt;0),
ROUND(D49/26*M48,0),
0
),
0
)</f>
        <v>0</v>
      </c>
      <c r="N49" s="264">
        <f t="shared" ref="N49:N80" si="425">IFERROR(
IF(AND(LEN(TRIM(B48))&gt;0,LEN(TRIM(C48))&gt;0),
D49*N48/(26*8),
0
),
0
)</f>
        <v>0</v>
      </c>
      <c r="O49" s="264">
        <f t="shared" ref="O49:O80" si="426">IFERROR(
IF(AND(LEN(TRIM(B48))&gt;0,LEN(TRIM(C48))&gt;0),
D49*O48/(26*8),
0
),
0
)</f>
        <v>0</v>
      </c>
      <c r="P49" s="264">
        <f t="shared" ref="P49:P80" si="427">IFERROR(
IF(AND(LEN(TRIM(B48))&gt;0,LEN(TRIM(C48))&gt;0),
(D49/26/8*P48),
0
),
0
)</f>
        <v>0</v>
      </c>
      <c r="Q49" s="56">
        <f>IFERROR(
IF(AND(LEN(TRIM(B48))&gt;0,LEN(TRIM(C48))&gt;0),
'Bang TH nop'!BC49,
0
),
0
)</f>
        <v>0</v>
      </c>
      <c r="R49" s="263">
        <f>IFERROR(
IF(AND(LEN(TRIM(B48))&gt;0,LEN(TRIM(C48))&gt;0),
'Bang TH nop'!BD49,
0
),
0
)</f>
        <v>0</v>
      </c>
      <c r="S49" s="263">
        <f>IFERROR(
IF(AND(LEN(TRIM(B48))&gt;0,LEN(TRIM(C48))&gt;0),
'Bang TH nop'!BJ49,
0
),
0
)</f>
        <v>0</v>
      </c>
      <c r="T49" s="263">
        <f>IFERROR(
IF(AND(LEN(TRIM(B48))&gt;0,LEN(TRIM(C48))&gt;0),
'Bang TH nop'!AW49,
0
),
0
)</f>
        <v>0</v>
      </c>
      <c r="U49" s="264">
        <f t="shared" ref="U49:U80" si="428">IFERROR(
IF(AND(LEN(TRIM(B48))&gt;0,LEN(TRIM(C48))&gt;0),
D49/26/8*U48,
0
),
0
)</f>
        <v>0</v>
      </c>
      <c r="V49" s="264"/>
      <c r="W49" s="264"/>
      <c r="X49" s="263">
        <f t="shared" ref="X49:X80" si="429">+IF(G49-I49&lt;0,0,G49-I49)</f>
        <v>0</v>
      </c>
      <c r="Y49" s="263">
        <f t="shared" ref="Y49:Y80" si="430">+IF(H49-J49&lt;0,0, H49-J49)</f>
        <v>0</v>
      </c>
      <c r="Z49" s="263">
        <f t="shared" ref="Z49" si="431">IFERROR(
IF(AND(LEN(TRIM(B48))&gt;0,LEN(TRIM(C48))&gt;0),
(X49+Y49)*25%,
0
),
0
)</f>
        <v>0</v>
      </c>
      <c r="AA49" s="263">
        <f>IFERROR(
IF(AND(LEN(TRIM(B48))&gt;0,LEN(TRIM(C48))&gt;0),
'Bang TH nop'!BG49,
0
),
0
)</f>
        <v>0</v>
      </c>
      <c r="AB49" s="264">
        <f t="shared" ref="AB49" si="432">IFERROR(
IF(AND(LEN(TRIM(B48))&gt;0,LEN(TRIM(C48))&gt;0),
SUM(I49:W49)+IFERROR(Z49,0)+IFERROR(AA49,0),
0
),
0
)</f>
        <v>0</v>
      </c>
      <c r="AC49" s="263">
        <f t="shared" ref="AC49:AC80" si="433">IFERROR(
IF(AND(LEN(TRIM(B48))&gt;0,LEN(TRIM(C48))&gt;0),
IF((26-(IFERROR(I48,0)+IFERROR(K48,0)+IFERROR(L48,0)+IFERROR(M48,0)))&gt;12,0,D49*10.5%),
0
),
0
)</f>
        <v>0</v>
      </c>
      <c r="AD49" s="291">
        <f t="shared" ref="AD49:AD80" si="434">IFERROR(
IF(AND(LEN(TRIM(B48))&gt;0,LEN(TRIM(C48))&gt;0),
ROUND(IF(D49=4939000,D49*0.5%,0),-2),
0
),
0
)</f>
        <v>0</v>
      </c>
      <c r="AE49" s="264">
        <f t="shared" ref="AE49" si="435">IFERROR(
IF(AND(LEN(TRIM(B48))&gt;0,LEN(TRIM(C48))&gt;0),
ROUND(IFERROR(AB49,0)-IFERROR(AC49,0)-IFERROR(AD49,0),-2),
0
),
0
)</f>
        <v>0</v>
      </c>
      <c r="AF49" s="13">
        <f>IFERROR(
IF(AND(LEN(TRIM(B48))&gt;0,LEN(TRIM(C48))&gt;0),
IFERROR('Bang TH nop'!AR49,0)+IFERROR('Bang TH nop'!AU49,0)+IFERROR('Bang TH nop'!BG49,0),
0
),
0
)</f>
        <v>0</v>
      </c>
      <c r="AG49" s="241"/>
      <c r="AH49" s="266"/>
      <c r="AI49" s="174">
        <f t="shared" ref="AI49" si="436">IFERROR(
IF(AND(LEN(TRIM(B48))&gt;0,LEN(TRIM(C48))&gt;0),
AH49/AG49,
0
),
0
)</f>
        <v>0</v>
      </c>
      <c r="AJ49" s="174">
        <f t="shared" ref="AJ49:AJ80" si="437">IFERROR(
IF(AND(LEN(TRIM(B48))&gt;0,LEN(TRIM(C48))&gt;0),
AL49/AF49,
0
),
0
)</f>
        <v>0</v>
      </c>
      <c r="AK49" s="175">
        <f t="shared" ref="AK49" si="438">IFERROR(
IF(AND(LEN(TRIM(B48))&gt;0,LEN(TRIM(C48))&gt;0),
AJ49/AI49,
0
),
0
)</f>
        <v>0</v>
      </c>
      <c r="AL49" s="176">
        <f t="shared" ref="AL49:AL80" si="439">IFERROR(
IF(AND(LEN(TRIM(B48))&gt;0,LEN(TRIM(C48))&gt;0),
AB49/L49,
0
),
0
)</f>
        <v>0</v>
      </c>
    </row>
    <row r="50" spans="1:38" ht="17.100000000000001" customHeight="1">
      <c r="A50" s="305">
        <v>22</v>
      </c>
      <c r="B50" s="307">
        <f>'Bang TH nop'!B51</f>
        <v>0</v>
      </c>
      <c r="C50" s="309">
        <f>IFERROR(IF(LEN(TRIM(B50))&gt;0,'Bang TH nop'!C51,""),"")</f>
        <v>0</v>
      </c>
      <c r="D50" s="311">
        <f>IFERROR(IF(AND(LEN(TRIM(B50))&gt;0,LEN(TRIM(C50))&gt;0),'Bang TH nop'!AO51,""),"")</f>
        <v>0</v>
      </c>
      <c r="E50" s="312"/>
      <c r="F50" s="259"/>
      <c r="G50" s="260"/>
      <c r="H50" s="260"/>
      <c r="I50" s="10">
        <f>IFERROR(IF(AND(LEN(TRIM(B50))&gt;0,LEN(TRIM(C50))&gt;0),'Bang TH nop'!BB51,0),0)</f>
        <v>0</v>
      </c>
      <c r="J50" s="10">
        <f>IFERROR(IF(AND(LEN(TRIM(B50))&gt;0,LEN(TRIM(C50))&gt;0),'Bang TH nop'!AV51,0),0)</f>
        <v>0</v>
      </c>
      <c r="K50" s="10">
        <f>IFERROR(IF(AND(LEN(TRIM(B50))&gt;0,LEN(TRIM(C50))&gt;0),'Bang TH nop'!AR51,0),0)</f>
        <v>0</v>
      </c>
      <c r="L50" s="12">
        <f>IFERROR(IF(AND(LEN(TRIM(B50))&gt;0,LEN(TRIM(C50))&gt;0),'Bang TH nop'!AS51,0),0)</f>
        <v>0</v>
      </c>
      <c r="M50" s="12">
        <f>IFERROR(IF(AND(LEN(TRIM(C50))&gt;0,LEN(TRIM(D50))&gt;0),'Bang TH nop'!AT51,0),0)</f>
        <v>0</v>
      </c>
      <c r="N50" s="12">
        <f>IFERROR(IF(AND(LEN(TRIM(B50))&gt;0,LEN(TRIM(C50))&gt;0),'Bang TH nop'!AU51,0),0)</f>
        <v>0</v>
      </c>
      <c r="O50" s="12">
        <f>IFERROR(IF(AND(LEN(TRIM(B50))&gt;0,LEN(TRIM(C50))&gt;0),'Bang TH nop'!BE51,0),0)</f>
        <v>0</v>
      </c>
      <c r="P50" s="12">
        <f>IFERROR(IF(AND(LEN(TRIM(B51))&gt;0,LEN(TRIM(C50))&gt;0),'Bang TH nop'!AZ51,0),0)</f>
        <v>0</v>
      </c>
      <c r="Q50" s="12"/>
      <c r="R50" s="261"/>
      <c r="S50" s="261"/>
      <c r="T50" s="261"/>
      <c r="U50" s="260"/>
      <c r="V50" s="260"/>
      <c r="W50" s="260"/>
      <c r="X50" s="260"/>
      <c r="Y50" s="260"/>
      <c r="Z50" s="260"/>
      <c r="AA50" s="259" t="str">
        <f>IFERROR(
IF(AND(LEN(TRIM(B50))&gt;0,LEN(TRIM(C50))&gt;0),
'Bang TH nop'!AH51,
0
),
0
)</f>
        <v>A</v>
      </c>
      <c r="AB50" s="11"/>
      <c r="AC50" s="11"/>
      <c r="AD50" s="260"/>
      <c r="AE50" s="11"/>
      <c r="AF50" s="260"/>
      <c r="AG50" s="241"/>
      <c r="AH50" s="286"/>
      <c r="AI50" s="287"/>
      <c r="AJ50" s="288"/>
      <c r="AK50" s="287"/>
      <c r="AL50" s="173"/>
    </row>
    <row r="51" spans="1:38" ht="17.100000000000001" customHeight="1">
      <c r="A51" s="306"/>
      <c r="B51" s="308"/>
      <c r="C51" s="310"/>
      <c r="D51" s="319">
        <f>IFERROR(IF(AND(LEN(TRIM(B50))&gt;0,LEN(TRIM(C50))&gt;0),'Bang TH nop'!AP51,""),"")</f>
        <v>0</v>
      </c>
      <c r="E51" s="320"/>
      <c r="F51" s="55">
        <f>IFERROR(IF(AND(LEN(TRIM(B50))&gt;0,LEN(TRIM(C50))&gt;0),'Bang TH nop'!AL51,0),0)</f>
        <v>0</v>
      </c>
      <c r="G51" s="263">
        <f t="shared" ref="G51:G82" si="440">D51*I50/26</f>
        <v>0</v>
      </c>
      <c r="H51" s="263">
        <f t="shared" ref="H51:H82" si="441">D51*J50*150%/(26*8)</f>
        <v>0</v>
      </c>
      <c r="I51" s="263">
        <f t="shared" ref="I51:I82" si="442">IFERROR(
IF(AND(LEN(TRIM(B50))&gt;0,LEN(TRIM(C50))&gt;0),
IF(((I50-N50)*8+N50*7+J50)=0,0,
F51*680*(((I50-N50)*8+N50*7))/(((I50-N50)*8+N50*7+J50))*$I$4
),
0
),
0
)</f>
        <v>0</v>
      </c>
      <c r="J51" s="263">
        <f t="shared" ref="J51:J82" si="443">IFERROR(
IF(AND(LEN(TRIM(B50))&gt;0,LEN(TRIM(C50))&gt;0),
IF(((I50-N50)*8+N50*7+J50)=0,0,
F51*680*150%*J50/(((I50-N50)*8+N50*7+J50))*$I$4
),
0
),
0
)</f>
        <v>0</v>
      </c>
      <c r="K51" s="264">
        <f t="shared" ref="K51:K82" si="444">IFERROR(
IF(AND(LEN(TRIM(B50))&gt;0,LEN(TRIM(C50))&gt;0),
ROUND(D51/26*K50,0),
0
),
0
)</f>
        <v>0</v>
      </c>
      <c r="L51" s="264">
        <f t="shared" ref="L51:L82" si="445">IFERROR(
IF(AND(LEN(TRIM(B50))&gt;0,LEN(TRIM(C50))&gt;0),
ROUND(D51/26*L50,0),
0
),
0
)</f>
        <v>0</v>
      </c>
      <c r="M51" s="264">
        <f t="shared" ref="M51:M82" si="446">IFERROR(
IF(AND(LEN(TRIM(B50))&gt;0,LEN(TRIM(C50))&gt;0),
ROUND(D51/26*M50,0),
0
),
0
)</f>
        <v>0</v>
      </c>
      <c r="N51" s="264">
        <f t="shared" ref="N51:N82" si="447">IFERROR(
IF(AND(LEN(TRIM(B50))&gt;0,LEN(TRIM(C50))&gt;0),
D51*N50/(26*8),
0
),
0
)</f>
        <v>0</v>
      </c>
      <c r="O51" s="264">
        <f t="shared" ref="O51:O82" si="448">IFERROR(
IF(AND(LEN(TRIM(B50))&gt;0,LEN(TRIM(C50))&gt;0),
D51*O50/(26*8),
0
),
0
)</f>
        <v>0</v>
      </c>
      <c r="P51" s="264">
        <f t="shared" ref="P51:P82" si="449">IFERROR(
IF(AND(LEN(TRIM(B50))&gt;0,LEN(TRIM(C50))&gt;0),
(D51/26/8*P50),
0
),
0
)</f>
        <v>0</v>
      </c>
      <c r="Q51" s="56">
        <f>IFERROR(
IF(AND(LEN(TRIM(B50))&gt;0,LEN(TRIM(C50))&gt;0),
'Bang TH nop'!BC51,
0
),
0
)</f>
        <v>0</v>
      </c>
      <c r="R51" s="263">
        <f>IFERROR(
IF(AND(LEN(TRIM(B50))&gt;0,LEN(TRIM(C50))&gt;0),
'Bang TH nop'!BD51,
0
),
0
)</f>
        <v>0</v>
      </c>
      <c r="S51" s="263">
        <f>IFERROR(
IF(AND(LEN(TRIM(B50))&gt;0,LEN(TRIM(C50))&gt;0),
'Bang TH nop'!BJ51,
0
),
0
)</f>
        <v>0</v>
      </c>
      <c r="T51" s="263">
        <f>IFERROR(
IF(AND(LEN(TRIM(B50))&gt;0,LEN(TRIM(C50))&gt;0),
'Bang TH nop'!AW51,
0
),
0
)</f>
        <v>0</v>
      </c>
      <c r="U51" s="264">
        <f t="shared" ref="U51:U82" si="450">IFERROR(
IF(AND(LEN(TRIM(B50))&gt;0,LEN(TRIM(C50))&gt;0),
D51/26/8*U50,
0
),
0
)</f>
        <v>0</v>
      </c>
      <c r="V51" s="264"/>
      <c r="W51" s="264"/>
      <c r="X51" s="263">
        <f t="shared" ref="X51:X82" si="451">+IF(G51-I51&lt;0,0,G51-I51)</f>
        <v>0</v>
      </c>
      <c r="Y51" s="263">
        <f t="shared" ref="Y51:Y82" si="452">+IF(H51-J51&lt;0,0, H51-J51)</f>
        <v>0</v>
      </c>
      <c r="Z51" s="263">
        <f t="shared" ref="Z51" si="453">IFERROR(
IF(AND(LEN(TRIM(B50))&gt;0,LEN(TRIM(C50))&gt;0),
(X51+Y51)*25%,
0
),
0
)</f>
        <v>0</v>
      </c>
      <c r="AA51" s="263">
        <f>IFERROR(
IF(AND(LEN(TRIM(B50))&gt;0,LEN(TRIM(C50))&gt;0),
'Bang TH nop'!BG51,
0
),
0
)</f>
        <v>0</v>
      </c>
      <c r="AB51" s="264">
        <f t="shared" ref="AB51" si="454">IFERROR(
IF(AND(LEN(TRIM(B50))&gt;0,LEN(TRIM(C50))&gt;0),
SUM(I51:W51)+IFERROR(Z51,0)+IFERROR(AA51,0),
0
),
0
)</f>
        <v>0</v>
      </c>
      <c r="AC51" s="263">
        <f t="shared" ref="AC51:AC82" si="455">IFERROR(
IF(AND(LEN(TRIM(B50))&gt;0,LEN(TRIM(C50))&gt;0),
IF((26-(IFERROR(I50,0)+IFERROR(K50,0)+IFERROR(L50,0)+IFERROR(M50,0)))&gt;12,0,D51*10.5%),
0
),
0
)</f>
        <v>0</v>
      </c>
      <c r="AD51" s="291">
        <f t="shared" ref="AD51:AD82" si="456">IFERROR(
IF(AND(LEN(TRIM(B50))&gt;0,LEN(TRIM(C50))&gt;0),
ROUND(IF(D51=4939000,D51*0.5%,0),-2),
0
),
0
)</f>
        <v>0</v>
      </c>
      <c r="AE51" s="264">
        <f t="shared" ref="AE51" si="457">IFERROR(
IF(AND(LEN(TRIM(B50))&gt;0,LEN(TRIM(C50))&gt;0),
ROUND(IFERROR(AB51,0)-IFERROR(AC51,0)-IFERROR(AD51,0),-2),
0
),
0
)</f>
        <v>0</v>
      </c>
      <c r="AF51" s="13">
        <f>IFERROR(
IF(AND(LEN(TRIM(B50))&gt;0,LEN(TRIM(C50))&gt;0),
IFERROR('Bang TH nop'!AR51,0)+IFERROR('Bang TH nop'!AU51,0)+IFERROR('Bang TH nop'!BG51,0),
0
),
0
)</f>
        <v>0</v>
      </c>
      <c r="AG51" s="241"/>
      <c r="AH51" s="266"/>
      <c r="AI51" s="174">
        <f t="shared" ref="AI51" si="458">IFERROR(
IF(AND(LEN(TRIM(B50))&gt;0,LEN(TRIM(C50))&gt;0),
AH51/AG51,
0
),
0
)</f>
        <v>0</v>
      </c>
      <c r="AJ51" s="174">
        <f t="shared" ref="AJ51:AJ82" si="459">IFERROR(
IF(AND(LEN(TRIM(B50))&gt;0,LEN(TRIM(C50))&gt;0),
AL51/AF51,
0
),
0
)</f>
        <v>0</v>
      </c>
      <c r="AK51" s="175">
        <f t="shared" ref="AK51" si="460">IFERROR(
IF(AND(LEN(TRIM(B50))&gt;0,LEN(TRIM(C50))&gt;0),
AJ51/AI51,
0
),
0
)</f>
        <v>0</v>
      </c>
      <c r="AL51" s="176">
        <f t="shared" ref="AL51:AL82" si="461">IFERROR(
IF(AND(LEN(TRIM(B50))&gt;0,LEN(TRIM(C50))&gt;0),
AB51/L51,
0
),
0
)</f>
        <v>0</v>
      </c>
    </row>
    <row r="52" spans="1:38" ht="17.100000000000001" customHeight="1">
      <c r="A52" s="305">
        <v>23</v>
      </c>
      <c r="B52" s="307">
        <f>'Bang TH nop'!B53</f>
        <v>0</v>
      </c>
      <c r="C52" s="309">
        <f>IFERROR(IF(LEN(TRIM(B52))&gt;0,'Bang TH nop'!C53,""),"")</f>
        <v>0</v>
      </c>
      <c r="D52" s="311">
        <f>IFERROR(IF(AND(LEN(TRIM(B52))&gt;0,LEN(TRIM(C52))&gt;0),'Bang TH nop'!AO53,""),"")</f>
        <v>0</v>
      </c>
      <c r="E52" s="312"/>
      <c r="F52" s="259"/>
      <c r="G52" s="260"/>
      <c r="H52" s="260"/>
      <c r="I52" s="10">
        <f>IFERROR(IF(AND(LEN(TRIM(B52))&gt;0,LEN(TRIM(C52))&gt;0),'Bang TH nop'!BB53,0),0)</f>
        <v>0</v>
      </c>
      <c r="J52" s="10">
        <f>IFERROR(IF(AND(LEN(TRIM(B52))&gt;0,LEN(TRIM(C52))&gt;0),'Bang TH nop'!AV53,0),0)</f>
        <v>0</v>
      </c>
      <c r="K52" s="10">
        <f>IFERROR(IF(AND(LEN(TRIM(B52))&gt;0,LEN(TRIM(C52))&gt;0),'Bang TH nop'!AR53,0),0)</f>
        <v>0</v>
      </c>
      <c r="L52" s="12">
        <f>IFERROR(IF(AND(LEN(TRIM(B52))&gt;0,LEN(TRIM(C52))&gt;0),'Bang TH nop'!AS53,0),0)</f>
        <v>0</v>
      </c>
      <c r="M52" s="12">
        <f>IFERROR(IF(AND(LEN(TRIM(C52))&gt;0,LEN(TRIM(D52))&gt;0),'Bang TH nop'!AT53,0),0)</f>
        <v>0</v>
      </c>
      <c r="N52" s="12">
        <f>IFERROR(IF(AND(LEN(TRIM(B52))&gt;0,LEN(TRIM(C52))&gt;0),'Bang TH nop'!AU53,0),0)</f>
        <v>0</v>
      </c>
      <c r="O52" s="12">
        <f>IFERROR(IF(AND(LEN(TRIM(B52))&gt;0,LEN(TRIM(C52))&gt;0),'Bang TH nop'!BE53,0),0)</f>
        <v>0</v>
      </c>
      <c r="P52" s="12">
        <f>IFERROR(IF(AND(LEN(TRIM(B53))&gt;0,LEN(TRIM(C52))&gt;0),'Bang TH nop'!AZ53,0),0)</f>
        <v>0</v>
      </c>
      <c r="Q52" s="12"/>
      <c r="R52" s="261"/>
      <c r="S52" s="261"/>
      <c r="T52" s="261"/>
      <c r="U52" s="260"/>
      <c r="V52" s="260"/>
      <c r="W52" s="260"/>
      <c r="X52" s="260"/>
      <c r="Y52" s="260"/>
      <c r="Z52" s="260"/>
      <c r="AA52" s="259" t="str">
        <f>IFERROR(
IF(AND(LEN(TRIM(B52))&gt;0,LEN(TRIM(C52))&gt;0),
'Bang TH nop'!AH53,
0
),
0
)</f>
        <v>A</v>
      </c>
      <c r="AB52" s="11"/>
      <c r="AC52" s="11"/>
      <c r="AD52" s="260"/>
      <c r="AE52" s="11"/>
      <c r="AF52" s="260"/>
      <c r="AG52" s="241"/>
      <c r="AH52" s="286"/>
      <c r="AI52" s="287"/>
      <c r="AJ52" s="288"/>
      <c r="AK52" s="287"/>
      <c r="AL52" s="173"/>
    </row>
    <row r="53" spans="1:38" ht="17.100000000000001" customHeight="1">
      <c r="A53" s="306"/>
      <c r="B53" s="308"/>
      <c r="C53" s="310"/>
      <c r="D53" s="319">
        <f>IFERROR(IF(AND(LEN(TRIM(B52))&gt;0,LEN(TRIM(C52))&gt;0),'Bang TH nop'!AP53,""),"")</f>
        <v>0</v>
      </c>
      <c r="E53" s="320"/>
      <c r="F53" s="55">
        <f>IFERROR(IF(AND(LEN(TRIM(B52))&gt;0,LEN(TRIM(C52))&gt;0),'Bang TH nop'!AL53,0),0)</f>
        <v>0</v>
      </c>
      <c r="G53" s="263">
        <f t="shared" ref="G53:G84" si="462">D53*I52/26</f>
        <v>0</v>
      </c>
      <c r="H53" s="263">
        <f t="shared" ref="H53:H84" si="463">D53*J52*150%/(26*8)</f>
        <v>0</v>
      </c>
      <c r="I53" s="263">
        <f t="shared" ref="I53:I84" si="464">IFERROR(
IF(AND(LEN(TRIM(B52))&gt;0,LEN(TRIM(C52))&gt;0),
IF(((I52-N52)*8+N52*7+J52)=0,0,
F53*680*(((I52-N52)*8+N52*7))/(((I52-N52)*8+N52*7+J52))*$I$4
),
0
),
0
)</f>
        <v>0</v>
      </c>
      <c r="J53" s="263">
        <f t="shared" ref="J53:J84" si="465">IFERROR(
IF(AND(LEN(TRIM(B52))&gt;0,LEN(TRIM(C52))&gt;0),
IF(((I52-N52)*8+N52*7+J52)=0,0,
F53*680*150%*J52/(((I52-N52)*8+N52*7+J52))*$I$4
),
0
),
0
)</f>
        <v>0</v>
      </c>
      <c r="K53" s="264">
        <f t="shared" ref="K53:K84" si="466">IFERROR(
IF(AND(LEN(TRIM(B52))&gt;0,LEN(TRIM(C52))&gt;0),
ROUND(D53/26*K52,0),
0
),
0
)</f>
        <v>0</v>
      </c>
      <c r="L53" s="264">
        <f t="shared" ref="L53:L84" si="467">IFERROR(
IF(AND(LEN(TRIM(B52))&gt;0,LEN(TRIM(C52))&gt;0),
ROUND(D53/26*L52,0),
0
),
0
)</f>
        <v>0</v>
      </c>
      <c r="M53" s="264">
        <f t="shared" ref="M53:M84" si="468">IFERROR(
IF(AND(LEN(TRIM(B52))&gt;0,LEN(TRIM(C52))&gt;0),
ROUND(D53/26*M52,0),
0
),
0
)</f>
        <v>0</v>
      </c>
      <c r="N53" s="264">
        <f t="shared" ref="N53:N84" si="469">IFERROR(
IF(AND(LEN(TRIM(B52))&gt;0,LEN(TRIM(C52))&gt;0),
D53*N52/(26*8),
0
),
0
)</f>
        <v>0</v>
      </c>
      <c r="O53" s="264">
        <f t="shared" ref="O53:O84" si="470">IFERROR(
IF(AND(LEN(TRIM(B52))&gt;0,LEN(TRIM(C52))&gt;0),
D53*O52/(26*8),
0
),
0
)</f>
        <v>0</v>
      </c>
      <c r="P53" s="264">
        <f t="shared" ref="P53:P84" si="471">IFERROR(
IF(AND(LEN(TRIM(B52))&gt;0,LEN(TRIM(C52))&gt;0),
(D53/26/8*P52),
0
),
0
)</f>
        <v>0</v>
      </c>
      <c r="Q53" s="56">
        <f>IFERROR(
IF(AND(LEN(TRIM(B52))&gt;0,LEN(TRIM(C52))&gt;0),
'Bang TH nop'!BC53,
0
),
0
)</f>
        <v>0</v>
      </c>
      <c r="R53" s="263">
        <f>IFERROR(
IF(AND(LEN(TRIM(B52))&gt;0,LEN(TRIM(C52))&gt;0),
'Bang TH nop'!BD53,
0
),
0
)</f>
        <v>0</v>
      </c>
      <c r="S53" s="263">
        <f>IFERROR(
IF(AND(LEN(TRIM(B52))&gt;0,LEN(TRIM(C52))&gt;0),
'Bang TH nop'!BJ53,
0
),
0
)</f>
        <v>0</v>
      </c>
      <c r="T53" s="263">
        <f>IFERROR(
IF(AND(LEN(TRIM(B52))&gt;0,LEN(TRIM(C52))&gt;0),
'Bang TH nop'!AW53,
0
),
0
)</f>
        <v>0</v>
      </c>
      <c r="U53" s="264">
        <f t="shared" ref="U53:U84" si="472">IFERROR(
IF(AND(LEN(TRIM(B52))&gt;0,LEN(TRIM(C52))&gt;0),
D53/26/8*U52,
0
),
0
)</f>
        <v>0</v>
      </c>
      <c r="V53" s="264"/>
      <c r="W53" s="264"/>
      <c r="X53" s="263">
        <f t="shared" ref="X53:X84" si="473">+IF(G53-I53&lt;0,0,G53-I53)</f>
        <v>0</v>
      </c>
      <c r="Y53" s="263">
        <f t="shared" ref="Y53:Y84" si="474">+IF(H53-J53&lt;0,0, H53-J53)</f>
        <v>0</v>
      </c>
      <c r="Z53" s="263">
        <f t="shared" ref="Z53" si="475">IFERROR(
IF(AND(LEN(TRIM(B52))&gt;0,LEN(TRIM(C52))&gt;0),
(X53+Y53)*25%,
0
),
0
)</f>
        <v>0</v>
      </c>
      <c r="AA53" s="263">
        <f>IFERROR(
IF(AND(LEN(TRIM(B52))&gt;0,LEN(TRIM(C52))&gt;0),
'Bang TH nop'!BG53,
0
),
0
)</f>
        <v>0</v>
      </c>
      <c r="AB53" s="264">
        <f t="shared" ref="AB53" si="476">IFERROR(
IF(AND(LEN(TRIM(B52))&gt;0,LEN(TRIM(C52))&gt;0),
SUM(I53:W53)+IFERROR(Z53,0)+IFERROR(AA53,0),
0
),
0
)</f>
        <v>0</v>
      </c>
      <c r="AC53" s="263">
        <f t="shared" ref="AC53:AC84" si="477">IFERROR(
IF(AND(LEN(TRIM(B52))&gt;0,LEN(TRIM(C52))&gt;0),
IF((26-(IFERROR(I52,0)+IFERROR(K52,0)+IFERROR(L52,0)+IFERROR(M52,0)))&gt;12,0,D53*10.5%),
0
),
0
)</f>
        <v>0</v>
      </c>
      <c r="AD53" s="291">
        <f t="shared" ref="AD53:AD84" si="478">IFERROR(
IF(AND(LEN(TRIM(B52))&gt;0,LEN(TRIM(C52))&gt;0),
ROUND(IF(D53=4939000,D53*0.5%,0),-2),
0
),
0
)</f>
        <v>0</v>
      </c>
      <c r="AE53" s="264">
        <f t="shared" ref="AE53" si="479">IFERROR(
IF(AND(LEN(TRIM(B52))&gt;0,LEN(TRIM(C52))&gt;0),
ROUND(IFERROR(AB53,0)-IFERROR(AC53,0)-IFERROR(AD53,0),-2),
0
),
0
)</f>
        <v>0</v>
      </c>
      <c r="AF53" s="13">
        <f>IFERROR(
IF(AND(LEN(TRIM(B52))&gt;0,LEN(TRIM(C52))&gt;0),
IFERROR('Bang TH nop'!AR53,0)+IFERROR('Bang TH nop'!AU53,0)+IFERROR('Bang TH nop'!BG53,0),
0
),
0
)</f>
        <v>0</v>
      </c>
      <c r="AG53" s="241"/>
      <c r="AH53" s="266"/>
      <c r="AI53" s="174">
        <f t="shared" ref="AI53" si="480">IFERROR(
IF(AND(LEN(TRIM(B52))&gt;0,LEN(TRIM(C52))&gt;0),
AH53/AG53,
0
),
0
)</f>
        <v>0</v>
      </c>
      <c r="AJ53" s="174">
        <f t="shared" ref="AJ53:AJ84" si="481">IFERROR(
IF(AND(LEN(TRIM(B52))&gt;0,LEN(TRIM(C52))&gt;0),
AL53/AF53,
0
),
0
)</f>
        <v>0</v>
      </c>
      <c r="AK53" s="175">
        <f t="shared" ref="AK53" si="482">IFERROR(
IF(AND(LEN(TRIM(B52))&gt;0,LEN(TRIM(C52))&gt;0),
AJ53/AI53,
0
),
0
)</f>
        <v>0</v>
      </c>
      <c r="AL53" s="176">
        <f t="shared" ref="AL53:AL84" si="483">IFERROR(
IF(AND(LEN(TRIM(B52))&gt;0,LEN(TRIM(C52))&gt;0),
AB53/L53,
0
),
0
)</f>
        <v>0</v>
      </c>
    </row>
    <row r="54" spans="1:38" ht="17.100000000000001" customHeight="1">
      <c r="A54" s="305">
        <v>24</v>
      </c>
      <c r="B54" s="307">
        <f>'Bang TH nop'!B55</f>
        <v>0</v>
      </c>
      <c r="C54" s="309">
        <f>IFERROR(IF(LEN(TRIM(B54))&gt;0,'Bang TH nop'!C55,""),"")</f>
        <v>0</v>
      </c>
      <c r="D54" s="311">
        <f>IFERROR(IF(AND(LEN(TRIM(B54))&gt;0,LEN(TRIM(C54))&gt;0),'Bang TH nop'!AO55,""),"")</f>
        <v>0</v>
      </c>
      <c r="E54" s="312"/>
      <c r="F54" s="259"/>
      <c r="G54" s="260"/>
      <c r="H54" s="260"/>
      <c r="I54" s="10">
        <f>IFERROR(IF(AND(LEN(TRIM(B54))&gt;0,LEN(TRIM(C54))&gt;0),'Bang TH nop'!BB55,0),0)</f>
        <v>0</v>
      </c>
      <c r="J54" s="10">
        <f>IFERROR(IF(AND(LEN(TRIM(B54))&gt;0,LEN(TRIM(C54))&gt;0),'Bang TH nop'!AV55,0),0)</f>
        <v>0</v>
      </c>
      <c r="K54" s="10">
        <f>IFERROR(IF(AND(LEN(TRIM(B54))&gt;0,LEN(TRIM(C54))&gt;0),'Bang TH nop'!AR55,0),0)</f>
        <v>0</v>
      </c>
      <c r="L54" s="12">
        <f>IFERROR(IF(AND(LEN(TRIM(B54))&gt;0,LEN(TRIM(C54))&gt;0),'Bang TH nop'!AS55,0),0)</f>
        <v>0</v>
      </c>
      <c r="M54" s="12">
        <f>IFERROR(IF(AND(LEN(TRIM(C54))&gt;0,LEN(TRIM(D54))&gt;0),'Bang TH nop'!AT55,0),0)</f>
        <v>0</v>
      </c>
      <c r="N54" s="12">
        <f>IFERROR(IF(AND(LEN(TRIM(B54))&gt;0,LEN(TRIM(C54))&gt;0),'Bang TH nop'!AU55,0),0)</f>
        <v>0</v>
      </c>
      <c r="O54" s="12">
        <f>IFERROR(IF(AND(LEN(TRIM(B54))&gt;0,LEN(TRIM(C54))&gt;0),'Bang TH nop'!BE55,0),0)</f>
        <v>0</v>
      </c>
      <c r="P54" s="12">
        <f>IFERROR(IF(AND(LEN(TRIM(B55))&gt;0,LEN(TRIM(C54))&gt;0),'Bang TH nop'!AZ55,0),0)</f>
        <v>0</v>
      </c>
      <c r="Q54" s="12"/>
      <c r="R54" s="261"/>
      <c r="S54" s="261"/>
      <c r="T54" s="261"/>
      <c r="U54" s="260"/>
      <c r="V54" s="260"/>
      <c r="W54" s="260"/>
      <c r="X54" s="260"/>
      <c r="Y54" s="260"/>
      <c r="Z54" s="260"/>
      <c r="AA54" s="259" t="str">
        <f>IFERROR(
IF(AND(LEN(TRIM(B54))&gt;0,LEN(TRIM(C54))&gt;0),
'Bang TH nop'!AH55,
0
),
0
)</f>
        <v>A</v>
      </c>
      <c r="AB54" s="11"/>
      <c r="AC54" s="11"/>
      <c r="AD54" s="260"/>
      <c r="AE54" s="11"/>
      <c r="AF54" s="260"/>
      <c r="AG54" s="241"/>
      <c r="AH54" s="286"/>
      <c r="AI54" s="287"/>
      <c r="AJ54" s="288"/>
      <c r="AK54" s="287"/>
      <c r="AL54" s="173"/>
    </row>
    <row r="55" spans="1:38" ht="17.100000000000001" customHeight="1">
      <c r="A55" s="306"/>
      <c r="B55" s="308"/>
      <c r="C55" s="310"/>
      <c r="D55" s="319">
        <f>IFERROR(IF(AND(LEN(TRIM(B54))&gt;0,LEN(TRIM(C54))&gt;0),'Bang TH nop'!AP55,""),"")</f>
        <v>0</v>
      </c>
      <c r="E55" s="320"/>
      <c r="F55" s="55">
        <f>IFERROR(IF(AND(LEN(TRIM(B54))&gt;0,LEN(TRIM(C54))&gt;0),'Bang TH nop'!AL55,0),0)</f>
        <v>0</v>
      </c>
      <c r="G55" s="263">
        <f t="shared" ref="G55:G86" si="484">D55*I54/26</f>
        <v>0</v>
      </c>
      <c r="H55" s="263">
        <f t="shared" ref="H55:H86" si="485">D55*J54*150%/(26*8)</f>
        <v>0</v>
      </c>
      <c r="I55" s="263">
        <f t="shared" ref="I55:I86" si="486">IFERROR(
IF(AND(LEN(TRIM(B54))&gt;0,LEN(TRIM(C54))&gt;0),
IF(((I54-N54)*8+N54*7+J54)=0,0,
F55*680*(((I54-N54)*8+N54*7))/(((I54-N54)*8+N54*7+J54))*$I$4
),
0
),
0
)</f>
        <v>0</v>
      </c>
      <c r="J55" s="263">
        <f t="shared" ref="J55:J86" si="487">IFERROR(
IF(AND(LEN(TRIM(B54))&gt;0,LEN(TRIM(C54))&gt;0),
IF(((I54-N54)*8+N54*7+J54)=0,0,
F55*680*150%*J54/(((I54-N54)*8+N54*7+J54))*$I$4
),
0
),
0
)</f>
        <v>0</v>
      </c>
      <c r="K55" s="264">
        <f t="shared" ref="K55:K86" si="488">IFERROR(
IF(AND(LEN(TRIM(B54))&gt;0,LEN(TRIM(C54))&gt;0),
ROUND(D55/26*K54,0),
0
),
0
)</f>
        <v>0</v>
      </c>
      <c r="L55" s="264">
        <f t="shared" ref="L55:L86" si="489">IFERROR(
IF(AND(LEN(TRIM(B54))&gt;0,LEN(TRIM(C54))&gt;0),
ROUND(D55/26*L54,0),
0
),
0
)</f>
        <v>0</v>
      </c>
      <c r="M55" s="264">
        <f t="shared" ref="M55:M86" si="490">IFERROR(
IF(AND(LEN(TRIM(B54))&gt;0,LEN(TRIM(C54))&gt;0),
ROUND(D55/26*M54,0),
0
),
0
)</f>
        <v>0</v>
      </c>
      <c r="N55" s="264">
        <f t="shared" ref="N55:N86" si="491">IFERROR(
IF(AND(LEN(TRIM(B54))&gt;0,LEN(TRIM(C54))&gt;0),
D55*N54/(26*8),
0
),
0
)</f>
        <v>0</v>
      </c>
      <c r="O55" s="264">
        <f t="shared" ref="O55:O86" si="492">IFERROR(
IF(AND(LEN(TRIM(B54))&gt;0,LEN(TRIM(C54))&gt;0),
D55*O54/(26*8),
0
),
0
)</f>
        <v>0</v>
      </c>
      <c r="P55" s="264">
        <f t="shared" ref="P55:P86" si="493">IFERROR(
IF(AND(LEN(TRIM(B54))&gt;0,LEN(TRIM(C54))&gt;0),
(D55/26/8*P54),
0
),
0
)</f>
        <v>0</v>
      </c>
      <c r="Q55" s="56">
        <f>IFERROR(
IF(AND(LEN(TRIM(B54))&gt;0,LEN(TRIM(C54))&gt;0),
'Bang TH nop'!BC55,
0
),
0
)</f>
        <v>0</v>
      </c>
      <c r="R55" s="263">
        <f>IFERROR(
IF(AND(LEN(TRIM(B54))&gt;0,LEN(TRIM(C54))&gt;0),
'Bang TH nop'!BD55,
0
),
0
)</f>
        <v>0</v>
      </c>
      <c r="S55" s="263">
        <f>IFERROR(
IF(AND(LEN(TRIM(B54))&gt;0,LEN(TRIM(C54))&gt;0),
'Bang TH nop'!BJ55,
0
),
0
)</f>
        <v>0</v>
      </c>
      <c r="T55" s="263">
        <f>IFERROR(
IF(AND(LEN(TRIM(B54))&gt;0,LEN(TRIM(C54))&gt;0),
'Bang TH nop'!AW55,
0
),
0
)</f>
        <v>0</v>
      </c>
      <c r="U55" s="264">
        <f t="shared" ref="U55:U86" si="494">IFERROR(
IF(AND(LEN(TRIM(B54))&gt;0,LEN(TRIM(C54))&gt;0),
D55/26/8*U54,
0
),
0
)</f>
        <v>0</v>
      </c>
      <c r="V55" s="264"/>
      <c r="W55" s="264"/>
      <c r="X55" s="263">
        <f t="shared" ref="X55:X86" si="495">+IF(G55-I55&lt;0,0,G55-I55)</f>
        <v>0</v>
      </c>
      <c r="Y55" s="263">
        <f t="shared" ref="Y55:Y86" si="496">+IF(H55-J55&lt;0,0, H55-J55)</f>
        <v>0</v>
      </c>
      <c r="Z55" s="263">
        <f t="shared" ref="Z55" si="497">IFERROR(
IF(AND(LEN(TRIM(B54))&gt;0,LEN(TRIM(C54))&gt;0),
(X55+Y55)*25%,
0
),
0
)</f>
        <v>0</v>
      </c>
      <c r="AA55" s="263">
        <f>IFERROR(
IF(AND(LEN(TRIM(B54))&gt;0,LEN(TRIM(C54))&gt;0),
'Bang TH nop'!BG55,
0
),
0
)</f>
        <v>0</v>
      </c>
      <c r="AB55" s="264">
        <f t="shared" ref="AB55" si="498">IFERROR(
IF(AND(LEN(TRIM(B54))&gt;0,LEN(TRIM(C54))&gt;0),
SUM(I55:W55)+IFERROR(Z55,0)+IFERROR(AA55,0),
0
),
0
)</f>
        <v>0</v>
      </c>
      <c r="AC55" s="263">
        <f t="shared" ref="AC55:AC86" si="499">IFERROR(
IF(AND(LEN(TRIM(B54))&gt;0,LEN(TRIM(C54))&gt;0),
IF((26-(IFERROR(I54,0)+IFERROR(K54,0)+IFERROR(L54,0)+IFERROR(M54,0)))&gt;12,0,D55*10.5%),
0
),
0
)</f>
        <v>0</v>
      </c>
      <c r="AD55" s="291">
        <f t="shared" ref="AD55:AD86" si="500">IFERROR(
IF(AND(LEN(TRIM(B54))&gt;0,LEN(TRIM(C54))&gt;0),
ROUND(IF(D55=4939000,D55*0.5%,0),-2),
0
),
0
)</f>
        <v>0</v>
      </c>
      <c r="AE55" s="264">
        <f t="shared" ref="AE55" si="501">IFERROR(
IF(AND(LEN(TRIM(B54))&gt;0,LEN(TRIM(C54))&gt;0),
ROUND(IFERROR(AB55,0)-IFERROR(AC55,0)-IFERROR(AD55,0),-2),
0
),
0
)</f>
        <v>0</v>
      </c>
      <c r="AF55" s="13">
        <f>IFERROR(
IF(AND(LEN(TRIM(B54))&gt;0,LEN(TRIM(C54))&gt;0),
IFERROR('Bang TH nop'!AR55,0)+IFERROR('Bang TH nop'!AU55,0)+IFERROR('Bang TH nop'!BG55,0),
0
),
0
)</f>
        <v>0</v>
      </c>
      <c r="AG55" s="241"/>
      <c r="AH55" s="266"/>
      <c r="AI55" s="174">
        <f t="shared" ref="AI55" si="502">IFERROR(
IF(AND(LEN(TRIM(B54))&gt;0,LEN(TRIM(C54))&gt;0),
AH55/AG55,
0
),
0
)</f>
        <v>0</v>
      </c>
      <c r="AJ55" s="174">
        <f t="shared" ref="AJ55:AJ86" si="503">IFERROR(
IF(AND(LEN(TRIM(B54))&gt;0,LEN(TRIM(C54))&gt;0),
AL55/AF55,
0
),
0
)</f>
        <v>0</v>
      </c>
      <c r="AK55" s="175">
        <f t="shared" ref="AK55" si="504">IFERROR(
IF(AND(LEN(TRIM(B54))&gt;0,LEN(TRIM(C54))&gt;0),
AJ55/AI55,
0
),
0
)</f>
        <v>0</v>
      </c>
      <c r="AL55" s="176">
        <f t="shared" ref="AL55:AL86" si="505">IFERROR(
IF(AND(LEN(TRIM(B54))&gt;0,LEN(TRIM(C54))&gt;0),
AB55/L55,
0
),
0
)</f>
        <v>0</v>
      </c>
    </row>
    <row r="56" spans="1:38" ht="17.100000000000001" customHeight="1">
      <c r="A56" s="305">
        <v>25</v>
      </c>
      <c r="B56" s="307">
        <f>'Bang TH nop'!B57</f>
        <v>0</v>
      </c>
      <c r="C56" s="309">
        <f>IFERROR(IF(LEN(TRIM(B56))&gt;0,'Bang TH nop'!C57,""),"")</f>
        <v>0</v>
      </c>
      <c r="D56" s="311">
        <f>IFERROR(IF(AND(LEN(TRIM(B56))&gt;0,LEN(TRIM(C56))&gt;0),'Bang TH nop'!AO57,""),"")</f>
        <v>0</v>
      </c>
      <c r="E56" s="312"/>
      <c r="F56" s="259"/>
      <c r="G56" s="260"/>
      <c r="H56" s="260"/>
      <c r="I56" s="10">
        <f>IFERROR(IF(AND(LEN(TRIM(B56))&gt;0,LEN(TRIM(C56))&gt;0),'Bang TH nop'!BB57,0),0)</f>
        <v>0</v>
      </c>
      <c r="J56" s="10">
        <f>IFERROR(IF(AND(LEN(TRIM(B56))&gt;0,LEN(TRIM(C56))&gt;0),'Bang TH nop'!AV57,0),0)</f>
        <v>0</v>
      </c>
      <c r="K56" s="10">
        <f>IFERROR(IF(AND(LEN(TRIM(B56))&gt;0,LEN(TRIM(C56))&gt;0),'Bang TH nop'!AR57,0),0)</f>
        <v>0</v>
      </c>
      <c r="L56" s="12">
        <f>IFERROR(IF(AND(LEN(TRIM(B56))&gt;0,LEN(TRIM(C56))&gt;0),'Bang TH nop'!AS57,0),0)</f>
        <v>0</v>
      </c>
      <c r="M56" s="12">
        <f>IFERROR(IF(AND(LEN(TRIM(C56))&gt;0,LEN(TRIM(D56))&gt;0),'Bang TH nop'!AT57,0),0)</f>
        <v>0</v>
      </c>
      <c r="N56" s="12">
        <f>IFERROR(IF(AND(LEN(TRIM(B56))&gt;0,LEN(TRIM(C56))&gt;0),'Bang TH nop'!AU57,0),0)</f>
        <v>0</v>
      </c>
      <c r="O56" s="12">
        <f>IFERROR(IF(AND(LEN(TRIM(B56))&gt;0,LEN(TRIM(C56))&gt;0),'Bang TH nop'!BE57,0),0)</f>
        <v>0</v>
      </c>
      <c r="P56" s="12">
        <f>IFERROR(IF(AND(LEN(TRIM(B57))&gt;0,LEN(TRIM(C56))&gt;0),'Bang TH nop'!AZ57,0),0)</f>
        <v>0</v>
      </c>
      <c r="Q56" s="12"/>
      <c r="R56" s="261"/>
      <c r="S56" s="261"/>
      <c r="T56" s="261"/>
      <c r="U56" s="260"/>
      <c r="V56" s="260"/>
      <c r="W56" s="260"/>
      <c r="X56" s="260"/>
      <c r="Y56" s="260"/>
      <c r="Z56" s="260"/>
      <c r="AA56" s="259" t="str">
        <f>IFERROR(
IF(AND(LEN(TRIM(B56))&gt;0,LEN(TRIM(C56))&gt;0),
'Bang TH nop'!AH57,
0
),
0
)</f>
        <v>A</v>
      </c>
      <c r="AB56" s="11"/>
      <c r="AC56" s="11"/>
      <c r="AD56" s="260"/>
      <c r="AE56" s="11"/>
      <c r="AF56" s="260"/>
      <c r="AG56" s="241"/>
      <c r="AH56" s="286"/>
      <c r="AI56" s="287"/>
      <c r="AJ56" s="288"/>
      <c r="AK56" s="287"/>
      <c r="AL56" s="173"/>
    </row>
    <row r="57" spans="1:38" ht="17.100000000000001" customHeight="1">
      <c r="A57" s="306"/>
      <c r="B57" s="308"/>
      <c r="C57" s="310"/>
      <c r="D57" s="319">
        <f>IFERROR(IF(AND(LEN(TRIM(B56))&gt;0,LEN(TRIM(C56))&gt;0),'Bang TH nop'!AP57,""),"")</f>
        <v>0</v>
      </c>
      <c r="E57" s="320"/>
      <c r="F57" s="55">
        <f>IFERROR(IF(AND(LEN(TRIM(B56))&gt;0,LEN(TRIM(C56))&gt;0),'Bang TH nop'!AL57,0),0)</f>
        <v>0</v>
      </c>
      <c r="G57" s="263">
        <f t="shared" ref="G57:G88" si="506">D57*I56/26</f>
        <v>0</v>
      </c>
      <c r="H57" s="263">
        <f t="shared" ref="H57:H88" si="507">D57*J56*150%/(26*8)</f>
        <v>0</v>
      </c>
      <c r="I57" s="263">
        <f t="shared" ref="I57:I88" si="508">IFERROR(
IF(AND(LEN(TRIM(B56))&gt;0,LEN(TRIM(C56))&gt;0),
IF(((I56-N56)*8+N56*7+J56)=0,0,
F57*680*(((I56-N56)*8+N56*7))/(((I56-N56)*8+N56*7+J56))*$I$4
),
0
),
0
)</f>
        <v>0</v>
      </c>
      <c r="J57" s="263">
        <f t="shared" ref="J57:J88" si="509">IFERROR(
IF(AND(LEN(TRIM(B56))&gt;0,LEN(TRIM(C56))&gt;0),
IF(((I56-N56)*8+N56*7+J56)=0,0,
F57*680*150%*J56/(((I56-N56)*8+N56*7+J56))*$I$4
),
0
),
0
)</f>
        <v>0</v>
      </c>
      <c r="K57" s="264">
        <f t="shared" ref="K57:K88" si="510">IFERROR(
IF(AND(LEN(TRIM(B56))&gt;0,LEN(TRIM(C56))&gt;0),
ROUND(D57/26*K56,0),
0
),
0
)</f>
        <v>0</v>
      </c>
      <c r="L57" s="264">
        <f t="shared" ref="L57:L88" si="511">IFERROR(
IF(AND(LEN(TRIM(B56))&gt;0,LEN(TRIM(C56))&gt;0),
ROUND(D57/26*L56,0),
0
),
0
)</f>
        <v>0</v>
      </c>
      <c r="M57" s="264">
        <f t="shared" ref="M57:M88" si="512">IFERROR(
IF(AND(LEN(TRIM(B56))&gt;0,LEN(TRIM(C56))&gt;0),
ROUND(D57/26*M56,0),
0
),
0
)</f>
        <v>0</v>
      </c>
      <c r="N57" s="264">
        <f t="shared" ref="N57:N88" si="513">IFERROR(
IF(AND(LEN(TRIM(B56))&gt;0,LEN(TRIM(C56))&gt;0),
D57*N56/(26*8),
0
),
0
)</f>
        <v>0</v>
      </c>
      <c r="O57" s="264">
        <f t="shared" ref="O57:O88" si="514">IFERROR(
IF(AND(LEN(TRIM(B56))&gt;0,LEN(TRIM(C56))&gt;0),
D57*O56/(26*8),
0
),
0
)</f>
        <v>0</v>
      </c>
      <c r="P57" s="264">
        <f t="shared" ref="P57:P88" si="515">IFERROR(
IF(AND(LEN(TRIM(B56))&gt;0,LEN(TRIM(C56))&gt;0),
(D57/26/8*P56),
0
),
0
)</f>
        <v>0</v>
      </c>
      <c r="Q57" s="56">
        <f>IFERROR(
IF(AND(LEN(TRIM(B56))&gt;0,LEN(TRIM(C56))&gt;0),
'Bang TH nop'!BC57,
0
),
0
)</f>
        <v>0</v>
      </c>
      <c r="R57" s="263">
        <f>IFERROR(
IF(AND(LEN(TRIM(B56))&gt;0,LEN(TRIM(C56))&gt;0),
'Bang TH nop'!BD57,
0
),
0
)</f>
        <v>0</v>
      </c>
      <c r="S57" s="263">
        <f>IFERROR(
IF(AND(LEN(TRIM(B56))&gt;0,LEN(TRIM(C56))&gt;0),
'Bang TH nop'!BJ57,
0
),
0
)</f>
        <v>0</v>
      </c>
      <c r="T57" s="263">
        <f>IFERROR(
IF(AND(LEN(TRIM(B56))&gt;0,LEN(TRIM(C56))&gt;0),
'Bang TH nop'!AW57,
0
),
0
)</f>
        <v>0</v>
      </c>
      <c r="U57" s="264">
        <f t="shared" ref="U57:U88" si="516">IFERROR(
IF(AND(LEN(TRIM(B56))&gt;0,LEN(TRIM(C56))&gt;0),
D57/26/8*U56,
0
),
0
)</f>
        <v>0</v>
      </c>
      <c r="V57" s="264"/>
      <c r="W57" s="264"/>
      <c r="X57" s="263">
        <f t="shared" ref="X57:X88" si="517">+IF(G57-I57&lt;0,0,G57-I57)</f>
        <v>0</v>
      </c>
      <c r="Y57" s="263">
        <f t="shared" ref="Y57:Y88" si="518">+IF(H57-J57&lt;0,0, H57-J57)</f>
        <v>0</v>
      </c>
      <c r="Z57" s="263">
        <f t="shared" ref="Z57" si="519">IFERROR(
IF(AND(LEN(TRIM(B56))&gt;0,LEN(TRIM(C56))&gt;0),
(X57+Y57)*25%,
0
),
0
)</f>
        <v>0</v>
      </c>
      <c r="AA57" s="263">
        <f>IFERROR(
IF(AND(LEN(TRIM(B56))&gt;0,LEN(TRIM(C56))&gt;0),
'Bang TH nop'!BG57,
0
),
0
)</f>
        <v>0</v>
      </c>
      <c r="AB57" s="264">
        <f t="shared" ref="AB57" si="520">IFERROR(
IF(AND(LEN(TRIM(B56))&gt;0,LEN(TRIM(C56))&gt;0),
SUM(I57:W57)+IFERROR(Z57,0)+IFERROR(AA57,0),
0
),
0
)</f>
        <v>0</v>
      </c>
      <c r="AC57" s="263">
        <f t="shared" ref="AC57:AC88" si="521">IFERROR(
IF(AND(LEN(TRIM(B56))&gt;0,LEN(TRIM(C56))&gt;0),
IF((26-(IFERROR(I56,0)+IFERROR(K56,0)+IFERROR(L56,0)+IFERROR(M56,0)))&gt;12,0,D57*10.5%),
0
),
0
)</f>
        <v>0</v>
      </c>
      <c r="AD57" s="291">
        <f t="shared" ref="AD57:AD88" si="522">IFERROR(
IF(AND(LEN(TRIM(B56))&gt;0,LEN(TRIM(C56))&gt;0),
ROUND(IF(D57=4939000,D57*0.5%,0),-2),
0
),
0
)</f>
        <v>0</v>
      </c>
      <c r="AE57" s="264">
        <f t="shared" ref="AE57" si="523">IFERROR(
IF(AND(LEN(TRIM(B56))&gt;0,LEN(TRIM(C56))&gt;0),
ROUND(IFERROR(AB57,0)-IFERROR(AC57,0)-IFERROR(AD57,0),-2),
0
),
0
)</f>
        <v>0</v>
      </c>
      <c r="AF57" s="13">
        <f>IFERROR(
IF(AND(LEN(TRIM(B56))&gt;0,LEN(TRIM(C56))&gt;0),
IFERROR('Bang TH nop'!AR57,0)+IFERROR('Bang TH nop'!AU57,0)+IFERROR('Bang TH nop'!BG57,0),
0
),
0
)</f>
        <v>0</v>
      </c>
      <c r="AG57" s="241"/>
      <c r="AH57" s="266"/>
      <c r="AI57" s="174">
        <f t="shared" ref="AI57" si="524">IFERROR(
IF(AND(LEN(TRIM(B56))&gt;0,LEN(TRIM(C56))&gt;0),
AH57/AG57,
0
),
0
)</f>
        <v>0</v>
      </c>
      <c r="AJ57" s="174">
        <f t="shared" ref="AJ57:AJ88" si="525">IFERROR(
IF(AND(LEN(TRIM(B56))&gt;0,LEN(TRIM(C56))&gt;0),
AL57/AF57,
0
),
0
)</f>
        <v>0</v>
      </c>
      <c r="AK57" s="175">
        <f t="shared" ref="AK57" si="526">IFERROR(
IF(AND(LEN(TRIM(B56))&gt;0,LEN(TRIM(C56))&gt;0),
AJ57/AI57,
0
),
0
)</f>
        <v>0</v>
      </c>
      <c r="AL57" s="176">
        <f t="shared" ref="AL57:AL88" si="527">IFERROR(
IF(AND(LEN(TRIM(B56))&gt;0,LEN(TRIM(C56))&gt;0),
AB57/L57,
0
),
0
)</f>
        <v>0</v>
      </c>
    </row>
    <row r="58" spans="1:38" ht="17.100000000000001" customHeight="1">
      <c r="A58" s="305">
        <v>26</v>
      </c>
      <c r="B58" s="307">
        <f>'Bang TH nop'!B59</f>
        <v>0</v>
      </c>
      <c r="C58" s="309">
        <f>IFERROR(IF(LEN(TRIM(B58))&gt;0,'Bang TH nop'!C59,""),"")</f>
        <v>0</v>
      </c>
      <c r="D58" s="311">
        <f>IFERROR(IF(AND(LEN(TRIM(B58))&gt;0,LEN(TRIM(C58))&gt;0),'Bang TH nop'!AO59,""),"")</f>
        <v>0</v>
      </c>
      <c r="E58" s="312"/>
      <c r="F58" s="259"/>
      <c r="G58" s="260"/>
      <c r="H58" s="260"/>
      <c r="I58" s="10">
        <f>IFERROR(IF(AND(LEN(TRIM(B58))&gt;0,LEN(TRIM(C58))&gt;0),'Bang TH nop'!BB59,0),0)</f>
        <v>0</v>
      </c>
      <c r="J58" s="10">
        <f>IFERROR(IF(AND(LEN(TRIM(B58))&gt;0,LEN(TRIM(C58))&gt;0),'Bang TH nop'!AV59,0),0)</f>
        <v>0</v>
      </c>
      <c r="K58" s="10">
        <f>IFERROR(IF(AND(LEN(TRIM(B58))&gt;0,LEN(TRIM(C58))&gt;0),'Bang TH nop'!AR59,0),0)</f>
        <v>0</v>
      </c>
      <c r="L58" s="12">
        <f>IFERROR(IF(AND(LEN(TRIM(B58))&gt;0,LEN(TRIM(C58))&gt;0),'Bang TH nop'!AS59,0),0)</f>
        <v>0</v>
      </c>
      <c r="M58" s="12">
        <f>IFERROR(IF(AND(LEN(TRIM(C58))&gt;0,LEN(TRIM(D58))&gt;0),'Bang TH nop'!AT59,0),0)</f>
        <v>0</v>
      </c>
      <c r="N58" s="12">
        <f>IFERROR(IF(AND(LEN(TRIM(B58))&gt;0,LEN(TRIM(C58))&gt;0),'Bang TH nop'!AU59,0),0)</f>
        <v>0</v>
      </c>
      <c r="O58" s="12">
        <f>IFERROR(IF(AND(LEN(TRIM(B58))&gt;0,LEN(TRIM(C58))&gt;0),'Bang TH nop'!BE59,0),0)</f>
        <v>0</v>
      </c>
      <c r="P58" s="12">
        <f>IFERROR(IF(AND(LEN(TRIM(B59))&gt;0,LEN(TRIM(C58))&gt;0),'Bang TH nop'!AZ59,0),0)</f>
        <v>0</v>
      </c>
      <c r="Q58" s="12"/>
      <c r="R58" s="261"/>
      <c r="S58" s="261"/>
      <c r="T58" s="261"/>
      <c r="U58" s="260"/>
      <c r="V58" s="260"/>
      <c r="W58" s="260"/>
      <c r="X58" s="260"/>
      <c r="Y58" s="260"/>
      <c r="Z58" s="260"/>
      <c r="AA58" s="259" t="str">
        <f>IFERROR(
IF(AND(LEN(TRIM(B58))&gt;0,LEN(TRIM(C58))&gt;0),
'Bang TH nop'!AH59,
0
),
0
)</f>
        <v>A</v>
      </c>
      <c r="AB58" s="11"/>
      <c r="AC58" s="11"/>
      <c r="AD58" s="260"/>
      <c r="AE58" s="11"/>
      <c r="AF58" s="260"/>
      <c r="AG58" s="241"/>
      <c r="AH58" s="286"/>
      <c r="AI58" s="287"/>
      <c r="AJ58" s="288"/>
      <c r="AK58" s="287"/>
      <c r="AL58" s="173"/>
    </row>
    <row r="59" spans="1:38" ht="17.100000000000001" customHeight="1">
      <c r="A59" s="306"/>
      <c r="B59" s="308"/>
      <c r="C59" s="310"/>
      <c r="D59" s="319">
        <f>IFERROR(IF(AND(LEN(TRIM(B58))&gt;0,LEN(TRIM(C58))&gt;0),'Bang TH nop'!AP59,""),"")</f>
        <v>0</v>
      </c>
      <c r="E59" s="320"/>
      <c r="F59" s="55">
        <f>IFERROR(IF(AND(LEN(TRIM(B58))&gt;0,LEN(TRIM(C58))&gt;0),'Bang TH nop'!AL59,0),0)</f>
        <v>0</v>
      </c>
      <c r="G59" s="263">
        <f t="shared" ref="G59:G90" si="528">D59*I58/26</f>
        <v>0</v>
      </c>
      <c r="H59" s="263">
        <f t="shared" ref="H59:H90" si="529">D59*J58*150%/(26*8)</f>
        <v>0</v>
      </c>
      <c r="I59" s="263">
        <f t="shared" ref="I59:I90" si="530">IFERROR(
IF(AND(LEN(TRIM(B58))&gt;0,LEN(TRIM(C58))&gt;0),
IF(((I58-N58)*8+N58*7+J58)=0,0,
F59*680*(((I58-N58)*8+N58*7))/(((I58-N58)*8+N58*7+J58))*$I$4
),
0
),
0
)</f>
        <v>0</v>
      </c>
      <c r="J59" s="263">
        <f t="shared" ref="J59:J90" si="531">IFERROR(
IF(AND(LEN(TRIM(B58))&gt;0,LEN(TRIM(C58))&gt;0),
IF(((I58-N58)*8+N58*7+J58)=0,0,
F59*680*150%*J58/(((I58-N58)*8+N58*7+J58))*$I$4
),
0
),
0
)</f>
        <v>0</v>
      </c>
      <c r="K59" s="264">
        <f t="shared" ref="K59:K90" si="532">IFERROR(
IF(AND(LEN(TRIM(B58))&gt;0,LEN(TRIM(C58))&gt;0),
ROUND(D59/26*K58,0),
0
),
0
)</f>
        <v>0</v>
      </c>
      <c r="L59" s="264">
        <f t="shared" ref="L59:L90" si="533">IFERROR(
IF(AND(LEN(TRIM(B58))&gt;0,LEN(TRIM(C58))&gt;0),
ROUND(D59/26*L58,0),
0
),
0
)</f>
        <v>0</v>
      </c>
      <c r="M59" s="264">
        <f t="shared" ref="M59:M90" si="534">IFERROR(
IF(AND(LEN(TRIM(B58))&gt;0,LEN(TRIM(C58))&gt;0),
ROUND(D59/26*M58,0),
0
),
0
)</f>
        <v>0</v>
      </c>
      <c r="N59" s="264">
        <f t="shared" ref="N59:N90" si="535">IFERROR(
IF(AND(LEN(TRIM(B58))&gt;0,LEN(TRIM(C58))&gt;0),
D59*N58/(26*8),
0
),
0
)</f>
        <v>0</v>
      </c>
      <c r="O59" s="264">
        <f t="shared" ref="O59:O90" si="536">IFERROR(
IF(AND(LEN(TRIM(B58))&gt;0,LEN(TRIM(C58))&gt;0),
D59*O58/(26*8),
0
),
0
)</f>
        <v>0</v>
      </c>
      <c r="P59" s="264">
        <f t="shared" ref="P59:P90" si="537">IFERROR(
IF(AND(LEN(TRIM(B58))&gt;0,LEN(TRIM(C58))&gt;0),
(D59/26/8*P58),
0
),
0
)</f>
        <v>0</v>
      </c>
      <c r="Q59" s="56">
        <f>IFERROR(
IF(AND(LEN(TRIM(B58))&gt;0,LEN(TRIM(C58))&gt;0),
'Bang TH nop'!BC59,
0
),
0
)</f>
        <v>0</v>
      </c>
      <c r="R59" s="263">
        <f>IFERROR(
IF(AND(LEN(TRIM(B58))&gt;0,LEN(TRIM(C58))&gt;0),
'Bang TH nop'!BD59,
0
),
0
)</f>
        <v>0</v>
      </c>
      <c r="S59" s="263">
        <f>IFERROR(
IF(AND(LEN(TRIM(B58))&gt;0,LEN(TRIM(C58))&gt;0),
'Bang TH nop'!BJ59,
0
),
0
)</f>
        <v>0</v>
      </c>
      <c r="T59" s="263">
        <f>IFERROR(
IF(AND(LEN(TRIM(B58))&gt;0,LEN(TRIM(C58))&gt;0),
'Bang TH nop'!AW59,
0
),
0
)</f>
        <v>0</v>
      </c>
      <c r="U59" s="264">
        <f t="shared" ref="U59:U90" si="538">IFERROR(
IF(AND(LEN(TRIM(B58))&gt;0,LEN(TRIM(C58))&gt;0),
D59/26/8*U58,
0
),
0
)</f>
        <v>0</v>
      </c>
      <c r="V59" s="264"/>
      <c r="W59" s="264"/>
      <c r="X59" s="263">
        <f t="shared" ref="X59:X90" si="539">+IF(G59-I59&lt;0,0,G59-I59)</f>
        <v>0</v>
      </c>
      <c r="Y59" s="263">
        <f t="shared" ref="Y59:Y90" si="540">+IF(H59-J59&lt;0,0, H59-J59)</f>
        <v>0</v>
      </c>
      <c r="Z59" s="263">
        <f t="shared" ref="Z59" si="541">IFERROR(
IF(AND(LEN(TRIM(B58))&gt;0,LEN(TRIM(C58))&gt;0),
(X59+Y59)*25%,
0
),
0
)</f>
        <v>0</v>
      </c>
      <c r="AA59" s="263">
        <f>IFERROR(
IF(AND(LEN(TRIM(B58))&gt;0,LEN(TRIM(C58))&gt;0),
'Bang TH nop'!BG59,
0
),
0
)</f>
        <v>0</v>
      </c>
      <c r="AB59" s="264">
        <f t="shared" ref="AB59" si="542">IFERROR(
IF(AND(LEN(TRIM(B58))&gt;0,LEN(TRIM(C58))&gt;0),
SUM(I59:W59)+IFERROR(Z59,0)+IFERROR(AA59,0),
0
),
0
)</f>
        <v>0</v>
      </c>
      <c r="AC59" s="263">
        <f t="shared" ref="AC59:AC90" si="543">IFERROR(
IF(AND(LEN(TRIM(B58))&gt;0,LEN(TRIM(C58))&gt;0),
IF((26-(IFERROR(I58,0)+IFERROR(K58,0)+IFERROR(L58,0)+IFERROR(M58,0)))&gt;12,0,D59*10.5%),
0
),
0
)</f>
        <v>0</v>
      </c>
      <c r="AD59" s="291">
        <f t="shared" ref="AD59:AD90" si="544">IFERROR(
IF(AND(LEN(TRIM(B58))&gt;0,LEN(TRIM(C58))&gt;0),
ROUND(IF(D59=4939000,D59*0.5%,0),-2),
0
),
0
)</f>
        <v>0</v>
      </c>
      <c r="AE59" s="264">
        <f t="shared" ref="AE59" si="545">IFERROR(
IF(AND(LEN(TRIM(B58))&gt;0,LEN(TRIM(C58))&gt;0),
ROUND(IFERROR(AB59,0)-IFERROR(AC59,0)-IFERROR(AD59,0),-2),
0
),
0
)</f>
        <v>0</v>
      </c>
      <c r="AF59" s="13">
        <f>IFERROR(
IF(AND(LEN(TRIM(B58))&gt;0,LEN(TRIM(C58))&gt;0),
IFERROR('Bang TH nop'!AR59,0)+IFERROR('Bang TH nop'!AU59,0)+IFERROR('Bang TH nop'!BG59,0),
0
),
0
)</f>
        <v>0</v>
      </c>
      <c r="AG59" s="241"/>
      <c r="AH59" s="266"/>
      <c r="AI59" s="174">
        <f t="shared" ref="AI59" si="546">IFERROR(
IF(AND(LEN(TRIM(B58))&gt;0,LEN(TRIM(C58))&gt;0),
AH59/AG59,
0
),
0
)</f>
        <v>0</v>
      </c>
      <c r="AJ59" s="174">
        <f t="shared" ref="AJ59:AJ90" si="547">IFERROR(
IF(AND(LEN(TRIM(B58))&gt;0,LEN(TRIM(C58))&gt;0),
AL59/AF59,
0
),
0
)</f>
        <v>0</v>
      </c>
      <c r="AK59" s="175">
        <f t="shared" ref="AK59" si="548">IFERROR(
IF(AND(LEN(TRIM(B58))&gt;0,LEN(TRIM(C58))&gt;0),
AJ59/AI59,
0
),
0
)</f>
        <v>0</v>
      </c>
      <c r="AL59" s="176">
        <f t="shared" ref="AL59:AL90" si="549">IFERROR(
IF(AND(LEN(TRIM(B58))&gt;0,LEN(TRIM(C58))&gt;0),
AB59/L59,
0
),
0
)</f>
        <v>0</v>
      </c>
    </row>
    <row r="60" spans="1:38" ht="17.100000000000001" customHeight="1">
      <c r="A60" s="305">
        <v>27</v>
      </c>
      <c r="B60" s="307">
        <f>'Bang TH nop'!B61</f>
        <v>0</v>
      </c>
      <c r="C60" s="309">
        <f>IFERROR(IF(LEN(TRIM(B60))&gt;0,'Bang TH nop'!C61,""),"")</f>
        <v>0</v>
      </c>
      <c r="D60" s="311">
        <f>IFERROR(IF(AND(LEN(TRIM(B60))&gt;0,LEN(TRIM(C60))&gt;0),'Bang TH nop'!AO61,""),"")</f>
        <v>0</v>
      </c>
      <c r="E60" s="312"/>
      <c r="F60" s="259"/>
      <c r="G60" s="260"/>
      <c r="H60" s="260"/>
      <c r="I60" s="10">
        <f>IFERROR(IF(AND(LEN(TRIM(B60))&gt;0,LEN(TRIM(C60))&gt;0),'Bang TH nop'!BB61,0),0)</f>
        <v>0</v>
      </c>
      <c r="J60" s="10">
        <f>IFERROR(IF(AND(LEN(TRIM(B60))&gt;0,LEN(TRIM(C60))&gt;0),'Bang TH nop'!AV61,0),0)</f>
        <v>0</v>
      </c>
      <c r="K60" s="10">
        <f>IFERROR(IF(AND(LEN(TRIM(B60))&gt;0,LEN(TRIM(C60))&gt;0),'Bang TH nop'!AR61,0),0)</f>
        <v>0</v>
      </c>
      <c r="L60" s="12">
        <f>IFERROR(IF(AND(LEN(TRIM(B60))&gt;0,LEN(TRIM(C60))&gt;0),'Bang TH nop'!AS61,0),0)</f>
        <v>0</v>
      </c>
      <c r="M60" s="12">
        <f>IFERROR(IF(AND(LEN(TRIM(C60))&gt;0,LEN(TRIM(D60))&gt;0),'Bang TH nop'!AT61,0),0)</f>
        <v>0</v>
      </c>
      <c r="N60" s="12">
        <f>IFERROR(IF(AND(LEN(TRIM(B60))&gt;0,LEN(TRIM(C60))&gt;0),'Bang TH nop'!AU61,0),0)</f>
        <v>0</v>
      </c>
      <c r="O60" s="12">
        <f>IFERROR(IF(AND(LEN(TRIM(B60))&gt;0,LEN(TRIM(C60))&gt;0),'Bang TH nop'!BE61,0),0)</f>
        <v>0</v>
      </c>
      <c r="P60" s="12">
        <f>IFERROR(IF(AND(LEN(TRIM(B61))&gt;0,LEN(TRIM(C60))&gt;0),'Bang TH nop'!AZ61,0),0)</f>
        <v>0</v>
      </c>
      <c r="Q60" s="12"/>
      <c r="R60" s="261"/>
      <c r="S60" s="261"/>
      <c r="T60" s="261"/>
      <c r="U60" s="260"/>
      <c r="V60" s="260"/>
      <c r="W60" s="260"/>
      <c r="X60" s="260"/>
      <c r="Y60" s="260"/>
      <c r="Z60" s="260"/>
      <c r="AA60" s="259" t="str">
        <f>IFERROR(
IF(AND(LEN(TRIM(B60))&gt;0,LEN(TRIM(C60))&gt;0),
'Bang TH nop'!AH61,
0
),
0
)</f>
        <v>A</v>
      </c>
      <c r="AB60" s="11"/>
      <c r="AC60" s="11"/>
      <c r="AD60" s="260"/>
      <c r="AE60" s="11"/>
      <c r="AF60" s="260"/>
      <c r="AG60" s="241"/>
      <c r="AH60" s="286"/>
      <c r="AI60" s="287"/>
      <c r="AJ60" s="288"/>
      <c r="AK60" s="287"/>
      <c r="AL60" s="173"/>
    </row>
    <row r="61" spans="1:38" ht="17.100000000000001" customHeight="1">
      <c r="A61" s="306"/>
      <c r="B61" s="308"/>
      <c r="C61" s="310"/>
      <c r="D61" s="319">
        <f>IFERROR(IF(AND(LEN(TRIM(B60))&gt;0,LEN(TRIM(C60))&gt;0),'Bang TH nop'!AP61,""),"")</f>
        <v>0</v>
      </c>
      <c r="E61" s="320"/>
      <c r="F61" s="55">
        <f>IFERROR(IF(AND(LEN(TRIM(B60))&gt;0,LEN(TRIM(C60))&gt;0),'Bang TH nop'!AL61,0),0)</f>
        <v>0</v>
      </c>
      <c r="G61" s="263">
        <f t="shared" ref="G61:G92" si="550">D61*I60/26</f>
        <v>0</v>
      </c>
      <c r="H61" s="263">
        <f t="shared" ref="H61:H92" si="551">D61*J60*150%/(26*8)</f>
        <v>0</v>
      </c>
      <c r="I61" s="263">
        <f t="shared" ref="I61:I92" si="552">IFERROR(
IF(AND(LEN(TRIM(B60))&gt;0,LEN(TRIM(C60))&gt;0),
IF(((I60-N60)*8+N60*7+J60)=0,0,
F61*680*(((I60-N60)*8+N60*7))/(((I60-N60)*8+N60*7+J60))*$I$4
),
0
),
0
)</f>
        <v>0</v>
      </c>
      <c r="J61" s="263">
        <f t="shared" ref="J61:J92" si="553">IFERROR(
IF(AND(LEN(TRIM(B60))&gt;0,LEN(TRIM(C60))&gt;0),
IF(((I60-N60)*8+N60*7+J60)=0,0,
F61*680*150%*J60/(((I60-N60)*8+N60*7+J60))*$I$4
),
0
),
0
)</f>
        <v>0</v>
      </c>
      <c r="K61" s="264">
        <f t="shared" ref="K61:K92" si="554">IFERROR(
IF(AND(LEN(TRIM(B60))&gt;0,LEN(TRIM(C60))&gt;0),
ROUND(D61/26*K60,0),
0
),
0
)</f>
        <v>0</v>
      </c>
      <c r="L61" s="264">
        <f t="shared" ref="L61:L92" si="555">IFERROR(
IF(AND(LEN(TRIM(B60))&gt;0,LEN(TRIM(C60))&gt;0),
ROUND(D61/26*L60,0),
0
),
0
)</f>
        <v>0</v>
      </c>
      <c r="M61" s="264">
        <f t="shared" ref="M61:M92" si="556">IFERROR(
IF(AND(LEN(TRIM(B60))&gt;0,LEN(TRIM(C60))&gt;0),
ROUND(D61/26*M60,0),
0
),
0
)</f>
        <v>0</v>
      </c>
      <c r="N61" s="264">
        <f t="shared" ref="N61:N92" si="557">IFERROR(
IF(AND(LEN(TRIM(B60))&gt;0,LEN(TRIM(C60))&gt;0),
D61*N60/(26*8),
0
),
0
)</f>
        <v>0</v>
      </c>
      <c r="O61" s="264">
        <f t="shared" ref="O61:O92" si="558">IFERROR(
IF(AND(LEN(TRIM(B60))&gt;0,LEN(TRIM(C60))&gt;0),
D61*O60/(26*8),
0
),
0
)</f>
        <v>0</v>
      </c>
      <c r="P61" s="264">
        <f t="shared" ref="P61:P92" si="559">IFERROR(
IF(AND(LEN(TRIM(B60))&gt;0,LEN(TRIM(C60))&gt;0),
(D61/26/8*P60),
0
),
0
)</f>
        <v>0</v>
      </c>
      <c r="Q61" s="56">
        <f>IFERROR(
IF(AND(LEN(TRIM(B60))&gt;0,LEN(TRIM(C60))&gt;0),
'Bang TH nop'!BC61,
0
),
0
)</f>
        <v>0</v>
      </c>
      <c r="R61" s="263">
        <f>IFERROR(
IF(AND(LEN(TRIM(B60))&gt;0,LEN(TRIM(C60))&gt;0),
'Bang TH nop'!BD61,
0
),
0
)</f>
        <v>0</v>
      </c>
      <c r="S61" s="263">
        <f>IFERROR(
IF(AND(LEN(TRIM(B60))&gt;0,LEN(TRIM(C60))&gt;0),
'Bang TH nop'!BJ61,
0
),
0
)</f>
        <v>0</v>
      </c>
      <c r="T61" s="263">
        <f>IFERROR(
IF(AND(LEN(TRIM(B60))&gt;0,LEN(TRIM(C60))&gt;0),
'Bang TH nop'!AW61,
0
),
0
)</f>
        <v>0</v>
      </c>
      <c r="U61" s="264">
        <f t="shared" ref="U61:U92" si="560">IFERROR(
IF(AND(LEN(TRIM(B60))&gt;0,LEN(TRIM(C60))&gt;0),
D61/26/8*U60,
0
),
0
)</f>
        <v>0</v>
      </c>
      <c r="V61" s="264"/>
      <c r="W61" s="264"/>
      <c r="X61" s="263">
        <f t="shared" ref="X61:X92" si="561">+IF(G61-I61&lt;0,0,G61-I61)</f>
        <v>0</v>
      </c>
      <c r="Y61" s="263">
        <f t="shared" ref="Y61:Y92" si="562">+IF(H61-J61&lt;0,0, H61-J61)</f>
        <v>0</v>
      </c>
      <c r="Z61" s="263">
        <f t="shared" ref="Z61" si="563">IFERROR(
IF(AND(LEN(TRIM(B60))&gt;0,LEN(TRIM(C60))&gt;0),
(X61+Y61)*25%,
0
),
0
)</f>
        <v>0</v>
      </c>
      <c r="AA61" s="263">
        <f>IFERROR(
IF(AND(LEN(TRIM(B60))&gt;0,LEN(TRIM(C60))&gt;0),
'Bang TH nop'!BG61,
0
),
0
)</f>
        <v>0</v>
      </c>
      <c r="AB61" s="264">
        <f t="shared" ref="AB61" si="564">IFERROR(
IF(AND(LEN(TRIM(B60))&gt;0,LEN(TRIM(C60))&gt;0),
SUM(I61:W61)+IFERROR(Z61,0)+IFERROR(AA61,0),
0
),
0
)</f>
        <v>0</v>
      </c>
      <c r="AC61" s="263">
        <f t="shared" ref="AC61:AC92" si="565">IFERROR(
IF(AND(LEN(TRIM(B60))&gt;0,LEN(TRIM(C60))&gt;0),
IF((26-(IFERROR(I60,0)+IFERROR(K60,0)+IFERROR(L60,0)+IFERROR(M60,0)))&gt;12,0,D61*10.5%),
0
),
0
)</f>
        <v>0</v>
      </c>
      <c r="AD61" s="291">
        <f t="shared" ref="AD61:AD92" si="566">IFERROR(
IF(AND(LEN(TRIM(B60))&gt;0,LEN(TRIM(C60))&gt;0),
ROUND(IF(D61=4939000,D61*0.5%,0),-2),
0
),
0
)</f>
        <v>0</v>
      </c>
      <c r="AE61" s="264">
        <f t="shared" ref="AE61" si="567">IFERROR(
IF(AND(LEN(TRIM(B60))&gt;0,LEN(TRIM(C60))&gt;0),
ROUND(IFERROR(AB61,0)-IFERROR(AC61,0)-IFERROR(AD61,0),-2),
0
),
0
)</f>
        <v>0</v>
      </c>
      <c r="AF61" s="13">
        <f>IFERROR(
IF(AND(LEN(TRIM(B60))&gt;0,LEN(TRIM(C60))&gt;0),
IFERROR('Bang TH nop'!AR61,0)+IFERROR('Bang TH nop'!AU61,0)+IFERROR('Bang TH nop'!BG61,0),
0
),
0
)</f>
        <v>0</v>
      </c>
      <c r="AG61" s="241"/>
      <c r="AH61" s="266"/>
      <c r="AI61" s="174">
        <f t="shared" ref="AI61" si="568">IFERROR(
IF(AND(LEN(TRIM(B60))&gt;0,LEN(TRIM(C60))&gt;0),
AH61/AG61,
0
),
0
)</f>
        <v>0</v>
      </c>
      <c r="AJ61" s="174">
        <f t="shared" ref="AJ61:AJ92" si="569">IFERROR(
IF(AND(LEN(TRIM(B60))&gt;0,LEN(TRIM(C60))&gt;0),
AL61/AF61,
0
),
0
)</f>
        <v>0</v>
      </c>
      <c r="AK61" s="175">
        <f t="shared" ref="AK61" si="570">IFERROR(
IF(AND(LEN(TRIM(B60))&gt;0,LEN(TRIM(C60))&gt;0),
AJ61/AI61,
0
),
0
)</f>
        <v>0</v>
      </c>
      <c r="AL61" s="176">
        <f t="shared" ref="AL61:AL92" si="571">IFERROR(
IF(AND(LEN(TRIM(B60))&gt;0,LEN(TRIM(C60))&gt;0),
AB61/L61,
0
),
0
)</f>
        <v>0</v>
      </c>
    </row>
    <row r="62" spans="1:38" ht="17.100000000000001" customHeight="1">
      <c r="A62" s="305">
        <v>28</v>
      </c>
      <c r="B62" s="307">
        <f>'Bang TH nop'!B63</f>
        <v>0</v>
      </c>
      <c r="C62" s="309">
        <f>IFERROR(IF(LEN(TRIM(B62))&gt;0,'Bang TH nop'!C63,""),"")</f>
        <v>0</v>
      </c>
      <c r="D62" s="311">
        <f>IFERROR(IF(AND(LEN(TRIM(B62))&gt;0,LEN(TRIM(C62))&gt;0),'Bang TH nop'!AO63,""),"")</f>
        <v>0</v>
      </c>
      <c r="E62" s="312"/>
      <c r="F62" s="259"/>
      <c r="G62" s="260"/>
      <c r="H62" s="260"/>
      <c r="I62" s="10">
        <f>IFERROR(IF(AND(LEN(TRIM(B62))&gt;0,LEN(TRIM(C62))&gt;0),'Bang TH nop'!BB63,0),0)</f>
        <v>0</v>
      </c>
      <c r="J62" s="10">
        <f>IFERROR(IF(AND(LEN(TRIM(B62))&gt;0,LEN(TRIM(C62))&gt;0),'Bang TH nop'!AV63,0),0)</f>
        <v>0</v>
      </c>
      <c r="K62" s="10">
        <f>IFERROR(IF(AND(LEN(TRIM(B62))&gt;0,LEN(TRIM(C62))&gt;0),'Bang TH nop'!AR63,0),0)</f>
        <v>0</v>
      </c>
      <c r="L62" s="12">
        <f>IFERROR(IF(AND(LEN(TRIM(B62))&gt;0,LEN(TRIM(C62))&gt;0),'Bang TH nop'!AS63,0),0)</f>
        <v>0</v>
      </c>
      <c r="M62" s="12">
        <f>IFERROR(IF(AND(LEN(TRIM(C62))&gt;0,LEN(TRIM(D62))&gt;0),'Bang TH nop'!AT63,0),0)</f>
        <v>0</v>
      </c>
      <c r="N62" s="12">
        <f>IFERROR(IF(AND(LEN(TRIM(B62))&gt;0,LEN(TRIM(C62))&gt;0),'Bang TH nop'!AU63,0),0)</f>
        <v>0</v>
      </c>
      <c r="O62" s="12">
        <f>IFERROR(IF(AND(LEN(TRIM(B62))&gt;0,LEN(TRIM(C62))&gt;0),'Bang TH nop'!BE63,0),0)</f>
        <v>0</v>
      </c>
      <c r="P62" s="12">
        <f>IFERROR(IF(AND(LEN(TRIM(B63))&gt;0,LEN(TRIM(C62))&gt;0),'Bang TH nop'!AZ63,0),0)</f>
        <v>0</v>
      </c>
      <c r="Q62" s="12"/>
      <c r="R62" s="261"/>
      <c r="S62" s="261"/>
      <c r="T62" s="261"/>
      <c r="U62" s="260"/>
      <c r="V62" s="260"/>
      <c r="W62" s="260"/>
      <c r="X62" s="260"/>
      <c r="Y62" s="260"/>
      <c r="Z62" s="260"/>
      <c r="AA62" s="259" t="str">
        <f>IFERROR(
IF(AND(LEN(TRIM(B62))&gt;0,LEN(TRIM(C62))&gt;0),
'Bang TH nop'!AH63,
0
),
0
)</f>
        <v>A</v>
      </c>
      <c r="AB62" s="11"/>
      <c r="AC62" s="11"/>
      <c r="AD62" s="260"/>
      <c r="AE62" s="11"/>
      <c r="AF62" s="260"/>
      <c r="AG62" s="241"/>
      <c r="AH62" s="286"/>
      <c r="AI62" s="287"/>
      <c r="AJ62" s="288"/>
      <c r="AK62" s="287"/>
      <c r="AL62" s="173"/>
    </row>
    <row r="63" spans="1:38" ht="17.100000000000001" customHeight="1">
      <c r="A63" s="306"/>
      <c r="B63" s="308"/>
      <c r="C63" s="310"/>
      <c r="D63" s="319">
        <f>IFERROR(IF(AND(LEN(TRIM(B62))&gt;0,LEN(TRIM(C62))&gt;0),'Bang TH nop'!AP63,""),"")</f>
        <v>0</v>
      </c>
      <c r="E63" s="320"/>
      <c r="F63" s="55">
        <f>IFERROR(IF(AND(LEN(TRIM(B62))&gt;0,LEN(TRIM(C62))&gt;0),'Bang TH nop'!AL63,0),0)</f>
        <v>0</v>
      </c>
      <c r="G63" s="263">
        <f t="shared" ref="G63:G94" si="572">D63*I62/26</f>
        <v>0</v>
      </c>
      <c r="H63" s="263">
        <f t="shared" ref="H63:H94" si="573">D63*J62*150%/(26*8)</f>
        <v>0</v>
      </c>
      <c r="I63" s="263">
        <f t="shared" ref="I63:I94" si="574">IFERROR(
IF(AND(LEN(TRIM(B62))&gt;0,LEN(TRIM(C62))&gt;0),
IF(((I62-N62)*8+N62*7+J62)=0,0,
F63*680*(((I62-N62)*8+N62*7))/(((I62-N62)*8+N62*7+J62))*$I$4
),
0
),
0
)</f>
        <v>0</v>
      </c>
      <c r="J63" s="263">
        <f t="shared" ref="J63:J94" si="575">IFERROR(
IF(AND(LEN(TRIM(B62))&gt;0,LEN(TRIM(C62))&gt;0),
IF(((I62-N62)*8+N62*7+J62)=0,0,
F63*680*150%*J62/(((I62-N62)*8+N62*7+J62))*$I$4
),
0
),
0
)</f>
        <v>0</v>
      </c>
      <c r="K63" s="264">
        <f t="shared" ref="K63:K94" si="576">IFERROR(
IF(AND(LEN(TRIM(B62))&gt;0,LEN(TRIM(C62))&gt;0),
ROUND(D63/26*K62,0),
0
),
0
)</f>
        <v>0</v>
      </c>
      <c r="L63" s="264">
        <f t="shared" ref="L63:L94" si="577">IFERROR(
IF(AND(LEN(TRIM(B62))&gt;0,LEN(TRIM(C62))&gt;0),
ROUND(D63/26*L62,0),
0
),
0
)</f>
        <v>0</v>
      </c>
      <c r="M63" s="264">
        <f t="shared" ref="M63:M94" si="578">IFERROR(
IF(AND(LEN(TRIM(B62))&gt;0,LEN(TRIM(C62))&gt;0),
ROUND(D63/26*M62,0),
0
),
0
)</f>
        <v>0</v>
      </c>
      <c r="N63" s="264">
        <f t="shared" ref="N63:N94" si="579">IFERROR(
IF(AND(LEN(TRIM(B62))&gt;0,LEN(TRIM(C62))&gt;0),
D63*N62/(26*8),
0
),
0
)</f>
        <v>0</v>
      </c>
      <c r="O63" s="264">
        <f t="shared" ref="O63:O94" si="580">IFERROR(
IF(AND(LEN(TRIM(B62))&gt;0,LEN(TRIM(C62))&gt;0),
D63*O62/(26*8),
0
),
0
)</f>
        <v>0</v>
      </c>
      <c r="P63" s="264">
        <f t="shared" ref="P63:P94" si="581">IFERROR(
IF(AND(LEN(TRIM(B62))&gt;0,LEN(TRIM(C62))&gt;0),
(D63/26/8*P62),
0
),
0
)</f>
        <v>0</v>
      </c>
      <c r="Q63" s="56">
        <f>IFERROR(
IF(AND(LEN(TRIM(B62))&gt;0,LEN(TRIM(C62))&gt;0),
'Bang TH nop'!BC63,
0
),
0
)</f>
        <v>0</v>
      </c>
      <c r="R63" s="263">
        <f>IFERROR(
IF(AND(LEN(TRIM(B62))&gt;0,LEN(TRIM(C62))&gt;0),
'Bang TH nop'!BD63,
0
),
0
)</f>
        <v>0</v>
      </c>
      <c r="S63" s="263">
        <f>IFERROR(
IF(AND(LEN(TRIM(B62))&gt;0,LEN(TRIM(C62))&gt;0),
'Bang TH nop'!BJ63,
0
),
0
)</f>
        <v>0</v>
      </c>
      <c r="T63" s="263">
        <f>IFERROR(
IF(AND(LEN(TRIM(B62))&gt;0,LEN(TRIM(C62))&gt;0),
'Bang TH nop'!AW63,
0
),
0
)</f>
        <v>0</v>
      </c>
      <c r="U63" s="264">
        <f t="shared" ref="U63:U94" si="582">IFERROR(
IF(AND(LEN(TRIM(B62))&gt;0,LEN(TRIM(C62))&gt;0),
D63/26/8*U62,
0
),
0
)</f>
        <v>0</v>
      </c>
      <c r="V63" s="264"/>
      <c r="W63" s="264"/>
      <c r="X63" s="263">
        <f t="shared" ref="X63:X94" si="583">+IF(G63-I63&lt;0,0,G63-I63)</f>
        <v>0</v>
      </c>
      <c r="Y63" s="263">
        <f t="shared" ref="Y63:Y94" si="584">+IF(H63-J63&lt;0,0, H63-J63)</f>
        <v>0</v>
      </c>
      <c r="Z63" s="263">
        <f t="shared" ref="Z63" si="585">IFERROR(
IF(AND(LEN(TRIM(B62))&gt;0,LEN(TRIM(C62))&gt;0),
(X63+Y63)*25%,
0
),
0
)</f>
        <v>0</v>
      </c>
      <c r="AA63" s="263">
        <f>IFERROR(
IF(AND(LEN(TRIM(B62))&gt;0,LEN(TRIM(C62))&gt;0),
'Bang TH nop'!BG63,
0
),
0
)</f>
        <v>0</v>
      </c>
      <c r="AB63" s="264">
        <f t="shared" ref="AB63" si="586">IFERROR(
IF(AND(LEN(TRIM(B62))&gt;0,LEN(TRIM(C62))&gt;0),
SUM(I63:W63)+IFERROR(Z63,0)+IFERROR(AA63,0),
0
),
0
)</f>
        <v>0</v>
      </c>
      <c r="AC63" s="263">
        <f t="shared" ref="AC63:AC94" si="587">IFERROR(
IF(AND(LEN(TRIM(B62))&gt;0,LEN(TRIM(C62))&gt;0),
IF((26-(IFERROR(I62,0)+IFERROR(K62,0)+IFERROR(L62,0)+IFERROR(M62,0)))&gt;12,0,D63*10.5%),
0
),
0
)</f>
        <v>0</v>
      </c>
      <c r="AD63" s="291">
        <f t="shared" ref="AD63:AD94" si="588">IFERROR(
IF(AND(LEN(TRIM(B62))&gt;0,LEN(TRIM(C62))&gt;0),
ROUND(IF(D63=4939000,D63*0.5%,0),-2),
0
),
0
)</f>
        <v>0</v>
      </c>
      <c r="AE63" s="264">
        <f t="shared" ref="AE63" si="589">IFERROR(
IF(AND(LEN(TRIM(B62))&gt;0,LEN(TRIM(C62))&gt;0),
ROUND(IFERROR(AB63,0)-IFERROR(AC63,0)-IFERROR(AD63,0),-2),
0
),
0
)</f>
        <v>0</v>
      </c>
      <c r="AF63" s="13">
        <f>IFERROR(
IF(AND(LEN(TRIM(B62))&gt;0,LEN(TRIM(C62))&gt;0),
IFERROR('Bang TH nop'!AR63,0)+IFERROR('Bang TH nop'!AU63,0)+IFERROR('Bang TH nop'!BG63,0),
0
),
0
)</f>
        <v>0</v>
      </c>
      <c r="AG63" s="241"/>
      <c r="AH63" s="266"/>
      <c r="AI63" s="174">
        <f t="shared" ref="AI63" si="590">IFERROR(
IF(AND(LEN(TRIM(B62))&gt;0,LEN(TRIM(C62))&gt;0),
AH63/AG63,
0
),
0
)</f>
        <v>0</v>
      </c>
      <c r="AJ63" s="174">
        <f t="shared" ref="AJ63:AJ94" si="591">IFERROR(
IF(AND(LEN(TRIM(B62))&gt;0,LEN(TRIM(C62))&gt;0),
AL63/AF63,
0
),
0
)</f>
        <v>0</v>
      </c>
      <c r="AK63" s="175">
        <f t="shared" ref="AK63" si="592">IFERROR(
IF(AND(LEN(TRIM(B62))&gt;0,LEN(TRIM(C62))&gt;0),
AJ63/AI63,
0
),
0
)</f>
        <v>0</v>
      </c>
      <c r="AL63" s="176">
        <f t="shared" ref="AL63:AL94" si="593">IFERROR(
IF(AND(LEN(TRIM(B62))&gt;0,LEN(TRIM(C62))&gt;0),
AB63/L63,
0
),
0
)</f>
        <v>0</v>
      </c>
    </row>
    <row r="64" spans="1:38" ht="17.100000000000001" customHeight="1">
      <c r="A64" s="305">
        <v>29</v>
      </c>
      <c r="B64" s="307">
        <f>'Bang TH nop'!B65</f>
        <v>0</v>
      </c>
      <c r="C64" s="309">
        <f>IFERROR(IF(LEN(TRIM(B64))&gt;0,'Bang TH nop'!C65,""),"")</f>
        <v>0</v>
      </c>
      <c r="D64" s="311">
        <f>IFERROR(IF(AND(LEN(TRIM(B64))&gt;0,LEN(TRIM(C64))&gt;0),'Bang TH nop'!AO65,""),"")</f>
        <v>0</v>
      </c>
      <c r="E64" s="312"/>
      <c r="F64" s="259"/>
      <c r="G64" s="260"/>
      <c r="H64" s="260"/>
      <c r="I64" s="10">
        <f>IFERROR(IF(AND(LEN(TRIM(B64))&gt;0,LEN(TRIM(C64))&gt;0),'Bang TH nop'!BB65,0),0)</f>
        <v>0</v>
      </c>
      <c r="J64" s="10">
        <f>IFERROR(IF(AND(LEN(TRIM(B64))&gt;0,LEN(TRIM(C64))&gt;0),'Bang TH nop'!AV65,0),0)</f>
        <v>0</v>
      </c>
      <c r="K64" s="10">
        <f>IFERROR(IF(AND(LEN(TRIM(B64))&gt;0,LEN(TRIM(C64))&gt;0),'Bang TH nop'!AR65,0),0)</f>
        <v>0</v>
      </c>
      <c r="L64" s="12">
        <f>IFERROR(IF(AND(LEN(TRIM(B64))&gt;0,LEN(TRIM(C64))&gt;0),'Bang TH nop'!AS65,0),0)</f>
        <v>0</v>
      </c>
      <c r="M64" s="12">
        <f>IFERROR(IF(AND(LEN(TRIM(C64))&gt;0,LEN(TRIM(D64))&gt;0),'Bang TH nop'!AT65,0),0)</f>
        <v>0</v>
      </c>
      <c r="N64" s="12">
        <f>IFERROR(IF(AND(LEN(TRIM(B64))&gt;0,LEN(TRIM(C64))&gt;0),'Bang TH nop'!AU65,0),0)</f>
        <v>0</v>
      </c>
      <c r="O64" s="12">
        <f>IFERROR(IF(AND(LEN(TRIM(B64))&gt;0,LEN(TRIM(C64))&gt;0),'Bang TH nop'!BE65,0),0)</f>
        <v>0</v>
      </c>
      <c r="P64" s="12">
        <f>IFERROR(IF(AND(LEN(TRIM(B65))&gt;0,LEN(TRIM(C64))&gt;0),'Bang TH nop'!AZ65,0),0)</f>
        <v>0</v>
      </c>
      <c r="Q64" s="12"/>
      <c r="R64" s="261"/>
      <c r="S64" s="261"/>
      <c r="T64" s="261"/>
      <c r="U64" s="260"/>
      <c r="V64" s="260"/>
      <c r="W64" s="260"/>
      <c r="X64" s="260"/>
      <c r="Y64" s="260"/>
      <c r="Z64" s="260"/>
      <c r="AA64" s="259" t="str">
        <f>IFERROR(
IF(AND(LEN(TRIM(B64))&gt;0,LEN(TRIM(C64))&gt;0),
'Bang TH nop'!AH65,
0
),
0
)</f>
        <v>A</v>
      </c>
      <c r="AB64" s="11"/>
      <c r="AC64" s="11"/>
      <c r="AD64" s="260"/>
      <c r="AE64" s="11"/>
      <c r="AF64" s="260"/>
      <c r="AG64" s="241"/>
      <c r="AH64" s="286"/>
      <c r="AI64" s="287"/>
      <c r="AJ64" s="288"/>
      <c r="AK64" s="287"/>
      <c r="AL64" s="173"/>
    </row>
    <row r="65" spans="1:38" ht="17.100000000000001" customHeight="1">
      <c r="A65" s="306"/>
      <c r="B65" s="308"/>
      <c r="C65" s="310"/>
      <c r="D65" s="319">
        <f>IFERROR(IF(AND(LEN(TRIM(B64))&gt;0,LEN(TRIM(C64))&gt;0),'Bang TH nop'!AP65,""),"")</f>
        <v>0</v>
      </c>
      <c r="E65" s="320"/>
      <c r="F65" s="55">
        <f>IFERROR(IF(AND(LEN(TRIM(B64))&gt;0,LEN(TRIM(C64))&gt;0),'Bang TH nop'!AL65,0),0)</f>
        <v>0</v>
      </c>
      <c r="G65" s="263">
        <f t="shared" ref="G65:G96" si="594">D65*I64/26</f>
        <v>0</v>
      </c>
      <c r="H65" s="263">
        <f t="shared" ref="H65:H96" si="595">D65*J64*150%/(26*8)</f>
        <v>0</v>
      </c>
      <c r="I65" s="263">
        <f t="shared" ref="I65:I96" si="596">IFERROR(
IF(AND(LEN(TRIM(B64))&gt;0,LEN(TRIM(C64))&gt;0),
IF(((I64-N64)*8+N64*7+J64)=0,0,
F65*680*(((I64-N64)*8+N64*7))/(((I64-N64)*8+N64*7+J64))*$I$4
),
0
),
0
)</f>
        <v>0</v>
      </c>
      <c r="J65" s="263">
        <f t="shared" ref="J65:J96" si="597">IFERROR(
IF(AND(LEN(TRIM(B64))&gt;0,LEN(TRIM(C64))&gt;0),
IF(((I64-N64)*8+N64*7+J64)=0,0,
F65*680*150%*J64/(((I64-N64)*8+N64*7+J64))*$I$4
),
0
),
0
)</f>
        <v>0</v>
      </c>
      <c r="K65" s="264">
        <f t="shared" ref="K65:K96" si="598">IFERROR(
IF(AND(LEN(TRIM(B64))&gt;0,LEN(TRIM(C64))&gt;0),
ROUND(D65/26*K64,0),
0
),
0
)</f>
        <v>0</v>
      </c>
      <c r="L65" s="264">
        <f t="shared" ref="L65:L96" si="599">IFERROR(
IF(AND(LEN(TRIM(B64))&gt;0,LEN(TRIM(C64))&gt;0),
ROUND(D65/26*L64,0),
0
),
0
)</f>
        <v>0</v>
      </c>
      <c r="M65" s="264">
        <f t="shared" ref="M65:M96" si="600">IFERROR(
IF(AND(LEN(TRIM(B64))&gt;0,LEN(TRIM(C64))&gt;0),
ROUND(D65/26*M64,0),
0
),
0
)</f>
        <v>0</v>
      </c>
      <c r="N65" s="264">
        <f t="shared" ref="N65:N96" si="601">IFERROR(
IF(AND(LEN(TRIM(B64))&gt;0,LEN(TRIM(C64))&gt;0),
D65*N64/(26*8),
0
),
0
)</f>
        <v>0</v>
      </c>
      <c r="O65" s="264">
        <f t="shared" ref="O65:O96" si="602">IFERROR(
IF(AND(LEN(TRIM(B64))&gt;0,LEN(TRIM(C64))&gt;0),
D65*O64/(26*8),
0
),
0
)</f>
        <v>0</v>
      </c>
      <c r="P65" s="264">
        <f t="shared" ref="P65:P96" si="603">IFERROR(
IF(AND(LEN(TRIM(B64))&gt;0,LEN(TRIM(C64))&gt;0),
(D65/26/8*P64),
0
),
0
)</f>
        <v>0</v>
      </c>
      <c r="Q65" s="56">
        <f>IFERROR(
IF(AND(LEN(TRIM(B64))&gt;0,LEN(TRIM(C64))&gt;0),
'Bang TH nop'!BC65,
0
),
0
)</f>
        <v>0</v>
      </c>
      <c r="R65" s="263">
        <f>IFERROR(
IF(AND(LEN(TRIM(B64))&gt;0,LEN(TRIM(C64))&gt;0),
'Bang TH nop'!BD65,
0
),
0
)</f>
        <v>0</v>
      </c>
      <c r="S65" s="263">
        <f>IFERROR(
IF(AND(LEN(TRIM(B64))&gt;0,LEN(TRIM(C64))&gt;0),
'Bang TH nop'!BJ65,
0
),
0
)</f>
        <v>0</v>
      </c>
      <c r="T65" s="263">
        <f>IFERROR(
IF(AND(LEN(TRIM(B64))&gt;0,LEN(TRIM(C64))&gt;0),
'Bang TH nop'!AW65,
0
),
0
)</f>
        <v>0</v>
      </c>
      <c r="U65" s="264">
        <f t="shared" ref="U65:U96" si="604">IFERROR(
IF(AND(LEN(TRIM(B64))&gt;0,LEN(TRIM(C64))&gt;0),
D65/26/8*U64,
0
),
0
)</f>
        <v>0</v>
      </c>
      <c r="V65" s="264"/>
      <c r="W65" s="264"/>
      <c r="X65" s="263">
        <f t="shared" ref="X65:X96" si="605">+IF(G65-I65&lt;0,0,G65-I65)</f>
        <v>0</v>
      </c>
      <c r="Y65" s="263">
        <f t="shared" ref="Y65:Y96" si="606">+IF(H65-J65&lt;0,0, H65-J65)</f>
        <v>0</v>
      </c>
      <c r="Z65" s="263">
        <f t="shared" ref="Z65" si="607">IFERROR(
IF(AND(LEN(TRIM(B64))&gt;0,LEN(TRIM(C64))&gt;0),
(X65+Y65)*25%,
0
),
0
)</f>
        <v>0</v>
      </c>
      <c r="AA65" s="263">
        <f>IFERROR(
IF(AND(LEN(TRIM(B64))&gt;0,LEN(TRIM(C64))&gt;0),
'Bang TH nop'!BG65,
0
),
0
)</f>
        <v>0</v>
      </c>
      <c r="AB65" s="264">
        <f t="shared" ref="AB65" si="608">IFERROR(
IF(AND(LEN(TRIM(B64))&gt;0,LEN(TRIM(C64))&gt;0),
SUM(I65:W65)+IFERROR(Z65,0)+IFERROR(AA65,0),
0
),
0
)</f>
        <v>0</v>
      </c>
      <c r="AC65" s="263">
        <f t="shared" ref="AC65:AC96" si="609">IFERROR(
IF(AND(LEN(TRIM(B64))&gt;0,LEN(TRIM(C64))&gt;0),
IF((26-(IFERROR(I64,0)+IFERROR(K64,0)+IFERROR(L64,0)+IFERROR(M64,0)))&gt;12,0,D65*10.5%),
0
),
0
)</f>
        <v>0</v>
      </c>
      <c r="AD65" s="291">
        <f t="shared" ref="AD65:AD96" si="610">IFERROR(
IF(AND(LEN(TRIM(B64))&gt;0,LEN(TRIM(C64))&gt;0),
ROUND(IF(D65=4939000,D65*0.5%,0),-2),
0
),
0
)</f>
        <v>0</v>
      </c>
      <c r="AE65" s="264">
        <f t="shared" ref="AE65" si="611">IFERROR(
IF(AND(LEN(TRIM(B64))&gt;0,LEN(TRIM(C64))&gt;0),
ROUND(IFERROR(AB65,0)-IFERROR(AC65,0)-IFERROR(AD65,0),-2),
0
),
0
)</f>
        <v>0</v>
      </c>
      <c r="AF65" s="13">
        <f>IFERROR(
IF(AND(LEN(TRIM(B64))&gt;0,LEN(TRIM(C64))&gt;0),
IFERROR('Bang TH nop'!AR65,0)+IFERROR('Bang TH nop'!AU65,0)+IFERROR('Bang TH nop'!BG65,0),
0
),
0
)</f>
        <v>0</v>
      </c>
      <c r="AG65" s="241"/>
      <c r="AH65" s="266"/>
      <c r="AI65" s="174">
        <f t="shared" ref="AI65" si="612">IFERROR(
IF(AND(LEN(TRIM(B64))&gt;0,LEN(TRIM(C64))&gt;0),
AH65/AG65,
0
),
0
)</f>
        <v>0</v>
      </c>
      <c r="AJ65" s="174">
        <f t="shared" ref="AJ65:AJ96" si="613">IFERROR(
IF(AND(LEN(TRIM(B64))&gt;0,LEN(TRIM(C64))&gt;0),
AL65/AF65,
0
),
0
)</f>
        <v>0</v>
      </c>
      <c r="AK65" s="175">
        <f t="shared" ref="AK65" si="614">IFERROR(
IF(AND(LEN(TRIM(B64))&gt;0,LEN(TRIM(C64))&gt;0),
AJ65/AI65,
0
),
0
)</f>
        <v>0</v>
      </c>
      <c r="AL65" s="176">
        <f t="shared" ref="AL65:AL96" si="615">IFERROR(
IF(AND(LEN(TRIM(B64))&gt;0,LEN(TRIM(C64))&gt;0),
AB65/L65,
0
),
0
)</f>
        <v>0</v>
      </c>
    </row>
    <row r="66" spans="1:38" ht="17.100000000000001" customHeight="1">
      <c r="A66" s="305">
        <v>30</v>
      </c>
      <c r="B66" s="307">
        <f>'Bang TH nop'!B67</f>
        <v>0</v>
      </c>
      <c r="C66" s="309">
        <f>IFERROR(IF(LEN(TRIM(B66))&gt;0,'Bang TH nop'!C67,""),"")</f>
        <v>0</v>
      </c>
      <c r="D66" s="311">
        <f>IFERROR(IF(AND(LEN(TRIM(B66))&gt;0,LEN(TRIM(C66))&gt;0),'Bang TH nop'!AO67,""),"")</f>
        <v>0</v>
      </c>
      <c r="E66" s="312"/>
      <c r="F66" s="259"/>
      <c r="G66" s="260"/>
      <c r="H66" s="260"/>
      <c r="I66" s="10">
        <f>IFERROR(IF(AND(LEN(TRIM(B66))&gt;0,LEN(TRIM(C66))&gt;0),'Bang TH nop'!BB67,0),0)</f>
        <v>0</v>
      </c>
      <c r="J66" s="10">
        <f>IFERROR(IF(AND(LEN(TRIM(B66))&gt;0,LEN(TRIM(C66))&gt;0),'Bang TH nop'!AV67,0),0)</f>
        <v>0</v>
      </c>
      <c r="K66" s="10">
        <f>IFERROR(IF(AND(LEN(TRIM(B66))&gt;0,LEN(TRIM(C66))&gt;0),'Bang TH nop'!AR67,0),0)</f>
        <v>0</v>
      </c>
      <c r="L66" s="12">
        <f>IFERROR(IF(AND(LEN(TRIM(B66))&gt;0,LEN(TRIM(C66))&gt;0),'Bang TH nop'!AS67,0),0)</f>
        <v>0</v>
      </c>
      <c r="M66" s="12">
        <f>IFERROR(IF(AND(LEN(TRIM(C66))&gt;0,LEN(TRIM(D66))&gt;0),'Bang TH nop'!AT67,0),0)</f>
        <v>0</v>
      </c>
      <c r="N66" s="12">
        <f>IFERROR(IF(AND(LEN(TRIM(B66))&gt;0,LEN(TRIM(C66))&gt;0),'Bang TH nop'!AU67,0),0)</f>
        <v>0</v>
      </c>
      <c r="O66" s="12">
        <f>IFERROR(IF(AND(LEN(TRIM(B66))&gt;0,LEN(TRIM(C66))&gt;0),'Bang TH nop'!BE67,0),0)</f>
        <v>0</v>
      </c>
      <c r="P66" s="12">
        <f>IFERROR(IF(AND(LEN(TRIM(B67))&gt;0,LEN(TRIM(C66))&gt;0),'Bang TH nop'!AZ67,0),0)</f>
        <v>0</v>
      </c>
      <c r="Q66" s="12"/>
      <c r="R66" s="261"/>
      <c r="S66" s="261"/>
      <c r="T66" s="261"/>
      <c r="U66" s="260"/>
      <c r="V66" s="260"/>
      <c r="W66" s="260"/>
      <c r="X66" s="260"/>
      <c r="Y66" s="260"/>
      <c r="Z66" s="260"/>
      <c r="AA66" s="259" t="str">
        <f>IFERROR(
IF(AND(LEN(TRIM(B66))&gt;0,LEN(TRIM(C66))&gt;0),
'Bang TH nop'!AH67,
0
),
0
)</f>
        <v>A</v>
      </c>
      <c r="AB66" s="11"/>
      <c r="AC66" s="11"/>
      <c r="AD66" s="260"/>
      <c r="AE66" s="11"/>
      <c r="AF66" s="260"/>
      <c r="AG66" s="241"/>
      <c r="AH66" s="286"/>
      <c r="AI66" s="287"/>
      <c r="AJ66" s="288"/>
      <c r="AK66" s="287"/>
      <c r="AL66" s="173"/>
    </row>
    <row r="67" spans="1:38" ht="17.100000000000001" customHeight="1">
      <c r="A67" s="306"/>
      <c r="B67" s="308"/>
      <c r="C67" s="310"/>
      <c r="D67" s="319">
        <f>IFERROR(IF(AND(LEN(TRIM(B66))&gt;0,LEN(TRIM(C66))&gt;0),'Bang TH nop'!AP67,""),"")</f>
        <v>0</v>
      </c>
      <c r="E67" s="320"/>
      <c r="F67" s="55">
        <f>IFERROR(IF(AND(LEN(TRIM(B66))&gt;0,LEN(TRIM(C66))&gt;0),'Bang TH nop'!AL67,0),0)</f>
        <v>0</v>
      </c>
      <c r="G67" s="263">
        <f t="shared" ref="G67:G98" si="616">D67*I66/26</f>
        <v>0</v>
      </c>
      <c r="H67" s="263">
        <f t="shared" ref="H67:H98" si="617">D67*J66*150%/(26*8)</f>
        <v>0</v>
      </c>
      <c r="I67" s="263">
        <f t="shared" ref="I67:I98" si="618">IFERROR(
IF(AND(LEN(TRIM(B66))&gt;0,LEN(TRIM(C66))&gt;0),
IF(((I66-N66)*8+N66*7+J66)=0,0,
F67*680*(((I66-N66)*8+N66*7))/(((I66-N66)*8+N66*7+J66))*$I$4
),
0
),
0
)</f>
        <v>0</v>
      </c>
      <c r="J67" s="263">
        <f t="shared" ref="J67:J98" si="619">IFERROR(
IF(AND(LEN(TRIM(B66))&gt;0,LEN(TRIM(C66))&gt;0),
IF(((I66-N66)*8+N66*7+J66)=0,0,
F67*680*150%*J66/(((I66-N66)*8+N66*7+J66))*$I$4
),
0
),
0
)</f>
        <v>0</v>
      </c>
      <c r="K67" s="264">
        <f t="shared" ref="K67:K98" si="620">IFERROR(
IF(AND(LEN(TRIM(B66))&gt;0,LEN(TRIM(C66))&gt;0),
ROUND(D67/26*K66,0),
0
),
0
)</f>
        <v>0</v>
      </c>
      <c r="L67" s="264">
        <f t="shared" ref="L67:L98" si="621">IFERROR(
IF(AND(LEN(TRIM(B66))&gt;0,LEN(TRIM(C66))&gt;0),
ROUND(D67/26*L66,0),
0
),
0
)</f>
        <v>0</v>
      </c>
      <c r="M67" s="264">
        <f t="shared" ref="M67:M98" si="622">IFERROR(
IF(AND(LEN(TRIM(B66))&gt;0,LEN(TRIM(C66))&gt;0),
ROUND(D67/26*M66,0),
0
),
0
)</f>
        <v>0</v>
      </c>
      <c r="N67" s="264">
        <f t="shared" ref="N67:N98" si="623">IFERROR(
IF(AND(LEN(TRIM(B66))&gt;0,LEN(TRIM(C66))&gt;0),
D67*N66/(26*8),
0
),
0
)</f>
        <v>0</v>
      </c>
      <c r="O67" s="264">
        <f t="shared" ref="O67:O98" si="624">IFERROR(
IF(AND(LEN(TRIM(B66))&gt;0,LEN(TRIM(C66))&gt;0),
D67*O66/(26*8),
0
),
0
)</f>
        <v>0</v>
      </c>
      <c r="P67" s="264">
        <f t="shared" ref="P67:P98" si="625">IFERROR(
IF(AND(LEN(TRIM(B66))&gt;0,LEN(TRIM(C66))&gt;0),
(D67/26/8*P66),
0
),
0
)</f>
        <v>0</v>
      </c>
      <c r="Q67" s="56">
        <f>IFERROR(
IF(AND(LEN(TRIM(B66))&gt;0,LEN(TRIM(C66))&gt;0),
'Bang TH nop'!BC67,
0
),
0
)</f>
        <v>0</v>
      </c>
      <c r="R67" s="263">
        <f>IFERROR(
IF(AND(LEN(TRIM(B66))&gt;0,LEN(TRIM(C66))&gt;0),
'Bang TH nop'!BD67,
0
),
0
)</f>
        <v>0</v>
      </c>
      <c r="S67" s="263">
        <f>IFERROR(
IF(AND(LEN(TRIM(B66))&gt;0,LEN(TRIM(C66))&gt;0),
'Bang TH nop'!BJ67,
0
),
0
)</f>
        <v>0</v>
      </c>
      <c r="T67" s="263">
        <f>IFERROR(
IF(AND(LEN(TRIM(B66))&gt;0,LEN(TRIM(C66))&gt;0),
'Bang TH nop'!AW67,
0
),
0
)</f>
        <v>0</v>
      </c>
      <c r="U67" s="264">
        <f t="shared" ref="U67:U98" si="626">IFERROR(
IF(AND(LEN(TRIM(B66))&gt;0,LEN(TRIM(C66))&gt;0),
D67/26/8*U66,
0
),
0
)</f>
        <v>0</v>
      </c>
      <c r="V67" s="264"/>
      <c r="W67" s="264"/>
      <c r="X67" s="263">
        <f t="shared" ref="X67:X98" si="627">+IF(G67-I67&lt;0,0,G67-I67)</f>
        <v>0</v>
      </c>
      <c r="Y67" s="263">
        <f t="shared" ref="Y67:Y98" si="628">+IF(H67-J67&lt;0,0, H67-J67)</f>
        <v>0</v>
      </c>
      <c r="Z67" s="263">
        <f t="shared" ref="Z67" si="629">IFERROR(
IF(AND(LEN(TRIM(B66))&gt;0,LEN(TRIM(C66))&gt;0),
(X67+Y67)*25%,
0
),
0
)</f>
        <v>0</v>
      </c>
      <c r="AA67" s="263">
        <f>IFERROR(
IF(AND(LEN(TRIM(B66))&gt;0,LEN(TRIM(C66))&gt;0),
'Bang TH nop'!BG67,
0
),
0
)</f>
        <v>0</v>
      </c>
      <c r="AB67" s="264">
        <f t="shared" ref="AB67" si="630">IFERROR(
IF(AND(LEN(TRIM(B66))&gt;0,LEN(TRIM(C66))&gt;0),
SUM(I67:W67)+IFERROR(Z67,0)+IFERROR(AA67,0),
0
),
0
)</f>
        <v>0</v>
      </c>
      <c r="AC67" s="263">
        <f t="shared" ref="AC67:AC98" si="631">IFERROR(
IF(AND(LEN(TRIM(B66))&gt;0,LEN(TRIM(C66))&gt;0),
IF((26-(IFERROR(I66,0)+IFERROR(K66,0)+IFERROR(L66,0)+IFERROR(M66,0)))&gt;12,0,D67*10.5%),
0
),
0
)</f>
        <v>0</v>
      </c>
      <c r="AD67" s="291">
        <f t="shared" ref="AD67:AD98" si="632">IFERROR(
IF(AND(LEN(TRIM(B66))&gt;0,LEN(TRIM(C66))&gt;0),
ROUND(IF(D67=4939000,D67*0.5%,0),-2),
0
),
0
)</f>
        <v>0</v>
      </c>
      <c r="AE67" s="264">
        <f t="shared" ref="AE67" si="633">IFERROR(
IF(AND(LEN(TRIM(B66))&gt;0,LEN(TRIM(C66))&gt;0),
ROUND(IFERROR(AB67,0)-IFERROR(AC67,0)-IFERROR(AD67,0),-2),
0
),
0
)</f>
        <v>0</v>
      </c>
      <c r="AF67" s="13">
        <f>IFERROR(
IF(AND(LEN(TRIM(B66))&gt;0,LEN(TRIM(C66))&gt;0),
IFERROR('Bang TH nop'!AR67,0)+IFERROR('Bang TH nop'!AU67,0)+IFERROR('Bang TH nop'!BG67,0),
0
),
0
)</f>
        <v>0</v>
      </c>
      <c r="AG67" s="241"/>
      <c r="AH67" s="266"/>
      <c r="AI67" s="174">
        <f t="shared" ref="AI67" si="634">IFERROR(
IF(AND(LEN(TRIM(B66))&gt;0,LEN(TRIM(C66))&gt;0),
AH67/AG67,
0
),
0
)</f>
        <v>0</v>
      </c>
      <c r="AJ67" s="174">
        <f t="shared" ref="AJ67:AJ98" si="635">IFERROR(
IF(AND(LEN(TRIM(B66))&gt;0,LEN(TRIM(C66))&gt;0),
AL67/AF67,
0
),
0
)</f>
        <v>0</v>
      </c>
      <c r="AK67" s="175">
        <f t="shared" ref="AK67" si="636">IFERROR(
IF(AND(LEN(TRIM(B66))&gt;0,LEN(TRIM(C66))&gt;0),
AJ67/AI67,
0
),
0
)</f>
        <v>0</v>
      </c>
      <c r="AL67" s="176">
        <f t="shared" ref="AL67:AL98" si="637">IFERROR(
IF(AND(LEN(TRIM(B66))&gt;0,LEN(TRIM(C66))&gt;0),
AB67/L67,
0
),
0
)</f>
        <v>0</v>
      </c>
    </row>
    <row r="68" spans="1:38" ht="17.100000000000001" customHeight="1">
      <c r="A68" s="305">
        <v>31</v>
      </c>
      <c r="B68" s="307">
        <f>'Bang TH nop'!B69</f>
        <v>0</v>
      </c>
      <c r="C68" s="309">
        <f>IFERROR(IF(LEN(TRIM(B68))&gt;0,'Bang TH nop'!C69,""),"")</f>
        <v>0</v>
      </c>
      <c r="D68" s="311">
        <f>IFERROR(IF(AND(LEN(TRIM(B68))&gt;0,LEN(TRIM(C68))&gt;0),'Bang TH nop'!AO69,""),"")</f>
        <v>0</v>
      </c>
      <c r="E68" s="312"/>
      <c r="F68" s="259"/>
      <c r="G68" s="260"/>
      <c r="H68" s="260"/>
      <c r="I68" s="10">
        <f>IFERROR(IF(AND(LEN(TRIM(B68))&gt;0,LEN(TRIM(C68))&gt;0),'Bang TH nop'!BB69,0),0)</f>
        <v>0</v>
      </c>
      <c r="J68" s="10">
        <f>IFERROR(IF(AND(LEN(TRIM(B68))&gt;0,LEN(TRIM(C68))&gt;0),'Bang TH nop'!AV69,0),0)</f>
        <v>0</v>
      </c>
      <c r="K68" s="10">
        <f>IFERROR(IF(AND(LEN(TRIM(B68))&gt;0,LEN(TRIM(C68))&gt;0),'Bang TH nop'!AR69,0),0)</f>
        <v>0</v>
      </c>
      <c r="L68" s="12">
        <f>IFERROR(IF(AND(LEN(TRIM(B68))&gt;0,LEN(TRIM(C68))&gt;0),'Bang TH nop'!AS69,0),0)</f>
        <v>0</v>
      </c>
      <c r="M68" s="12">
        <f>IFERROR(IF(AND(LEN(TRIM(C68))&gt;0,LEN(TRIM(D68))&gt;0),'Bang TH nop'!AT69,0),0)</f>
        <v>0</v>
      </c>
      <c r="N68" s="12">
        <f>IFERROR(IF(AND(LEN(TRIM(B68))&gt;0,LEN(TRIM(C68))&gt;0),'Bang TH nop'!AU69,0),0)</f>
        <v>0</v>
      </c>
      <c r="O68" s="12">
        <f>IFERROR(IF(AND(LEN(TRIM(B68))&gt;0,LEN(TRIM(C68))&gt;0),'Bang TH nop'!BE69,0),0)</f>
        <v>0</v>
      </c>
      <c r="P68" s="12">
        <f>IFERROR(IF(AND(LEN(TRIM(B69))&gt;0,LEN(TRIM(C68))&gt;0),'Bang TH nop'!AZ69,0),0)</f>
        <v>0</v>
      </c>
      <c r="Q68" s="12"/>
      <c r="R68" s="261"/>
      <c r="S68" s="261"/>
      <c r="T68" s="261"/>
      <c r="U68" s="260"/>
      <c r="V68" s="260"/>
      <c r="W68" s="260"/>
      <c r="X68" s="260"/>
      <c r="Y68" s="260"/>
      <c r="Z68" s="260"/>
      <c r="AA68" s="259" t="str">
        <f>IFERROR(
IF(AND(LEN(TRIM(B68))&gt;0,LEN(TRIM(C68))&gt;0),
'Bang TH nop'!AH69,
0
),
0
)</f>
        <v>A</v>
      </c>
      <c r="AB68" s="11"/>
      <c r="AC68" s="11"/>
      <c r="AD68" s="260"/>
      <c r="AE68" s="11"/>
      <c r="AF68" s="260"/>
      <c r="AG68" s="241"/>
      <c r="AH68" s="286"/>
      <c r="AI68" s="287"/>
      <c r="AJ68" s="288"/>
      <c r="AK68" s="287"/>
      <c r="AL68" s="173"/>
    </row>
    <row r="69" spans="1:38" ht="17.100000000000001" customHeight="1">
      <c r="A69" s="306"/>
      <c r="B69" s="308"/>
      <c r="C69" s="310"/>
      <c r="D69" s="319">
        <f>IFERROR(IF(AND(LEN(TRIM(B68))&gt;0,LEN(TRIM(C68))&gt;0),'Bang TH nop'!AP69,""),"")</f>
        <v>0</v>
      </c>
      <c r="E69" s="320"/>
      <c r="F69" s="55">
        <f>IFERROR(IF(AND(LEN(TRIM(B68))&gt;0,LEN(TRIM(C68))&gt;0),'Bang TH nop'!AL69,0),0)</f>
        <v>0</v>
      </c>
      <c r="G69" s="263">
        <f t="shared" ref="G69:G100" si="638">D69*I68/26</f>
        <v>0</v>
      </c>
      <c r="H69" s="263">
        <f t="shared" ref="H69:H100" si="639">D69*J68*150%/(26*8)</f>
        <v>0</v>
      </c>
      <c r="I69" s="263">
        <f t="shared" ref="I69:I100" si="640">IFERROR(
IF(AND(LEN(TRIM(B68))&gt;0,LEN(TRIM(C68))&gt;0),
IF(((I68-N68)*8+N68*7+J68)=0,0,
F69*680*(((I68-N68)*8+N68*7))/(((I68-N68)*8+N68*7+J68))*$I$4
),
0
),
0
)</f>
        <v>0</v>
      </c>
      <c r="J69" s="263">
        <f t="shared" ref="J69:J100" si="641">IFERROR(
IF(AND(LEN(TRIM(B68))&gt;0,LEN(TRIM(C68))&gt;0),
IF(((I68-N68)*8+N68*7+J68)=0,0,
F69*680*150%*J68/(((I68-N68)*8+N68*7+J68))*$I$4
),
0
),
0
)</f>
        <v>0</v>
      </c>
      <c r="K69" s="264">
        <f t="shared" ref="K69:K100" si="642">IFERROR(
IF(AND(LEN(TRIM(B68))&gt;0,LEN(TRIM(C68))&gt;0),
ROUND(D69/26*K68,0),
0
),
0
)</f>
        <v>0</v>
      </c>
      <c r="L69" s="264">
        <f t="shared" ref="L69:L100" si="643">IFERROR(
IF(AND(LEN(TRIM(B68))&gt;0,LEN(TRIM(C68))&gt;0),
ROUND(D69/26*L68,0),
0
),
0
)</f>
        <v>0</v>
      </c>
      <c r="M69" s="264">
        <f t="shared" ref="M69:M100" si="644">IFERROR(
IF(AND(LEN(TRIM(B68))&gt;0,LEN(TRIM(C68))&gt;0),
ROUND(D69/26*M68,0),
0
),
0
)</f>
        <v>0</v>
      </c>
      <c r="N69" s="264">
        <f t="shared" ref="N69:N100" si="645">IFERROR(
IF(AND(LEN(TRIM(B68))&gt;0,LEN(TRIM(C68))&gt;0),
D69*N68/(26*8),
0
),
0
)</f>
        <v>0</v>
      </c>
      <c r="O69" s="264">
        <f t="shared" ref="O69:O100" si="646">IFERROR(
IF(AND(LEN(TRIM(B68))&gt;0,LEN(TRIM(C68))&gt;0),
D69*O68/(26*8),
0
),
0
)</f>
        <v>0</v>
      </c>
      <c r="P69" s="264">
        <f t="shared" ref="P69:P100" si="647">IFERROR(
IF(AND(LEN(TRIM(B68))&gt;0,LEN(TRIM(C68))&gt;0),
(D69/26/8*P68),
0
),
0
)</f>
        <v>0</v>
      </c>
      <c r="Q69" s="56">
        <f>IFERROR(
IF(AND(LEN(TRIM(B68))&gt;0,LEN(TRIM(C68))&gt;0),
'Bang TH nop'!BC69,
0
),
0
)</f>
        <v>0</v>
      </c>
      <c r="R69" s="263">
        <f>IFERROR(
IF(AND(LEN(TRIM(B68))&gt;0,LEN(TRIM(C68))&gt;0),
'Bang TH nop'!BD69,
0
),
0
)</f>
        <v>0</v>
      </c>
      <c r="S69" s="263">
        <f>IFERROR(
IF(AND(LEN(TRIM(B68))&gt;0,LEN(TRIM(C68))&gt;0),
'Bang TH nop'!BJ69,
0
),
0
)</f>
        <v>0</v>
      </c>
      <c r="T69" s="263">
        <f>IFERROR(
IF(AND(LEN(TRIM(B68))&gt;0,LEN(TRIM(C68))&gt;0),
'Bang TH nop'!AW69,
0
),
0
)</f>
        <v>0</v>
      </c>
      <c r="U69" s="264">
        <f t="shared" ref="U69:U100" si="648">IFERROR(
IF(AND(LEN(TRIM(B68))&gt;0,LEN(TRIM(C68))&gt;0),
D69/26/8*U68,
0
),
0
)</f>
        <v>0</v>
      </c>
      <c r="V69" s="264"/>
      <c r="W69" s="264"/>
      <c r="X69" s="263">
        <f t="shared" ref="X69:X100" si="649">+IF(G69-I69&lt;0,0,G69-I69)</f>
        <v>0</v>
      </c>
      <c r="Y69" s="263">
        <f t="shared" ref="Y69:Y100" si="650">+IF(H69-J69&lt;0,0, H69-J69)</f>
        <v>0</v>
      </c>
      <c r="Z69" s="263">
        <f t="shared" ref="Z69" si="651">IFERROR(
IF(AND(LEN(TRIM(B68))&gt;0,LEN(TRIM(C68))&gt;0),
(X69+Y69)*25%,
0
),
0
)</f>
        <v>0</v>
      </c>
      <c r="AA69" s="263">
        <f>IFERROR(
IF(AND(LEN(TRIM(B68))&gt;0,LEN(TRIM(C68))&gt;0),
'Bang TH nop'!BG69,
0
),
0
)</f>
        <v>0</v>
      </c>
      <c r="AB69" s="264">
        <f t="shared" ref="AB69" si="652">IFERROR(
IF(AND(LEN(TRIM(B68))&gt;0,LEN(TRIM(C68))&gt;0),
SUM(I69:W69)+IFERROR(Z69,0)+IFERROR(AA69,0),
0
),
0
)</f>
        <v>0</v>
      </c>
      <c r="AC69" s="263">
        <f t="shared" ref="AC69:AC100" si="653">IFERROR(
IF(AND(LEN(TRIM(B68))&gt;0,LEN(TRIM(C68))&gt;0),
IF((26-(IFERROR(I68,0)+IFERROR(K68,0)+IFERROR(L68,0)+IFERROR(M68,0)))&gt;12,0,D69*10.5%),
0
),
0
)</f>
        <v>0</v>
      </c>
      <c r="AD69" s="291">
        <f t="shared" ref="AD69:AD100" si="654">IFERROR(
IF(AND(LEN(TRIM(B68))&gt;0,LEN(TRIM(C68))&gt;0),
ROUND(IF(D69=4939000,D69*0.5%,0),-2),
0
),
0
)</f>
        <v>0</v>
      </c>
      <c r="AE69" s="264">
        <f t="shared" ref="AE69" si="655">IFERROR(
IF(AND(LEN(TRIM(B68))&gt;0,LEN(TRIM(C68))&gt;0),
ROUND(IFERROR(AB69,0)-IFERROR(AC69,0)-IFERROR(AD69,0),-2),
0
),
0
)</f>
        <v>0</v>
      </c>
      <c r="AF69" s="13">
        <f>IFERROR(
IF(AND(LEN(TRIM(B68))&gt;0,LEN(TRIM(C68))&gt;0),
IFERROR('Bang TH nop'!AR69,0)+IFERROR('Bang TH nop'!AU69,0)+IFERROR('Bang TH nop'!BG69,0),
0
),
0
)</f>
        <v>0</v>
      </c>
      <c r="AG69" s="241"/>
      <c r="AH69" s="266"/>
      <c r="AI69" s="174">
        <f t="shared" ref="AI69" si="656">IFERROR(
IF(AND(LEN(TRIM(B68))&gt;0,LEN(TRIM(C68))&gt;0),
AH69/AG69,
0
),
0
)</f>
        <v>0</v>
      </c>
      <c r="AJ69" s="174">
        <f t="shared" ref="AJ69:AJ100" si="657">IFERROR(
IF(AND(LEN(TRIM(B68))&gt;0,LEN(TRIM(C68))&gt;0),
AL69/AF69,
0
),
0
)</f>
        <v>0</v>
      </c>
      <c r="AK69" s="175">
        <f t="shared" ref="AK69" si="658">IFERROR(
IF(AND(LEN(TRIM(B68))&gt;0,LEN(TRIM(C68))&gt;0),
AJ69/AI69,
0
),
0
)</f>
        <v>0</v>
      </c>
      <c r="AL69" s="176">
        <f t="shared" ref="AL69:AL100" si="659">IFERROR(
IF(AND(LEN(TRIM(B68))&gt;0,LEN(TRIM(C68))&gt;0),
AB69/L69,
0
),
0
)</f>
        <v>0</v>
      </c>
    </row>
    <row r="70" spans="1:38" ht="17.100000000000001" customHeight="1">
      <c r="A70" s="305">
        <v>32</v>
      </c>
      <c r="B70" s="307">
        <f>'Bang TH nop'!B71</f>
        <v>0</v>
      </c>
      <c r="C70" s="309">
        <f>IFERROR(IF(LEN(TRIM(B70))&gt;0,'Bang TH nop'!C71,""),"")</f>
        <v>0</v>
      </c>
      <c r="D70" s="311">
        <f>IFERROR(IF(AND(LEN(TRIM(B70))&gt;0,LEN(TRIM(C70))&gt;0),'Bang TH nop'!AO71,""),"")</f>
        <v>0</v>
      </c>
      <c r="E70" s="312"/>
      <c r="F70" s="259"/>
      <c r="G70" s="260"/>
      <c r="H70" s="260"/>
      <c r="I70" s="10">
        <f>IFERROR(IF(AND(LEN(TRIM(B70))&gt;0,LEN(TRIM(C70))&gt;0),'Bang TH nop'!BB71,0),0)</f>
        <v>0</v>
      </c>
      <c r="J70" s="10">
        <f>IFERROR(IF(AND(LEN(TRIM(B70))&gt;0,LEN(TRIM(C70))&gt;0),'Bang TH nop'!AV71,0),0)</f>
        <v>0</v>
      </c>
      <c r="K70" s="10">
        <f>IFERROR(IF(AND(LEN(TRIM(B70))&gt;0,LEN(TRIM(C70))&gt;0),'Bang TH nop'!AR71,0),0)</f>
        <v>0</v>
      </c>
      <c r="L70" s="12">
        <f>IFERROR(IF(AND(LEN(TRIM(B70))&gt;0,LEN(TRIM(C70))&gt;0),'Bang TH nop'!AS71,0),0)</f>
        <v>0</v>
      </c>
      <c r="M70" s="12">
        <f>IFERROR(IF(AND(LEN(TRIM(C70))&gt;0,LEN(TRIM(D70))&gt;0),'Bang TH nop'!AT71,0),0)</f>
        <v>0</v>
      </c>
      <c r="N70" s="12">
        <f>IFERROR(IF(AND(LEN(TRIM(B70))&gt;0,LEN(TRIM(C70))&gt;0),'Bang TH nop'!AU71,0),0)</f>
        <v>0</v>
      </c>
      <c r="O70" s="12">
        <f>IFERROR(IF(AND(LEN(TRIM(B70))&gt;0,LEN(TRIM(C70))&gt;0),'Bang TH nop'!BE71,0),0)</f>
        <v>0</v>
      </c>
      <c r="P70" s="12">
        <f>IFERROR(IF(AND(LEN(TRIM(B71))&gt;0,LEN(TRIM(C70))&gt;0),'Bang TH nop'!AZ71,0),0)</f>
        <v>0</v>
      </c>
      <c r="Q70" s="12"/>
      <c r="R70" s="261"/>
      <c r="S70" s="261"/>
      <c r="T70" s="261"/>
      <c r="U70" s="260"/>
      <c r="V70" s="260"/>
      <c r="W70" s="260"/>
      <c r="X70" s="260"/>
      <c r="Y70" s="260"/>
      <c r="Z70" s="260"/>
      <c r="AA70" s="259" t="str">
        <f>IFERROR(
IF(AND(LEN(TRIM(B70))&gt;0,LEN(TRIM(C70))&gt;0),
'Bang TH nop'!AH71,
0
),
0
)</f>
        <v>A</v>
      </c>
      <c r="AB70" s="11"/>
      <c r="AC70" s="11"/>
      <c r="AD70" s="260"/>
      <c r="AE70" s="11"/>
      <c r="AF70" s="260"/>
      <c r="AG70" s="241"/>
      <c r="AH70" s="286"/>
      <c r="AI70" s="287"/>
      <c r="AJ70" s="288"/>
      <c r="AK70" s="287"/>
      <c r="AL70" s="173"/>
    </row>
    <row r="71" spans="1:38" ht="17.100000000000001" customHeight="1">
      <c r="A71" s="306"/>
      <c r="B71" s="308"/>
      <c r="C71" s="310"/>
      <c r="D71" s="319">
        <f>IFERROR(IF(AND(LEN(TRIM(B70))&gt;0,LEN(TRIM(C70))&gt;0),'Bang TH nop'!AP71,""),"")</f>
        <v>0</v>
      </c>
      <c r="E71" s="320"/>
      <c r="F71" s="55">
        <f>IFERROR(IF(AND(LEN(TRIM(B70))&gt;0,LEN(TRIM(C70))&gt;0),'Bang TH nop'!AL71,0),0)</f>
        <v>0</v>
      </c>
      <c r="G71" s="263">
        <f t="shared" ref="G71:G102" si="660">D71*I70/26</f>
        <v>0</v>
      </c>
      <c r="H71" s="263">
        <f t="shared" ref="H71:H102" si="661">D71*J70*150%/(26*8)</f>
        <v>0</v>
      </c>
      <c r="I71" s="263">
        <f t="shared" ref="I71:I102" si="662">IFERROR(
IF(AND(LEN(TRIM(B70))&gt;0,LEN(TRIM(C70))&gt;0),
IF(((I70-N70)*8+N70*7+J70)=0,0,
F71*680*(((I70-N70)*8+N70*7))/(((I70-N70)*8+N70*7+J70))*$I$4
),
0
),
0
)</f>
        <v>0</v>
      </c>
      <c r="J71" s="263">
        <f t="shared" ref="J71:J102" si="663">IFERROR(
IF(AND(LEN(TRIM(B70))&gt;0,LEN(TRIM(C70))&gt;0),
IF(((I70-N70)*8+N70*7+J70)=0,0,
F71*680*150%*J70/(((I70-N70)*8+N70*7+J70))*$I$4
),
0
),
0
)</f>
        <v>0</v>
      </c>
      <c r="K71" s="264">
        <f t="shared" ref="K71:K102" si="664">IFERROR(
IF(AND(LEN(TRIM(B70))&gt;0,LEN(TRIM(C70))&gt;0),
ROUND(D71/26*K70,0),
0
),
0
)</f>
        <v>0</v>
      </c>
      <c r="L71" s="264">
        <f t="shared" ref="L71:L102" si="665">IFERROR(
IF(AND(LEN(TRIM(B70))&gt;0,LEN(TRIM(C70))&gt;0),
ROUND(D71/26*L70,0),
0
),
0
)</f>
        <v>0</v>
      </c>
      <c r="M71" s="264">
        <f t="shared" ref="M71:M102" si="666">IFERROR(
IF(AND(LEN(TRIM(B70))&gt;0,LEN(TRIM(C70))&gt;0),
ROUND(D71/26*M70,0),
0
),
0
)</f>
        <v>0</v>
      </c>
      <c r="N71" s="264">
        <f t="shared" ref="N71:N102" si="667">IFERROR(
IF(AND(LEN(TRIM(B70))&gt;0,LEN(TRIM(C70))&gt;0),
D71*N70/(26*8),
0
),
0
)</f>
        <v>0</v>
      </c>
      <c r="O71" s="264">
        <f t="shared" ref="O71:O102" si="668">IFERROR(
IF(AND(LEN(TRIM(B70))&gt;0,LEN(TRIM(C70))&gt;0),
D71*O70/(26*8),
0
),
0
)</f>
        <v>0</v>
      </c>
      <c r="P71" s="264">
        <f t="shared" ref="P71:P102" si="669">IFERROR(
IF(AND(LEN(TRIM(B70))&gt;0,LEN(TRIM(C70))&gt;0),
(D71/26/8*P70),
0
),
0
)</f>
        <v>0</v>
      </c>
      <c r="Q71" s="56">
        <f>IFERROR(
IF(AND(LEN(TRIM(B70))&gt;0,LEN(TRIM(C70))&gt;0),
'Bang TH nop'!BC71,
0
),
0
)</f>
        <v>0</v>
      </c>
      <c r="R71" s="263">
        <f>IFERROR(
IF(AND(LEN(TRIM(B70))&gt;0,LEN(TRIM(C70))&gt;0),
'Bang TH nop'!BD71,
0
),
0
)</f>
        <v>0</v>
      </c>
      <c r="S71" s="263">
        <f>IFERROR(
IF(AND(LEN(TRIM(B70))&gt;0,LEN(TRIM(C70))&gt;0),
'Bang TH nop'!BJ71,
0
),
0
)</f>
        <v>0</v>
      </c>
      <c r="T71" s="263">
        <f>IFERROR(
IF(AND(LEN(TRIM(B70))&gt;0,LEN(TRIM(C70))&gt;0),
'Bang TH nop'!AW71,
0
),
0
)</f>
        <v>0</v>
      </c>
      <c r="U71" s="264">
        <f t="shared" ref="U71:U102" si="670">IFERROR(
IF(AND(LEN(TRIM(B70))&gt;0,LEN(TRIM(C70))&gt;0),
D71/26/8*U70,
0
),
0
)</f>
        <v>0</v>
      </c>
      <c r="V71" s="264"/>
      <c r="W71" s="264"/>
      <c r="X71" s="263">
        <f t="shared" ref="X71:X102" si="671">+IF(G71-I71&lt;0,0,G71-I71)</f>
        <v>0</v>
      </c>
      <c r="Y71" s="263">
        <f t="shared" ref="Y71:Y102" si="672">+IF(H71-J71&lt;0,0, H71-J71)</f>
        <v>0</v>
      </c>
      <c r="Z71" s="263">
        <f t="shared" ref="Z71" si="673">IFERROR(
IF(AND(LEN(TRIM(B70))&gt;0,LEN(TRIM(C70))&gt;0),
(X71+Y71)*25%,
0
),
0
)</f>
        <v>0</v>
      </c>
      <c r="AA71" s="263">
        <f>IFERROR(
IF(AND(LEN(TRIM(B70))&gt;0,LEN(TRIM(C70))&gt;0),
'Bang TH nop'!BG71,
0
),
0
)</f>
        <v>0</v>
      </c>
      <c r="AB71" s="264">
        <f t="shared" ref="AB71" si="674">IFERROR(
IF(AND(LEN(TRIM(B70))&gt;0,LEN(TRIM(C70))&gt;0),
SUM(I71:W71)+IFERROR(Z71,0)+IFERROR(AA71,0),
0
),
0
)</f>
        <v>0</v>
      </c>
      <c r="AC71" s="263">
        <f t="shared" ref="AC71:AC102" si="675">IFERROR(
IF(AND(LEN(TRIM(B70))&gt;0,LEN(TRIM(C70))&gt;0),
IF((26-(IFERROR(I70,0)+IFERROR(K70,0)+IFERROR(L70,0)+IFERROR(M70,0)))&gt;12,0,D71*10.5%),
0
),
0
)</f>
        <v>0</v>
      </c>
      <c r="AD71" s="291">
        <f t="shared" ref="AD71:AD102" si="676">IFERROR(
IF(AND(LEN(TRIM(B70))&gt;0,LEN(TRIM(C70))&gt;0),
ROUND(IF(D71=4939000,D71*0.5%,0),-2),
0
),
0
)</f>
        <v>0</v>
      </c>
      <c r="AE71" s="264">
        <f t="shared" ref="AE71" si="677">IFERROR(
IF(AND(LEN(TRIM(B70))&gt;0,LEN(TRIM(C70))&gt;0),
ROUND(IFERROR(AB71,0)-IFERROR(AC71,0)-IFERROR(AD71,0),-2),
0
),
0
)</f>
        <v>0</v>
      </c>
      <c r="AF71" s="13">
        <f>IFERROR(
IF(AND(LEN(TRIM(B70))&gt;0,LEN(TRIM(C70))&gt;0),
IFERROR('Bang TH nop'!AR71,0)+IFERROR('Bang TH nop'!AU71,0)+IFERROR('Bang TH nop'!BG71,0),
0
),
0
)</f>
        <v>0</v>
      </c>
      <c r="AG71" s="241"/>
      <c r="AH71" s="266"/>
      <c r="AI71" s="174">
        <f t="shared" ref="AI71" si="678">IFERROR(
IF(AND(LEN(TRIM(B70))&gt;0,LEN(TRIM(C70))&gt;0),
AH71/AG71,
0
),
0
)</f>
        <v>0</v>
      </c>
      <c r="AJ71" s="174">
        <f t="shared" ref="AJ71:AJ102" si="679">IFERROR(
IF(AND(LEN(TRIM(B70))&gt;0,LEN(TRIM(C70))&gt;0),
AL71/AF71,
0
),
0
)</f>
        <v>0</v>
      </c>
      <c r="AK71" s="175">
        <f t="shared" ref="AK71" si="680">IFERROR(
IF(AND(LEN(TRIM(B70))&gt;0,LEN(TRIM(C70))&gt;0),
AJ71/AI71,
0
),
0
)</f>
        <v>0</v>
      </c>
      <c r="AL71" s="176">
        <f t="shared" ref="AL71:AL102" si="681">IFERROR(
IF(AND(LEN(TRIM(B70))&gt;0,LEN(TRIM(C70))&gt;0),
AB71/L71,
0
),
0
)</f>
        <v>0</v>
      </c>
    </row>
    <row r="72" spans="1:38" ht="17.100000000000001" customHeight="1">
      <c r="A72" s="305">
        <v>33</v>
      </c>
      <c r="B72" s="307">
        <f>'Bang TH nop'!B73</f>
        <v>0</v>
      </c>
      <c r="C72" s="309">
        <f>IFERROR(IF(LEN(TRIM(B72))&gt;0,'Bang TH nop'!C73,""),"")</f>
        <v>0</v>
      </c>
      <c r="D72" s="311">
        <f>IFERROR(IF(AND(LEN(TRIM(B72))&gt;0,LEN(TRIM(C72))&gt;0),'Bang TH nop'!AO73,""),"")</f>
        <v>0</v>
      </c>
      <c r="E72" s="312"/>
      <c r="F72" s="259"/>
      <c r="G72" s="260"/>
      <c r="H72" s="260"/>
      <c r="I72" s="10">
        <f>IFERROR(IF(AND(LEN(TRIM(B72))&gt;0,LEN(TRIM(C72))&gt;0),'Bang TH nop'!BB73,0),0)</f>
        <v>0</v>
      </c>
      <c r="J72" s="10">
        <f>IFERROR(IF(AND(LEN(TRIM(B72))&gt;0,LEN(TRIM(C72))&gt;0),'Bang TH nop'!AV73,0),0)</f>
        <v>0</v>
      </c>
      <c r="K72" s="10">
        <f>IFERROR(IF(AND(LEN(TRIM(B72))&gt;0,LEN(TRIM(C72))&gt;0),'Bang TH nop'!AR73,0),0)</f>
        <v>0</v>
      </c>
      <c r="L72" s="12">
        <f>IFERROR(IF(AND(LEN(TRIM(B72))&gt;0,LEN(TRIM(C72))&gt;0),'Bang TH nop'!AS73,0),0)</f>
        <v>0</v>
      </c>
      <c r="M72" s="12">
        <f>IFERROR(IF(AND(LEN(TRIM(C72))&gt;0,LEN(TRIM(D72))&gt;0),'Bang TH nop'!AT73,0),0)</f>
        <v>0</v>
      </c>
      <c r="N72" s="12">
        <f>IFERROR(IF(AND(LEN(TRIM(B72))&gt;0,LEN(TRIM(C72))&gt;0),'Bang TH nop'!AU73,0),0)</f>
        <v>0</v>
      </c>
      <c r="O72" s="12">
        <f>IFERROR(IF(AND(LEN(TRIM(B72))&gt;0,LEN(TRIM(C72))&gt;0),'Bang TH nop'!BE73,0),0)</f>
        <v>0</v>
      </c>
      <c r="P72" s="12">
        <f>IFERROR(IF(AND(LEN(TRIM(B73))&gt;0,LEN(TRIM(C72))&gt;0),'Bang TH nop'!AZ73,0),0)</f>
        <v>0</v>
      </c>
      <c r="Q72" s="12"/>
      <c r="R72" s="261"/>
      <c r="S72" s="261"/>
      <c r="T72" s="261"/>
      <c r="U72" s="260"/>
      <c r="V72" s="260"/>
      <c r="W72" s="260"/>
      <c r="X72" s="260"/>
      <c r="Y72" s="260"/>
      <c r="Z72" s="260"/>
      <c r="AA72" s="259" t="str">
        <f>IFERROR(
IF(AND(LEN(TRIM(B72))&gt;0,LEN(TRIM(C72))&gt;0),
'Bang TH nop'!AH73,
0
),
0
)</f>
        <v>A</v>
      </c>
      <c r="AB72" s="11"/>
      <c r="AC72" s="11"/>
      <c r="AD72" s="260"/>
      <c r="AE72" s="11"/>
      <c r="AF72" s="260"/>
      <c r="AG72" s="241"/>
      <c r="AH72" s="286"/>
      <c r="AI72" s="287"/>
      <c r="AJ72" s="288"/>
      <c r="AK72" s="287"/>
      <c r="AL72" s="173"/>
    </row>
    <row r="73" spans="1:38" ht="17.100000000000001" customHeight="1">
      <c r="A73" s="306"/>
      <c r="B73" s="308"/>
      <c r="C73" s="310"/>
      <c r="D73" s="319">
        <f>IFERROR(IF(AND(LEN(TRIM(B72))&gt;0,LEN(TRIM(C72))&gt;0),'Bang TH nop'!AP73,""),"")</f>
        <v>0</v>
      </c>
      <c r="E73" s="320"/>
      <c r="F73" s="55">
        <f>IFERROR(IF(AND(LEN(TRIM(B72))&gt;0,LEN(TRIM(C72))&gt;0),'Bang TH nop'!AL73,0),0)</f>
        <v>0</v>
      </c>
      <c r="G73" s="263">
        <f t="shared" ref="G73:G104" si="682">D73*I72/26</f>
        <v>0</v>
      </c>
      <c r="H73" s="263">
        <f t="shared" ref="H73:H104" si="683">D73*J72*150%/(26*8)</f>
        <v>0</v>
      </c>
      <c r="I73" s="263">
        <f t="shared" ref="I73:I104" si="684">IFERROR(
IF(AND(LEN(TRIM(B72))&gt;0,LEN(TRIM(C72))&gt;0),
IF(((I72-N72)*8+N72*7+J72)=0,0,
F73*680*(((I72-N72)*8+N72*7))/(((I72-N72)*8+N72*7+J72))*$I$4
),
0
),
0
)</f>
        <v>0</v>
      </c>
      <c r="J73" s="263">
        <f t="shared" ref="J73:J104" si="685">IFERROR(
IF(AND(LEN(TRIM(B72))&gt;0,LEN(TRIM(C72))&gt;0),
IF(((I72-N72)*8+N72*7+J72)=0,0,
F73*680*150%*J72/(((I72-N72)*8+N72*7+J72))*$I$4
),
0
),
0
)</f>
        <v>0</v>
      </c>
      <c r="K73" s="264">
        <f t="shared" ref="K73:K104" si="686">IFERROR(
IF(AND(LEN(TRIM(B72))&gt;0,LEN(TRIM(C72))&gt;0),
ROUND(D73/26*K72,0),
0
),
0
)</f>
        <v>0</v>
      </c>
      <c r="L73" s="264">
        <f t="shared" ref="L73:L104" si="687">IFERROR(
IF(AND(LEN(TRIM(B72))&gt;0,LEN(TRIM(C72))&gt;0),
ROUND(D73/26*L72,0),
0
),
0
)</f>
        <v>0</v>
      </c>
      <c r="M73" s="264">
        <f t="shared" ref="M73:M104" si="688">IFERROR(
IF(AND(LEN(TRIM(B72))&gt;0,LEN(TRIM(C72))&gt;0),
ROUND(D73/26*M72,0),
0
),
0
)</f>
        <v>0</v>
      </c>
      <c r="N73" s="264">
        <f t="shared" ref="N73:N104" si="689">IFERROR(
IF(AND(LEN(TRIM(B72))&gt;0,LEN(TRIM(C72))&gt;0),
D73*N72/(26*8),
0
),
0
)</f>
        <v>0</v>
      </c>
      <c r="O73" s="264">
        <f t="shared" ref="O73:O104" si="690">IFERROR(
IF(AND(LEN(TRIM(B72))&gt;0,LEN(TRIM(C72))&gt;0),
D73*O72/(26*8),
0
),
0
)</f>
        <v>0</v>
      </c>
      <c r="P73" s="264">
        <f t="shared" ref="P73:P104" si="691">IFERROR(
IF(AND(LEN(TRIM(B72))&gt;0,LEN(TRIM(C72))&gt;0),
(D73/26/8*P72),
0
),
0
)</f>
        <v>0</v>
      </c>
      <c r="Q73" s="56">
        <f>IFERROR(
IF(AND(LEN(TRIM(B72))&gt;0,LEN(TRIM(C72))&gt;0),
'Bang TH nop'!BC73,
0
),
0
)</f>
        <v>0</v>
      </c>
      <c r="R73" s="263">
        <f>IFERROR(
IF(AND(LEN(TRIM(B72))&gt;0,LEN(TRIM(C72))&gt;0),
'Bang TH nop'!BD73,
0
),
0
)</f>
        <v>0</v>
      </c>
      <c r="S73" s="263">
        <f>IFERROR(
IF(AND(LEN(TRIM(B72))&gt;0,LEN(TRIM(C72))&gt;0),
'Bang TH nop'!BJ73,
0
),
0
)</f>
        <v>0</v>
      </c>
      <c r="T73" s="263">
        <f>IFERROR(
IF(AND(LEN(TRIM(B72))&gt;0,LEN(TRIM(C72))&gt;0),
'Bang TH nop'!AW73,
0
),
0
)</f>
        <v>0</v>
      </c>
      <c r="U73" s="264">
        <f t="shared" ref="U73:U104" si="692">IFERROR(
IF(AND(LEN(TRIM(B72))&gt;0,LEN(TRIM(C72))&gt;0),
D73/26/8*U72,
0
),
0
)</f>
        <v>0</v>
      </c>
      <c r="V73" s="264"/>
      <c r="W73" s="264"/>
      <c r="X73" s="263">
        <f t="shared" ref="X73:X104" si="693">+IF(G73-I73&lt;0,0,G73-I73)</f>
        <v>0</v>
      </c>
      <c r="Y73" s="263">
        <f t="shared" ref="Y73:Y104" si="694">+IF(H73-J73&lt;0,0, H73-J73)</f>
        <v>0</v>
      </c>
      <c r="Z73" s="263">
        <f t="shared" ref="Z73" si="695">IFERROR(
IF(AND(LEN(TRIM(B72))&gt;0,LEN(TRIM(C72))&gt;0),
(X73+Y73)*25%,
0
),
0
)</f>
        <v>0</v>
      </c>
      <c r="AA73" s="263">
        <f>IFERROR(
IF(AND(LEN(TRIM(B72))&gt;0,LEN(TRIM(C72))&gt;0),
'Bang TH nop'!BG73,
0
),
0
)</f>
        <v>0</v>
      </c>
      <c r="AB73" s="264">
        <f t="shared" ref="AB73" si="696">IFERROR(
IF(AND(LEN(TRIM(B72))&gt;0,LEN(TRIM(C72))&gt;0),
SUM(I73:W73)+IFERROR(Z73,0)+IFERROR(AA73,0),
0
),
0
)</f>
        <v>0</v>
      </c>
      <c r="AC73" s="263">
        <f t="shared" ref="AC73:AC104" si="697">IFERROR(
IF(AND(LEN(TRIM(B72))&gt;0,LEN(TRIM(C72))&gt;0),
IF((26-(IFERROR(I72,0)+IFERROR(K72,0)+IFERROR(L72,0)+IFERROR(M72,0)))&gt;12,0,D73*10.5%),
0
),
0
)</f>
        <v>0</v>
      </c>
      <c r="AD73" s="291">
        <f t="shared" ref="AD73:AD104" si="698">IFERROR(
IF(AND(LEN(TRIM(B72))&gt;0,LEN(TRIM(C72))&gt;0),
ROUND(IF(D73=4939000,D73*0.5%,0),-2),
0
),
0
)</f>
        <v>0</v>
      </c>
      <c r="AE73" s="264">
        <f t="shared" ref="AE73" si="699">IFERROR(
IF(AND(LEN(TRIM(B72))&gt;0,LEN(TRIM(C72))&gt;0),
ROUND(IFERROR(AB73,0)-IFERROR(AC73,0)-IFERROR(AD73,0),-2),
0
),
0
)</f>
        <v>0</v>
      </c>
      <c r="AF73" s="13">
        <f>IFERROR(
IF(AND(LEN(TRIM(B72))&gt;0,LEN(TRIM(C72))&gt;0),
IFERROR('Bang TH nop'!AR73,0)+IFERROR('Bang TH nop'!AU73,0)+IFERROR('Bang TH nop'!BG73,0),
0
),
0
)</f>
        <v>0</v>
      </c>
      <c r="AG73" s="241"/>
      <c r="AH73" s="266"/>
      <c r="AI73" s="174">
        <f t="shared" ref="AI73" si="700">IFERROR(
IF(AND(LEN(TRIM(B72))&gt;0,LEN(TRIM(C72))&gt;0),
AH73/AG73,
0
),
0
)</f>
        <v>0</v>
      </c>
      <c r="AJ73" s="174">
        <f t="shared" ref="AJ73:AJ104" si="701">IFERROR(
IF(AND(LEN(TRIM(B72))&gt;0,LEN(TRIM(C72))&gt;0),
AL73/AF73,
0
),
0
)</f>
        <v>0</v>
      </c>
      <c r="AK73" s="175">
        <f t="shared" ref="AK73" si="702">IFERROR(
IF(AND(LEN(TRIM(B72))&gt;0,LEN(TRIM(C72))&gt;0),
AJ73/AI73,
0
),
0
)</f>
        <v>0</v>
      </c>
      <c r="AL73" s="176">
        <f t="shared" ref="AL73:AL104" si="703">IFERROR(
IF(AND(LEN(TRIM(B72))&gt;0,LEN(TRIM(C72))&gt;0),
AB73/L73,
0
),
0
)</f>
        <v>0</v>
      </c>
    </row>
    <row r="74" spans="1:38" ht="17.100000000000001" customHeight="1">
      <c r="A74" s="305">
        <v>34</v>
      </c>
      <c r="B74" s="307">
        <f>'Bang TH nop'!B75</f>
        <v>0</v>
      </c>
      <c r="C74" s="309">
        <f>IFERROR(IF(LEN(TRIM(B74))&gt;0,'Bang TH nop'!C75,""),"")</f>
        <v>0</v>
      </c>
      <c r="D74" s="311">
        <f>IFERROR(IF(AND(LEN(TRIM(B74))&gt;0,LEN(TRIM(C74))&gt;0),'Bang TH nop'!AO75,""),"")</f>
        <v>0</v>
      </c>
      <c r="E74" s="312"/>
      <c r="F74" s="259"/>
      <c r="G74" s="260"/>
      <c r="H74" s="260"/>
      <c r="I74" s="10">
        <f>IFERROR(IF(AND(LEN(TRIM(B74))&gt;0,LEN(TRIM(C74))&gt;0),'Bang TH nop'!BB75,0),0)</f>
        <v>0</v>
      </c>
      <c r="J74" s="10">
        <f>IFERROR(IF(AND(LEN(TRIM(B74))&gt;0,LEN(TRIM(C74))&gt;0),'Bang TH nop'!AV75,0),0)</f>
        <v>0</v>
      </c>
      <c r="K74" s="10">
        <f>IFERROR(IF(AND(LEN(TRIM(B74))&gt;0,LEN(TRIM(C74))&gt;0),'Bang TH nop'!AR75,0),0)</f>
        <v>0</v>
      </c>
      <c r="L74" s="12">
        <f>IFERROR(IF(AND(LEN(TRIM(B74))&gt;0,LEN(TRIM(C74))&gt;0),'Bang TH nop'!AS75,0),0)</f>
        <v>0</v>
      </c>
      <c r="M74" s="12">
        <f>IFERROR(IF(AND(LEN(TRIM(C74))&gt;0,LEN(TRIM(D74))&gt;0),'Bang TH nop'!AT75,0),0)</f>
        <v>0</v>
      </c>
      <c r="N74" s="12">
        <f>IFERROR(IF(AND(LEN(TRIM(B74))&gt;0,LEN(TRIM(C74))&gt;0),'Bang TH nop'!AU75,0),0)</f>
        <v>0</v>
      </c>
      <c r="O74" s="12">
        <f>IFERROR(IF(AND(LEN(TRIM(B74))&gt;0,LEN(TRIM(C74))&gt;0),'Bang TH nop'!BE75,0),0)</f>
        <v>0</v>
      </c>
      <c r="P74" s="12">
        <f>IFERROR(IF(AND(LEN(TRIM(B75))&gt;0,LEN(TRIM(C74))&gt;0),'Bang TH nop'!AZ75,0),0)</f>
        <v>0</v>
      </c>
      <c r="Q74" s="12"/>
      <c r="R74" s="261"/>
      <c r="S74" s="261"/>
      <c r="T74" s="261"/>
      <c r="U74" s="260"/>
      <c r="V74" s="260"/>
      <c r="W74" s="260"/>
      <c r="X74" s="260"/>
      <c r="Y74" s="260"/>
      <c r="Z74" s="260"/>
      <c r="AA74" s="259" t="str">
        <f>IFERROR(
IF(AND(LEN(TRIM(B74))&gt;0,LEN(TRIM(C74))&gt;0),
'Bang TH nop'!AH75,
0
),
0
)</f>
        <v>A</v>
      </c>
      <c r="AB74" s="11"/>
      <c r="AC74" s="11"/>
      <c r="AD74" s="260"/>
      <c r="AE74" s="11"/>
      <c r="AF74" s="260"/>
      <c r="AG74" s="241"/>
      <c r="AH74" s="286"/>
      <c r="AI74" s="287"/>
      <c r="AJ74" s="288"/>
      <c r="AK74" s="287"/>
      <c r="AL74" s="173"/>
    </row>
    <row r="75" spans="1:38" ht="17.100000000000001" customHeight="1">
      <c r="A75" s="306"/>
      <c r="B75" s="308"/>
      <c r="C75" s="310"/>
      <c r="D75" s="319">
        <f>IFERROR(IF(AND(LEN(TRIM(B74))&gt;0,LEN(TRIM(C74))&gt;0),'Bang TH nop'!AP75,""),"")</f>
        <v>0</v>
      </c>
      <c r="E75" s="320"/>
      <c r="F75" s="55">
        <f>IFERROR(IF(AND(LEN(TRIM(B74))&gt;0,LEN(TRIM(C74))&gt;0),'Bang TH nop'!AL75,0),0)</f>
        <v>0</v>
      </c>
      <c r="G75" s="263">
        <f t="shared" ref="G75:G106" si="704">D75*I74/26</f>
        <v>0</v>
      </c>
      <c r="H75" s="263">
        <f t="shared" ref="H75:H106" si="705">D75*J74*150%/(26*8)</f>
        <v>0</v>
      </c>
      <c r="I75" s="263">
        <f t="shared" ref="I75:I106" si="706">IFERROR(
IF(AND(LEN(TRIM(B74))&gt;0,LEN(TRIM(C74))&gt;0),
IF(((I74-N74)*8+N74*7+J74)=0,0,
F75*680*(((I74-N74)*8+N74*7))/(((I74-N74)*8+N74*7+J74))*$I$4
),
0
),
0
)</f>
        <v>0</v>
      </c>
      <c r="J75" s="263">
        <f t="shared" ref="J75:J106" si="707">IFERROR(
IF(AND(LEN(TRIM(B74))&gt;0,LEN(TRIM(C74))&gt;0),
IF(((I74-N74)*8+N74*7+J74)=0,0,
F75*680*150%*J74/(((I74-N74)*8+N74*7+J74))*$I$4
),
0
),
0
)</f>
        <v>0</v>
      </c>
      <c r="K75" s="264">
        <f t="shared" ref="K75:K106" si="708">IFERROR(
IF(AND(LEN(TRIM(B74))&gt;0,LEN(TRIM(C74))&gt;0),
ROUND(D75/26*K74,0),
0
),
0
)</f>
        <v>0</v>
      </c>
      <c r="L75" s="264">
        <f t="shared" ref="L75:L106" si="709">IFERROR(
IF(AND(LEN(TRIM(B74))&gt;0,LEN(TRIM(C74))&gt;0),
ROUND(D75/26*L74,0),
0
),
0
)</f>
        <v>0</v>
      </c>
      <c r="M75" s="264">
        <f t="shared" ref="M75:M106" si="710">IFERROR(
IF(AND(LEN(TRIM(B74))&gt;0,LEN(TRIM(C74))&gt;0),
ROUND(D75/26*M74,0),
0
),
0
)</f>
        <v>0</v>
      </c>
      <c r="N75" s="264">
        <f t="shared" ref="N75:N106" si="711">IFERROR(
IF(AND(LEN(TRIM(B74))&gt;0,LEN(TRIM(C74))&gt;0),
D75*N74/(26*8),
0
),
0
)</f>
        <v>0</v>
      </c>
      <c r="O75" s="264">
        <f t="shared" ref="O75:O106" si="712">IFERROR(
IF(AND(LEN(TRIM(B74))&gt;0,LEN(TRIM(C74))&gt;0),
D75*O74/(26*8),
0
),
0
)</f>
        <v>0</v>
      </c>
      <c r="P75" s="264">
        <f t="shared" ref="P75:P106" si="713">IFERROR(
IF(AND(LEN(TRIM(B74))&gt;0,LEN(TRIM(C74))&gt;0),
(D75/26/8*P74),
0
),
0
)</f>
        <v>0</v>
      </c>
      <c r="Q75" s="56">
        <f>IFERROR(
IF(AND(LEN(TRIM(B74))&gt;0,LEN(TRIM(C74))&gt;0),
'Bang TH nop'!BC75,
0
),
0
)</f>
        <v>0</v>
      </c>
      <c r="R75" s="263">
        <f>IFERROR(
IF(AND(LEN(TRIM(B74))&gt;0,LEN(TRIM(C74))&gt;0),
'Bang TH nop'!BD75,
0
),
0
)</f>
        <v>0</v>
      </c>
      <c r="S75" s="263">
        <f>IFERROR(
IF(AND(LEN(TRIM(B74))&gt;0,LEN(TRIM(C74))&gt;0),
'Bang TH nop'!BJ75,
0
),
0
)</f>
        <v>0</v>
      </c>
      <c r="T75" s="263">
        <f>IFERROR(
IF(AND(LEN(TRIM(B74))&gt;0,LEN(TRIM(C74))&gt;0),
'Bang TH nop'!AW75,
0
),
0
)</f>
        <v>0</v>
      </c>
      <c r="U75" s="264">
        <f t="shared" ref="U75:U106" si="714">IFERROR(
IF(AND(LEN(TRIM(B74))&gt;0,LEN(TRIM(C74))&gt;0),
D75/26/8*U74,
0
),
0
)</f>
        <v>0</v>
      </c>
      <c r="V75" s="264"/>
      <c r="W75" s="264"/>
      <c r="X75" s="263">
        <f t="shared" ref="X75:X106" si="715">+IF(G75-I75&lt;0,0,G75-I75)</f>
        <v>0</v>
      </c>
      <c r="Y75" s="263">
        <f t="shared" ref="Y75:Y106" si="716">+IF(H75-J75&lt;0,0, H75-J75)</f>
        <v>0</v>
      </c>
      <c r="Z75" s="263">
        <f t="shared" ref="Z75" si="717">IFERROR(
IF(AND(LEN(TRIM(B74))&gt;0,LEN(TRIM(C74))&gt;0),
(X75+Y75)*25%,
0
),
0
)</f>
        <v>0</v>
      </c>
      <c r="AA75" s="263">
        <f>IFERROR(
IF(AND(LEN(TRIM(B74))&gt;0,LEN(TRIM(C74))&gt;0),
'Bang TH nop'!BG75,
0
),
0
)</f>
        <v>0</v>
      </c>
      <c r="AB75" s="264">
        <f t="shared" ref="AB75" si="718">IFERROR(
IF(AND(LEN(TRIM(B74))&gt;0,LEN(TRIM(C74))&gt;0),
SUM(I75:W75)+IFERROR(Z75,0)+IFERROR(AA75,0),
0
),
0
)</f>
        <v>0</v>
      </c>
      <c r="AC75" s="263">
        <f t="shared" ref="AC75:AC106" si="719">IFERROR(
IF(AND(LEN(TRIM(B74))&gt;0,LEN(TRIM(C74))&gt;0),
IF((26-(IFERROR(I74,0)+IFERROR(K74,0)+IFERROR(L74,0)+IFERROR(M74,0)))&gt;12,0,D75*10.5%),
0
),
0
)</f>
        <v>0</v>
      </c>
      <c r="AD75" s="291">
        <f t="shared" ref="AD75:AD106" si="720">IFERROR(
IF(AND(LEN(TRIM(B74))&gt;0,LEN(TRIM(C74))&gt;0),
ROUND(IF(D75=4939000,D75*0.5%,0),-2),
0
),
0
)</f>
        <v>0</v>
      </c>
      <c r="AE75" s="264">
        <f t="shared" ref="AE75" si="721">IFERROR(
IF(AND(LEN(TRIM(B74))&gt;0,LEN(TRIM(C74))&gt;0),
ROUND(IFERROR(AB75,0)-IFERROR(AC75,0)-IFERROR(AD75,0),-2),
0
),
0
)</f>
        <v>0</v>
      </c>
      <c r="AF75" s="13">
        <f>IFERROR(
IF(AND(LEN(TRIM(B74))&gt;0,LEN(TRIM(C74))&gt;0),
IFERROR('Bang TH nop'!AR75,0)+IFERROR('Bang TH nop'!AU75,0)+IFERROR('Bang TH nop'!BG75,0),
0
),
0
)</f>
        <v>0</v>
      </c>
      <c r="AG75" s="241"/>
      <c r="AH75" s="266"/>
      <c r="AI75" s="174">
        <f t="shared" ref="AI75" si="722">IFERROR(
IF(AND(LEN(TRIM(B74))&gt;0,LEN(TRIM(C74))&gt;0),
AH75/AG75,
0
),
0
)</f>
        <v>0</v>
      </c>
      <c r="AJ75" s="174">
        <f t="shared" ref="AJ75:AJ106" si="723">IFERROR(
IF(AND(LEN(TRIM(B74))&gt;0,LEN(TRIM(C74))&gt;0),
AL75/AF75,
0
),
0
)</f>
        <v>0</v>
      </c>
      <c r="AK75" s="175">
        <f t="shared" ref="AK75" si="724">IFERROR(
IF(AND(LEN(TRIM(B74))&gt;0,LEN(TRIM(C74))&gt;0),
AJ75/AI75,
0
),
0
)</f>
        <v>0</v>
      </c>
      <c r="AL75" s="176">
        <f t="shared" ref="AL75:AL106" si="725">IFERROR(
IF(AND(LEN(TRIM(B74))&gt;0,LEN(TRIM(C74))&gt;0),
AB75/L75,
0
),
0
)</f>
        <v>0</v>
      </c>
    </row>
    <row r="76" spans="1:38" ht="17.100000000000001" customHeight="1">
      <c r="A76" s="305">
        <v>35</v>
      </c>
      <c r="B76" s="307">
        <f>'Bang TH nop'!B77</f>
        <v>0</v>
      </c>
      <c r="C76" s="309">
        <f>IFERROR(IF(LEN(TRIM(B76))&gt;0,'Bang TH nop'!C77,""),"")</f>
        <v>0</v>
      </c>
      <c r="D76" s="311">
        <f>IFERROR(IF(AND(LEN(TRIM(B76))&gt;0,LEN(TRIM(C76))&gt;0),'Bang TH nop'!AO77,""),"")</f>
        <v>0</v>
      </c>
      <c r="E76" s="312"/>
      <c r="F76" s="259"/>
      <c r="G76" s="260"/>
      <c r="H76" s="260"/>
      <c r="I76" s="10">
        <f>IFERROR(IF(AND(LEN(TRIM(B76))&gt;0,LEN(TRIM(C76))&gt;0),'Bang TH nop'!BB77,0),0)</f>
        <v>0</v>
      </c>
      <c r="J76" s="10">
        <f>IFERROR(IF(AND(LEN(TRIM(B76))&gt;0,LEN(TRIM(C76))&gt;0),'Bang TH nop'!AV77,0),0)</f>
        <v>0</v>
      </c>
      <c r="K76" s="10">
        <f>IFERROR(IF(AND(LEN(TRIM(B76))&gt;0,LEN(TRIM(C76))&gt;0),'Bang TH nop'!AR77,0),0)</f>
        <v>0</v>
      </c>
      <c r="L76" s="12">
        <f>IFERROR(IF(AND(LEN(TRIM(B76))&gt;0,LEN(TRIM(C76))&gt;0),'Bang TH nop'!AS77,0),0)</f>
        <v>0</v>
      </c>
      <c r="M76" s="12">
        <f>IFERROR(IF(AND(LEN(TRIM(C76))&gt;0,LEN(TRIM(D76))&gt;0),'Bang TH nop'!AT77,0),0)</f>
        <v>0</v>
      </c>
      <c r="N76" s="12">
        <f>IFERROR(IF(AND(LEN(TRIM(B76))&gt;0,LEN(TRIM(C76))&gt;0),'Bang TH nop'!AU77,0),0)</f>
        <v>0</v>
      </c>
      <c r="O76" s="12">
        <f>IFERROR(IF(AND(LEN(TRIM(B76))&gt;0,LEN(TRIM(C76))&gt;0),'Bang TH nop'!BE77,0),0)</f>
        <v>0</v>
      </c>
      <c r="P76" s="12">
        <f>IFERROR(IF(AND(LEN(TRIM(B77))&gt;0,LEN(TRIM(C76))&gt;0),'Bang TH nop'!AZ77,0),0)</f>
        <v>0</v>
      </c>
      <c r="Q76" s="12"/>
      <c r="R76" s="261"/>
      <c r="S76" s="261"/>
      <c r="T76" s="261"/>
      <c r="U76" s="260"/>
      <c r="V76" s="260"/>
      <c r="W76" s="260"/>
      <c r="X76" s="260"/>
      <c r="Y76" s="260"/>
      <c r="Z76" s="260"/>
      <c r="AA76" s="259" t="str">
        <f>IFERROR(
IF(AND(LEN(TRIM(B76))&gt;0,LEN(TRIM(C76))&gt;0),
'Bang TH nop'!AH77,
0
),
0
)</f>
        <v>A</v>
      </c>
      <c r="AB76" s="11"/>
      <c r="AC76" s="11"/>
      <c r="AD76" s="260"/>
      <c r="AE76" s="11"/>
      <c r="AF76" s="260"/>
      <c r="AG76" s="241"/>
      <c r="AH76" s="286"/>
      <c r="AI76" s="287"/>
      <c r="AJ76" s="288"/>
      <c r="AK76" s="287"/>
      <c r="AL76" s="173"/>
    </row>
    <row r="77" spans="1:38" ht="17.100000000000001" customHeight="1">
      <c r="A77" s="306"/>
      <c r="B77" s="308"/>
      <c r="C77" s="310"/>
      <c r="D77" s="319">
        <f>IFERROR(IF(AND(LEN(TRIM(B76))&gt;0,LEN(TRIM(C76))&gt;0),'Bang TH nop'!AP77,""),"")</f>
        <v>0</v>
      </c>
      <c r="E77" s="320"/>
      <c r="F77" s="55">
        <f>IFERROR(IF(AND(LEN(TRIM(B76))&gt;0,LEN(TRIM(C76))&gt;0),'Bang TH nop'!AL77,0),0)</f>
        <v>0</v>
      </c>
      <c r="G77" s="263">
        <f t="shared" ref="G77:G108" si="726">D77*I76/26</f>
        <v>0</v>
      </c>
      <c r="H77" s="263">
        <f t="shared" ref="H77:H108" si="727">D77*J76*150%/(26*8)</f>
        <v>0</v>
      </c>
      <c r="I77" s="263">
        <f t="shared" ref="I77:I108" si="728">IFERROR(
IF(AND(LEN(TRIM(B76))&gt;0,LEN(TRIM(C76))&gt;0),
IF(((I76-N76)*8+N76*7+J76)=0,0,
F77*680*(((I76-N76)*8+N76*7))/(((I76-N76)*8+N76*7+J76))*$I$4
),
0
),
0
)</f>
        <v>0</v>
      </c>
      <c r="J77" s="263">
        <f t="shared" ref="J77:J108" si="729">IFERROR(
IF(AND(LEN(TRIM(B76))&gt;0,LEN(TRIM(C76))&gt;0),
IF(((I76-N76)*8+N76*7+J76)=0,0,
F77*680*150%*J76/(((I76-N76)*8+N76*7+J76))*$I$4
),
0
),
0
)</f>
        <v>0</v>
      </c>
      <c r="K77" s="264">
        <f t="shared" ref="K77:K108" si="730">IFERROR(
IF(AND(LEN(TRIM(B76))&gt;0,LEN(TRIM(C76))&gt;0),
ROUND(D77/26*K76,0),
0
),
0
)</f>
        <v>0</v>
      </c>
      <c r="L77" s="264">
        <f t="shared" ref="L77:L108" si="731">IFERROR(
IF(AND(LEN(TRIM(B76))&gt;0,LEN(TRIM(C76))&gt;0),
ROUND(D77/26*L76,0),
0
),
0
)</f>
        <v>0</v>
      </c>
      <c r="M77" s="264">
        <f t="shared" ref="M77:M108" si="732">IFERROR(
IF(AND(LEN(TRIM(B76))&gt;0,LEN(TRIM(C76))&gt;0),
ROUND(D77/26*M76,0),
0
),
0
)</f>
        <v>0</v>
      </c>
      <c r="N77" s="264">
        <f t="shared" ref="N77:N108" si="733">IFERROR(
IF(AND(LEN(TRIM(B76))&gt;0,LEN(TRIM(C76))&gt;0),
D77*N76/(26*8),
0
),
0
)</f>
        <v>0</v>
      </c>
      <c r="O77" s="264">
        <f t="shared" ref="O77:O108" si="734">IFERROR(
IF(AND(LEN(TRIM(B76))&gt;0,LEN(TRIM(C76))&gt;0),
D77*O76/(26*8),
0
),
0
)</f>
        <v>0</v>
      </c>
      <c r="P77" s="264">
        <f t="shared" ref="P77:P108" si="735">IFERROR(
IF(AND(LEN(TRIM(B76))&gt;0,LEN(TRIM(C76))&gt;0),
(D77/26/8*P76),
0
),
0
)</f>
        <v>0</v>
      </c>
      <c r="Q77" s="56">
        <f>IFERROR(
IF(AND(LEN(TRIM(B76))&gt;0,LEN(TRIM(C76))&gt;0),
'Bang TH nop'!BC77,
0
),
0
)</f>
        <v>0</v>
      </c>
      <c r="R77" s="263">
        <f>IFERROR(
IF(AND(LEN(TRIM(B76))&gt;0,LEN(TRIM(C76))&gt;0),
'Bang TH nop'!BD77,
0
),
0
)</f>
        <v>0</v>
      </c>
      <c r="S77" s="263">
        <f>IFERROR(
IF(AND(LEN(TRIM(B76))&gt;0,LEN(TRIM(C76))&gt;0),
'Bang TH nop'!BJ77,
0
),
0
)</f>
        <v>0</v>
      </c>
      <c r="T77" s="263">
        <f>IFERROR(
IF(AND(LEN(TRIM(B76))&gt;0,LEN(TRIM(C76))&gt;0),
'Bang TH nop'!AW77,
0
),
0
)</f>
        <v>0</v>
      </c>
      <c r="U77" s="264">
        <f t="shared" ref="U77:U108" si="736">IFERROR(
IF(AND(LEN(TRIM(B76))&gt;0,LEN(TRIM(C76))&gt;0),
D77/26/8*U76,
0
),
0
)</f>
        <v>0</v>
      </c>
      <c r="V77" s="264"/>
      <c r="W77" s="264"/>
      <c r="X77" s="263">
        <f t="shared" ref="X77:X108" si="737">+IF(G77-I77&lt;0,0,G77-I77)</f>
        <v>0</v>
      </c>
      <c r="Y77" s="263">
        <f t="shared" ref="Y77:Y108" si="738">+IF(H77-J77&lt;0,0, H77-J77)</f>
        <v>0</v>
      </c>
      <c r="Z77" s="263">
        <f t="shared" ref="Z77" si="739">IFERROR(
IF(AND(LEN(TRIM(B76))&gt;0,LEN(TRIM(C76))&gt;0),
(X77+Y77)*25%,
0
),
0
)</f>
        <v>0</v>
      </c>
      <c r="AA77" s="263">
        <f>IFERROR(
IF(AND(LEN(TRIM(B76))&gt;0,LEN(TRIM(C76))&gt;0),
'Bang TH nop'!BG77,
0
),
0
)</f>
        <v>0</v>
      </c>
      <c r="AB77" s="264">
        <f t="shared" ref="AB77" si="740">IFERROR(
IF(AND(LEN(TRIM(B76))&gt;0,LEN(TRIM(C76))&gt;0),
SUM(I77:W77)+IFERROR(Z77,0)+IFERROR(AA77,0),
0
),
0
)</f>
        <v>0</v>
      </c>
      <c r="AC77" s="263">
        <f t="shared" ref="AC77:AC108" si="741">IFERROR(
IF(AND(LEN(TRIM(B76))&gt;0,LEN(TRIM(C76))&gt;0),
IF((26-(IFERROR(I76,0)+IFERROR(K76,0)+IFERROR(L76,0)+IFERROR(M76,0)))&gt;12,0,D77*10.5%),
0
),
0
)</f>
        <v>0</v>
      </c>
      <c r="AD77" s="291">
        <f t="shared" ref="AD77:AD108" si="742">IFERROR(
IF(AND(LEN(TRIM(B76))&gt;0,LEN(TRIM(C76))&gt;0),
ROUND(IF(D77=4939000,D77*0.5%,0),-2),
0
),
0
)</f>
        <v>0</v>
      </c>
      <c r="AE77" s="264">
        <f t="shared" ref="AE77" si="743">IFERROR(
IF(AND(LEN(TRIM(B76))&gt;0,LEN(TRIM(C76))&gt;0),
ROUND(IFERROR(AB77,0)-IFERROR(AC77,0)-IFERROR(AD77,0),-2),
0
),
0
)</f>
        <v>0</v>
      </c>
      <c r="AF77" s="13">
        <f>IFERROR(
IF(AND(LEN(TRIM(B76))&gt;0,LEN(TRIM(C76))&gt;0),
IFERROR('Bang TH nop'!AR77,0)+IFERROR('Bang TH nop'!AU77,0)+IFERROR('Bang TH nop'!BG77,0),
0
),
0
)</f>
        <v>0</v>
      </c>
      <c r="AG77" s="241"/>
      <c r="AH77" s="266"/>
      <c r="AI77" s="174">
        <f t="shared" ref="AI77" si="744">IFERROR(
IF(AND(LEN(TRIM(B76))&gt;0,LEN(TRIM(C76))&gt;0),
AH77/AG77,
0
),
0
)</f>
        <v>0</v>
      </c>
      <c r="AJ77" s="174">
        <f t="shared" ref="AJ77:AJ108" si="745">IFERROR(
IF(AND(LEN(TRIM(B76))&gt;0,LEN(TRIM(C76))&gt;0),
AL77/AF77,
0
),
0
)</f>
        <v>0</v>
      </c>
      <c r="AK77" s="175">
        <f t="shared" ref="AK77" si="746">IFERROR(
IF(AND(LEN(TRIM(B76))&gt;0,LEN(TRIM(C76))&gt;0),
AJ77/AI77,
0
),
0
)</f>
        <v>0</v>
      </c>
      <c r="AL77" s="176">
        <f t="shared" ref="AL77:AL108" si="747">IFERROR(
IF(AND(LEN(TRIM(B76))&gt;0,LEN(TRIM(C76))&gt;0),
AB77/L77,
0
),
0
)</f>
        <v>0</v>
      </c>
    </row>
    <row r="78" spans="1:38" ht="17.100000000000001" customHeight="1">
      <c r="A78" s="305">
        <v>36</v>
      </c>
      <c r="B78" s="307">
        <f>'Bang TH nop'!B79</f>
        <v>0</v>
      </c>
      <c r="C78" s="309">
        <f>IFERROR(IF(LEN(TRIM(B78))&gt;0,'Bang TH nop'!C79,""),"")</f>
        <v>0</v>
      </c>
      <c r="D78" s="311">
        <f>IFERROR(IF(AND(LEN(TRIM(B78))&gt;0,LEN(TRIM(C78))&gt;0),'Bang TH nop'!AO79,""),"")</f>
        <v>0</v>
      </c>
      <c r="E78" s="312"/>
      <c r="F78" s="259"/>
      <c r="G78" s="260"/>
      <c r="H78" s="260"/>
      <c r="I78" s="10">
        <f>IFERROR(IF(AND(LEN(TRIM(B78))&gt;0,LEN(TRIM(C78))&gt;0),'Bang TH nop'!BB79,0),0)</f>
        <v>0</v>
      </c>
      <c r="J78" s="10">
        <f>IFERROR(IF(AND(LEN(TRIM(B78))&gt;0,LEN(TRIM(C78))&gt;0),'Bang TH nop'!AV79,0),0)</f>
        <v>0</v>
      </c>
      <c r="K78" s="10">
        <f>IFERROR(IF(AND(LEN(TRIM(B78))&gt;0,LEN(TRIM(C78))&gt;0),'Bang TH nop'!AR79,0),0)</f>
        <v>0</v>
      </c>
      <c r="L78" s="12">
        <f>IFERROR(IF(AND(LEN(TRIM(B78))&gt;0,LEN(TRIM(C78))&gt;0),'Bang TH nop'!AS79,0),0)</f>
        <v>0</v>
      </c>
      <c r="M78" s="12">
        <f>IFERROR(IF(AND(LEN(TRIM(C78))&gt;0,LEN(TRIM(D78))&gt;0),'Bang TH nop'!AT79,0),0)</f>
        <v>0</v>
      </c>
      <c r="N78" s="12">
        <f>IFERROR(IF(AND(LEN(TRIM(B78))&gt;0,LEN(TRIM(C78))&gt;0),'Bang TH nop'!AU79,0),0)</f>
        <v>0</v>
      </c>
      <c r="O78" s="12">
        <f>IFERROR(IF(AND(LEN(TRIM(B78))&gt;0,LEN(TRIM(C78))&gt;0),'Bang TH nop'!BE79,0),0)</f>
        <v>0</v>
      </c>
      <c r="P78" s="12">
        <f>IFERROR(IF(AND(LEN(TRIM(B79))&gt;0,LEN(TRIM(C78))&gt;0),'Bang TH nop'!AZ79,0),0)</f>
        <v>0</v>
      </c>
      <c r="Q78" s="12"/>
      <c r="R78" s="261"/>
      <c r="S78" s="261"/>
      <c r="T78" s="261"/>
      <c r="U78" s="260"/>
      <c r="V78" s="260"/>
      <c r="W78" s="260"/>
      <c r="X78" s="260"/>
      <c r="Y78" s="260"/>
      <c r="Z78" s="260"/>
      <c r="AA78" s="259" t="str">
        <f>IFERROR(
IF(AND(LEN(TRIM(B78))&gt;0,LEN(TRIM(C78))&gt;0),
'Bang TH nop'!AH79,
0
),
0
)</f>
        <v>A</v>
      </c>
      <c r="AB78" s="11"/>
      <c r="AC78" s="11"/>
      <c r="AD78" s="260"/>
      <c r="AE78" s="11"/>
      <c r="AF78" s="260"/>
      <c r="AG78" s="241"/>
      <c r="AH78" s="286"/>
      <c r="AI78" s="287"/>
      <c r="AJ78" s="288"/>
      <c r="AK78" s="287"/>
      <c r="AL78" s="173"/>
    </row>
    <row r="79" spans="1:38" ht="17.100000000000001" customHeight="1">
      <c r="A79" s="306"/>
      <c r="B79" s="308"/>
      <c r="C79" s="310"/>
      <c r="D79" s="319">
        <f>IFERROR(IF(AND(LEN(TRIM(B78))&gt;0,LEN(TRIM(C78))&gt;0),'Bang TH nop'!AP79,""),"")</f>
        <v>0</v>
      </c>
      <c r="E79" s="320"/>
      <c r="F79" s="55">
        <f>IFERROR(IF(AND(LEN(TRIM(B78))&gt;0,LEN(TRIM(C78))&gt;0),'Bang TH nop'!AL79,0),0)</f>
        <v>0</v>
      </c>
      <c r="G79" s="263">
        <f t="shared" ref="G79:G110" si="748">D79*I78/26</f>
        <v>0</v>
      </c>
      <c r="H79" s="263">
        <f t="shared" ref="H79:H110" si="749">D79*J78*150%/(26*8)</f>
        <v>0</v>
      </c>
      <c r="I79" s="263">
        <f t="shared" ref="I79:I110" si="750">IFERROR(
IF(AND(LEN(TRIM(B78))&gt;0,LEN(TRIM(C78))&gt;0),
IF(((I78-N78)*8+N78*7+J78)=0,0,
F79*680*(((I78-N78)*8+N78*7))/(((I78-N78)*8+N78*7+J78))*$I$4
),
0
),
0
)</f>
        <v>0</v>
      </c>
      <c r="J79" s="263">
        <f t="shared" ref="J79:J110" si="751">IFERROR(
IF(AND(LEN(TRIM(B78))&gt;0,LEN(TRIM(C78))&gt;0),
IF(((I78-N78)*8+N78*7+J78)=0,0,
F79*680*150%*J78/(((I78-N78)*8+N78*7+J78))*$I$4
),
0
),
0
)</f>
        <v>0</v>
      </c>
      <c r="K79" s="264">
        <f t="shared" ref="K79:K110" si="752">IFERROR(
IF(AND(LEN(TRIM(B78))&gt;0,LEN(TRIM(C78))&gt;0),
ROUND(D79/26*K78,0),
0
),
0
)</f>
        <v>0</v>
      </c>
      <c r="L79" s="264">
        <f t="shared" ref="L79:L110" si="753">IFERROR(
IF(AND(LEN(TRIM(B78))&gt;0,LEN(TRIM(C78))&gt;0),
ROUND(D79/26*L78,0),
0
),
0
)</f>
        <v>0</v>
      </c>
      <c r="M79" s="264">
        <f t="shared" ref="M79:M110" si="754">IFERROR(
IF(AND(LEN(TRIM(B78))&gt;0,LEN(TRIM(C78))&gt;0),
ROUND(D79/26*M78,0),
0
),
0
)</f>
        <v>0</v>
      </c>
      <c r="N79" s="264">
        <f t="shared" ref="N79:N110" si="755">IFERROR(
IF(AND(LEN(TRIM(B78))&gt;0,LEN(TRIM(C78))&gt;0),
D79*N78/(26*8),
0
),
0
)</f>
        <v>0</v>
      </c>
      <c r="O79" s="264">
        <f t="shared" ref="O79:O110" si="756">IFERROR(
IF(AND(LEN(TRIM(B78))&gt;0,LEN(TRIM(C78))&gt;0),
D79*O78/(26*8),
0
),
0
)</f>
        <v>0</v>
      </c>
      <c r="P79" s="264">
        <f t="shared" ref="P79:P110" si="757">IFERROR(
IF(AND(LEN(TRIM(B78))&gt;0,LEN(TRIM(C78))&gt;0),
(D79/26/8*P78),
0
),
0
)</f>
        <v>0</v>
      </c>
      <c r="Q79" s="56">
        <f>IFERROR(
IF(AND(LEN(TRIM(B78))&gt;0,LEN(TRIM(C78))&gt;0),
'Bang TH nop'!BC79,
0
),
0
)</f>
        <v>0</v>
      </c>
      <c r="R79" s="263">
        <f>IFERROR(
IF(AND(LEN(TRIM(B78))&gt;0,LEN(TRIM(C78))&gt;0),
'Bang TH nop'!BD79,
0
),
0
)</f>
        <v>0</v>
      </c>
      <c r="S79" s="263">
        <f>IFERROR(
IF(AND(LEN(TRIM(B78))&gt;0,LEN(TRIM(C78))&gt;0),
'Bang TH nop'!BJ79,
0
),
0
)</f>
        <v>0</v>
      </c>
      <c r="T79" s="263">
        <f>IFERROR(
IF(AND(LEN(TRIM(B78))&gt;0,LEN(TRIM(C78))&gt;0),
'Bang TH nop'!AW79,
0
),
0
)</f>
        <v>0</v>
      </c>
      <c r="U79" s="264">
        <f t="shared" ref="U79:U110" si="758">IFERROR(
IF(AND(LEN(TRIM(B78))&gt;0,LEN(TRIM(C78))&gt;0),
D79/26/8*U78,
0
),
0
)</f>
        <v>0</v>
      </c>
      <c r="V79" s="264"/>
      <c r="W79" s="264"/>
      <c r="X79" s="263">
        <f t="shared" ref="X79:X110" si="759">+IF(G79-I79&lt;0,0,G79-I79)</f>
        <v>0</v>
      </c>
      <c r="Y79" s="263">
        <f t="shared" ref="Y79:Y110" si="760">+IF(H79-J79&lt;0,0, H79-J79)</f>
        <v>0</v>
      </c>
      <c r="Z79" s="263">
        <f t="shared" ref="Z79" si="761">IFERROR(
IF(AND(LEN(TRIM(B78))&gt;0,LEN(TRIM(C78))&gt;0),
(X79+Y79)*25%,
0
),
0
)</f>
        <v>0</v>
      </c>
      <c r="AA79" s="263">
        <f>IFERROR(
IF(AND(LEN(TRIM(B78))&gt;0,LEN(TRIM(C78))&gt;0),
'Bang TH nop'!BG79,
0
),
0
)</f>
        <v>0</v>
      </c>
      <c r="AB79" s="264">
        <f t="shared" ref="AB79" si="762">IFERROR(
IF(AND(LEN(TRIM(B78))&gt;0,LEN(TRIM(C78))&gt;0),
SUM(I79:W79)+IFERROR(Z79,0)+IFERROR(AA79,0),
0
),
0
)</f>
        <v>0</v>
      </c>
      <c r="AC79" s="263">
        <f t="shared" ref="AC79:AC110" si="763">IFERROR(
IF(AND(LEN(TRIM(B78))&gt;0,LEN(TRIM(C78))&gt;0),
IF((26-(IFERROR(I78,0)+IFERROR(K78,0)+IFERROR(L78,0)+IFERROR(M78,0)))&gt;12,0,D79*10.5%),
0
),
0
)</f>
        <v>0</v>
      </c>
      <c r="AD79" s="291">
        <f t="shared" ref="AD79:AD110" si="764">IFERROR(
IF(AND(LEN(TRIM(B78))&gt;0,LEN(TRIM(C78))&gt;0),
ROUND(IF(D79=4939000,D79*0.5%,0),-2),
0
),
0
)</f>
        <v>0</v>
      </c>
      <c r="AE79" s="264">
        <f t="shared" ref="AE79" si="765">IFERROR(
IF(AND(LEN(TRIM(B78))&gt;0,LEN(TRIM(C78))&gt;0),
ROUND(IFERROR(AB79,0)-IFERROR(AC79,0)-IFERROR(AD79,0),-2),
0
),
0
)</f>
        <v>0</v>
      </c>
      <c r="AF79" s="13">
        <f>IFERROR(
IF(AND(LEN(TRIM(B78))&gt;0,LEN(TRIM(C78))&gt;0),
IFERROR('Bang TH nop'!AR79,0)+IFERROR('Bang TH nop'!AU79,0)+IFERROR('Bang TH nop'!BG79,0),
0
),
0
)</f>
        <v>0</v>
      </c>
      <c r="AG79" s="241"/>
      <c r="AH79" s="266"/>
      <c r="AI79" s="174">
        <f t="shared" ref="AI79" si="766">IFERROR(
IF(AND(LEN(TRIM(B78))&gt;0,LEN(TRIM(C78))&gt;0),
AH79/AG79,
0
),
0
)</f>
        <v>0</v>
      </c>
      <c r="AJ79" s="174">
        <f t="shared" ref="AJ79:AJ110" si="767">IFERROR(
IF(AND(LEN(TRIM(B78))&gt;0,LEN(TRIM(C78))&gt;0),
AL79/AF79,
0
),
0
)</f>
        <v>0</v>
      </c>
      <c r="AK79" s="175">
        <f t="shared" ref="AK79" si="768">IFERROR(
IF(AND(LEN(TRIM(B78))&gt;0,LEN(TRIM(C78))&gt;0),
AJ79/AI79,
0
),
0
)</f>
        <v>0</v>
      </c>
      <c r="AL79" s="176">
        <f t="shared" ref="AL79:AL110" si="769">IFERROR(
IF(AND(LEN(TRIM(B78))&gt;0,LEN(TRIM(C78))&gt;0),
AB79/L79,
0
),
0
)</f>
        <v>0</v>
      </c>
    </row>
    <row r="80" spans="1:38" ht="17.100000000000001" customHeight="1">
      <c r="A80" s="305">
        <v>37</v>
      </c>
      <c r="B80" s="307">
        <f>'Bang TH nop'!B81</f>
        <v>0</v>
      </c>
      <c r="C80" s="309">
        <f>IFERROR(IF(LEN(TRIM(B80))&gt;0,'Bang TH nop'!C81,""),"")</f>
        <v>0</v>
      </c>
      <c r="D80" s="311">
        <f>IFERROR(IF(AND(LEN(TRIM(B80))&gt;0,LEN(TRIM(C80))&gt;0),'Bang TH nop'!AO81,""),"")</f>
        <v>0</v>
      </c>
      <c r="E80" s="312"/>
      <c r="F80" s="259"/>
      <c r="G80" s="260"/>
      <c r="H80" s="260"/>
      <c r="I80" s="10">
        <f>IFERROR(IF(AND(LEN(TRIM(B80))&gt;0,LEN(TRIM(C80))&gt;0),'Bang TH nop'!BB81,0),0)</f>
        <v>0</v>
      </c>
      <c r="J80" s="10">
        <f>IFERROR(IF(AND(LEN(TRIM(B80))&gt;0,LEN(TRIM(C80))&gt;0),'Bang TH nop'!AV81,0),0)</f>
        <v>0</v>
      </c>
      <c r="K80" s="10">
        <f>IFERROR(IF(AND(LEN(TRIM(B80))&gt;0,LEN(TRIM(C80))&gt;0),'Bang TH nop'!AR81,0),0)</f>
        <v>0</v>
      </c>
      <c r="L80" s="12">
        <f>IFERROR(IF(AND(LEN(TRIM(B80))&gt;0,LEN(TRIM(C80))&gt;0),'Bang TH nop'!AS81,0),0)</f>
        <v>0</v>
      </c>
      <c r="M80" s="12">
        <f>IFERROR(IF(AND(LEN(TRIM(C80))&gt;0,LEN(TRIM(D80))&gt;0),'Bang TH nop'!AT81,0),0)</f>
        <v>0</v>
      </c>
      <c r="N80" s="12">
        <f>IFERROR(IF(AND(LEN(TRIM(B80))&gt;0,LEN(TRIM(C80))&gt;0),'Bang TH nop'!AU81,0),0)</f>
        <v>0</v>
      </c>
      <c r="O80" s="12">
        <f>IFERROR(IF(AND(LEN(TRIM(B80))&gt;0,LEN(TRIM(C80))&gt;0),'Bang TH nop'!BE81,0),0)</f>
        <v>0</v>
      </c>
      <c r="P80" s="12">
        <f>IFERROR(IF(AND(LEN(TRIM(B81))&gt;0,LEN(TRIM(C80))&gt;0),'Bang TH nop'!AZ81,0),0)</f>
        <v>0</v>
      </c>
      <c r="Q80" s="12"/>
      <c r="R80" s="261"/>
      <c r="S80" s="261"/>
      <c r="T80" s="261"/>
      <c r="U80" s="260"/>
      <c r="V80" s="260"/>
      <c r="W80" s="260"/>
      <c r="X80" s="260"/>
      <c r="Y80" s="260"/>
      <c r="Z80" s="260"/>
      <c r="AA80" s="259" t="str">
        <f>IFERROR(
IF(AND(LEN(TRIM(B80))&gt;0,LEN(TRIM(C80))&gt;0),
'Bang TH nop'!AH81,
0
),
0
)</f>
        <v>A</v>
      </c>
      <c r="AB80" s="11"/>
      <c r="AC80" s="11"/>
      <c r="AD80" s="260"/>
      <c r="AE80" s="11"/>
      <c r="AF80" s="260"/>
      <c r="AG80" s="241"/>
      <c r="AH80" s="286"/>
      <c r="AI80" s="287"/>
      <c r="AJ80" s="288"/>
      <c r="AK80" s="287"/>
      <c r="AL80" s="173"/>
    </row>
    <row r="81" spans="1:38" ht="17.100000000000001" customHeight="1">
      <c r="A81" s="306"/>
      <c r="B81" s="308"/>
      <c r="C81" s="310"/>
      <c r="D81" s="319">
        <f>IFERROR(IF(AND(LEN(TRIM(B80))&gt;0,LEN(TRIM(C80))&gt;0),'Bang TH nop'!AP81,""),"")</f>
        <v>0</v>
      </c>
      <c r="E81" s="320"/>
      <c r="F81" s="55">
        <f>IFERROR(IF(AND(LEN(TRIM(B80))&gt;0,LEN(TRIM(C80))&gt;0),'Bang TH nop'!AL81,0),0)</f>
        <v>0</v>
      </c>
      <c r="G81" s="263">
        <f t="shared" ref="G81:G112" si="770">D81*I80/26</f>
        <v>0</v>
      </c>
      <c r="H81" s="263">
        <f t="shared" ref="H81:H112" si="771">D81*J80*150%/(26*8)</f>
        <v>0</v>
      </c>
      <c r="I81" s="263">
        <f t="shared" ref="I81:I112" si="772">IFERROR(
IF(AND(LEN(TRIM(B80))&gt;0,LEN(TRIM(C80))&gt;0),
IF(((I80-N80)*8+N80*7+J80)=0,0,
F81*680*(((I80-N80)*8+N80*7))/(((I80-N80)*8+N80*7+J80))*$I$4
),
0
),
0
)</f>
        <v>0</v>
      </c>
      <c r="J81" s="263">
        <f t="shared" ref="J81:J112" si="773">IFERROR(
IF(AND(LEN(TRIM(B80))&gt;0,LEN(TRIM(C80))&gt;0),
IF(((I80-N80)*8+N80*7+J80)=0,0,
F81*680*150%*J80/(((I80-N80)*8+N80*7+J80))*$I$4
),
0
),
0
)</f>
        <v>0</v>
      </c>
      <c r="K81" s="264">
        <f t="shared" ref="K81:K112" si="774">IFERROR(
IF(AND(LEN(TRIM(B80))&gt;0,LEN(TRIM(C80))&gt;0),
ROUND(D81/26*K80,0),
0
),
0
)</f>
        <v>0</v>
      </c>
      <c r="L81" s="264">
        <f t="shared" ref="L81:L112" si="775">IFERROR(
IF(AND(LEN(TRIM(B80))&gt;0,LEN(TRIM(C80))&gt;0),
ROUND(D81/26*L80,0),
0
),
0
)</f>
        <v>0</v>
      </c>
      <c r="M81" s="264">
        <f t="shared" ref="M81:M112" si="776">IFERROR(
IF(AND(LEN(TRIM(B80))&gt;0,LEN(TRIM(C80))&gt;0),
ROUND(D81/26*M80,0),
0
),
0
)</f>
        <v>0</v>
      </c>
      <c r="N81" s="264">
        <f t="shared" ref="N81:N112" si="777">IFERROR(
IF(AND(LEN(TRIM(B80))&gt;0,LEN(TRIM(C80))&gt;0),
D81*N80/(26*8),
0
),
0
)</f>
        <v>0</v>
      </c>
      <c r="O81" s="264">
        <f t="shared" ref="O81:O112" si="778">IFERROR(
IF(AND(LEN(TRIM(B80))&gt;0,LEN(TRIM(C80))&gt;0),
D81*O80/(26*8),
0
),
0
)</f>
        <v>0</v>
      </c>
      <c r="P81" s="264">
        <f t="shared" ref="P81:P112" si="779">IFERROR(
IF(AND(LEN(TRIM(B80))&gt;0,LEN(TRIM(C80))&gt;0),
(D81/26/8*P80),
0
),
0
)</f>
        <v>0</v>
      </c>
      <c r="Q81" s="56">
        <f>IFERROR(
IF(AND(LEN(TRIM(B80))&gt;0,LEN(TRIM(C80))&gt;0),
'Bang TH nop'!BC81,
0
),
0
)</f>
        <v>0</v>
      </c>
      <c r="R81" s="263">
        <f>IFERROR(
IF(AND(LEN(TRIM(B80))&gt;0,LEN(TRIM(C80))&gt;0),
'Bang TH nop'!BD81,
0
),
0
)</f>
        <v>0</v>
      </c>
      <c r="S81" s="263">
        <f>IFERROR(
IF(AND(LEN(TRIM(B80))&gt;0,LEN(TRIM(C80))&gt;0),
'Bang TH nop'!BJ81,
0
),
0
)</f>
        <v>0</v>
      </c>
      <c r="T81" s="263">
        <f>IFERROR(
IF(AND(LEN(TRIM(B80))&gt;0,LEN(TRIM(C80))&gt;0),
'Bang TH nop'!AW81,
0
),
0
)</f>
        <v>0</v>
      </c>
      <c r="U81" s="264">
        <f t="shared" ref="U81:U112" si="780">IFERROR(
IF(AND(LEN(TRIM(B80))&gt;0,LEN(TRIM(C80))&gt;0),
D81/26/8*U80,
0
),
0
)</f>
        <v>0</v>
      </c>
      <c r="V81" s="264"/>
      <c r="W81" s="264"/>
      <c r="X81" s="263">
        <f t="shared" ref="X81:X112" si="781">+IF(G81-I81&lt;0,0,G81-I81)</f>
        <v>0</v>
      </c>
      <c r="Y81" s="263">
        <f t="shared" ref="Y81:Y112" si="782">+IF(H81-J81&lt;0,0, H81-J81)</f>
        <v>0</v>
      </c>
      <c r="Z81" s="263">
        <f t="shared" ref="Z81" si="783">IFERROR(
IF(AND(LEN(TRIM(B80))&gt;0,LEN(TRIM(C80))&gt;0),
(X81+Y81)*25%,
0
),
0
)</f>
        <v>0</v>
      </c>
      <c r="AA81" s="263">
        <f>IFERROR(
IF(AND(LEN(TRIM(B80))&gt;0,LEN(TRIM(C80))&gt;0),
'Bang TH nop'!BG81,
0
),
0
)</f>
        <v>0</v>
      </c>
      <c r="AB81" s="264">
        <f t="shared" ref="AB81" si="784">IFERROR(
IF(AND(LEN(TRIM(B80))&gt;0,LEN(TRIM(C80))&gt;0),
SUM(I81:W81)+IFERROR(Z81,0)+IFERROR(AA81,0),
0
),
0
)</f>
        <v>0</v>
      </c>
      <c r="AC81" s="263">
        <f t="shared" ref="AC81:AC112" si="785">IFERROR(
IF(AND(LEN(TRIM(B80))&gt;0,LEN(TRIM(C80))&gt;0),
IF((26-(IFERROR(I80,0)+IFERROR(K80,0)+IFERROR(L80,0)+IFERROR(M80,0)))&gt;12,0,D81*10.5%),
0
),
0
)</f>
        <v>0</v>
      </c>
      <c r="AD81" s="291">
        <f t="shared" ref="AD81:AD112" si="786">IFERROR(
IF(AND(LEN(TRIM(B80))&gt;0,LEN(TRIM(C80))&gt;0),
ROUND(IF(D81=4939000,D81*0.5%,0),-2),
0
),
0
)</f>
        <v>0</v>
      </c>
      <c r="AE81" s="264">
        <f t="shared" ref="AE81" si="787">IFERROR(
IF(AND(LEN(TRIM(B80))&gt;0,LEN(TRIM(C80))&gt;0),
ROUND(IFERROR(AB81,0)-IFERROR(AC81,0)-IFERROR(AD81,0),-2),
0
),
0
)</f>
        <v>0</v>
      </c>
      <c r="AF81" s="13">
        <f>IFERROR(
IF(AND(LEN(TRIM(B80))&gt;0,LEN(TRIM(C80))&gt;0),
IFERROR('Bang TH nop'!AR81,0)+IFERROR('Bang TH nop'!AU81,0)+IFERROR('Bang TH nop'!BG81,0),
0
),
0
)</f>
        <v>0</v>
      </c>
      <c r="AG81" s="241"/>
      <c r="AH81" s="266"/>
      <c r="AI81" s="174">
        <f t="shared" ref="AI81" si="788">IFERROR(
IF(AND(LEN(TRIM(B80))&gt;0,LEN(TRIM(C80))&gt;0),
AH81/AG81,
0
),
0
)</f>
        <v>0</v>
      </c>
      <c r="AJ81" s="174">
        <f t="shared" ref="AJ81:AJ112" si="789">IFERROR(
IF(AND(LEN(TRIM(B80))&gt;0,LEN(TRIM(C80))&gt;0),
AL81/AF81,
0
),
0
)</f>
        <v>0</v>
      </c>
      <c r="AK81" s="175">
        <f t="shared" ref="AK81" si="790">IFERROR(
IF(AND(LEN(TRIM(B80))&gt;0,LEN(TRIM(C80))&gt;0),
AJ81/AI81,
0
),
0
)</f>
        <v>0</v>
      </c>
      <c r="AL81" s="176">
        <f t="shared" ref="AL81:AL112" si="791">IFERROR(
IF(AND(LEN(TRIM(B80))&gt;0,LEN(TRIM(C80))&gt;0),
AB81/L81,
0
),
0
)</f>
        <v>0</v>
      </c>
    </row>
    <row r="82" spans="1:38" ht="17.100000000000001" customHeight="1">
      <c r="A82" s="305">
        <v>38</v>
      </c>
      <c r="B82" s="307">
        <f>'Bang TH nop'!B83</f>
        <v>0</v>
      </c>
      <c r="C82" s="309">
        <f>IFERROR(IF(LEN(TRIM(B82))&gt;0,'Bang TH nop'!C83,""),"")</f>
        <v>0</v>
      </c>
      <c r="D82" s="311">
        <f>IFERROR(IF(AND(LEN(TRIM(B82))&gt;0,LEN(TRIM(C82))&gt;0),'Bang TH nop'!AO83,""),"")</f>
        <v>0</v>
      </c>
      <c r="E82" s="312"/>
      <c r="F82" s="259"/>
      <c r="G82" s="260"/>
      <c r="H82" s="260"/>
      <c r="I82" s="10">
        <f>IFERROR(IF(AND(LEN(TRIM(B82))&gt;0,LEN(TRIM(C82))&gt;0),'Bang TH nop'!BB83,0),0)</f>
        <v>0</v>
      </c>
      <c r="J82" s="10">
        <f>IFERROR(IF(AND(LEN(TRIM(B82))&gt;0,LEN(TRIM(C82))&gt;0),'Bang TH nop'!AV83,0),0)</f>
        <v>0</v>
      </c>
      <c r="K82" s="10">
        <f>IFERROR(IF(AND(LEN(TRIM(B82))&gt;0,LEN(TRIM(C82))&gt;0),'Bang TH nop'!AR83,0),0)</f>
        <v>0</v>
      </c>
      <c r="L82" s="12">
        <f>IFERROR(IF(AND(LEN(TRIM(B82))&gt;0,LEN(TRIM(C82))&gt;0),'Bang TH nop'!AS83,0),0)</f>
        <v>0</v>
      </c>
      <c r="M82" s="12">
        <f>IFERROR(IF(AND(LEN(TRIM(C82))&gt;0,LEN(TRIM(D82))&gt;0),'Bang TH nop'!AT83,0),0)</f>
        <v>0</v>
      </c>
      <c r="N82" s="12">
        <f>IFERROR(IF(AND(LEN(TRIM(B82))&gt;0,LEN(TRIM(C82))&gt;0),'Bang TH nop'!AU83,0),0)</f>
        <v>0</v>
      </c>
      <c r="O82" s="12">
        <f>IFERROR(IF(AND(LEN(TRIM(B82))&gt;0,LEN(TRIM(C82))&gt;0),'Bang TH nop'!BE83,0),0)</f>
        <v>0</v>
      </c>
      <c r="P82" s="12">
        <f>IFERROR(IF(AND(LEN(TRIM(B83))&gt;0,LEN(TRIM(C82))&gt;0),'Bang TH nop'!AZ83,0),0)</f>
        <v>0</v>
      </c>
      <c r="Q82" s="12"/>
      <c r="R82" s="261"/>
      <c r="S82" s="261"/>
      <c r="T82" s="261"/>
      <c r="U82" s="260"/>
      <c r="V82" s="260"/>
      <c r="W82" s="260"/>
      <c r="X82" s="260"/>
      <c r="Y82" s="260"/>
      <c r="Z82" s="260"/>
      <c r="AA82" s="259" t="str">
        <f>IFERROR(
IF(AND(LEN(TRIM(B82))&gt;0,LEN(TRIM(C82))&gt;0),
'Bang TH nop'!AH83,
0
),
0
)</f>
        <v>A</v>
      </c>
      <c r="AB82" s="11"/>
      <c r="AC82" s="11"/>
      <c r="AD82" s="260"/>
      <c r="AE82" s="11"/>
      <c r="AF82" s="260"/>
      <c r="AG82" s="241"/>
      <c r="AH82" s="286"/>
      <c r="AI82" s="287"/>
      <c r="AJ82" s="288"/>
      <c r="AK82" s="287"/>
      <c r="AL82" s="173"/>
    </row>
    <row r="83" spans="1:38" ht="17.100000000000001" customHeight="1">
      <c r="A83" s="306"/>
      <c r="B83" s="308"/>
      <c r="C83" s="310"/>
      <c r="D83" s="319">
        <f>IFERROR(IF(AND(LEN(TRIM(B82))&gt;0,LEN(TRIM(C82))&gt;0),'Bang TH nop'!AP83,""),"")</f>
        <v>0</v>
      </c>
      <c r="E83" s="320"/>
      <c r="F83" s="55">
        <f>IFERROR(IF(AND(LEN(TRIM(B82))&gt;0,LEN(TRIM(C82))&gt;0),'Bang TH nop'!AL83,0),0)</f>
        <v>0</v>
      </c>
      <c r="G83" s="263">
        <f t="shared" ref="G83:G114" si="792">D83*I82/26</f>
        <v>0</v>
      </c>
      <c r="H83" s="263">
        <f t="shared" ref="H83:H114" si="793">D83*J82*150%/(26*8)</f>
        <v>0</v>
      </c>
      <c r="I83" s="263">
        <f t="shared" ref="I83:I114" si="794">IFERROR(
IF(AND(LEN(TRIM(B82))&gt;0,LEN(TRIM(C82))&gt;0),
IF(((I82-N82)*8+N82*7+J82)=0,0,
F83*680*(((I82-N82)*8+N82*7))/(((I82-N82)*8+N82*7+J82))*$I$4
),
0
),
0
)</f>
        <v>0</v>
      </c>
      <c r="J83" s="263">
        <f t="shared" ref="J83:J114" si="795">IFERROR(
IF(AND(LEN(TRIM(B82))&gt;0,LEN(TRIM(C82))&gt;0),
IF(((I82-N82)*8+N82*7+J82)=0,0,
F83*680*150%*J82/(((I82-N82)*8+N82*7+J82))*$I$4
),
0
),
0
)</f>
        <v>0</v>
      </c>
      <c r="K83" s="264">
        <f t="shared" ref="K83:K114" si="796">IFERROR(
IF(AND(LEN(TRIM(B82))&gt;0,LEN(TRIM(C82))&gt;0),
ROUND(D83/26*K82,0),
0
),
0
)</f>
        <v>0</v>
      </c>
      <c r="L83" s="264">
        <f t="shared" ref="L83:L114" si="797">IFERROR(
IF(AND(LEN(TRIM(B82))&gt;0,LEN(TRIM(C82))&gt;0),
ROUND(D83/26*L82,0),
0
),
0
)</f>
        <v>0</v>
      </c>
      <c r="M83" s="264">
        <f t="shared" ref="M83:M114" si="798">IFERROR(
IF(AND(LEN(TRIM(B82))&gt;0,LEN(TRIM(C82))&gt;0),
ROUND(D83/26*M82,0),
0
),
0
)</f>
        <v>0</v>
      </c>
      <c r="N83" s="264">
        <f t="shared" ref="N83:N114" si="799">IFERROR(
IF(AND(LEN(TRIM(B82))&gt;0,LEN(TRIM(C82))&gt;0),
D83*N82/(26*8),
0
),
0
)</f>
        <v>0</v>
      </c>
      <c r="O83" s="264">
        <f t="shared" ref="O83:O114" si="800">IFERROR(
IF(AND(LEN(TRIM(B82))&gt;0,LEN(TRIM(C82))&gt;0),
D83*O82/(26*8),
0
),
0
)</f>
        <v>0</v>
      </c>
      <c r="P83" s="264">
        <f t="shared" ref="P83:P114" si="801">IFERROR(
IF(AND(LEN(TRIM(B82))&gt;0,LEN(TRIM(C82))&gt;0),
(D83/26/8*P82),
0
),
0
)</f>
        <v>0</v>
      </c>
      <c r="Q83" s="56">
        <f>IFERROR(
IF(AND(LEN(TRIM(B82))&gt;0,LEN(TRIM(C82))&gt;0),
'Bang TH nop'!BC83,
0
),
0
)</f>
        <v>0</v>
      </c>
      <c r="R83" s="263">
        <f>IFERROR(
IF(AND(LEN(TRIM(B82))&gt;0,LEN(TRIM(C82))&gt;0),
'Bang TH nop'!BD83,
0
),
0
)</f>
        <v>0</v>
      </c>
      <c r="S83" s="263">
        <f>IFERROR(
IF(AND(LEN(TRIM(B82))&gt;0,LEN(TRIM(C82))&gt;0),
'Bang TH nop'!BJ83,
0
),
0
)</f>
        <v>0</v>
      </c>
      <c r="T83" s="263">
        <f>IFERROR(
IF(AND(LEN(TRIM(B82))&gt;0,LEN(TRIM(C82))&gt;0),
'Bang TH nop'!AW83,
0
),
0
)</f>
        <v>0</v>
      </c>
      <c r="U83" s="264">
        <f t="shared" ref="U83:U114" si="802">IFERROR(
IF(AND(LEN(TRIM(B82))&gt;0,LEN(TRIM(C82))&gt;0),
D83/26/8*U82,
0
),
0
)</f>
        <v>0</v>
      </c>
      <c r="V83" s="264"/>
      <c r="W83" s="264"/>
      <c r="X83" s="263">
        <f t="shared" ref="X83:X114" si="803">+IF(G83-I83&lt;0,0,G83-I83)</f>
        <v>0</v>
      </c>
      <c r="Y83" s="263">
        <f t="shared" ref="Y83:Y114" si="804">+IF(H83-J83&lt;0,0, H83-J83)</f>
        <v>0</v>
      </c>
      <c r="Z83" s="263">
        <f t="shared" ref="Z83" si="805">IFERROR(
IF(AND(LEN(TRIM(B82))&gt;0,LEN(TRIM(C82))&gt;0),
(X83+Y83)*25%,
0
),
0
)</f>
        <v>0</v>
      </c>
      <c r="AA83" s="263">
        <f>IFERROR(
IF(AND(LEN(TRIM(B82))&gt;0,LEN(TRIM(C82))&gt;0),
'Bang TH nop'!BG83,
0
),
0
)</f>
        <v>0</v>
      </c>
      <c r="AB83" s="264">
        <f t="shared" ref="AB83" si="806">IFERROR(
IF(AND(LEN(TRIM(B82))&gt;0,LEN(TRIM(C82))&gt;0),
SUM(I83:W83)+IFERROR(Z83,0)+IFERROR(AA83,0),
0
),
0
)</f>
        <v>0</v>
      </c>
      <c r="AC83" s="263">
        <f t="shared" ref="AC83:AC114" si="807">IFERROR(
IF(AND(LEN(TRIM(B82))&gt;0,LEN(TRIM(C82))&gt;0),
IF((26-(IFERROR(I82,0)+IFERROR(K82,0)+IFERROR(L82,0)+IFERROR(M82,0)))&gt;12,0,D83*10.5%),
0
),
0
)</f>
        <v>0</v>
      </c>
      <c r="AD83" s="291">
        <f t="shared" ref="AD83:AD114" si="808">IFERROR(
IF(AND(LEN(TRIM(B82))&gt;0,LEN(TRIM(C82))&gt;0),
ROUND(IF(D83=4939000,D83*0.5%,0),-2),
0
),
0
)</f>
        <v>0</v>
      </c>
      <c r="AE83" s="264">
        <f t="shared" ref="AE83" si="809">IFERROR(
IF(AND(LEN(TRIM(B82))&gt;0,LEN(TRIM(C82))&gt;0),
ROUND(IFERROR(AB83,0)-IFERROR(AC83,0)-IFERROR(AD83,0),-2),
0
),
0
)</f>
        <v>0</v>
      </c>
      <c r="AF83" s="13">
        <f>IFERROR(
IF(AND(LEN(TRIM(B82))&gt;0,LEN(TRIM(C82))&gt;0),
IFERROR('Bang TH nop'!AR83,0)+IFERROR('Bang TH nop'!AU83,0)+IFERROR('Bang TH nop'!BG83,0),
0
),
0
)</f>
        <v>0</v>
      </c>
      <c r="AG83" s="241"/>
      <c r="AH83" s="266"/>
      <c r="AI83" s="174">
        <f t="shared" ref="AI83" si="810">IFERROR(
IF(AND(LEN(TRIM(B82))&gt;0,LEN(TRIM(C82))&gt;0),
AH83/AG83,
0
),
0
)</f>
        <v>0</v>
      </c>
      <c r="AJ83" s="174">
        <f t="shared" ref="AJ83:AJ114" si="811">IFERROR(
IF(AND(LEN(TRIM(B82))&gt;0,LEN(TRIM(C82))&gt;0),
AL83/AF83,
0
),
0
)</f>
        <v>0</v>
      </c>
      <c r="AK83" s="175">
        <f t="shared" ref="AK83" si="812">IFERROR(
IF(AND(LEN(TRIM(B82))&gt;0,LEN(TRIM(C82))&gt;0),
AJ83/AI83,
0
),
0
)</f>
        <v>0</v>
      </c>
      <c r="AL83" s="176">
        <f t="shared" ref="AL83:AL114" si="813">IFERROR(
IF(AND(LEN(TRIM(B82))&gt;0,LEN(TRIM(C82))&gt;0),
AB83/L83,
0
),
0
)</f>
        <v>0</v>
      </c>
    </row>
    <row r="84" spans="1:38" ht="17.100000000000001" customHeight="1">
      <c r="A84" s="305">
        <v>39</v>
      </c>
      <c r="B84" s="307">
        <f>'Bang TH nop'!B85</f>
        <v>0</v>
      </c>
      <c r="C84" s="309">
        <f>IFERROR(IF(LEN(TRIM(B84))&gt;0,'Bang TH nop'!C85,""),"")</f>
        <v>0</v>
      </c>
      <c r="D84" s="311">
        <f>IFERROR(IF(AND(LEN(TRIM(B84))&gt;0,LEN(TRIM(C84))&gt;0),'Bang TH nop'!AO85,""),"")</f>
        <v>0</v>
      </c>
      <c r="E84" s="312"/>
      <c r="F84" s="259"/>
      <c r="G84" s="260"/>
      <c r="H84" s="260"/>
      <c r="I84" s="10">
        <f>IFERROR(IF(AND(LEN(TRIM(B84))&gt;0,LEN(TRIM(C84))&gt;0),'Bang TH nop'!BB85,0),0)</f>
        <v>0</v>
      </c>
      <c r="J84" s="10">
        <f>IFERROR(IF(AND(LEN(TRIM(B84))&gt;0,LEN(TRIM(C84))&gt;0),'Bang TH nop'!AV85,0),0)</f>
        <v>0</v>
      </c>
      <c r="K84" s="10">
        <f>IFERROR(IF(AND(LEN(TRIM(B84))&gt;0,LEN(TRIM(C84))&gt;0),'Bang TH nop'!AR85,0),0)</f>
        <v>0</v>
      </c>
      <c r="L84" s="12">
        <f>IFERROR(IF(AND(LEN(TRIM(B84))&gt;0,LEN(TRIM(C84))&gt;0),'Bang TH nop'!AS85,0),0)</f>
        <v>0</v>
      </c>
      <c r="M84" s="12">
        <f>IFERROR(IF(AND(LEN(TRIM(C84))&gt;0,LEN(TRIM(D84))&gt;0),'Bang TH nop'!AT85,0),0)</f>
        <v>0</v>
      </c>
      <c r="N84" s="12">
        <f>IFERROR(IF(AND(LEN(TRIM(B84))&gt;0,LEN(TRIM(C84))&gt;0),'Bang TH nop'!AU85,0),0)</f>
        <v>0</v>
      </c>
      <c r="O84" s="12">
        <f>IFERROR(IF(AND(LEN(TRIM(B84))&gt;0,LEN(TRIM(C84))&gt;0),'Bang TH nop'!BE85,0),0)</f>
        <v>0</v>
      </c>
      <c r="P84" s="12">
        <f>IFERROR(IF(AND(LEN(TRIM(B85))&gt;0,LEN(TRIM(C84))&gt;0),'Bang TH nop'!AZ85,0),0)</f>
        <v>0</v>
      </c>
      <c r="Q84" s="12"/>
      <c r="R84" s="261"/>
      <c r="S84" s="261"/>
      <c r="T84" s="261"/>
      <c r="U84" s="260"/>
      <c r="V84" s="260"/>
      <c r="W84" s="260"/>
      <c r="X84" s="260"/>
      <c r="Y84" s="260"/>
      <c r="Z84" s="260"/>
      <c r="AA84" s="259" t="str">
        <f>IFERROR(
IF(AND(LEN(TRIM(B84))&gt;0,LEN(TRIM(C84))&gt;0),
'Bang TH nop'!AH85,
0
),
0
)</f>
        <v>A</v>
      </c>
      <c r="AB84" s="11"/>
      <c r="AC84" s="11"/>
      <c r="AD84" s="260"/>
      <c r="AE84" s="11"/>
      <c r="AF84" s="260"/>
      <c r="AG84" s="241"/>
      <c r="AH84" s="286"/>
      <c r="AI84" s="287"/>
      <c r="AJ84" s="288"/>
      <c r="AK84" s="287"/>
      <c r="AL84" s="173"/>
    </row>
    <row r="85" spans="1:38" ht="17.100000000000001" customHeight="1">
      <c r="A85" s="306"/>
      <c r="B85" s="308"/>
      <c r="C85" s="310"/>
      <c r="D85" s="319">
        <f>IFERROR(IF(AND(LEN(TRIM(B84))&gt;0,LEN(TRIM(C84))&gt;0),'Bang TH nop'!AP85,""),"")</f>
        <v>0</v>
      </c>
      <c r="E85" s="320"/>
      <c r="F85" s="55">
        <f>IFERROR(IF(AND(LEN(TRIM(B84))&gt;0,LEN(TRIM(C84))&gt;0),'Bang TH nop'!AL85,0),0)</f>
        <v>0</v>
      </c>
      <c r="G85" s="263">
        <f t="shared" ref="G85:G131" si="814">D85*I84/26</f>
        <v>0</v>
      </c>
      <c r="H85" s="263">
        <f t="shared" ref="H85:H131" si="815">D85*J84*150%/(26*8)</f>
        <v>0</v>
      </c>
      <c r="I85" s="263">
        <f t="shared" ref="I85:I131" si="816">IFERROR(
IF(AND(LEN(TRIM(B84))&gt;0,LEN(TRIM(C84))&gt;0),
IF(((I84-N84)*8+N84*7+J84)=0,0,
F85*680*(((I84-N84)*8+N84*7))/(((I84-N84)*8+N84*7+J84))*$I$4
),
0
),
0
)</f>
        <v>0</v>
      </c>
      <c r="J85" s="263">
        <f t="shared" ref="J85:J131" si="817">IFERROR(
IF(AND(LEN(TRIM(B84))&gt;0,LEN(TRIM(C84))&gt;0),
IF(((I84-N84)*8+N84*7+J84)=0,0,
F85*680*150%*J84/(((I84-N84)*8+N84*7+J84))*$I$4
),
0
),
0
)</f>
        <v>0</v>
      </c>
      <c r="K85" s="264">
        <f t="shared" ref="K85:K131" si="818">IFERROR(
IF(AND(LEN(TRIM(B84))&gt;0,LEN(TRIM(C84))&gt;0),
ROUND(D85/26*K84,0),
0
),
0
)</f>
        <v>0</v>
      </c>
      <c r="L85" s="264">
        <f t="shared" ref="L85:L131" si="819">IFERROR(
IF(AND(LEN(TRIM(B84))&gt;0,LEN(TRIM(C84))&gt;0),
ROUND(D85/26*L84,0),
0
),
0
)</f>
        <v>0</v>
      </c>
      <c r="M85" s="264">
        <f t="shared" ref="M85:M131" si="820">IFERROR(
IF(AND(LEN(TRIM(B84))&gt;0,LEN(TRIM(C84))&gt;0),
ROUND(D85/26*M84,0),
0
),
0
)</f>
        <v>0</v>
      </c>
      <c r="N85" s="264">
        <f t="shared" ref="N85:N131" si="821">IFERROR(
IF(AND(LEN(TRIM(B84))&gt;0,LEN(TRIM(C84))&gt;0),
D85*N84/(26*8),
0
),
0
)</f>
        <v>0</v>
      </c>
      <c r="O85" s="264">
        <f t="shared" ref="O85:O131" si="822">IFERROR(
IF(AND(LEN(TRIM(B84))&gt;0,LEN(TRIM(C84))&gt;0),
D85*O84/(26*8),
0
),
0
)</f>
        <v>0</v>
      </c>
      <c r="P85" s="264">
        <f t="shared" ref="P85:P131" si="823">IFERROR(
IF(AND(LEN(TRIM(B84))&gt;0,LEN(TRIM(C84))&gt;0),
(D85/26/8*P84),
0
),
0
)</f>
        <v>0</v>
      </c>
      <c r="Q85" s="56">
        <f>IFERROR(
IF(AND(LEN(TRIM(B84))&gt;0,LEN(TRIM(C84))&gt;0),
'Bang TH nop'!BC85,
0
),
0
)</f>
        <v>0</v>
      </c>
      <c r="R85" s="263">
        <f>IFERROR(
IF(AND(LEN(TRIM(B84))&gt;0,LEN(TRIM(C84))&gt;0),
'Bang TH nop'!BD85,
0
),
0
)</f>
        <v>0</v>
      </c>
      <c r="S85" s="263">
        <f>IFERROR(
IF(AND(LEN(TRIM(B84))&gt;0,LEN(TRIM(C84))&gt;0),
'Bang TH nop'!BJ85,
0
),
0
)</f>
        <v>0</v>
      </c>
      <c r="T85" s="263">
        <f>IFERROR(
IF(AND(LEN(TRIM(B84))&gt;0,LEN(TRIM(C84))&gt;0),
'Bang TH nop'!AW85,
0
),
0
)</f>
        <v>0</v>
      </c>
      <c r="U85" s="264">
        <f t="shared" ref="U85:U131" si="824">IFERROR(
IF(AND(LEN(TRIM(B84))&gt;0,LEN(TRIM(C84))&gt;0),
D85/26/8*U84,
0
),
0
)</f>
        <v>0</v>
      </c>
      <c r="V85" s="264"/>
      <c r="W85" s="264"/>
      <c r="X85" s="263">
        <f t="shared" ref="X85:X131" si="825">+IF(G85-I85&lt;0,0,G85-I85)</f>
        <v>0</v>
      </c>
      <c r="Y85" s="263">
        <f t="shared" ref="Y85:Y131" si="826">+IF(H85-J85&lt;0,0, H85-J85)</f>
        <v>0</v>
      </c>
      <c r="Z85" s="263">
        <f t="shared" ref="Z85" si="827">IFERROR(
IF(AND(LEN(TRIM(B84))&gt;0,LEN(TRIM(C84))&gt;0),
(X85+Y85)*25%,
0
),
0
)</f>
        <v>0</v>
      </c>
      <c r="AA85" s="263">
        <f>IFERROR(
IF(AND(LEN(TRIM(B84))&gt;0,LEN(TRIM(C84))&gt;0),
'Bang TH nop'!BG85,
0
),
0
)</f>
        <v>0</v>
      </c>
      <c r="AB85" s="264">
        <f t="shared" ref="AB85" si="828">IFERROR(
IF(AND(LEN(TRIM(B84))&gt;0,LEN(TRIM(C84))&gt;0),
SUM(I85:W85)+IFERROR(Z85,0)+IFERROR(AA85,0),
0
),
0
)</f>
        <v>0</v>
      </c>
      <c r="AC85" s="263">
        <f t="shared" ref="AC85:AC131" si="829">IFERROR(
IF(AND(LEN(TRIM(B84))&gt;0,LEN(TRIM(C84))&gt;0),
IF((26-(IFERROR(I84,0)+IFERROR(K84,0)+IFERROR(L84,0)+IFERROR(M84,0)))&gt;12,0,D85*10.5%),
0
),
0
)</f>
        <v>0</v>
      </c>
      <c r="AD85" s="291">
        <f t="shared" ref="AD85:AD131" si="830">IFERROR(
IF(AND(LEN(TRIM(B84))&gt;0,LEN(TRIM(C84))&gt;0),
ROUND(IF(D85=4939000,D85*0.5%,0),-2),
0
),
0
)</f>
        <v>0</v>
      </c>
      <c r="AE85" s="264">
        <f t="shared" ref="AE85" si="831">IFERROR(
IF(AND(LEN(TRIM(B84))&gt;0,LEN(TRIM(C84))&gt;0),
ROUND(IFERROR(AB85,0)-IFERROR(AC85,0)-IFERROR(AD85,0),-2),
0
),
0
)</f>
        <v>0</v>
      </c>
      <c r="AF85" s="13">
        <f>IFERROR(
IF(AND(LEN(TRIM(B84))&gt;0,LEN(TRIM(C84))&gt;0),
IFERROR('Bang TH nop'!AR85,0)+IFERROR('Bang TH nop'!AU85,0)+IFERROR('Bang TH nop'!BG85,0),
0
),
0
)</f>
        <v>0</v>
      </c>
      <c r="AG85" s="241"/>
      <c r="AH85" s="266"/>
      <c r="AI85" s="174">
        <f t="shared" ref="AI85" si="832">IFERROR(
IF(AND(LEN(TRIM(B84))&gt;0,LEN(TRIM(C84))&gt;0),
AH85/AG85,
0
),
0
)</f>
        <v>0</v>
      </c>
      <c r="AJ85" s="174">
        <f t="shared" ref="AJ85:AJ131" si="833">IFERROR(
IF(AND(LEN(TRIM(B84))&gt;0,LEN(TRIM(C84))&gt;0),
AL85/AF85,
0
),
0
)</f>
        <v>0</v>
      </c>
      <c r="AK85" s="175">
        <f t="shared" ref="AK85" si="834">IFERROR(
IF(AND(LEN(TRIM(B84))&gt;0,LEN(TRIM(C84))&gt;0),
AJ85/AI85,
0
),
0
)</f>
        <v>0</v>
      </c>
      <c r="AL85" s="176">
        <f t="shared" ref="AL85:AL131" si="835">IFERROR(
IF(AND(LEN(TRIM(B84))&gt;0,LEN(TRIM(C84))&gt;0),
AB85/L85,
0
),
0
)</f>
        <v>0</v>
      </c>
    </row>
    <row r="86" spans="1:38" ht="17.100000000000001" customHeight="1">
      <c r="A86" s="305">
        <v>40</v>
      </c>
      <c r="B86" s="307">
        <f>'Bang TH nop'!B87</f>
        <v>0</v>
      </c>
      <c r="C86" s="309">
        <f>IFERROR(IF(LEN(TRIM(B86))&gt;0,'Bang TH nop'!C87,""),"")</f>
        <v>0</v>
      </c>
      <c r="D86" s="311">
        <f>IFERROR(IF(AND(LEN(TRIM(B86))&gt;0,LEN(TRIM(C86))&gt;0),'Bang TH nop'!AO87,""),"")</f>
        <v>0</v>
      </c>
      <c r="E86" s="312"/>
      <c r="F86" s="259"/>
      <c r="G86" s="260"/>
      <c r="H86" s="260"/>
      <c r="I86" s="10">
        <f>IFERROR(IF(AND(LEN(TRIM(B86))&gt;0,LEN(TRIM(C86))&gt;0),'Bang TH nop'!BB87,0),0)</f>
        <v>0</v>
      </c>
      <c r="J86" s="10">
        <f>IFERROR(IF(AND(LEN(TRIM(B86))&gt;0,LEN(TRIM(C86))&gt;0),'Bang TH nop'!AV87,0),0)</f>
        <v>0</v>
      </c>
      <c r="K86" s="10">
        <f>IFERROR(IF(AND(LEN(TRIM(B86))&gt;0,LEN(TRIM(C86))&gt;0),'Bang TH nop'!AR87,0),0)</f>
        <v>0</v>
      </c>
      <c r="L86" s="12">
        <f>IFERROR(IF(AND(LEN(TRIM(B86))&gt;0,LEN(TRIM(C86))&gt;0),'Bang TH nop'!AS87,0),0)</f>
        <v>0</v>
      </c>
      <c r="M86" s="12">
        <f>IFERROR(IF(AND(LEN(TRIM(C86))&gt;0,LEN(TRIM(D86))&gt;0),'Bang TH nop'!AT87,0),0)</f>
        <v>0</v>
      </c>
      <c r="N86" s="12">
        <f>IFERROR(IF(AND(LEN(TRIM(B86))&gt;0,LEN(TRIM(C86))&gt;0),'Bang TH nop'!AU87,0),0)</f>
        <v>0</v>
      </c>
      <c r="O86" s="12">
        <f>IFERROR(IF(AND(LEN(TRIM(B86))&gt;0,LEN(TRIM(C86))&gt;0),'Bang TH nop'!BE87,0),0)</f>
        <v>0</v>
      </c>
      <c r="P86" s="12">
        <f>IFERROR(IF(AND(LEN(TRIM(B87))&gt;0,LEN(TRIM(C86))&gt;0),'Bang TH nop'!AZ87,0),0)</f>
        <v>0</v>
      </c>
      <c r="Q86" s="12"/>
      <c r="R86" s="261"/>
      <c r="S86" s="261"/>
      <c r="T86" s="261"/>
      <c r="U86" s="260"/>
      <c r="V86" s="260"/>
      <c r="W86" s="260"/>
      <c r="X86" s="260"/>
      <c r="Y86" s="260"/>
      <c r="Z86" s="260"/>
      <c r="AA86" s="259" t="str">
        <f>IFERROR(
IF(AND(LEN(TRIM(B86))&gt;0,LEN(TRIM(C86))&gt;0),
'Bang TH nop'!AH87,
0
),
0
)</f>
        <v>A</v>
      </c>
      <c r="AB86" s="11"/>
      <c r="AC86" s="11"/>
      <c r="AD86" s="260"/>
      <c r="AE86" s="11"/>
      <c r="AF86" s="260"/>
      <c r="AG86" s="241"/>
      <c r="AH86" s="286"/>
      <c r="AI86" s="287"/>
      <c r="AJ86" s="288"/>
      <c r="AK86" s="287"/>
      <c r="AL86" s="173"/>
    </row>
    <row r="87" spans="1:38" ht="17.100000000000001" customHeight="1">
      <c r="A87" s="306"/>
      <c r="B87" s="308"/>
      <c r="C87" s="310"/>
      <c r="D87" s="319">
        <f>IFERROR(IF(AND(LEN(TRIM(B86))&gt;0,LEN(TRIM(C86))&gt;0),'Bang TH nop'!AP87,""),"")</f>
        <v>0</v>
      </c>
      <c r="E87" s="320"/>
      <c r="F87" s="55">
        <f>IFERROR(IF(AND(LEN(TRIM(B86))&gt;0,LEN(TRIM(C86))&gt;0),'Bang TH nop'!AL87,0),0)</f>
        <v>0</v>
      </c>
      <c r="G87" s="263">
        <f t="shared" ref="G87:G131" si="836">D87*I86/26</f>
        <v>0</v>
      </c>
      <c r="H87" s="263">
        <f t="shared" ref="H87:H131" si="837">D87*J86*150%/(26*8)</f>
        <v>0</v>
      </c>
      <c r="I87" s="263">
        <f t="shared" ref="I87:I131" si="838">IFERROR(
IF(AND(LEN(TRIM(B86))&gt;0,LEN(TRIM(C86))&gt;0),
IF(((I86-N86)*8+N86*7+J86)=0,0,
F87*680*(((I86-N86)*8+N86*7))/(((I86-N86)*8+N86*7+J86))*$I$4
),
0
),
0
)</f>
        <v>0</v>
      </c>
      <c r="J87" s="263">
        <f t="shared" ref="J87:J131" si="839">IFERROR(
IF(AND(LEN(TRIM(B86))&gt;0,LEN(TRIM(C86))&gt;0),
IF(((I86-N86)*8+N86*7+J86)=0,0,
F87*680*150%*J86/(((I86-N86)*8+N86*7+J86))*$I$4
),
0
),
0
)</f>
        <v>0</v>
      </c>
      <c r="K87" s="264">
        <f t="shared" ref="K87:K131" si="840">IFERROR(
IF(AND(LEN(TRIM(B86))&gt;0,LEN(TRIM(C86))&gt;0),
ROUND(D87/26*K86,0),
0
),
0
)</f>
        <v>0</v>
      </c>
      <c r="L87" s="264">
        <f t="shared" ref="L87:L131" si="841">IFERROR(
IF(AND(LEN(TRIM(B86))&gt;0,LEN(TRIM(C86))&gt;0),
ROUND(D87/26*L86,0),
0
),
0
)</f>
        <v>0</v>
      </c>
      <c r="M87" s="264">
        <f t="shared" ref="M87:M131" si="842">IFERROR(
IF(AND(LEN(TRIM(B86))&gt;0,LEN(TRIM(C86))&gt;0),
ROUND(D87/26*M86,0),
0
),
0
)</f>
        <v>0</v>
      </c>
      <c r="N87" s="264">
        <f t="shared" ref="N87:N131" si="843">IFERROR(
IF(AND(LEN(TRIM(B86))&gt;0,LEN(TRIM(C86))&gt;0),
D87*N86/(26*8),
0
),
0
)</f>
        <v>0</v>
      </c>
      <c r="O87" s="264">
        <f t="shared" ref="O87:O131" si="844">IFERROR(
IF(AND(LEN(TRIM(B86))&gt;0,LEN(TRIM(C86))&gt;0),
D87*O86/(26*8),
0
),
0
)</f>
        <v>0</v>
      </c>
      <c r="P87" s="264">
        <f t="shared" ref="P87:P131" si="845">IFERROR(
IF(AND(LEN(TRIM(B86))&gt;0,LEN(TRIM(C86))&gt;0),
(D87/26/8*P86),
0
),
0
)</f>
        <v>0</v>
      </c>
      <c r="Q87" s="56">
        <f>IFERROR(
IF(AND(LEN(TRIM(B86))&gt;0,LEN(TRIM(C86))&gt;0),
'Bang TH nop'!BC87,
0
),
0
)</f>
        <v>0</v>
      </c>
      <c r="R87" s="263">
        <f>IFERROR(
IF(AND(LEN(TRIM(B86))&gt;0,LEN(TRIM(C86))&gt;0),
'Bang TH nop'!BD87,
0
),
0
)</f>
        <v>0</v>
      </c>
      <c r="S87" s="263">
        <f>IFERROR(
IF(AND(LEN(TRIM(B86))&gt;0,LEN(TRIM(C86))&gt;0),
'Bang TH nop'!BJ87,
0
),
0
)</f>
        <v>0</v>
      </c>
      <c r="T87" s="263">
        <f>IFERROR(
IF(AND(LEN(TRIM(B86))&gt;0,LEN(TRIM(C86))&gt;0),
'Bang TH nop'!AW87,
0
),
0
)</f>
        <v>0</v>
      </c>
      <c r="U87" s="264">
        <f t="shared" ref="U87:U131" si="846">IFERROR(
IF(AND(LEN(TRIM(B86))&gt;0,LEN(TRIM(C86))&gt;0),
D87/26/8*U86,
0
),
0
)</f>
        <v>0</v>
      </c>
      <c r="V87" s="264"/>
      <c r="W87" s="264"/>
      <c r="X87" s="263">
        <f t="shared" ref="X87:X131" si="847">+IF(G87-I87&lt;0,0,G87-I87)</f>
        <v>0</v>
      </c>
      <c r="Y87" s="263">
        <f t="shared" ref="Y87:Y131" si="848">+IF(H87-J87&lt;0,0, H87-J87)</f>
        <v>0</v>
      </c>
      <c r="Z87" s="263">
        <f t="shared" ref="Z87" si="849">IFERROR(
IF(AND(LEN(TRIM(B86))&gt;0,LEN(TRIM(C86))&gt;0),
(X87+Y87)*25%,
0
),
0
)</f>
        <v>0</v>
      </c>
      <c r="AA87" s="263">
        <f>IFERROR(
IF(AND(LEN(TRIM(B86))&gt;0,LEN(TRIM(C86))&gt;0),
'Bang TH nop'!BG87,
0
),
0
)</f>
        <v>0</v>
      </c>
      <c r="AB87" s="264">
        <f t="shared" ref="AB87" si="850">IFERROR(
IF(AND(LEN(TRIM(B86))&gt;0,LEN(TRIM(C86))&gt;0),
SUM(I87:W87)+IFERROR(Z87,0)+IFERROR(AA87,0),
0
),
0
)</f>
        <v>0</v>
      </c>
      <c r="AC87" s="263">
        <f t="shared" ref="AC87:AC131" si="851">IFERROR(
IF(AND(LEN(TRIM(B86))&gt;0,LEN(TRIM(C86))&gt;0),
IF((26-(IFERROR(I86,0)+IFERROR(K86,0)+IFERROR(L86,0)+IFERROR(M86,0)))&gt;12,0,D87*10.5%),
0
),
0
)</f>
        <v>0</v>
      </c>
      <c r="AD87" s="291">
        <f t="shared" ref="AD87:AD131" si="852">IFERROR(
IF(AND(LEN(TRIM(B86))&gt;0,LEN(TRIM(C86))&gt;0),
ROUND(IF(D87=4939000,D87*0.5%,0),-2),
0
),
0
)</f>
        <v>0</v>
      </c>
      <c r="AE87" s="264">
        <f t="shared" ref="AE87" si="853">IFERROR(
IF(AND(LEN(TRIM(B86))&gt;0,LEN(TRIM(C86))&gt;0),
ROUND(IFERROR(AB87,0)-IFERROR(AC87,0)-IFERROR(AD87,0),-2),
0
),
0
)</f>
        <v>0</v>
      </c>
      <c r="AF87" s="13">
        <f>IFERROR(
IF(AND(LEN(TRIM(B86))&gt;0,LEN(TRIM(C86))&gt;0),
IFERROR('Bang TH nop'!AR87,0)+IFERROR('Bang TH nop'!AU87,0)+IFERROR('Bang TH nop'!BG87,0),
0
),
0
)</f>
        <v>0</v>
      </c>
      <c r="AG87" s="241"/>
      <c r="AH87" s="266"/>
      <c r="AI87" s="174">
        <f t="shared" ref="AI87" si="854">IFERROR(
IF(AND(LEN(TRIM(B86))&gt;0,LEN(TRIM(C86))&gt;0),
AH87/AG87,
0
),
0
)</f>
        <v>0</v>
      </c>
      <c r="AJ87" s="174">
        <f t="shared" ref="AJ87:AJ131" si="855">IFERROR(
IF(AND(LEN(TRIM(B86))&gt;0,LEN(TRIM(C86))&gt;0),
AL87/AF87,
0
),
0
)</f>
        <v>0</v>
      </c>
      <c r="AK87" s="175">
        <f t="shared" ref="AK87" si="856">IFERROR(
IF(AND(LEN(TRIM(B86))&gt;0,LEN(TRIM(C86))&gt;0),
AJ87/AI87,
0
),
0
)</f>
        <v>0</v>
      </c>
      <c r="AL87" s="176">
        <f t="shared" ref="AL87:AL131" si="857">IFERROR(
IF(AND(LEN(TRIM(B86))&gt;0,LEN(TRIM(C86))&gt;0),
AB87/L87,
0
),
0
)</f>
        <v>0</v>
      </c>
    </row>
    <row r="88" spans="1:38" ht="17.100000000000001" customHeight="1">
      <c r="A88" s="305">
        <v>41</v>
      </c>
      <c r="B88" s="307">
        <f>'Bang TH nop'!B89</f>
        <v>0</v>
      </c>
      <c r="C88" s="309">
        <f>IFERROR(IF(LEN(TRIM(B88))&gt;0,'Bang TH nop'!C89,""),"")</f>
        <v>0</v>
      </c>
      <c r="D88" s="311">
        <f>IFERROR(IF(AND(LEN(TRIM(B88))&gt;0,LEN(TRIM(C88))&gt;0),'Bang TH nop'!AO89,""),"")</f>
        <v>0</v>
      </c>
      <c r="E88" s="312"/>
      <c r="F88" s="259"/>
      <c r="G88" s="260"/>
      <c r="H88" s="260"/>
      <c r="I88" s="10">
        <f>IFERROR(IF(AND(LEN(TRIM(B88))&gt;0,LEN(TRIM(C88))&gt;0),'Bang TH nop'!BB89,0),0)</f>
        <v>0</v>
      </c>
      <c r="J88" s="10">
        <f>IFERROR(IF(AND(LEN(TRIM(B88))&gt;0,LEN(TRIM(C88))&gt;0),'Bang TH nop'!AV89,0),0)</f>
        <v>0</v>
      </c>
      <c r="K88" s="10">
        <f>IFERROR(IF(AND(LEN(TRIM(B88))&gt;0,LEN(TRIM(C88))&gt;0),'Bang TH nop'!AR89,0),0)</f>
        <v>0</v>
      </c>
      <c r="L88" s="12">
        <f>IFERROR(IF(AND(LEN(TRIM(B88))&gt;0,LEN(TRIM(C88))&gt;0),'Bang TH nop'!AS89,0),0)</f>
        <v>0</v>
      </c>
      <c r="M88" s="12">
        <f>IFERROR(IF(AND(LEN(TRIM(C88))&gt;0,LEN(TRIM(D88))&gt;0),'Bang TH nop'!AT89,0),0)</f>
        <v>0</v>
      </c>
      <c r="N88" s="12">
        <f>IFERROR(IF(AND(LEN(TRIM(B88))&gt;0,LEN(TRIM(C88))&gt;0),'Bang TH nop'!AU89,0),0)</f>
        <v>0</v>
      </c>
      <c r="O88" s="12">
        <f>IFERROR(IF(AND(LEN(TRIM(B88))&gt;0,LEN(TRIM(C88))&gt;0),'Bang TH nop'!BE89,0),0)</f>
        <v>0</v>
      </c>
      <c r="P88" s="12">
        <f>IFERROR(IF(AND(LEN(TRIM(B89))&gt;0,LEN(TRIM(C88))&gt;0),'Bang TH nop'!AZ89,0),0)</f>
        <v>0</v>
      </c>
      <c r="Q88" s="12"/>
      <c r="R88" s="261"/>
      <c r="S88" s="261"/>
      <c r="T88" s="261"/>
      <c r="U88" s="260"/>
      <c r="V88" s="260"/>
      <c r="W88" s="260"/>
      <c r="X88" s="260"/>
      <c r="Y88" s="260"/>
      <c r="Z88" s="260"/>
      <c r="AA88" s="259" t="str">
        <f>IFERROR(
IF(AND(LEN(TRIM(B88))&gt;0,LEN(TRIM(C88))&gt;0),
'Bang TH nop'!AH89,
0
),
0
)</f>
        <v>A</v>
      </c>
      <c r="AB88" s="11"/>
      <c r="AC88" s="11"/>
      <c r="AD88" s="260"/>
      <c r="AE88" s="11"/>
      <c r="AF88" s="260"/>
      <c r="AG88" s="241"/>
      <c r="AH88" s="286"/>
      <c r="AI88" s="287"/>
      <c r="AJ88" s="288"/>
      <c r="AK88" s="287"/>
      <c r="AL88" s="173"/>
    </row>
    <row r="89" spans="1:38" ht="17.100000000000001" customHeight="1">
      <c r="A89" s="306"/>
      <c r="B89" s="308"/>
      <c r="C89" s="310"/>
      <c r="D89" s="319">
        <f>IFERROR(IF(AND(LEN(TRIM(B88))&gt;0,LEN(TRIM(C88))&gt;0),'Bang TH nop'!AP89,""),"")</f>
        <v>0</v>
      </c>
      <c r="E89" s="320"/>
      <c r="F89" s="55">
        <f>IFERROR(IF(AND(LEN(TRIM(B88))&gt;0,LEN(TRIM(C88))&gt;0),'Bang TH nop'!AL89,0),0)</f>
        <v>0</v>
      </c>
      <c r="G89" s="263">
        <f t="shared" ref="G89:G131" si="858">D89*I88/26</f>
        <v>0</v>
      </c>
      <c r="H89" s="263">
        <f t="shared" ref="H89:H131" si="859">D89*J88*150%/(26*8)</f>
        <v>0</v>
      </c>
      <c r="I89" s="263">
        <f t="shared" ref="I89:I131" si="860">IFERROR(
IF(AND(LEN(TRIM(B88))&gt;0,LEN(TRIM(C88))&gt;0),
IF(((I88-N88)*8+N88*7+J88)=0,0,
F89*680*(((I88-N88)*8+N88*7))/(((I88-N88)*8+N88*7+J88))*$I$4
),
0
),
0
)</f>
        <v>0</v>
      </c>
      <c r="J89" s="263">
        <f t="shared" ref="J89:J131" si="861">IFERROR(
IF(AND(LEN(TRIM(B88))&gt;0,LEN(TRIM(C88))&gt;0),
IF(((I88-N88)*8+N88*7+J88)=0,0,
F89*680*150%*J88/(((I88-N88)*8+N88*7+J88))*$I$4
),
0
),
0
)</f>
        <v>0</v>
      </c>
      <c r="K89" s="264">
        <f t="shared" ref="K89:K131" si="862">IFERROR(
IF(AND(LEN(TRIM(B88))&gt;0,LEN(TRIM(C88))&gt;0),
ROUND(D89/26*K88,0),
0
),
0
)</f>
        <v>0</v>
      </c>
      <c r="L89" s="264">
        <f t="shared" ref="L89:L131" si="863">IFERROR(
IF(AND(LEN(TRIM(B88))&gt;0,LEN(TRIM(C88))&gt;0),
ROUND(D89/26*L88,0),
0
),
0
)</f>
        <v>0</v>
      </c>
      <c r="M89" s="264">
        <f t="shared" ref="M89:M131" si="864">IFERROR(
IF(AND(LEN(TRIM(B88))&gt;0,LEN(TRIM(C88))&gt;0),
ROUND(D89/26*M88,0),
0
),
0
)</f>
        <v>0</v>
      </c>
      <c r="N89" s="264">
        <f t="shared" ref="N89:N131" si="865">IFERROR(
IF(AND(LEN(TRIM(B88))&gt;0,LEN(TRIM(C88))&gt;0),
D89*N88/(26*8),
0
),
0
)</f>
        <v>0</v>
      </c>
      <c r="O89" s="264">
        <f t="shared" ref="O89:O131" si="866">IFERROR(
IF(AND(LEN(TRIM(B88))&gt;0,LEN(TRIM(C88))&gt;0),
D89*O88/(26*8),
0
),
0
)</f>
        <v>0</v>
      </c>
      <c r="P89" s="264">
        <f t="shared" ref="P89:P131" si="867">IFERROR(
IF(AND(LEN(TRIM(B88))&gt;0,LEN(TRIM(C88))&gt;0),
(D89/26/8*P88),
0
),
0
)</f>
        <v>0</v>
      </c>
      <c r="Q89" s="56">
        <f>IFERROR(
IF(AND(LEN(TRIM(B88))&gt;0,LEN(TRIM(C88))&gt;0),
'Bang TH nop'!BC89,
0
),
0
)</f>
        <v>0</v>
      </c>
      <c r="R89" s="263">
        <f>IFERROR(
IF(AND(LEN(TRIM(B88))&gt;0,LEN(TRIM(C88))&gt;0),
'Bang TH nop'!BD89,
0
),
0
)</f>
        <v>0</v>
      </c>
      <c r="S89" s="263">
        <f>IFERROR(
IF(AND(LEN(TRIM(B88))&gt;0,LEN(TRIM(C88))&gt;0),
'Bang TH nop'!BJ89,
0
),
0
)</f>
        <v>0</v>
      </c>
      <c r="T89" s="263">
        <f>IFERROR(
IF(AND(LEN(TRIM(B88))&gt;0,LEN(TRIM(C88))&gt;0),
'Bang TH nop'!AW89,
0
),
0
)</f>
        <v>0</v>
      </c>
      <c r="U89" s="264">
        <f t="shared" ref="U89:U131" si="868">IFERROR(
IF(AND(LEN(TRIM(B88))&gt;0,LEN(TRIM(C88))&gt;0),
D89/26/8*U88,
0
),
0
)</f>
        <v>0</v>
      </c>
      <c r="V89" s="264"/>
      <c r="W89" s="264"/>
      <c r="X89" s="263">
        <f t="shared" ref="X89:X131" si="869">+IF(G89-I89&lt;0,0,G89-I89)</f>
        <v>0</v>
      </c>
      <c r="Y89" s="263">
        <f t="shared" ref="Y89:Y131" si="870">+IF(H89-J89&lt;0,0, H89-J89)</f>
        <v>0</v>
      </c>
      <c r="Z89" s="263">
        <f t="shared" ref="Z89" si="871">IFERROR(
IF(AND(LEN(TRIM(B88))&gt;0,LEN(TRIM(C88))&gt;0),
(X89+Y89)*25%,
0
),
0
)</f>
        <v>0</v>
      </c>
      <c r="AA89" s="263">
        <f>IFERROR(
IF(AND(LEN(TRIM(B88))&gt;0,LEN(TRIM(C88))&gt;0),
'Bang TH nop'!BG89,
0
),
0
)</f>
        <v>0</v>
      </c>
      <c r="AB89" s="264">
        <f t="shared" ref="AB89" si="872">IFERROR(
IF(AND(LEN(TRIM(B88))&gt;0,LEN(TRIM(C88))&gt;0),
SUM(I89:W89)+IFERROR(Z89,0)+IFERROR(AA89,0),
0
),
0
)</f>
        <v>0</v>
      </c>
      <c r="AC89" s="263">
        <f t="shared" ref="AC89:AC131" si="873">IFERROR(
IF(AND(LEN(TRIM(B88))&gt;0,LEN(TRIM(C88))&gt;0),
IF((26-(IFERROR(I88,0)+IFERROR(K88,0)+IFERROR(L88,0)+IFERROR(M88,0)))&gt;12,0,D89*10.5%),
0
),
0
)</f>
        <v>0</v>
      </c>
      <c r="AD89" s="291">
        <f t="shared" ref="AD89:AD131" si="874">IFERROR(
IF(AND(LEN(TRIM(B88))&gt;0,LEN(TRIM(C88))&gt;0),
ROUND(IF(D89=4939000,D89*0.5%,0),-2),
0
),
0
)</f>
        <v>0</v>
      </c>
      <c r="AE89" s="264">
        <f t="shared" ref="AE89" si="875">IFERROR(
IF(AND(LEN(TRIM(B88))&gt;0,LEN(TRIM(C88))&gt;0),
ROUND(IFERROR(AB89,0)-IFERROR(AC89,0)-IFERROR(AD89,0),-2),
0
),
0
)</f>
        <v>0</v>
      </c>
      <c r="AF89" s="13">
        <f>IFERROR(
IF(AND(LEN(TRIM(B88))&gt;0,LEN(TRIM(C88))&gt;0),
IFERROR('Bang TH nop'!AR89,0)+IFERROR('Bang TH nop'!AU89,0)+IFERROR('Bang TH nop'!BG89,0),
0
),
0
)</f>
        <v>0</v>
      </c>
      <c r="AG89" s="241"/>
      <c r="AH89" s="266"/>
      <c r="AI89" s="174">
        <f t="shared" ref="AI89" si="876">IFERROR(
IF(AND(LEN(TRIM(B88))&gt;0,LEN(TRIM(C88))&gt;0),
AH89/AG89,
0
),
0
)</f>
        <v>0</v>
      </c>
      <c r="AJ89" s="174">
        <f t="shared" ref="AJ89:AJ131" si="877">IFERROR(
IF(AND(LEN(TRIM(B88))&gt;0,LEN(TRIM(C88))&gt;0),
AL89/AF89,
0
),
0
)</f>
        <v>0</v>
      </c>
      <c r="AK89" s="175">
        <f t="shared" ref="AK89" si="878">IFERROR(
IF(AND(LEN(TRIM(B88))&gt;0,LEN(TRIM(C88))&gt;0),
AJ89/AI89,
0
),
0
)</f>
        <v>0</v>
      </c>
      <c r="AL89" s="176">
        <f t="shared" ref="AL89:AL131" si="879">IFERROR(
IF(AND(LEN(TRIM(B88))&gt;0,LEN(TRIM(C88))&gt;0),
AB89/L89,
0
),
0
)</f>
        <v>0</v>
      </c>
    </row>
    <row r="90" spans="1:38" ht="17.100000000000001" customHeight="1">
      <c r="A90" s="305">
        <v>42</v>
      </c>
      <c r="B90" s="307">
        <f>'Bang TH nop'!B91</f>
        <v>0</v>
      </c>
      <c r="C90" s="309">
        <f>IFERROR(IF(LEN(TRIM(B90))&gt;0,'Bang TH nop'!C91,""),"")</f>
        <v>0</v>
      </c>
      <c r="D90" s="311">
        <f>IFERROR(IF(AND(LEN(TRIM(B90))&gt;0,LEN(TRIM(C90))&gt;0),'Bang TH nop'!AO91,""),"")</f>
        <v>0</v>
      </c>
      <c r="E90" s="312"/>
      <c r="F90" s="259"/>
      <c r="G90" s="260"/>
      <c r="H90" s="260"/>
      <c r="I90" s="10">
        <f>IFERROR(IF(AND(LEN(TRIM(B90))&gt;0,LEN(TRIM(C90))&gt;0),'Bang TH nop'!BB91,0),0)</f>
        <v>0</v>
      </c>
      <c r="J90" s="10">
        <f>IFERROR(IF(AND(LEN(TRIM(B90))&gt;0,LEN(TRIM(C90))&gt;0),'Bang TH nop'!AV91,0),0)</f>
        <v>0</v>
      </c>
      <c r="K90" s="10">
        <f>IFERROR(IF(AND(LEN(TRIM(B90))&gt;0,LEN(TRIM(C90))&gt;0),'Bang TH nop'!AR91,0),0)</f>
        <v>0</v>
      </c>
      <c r="L90" s="12">
        <f>IFERROR(IF(AND(LEN(TRIM(B90))&gt;0,LEN(TRIM(C90))&gt;0),'Bang TH nop'!AS91,0),0)</f>
        <v>0</v>
      </c>
      <c r="M90" s="12">
        <f>IFERROR(IF(AND(LEN(TRIM(C90))&gt;0,LEN(TRIM(D90))&gt;0),'Bang TH nop'!AT91,0),0)</f>
        <v>0</v>
      </c>
      <c r="N90" s="12">
        <f>IFERROR(IF(AND(LEN(TRIM(B90))&gt;0,LEN(TRIM(C90))&gt;0),'Bang TH nop'!AU91,0),0)</f>
        <v>0</v>
      </c>
      <c r="O90" s="12">
        <f>IFERROR(IF(AND(LEN(TRIM(B90))&gt;0,LEN(TRIM(C90))&gt;0),'Bang TH nop'!BE91,0),0)</f>
        <v>0</v>
      </c>
      <c r="P90" s="12">
        <f>IFERROR(IF(AND(LEN(TRIM(B91))&gt;0,LEN(TRIM(C90))&gt;0),'Bang TH nop'!AZ91,0),0)</f>
        <v>0</v>
      </c>
      <c r="Q90" s="12"/>
      <c r="R90" s="261"/>
      <c r="S90" s="261"/>
      <c r="T90" s="261"/>
      <c r="U90" s="260"/>
      <c r="V90" s="260"/>
      <c r="W90" s="260"/>
      <c r="X90" s="260"/>
      <c r="Y90" s="260"/>
      <c r="Z90" s="260"/>
      <c r="AA90" s="259" t="str">
        <f>IFERROR(
IF(AND(LEN(TRIM(B90))&gt;0,LEN(TRIM(C90))&gt;0),
'Bang TH nop'!AH91,
0
),
0
)</f>
        <v>A</v>
      </c>
      <c r="AB90" s="11"/>
      <c r="AC90" s="11"/>
      <c r="AD90" s="260"/>
      <c r="AE90" s="11"/>
      <c r="AF90" s="260"/>
      <c r="AG90" s="241"/>
      <c r="AH90" s="286"/>
      <c r="AI90" s="287"/>
      <c r="AJ90" s="288"/>
      <c r="AK90" s="287"/>
      <c r="AL90" s="173"/>
    </row>
    <row r="91" spans="1:38" ht="17.100000000000001" customHeight="1">
      <c r="A91" s="306"/>
      <c r="B91" s="308"/>
      <c r="C91" s="310"/>
      <c r="D91" s="319">
        <f>IFERROR(IF(AND(LEN(TRIM(B90))&gt;0,LEN(TRIM(C90))&gt;0),'Bang TH nop'!AP91,""),"")</f>
        <v>0</v>
      </c>
      <c r="E91" s="320"/>
      <c r="F91" s="55">
        <f>IFERROR(IF(AND(LEN(TRIM(B90))&gt;0,LEN(TRIM(C90))&gt;0),'Bang TH nop'!AL91,0),0)</f>
        <v>0</v>
      </c>
      <c r="G91" s="263">
        <f t="shared" ref="G91:G131" si="880">D91*I90/26</f>
        <v>0</v>
      </c>
      <c r="H91" s="263">
        <f t="shared" ref="H91:H131" si="881">D91*J90*150%/(26*8)</f>
        <v>0</v>
      </c>
      <c r="I91" s="263">
        <f t="shared" ref="I91:I131" si="882">IFERROR(
IF(AND(LEN(TRIM(B90))&gt;0,LEN(TRIM(C90))&gt;0),
IF(((I90-N90)*8+N90*7+J90)=0,0,
F91*680*(((I90-N90)*8+N90*7))/(((I90-N90)*8+N90*7+J90))*$I$4
),
0
),
0
)</f>
        <v>0</v>
      </c>
      <c r="J91" s="263">
        <f t="shared" ref="J91:J131" si="883">IFERROR(
IF(AND(LEN(TRIM(B90))&gt;0,LEN(TRIM(C90))&gt;0),
IF(((I90-N90)*8+N90*7+J90)=0,0,
F91*680*150%*J90/(((I90-N90)*8+N90*7+J90))*$I$4
),
0
),
0
)</f>
        <v>0</v>
      </c>
      <c r="K91" s="264">
        <f t="shared" ref="K91:K131" si="884">IFERROR(
IF(AND(LEN(TRIM(B90))&gt;0,LEN(TRIM(C90))&gt;0),
ROUND(D91/26*K90,0),
0
),
0
)</f>
        <v>0</v>
      </c>
      <c r="L91" s="264">
        <f t="shared" ref="L91:L131" si="885">IFERROR(
IF(AND(LEN(TRIM(B90))&gt;0,LEN(TRIM(C90))&gt;0),
ROUND(D91/26*L90,0),
0
),
0
)</f>
        <v>0</v>
      </c>
      <c r="M91" s="264">
        <f t="shared" ref="M91:M131" si="886">IFERROR(
IF(AND(LEN(TRIM(B90))&gt;0,LEN(TRIM(C90))&gt;0),
ROUND(D91/26*M90,0),
0
),
0
)</f>
        <v>0</v>
      </c>
      <c r="N91" s="264">
        <f t="shared" ref="N91:N131" si="887">IFERROR(
IF(AND(LEN(TRIM(B90))&gt;0,LEN(TRIM(C90))&gt;0),
D91*N90/(26*8),
0
),
0
)</f>
        <v>0</v>
      </c>
      <c r="O91" s="264">
        <f t="shared" ref="O91:O131" si="888">IFERROR(
IF(AND(LEN(TRIM(B90))&gt;0,LEN(TRIM(C90))&gt;0),
D91*O90/(26*8),
0
),
0
)</f>
        <v>0</v>
      </c>
      <c r="P91" s="264">
        <f t="shared" ref="P91:P131" si="889">IFERROR(
IF(AND(LEN(TRIM(B90))&gt;0,LEN(TRIM(C90))&gt;0),
(D91/26/8*P90),
0
),
0
)</f>
        <v>0</v>
      </c>
      <c r="Q91" s="56">
        <f>IFERROR(
IF(AND(LEN(TRIM(B90))&gt;0,LEN(TRIM(C90))&gt;0),
'Bang TH nop'!BC91,
0
),
0
)</f>
        <v>0</v>
      </c>
      <c r="R91" s="263">
        <f>IFERROR(
IF(AND(LEN(TRIM(B90))&gt;0,LEN(TRIM(C90))&gt;0),
'Bang TH nop'!BD91,
0
),
0
)</f>
        <v>0</v>
      </c>
      <c r="S91" s="263">
        <f>IFERROR(
IF(AND(LEN(TRIM(B90))&gt;0,LEN(TRIM(C90))&gt;0),
'Bang TH nop'!BJ91,
0
),
0
)</f>
        <v>0</v>
      </c>
      <c r="T91" s="263">
        <f>IFERROR(
IF(AND(LEN(TRIM(B90))&gt;0,LEN(TRIM(C90))&gt;0),
'Bang TH nop'!AW91,
0
),
0
)</f>
        <v>0</v>
      </c>
      <c r="U91" s="264">
        <f t="shared" ref="U91:U131" si="890">IFERROR(
IF(AND(LEN(TRIM(B90))&gt;0,LEN(TRIM(C90))&gt;0),
D91/26/8*U90,
0
),
0
)</f>
        <v>0</v>
      </c>
      <c r="V91" s="264"/>
      <c r="W91" s="264"/>
      <c r="X91" s="263">
        <f t="shared" ref="X91:X131" si="891">+IF(G91-I91&lt;0,0,G91-I91)</f>
        <v>0</v>
      </c>
      <c r="Y91" s="263">
        <f t="shared" ref="Y91:Y131" si="892">+IF(H91-J91&lt;0,0, H91-J91)</f>
        <v>0</v>
      </c>
      <c r="Z91" s="263">
        <f t="shared" ref="Z91" si="893">IFERROR(
IF(AND(LEN(TRIM(B90))&gt;0,LEN(TRIM(C90))&gt;0),
(X91+Y91)*25%,
0
),
0
)</f>
        <v>0</v>
      </c>
      <c r="AA91" s="263">
        <f>IFERROR(
IF(AND(LEN(TRIM(B90))&gt;0,LEN(TRIM(C90))&gt;0),
'Bang TH nop'!BG91,
0
),
0
)</f>
        <v>0</v>
      </c>
      <c r="AB91" s="264">
        <f t="shared" ref="AB91" si="894">IFERROR(
IF(AND(LEN(TRIM(B90))&gt;0,LEN(TRIM(C90))&gt;0),
SUM(I91:W91)+IFERROR(Z91,0)+IFERROR(AA91,0),
0
),
0
)</f>
        <v>0</v>
      </c>
      <c r="AC91" s="263">
        <f t="shared" ref="AC91:AC131" si="895">IFERROR(
IF(AND(LEN(TRIM(B90))&gt;0,LEN(TRIM(C90))&gt;0),
IF((26-(IFERROR(I90,0)+IFERROR(K90,0)+IFERROR(L90,0)+IFERROR(M90,0)))&gt;12,0,D91*10.5%),
0
),
0
)</f>
        <v>0</v>
      </c>
      <c r="AD91" s="291">
        <f t="shared" ref="AD91:AD131" si="896">IFERROR(
IF(AND(LEN(TRIM(B90))&gt;0,LEN(TRIM(C90))&gt;0),
ROUND(IF(D91=4939000,D91*0.5%,0),-2),
0
),
0
)</f>
        <v>0</v>
      </c>
      <c r="AE91" s="264">
        <f t="shared" ref="AE91" si="897">IFERROR(
IF(AND(LEN(TRIM(B90))&gt;0,LEN(TRIM(C90))&gt;0),
ROUND(IFERROR(AB91,0)-IFERROR(AC91,0)-IFERROR(AD91,0),-2),
0
),
0
)</f>
        <v>0</v>
      </c>
      <c r="AF91" s="13">
        <f>IFERROR(
IF(AND(LEN(TRIM(B90))&gt;0,LEN(TRIM(C90))&gt;0),
IFERROR('Bang TH nop'!AR91,0)+IFERROR('Bang TH nop'!AU91,0)+IFERROR('Bang TH nop'!BG91,0),
0
),
0
)</f>
        <v>0</v>
      </c>
      <c r="AG91" s="241"/>
      <c r="AH91" s="266"/>
      <c r="AI91" s="174">
        <f t="shared" ref="AI91" si="898">IFERROR(
IF(AND(LEN(TRIM(B90))&gt;0,LEN(TRIM(C90))&gt;0),
AH91/AG91,
0
),
0
)</f>
        <v>0</v>
      </c>
      <c r="AJ91" s="174">
        <f t="shared" ref="AJ91:AJ131" si="899">IFERROR(
IF(AND(LEN(TRIM(B90))&gt;0,LEN(TRIM(C90))&gt;0),
AL91/AF91,
0
),
0
)</f>
        <v>0</v>
      </c>
      <c r="AK91" s="175">
        <f t="shared" ref="AK91" si="900">IFERROR(
IF(AND(LEN(TRIM(B90))&gt;0,LEN(TRIM(C90))&gt;0),
AJ91/AI91,
0
),
0
)</f>
        <v>0</v>
      </c>
      <c r="AL91" s="176">
        <f t="shared" ref="AL91:AL131" si="901">IFERROR(
IF(AND(LEN(TRIM(B90))&gt;0,LEN(TRIM(C90))&gt;0),
AB91/L91,
0
),
0
)</f>
        <v>0</v>
      </c>
    </row>
    <row r="92" spans="1:38" ht="17.100000000000001" customHeight="1">
      <c r="A92" s="305">
        <v>43</v>
      </c>
      <c r="B92" s="307">
        <f>'Bang TH nop'!B93</f>
        <v>0</v>
      </c>
      <c r="C92" s="309">
        <f>IFERROR(IF(LEN(TRIM(B92))&gt;0,'Bang TH nop'!C93,""),"")</f>
        <v>0</v>
      </c>
      <c r="D92" s="311">
        <f>IFERROR(IF(AND(LEN(TRIM(B92))&gt;0,LEN(TRIM(C92))&gt;0),'Bang TH nop'!AO93,""),"")</f>
        <v>0</v>
      </c>
      <c r="E92" s="312"/>
      <c r="F92" s="259"/>
      <c r="G92" s="260"/>
      <c r="H92" s="260"/>
      <c r="I92" s="10">
        <f>IFERROR(IF(AND(LEN(TRIM(B92))&gt;0,LEN(TRIM(C92))&gt;0),'Bang TH nop'!BB93,0),0)</f>
        <v>0</v>
      </c>
      <c r="J92" s="10">
        <f>IFERROR(IF(AND(LEN(TRIM(B92))&gt;0,LEN(TRIM(C92))&gt;0),'Bang TH nop'!AV93,0),0)</f>
        <v>0</v>
      </c>
      <c r="K92" s="10">
        <f>IFERROR(IF(AND(LEN(TRIM(B92))&gt;0,LEN(TRIM(C92))&gt;0),'Bang TH nop'!AR93,0),0)</f>
        <v>0</v>
      </c>
      <c r="L92" s="12">
        <f>IFERROR(IF(AND(LEN(TRIM(B92))&gt;0,LEN(TRIM(C92))&gt;0),'Bang TH nop'!AS93,0),0)</f>
        <v>0</v>
      </c>
      <c r="M92" s="12">
        <f>IFERROR(IF(AND(LEN(TRIM(C92))&gt;0,LEN(TRIM(D92))&gt;0),'Bang TH nop'!AT93,0),0)</f>
        <v>0</v>
      </c>
      <c r="N92" s="12">
        <f>IFERROR(IF(AND(LEN(TRIM(B92))&gt;0,LEN(TRIM(C92))&gt;0),'Bang TH nop'!AU93,0),0)</f>
        <v>0</v>
      </c>
      <c r="O92" s="12">
        <f>IFERROR(IF(AND(LEN(TRIM(B92))&gt;0,LEN(TRIM(C92))&gt;0),'Bang TH nop'!BE93,0),0)</f>
        <v>0</v>
      </c>
      <c r="P92" s="12">
        <f>IFERROR(IF(AND(LEN(TRIM(B93))&gt;0,LEN(TRIM(C92))&gt;0),'Bang TH nop'!AZ93,0),0)</f>
        <v>0</v>
      </c>
      <c r="Q92" s="12"/>
      <c r="R92" s="261"/>
      <c r="S92" s="261"/>
      <c r="T92" s="261"/>
      <c r="U92" s="260"/>
      <c r="V92" s="260"/>
      <c r="W92" s="260"/>
      <c r="X92" s="260"/>
      <c r="Y92" s="260"/>
      <c r="Z92" s="260"/>
      <c r="AA92" s="259" t="str">
        <f>IFERROR(
IF(AND(LEN(TRIM(B92))&gt;0,LEN(TRIM(C92))&gt;0),
'Bang TH nop'!AH93,
0
),
0
)</f>
        <v>A</v>
      </c>
      <c r="AB92" s="11"/>
      <c r="AC92" s="11"/>
      <c r="AD92" s="260"/>
      <c r="AE92" s="11"/>
      <c r="AF92" s="260"/>
      <c r="AG92" s="241"/>
      <c r="AH92" s="286"/>
      <c r="AI92" s="287"/>
      <c r="AJ92" s="288"/>
      <c r="AK92" s="287"/>
      <c r="AL92" s="173"/>
    </row>
    <row r="93" spans="1:38" ht="17.100000000000001" customHeight="1">
      <c r="A93" s="306"/>
      <c r="B93" s="308"/>
      <c r="C93" s="310"/>
      <c r="D93" s="319">
        <f>IFERROR(IF(AND(LEN(TRIM(B92))&gt;0,LEN(TRIM(C92))&gt;0),'Bang TH nop'!AP93,""),"")</f>
        <v>0</v>
      </c>
      <c r="E93" s="320"/>
      <c r="F93" s="55">
        <f>IFERROR(IF(AND(LEN(TRIM(B92))&gt;0,LEN(TRIM(C92))&gt;0),'Bang TH nop'!AL93,0),0)</f>
        <v>0</v>
      </c>
      <c r="G93" s="263">
        <f t="shared" ref="G93:G131" si="902">D93*I92/26</f>
        <v>0</v>
      </c>
      <c r="H93" s="263">
        <f t="shared" ref="H93:H131" si="903">D93*J92*150%/(26*8)</f>
        <v>0</v>
      </c>
      <c r="I93" s="263">
        <f t="shared" ref="I93:I131" si="904">IFERROR(
IF(AND(LEN(TRIM(B92))&gt;0,LEN(TRIM(C92))&gt;0),
IF(((I92-N92)*8+N92*7+J92)=0,0,
F93*680*(((I92-N92)*8+N92*7))/(((I92-N92)*8+N92*7+J92))*$I$4
),
0
),
0
)</f>
        <v>0</v>
      </c>
      <c r="J93" s="263">
        <f t="shared" ref="J93:J131" si="905">IFERROR(
IF(AND(LEN(TRIM(B92))&gt;0,LEN(TRIM(C92))&gt;0),
IF(((I92-N92)*8+N92*7+J92)=0,0,
F93*680*150%*J92/(((I92-N92)*8+N92*7+J92))*$I$4
),
0
),
0
)</f>
        <v>0</v>
      </c>
      <c r="K93" s="264">
        <f t="shared" ref="K93:K131" si="906">IFERROR(
IF(AND(LEN(TRIM(B92))&gt;0,LEN(TRIM(C92))&gt;0),
ROUND(D93/26*K92,0),
0
),
0
)</f>
        <v>0</v>
      </c>
      <c r="L93" s="264">
        <f t="shared" ref="L93:L131" si="907">IFERROR(
IF(AND(LEN(TRIM(B92))&gt;0,LEN(TRIM(C92))&gt;0),
ROUND(D93/26*L92,0),
0
),
0
)</f>
        <v>0</v>
      </c>
      <c r="M93" s="264">
        <f t="shared" ref="M93:M131" si="908">IFERROR(
IF(AND(LEN(TRIM(B92))&gt;0,LEN(TRIM(C92))&gt;0),
ROUND(D93/26*M92,0),
0
),
0
)</f>
        <v>0</v>
      </c>
      <c r="N93" s="264">
        <f t="shared" ref="N93:N131" si="909">IFERROR(
IF(AND(LEN(TRIM(B92))&gt;0,LEN(TRIM(C92))&gt;0),
D93*N92/(26*8),
0
),
0
)</f>
        <v>0</v>
      </c>
      <c r="O93" s="264">
        <f t="shared" ref="O93:O131" si="910">IFERROR(
IF(AND(LEN(TRIM(B92))&gt;0,LEN(TRIM(C92))&gt;0),
D93*O92/(26*8),
0
),
0
)</f>
        <v>0</v>
      </c>
      <c r="P93" s="264">
        <f t="shared" ref="P93:P131" si="911">IFERROR(
IF(AND(LEN(TRIM(B92))&gt;0,LEN(TRIM(C92))&gt;0),
(D93/26/8*P92),
0
),
0
)</f>
        <v>0</v>
      </c>
      <c r="Q93" s="56">
        <f>IFERROR(
IF(AND(LEN(TRIM(B92))&gt;0,LEN(TRIM(C92))&gt;0),
'Bang TH nop'!BC93,
0
),
0
)</f>
        <v>0</v>
      </c>
      <c r="R93" s="263">
        <f>IFERROR(
IF(AND(LEN(TRIM(B92))&gt;0,LEN(TRIM(C92))&gt;0),
'Bang TH nop'!BD93,
0
),
0
)</f>
        <v>0</v>
      </c>
      <c r="S93" s="263">
        <f>IFERROR(
IF(AND(LEN(TRIM(B92))&gt;0,LEN(TRIM(C92))&gt;0),
'Bang TH nop'!BJ93,
0
),
0
)</f>
        <v>0</v>
      </c>
      <c r="T93" s="263">
        <f>IFERROR(
IF(AND(LEN(TRIM(B92))&gt;0,LEN(TRIM(C92))&gt;0),
'Bang TH nop'!AW93,
0
),
0
)</f>
        <v>0</v>
      </c>
      <c r="U93" s="264">
        <f t="shared" ref="U93:U131" si="912">IFERROR(
IF(AND(LEN(TRIM(B92))&gt;0,LEN(TRIM(C92))&gt;0),
D93/26/8*U92,
0
),
0
)</f>
        <v>0</v>
      </c>
      <c r="V93" s="264"/>
      <c r="W93" s="264"/>
      <c r="X93" s="263">
        <f t="shared" ref="X93:X131" si="913">+IF(G93-I93&lt;0,0,G93-I93)</f>
        <v>0</v>
      </c>
      <c r="Y93" s="263">
        <f t="shared" ref="Y93:Y131" si="914">+IF(H93-J93&lt;0,0, H93-J93)</f>
        <v>0</v>
      </c>
      <c r="Z93" s="263">
        <f t="shared" ref="Z93" si="915">IFERROR(
IF(AND(LEN(TRIM(B92))&gt;0,LEN(TRIM(C92))&gt;0),
(X93+Y93)*25%,
0
),
0
)</f>
        <v>0</v>
      </c>
      <c r="AA93" s="263">
        <f>IFERROR(
IF(AND(LEN(TRIM(B92))&gt;0,LEN(TRIM(C92))&gt;0),
'Bang TH nop'!BG93,
0
),
0
)</f>
        <v>0</v>
      </c>
      <c r="AB93" s="264">
        <f t="shared" ref="AB93" si="916">IFERROR(
IF(AND(LEN(TRIM(B92))&gt;0,LEN(TRIM(C92))&gt;0),
SUM(I93:W93)+IFERROR(Z93,0)+IFERROR(AA93,0),
0
),
0
)</f>
        <v>0</v>
      </c>
      <c r="AC93" s="263">
        <f t="shared" ref="AC93:AC131" si="917">IFERROR(
IF(AND(LEN(TRIM(B92))&gt;0,LEN(TRIM(C92))&gt;0),
IF((26-(IFERROR(I92,0)+IFERROR(K92,0)+IFERROR(L92,0)+IFERROR(M92,0)))&gt;12,0,D93*10.5%),
0
),
0
)</f>
        <v>0</v>
      </c>
      <c r="AD93" s="291">
        <f t="shared" ref="AD93:AD131" si="918">IFERROR(
IF(AND(LEN(TRIM(B92))&gt;0,LEN(TRIM(C92))&gt;0),
ROUND(IF(D93=4939000,D93*0.5%,0),-2),
0
),
0
)</f>
        <v>0</v>
      </c>
      <c r="AE93" s="264">
        <f t="shared" ref="AE93" si="919">IFERROR(
IF(AND(LEN(TRIM(B92))&gt;0,LEN(TRIM(C92))&gt;0),
ROUND(IFERROR(AB93,0)-IFERROR(AC93,0)-IFERROR(AD93,0),-2),
0
),
0
)</f>
        <v>0</v>
      </c>
      <c r="AF93" s="13">
        <f>IFERROR(
IF(AND(LEN(TRIM(B92))&gt;0,LEN(TRIM(C92))&gt;0),
IFERROR('Bang TH nop'!AR93,0)+IFERROR('Bang TH nop'!AU93,0)+IFERROR('Bang TH nop'!BG93,0),
0
),
0
)</f>
        <v>0</v>
      </c>
      <c r="AG93" s="241"/>
      <c r="AH93" s="266"/>
      <c r="AI93" s="174">
        <f t="shared" ref="AI93" si="920">IFERROR(
IF(AND(LEN(TRIM(B92))&gt;0,LEN(TRIM(C92))&gt;0),
AH93/AG93,
0
),
0
)</f>
        <v>0</v>
      </c>
      <c r="AJ93" s="174">
        <f t="shared" ref="AJ93:AJ131" si="921">IFERROR(
IF(AND(LEN(TRIM(B92))&gt;0,LEN(TRIM(C92))&gt;0),
AL93/AF93,
0
),
0
)</f>
        <v>0</v>
      </c>
      <c r="AK93" s="175">
        <f t="shared" ref="AK93" si="922">IFERROR(
IF(AND(LEN(TRIM(B92))&gt;0,LEN(TRIM(C92))&gt;0),
AJ93/AI93,
0
),
0
)</f>
        <v>0</v>
      </c>
      <c r="AL93" s="176">
        <f t="shared" ref="AL93:AL131" si="923">IFERROR(
IF(AND(LEN(TRIM(B92))&gt;0,LEN(TRIM(C92))&gt;0),
AB93/L93,
0
),
0
)</f>
        <v>0</v>
      </c>
    </row>
    <row r="94" spans="1:38" ht="17.100000000000001" customHeight="1">
      <c r="A94" s="305">
        <v>44</v>
      </c>
      <c r="B94" s="307">
        <f>'Bang TH nop'!B95</f>
        <v>0</v>
      </c>
      <c r="C94" s="309">
        <f>IFERROR(IF(LEN(TRIM(B94))&gt;0,'Bang TH nop'!C95,""),"")</f>
        <v>0</v>
      </c>
      <c r="D94" s="311">
        <f>IFERROR(IF(AND(LEN(TRIM(B94))&gt;0,LEN(TRIM(C94))&gt;0),'Bang TH nop'!AO95,""),"")</f>
        <v>0</v>
      </c>
      <c r="E94" s="312"/>
      <c r="F94" s="259"/>
      <c r="G94" s="260"/>
      <c r="H94" s="260"/>
      <c r="I94" s="10">
        <f>IFERROR(IF(AND(LEN(TRIM(B94))&gt;0,LEN(TRIM(C94))&gt;0),'Bang TH nop'!BB95,0),0)</f>
        <v>0</v>
      </c>
      <c r="J94" s="10">
        <f>IFERROR(IF(AND(LEN(TRIM(B94))&gt;0,LEN(TRIM(C94))&gt;0),'Bang TH nop'!AV95,0),0)</f>
        <v>0</v>
      </c>
      <c r="K94" s="10">
        <f>IFERROR(IF(AND(LEN(TRIM(B94))&gt;0,LEN(TRIM(C94))&gt;0),'Bang TH nop'!AR95,0),0)</f>
        <v>0</v>
      </c>
      <c r="L94" s="12">
        <f>IFERROR(IF(AND(LEN(TRIM(B94))&gt;0,LEN(TRIM(C94))&gt;0),'Bang TH nop'!AS95,0),0)</f>
        <v>0</v>
      </c>
      <c r="M94" s="12">
        <f>IFERROR(IF(AND(LEN(TRIM(C94))&gt;0,LEN(TRIM(D94))&gt;0),'Bang TH nop'!AT95,0),0)</f>
        <v>0</v>
      </c>
      <c r="N94" s="12">
        <f>IFERROR(IF(AND(LEN(TRIM(B94))&gt;0,LEN(TRIM(C94))&gt;0),'Bang TH nop'!AU95,0),0)</f>
        <v>0</v>
      </c>
      <c r="O94" s="12">
        <f>IFERROR(IF(AND(LEN(TRIM(B94))&gt;0,LEN(TRIM(C94))&gt;0),'Bang TH nop'!BE95,0),0)</f>
        <v>0</v>
      </c>
      <c r="P94" s="12">
        <f>IFERROR(IF(AND(LEN(TRIM(B95))&gt;0,LEN(TRIM(C94))&gt;0),'Bang TH nop'!AZ95,0),0)</f>
        <v>0</v>
      </c>
      <c r="Q94" s="12"/>
      <c r="R94" s="261"/>
      <c r="S94" s="261"/>
      <c r="T94" s="261"/>
      <c r="U94" s="260"/>
      <c r="V94" s="260"/>
      <c r="W94" s="260"/>
      <c r="X94" s="260"/>
      <c r="Y94" s="260"/>
      <c r="Z94" s="260"/>
      <c r="AA94" s="259" t="str">
        <f>IFERROR(
IF(AND(LEN(TRIM(B94))&gt;0,LEN(TRIM(C94))&gt;0),
'Bang TH nop'!AH95,
0
),
0
)</f>
        <v>A</v>
      </c>
      <c r="AB94" s="11"/>
      <c r="AC94" s="11"/>
      <c r="AD94" s="260"/>
      <c r="AE94" s="11"/>
      <c r="AF94" s="260"/>
      <c r="AG94" s="241"/>
      <c r="AH94" s="286"/>
      <c r="AI94" s="287"/>
      <c r="AJ94" s="288"/>
      <c r="AK94" s="287"/>
      <c r="AL94" s="173"/>
    </row>
    <row r="95" spans="1:38" ht="17.100000000000001" customHeight="1">
      <c r="A95" s="306"/>
      <c r="B95" s="308"/>
      <c r="C95" s="310"/>
      <c r="D95" s="319">
        <f>IFERROR(IF(AND(LEN(TRIM(B94))&gt;0,LEN(TRIM(C94))&gt;0),'Bang TH nop'!AP95,""),"")</f>
        <v>0</v>
      </c>
      <c r="E95" s="320"/>
      <c r="F95" s="55">
        <f>IFERROR(IF(AND(LEN(TRIM(B94))&gt;0,LEN(TRIM(C94))&gt;0),'Bang TH nop'!AL95,0),0)</f>
        <v>0</v>
      </c>
      <c r="G95" s="263">
        <f t="shared" ref="G95:G131" si="924">D95*I94/26</f>
        <v>0</v>
      </c>
      <c r="H95" s="263">
        <f t="shared" ref="H95:H131" si="925">D95*J94*150%/(26*8)</f>
        <v>0</v>
      </c>
      <c r="I95" s="263">
        <f t="shared" ref="I95:I131" si="926">IFERROR(
IF(AND(LEN(TRIM(B94))&gt;0,LEN(TRIM(C94))&gt;0),
IF(((I94-N94)*8+N94*7+J94)=0,0,
F95*680*(((I94-N94)*8+N94*7))/(((I94-N94)*8+N94*7+J94))*$I$4
),
0
),
0
)</f>
        <v>0</v>
      </c>
      <c r="J95" s="263">
        <f t="shared" ref="J95:J131" si="927">IFERROR(
IF(AND(LEN(TRIM(B94))&gt;0,LEN(TRIM(C94))&gt;0),
IF(((I94-N94)*8+N94*7+J94)=0,0,
F95*680*150%*J94/(((I94-N94)*8+N94*7+J94))*$I$4
),
0
),
0
)</f>
        <v>0</v>
      </c>
      <c r="K95" s="264">
        <f t="shared" ref="K95:K131" si="928">IFERROR(
IF(AND(LEN(TRIM(B94))&gt;0,LEN(TRIM(C94))&gt;0),
ROUND(D95/26*K94,0),
0
),
0
)</f>
        <v>0</v>
      </c>
      <c r="L95" s="264">
        <f t="shared" ref="L95:L131" si="929">IFERROR(
IF(AND(LEN(TRIM(B94))&gt;0,LEN(TRIM(C94))&gt;0),
ROUND(D95/26*L94,0),
0
),
0
)</f>
        <v>0</v>
      </c>
      <c r="M95" s="264">
        <f t="shared" ref="M95:M131" si="930">IFERROR(
IF(AND(LEN(TRIM(B94))&gt;0,LEN(TRIM(C94))&gt;0),
ROUND(D95/26*M94,0),
0
),
0
)</f>
        <v>0</v>
      </c>
      <c r="N95" s="264">
        <f t="shared" ref="N95:N131" si="931">IFERROR(
IF(AND(LEN(TRIM(B94))&gt;0,LEN(TRIM(C94))&gt;0),
D95*N94/(26*8),
0
),
0
)</f>
        <v>0</v>
      </c>
      <c r="O95" s="264">
        <f t="shared" ref="O95:O131" si="932">IFERROR(
IF(AND(LEN(TRIM(B94))&gt;0,LEN(TRIM(C94))&gt;0),
D95*O94/(26*8),
0
),
0
)</f>
        <v>0</v>
      </c>
      <c r="P95" s="264">
        <f t="shared" ref="P95:P131" si="933">IFERROR(
IF(AND(LEN(TRIM(B94))&gt;0,LEN(TRIM(C94))&gt;0),
(D95/26/8*P94),
0
),
0
)</f>
        <v>0</v>
      </c>
      <c r="Q95" s="56">
        <f>IFERROR(
IF(AND(LEN(TRIM(B94))&gt;0,LEN(TRIM(C94))&gt;0),
'Bang TH nop'!BC95,
0
),
0
)</f>
        <v>0</v>
      </c>
      <c r="R95" s="263">
        <f>IFERROR(
IF(AND(LEN(TRIM(B94))&gt;0,LEN(TRIM(C94))&gt;0),
'Bang TH nop'!BD95,
0
),
0
)</f>
        <v>0</v>
      </c>
      <c r="S95" s="263">
        <f>IFERROR(
IF(AND(LEN(TRIM(B94))&gt;0,LEN(TRIM(C94))&gt;0),
'Bang TH nop'!BJ95,
0
),
0
)</f>
        <v>0</v>
      </c>
      <c r="T95" s="263">
        <f>IFERROR(
IF(AND(LEN(TRIM(B94))&gt;0,LEN(TRIM(C94))&gt;0),
'Bang TH nop'!AW95,
0
),
0
)</f>
        <v>0</v>
      </c>
      <c r="U95" s="264">
        <f t="shared" ref="U95:U131" si="934">IFERROR(
IF(AND(LEN(TRIM(B94))&gt;0,LEN(TRIM(C94))&gt;0),
D95/26/8*U94,
0
),
0
)</f>
        <v>0</v>
      </c>
      <c r="V95" s="264"/>
      <c r="W95" s="264"/>
      <c r="X95" s="263">
        <f t="shared" ref="X95:X131" si="935">+IF(G95-I95&lt;0,0,G95-I95)</f>
        <v>0</v>
      </c>
      <c r="Y95" s="263">
        <f t="shared" ref="Y95:Y131" si="936">+IF(H95-J95&lt;0,0, H95-J95)</f>
        <v>0</v>
      </c>
      <c r="Z95" s="263">
        <f t="shared" ref="Z95" si="937">IFERROR(
IF(AND(LEN(TRIM(B94))&gt;0,LEN(TRIM(C94))&gt;0),
(X95+Y95)*25%,
0
),
0
)</f>
        <v>0</v>
      </c>
      <c r="AA95" s="263">
        <f>IFERROR(
IF(AND(LEN(TRIM(B94))&gt;0,LEN(TRIM(C94))&gt;0),
'Bang TH nop'!BG95,
0
),
0
)</f>
        <v>0</v>
      </c>
      <c r="AB95" s="264">
        <f t="shared" ref="AB95" si="938">IFERROR(
IF(AND(LEN(TRIM(B94))&gt;0,LEN(TRIM(C94))&gt;0),
SUM(I95:W95)+IFERROR(Z95,0)+IFERROR(AA95,0),
0
),
0
)</f>
        <v>0</v>
      </c>
      <c r="AC95" s="263">
        <f t="shared" ref="AC95:AC131" si="939">IFERROR(
IF(AND(LEN(TRIM(B94))&gt;0,LEN(TRIM(C94))&gt;0),
IF((26-(IFERROR(I94,0)+IFERROR(K94,0)+IFERROR(L94,0)+IFERROR(M94,0)))&gt;12,0,D95*10.5%),
0
),
0
)</f>
        <v>0</v>
      </c>
      <c r="AD95" s="291">
        <f t="shared" ref="AD95:AD131" si="940">IFERROR(
IF(AND(LEN(TRIM(B94))&gt;0,LEN(TRIM(C94))&gt;0),
ROUND(IF(D95=4939000,D95*0.5%,0),-2),
0
),
0
)</f>
        <v>0</v>
      </c>
      <c r="AE95" s="264">
        <f t="shared" ref="AE95" si="941">IFERROR(
IF(AND(LEN(TRIM(B94))&gt;0,LEN(TRIM(C94))&gt;0),
ROUND(IFERROR(AB95,0)-IFERROR(AC95,0)-IFERROR(AD95,0),-2),
0
),
0
)</f>
        <v>0</v>
      </c>
      <c r="AF95" s="13">
        <f>IFERROR(
IF(AND(LEN(TRIM(B94))&gt;0,LEN(TRIM(C94))&gt;0),
IFERROR('Bang TH nop'!AR95,0)+IFERROR('Bang TH nop'!AU95,0)+IFERROR('Bang TH nop'!BG95,0),
0
),
0
)</f>
        <v>0</v>
      </c>
      <c r="AG95" s="241"/>
      <c r="AH95" s="266"/>
      <c r="AI95" s="174">
        <f t="shared" ref="AI95" si="942">IFERROR(
IF(AND(LEN(TRIM(B94))&gt;0,LEN(TRIM(C94))&gt;0),
AH95/AG95,
0
),
0
)</f>
        <v>0</v>
      </c>
      <c r="AJ95" s="174">
        <f t="shared" ref="AJ95:AJ131" si="943">IFERROR(
IF(AND(LEN(TRIM(B94))&gt;0,LEN(TRIM(C94))&gt;0),
AL95/AF95,
0
),
0
)</f>
        <v>0</v>
      </c>
      <c r="AK95" s="175">
        <f t="shared" ref="AK95" si="944">IFERROR(
IF(AND(LEN(TRIM(B94))&gt;0,LEN(TRIM(C94))&gt;0),
AJ95/AI95,
0
),
0
)</f>
        <v>0</v>
      </c>
      <c r="AL95" s="176">
        <f t="shared" ref="AL95:AL131" si="945">IFERROR(
IF(AND(LEN(TRIM(B94))&gt;0,LEN(TRIM(C94))&gt;0),
AB95/L95,
0
),
0
)</f>
        <v>0</v>
      </c>
    </row>
    <row r="96" spans="1:38" ht="17.100000000000001" customHeight="1">
      <c r="A96" s="305">
        <v>45</v>
      </c>
      <c r="B96" s="307">
        <f>'Bang TH nop'!B97</f>
        <v>0</v>
      </c>
      <c r="C96" s="309">
        <f>IFERROR(IF(LEN(TRIM(B96))&gt;0,'Bang TH nop'!C97,""),"")</f>
        <v>0</v>
      </c>
      <c r="D96" s="311">
        <f>IFERROR(IF(AND(LEN(TRIM(B96))&gt;0,LEN(TRIM(C96))&gt;0),'Bang TH nop'!AO97,""),"")</f>
        <v>0</v>
      </c>
      <c r="E96" s="312"/>
      <c r="F96" s="259"/>
      <c r="G96" s="260"/>
      <c r="H96" s="260"/>
      <c r="I96" s="10">
        <f>IFERROR(IF(AND(LEN(TRIM(B96))&gt;0,LEN(TRIM(C96))&gt;0),'Bang TH nop'!BB97,0),0)</f>
        <v>0</v>
      </c>
      <c r="J96" s="10">
        <f>IFERROR(IF(AND(LEN(TRIM(B96))&gt;0,LEN(TRIM(C96))&gt;0),'Bang TH nop'!AV97,0),0)</f>
        <v>0</v>
      </c>
      <c r="K96" s="10">
        <f>IFERROR(IF(AND(LEN(TRIM(B96))&gt;0,LEN(TRIM(C96))&gt;0),'Bang TH nop'!AR97,0),0)</f>
        <v>0</v>
      </c>
      <c r="L96" s="12">
        <f>IFERROR(IF(AND(LEN(TRIM(B96))&gt;0,LEN(TRIM(C96))&gt;0),'Bang TH nop'!AS97,0),0)</f>
        <v>0</v>
      </c>
      <c r="M96" s="12">
        <f>IFERROR(IF(AND(LEN(TRIM(C96))&gt;0,LEN(TRIM(D96))&gt;0),'Bang TH nop'!AT97,0),0)</f>
        <v>0</v>
      </c>
      <c r="N96" s="12">
        <f>IFERROR(IF(AND(LEN(TRIM(B96))&gt;0,LEN(TRIM(C96))&gt;0),'Bang TH nop'!AU97,0),0)</f>
        <v>0</v>
      </c>
      <c r="O96" s="12">
        <f>IFERROR(IF(AND(LEN(TRIM(B96))&gt;0,LEN(TRIM(C96))&gt;0),'Bang TH nop'!BE97,0),0)</f>
        <v>0</v>
      </c>
      <c r="P96" s="12">
        <f>IFERROR(IF(AND(LEN(TRIM(B97))&gt;0,LEN(TRIM(C96))&gt;0),'Bang TH nop'!AZ97,0),0)</f>
        <v>0</v>
      </c>
      <c r="Q96" s="12"/>
      <c r="R96" s="261"/>
      <c r="S96" s="261"/>
      <c r="T96" s="261"/>
      <c r="U96" s="260"/>
      <c r="V96" s="260"/>
      <c r="W96" s="260"/>
      <c r="X96" s="260"/>
      <c r="Y96" s="260"/>
      <c r="Z96" s="260"/>
      <c r="AA96" s="259" t="str">
        <f>IFERROR(
IF(AND(LEN(TRIM(B96))&gt;0,LEN(TRIM(C96))&gt;0),
'Bang TH nop'!AH97,
0
),
0
)</f>
        <v>A</v>
      </c>
      <c r="AB96" s="11"/>
      <c r="AC96" s="11"/>
      <c r="AD96" s="260"/>
      <c r="AE96" s="11"/>
      <c r="AF96" s="260"/>
      <c r="AG96" s="241"/>
      <c r="AH96" s="286"/>
      <c r="AI96" s="287"/>
      <c r="AJ96" s="288"/>
      <c r="AK96" s="287"/>
      <c r="AL96" s="173"/>
    </row>
    <row r="97" spans="1:38" ht="17.100000000000001" customHeight="1">
      <c r="A97" s="306"/>
      <c r="B97" s="308"/>
      <c r="C97" s="310"/>
      <c r="D97" s="319">
        <f>IFERROR(IF(AND(LEN(TRIM(B96))&gt;0,LEN(TRIM(C96))&gt;0),'Bang TH nop'!AP97,""),"")</f>
        <v>0</v>
      </c>
      <c r="E97" s="320"/>
      <c r="F97" s="55">
        <f>IFERROR(IF(AND(LEN(TRIM(B96))&gt;0,LEN(TRIM(C96))&gt;0),'Bang TH nop'!AL97,0),0)</f>
        <v>0</v>
      </c>
      <c r="G97" s="263">
        <f t="shared" ref="G97:G131" si="946">D97*I96/26</f>
        <v>0</v>
      </c>
      <c r="H97" s="263">
        <f t="shared" ref="H97:H131" si="947">D97*J96*150%/(26*8)</f>
        <v>0</v>
      </c>
      <c r="I97" s="263">
        <f t="shared" ref="I97:I131" si="948">IFERROR(
IF(AND(LEN(TRIM(B96))&gt;0,LEN(TRIM(C96))&gt;0),
IF(((I96-N96)*8+N96*7+J96)=0,0,
F97*680*(((I96-N96)*8+N96*7))/(((I96-N96)*8+N96*7+J96))*$I$4
),
0
),
0
)</f>
        <v>0</v>
      </c>
      <c r="J97" s="263">
        <f t="shared" ref="J97:J131" si="949">IFERROR(
IF(AND(LEN(TRIM(B96))&gt;0,LEN(TRIM(C96))&gt;0),
IF(((I96-N96)*8+N96*7+J96)=0,0,
F97*680*150%*J96/(((I96-N96)*8+N96*7+J96))*$I$4
),
0
),
0
)</f>
        <v>0</v>
      </c>
      <c r="K97" s="264">
        <f t="shared" ref="K97:K131" si="950">IFERROR(
IF(AND(LEN(TRIM(B96))&gt;0,LEN(TRIM(C96))&gt;0),
ROUND(D97/26*K96,0),
0
),
0
)</f>
        <v>0</v>
      </c>
      <c r="L97" s="264">
        <f t="shared" ref="L97:L131" si="951">IFERROR(
IF(AND(LEN(TRIM(B96))&gt;0,LEN(TRIM(C96))&gt;0),
ROUND(D97/26*L96,0),
0
),
0
)</f>
        <v>0</v>
      </c>
      <c r="M97" s="264">
        <f t="shared" ref="M97:M131" si="952">IFERROR(
IF(AND(LEN(TRIM(B96))&gt;0,LEN(TRIM(C96))&gt;0),
ROUND(D97/26*M96,0),
0
),
0
)</f>
        <v>0</v>
      </c>
      <c r="N97" s="264">
        <f t="shared" ref="N97:N131" si="953">IFERROR(
IF(AND(LEN(TRIM(B96))&gt;0,LEN(TRIM(C96))&gt;0),
D97*N96/(26*8),
0
),
0
)</f>
        <v>0</v>
      </c>
      <c r="O97" s="264">
        <f t="shared" ref="O97:O131" si="954">IFERROR(
IF(AND(LEN(TRIM(B96))&gt;0,LEN(TRIM(C96))&gt;0),
D97*O96/(26*8),
0
),
0
)</f>
        <v>0</v>
      </c>
      <c r="P97" s="264">
        <f t="shared" ref="P97:P131" si="955">IFERROR(
IF(AND(LEN(TRIM(B96))&gt;0,LEN(TRIM(C96))&gt;0),
(D97/26/8*P96),
0
),
0
)</f>
        <v>0</v>
      </c>
      <c r="Q97" s="56">
        <f>IFERROR(
IF(AND(LEN(TRIM(B96))&gt;0,LEN(TRIM(C96))&gt;0),
'Bang TH nop'!BC97,
0
),
0
)</f>
        <v>0</v>
      </c>
      <c r="R97" s="263">
        <f>IFERROR(
IF(AND(LEN(TRIM(B96))&gt;0,LEN(TRIM(C96))&gt;0),
'Bang TH nop'!BD97,
0
),
0
)</f>
        <v>0</v>
      </c>
      <c r="S97" s="263">
        <f>IFERROR(
IF(AND(LEN(TRIM(B96))&gt;0,LEN(TRIM(C96))&gt;0),
'Bang TH nop'!BJ97,
0
),
0
)</f>
        <v>0</v>
      </c>
      <c r="T97" s="263">
        <f>IFERROR(
IF(AND(LEN(TRIM(B96))&gt;0,LEN(TRIM(C96))&gt;0),
'Bang TH nop'!AW97,
0
),
0
)</f>
        <v>0</v>
      </c>
      <c r="U97" s="264">
        <f t="shared" ref="U97:U131" si="956">IFERROR(
IF(AND(LEN(TRIM(B96))&gt;0,LEN(TRIM(C96))&gt;0),
D97/26/8*U96,
0
),
0
)</f>
        <v>0</v>
      </c>
      <c r="V97" s="264"/>
      <c r="W97" s="264"/>
      <c r="X97" s="263">
        <f t="shared" ref="X97:X131" si="957">+IF(G97-I97&lt;0,0,G97-I97)</f>
        <v>0</v>
      </c>
      <c r="Y97" s="263">
        <f t="shared" ref="Y97:Y131" si="958">+IF(H97-J97&lt;0,0, H97-J97)</f>
        <v>0</v>
      </c>
      <c r="Z97" s="263">
        <f t="shared" ref="Z97" si="959">IFERROR(
IF(AND(LEN(TRIM(B96))&gt;0,LEN(TRIM(C96))&gt;0),
(X97+Y97)*25%,
0
),
0
)</f>
        <v>0</v>
      </c>
      <c r="AA97" s="263">
        <f>IFERROR(
IF(AND(LEN(TRIM(B96))&gt;0,LEN(TRIM(C96))&gt;0),
'Bang TH nop'!BG97,
0
),
0
)</f>
        <v>0</v>
      </c>
      <c r="AB97" s="264">
        <f t="shared" ref="AB97" si="960">IFERROR(
IF(AND(LEN(TRIM(B96))&gt;0,LEN(TRIM(C96))&gt;0),
SUM(I97:W97)+IFERROR(Z97,0)+IFERROR(AA97,0),
0
),
0
)</f>
        <v>0</v>
      </c>
      <c r="AC97" s="263">
        <f t="shared" ref="AC97:AC131" si="961">IFERROR(
IF(AND(LEN(TRIM(B96))&gt;0,LEN(TRIM(C96))&gt;0),
IF((26-(IFERROR(I96,0)+IFERROR(K96,0)+IFERROR(L96,0)+IFERROR(M96,0)))&gt;12,0,D97*10.5%),
0
),
0
)</f>
        <v>0</v>
      </c>
      <c r="AD97" s="291">
        <f t="shared" ref="AD97:AD131" si="962">IFERROR(
IF(AND(LEN(TRIM(B96))&gt;0,LEN(TRIM(C96))&gt;0),
ROUND(IF(D97=4939000,D97*0.5%,0),-2),
0
),
0
)</f>
        <v>0</v>
      </c>
      <c r="AE97" s="264">
        <f t="shared" ref="AE97" si="963">IFERROR(
IF(AND(LEN(TRIM(B96))&gt;0,LEN(TRIM(C96))&gt;0),
ROUND(IFERROR(AB97,0)-IFERROR(AC97,0)-IFERROR(AD97,0),-2),
0
),
0
)</f>
        <v>0</v>
      </c>
      <c r="AF97" s="13">
        <f>IFERROR(
IF(AND(LEN(TRIM(B96))&gt;0,LEN(TRIM(C96))&gt;0),
IFERROR('Bang TH nop'!AR97,0)+IFERROR('Bang TH nop'!AU97,0)+IFERROR('Bang TH nop'!BG97,0),
0
),
0
)</f>
        <v>0</v>
      </c>
      <c r="AG97" s="241"/>
      <c r="AH97" s="266"/>
      <c r="AI97" s="174">
        <f t="shared" ref="AI97" si="964">IFERROR(
IF(AND(LEN(TRIM(B96))&gt;0,LEN(TRIM(C96))&gt;0),
AH97/AG97,
0
),
0
)</f>
        <v>0</v>
      </c>
      <c r="AJ97" s="174">
        <f t="shared" ref="AJ97:AJ131" si="965">IFERROR(
IF(AND(LEN(TRIM(B96))&gt;0,LEN(TRIM(C96))&gt;0),
AL97/AF97,
0
),
0
)</f>
        <v>0</v>
      </c>
      <c r="AK97" s="175">
        <f t="shared" ref="AK97" si="966">IFERROR(
IF(AND(LEN(TRIM(B96))&gt;0,LEN(TRIM(C96))&gt;0),
AJ97/AI97,
0
),
0
)</f>
        <v>0</v>
      </c>
      <c r="AL97" s="176">
        <f t="shared" ref="AL97:AL131" si="967">IFERROR(
IF(AND(LEN(TRIM(B96))&gt;0,LEN(TRIM(C96))&gt;0),
AB97/L97,
0
),
0
)</f>
        <v>0</v>
      </c>
    </row>
    <row r="98" spans="1:38" ht="17.100000000000001" customHeight="1">
      <c r="A98" s="305">
        <v>46</v>
      </c>
      <c r="B98" s="307">
        <f>'Bang TH nop'!B99</f>
        <v>0</v>
      </c>
      <c r="C98" s="309">
        <f>IFERROR(IF(LEN(TRIM(B98))&gt;0,'Bang TH nop'!C99,""),"")</f>
        <v>0</v>
      </c>
      <c r="D98" s="311">
        <f>IFERROR(IF(AND(LEN(TRIM(B98))&gt;0,LEN(TRIM(C98))&gt;0),'Bang TH nop'!AO99,""),"")</f>
        <v>0</v>
      </c>
      <c r="E98" s="312"/>
      <c r="F98" s="259"/>
      <c r="G98" s="260"/>
      <c r="H98" s="260"/>
      <c r="I98" s="10">
        <f>IFERROR(IF(AND(LEN(TRIM(B98))&gt;0,LEN(TRIM(C98))&gt;0),'Bang TH nop'!BB99,0),0)</f>
        <v>0</v>
      </c>
      <c r="J98" s="10">
        <f>IFERROR(IF(AND(LEN(TRIM(B98))&gt;0,LEN(TRIM(C98))&gt;0),'Bang TH nop'!AV99,0),0)</f>
        <v>0</v>
      </c>
      <c r="K98" s="10">
        <f>IFERROR(IF(AND(LEN(TRIM(B98))&gt;0,LEN(TRIM(C98))&gt;0),'Bang TH nop'!AR99,0),0)</f>
        <v>0</v>
      </c>
      <c r="L98" s="12">
        <f>IFERROR(IF(AND(LEN(TRIM(B98))&gt;0,LEN(TRIM(C98))&gt;0),'Bang TH nop'!AS99,0),0)</f>
        <v>0</v>
      </c>
      <c r="M98" s="12">
        <f>IFERROR(IF(AND(LEN(TRIM(C98))&gt;0,LEN(TRIM(D98))&gt;0),'Bang TH nop'!AT99,0),0)</f>
        <v>0</v>
      </c>
      <c r="N98" s="12">
        <f>IFERROR(IF(AND(LEN(TRIM(B98))&gt;0,LEN(TRIM(C98))&gt;0),'Bang TH nop'!AU99,0),0)</f>
        <v>0</v>
      </c>
      <c r="O98" s="12">
        <f>IFERROR(IF(AND(LEN(TRIM(B98))&gt;0,LEN(TRIM(C98))&gt;0),'Bang TH nop'!BE99,0),0)</f>
        <v>0</v>
      </c>
      <c r="P98" s="12">
        <f>IFERROR(IF(AND(LEN(TRIM(B99))&gt;0,LEN(TRIM(C98))&gt;0),'Bang TH nop'!AZ99,0),0)</f>
        <v>0</v>
      </c>
      <c r="Q98" s="12"/>
      <c r="R98" s="261"/>
      <c r="S98" s="261"/>
      <c r="T98" s="261"/>
      <c r="U98" s="260"/>
      <c r="V98" s="260"/>
      <c r="W98" s="260"/>
      <c r="X98" s="260"/>
      <c r="Y98" s="260"/>
      <c r="Z98" s="260"/>
      <c r="AA98" s="259" t="str">
        <f>IFERROR(
IF(AND(LEN(TRIM(B98))&gt;0,LEN(TRIM(C98))&gt;0),
'Bang TH nop'!AH99,
0
),
0
)</f>
        <v>A</v>
      </c>
      <c r="AB98" s="11"/>
      <c r="AC98" s="11"/>
      <c r="AD98" s="260"/>
      <c r="AE98" s="11"/>
      <c r="AF98" s="260"/>
      <c r="AG98" s="241"/>
      <c r="AH98" s="286"/>
      <c r="AI98" s="287"/>
      <c r="AJ98" s="288"/>
      <c r="AK98" s="287"/>
      <c r="AL98" s="173"/>
    </row>
    <row r="99" spans="1:38" ht="17.100000000000001" customHeight="1">
      <c r="A99" s="306"/>
      <c r="B99" s="308"/>
      <c r="C99" s="310"/>
      <c r="D99" s="319">
        <f>IFERROR(IF(AND(LEN(TRIM(B98))&gt;0,LEN(TRIM(C98))&gt;0),'Bang TH nop'!AP99,""),"")</f>
        <v>0</v>
      </c>
      <c r="E99" s="320"/>
      <c r="F99" s="55">
        <f>IFERROR(IF(AND(LEN(TRIM(B98))&gt;0,LEN(TRIM(C98))&gt;0),'Bang TH nop'!AL99,0),0)</f>
        <v>0</v>
      </c>
      <c r="G99" s="263">
        <f t="shared" ref="G99:G131" si="968">D99*I98/26</f>
        <v>0</v>
      </c>
      <c r="H99" s="263">
        <f t="shared" ref="H99:H131" si="969">D99*J98*150%/(26*8)</f>
        <v>0</v>
      </c>
      <c r="I99" s="263">
        <f t="shared" ref="I99:I131" si="970">IFERROR(
IF(AND(LEN(TRIM(B98))&gt;0,LEN(TRIM(C98))&gt;0),
IF(((I98-N98)*8+N98*7+J98)=0,0,
F99*680*(((I98-N98)*8+N98*7))/(((I98-N98)*8+N98*7+J98))*$I$4
),
0
),
0
)</f>
        <v>0</v>
      </c>
      <c r="J99" s="263">
        <f t="shared" ref="J99:J131" si="971">IFERROR(
IF(AND(LEN(TRIM(B98))&gt;0,LEN(TRIM(C98))&gt;0),
IF(((I98-N98)*8+N98*7+J98)=0,0,
F99*680*150%*J98/(((I98-N98)*8+N98*7+J98))*$I$4
),
0
),
0
)</f>
        <v>0</v>
      </c>
      <c r="K99" s="264">
        <f t="shared" ref="K99:K131" si="972">IFERROR(
IF(AND(LEN(TRIM(B98))&gt;0,LEN(TRIM(C98))&gt;0),
ROUND(D99/26*K98,0),
0
),
0
)</f>
        <v>0</v>
      </c>
      <c r="L99" s="264">
        <f t="shared" ref="L99:L131" si="973">IFERROR(
IF(AND(LEN(TRIM(B98))&gt;0,LEN(TRIM(C98))&gt;0),
ROUND(D99/26*L98,0),
0
),
0
)</f>
        <v>0</v>
      </c>
      <c r="M99" s="264">
        <f t="shared" ref="M99:M131" si="974">IFERROR(
IF(AND(LEN(TRIM(B98))&gt;0,LEN(TRIM(C98))&gt;0),
ROUND(D99/26*M98,0),
0
),
0
)</f>
        <v>0</v>
      </c>
      <c r="N99" s="264">
        <f t="shared" ref="N99:N131" si="975">IFERROR(
IF(AND(LEN(TRIM(B98))&gt;0,LEN(TRIM(C98))&gt;0),
D99*N98/(26*8),
0
),
0
)</f>
        <v>0</v>
      </c>
      <c r="O99" s="264">
        <f t="shared" ref="O99:O131" si="976">IFERROR(
IF(AND(LEN(TRIM(B98))&gt;0,LEN(TRIM(C98))&gt;0),
D99*O98/(26*8),
0
),
0
)</f>
        <v>0</v>
      </c>
      <c r="P99" s="264">
        <f t="shared" ref="P99:P131" si="977">IFERROR(
IF(AND(LEN(TRIM(B98))&gt;0,LEN(TRIM(C98))&gt;0),
(D99/26/8*P98),
0
),
0
)</f>
        <v>0</v>
      </c>
      <c r="Q99" s="56">
        <f>IFERROR(
IF(AND(LEN(TRIM(B98))&gt;0,LEN(TRIM(C98))&gt;0),
'Bang TH nop'!BC99,
0
),
0
)</f>
        <v>0</v>
      </c>
      <c r="R99" s="263">
        <f>IFERROR(
IF(AND(LEN(TRIM(B98))&gt;0,LEN(TRIM(C98))&gt;0),
'Bang TH nop'!BD99,
0
),
0
)</f>
        <v>0</v>
      </c>
      <c r="S99" s="263">
        <f>IFERROR(
IF(AND(LEN(TRIM(B98))&gt;0,LEN(TRIM(C98))&gt;0),
'Bang TH nop'!BJ99,
0
),
0
)</f>
        <v>0</v>
      </c>
      <c r="T99" s="263">
        <f>IFERROR(
IF(AND(LEN(TRIM(B98))&gt;0,LEN(TRIM(C98))&gt;0),
'Bang TH nop'!AW99,
0
),
0
)</f>
        <v>0</v>
      </c>
      <c r="U99" s="264">
        <f t="shared" ref="U99:U131" si="978">IFERROR(
IF(AND(LEN(TRIM(B98))&gt;0,LEN(TRIM(C98))&gt;0),
D99/26/8*U98,
0
),
0
)</f>
        <v>0</v>
      </c>
      <c r="V99" s="264"/>
      <c r="W99" s="264"/>
      <c r="X99" s="263">
        <f t="shared" ref="X99:X131" si="979">+IF(G99-I99&lt;0,0,G99-I99)</f>
        <v>0</v>
      </c>
      <c r="Y99" s="263">
        <f t="shared" ref="Y99:Y131" si="980">+IF(H99-J99&lt;0,0, H99-J99)</f>
        <v>0</v>
      </c>
      <c r="Z99" s="263">
        <f t="shared" ref="Z99" si="981">IFERROR(
IF(AND(LEN(TRIM(B98))&gt;0,LEN(TRIM(C98))&gt;0),
(X99+Y99)*25%,
0
),
0
)</f>
        <v>0</v>
      </c>
      <c r="AA99" s="263">
        <f>IFERROR(
IF(AND(LEN(TRIM(B98))&gt;0,LEN(TRIM(C98))&gt;0),
'Bang TH nop'!BG99,
0
),
0
)</f>
        <v>0</v>
      </c>
      <c r="AB99" s="264">
        <f t="shared" ref="AB99" si="982">IFERROR(
IF(AND(LEN(TRIM(B98))&gt;0,LEN(TRIM(C98))&gt;0),
SUM(I99:W99)+IFERROR(Z99,0)+IFERROR(AA99,0),
0
),
0
)</f>
        <v>0</v>
      </c>
      <c r="AC99" s="263">
        <f t="shared" ref="AC99:AC131" si="983">IFERROR(
IF(AND(LEN(TRIM(B98))&gt;0,LEN(TRIM(C98))&gt;0),
IF((26-(IFERROR(I98,0)+IFERROR(K98,0)+IFERROR(L98,0)+IFERROR(M98,0)))&gt;12,0,D99*10.5%),
0
),
0
)</f>
        <v>0</v>
      </c>
      <c r="AD99" s="291">
        <f t="shared" ref="AD99:AD131" si="984">IFERROR(
IF(AND(LEN(TRIM(B98))&gt;0,LEN(TRIM(C98))&gt;0),
ROUND(IF(D99=4939000,D99*0.5%,0),-2),
0
),
0
)</f>
        <v>0</v>
      </c>
      <c r="AE99" s="264">
        <f t="shared" ref="AE99" si="985">IFERROR(
IF(AND(LEN(TRIM(B98))&gt;0,LEN(TRIM(C98))&gt;0),
ROUND(IFERROR(AB99,0)-IFERROR(AC99,0)-IFERROR(AD99,0),-2),
0
),
0
)</f>
        <v>0</v>
      </c>
      <c r="AF99" s="13">
        <f>IFERROR(
IF(AND(LEN(TRIM(B98))&gt;0,LEN(TRIM(C98))&gt;0),
IFERROR('Bang TH nop'!AR99,0)+IFERROR('Bang TH nop'!AU99,0)+IFERROR('Bang TH nop'!BG99,0),
0
),
0
)</f>
        <v>0</v>
      </c>
      <c r="AG99" s="241"/>
      <c r="AH99" s="266"/>
      <c r="AI99" s="174">
        <f t="shared" ref="AI99" si="986">IFERROR(
IF(AND(LEN(TRIM(B98))&gt;0,LEN(TRIM(C98))&gt;0),
AH99/AG99,
0
),
0
)</f>
        <v>0</v>
      </c>
      <c r="AJ99" s="174">
        <f t="shared" ref="AJ99:AJ131" si="987">IFERROR(
IF(AND(LEN(TRIM(B98))&gt;0,LEN(TRIM(C98))&gt;0),
AL99/AF99,
0
),
0
)</f>
        <v>0</v>
      </c>
      <c r="AK99" s="175">
        <f t="shared" ref="AK99" si="988">IFERROR(
IF(AND(LEN(TRIM(B98))&gt;0,LEN(TRIM(C98))&gt;0),
AJ99/AI99,
0
),
0
)</f>
        <v>0</v>
      </c>
      <c r="AL99" s="176">
        <f t="shared" ref="AL99:AL131" si="989">IFERROR(
IF(AND(LEN(TRIM(B98))&gt;0,LEN(TRIM(C98))&gt;0),
AB99/L99,
0
),
0
)</f>
        <v>0</v>
      </c>
    </row>
    <row r="100" spans="1:38" ht="17.100000000000001" customHeight="1">
      <c r="A100" s="305">
        <v>47</v>
      </c>
      <c r="B100" s="307">
        <f>'Bang TH nop'!B101</f>
        <v>0</v>
      </c>
      <c r="C100" s="309">
        <f>IFERROR(IF(LEN(TRIM(B100))&gt;0,'Bang TH nop'!C101,""),"")</f>
        <v>0</v>
      </c>
      <c r="D100" s="311">
        <f>IFERROR(IF(AND(LEN(TRIM(B100))&gt;0,LEN(TRIM(C100))&gt;0),'Bang TH nop'!AO101,""),"")</f>
        <v>0</v>
      </c>
      <c r="E100" s="312"/>
      <c r="F100" s="259"/>
      <c r="G100" s="260"/>
      <c r="H100" s="260"/>
      <c r="I100" s="10">
        <f>IFERROR(IF(AND(LEN(TRIM(B100))&gt;0,LEN(TRIM(C100))&gt;0),'Bang TH nop'!BB101,0),0)</f>
        <v>0</v>
      </c>
      <c r="J100" s="10">
        <f>IFERROR(IF(AND(LEN(TRIM(B100))&gt;0,LEN(TRIM(C100))&gt;0),'Bang TH nop'!AV101,0),0)</f>
        <v>0</v>
      </c>
      <c r="K100" s="10">
        <f>IFERROR(IF(AND(LEN(TRIM(B100))&gt;0,LEN(TRIM(C100))&gt;0),'Bang TH nop'!AR101,0),0)</f>
        <v>0</v>
      </c>
      <c r="L100" s="12">
        <f>IFERROR(IF(AND(LEN(TRIM(B100))&gt;0,LEN(TRIM(C100))&gt;0),'Bang TH nop'!AS101,0),0)</f>
        <v>0</v>
      </c>
      <c r="M100" s="12">
        <f>IFERROR(IF(AND(LEN(TRIM(C100))&gt;0,LEN(TRIM(D100))&gt;0),'Bang TH nop'!AT101,0),0)</f>
        <v>0</v>
      </c>
      <c r="N100" s="12">
        <f>IFERROR(IF(AND(LEN(TRIM(B100))&gt;0,LEN(TRIM(C100))&gt;0),'Bang TH nop'!AU101,0),0)</f>
        <v>0</v>
      </c>
      <c r="O100" s="12">
        <f>IFERROR(IF(AND(LEN(TRIM(B100))&gt;0,LEN(TRIM(C100))&gt;0),'Bang TH nop'!BE101,0),0)</f>
        <v>0</v>
      </c>
      <c r="P100" s="12">
        <f>IFERROR(IF(AND(LEN(TRIM(B101))&gt;0,LEN(TRIM(C100))&gt;0),'Bang TH nop'!AZ101,0),0)</f>
        <v>0</v>
      </c>
      <c r="Q100" s="12"/>
      <c r="R100" s="261"/>
      <c r="S100" s="261"/>
      <c r="T100" s="261"/>
      <c r="U100" s="260"/>
      <c r="V100" s="260"/>
      <c r="W100" s="260"/>
      <c r="X100" s="260"/>
      <c r="Y100" s="260"/>
      <c r="Z100" s="260"/>
      <c r="AA100" s="259" t="str">
        <f>IFERROR(
IF(AND(LEN(TRIM(B100))&gt;0,LEN(TRIM(C100))&gt;0),
'Bang TH nop'!AH101,
0
),
0
)</f>
        <v>A</v>
      </c>
      <c r="AB100" s="11"/>
      <c r="AC100" s="11"/>
      <c r="AD100" s="260"/>
      <c r="AE100" s="11"/>
      <c r="AF100" s="260"/>
      <c r="AG100" s="241"/>
      <c r="AH100" s="286"/>
      <c r="AI100" s="287"/>
      <c r="AJ100" s="288"/>
      <c r="AK100" s="287"/>
      <c r="AL100" s="173"/>
    </row>
    <row r="101" spans="1:38" ht="17.100000000000001" customHeight="1">
      <c r="A101" s="306"/>
      <c r="B101" s="308"/>
      <c r="C101" s="310"/>
      <c r="D101" s="319">
        <f>IFERROR(IF(AND(LEN(TRIM(B100))&gt;0,LEN(TRIM(C100))&gt;0),'Bang TH nop'!AP101,""),"")</f>
        <v>0</v>
      </c>
      <c r="E101" s="320"/>
      <c r="F101" s="55">
        <f>IFERROR(IF(AND(LEN(TRIM(B100))&gt;0,LEN(TRIM(C100))&gt;0),'Bang TH nop'!AL101,0),0)</f>
        <v>0</v>
      </c>
      <c r="G101" s="263">
        <f t="shared" ref="G101:G131" si="990">D101*I100/26</f>
        <v>0</v>
      </c>
      <c r="H101" s="263">
        <f t="shared" ref="H101:H131" si="991">D101*J100*150%/(26*8)</f>
        <v>0</v>
      </c>
      <c r="I101" s="263">
        <f t="shared" ref="I101:I131" si="992">IFERROR(
IF(AND(LEN(TRIM(B100))&gt;0,LEN(TRIM(C100))&gt;0),
IF(((I100-N100)*8+N100*7+J100)=0,0,
F101*680*(((I100-N100)*8+N100*7))/(((I100-N100)*8+N100*7+J100))*$I$4
),
0
),
0
)</f>
        <v>0</v>
      </c>
      <c r="J101" s="263">
        <f t="shared" ref="J101:J131" si="993">IFERROR(
IF(AND(LEN(TRIM(B100))&gt;0,LEN(TRIM(C100))&gt;0),
IF(((I100-N100)*8+N100*7+J100)=0,0,
F101*680*150%*J100/(((I100-N100)*8+N100*7+J100))*$I$4
),
0
),
0
)</f>
        <v>0</v>
      </c>
      <c r="K101" s="264">
        <f t="shared" ref="K101:K131" si="994">IFERROR(
IF(AND(LEN(TRIM(B100))&gt;0,LEN(TRIM(C100))&gt;0),
ROUND(D101/26*K100,0),
0
),
0
)</f>
        <v>0</v>
      </c>
      <c r="L101" s="264">
        <f t="shared" ref="L101:L131" si="995">IFERROR(
IF(AND(LEN(TRIM(B100))&gt;0,LEN(TRIM(C100))&gt;0),
ROUND(D101/26*L100,0),
0
),
0
)</f>
        <v>0</v>
      </c>
      <c r="M101" s="264">
        <f t="shared" ref="M101:M131" si="996">IFERROR(
IF(AND(LEN(TRIM(B100))&gt;0,LEN(TRIM(C100))&gt;0),
ROUND(D101/26*M100,0),
0
),
0
)</f>
        <v>0</v>
      </c>
      <c r="N101" s="264">
        <f t="shared" ref="N101:N131" si="997">IFERROR(
IF(AND(LEN(TRIM(B100))&gt;0,LEN(TRIM(C100))&gt;0),
D101*N100/(26*8),
0
),
0
)</f>
        <v>0</v>
      </c>
      <c r="O101" s="264">
        <f t="shared" ref="O101:O131" si="998">IFERROR(
IF(AND(LEN(TRIM(B100))&gt;0,LEN(TRIM(C100))&gt;0),
D101*O100/(26*8),
0
),
0
)</f>
        <v>0</v>
      </c>
      <c r="P101" s="264">
        <f t="shared" ref="P101:P131" si="999">IFERROR(
IF(AND(LEN(TRIM(B100))&gt;0,LEN(TRIM(C100))&gt;0),
(D101/26/8*P100),
0
),
0
)</f>
        <v>0</v>
      </c>
      <c r="Q101" s="56">
        <f>IFERROR(
IF(AND(LEN(TRIM(B100))&gt;0,LEN(TRIM(C100))&gt;0),
'Bang TH nop'!BC101,
0
),
0
)</f>
        <v>0</v>
      </c>
      <c r="R101" s="263">
        <f>IFERROR(
IF(AND(LEN(TRIM(B100))&gt;0,LEN(TRIM(C100))&gt;0),
'Bang TH nop'!BD101,
0
),
0
)</f>
        <v>0</v>
      </c>
      <c r="S101" s="263">
        <f>IFERROR(
IF(AND(LEN(TRIM(B100))&gt;0,LEN(TRIM(C100))&gt;0),
'Bang TH nop'!BJ101,
0
),
0
)</f>
        <v>0</v>
      </c>
      <c r="T101" s="263">
        <f>IFERROR(
IF(AND(LEN(TRIM(B100))&gt;0,LEN(TRIM(C100))&gt;0),
'Bang TH nop'!AW101,
0
),
0
)</f>
        <v>0</v>
      </c>
      <c r="U101" s="264">
        <f t="shared" ref="U101:U131" si="1000">IFERROR(
IF(AND(LEN(TRIM(B100))&gt;0,LEN(TRIM(C100))&gt;0),
D101/26/8*U100,
0
),
0
)</f>
        <v>0</v>
      </c>
      <c r="V101" s="264"/>
      <c r="W101" s="264"/>
      <c r="X101" s="263">
        <f t="shared" ref="X101:X131" si="1001">+IF(G101-I101&lt;0,0,G101-I101)</f>
        <v>0</v>
      </c>
      <c r="Y101" s="263">
        <f t="shared" ref="Y101:Y131" si="1002">+IF(H101-J101&lt;0,0, H101-J101)</f>
        <v>0</v>
      </c>
      <c r="Z101" s="263">
        <f t="shared" ref="Z101" si="1003">IFERROR(
IF(AND(LEN(TRIM(B100))&gt;0,LEN(TRIM(C100))&gt;0),
(X101+Y101)*25%,
0
),
0
)</f>
        <v>0</v>
      </c>
      <c r="AA101" s="263">
        <f>IFERROR(
IF(AND(LEN(TRIM(B100))&gt;0,LEN(TRIM(C100))&gt;0),
'Bang TH nop'!BG101,
0
),
0
)</f>
        <v>0</v>
      </c>
      <c r="AB101" s="264">
        <f t="shared" ref="AB101" si="1004">IFERROR(
IF(AND(LEN(TRIM(B100))&gt;0,LEN(TRIM(C100))&gt;0),
SUM(I101:W101)+IFERROR(Z101,0)+IFERROR(AA101,0),
0
),
0
)</f>
        <v>0</v>
      </c>
      <c r="AC101" s="263">
        <f t="shared" ref="AC101:AC131" si="1005">IFERROR(
IF(AND(LEN(TRIM(B100))&gt;0,LEN(TRIM(C100))&gt;0),
IF((26-(IFERROR(I100,0)+IFERROR(K100,0)+IFERROR(L100,0)+IFERROR(M100,0)))&gt;12,0,D101*10.5%),
0
),
0
)</f>
        <v>0</v>
      </c>
      <c r="AD101" s="291">
        <f t="shared" ref="AD101:AD131" si="1006">IFERROR(
IF(AND(LEN(TRIM(B100))&gt;0,LEN(TRIM(C100))&gt;0),
ROUND(IF(D101=4939000,D101*0.5%,0),-2),
0
),
0
)</f>
        <v>0</v>
      </c>
      <c r="AE101" s="264">
        <f t="shared" ref="AE101" si="1007">IFERROR(
IF(AND(LEN(TRIM(B100))&gt;0,LEN(TRIM(C100))&gt;0),
ROUND(IFERROR(AB101,0)-IFERROR(AC101,0)-IFERROR(AD101,0),-2),
0
),
0
)</f>
        <v>0</v>
      </c>
      <c r="AF101" s="13">
        <f>IFERROR(
IF(AND(LEN(TRIM(B100))&gt;0,LEN(TRIM(C100))&gt;0),
IFERROR('Bang TH nop'!AR101,0)+IFERROR('Bang TH nop'!AU101,0)+IFERROR('Bang TH nop'!BG101,0),
0
),
0
)</f>
        <v>0</v>
      </c>
      <c r="AG101" s="241"/>
      <c r="AH101" s="266"/>
      <c r="AI101" s="174">
        <f t="shared" ref="AI101" si="1008">IFERROR(
IF(AND(LEN(TRIM(B100))&gt;0,LEN(TRIM(C100))&gt;0),
AH101/AG101,
0
),
0
)</f>
        <v>0</v>
      </c>
      <c r="AJ101" s="174">
        <f t="shared" ref="AJ101:AJ131" si="1009">IFERROR(
IF(AND(LEN(TRIM(B100))&gt;0,LEN(TRIM(C100))&gt;0),
AL101/AF101,
0
),
0
)</f>
        <v>0</v>
      </c>
      <c r="AK101" s="175">
        <f t="shared" ref="AK101" si="1010">IFERROR(
IF(AND(LEN(TRIM(B100))&gt;0,LEN(TRIM(C100))&gt;0),
AJ101/AI101,
0
),
0
)</f>
        <v>0</v>
      </c>
      <c r="AL101" s="176">
        <f t="shared" ref="AL101:AL131" si="1011">IFERROR(
IF(AND(LEN(TRIM(B100))&gt;0,LEN(TRIM(C100))&gt;0),
AB101/L101,
0
),
0
)</f>
        <v>0</v>
      </c>
    </row>
    <row r="102" spans="1:38" ht="17.100000000000001" customHeight="1">
      <c r="A102" s="305">
        <v>48</v>
      </c>
      <c r="B102" s="307">
        <f>'Bang TH nop'!B103</f>
        <v>0</v>
      </c>
      <c r="C102" s="309">
        <f>IFERROR(IF(LEN(TRIM(B102))&gt;0,'Bang TH nop'!C103,""),"")</f>
        <v>0</v>
      </c>
      <c r="D102" s="311">
        <f>IFERROR(IF(AND(LEN(TRIM(B102))&gt;0,LEN(TRIM(C102))&gt;0),'Bang TH nop'!AO103,""),"")</f>
        <v>0</v>
      </c>
      <c r="E102" s="312"/>
      <c r="F102" s="259"/>
      <c r="G102" s="260"/>
      <c r="H102" s="260"/>
      <c r="I102" s="10">
        <f>IFERROR(IF(AND(LEN(TRIM(B102))&gt;0,LEN(TRIM(C102))&gt;0),'Bang TH nop'!BB103,0),0)</f>
        <v>0</v>
      </c>
      <c r="J102" s="10">
        <f>IFERROR(IF(AND(LEN(TRIM(B102))&gt;0,LEN(TRIM(C102))&gt;0),'Bang TH nop'!AV103,0),0)</f>
        <v>0</v>
      </c>
      <c r="K102" s="10">
        <f>IFERROR(IF(AND(LEN(TRIM(B102))&gt;0,LEN(TRIM(C102))&gt;0),'Bang TH nop'!AR103,0),0)</f>
        <v>0</v>
      </c>
      <c r="L102" s="12">
        <f>IFERROR(IF(AND(LEN(TRIM(B102))&gt;0,LEN(TRIM(C102))&gt;0),'Bang TH nop'!AS103,0),0)</f>
        <v>0</v>
      </c>
      <c r="M102" s="12">
        <f>IFERROR(IF(AND(LEN(TRIM(C102))&gt;0,LEN(TRIM(D102))&gt;0),'Bang TH nop'!AT103,0),0)</f>
        <v>0</v>
      </c>
      <c r="N102" s="12">
        <f>IFERROR(IF(AND(LEN(TRIM(B102))&gt;0,LEN(TRIM(C102))&gt;0),'Bang TH nop'!AU103,0),0)</f>
        <v>0</v>
      </c>
      <c r="O102" s="12">
        <f>IFERROR(IF(AND(LEN(TRIM(B102))&gt;0,LEN(TRIM(C102))&gt;0),'Bang TH nop'!BE103,0),0)</f>
        <v>0</v>
      </c>
      <c r="P102" s="12">
        <f>IFERROR(IF(AND(LEN(TRIM(B103))&gt;0,LEN(TRIM(C102))&gt;0),'Bang TH nop'!AZ103,0),0)</f>
        <v>0</v>
      </c>
      <c r="Q102" s="12"/>
      <c r="R102" s="261"/>
      <c r="S102" s="261"/>
      <c r="T102" s="261"/>
      <c r="U102" s="260"/>
      <c r="V102" s="260"/>
      <c r="W102" s="260"/>
      <c r="X102" s="260"/>
      <c r="Y102" s="260"/>
      <c r="Z102" s="260"/>
      <c r="AA102" s="259" t="str">
        <f>IFERROR(
IF(AND(LEN(TRIM(B102))&gt;0,LEN(TRIM(C102))&gt;0),
'Bang TH nop'!AH103,
0
),
0
)</f>
        <v>A</v>
      </c>
      <c r="AB102" s="11"/>
      <c r="AC102" s="11"/>
      <c r="AD102" s="260"/>
      <c r="AE102" s="11"/>
      <c r="AF102" s="260"/>
      <c r="AG102" s="241"/>
      <c r="AH102" s="286"/>
      <c r="AI102" s="287"/>
      <c r="AJ102" s="288"/>
      <c r="AK102" s="287"/>
      <c r="AL102" s="173"/>
    </row>
    <row r="103" spans="1:38" ht="17.100000000000001" customHeight="1">
      <c r="A103" s="306"/>
      <c r="B103" s="308"/>
      <c r="C103" s="310"/>
      <c r="D103" s="319">
        <f>IFERROR(IF(AND(LEN(TRIM(B102))&gt;0,LEN(TRIM(C102))&gt;0),'Bang TH nop'!AP103,""),"")</f>
        <v>0</v>
      </c>
      <c r="E103" s="320"/>
      <c r="F103" s="55">
        <f>IFERROR(IF(AND(LEN(TRIM(B102))&gt;0,LEN(TRIM(C102))&gt;0),'Bang TH nop'!AL103,0),0)</f>
        <v>0</v>
      </c>
      <c r="G103" s="263">
        <f t="shared" ref="G103:G131" si="1012">D103*I102/26</f>
        <v>0</v>
      </c>
      <c r="H103" s="263">
        <f t="shared" ref="H103:H131" si="1013">D103*J102*150%/(26*8)</f>
        <v>0</v>
      </c>
      <c r="I103" s="263">
        <f t="shared" ref="I103:I131" si="1014">IFERROR(
IF(AND(LEN(TRIM(B102))&gt;0,LEN(TRIM(C102))&gt;0),
IF(((I102-N102)*8+N102*7+J102)=0,0,
F103*680*(((I102-N102)*8+N102*7))/(((I102-N102)*8+N102*7+J102))*$I$4
),
0
),
0
)</f>
        <v>0</v>
      </c>
      <c r="J103" s="263">
        <f t="shared" ref="J103:J131" si="1015">IFERROR(
IF(AND(LEN(TRIM(B102))&gt;0,LEN(TRIM(C102))&gt;0),
IF(((I102-N102)*8+N102*7+J102)=0,0,
F103*680*150%*J102/(((I102-N102)*8+N102*7+J102))*$I$4
),
0
),
0
)</f>
        <v>0</v>
      </c>
      <c r="K103" s="264">
        <f t="shared" ref="K103:K131" si="1016">IFERROR(
IF(AND(LEN(TRIM(B102))&gt;0,LEN(TRIM(C102))&gt;0),
ROUND(D103/26*K102,0),
0
),
0
)</f>
        <v>0</v>
      </c>
      <c r="L103" s="264">
        <f t="shared" ref="L103:L131" si="1017">IFERROR(
IF(AND(LEN(TRIM(B102))&gt;0,LEN(TRIM(C102))&gt;0),
ROUND(D103/26*L102,0),
0
),
0
)</f>
        <v>0</v>
      </c>
      <c r="M103" s="264">
        <f t="shared" ref="M103:M131" si="1018">IFERROR(
IF(AND(LEN(TRIM(B102))&gt;0,LEN(TRIM(C102))&gt;0),
ROUND(D103/26*M102,0),
0
),
0
)</f>
        <v>0</v>
      </c>
      <c r="N103" s="264">
        <f t="shared" ref="N103:N131" si="1019">IFERROR(
IF(AND(LEN(TRIM(B102))&gt;0,LEN(TRIM(C102))&gt;0),
D103*N102/(26*8),
0
),
0
)</f>
        <v>0</v>
      </c>
      <c r="O103" s="264">
        <f t="shared" ref="O103:O131" si="1020">IFERROR(
IF(AND(LEN(TRIM(B102))&gt;0,LEN(TRIM(C102))&gt;0),
D103*O102/(26*8),
0
),
0
)</f>
        <v>0</v>
      </c>
      <c r="P103" s="264">
        <f t="shared" ref="P103:P131" si="1021">IFERROR(
IF(AND(LEN(TRIM(B102))&gt;0,LEN(TRIM(C102))&gt;0),
(D103/26/8*P102),
0
),
0
)</f>
        <v>0</v>
      </c>
      <c r="Q103" s="56">
        <f>IFERROR(
IF(AND(LEN(TRIM(B102))&gt;0,LEN(TRIM(C102))&gt;0),
'Bang TH nop'!BC103,
0
),
0
)</f>
        <v>0</v>
      </c>
      <c r="R103" s="263">
        <f>IFERROR(
IF(AND(LEN(TRIM(B102))&gt;0,LEN(TRIM(C102))&gt;0),
'Bang TH nop'!BD103,
0
),
0
)</f>
        <v>0</v>
      </c>
      <c r="S103" s="263">
        <f>IFERROR(
IF(AND(LEN(TRIM(B102))&gt;0,LEN(TRIM(C102))&gt;0),
'Bang TH nop'!BJ103,
0
),
0
)</f>
        <v>0</v>
      </c>
      <c r="T103" s="263">
        <f>IFERROR(
IF(AND(LEN(TRIM(B102))&gt;0,LEN(TRIM(C102))&gt;0),
'Bang TH nop'!AW103,
0
),
0
)</f>
        <v>0</v>
      </c>
      <c r="U103" s="264">
        <f t="shared" ref="U103:U131" si="1022">IFERROR(
IF(AND(LEN(TRIM(B102))&gt;0,LEN(TRIM(C102))&gt;0),
D103/26/8*U102,
0
),
0
)</f>
        <v>0</v>
      </c>
      <c r="V103" s="264"/>
      <c r="W103" s="264"/>
      <c r="X103" s="263">
        <f t="shared" ref="X103:X131" si="1023">+IF(G103-I103&lt;0,0,G103-I103)</f>
        <v>0</v>
      </c>
      <c r="Y103" s="263">
        <f t="shared" ref="Y103:Y131" si="1024">+IF(H103-J103&lt;0,0, H103-J103)</f>
        <v>0</v>
      </c>
      <c r="Z103" s="263">
        <f t="shared" ref="Z103" si="1025">IFERROR(
IF(AND(LEN(TRIM(B102))&gt;0,LEN(TRIM(C102))&gt;0),
(X103+Y103)*25%,
0
),
0
)</f>
        <v>0</v>
      </c>
      <c r="AA103" s="263">
        <f>IFERROR(
IF(AND(LEN(TRIM(B102))&gt;0,LEN(TRIM(C102))&gt;0),
'Bang TH nop'!BG103,
0
),
0
)</f>
        <v>0</v>
      </c>
      <c r="AB103" s="264">
        <f t="shared" ref="AB103" si="1026">IFERROR(
IF(AND(LEN(TRIM(B102))&gt;0,LEN(TRIM(C102))&gt;0),
SUM(I103:W103)+IFERROR(Z103,0)+IFERROR(AA103,0),
0
),
0
)</f>
        <v>0</v>
      </c>
      <c r="AC103" s="263">
        <f t="shared" ref="AC103:AC131" si="1027">IFERROR(
IF(AND(LEN(TRIM(B102))&gt;0,LEN(TRIM(C102))&gt;0),
IF((26-(IFERROR(I102,0)+IFERROR(K102,0)+IFERROR(L102,0)+IFERROR(M102,0)))&gt;12,0,D103*10.5%),
0
),
0
)</f>
        <v>0</v>
      </c>
      <c r="AD103" s="291">
        <f t="shared" ref="AD103:AD131" si="1028">IFERROR(
IF(AND(LEN(TRIM(B102))&gt;0,LEN(TRIM(C102))&gt;0),
ROUND(IF(D103=4939000,D103*0.5%,0),-2),
0
),
0
)</f>
        <v>0</v>
      </c>
      <c r="AE103" s="264">
        <f t="shared" ref="AE103" si="1029">IFERROR(
IF(AND(LEN(TRIM(B102))&gt;0,LEN(TRIM(C102))&gt;0),
ROUND(IFERROR(AB103,0)-IFERROR(AC103,0)-IFERROR(AD103,0),-2),
0
),
0
)</f>
        <v>0</v>
      </c>
      <c r="AF103" s="13">
        <f>IFERROR(
IF(AND(LEN(TRIM(B102))&gt;0,LEN(TRIM(C102))&gt;0),
IFERROR('Bang TH nop'!AR103,0)+IFERROR('Bang TH nop'!AU103,0)+IFERROR('Bang TH nop'!BG103,0),
0
),
0
)</f>
        <v>0</v>
      </c>
      <c r="AG103" s="241"/>
      <c r="AH103" s="266"/>
      <c r="AI103" s="174">
        <f t="shared" ref="AI103" si="1030">IFERROR(
IF(AND(LEN(TRIM(B102))&gt;0,LEN(TRIM(C102))&gt;0),
AH103/AG103,
0
),
0
)</f>
        <v>0</v>
      </c>
      <c r="AJ103" s="174">
        <f t="shared" ref="AJ103:AJ131" si="1031">IFERROR(
IF(AND(LEN(TRIM(B102))&gt;0,LEN(TRIM(C102))&gt;0),
AL103/AF103,
0
),
0
)</f>
        <v>0</v>
      </c>
      <c r="AK103" s="175">
        <f t="shared" ref="AK103" si="1032">IFERROR(
IF(AND(LEN(TRIM(B102))&gt;0,LEN(TRIM(C102))&gt;0),
AJ103/AI103,
0
),
0
)</f>
        <v>0</v>
      </c>
      <c r="AL103" s="176">
        <f t="shared" ref="AL103:AL131" si="1033">IFERROR(
IF(AND(LEN(TRIM(B102))&gt;0,LEN(TRIM(C102))&gt;0),
AB103/L103,
0
),
0
)</f>
        <v>0</v>
      </c>
    </row>
    <row r="104" spans="1:38" ht="17.100000000000001" customHeight="1">
      <c r="A104" s="305">
        <v>49</v>
      </c>
      <c r="B104" s="307">
        <f>'Bang TH nop'!B105</f>
        <v>0</v>
      </c>
      <c r="C104" s="309">
        <f>IFERROR(IF(LEN(TRIM(B104))&gt;0,'Bang TH nop'!C105,""),"")</f>
        <v>0</v>
      </c>
      <c r="D104" s="311">
        <f>IFERROR(IF(AND(LEN(TRIM(B104))&gt;0,LEN(TRIM(C104))&gt;0),'Bang TH nop'!AO105,""),"")</f>
        <v>0</v>
      </c>
      <c r="E104" s="312"/>
      <c r="F104" s="259"/>
      <c r="G104" s="260"/>
      <c r="H104" s="260"/>
      <c r="I104" s="10">
        <f>IFERROR(IF(AND(LEN(TRIM(B104))&gt;0,LEN(TRIM(C104))&gt;0),'Bang TH nop'!BB105,0),0)</f>
        <v>0</v>
      </c>
      <c r="J104" s="10">
        <f>IFERROR(IF(AND(LEN(TRIM(B104))&gt;0,LEN(TRIM(C104))&gt;0),'Bang TH nop'!AV105,0),0)</f>
        <v>0</v>
      </c>
      <c r="K104" s="10">
        <f>IFERROR(IF(AND(LEN(TRIM(B104))&gt;0,LEN(TRIM(C104))&gt;0),'Bang TH nop'!AR105,0),0)</f>
        <v>0</v>
      </c>
      <c r="L104" s="12">
        <f>IFERROR(IF(AND(LEN(TRIM(B104))&gt;0,LEN(TRIM(C104))&gt;0),'Bang TH nop'!AS105,0),0)</f>
        <v>0</v>
      </c>
      <c r="M104" s="12">
        <f>IFERROR(IF(AND(LEN(TRIM(C104))&gt;0,LEN(TRIM(D104))&gt;0),'Bang TH nop'!AT105,0),0)</f>
        <v>0</v>
      </c>
      <c r="N104" s="12">
        <f>IFERROR(IF(AND(LEN(TRIM(B104))&gt;0,LEN(TRIM(C104))&gt;0),'Bang TH nop'!AU105,0),0)</f>
        <v>0</v>
      </c>
      <c r="O104" s="12">
        <f>IFERROR(IF(AND(LEN(TRIM(B104))&gt;0,LEN(TRIM(C104))&gt;0),'Bang TH nop'!BE105,0),0)</f>
        <v>0</v>
      </c>
      <c r="P104" s="12">
        <f>IFERROR(IF(AND(LEN(TRIM(B105))&gt;0,LEN(TRIM(C104))&gt;0),'Bang TH nop'!AZ105,0),0)</f>
        <v>0</v>
      </c>
      <c r="Q104" s="12"/>
      <c r="R104" s="261"/>
      <c r="S104" s="261"/>
      <c r="T104" s="261"/>
      <c r="U104" s="260"/>
      <c r="V104" s="260"/>
      <c r="W104" s="260"/>
      <c r="X104" s="260"/>
      <c r="Y104" s="260"/>
      <c r="Z104" s="260"/>
      <c r="AA104" s="259" t="str">
        <f>IFERROR(
IF(AND(LEN(TRIM(B104))&gt;0,LEN(TRIM(C104))&gt;0),
'Bang TH nop'!AH105,
0
),
0
)</f>
        <v>A</v>
      </c>
      <c r="AB104" s="11"/>
      <c r="AC104" s="11"/>
      <c r="AD104" s="260"/>
      <c r="AE104" s="11"/>
      <c r="AF104" s="260"/>
      <c r="AG104" s="241"/>
      <c r="AH104" s="286"/>
      <c r="AI104" s="287"/>
      <c r="AJ104" s="288"/>
      <c r="AK104" s="287"/>
      <c r="AL104" s="173"/>
    </row>
    <row r="105" spans="1:38" ht="17.100000000000001" customHeight="1">
      <c r="A105" s="306"/>
      <c r="B105" s="308"/>
      <c r="C105" s="310"/>
      <c r="D105" s="319">
        <f>IFERROR(IF(AND(LEN(TRIM(B104))&gt;0,LEN(TRIM(C104))&gt;0),'Bang TH nop'!AP105,""),"")</f>
        <v>0</v>
      </c>
      <c r="E105" s="320"/>
      <c r="F105" s="55">
        <f>IFERROR(IF(AND(LEN(TRIM(B104))&gt;0,LEN(TRIM(C104))&gt;0),'Bang TH nop'!AL105,0),0)</f>
        <v>0</v>
      </c>
      <c r="G105" s="263">
        <f t="shared" ref="G105:G131" si="1034">D105*I104/26</f>
        <v>0</v>
      </c>
      <c r="H105" s="263">
        <f t="shared" ref="H105:H131" si="1035">D105*J104*150%/(26*8)</f>
        <v>0</v>
      </c>
      <c r="I105" s="263">
        <f t="shared" ref="I105:I131" si="1036">IFERROR(
IF(AND(LEN(TRIM(B104))&gt;0,LEN(TRIM(C104))&gt;0),
IF(((I104-N104)*8+N104*7+J104)=0,0,
F105*680*(((I104-N104)*8+N104*7))/(((I104-N104)*8+N104*7+J104))*$I$4
),
0
),
0
)</f>
        <v>0</v>
      </c>
      <c r="J105" s="263">
        <f t="shared" ref="J105:J131" si="1037">IFERROR(
IF(AND(LEN(TRIM(B104))&gt;0,LEN(TRIM(C104))&gt;0),
IF(((I104-N104)*8+N104*7+J104)=0,0,
F105*680*150%*J104/(((I104-N104)*8+N104*7+J104))*$I$4
),
0
),
0
)</f>
        <v>0</v>
      </c>
      <c r="K105" s="264">
        <f t="shared" ref="K105:K131" si="1038">IFERROR(
IF(AND(LEN(TRIM(B104))&gt;0,LEN(TRIM(C104))&gt;0),
ROUND(D105/26*K104,0),
0
),
0
)</f>
        <v>0</v>
      </c>
      <c r="L105" s="264">
        <f t="shared" ref="L105:L131" si="1039">IFERROR(
IF(AND(LEN(TRIM(B104))&gt;0,LEN(TRIM(C104))&gt;0),
ROUND(D105/26*L104,0),
0
),
0
)</f>
        <v>0</v>
      </c>
      <c r="M105" s="264">
        <f t="shared" ref="M105:M131" si="1040">IFERROR(
IF(AND(LEN(TRIM(B104))&gt;0,LEN(TRIM(C104))&gt;0),
ROUND(D105/26*M104,0),
0
),
0
)</f>
        <v>0</v>
      </c>
      <c r="N105" s="264">
        <f t="shared" ref="N105:N131" si="1041">IFERROR(
IF(AND(LEN(TRIM(B104))&gt;0,LEN(TRIM(C104))&gt;0),
D105*N104/(26*8),
0
),
0
)</f>
        <v>0</v>
      </c>
      <c r="O105" s="264">
        <f t="shared" ref="O105:O131" si="1042">IFERROR(
IF(AND(LEN(TRIM(B104))&gt;0,LEN(TRIM(C104))&gt;0),
D105*O104/(26*8),
0
),
0
)</f>
        <v>0</v>
      </c>
      <c r="P105" s="264">
        <f t="shared" ref="P105:P131" si="1043">IFERROR(
IF(AND(LEN(TRIM(B104))&gt;0,LEN(TRIM(C104))&gt;0),
(D105/26/8*P104),
0
),
0
)</f>
        <v>0</v>
      </c>
      <c r="Q105" s="56">
        <f>IFERROR(
IF(AND(LEN(TRIM(B104))&gt;0,LEN(TRIM(C104))&gt;0),
'Bang TH nop'!BC105,
0
),
0
)</f>
        <v>0</v>
      </c>
      <c r="R105" s="263">
        <f>IFERROR(
IF(AND(LEN(TRIM(B104))&gt;0,LEN(TRIM(C104))&gt;0),
'Bang TH nop'!BD105,
0
),
0
)</f>
        <v>0</v>
      </c>
      <c r="S105" s="263">
        <f>IFERROR(
IF(AND(LEN(TRIM(B104))&gt;0,LEN(TRIM(C104))&gt;0),
'Bang TH nop'!BJ105,
0
),
0
)</f>
        <v>0</v>
      </c>
      <c r="T105" s="263">
        <f>IFERROR(
IF(AND(LEN(TRIM(B104))&gt;0,LEN(TRIM(C104))&gt;0),
'Bang TH nop'!AW105,
0
),
0
)</f>
        <v>0</v>
      </c>
      <c r="U105" s="264">
        <f t="shared" ref="U105:U131" si="1044">IFERROR(
IF(AND(LEN(TRIM(B104))&gt;0,LEN(TRIM(C104))&gt;0),
D105/26/8*U104,
0
),
0
)</f>
        <v>0</v>
      </c>
      <c r="V105" s="264"/>
      <c r="W105" s="264"/>
      <c r="X105" s="263">
        <f t="shared" ref="X105:X131" si="1045">+IF(G105-I105&lt;0,0,G105-I105)</f>
        <v>0</v>
      </c>
      <c r="Y105" s="263">
        <f t="shared" ref="Y105:Y131" si="1046">+IF(H105-J105&lt;0,0, H105-J105)</f>
        <v>0</v>
      </c>
      <c r="Z105" s="263">
        <f t="shared" ref="Z105" si="1047">IFERROR(
IF(AND(LEN(TRIM(B104))&gt;0,LEN(TRIM(C104))&gt;0),
(X105+Y105)*25%,
0
),
0
)</f>
        <v>0</v>
      </c>
      <c r="AA105" s="263">
        <f>IFERROR(
IF(AND(LEN(TRIM(B104))&gt;0,LEN(TRIM(C104))&gt;0),
'Bang TH nop'!BG105,
0
),
0
)</f>
        <v>0</v>
      </c>
      <c r="AB105" s="264">
        <f t="shared" ref="AB105" si="1048">IFERROR(
IF(AND(LEN(TRIM(B104))&gt;0,LEN(TRIM(C104))&gt;0),
SUM(I105:W105)+IFERROR(Z105,0)+IFERROR(AA105,0),
0
),
0
)</f>
        <v>0</v>
      </c>
      <c r="AC105" s="263">
        <f t="shared" ref="AC105:AC131" si="1049">IFERROR(
IF(AND(LEN(TRIM(B104))&gt;0,LEN(TRIM(C104))&gt;0),
IF((26-(IFERROR(I104,0)+IFERROR(K104,0)+IFERROR(L104,0)+IFERROR(M104,0)))&gt;12,0,D105*10.5%),
0
),
0
)</f>
        <v>0</v>
      </c>
      <c r="AD105" s="291">
        <f t="shared" ref="AD105:AD131" si="1050">IFERROR(
IF(AND(LEN(TRIM(B104))&gt;0,LEN(TRIM(C104))&gt;0),
ROUND(IF(D105=4939000,D105*0.5%,0),-2),
0
),
0
)</f>
        <v>0</v>
      </c>
      <c r="AE105" s="264">
        <f t="shared" ref="AE105" si="1051">IFERROR(
IF(AND(LEN(TRIM(B104))&gt;0,LEN(TRIM(C104))&gt;0),
ROUND(IFERROR(AB105,0)-IFERROR(AC105,0)-IFERROR(AD105,0),-2),
0
),
0
)</f>
        <v>0</v>
      </c>
      <c r="AF105" s="13">
        <f>IFERROR(
IF(AND(LEN(TRIM(B104))&gt;0,LEN(TRIM(C104))&gt;0),
IFERROR('Bang TH nop'!AR105,0)+IFERROR('Bang TH nop'!AU105,0)+IFERROR('Bang TH nop'!BG105,0),
0
),
0
)</f>
        <v>0</v>
      </c>
      <c r="AG105" s="241"/>
      <c r="AH105" s="266"/>
      <c r="AI105" s="174">
        <f t="shared" ref="AI105" si="1052">IFERROR(
IF(AND(LEN(TRIM(B104))&gt;0,LEN(TRIM(C104))&gt;0),
AH105/AG105,
0
),
0
)</f>
        <v>0</v>
      </c>
      <c r="AJ105" s="174">
        <f t="shared" ref="AJ105:AJ131" si="1053">IFERROR(
IF(AND(LEN(TRIM(B104))&gt;0,LEN(TRIM(C104))&gt;0),
AL105/AF105,
0
),
0
)</f>
        <v>0</v>
      </c>
      <c r="AK105" s="175">
        <f t="shared" ref="AK105" si="1054">IFERROR(
IF(AND(LEN(TRIM(B104))&gt;0,LEN(TRIM(C104))&gt;0),
AJ105/AI105,
0
),
0
)</f>
        <v>0</v>
      </c>
      <c r="AL105" s="176">
        <f t="shared" ref="AL105:AL131" si="1055">IFERROR(
IF(AND(LEN(TRIM(B104))&gt;0,LEN(TRIM(C104))&gt;0),
AB105/L105,
0
),
0
)</f>
        <v>0</v>
      </c>
    </row>
    <row r="106" spans="1:38" ht="17.100000000000001" customHeight="1">
      <c r="A106" s="305">
        <v>50</v>
      </c>
      <c r="B106" s="307">
        <f>'Bang TH nop'!B107</f>
        <v>0</v>
      </c>
      <c r="C106" s="309">
        <f>IFERROR(IF(LEN(TRIM(B106))&gt;0,'Bang TH nop'!C107,""),"")</f>
        <v>0</v>
      </c>
      <c r="D106" s="311">
        <f>IFERROR(IF(AND(LEN(TRIM(B106))&gt;0,LEN(TRIM(C106))&gt;0),'Bang TH nop'!AO107,""),"")</f>
        <v>0</v>
      </c>
      <c r="E106" s="312"/>
      <c r="F106" s="259"/>
      <c r="G106" s="260"/>
      <c r="H106" s="260"/>
      <c r="I106" s="10">
        <f>IFERROR(IF(AND(LEN(TRIM(B106))&gt;0,LEN(TRIM(C106))&gt;0),'Bang TH nop'!BB107,0),0)</f>
        <v>0</v>
      </c>
      <c r="J106" s="10">
        <f>IFERROR(IF(AND(LEN(TRIM(B106))&gt;0,LEN(TRIM(C106))&gt;0),'Bang TH nop'!AV107,0),0)</f>
        <v>0</v>
      </c>
      <c r="K106" s="10">
        <f>IFERROR(IF(AND(LEN(TRIM(B106))&gt;0,LEN(TRIM(C106))&gt;0),'Bang TH nop'!AR107,0),0)</f>
        <v>0</v>
      </c>
      <c r="L106" s="12">
        <f>IFERROR(IF(AND(LEN(TRIM(B106))&gt;0,LEN(TRIM(C106))&gt;0),'Bang TH nop'!AS107,0),0)</f>
        <v>0</v>
      </c>
      <c r="M106" s="12">
        <f>IFERROR(IF(AND(LEN(TRIM(C106))&gt;0,LEN(TRIM(D106))&gt;0),'Bang TH nop'!AT107,0),0)</f>
        <v>0</v>
      </c>
      <c r="N106" s="12">
        <f>IFERROR(IF(AND(LEN(TRIM(B106))&gt;0,LEN(TRIM(C106))&gt;0),'Bang TH nop'!AU107,0),0)</f>
        <v>0</v>
      </c>
      <c r="O106" s="12">
        <f>IFERROR(IF(AND(LEN(TRIM(B106))&gt;0,LEN(TRIM(C106))&gt;0),'Bang TH nop'!BE107,0),0)</f>
        <v>0</v>
      </c>
      <c r="P106" s="12">
        <f>IFERROR(IF(AND(LEN(TRIM(B107))&gt;0,LEN(TRIM(C106))&gt;0),'Bang TH nop'!AZ107,0),0)</f>
        <v>0</v>
      </c>
      <c r="Q106" s="12"/>
      <c r="R106" s="261"/>
      <c r="S106" s="261"/>
      <c r="T106" s="261"/>
      <c r="U106" s="260"/>
      <c r="V106" s="260"/>
      <c r="W106" s="260"/>
      <c r="X106" s="260"/>
      <c r="Y106" s="260"/>
      <c r="Z106" s="260"/>
      <c r="AA106" s="259" t="str">
        <f>IFERROR(
IF(AND(LEN(TRIM(B106))&gt;0,LEN(TRIM(C106))&gt;0),
'Bang TH nop'!AH107,
0
),
0
)</f>
        <v>A</v>
      </c>
      <c r="AB106" s="11"/>
      <c r="AC106" s="11"/>
      <c r="AD106" s="260"/>
      <c r="AE106" s="11"/>
      <c r="AF106" s="260"/>
      <c r="AG106" s="241"/>
      <c r="AH106" s="286"/>
      <c r="AI106" s="287"/>
      <c r="AJ106" s="288"/>
      <c r="AK106" s="287"/>
      <c r="AL106" s="173"/>
    </row>
    <row r="107" spans="1:38" ht="17.100000000000001" customHeight="1">
      <c r="A107" s="306"/>
      <c r="B107" s="308"/>
      <c r="C107" s="310"/>
      <c r="D107" s="319">
        <f>IFERROR(IF(AND(LEN(TRIM(B106))&gt;0,LEN(TRIM(C106))&gt;0),'Bang TH nop'!AP107,""),"")</f>
        <v>0</v>
      </c>
      <c r="E107" s="320"/>
      <c r="F107" s="55">
        <f>IFERROR(IF(AND(LEN(TRIM(B106))&gt;0,LEN(TRIM(C106))&gt;0),'Bang TH nop'!AL107,0),0)</f>
        <v>0</v>
      </c>
      <c r="G107" s="263">
        <f t="shared" ref="G107:G131" si="1056">D107*I106/26</f>
        <v>0</v>
      </c>
      <c r="H107" s="263">
        <f t="shared" ref="H107:H131" si="1057">D107*J106*150%/(26*8)</f>
        <v>0</v>
      </c>
      <c r="I107" s="263">
        <f t="shared" ref="I107:I131" si="1058">IFERROR(
IF(AND(LEN(TRIM(B106))&gt;0,LEN(TRIM(C106))&gt;0),
IF(((I106-N106)*8+N106*7+J106)=0,0,
F107*680*(((I106-N106)*8+N106*7))/(((I106-N106)*8+N106*7+J106))*$I$4
),
0
),
0
)</f>
        <v>0</v>
      </c>
      <c r="J107" s="263">
        <f t="shared" ref="J107:J131" si="1059">IFERROR(
IF(AND(LEN(TRIM(B106))&gt;0,LEN(TRIM(C106))&gt;0),
IF(((I106-N106)*8+N106*7+J106)=0,0,
F107*680*150%*J106/(((I106-N106)*8+N106*7+J106))*$I$4
),
0
),
0
)</f>
        <v>0</v>
      </c>
      <c r="K107" s="264">
        <f t="shared" ref="K107:K131" si="1060">IFERROR(
IF(AND(LEN(TRIM(B106))&gt;0,LEN(TRIM(C106))&gt;0),
ROUND(D107/26*K106,0),
0
),
0
)</f>
        <v>0</v>
      </c>
      <c r="L107" s="264">
        <f t="shared" ref="L107:L131" si="1061">IFERROR(
IF(AND(LEN(TRIM(B106))&gt;0,LEN(TRIM(C106))&gt;0),
ROUND(D107/26*L106,0),
0
),
0
)</f>
        <v>0</v>
      </c>
      <c r="M107" s="264">
        <f t="shared" ref="M107:M131" si="1062">IFERROR(
IF(AND(LEN(TRIM(B106))&gt;0,LEN(TRIM(C106))&gt;0),
ROUND(D107/26*M106,0),
0
),
0
)</f>
        <v>0</v>
      </c>
      <c r="N107" s="264">
        <f t="shared" ref="N107:N131" si="1063">IFERROR(
IF(AND(LEN(TRIM(B106))&gt;0,LEN(TRIM(C106))&gt;0),
D107*N106/(26*8),
0
),
0
)</f>
        <v>0</v>
      </c>
      <c r="O107" s="264">
        <f t="shared" ref="O107:O131" si="1064">IFERROR(
IF(AND(LEN(TRIM(B106))&gt;0,LEN(TRIM(C106))&gt;0),
D107*O106/(26*8),
0
),
0
)</f>
        <v>0</v>
      </c>
      <c r="P107" s="264">
        <f t="shared" ref="P107:P131" si="1065">IFERROR(
IF(AND(LEN(TRIM(B106))&gt;0,LEN(TRIM(C106))&gt;0),
(D107/26/8*P106),
0
),
0
)</f>
        <v>0</v>
      </c>
      <c r="Q107" s="56">
        <f>IFERROR(
IF(AND(LEN(TRIM(B106))&gt;0,LEN(TRIM(C106))&gt;0),
'Bang TH nop'!BC107,
0
),
0
)</f>
        <v>0</v>
      </c>
      <c r="R107" s="263">
        <f>IFERROR(
IF(AND(LEN(TRIM(B106))&gt;0,LEN(TRIM(C106))&gt;0),
'Bang TH nop'!BD107,
0
),
0
)</f>
        <v>0</v>
      </c>
      <c r="S107" s="263">
        <f>IFERROR(
IF(AND(LEN(TRIM(B106))&gt;0,LEN(TRIM(C106))&gt;0),
'Bang TH nop'!BJ107,
0
),
0
)</f>
        <v>0</v>
      </c>
      <c r="T107" s="263">
        <f>IFERROR(
IF(AND(LEN(TRIM(B106))&gt;0,LEN(TRIM(C106))&gt;0),
'Bang TH nop'!AW107,
0
),
0
)</f>
        <v>0</v>
      </c>
      <c r="U107" s="264">
        <f t="shared" ref="U107:U131" si="1066">IFERROR(
IF(AND(LEN(TRIM(B106))&gt;0,LEN(TRIM(C106))&gt;0),
D107/26/8*U106,
0
),
0
)</f>
        <v>0</v>
      </c>
      <c r="V107" s="264"/>
      <c r="W107" s="264"/>
      <c r="X107" s="263">
        <f t="shared" ref="X107:X131" si="1067">+IF(G107-I107&lt;0,0,G107-I107)</f>
        <v>0</v>
      </c>
      <c r="Y107" s="263">
        <f t="shared" ref="Y107:Y131" si="1068">+IF(H107-J107&lt;0,0, H107-J107)</f>
        <v>0</v>
      </c>
      <c r="Z107" s="263">
        <f t="shared" ref="Z107" si="1069">IFERROR(
IF(AND(LEN(TRIM(B106))&gt;0,LEN(TRIM(C106))&gt;0),
(X107+Y107)*25%,
0
),
0
)</f>
        <v>0</v>
      </c>
      <c r="AA107" s="263">
        <f>IFERROR(
IF(AND(LEN(TRIM(B106))&gt;0,LEN(TRIM(C106))&gt;0),
'Bang TH nop'!BG107,
0
),
0
)</f>
        <v>0</v>
      </c>
      <c r="AB107" s="264">
        <f t="shared" ref="AB107" si="1070">IFERROR(
IF(AND(LEN(TRIM(B106))&gt;0,LEN(TRIM(C106))&gt;0),
SUM(I107:W107)+IFERROR(Z107,0)+IFERROR(AA107,0),
0
),
0
)</f>
        <v>0</v>
      </c>
      <c r="AC107" s="263">
        <f t="shared" ref="AC107:AC131" si="1071">IFERROR(
IF(AND(LEN(TRIM(B106))&gt;0,LEN(TRIM(C106))&gt;0),
IF((26-(IFERROR(I106,0)+IFERROR(K106,0)+IFERROR(L106,0)+IFERROR(M106,0)))&gt;12,0,D107*10.5%),
0
),
0
)</f>
        <v>0</v>
      </c>
      <c r="AD107" s="291">
        <f t="shared" ref="AD107:AD131" si="1072">IFERROR(
IF(AND(LEN(TRIM(B106))&gt;0,LEN(TRIM(C106))&gt;0),
ROUND(IF(D107=4939000,D107*0.5%,0),-2),
0
),
0
)</f>
        <v>0</v>
      </c>
      <c r="AE107" s="264">
        <f t="shared" ref="AE107" si="1073">IFERROR(
IF(AND(LEN(TRIM(B106))&gt;0,LEN(TRIM(C106))&gt;0),
ROUND(IFERROR(AB107,0)-IFERROR(AC107,0)-IFERROR(AD107,0),-2),
0
),
0
)</f>
        <v>0</v>
      </c>
      <c r="AF107" s="13">
        <f>IFERROR(
IF(AND(LEN(TRIM(B106))&gt;0,LEN(TRIM(C106))&gt;0),
IFERROR('Bang TH nop'!AR107,0)+IFERROR('Bang TH nop'!AU107,0)+IFERROR('Bang TH nop'!BG107,0),
0
),
0
)</f>
        <v>0</v>
      </c>
      <c r="AG107" s="241"/>
      <c r="AH107" s="266"/>
      <c r="AI107" s="174">
        <f t="shared" ref="AI107" si="1074">IFERROR(
IF(AND(LEN(TRIM(B106))&gt;0,LEN(TRIM(C106))&gt;0),
AH107/AG107,
0
),
0
)</f>
        <v>0</v>
      </c>
      <c r="AJ107" s="174">
        <f t="shared" ref="AJ107:AJ131" si="1075">IFERROR(
IF(AND(LEN(TRIM(B106))&gt;0,LEN(TRIM(C106))&gt;0),
AL107/AF107,
0
),
0
)</f>
        <v>0</v>
      </c>
      <c r="AK107" s="175">
        <f t="shared" ref="AK107" si="1076">IFERROR(
IF(AND(LEN(TRIM(B106))&gt;0,LEN(TRIM(C106))&gt;0),
AJ107/AI107,
0
),
0
)</f>
        <v>0</v>
      </c>
      <c r="AL107" s="176">
        <f t="shared" ref="AL107:AL131" si="1077">IFERROR(
IF(AND(LEN(TRIM(B106))&gt;0,LEN(TRIM(C106))&gt;0),
AB107/L107,
0
),
0
)</f>
        <v>0</v>
      </c>
    </row>
    <row r="108" spans="1:38" ht="17.100000000000001" customHeight="1">
      <c r="A108" s="305">
        <v>51</v>
      </c>
      <c r="B108" s="307">
        <f>'Bang TH nop'!B109</f>
        <v>0</v>
      </c>
      <c r="C108" s="309">
        <f>IFERROR(IF(LEN(TRIM(B108))&gt;0,'Bang TH nop'!C109,""),"")</f>
        <v>0</v>
      </c>
      <c r="D108" s="311">
        <f>IFERROR(IF(AND(LEN(TRIM(B108))&gt;0,LEN(TRIM(C108))&gt;0),'Bang TH nop'!AO109,""),"")</f>
        <v>0</v>
      </c>
      <c r="E108" s="312"/>
      <c r="F108" s="259"/>
      <c r="G108" s="260"/>
      <c r="H108" s="260"/>
      <c r="I108" s="10">
        <f>IFERROR(IF(AND(LEN(TRIM(B108))&gt;0,LEN(TRIM(C108))&gt;0),'Bang TH nop'!BB109,0),0)</f>
        <v>0</v>
      </c>
      <c r="J108" s="10">
        <f>IFERROR(IF(AND(LEN(TRIM(B108))&gt;0,LEN(TRIM(C108))&gt;0),'Bang TH nop'!AV109,0),0)</f>
        <v>0</v>
      </c>
      <c r="K108" s="10">
        <f>IFERROR(IF(AND(LEN(TRIM(B108))&gt;0,LEN(TRIM(C108))&gt;0),'Bang TH nop'!AR109,0),0)</f>
        <v>0</v>
      </c>
      <c r="L108" s="12">
        <f>IFERROR(IF(AND(LEN(TRIM(B108))&gt;0,LEN(TRIM(C108))&gt;0),'Bang TH nop'!AS109,0),0)</f>
        <v>0</v>
      </c>
      <c r="M108" s="12">
        <f>IFERROR(IF(AND(LEN(TRIM(C108))&gt;0,LEN(TRIM(D108))&gt;0),'Bang TH nop'!AT109,0),0)</f>
        <v>0</v>
      </c>
      <c r="N108" s="12">
        <f>IFERROR(IF(AND(LEN(TRIM(B108))&gt;0,LEN(TRIM(C108))&gt;0),'Bang TH nop'!AU109,0),0)</f>
        <v>0</v>
      </c>
      <c r="O108" s="12">
        <f>IFERROR(IF(AND(LEN(TRIM(B108))&gt;0,LEN(TRIM(C108))&gt;0),'Bang TH nop'!BE109,0),0)</f>
        <v>0</v>
      </c>
      <c r="P108" s="12">
        <f>IFERROR(IF(AND(LEN(TRIM(B109))&gt;0,LEN(TRIM(C108))&gt;0),'Bang TH nop'!AZ109,0),0)</f>
        <v>0</v>
      </c>
      <c r="Q108" s="12"/>
      <c r="R108" s="261"/>
      <c r="S108" s="261"/>
      <c r="T108" s="261"/>
      <c r="U108" s="260"/>
      <c r="V108" s="260"/>
      <c r="W108" s="260"/>
      <c r="X108" s="260"/>
      <c r="Y108" s="260"/>
      <c r="Z108" s="260"/>
      <c r="AA108" s="259" t="str">
        <f>IFERROR(
IF(AND(LEN(TRIM(B108))&gt;0,LEN(TRIM(C108))&gt;0),
'Bang TH nop'!AH109,
0
),
0
)</f>
        <v>A</v>
      </c>
      <c r="AB108" s="11"/>
      <c r="AC108" s="11"/>
      <c r="AD108" s="260"/>
      <c r="AE108" s="11"/>
      <c r="AF108" s="260"/>
      <c r="AG108" s="241"/>
      <c r="AH108" s="286"/>
      <c r="AI108" s="287"/>
      <c r="AJ108" s="288"/>
      <c r="AK108" s="287"/>
      <c r="AL108" s="173"/>
    </row>
    <row r="109" spans="1:38" ht="17.100000000000001" customHeight="1">
      <c r="A109" s="306"/>
      <c r="B109" s="308"/>
      <c r="C109" s="310"/>
      <c r="D109" s="319">
        <f>IFERROR(IF(AND(LEN(TRIM(B108))&gt;0,LEN(TRIM(C108))&gt;0),'Bang TH nop'!AP109,""),"")</f>
        <v>0</v>
      </c>
      <c r="E109" s="320"/>
      <c r="F109" s="55">
        <f>IFERROR(IF(AND(LEN(TRIM(B108))&gt;0,LEN(TRIM(C108))&gt;0),'Bang TH nop'!AL109,0),0)</f>
        <v>0</v>
      </c>
      <c r="G109" s="263">
        <f t="shared" ref="G109:G131" si="1078">D109*I108/26</f>
        <v>0</v>
      </c>
      <c r="H109" s="263">
        <f t="shared" ref="H109:H131" si="1079">D109*J108*150%/(26*8)</f>
        <v>0</v>
      </c>
      <c r="I109" s="263">
        <f t="shared" ref="I109:I131" si="1080">IFERROR(
IF(AND(LEN(TRIM(B108))&gt;0,LEN(TRIM(C108))&gt;0),
IF(((I108-N108)*8+N108*7+J108)=0,0,
F109*680*(((I108-N108)*8+N108*7))/(((I108-N108)*8+N108*7+J108))*$I$4
),
0
),
0
)</f>
        <v>0</v>
      </c>
      <c r="J109" s="263">
        <f t="shared" ref="J109:J131" si="1081">IFERROR(
IF(AND(LEN(TRIM(B108))&gt;0,LEN(TRIM(C108))&gt;0),
IF(((I108-N108)*8+N108*7+J108)=0,0,
F109*680*150%*J108/(((I108-N108)*8+N108*7+J108))*$I$4
),
0
),
0
)</f>
        <v>0</v>
      </c>
      <c r="K109" s="264">
        <f t="shared" ref="K109:K131" si="1082">IFERROR(
IF(AND(LEN(TRIM(B108))&gt;0,LEN(TRIM(C108))&gt;0),
ROUND(D109/26*K108,0),
0
),
0
)</f>
        <v>0</v>
      </c>
      <c r="L109" s="264">
        <f t="shared" ref="L109:L131" si="1083">IFERROR(
IF(AND(LEN(TRIM(B108))&gt;0,LEN(TRIM(C108))&gt;0),
ROUND(D109/26*L108,0),
0
),
0
)</f>
        <v>0</v>
      </c>
      <c r="M109" s="264">
        <f t="shared" ref="M109:M131" si="1084">IFERROR(
IF(AND(LEN(TRIM(B108))&gt;0,LEN(TRIM(C108))&gt;0),
ROUND(D109/26*M108,0),
0
),
0
)</f>
        <v>0</v>
      </c>
      <c r="N109" s="264">
        <f t="shared" ref="N109:N131" si="1085">IFERROR(
IF(AND(LEN(TRIM(B108))&gt;0,LEN(TRIM(C108))&gt;0),
D109*N108/(26*8),
0
),
0
)</f>
        <v>0</v>
      </c>
      <c r="O109" s="264">
        <f t="shared" ref="O109:O131" si="1086">IFERROR(
IF(AND(LEN(TRIM(B108))&gt;0,LEN(TRIM(C108))&gt;0),
D109*O108/(26*8),
0
),
0
)</f>
        <v>0</v>
      </c>
      <c r="P109" s="264">
        <f t="shared" ref="P109:P131" si="1087">IFERROR(
IF(AND(LEN(TRIM(B108))&gt;0,LEN(TRIM(C108))&gt;0),
(D109/26/8*P108),
0
),
0
)</f>
        <v>0</v>
      </c>
      <c r="Q109" s="56">
        <f>IFERROR(
IF(AND(LEN(TRIM(B108))&gt;0,LEN(TRIM(C108))&gt;0),
'Bang TH nop'!BC109,
0
),
0
)</f>
        <v>0</v>
      </c>
      <c r="R109" s="263">
        <f>IFERROR(
IF(AND(LEN(TRIM(B108))&gt;0,LEN(TRIM(C108))&gt;0),
'Bang TH nop'!BD109,
0
),
0
)</f>
        <v>0</v>
      </c>
      <c r="S109" s="263">
        <f>IFERROR(
IF(AND(LEN(TRIM(B108))&gt;0,LEN(TRIM(C108))&gt;0),
'Bang TH nop'!BJ109,
0
),
0
)</f>
        <v>0</v>
      </c>
      <c r="T109" s="263">
        <f>IFERROR(
IF(AND(LEN(TRIM(B108))&gt;0,LEN(TRIM(C108))&gt;0),
'Bang TH nop'!AW109,
0
),
0
)</f>
        <v>0</v>
      </c>
      <c r="U109" s="264">
        <f t="shared" ref="U109:U131" si="1088">IFERROR(
IF(AND(LEN(TRIM(B108))&gt;0,LEN(TRIM(C108))&gt;0),
D109/26/8*U108,
0
),
0
)</f>
        <v>0</v>
      </c>
      <c r="V109" s="264"/>
      <c r="W109" s="264"/>
      <c r="X109" s="263">
        <f t="shared" ref="X109:X131" si="1089">+IF(G109-I109&lt;0,0,G109-I109)</f>
        <v>0</v>
      </c>
      <c r="Y109" s="263">
        <f t="shared" ref="Y109:Y131" si="1090">+IF(H109-J109&lt;0,0, H109-J109)</f>
        <v>0</v>
      </c>
      <c r="Z109" s="263">
        <f t="shared" ref="Z109" si="1091">IFERROR(
IF(AND(LEN(TRIM(B108))&gt;0,LEN(TRIM(C108))&gt;0),
(X109+Y109)*25%,
0
),
0
)</f>
        <v>0</v>
      </c>
      <c r="AA109" s="263">
        <f>IFERROR(
IF(AND(LEN(TRIM(B108))&gt;0,LEN(TRIM(C108))&gt;0),
'Bang TH nop'!BG109,
0
),
0
)</f>
        <v>0</v>
      </c>
      <c r="AB109" s="264">
        <f t="shared" ref="AB109" si="1092">IFERROR(
IF(AND(LEN(TRIM(B108))&gt;0,LEN(TRIM(C108))&gt;0),
SUM(I109:W109)+IFERROR(Z109,0)+IFERROR(AA109,0),
0
),
0
)</f>
        <v>0</v>
      </c>
      <c r="AC109" s="263">
        <f t="shared" ref="AC109:AC131" si="1093">IFERROR(
IF(AND(LEN(TRIM(B108))&gt;0,LEN(TRIM(C108))&gt;0),
IF((26-(IFERROR(I108,0)+IFERROR(K108,0)+IFERROR(L108,0)+IFERROR(M108,0)))&gt;12,0,D109*10.5%),
0
),
0
)</f>
        <v>0</v>
      </c>
      <c r="AD109" s="291">
        <f t="shared" ref="AD109:AD131" si="1094">IFERROR(
IF(AND(LEN(TRIM(B108))&gt;0,LEN(TRIM(C108))&gt;0),
ROUND(IF(D109=4939000,D109*0.5%,0),-2),
0
),
0
)</f>
        <v>0</v>
      </c>
      <c r="AE109" s="264">
        <f t="shared" ref="AE109" si="1095">IFERROR(
IF(AND(LEN(TRIM(B108))&gt;0,LEN(TRIM(C108))&gt;0),
ROUND(IFERROR(AB109,0)-IFERROR(AC109,0)-IFERROR(AD109,0),-2),
0
),
0
)</f>
        <v>0</v>
      </c>
      <c r="AF109" s="13">
        <f>IFERROR(
IF(AND(LEN(TRIM(B108))&gt;0,LEN(TRIM(C108))&gt;0),
IFERROR('Bang TH nop'!AR109,0)+IFERROR('Bang TH nop'!AU109,0)+IFERROR('Bang TH nop'!BG109,0),
0
),
0
)</f>
        <v>0</v>
      </c>
      <c r="AG109" s="241"/>
      <c r="AH109" s="266"/>
      <c r="AI109" s="174">
        <f t="shared" ref="AI109" si="1096">IFERROR(
IF(AND(LEN(TRIM(B108))&gt;0,LEN(TRIM(C108))&gt;0),
AH109/AG109,
0
),
0
)</f>
        <v>0</v>
      </c>
      <c r="AJ109" s="174">
        <f t="shared" ref="AJ109:AJ131" si="1097">IFERROR(
IF(AND(LEN(TRIM(B108))&gt;0,LEN(TRIM(C108))&gt;0),
AL109/AF109,
0
),
0
)</f>
        <v>0</v>
      </c>
      <c r="AK109" s="175">
        <f t="shared" ref="AK109" si="1098">IFERROR(
IF(AND(LEN(TRIM(B108))&gt;0,LEN(TRIM(C108))&gt;0),
AJ109/AI109,
0
),
0
)</f>
        <v>0</v>
      </c>
      <c r="AL109" s="176">
        <f t="shared" ref="AL109:AL131" si="1099">IFERROR(
IF(AND(LEN(TRIM(B108))&gt;0,LEN(TRIM(C108))&gt;0),
AB109/L109,
0
),
0
)</f>
        <v>0</v>
      </c>
    </row>
    <row r="110" spans="1:38" ht="17.100000000000001" customHeight="1">
      <c r="A110" s="305">
        <v>52</v>
      </c>
      <c r="B110" s="307">
        <f>'Bang TH nop'!B111</f>
        <v>0</v>
      </c>
      <c r="C110" s="309">
        <f>IFERROR(IF(LEN(TRIM(B110))&gt;0,'Bang TH nop'!C111,""),"")</f>
        <v>0</v>
      </c>
      <c r="D110" s="311">
        <f>IFERROR(IF(AND(LEN(TRIM(B110))&gt;0,LEN(TRIM(C110))&gt;0),'Bang TH nop'!AO111,""),"")</f>
        <v>0</v>
      </c>
      <c r="E110" s="312"/>
      <c r="F110" s="259"/>
      <c r="G110" s="260"/>
      <c r="H110" s="260"/>
      <c r="I110" s="10">
        <f>IFERROR(IF(AND(LEN(TRIM(B110))&gt;0,LEN(TRIM(C110))&gt;0),'Bang TH nop'!BB111,0),0)</f>
        <v>0</v>
      </c>
      <c r="J110" s="10">
        <f>IFERROR(IF(AND(LEN(TRIM(B110))&gt;0,LEN(TRIM(C110))&gt;0),'Bang TH nop'!AV111,0),0)</f>
        <v>0</v>
      </c>
      <c r="K110" s="10">
        <f>IFERROR(IF(AND(LEN(TRIM(B110))&gt;0,LEN(TRIM(C110))&gt;0),'Bang TH nop'!AR111,0),0)</f>
        <v>0</v>
      </c>
      <c r="L110" s="12">
        <f>IFERROR(IF(AND(LEN(TRIM(B110))&gt;0,LEN(TRIM(C110))&gt;0),'Bang TH nop'!AS111,0),0)</f>
        <v>0</v>
      </c>
      <c r="M110" s="12">
        <f>IFERROR(IF(AND(LEN(TRIM(C110))&gt;0,LEN(TRIM(D110))&gt;0),'Bang TH nop'!AT111,0),0)</f>
        <v>0</v>
      </c>
      <c r="N110" s="12">
        <f>IFERROR(IF(AND(LEN(TRIM(B110))&gt;0,LEN(TRIM(C110))&gt;0),'Bang TH nop'!AU111,0),0)</f>
        <v>0</v>
      </c>
      <c r="O110" s="12">
        <f>IFERROR(IF(AND(LEN(TRIM(B110))&gt;0,LEN(TRIM(C110))&gt;0),'Bang TH nop'!BE111,0),0)</f>
        <v>0</v>
      </c>
      <c r="P110" s="12">
        <f>IFERROR(IF(AND(LEN(TRIM(B111))&gt;0,LEN(TRIM(C110))&gt;0),'Bang TH nop'!AZ111,0),0)</f>
        <v>0</v>
      </c>
      <c r="Q110" s="12"/>
      <c r="R110" s="261"/>
      <c r="S110" s="261"/>
      <c r="T110" s="261"/>
      <c r="U110" s="260"/>
      <c r="V110" s="260"/>
      <c r="W110" s="260"/>
      <c r="X110" s="260"/>
      <c r="Y110" s="260"/>
      <c r="Z110" s="260"/>
      <c r="AA110" s="259" t="str">
        <f>IFERROR(
IF(AND(LEN(TRIM(B110))&gt;0,LEN(TRIM(C110))&gt;0),
'Bang TH nop'!AH111,
0
),
0
)</f>
        <v>A</v>
      </c>
      <c r="AB110" s="11"/>
      <c r="AC110" s="11"/>
      <c r="AD110" s="260"/>
      <c r="AE110" s="11"/>
      <c r="AF110" s="260"/>
      <c r="AG110" s="241"/>
      <c r="AH110" s="286"/>
      <c r="AI110" s="287"/>
      <c r="AJ110" s="288"/>
      <c r="AK110" s="287"/>
      <c r="AL110" s="173"/>
    </row>
    <row r="111" spans="1:38" ht="17.100000000000001" customHeight="1">
      <c r="A111" s="306"/>
      <c r="B111" s="308"/>
      <c r="C111" s="310"/>
      <c r="D111" s="319">
        <f>IFERROR(IF(AND(LEN(TRIM(B110))&gt;0,LEN(TRIM(C110))&gt;0),'Bang TH nop'!AP111,""),"")</f>
        <v>0</v>
      </c>
      <c r="E111" s="320"/>
      <c r="F111" s="55">
        <f>IFERROR(IF(AND(LEN(TRIM(B110))&gt;0,LEN(TRIM(C110))&gt;0),'Bang TH nop'!AL111,0),0)</f>
        <v>0</v>
      </c>
      <c r="G111" s="263">
        <f t="shared" ref="G111:G131" si="1100">D111*I110/26</f>
        <v>0</v>
      </c>
      <c r="H111" s="263">
        <f t="shared" ref="H111:H131" si="1101">D111*J110*150%/(26*8)</f>
        <v>0</v>
      </c>
      <c r="I111" s="263">
        <f t="shared" ref="I111:I131" si="1102">IFERROR(
IF(AND(LEN(TRIM(B110))&gt;0,LEN(TRIM(C110))&gt;0),
IF(((I110-N110)*8+N110*7+J110)=0,0,
F111*680*(((I110-N110)*8+N110*7))/(((I110-N110)*8+N110*7+J110))*$I$4
),
0
),
0
)</f>
        <v>0</v>
      </c>
      <c r="J111" s="263">
        <f t="shared" ref="J111:J131" si="1103">IFERROR(
IF(AND(LEN(TRIM(B110))&gt;0,LEN(TRIM(C110))&gt;0),
IF(((I110-N110)*8+N110*7+J110)=0,0,
F111*680*150%*J110/(((I110-N110)*8+N110*7+J110))*$I$4
),
0
),
0
)</f>
        <v>0</v>
      </c>
      <c r="K111" s="264">
        <f t="shared" ref="K111:K131" si="1104">IFERROR(
IF(AND(LEN(TRIM(B110))&gt;0,LEN(TRIM(C110))&gt;0),
ROUND(D111/26*K110,0),
0
),
0
)</f>
        <v>0</v>
      </c>
      <c r="L111" s="264">
        <f t="shared" ref="L111:L131" si="1105">IFERROR(
IF(AND(LEN(TRIM(B110))&gt;0,LEN(TRIM(C110))&gt;0),
ROUND(D111/26*L110,0),
0
),
0
)</f>
        <v>0</v>
      </c>
      <c r="M111" s="264">
        <f t="shared" ref="M111:M131" si="1106">IFERROR(
IF(AND(LEN(TRIM(B110))&gt;0,LEN(TRIM(C110))&gt;0),
ROUND(D111/26*M110,0),
0
),
0
)</f>
        <v>0</v>
      </c>
      <c r="N111" s="264">
        <f t="shared" ref="N111:N131" si="1107">IFERROR(
IF(AND(LEN(TRIM(B110))&gt;0,LEN(TRIM(C110))&gt;0),
D111*N110/(26*8),
0
),
0
)</f>
        <v>0</v>
      </c>
      <c r="O111" s="264">
        <f t="shared" ref="O111:O131" si="1108">IFERROR(
IF(AND(LEN(TRIM(B110))&gt;0,LEN(TRIM(C110))&gt;0),
D111*O110/(26*8),
0
),
0
)</f>
        <v>0</v>
      </c>
      <c r="P111" s="264">
        <f t="shared" ref="P111:P131" si="1109">IFERROR(
IF(AND(LEN(TRIM(B110))&gt;0,LEN(TRIM(C110))&gt;0),
(D111/26/8*P110),
0
),
0
)</f>
        <v>0</v>
      </c>
      <c r="Q111" s="56">
        <f>IFERROR(
IF(AND(LEN(TRIM(B110))&gt;0,LEN(TRIM(C110))&gt;0),
'Bang TH nop'!BC111,
0
),
0
)</f>
        <v>0</v>
      </c>
      <c r="R111" s="263">
        <f>IFERROR(
IF(AND(LEN(TRIM(B110))&gt;0,LEN(TRIM(C110))&gt;0),
'Bang TH nop'!BD111,
0
),
0
)</f>
        <v>0</v>
      </c>
      <c r="S111" s="263">
        <f>IFERROR(
IF(AND(LEN(TRIM(B110))&gt;0,LEN(TRIM(C110))&gt;0),
'Bang TH nop'!BJ111,
0
),
0
)</f>
        <v>0</v>
      </c>
      <c r="T111" s="263">
        <f>IFERROR(
IF(AND(LEN(TRIM(B110))&gt;0,LEN(TRIM(C110))&gt;0),
'Bang TH nop'!AW111,
0
),
0
)</f>
        <v>0</v>
      </c>
      <c r="U111" s="264">
        <f t="shared" ref="U111:U131" si="1110">IFERROR(
IF(AND(LEN(TRIM(B110))&gt;0,LEN(TRIM(C110))&gt;0),
D111/26/8*U110,
0
),
0
)</f>
        <v>0</v>
      </c>
      <c r="V111" s="264"/>
      <c r="W111" s="264"/>
      <c r="X111" s="263">
        <f t="shared" ref="X111:X131" si="1111">+IF(G111-I111&lt;0,0,G111-I111)</f>
        <v>0</v>
      </c>
      <c r="Y111" s="263">
        <f t="shared" ref="Y111:Y131" si="1112">+IF(H111-J111&lt;0,0, H111-J111)</f>
        <v>0</v>
      </c>
      <c r="Z111" s="263">
        <f t="shared" ref="Z111" si="1113">IFERROR(
IF(AND(LEN(TRIM(B110))&gt;0,LEN(TRIM(C110))&gt;0),
(X111+Y111)*25%,
0
),
0
)</f>
        <v>0</v>
      </c>
      <c r="AA111" s="263">
        <f>IFERROR(
IF(AND(LEN(TRIM(B110))&gt;0,LEN(TRIM(C110))&gt;0),
'Bang TH nop'!BG111,
0
),
0
)</f>
        <v>0</v>
      </c>
      <c r="AB111" s="264">
        <f t="shared" ref="AB111" si="1114">IFERROR(
IF(AND(LEN(TRIM(B110))&gt;0,LEN(TRIM(C110))&gt;0),
SUM(I111:W111)+IFERROR(Z111,0)+IFERROR(AA111,0),
0
),
0
)</f>
        <v>0</v>
      </c>
      <c r="AC111" s="263">
        <f t="shared" ref="AC111:AC131" si="1115">IFERROR(
IF(AND(LEN(TRIM(B110))&gt;0,LEN(TRIM(C110))&gt;0),
IF((26-(IFERROR(I110,0)+IFERROR(K110,0)+IFERROR(L110,0)+IFERROR(M110,0)))&gt;12,0,D111*10.5%),
0
),
0
)</f>
        <v>0</v>
      </c>
      <c r="AD111" s="291">
        <f t="shared" ref="AD111:AD131" si="1116">IFERROR(
IF(AND(LEN(TRIM(B110))&gt;0,LEN(TRIM(C110))&gt;0),
ROUND(IF(D111=4939000,D111*0.5%,0),-2),
0
),
0
)</f>
        <v>0</v>
      </c>
      <c r="AE111" s="264">
        <f t="shared" ref="AE111" si="1117">IFERROR(
IF(AND(LEN(TRIM(B110))&gt;0,LEN(TRIM(C110))&gt;0),
ROUND(IFERROR(AB111,0)-IFERROR(AC111,0)-IFERROR(AD111,0),-2),
0
),
0
)</f>
        <v>0</v>
      </c>
      <c r="AF111" s="13">
        <f>IFERROR(
IF(AND(LEN(TRIM(B110))&gt;0,LEN(TRIM(C110))&gt;0),
IFERROR('Bang TH nop'!AR111,0)+IFERROR('Bang TH nop'!AU111,0)+IFERROR('Bang TH nop'!BG111,0),
0
),
0
)</f>
        <v>0</v>
      </c>
      <c r="AG111" s="241"/>
      <c r="AH111" s="266"/>
      <c r="AI111" s="174">
        <f t="shared" ref="AI111" si="1118">IFERROR(
IF(AND(LEN(TRIM(B110))&gt;0,LEN(TRIM(C110))&gt;0),
AH111/AG111,
0
),
0
)</f>
        <v>0</v>
      </c>
      <c r="AJ111" s="174">
        <f t="shared" ref="AJ111:AJ131" si="1119">IFERROR(
IF(AND(LEN(TRIM(B110))&gt;0,LEN(TRIM(C110))&gt;0),
AL111/AF111,
0
),
0
)</f>
        <v>0</v>
      </c>
      <c r="AK111" s="175">
        <f t="shared" ref="AK111" si="1120">IFERROR(
IF(AND(LEN(TRIM(B110))&gt;0,LEN(TRIM(C110))&gt;0),
AJ111/AI111,
0
),
0
)</f>
        <v>0</v>
      </c>
      <c r="AL111" s="176">
        <f t="shared" ref="AL111:AL131" si="1121">IFERROR(
IF(AND(LEN(TRIM(B110))&gt;0,LEN(TRIM(C110))&gt;0),
AB111/L111,
0
),
0
)</f>
        <v>0</v>
      </c>
    </row>
    <row r="112" spans="1:38" ht="17.100000000000001" customHeight="1">
      <c r="A112" s="305">
        <v>53</v>
      </c>
      <c r="B112" s="307">
        <f>'Bang TH nop'!B113</f>
        <v>0</v>
      </c>
      <c r="C112" s="309">
        <f>IFERROR(IF(LEN(TRIM(B112))&gt;0,'Bang TH nop'!C113,""),"")</f>
        <v>0</v>
      </c>
      <c r="D112" s="311">
        <f>IFERROR(IF(AND(LEN(TRIM(B112))&gt;0,LEN(TRIM(C112))&gt;0),'Bang TH nop'!AO113,""),"")</f>
        <v>0</v>
      </c>
      <c r="E112" s="312"/>
      <c r="F112" s="259"/>
      <c r="G112" s="260"/>
      <c r="H112" s="260"/>
      <c r="I112" s="10">
        <f>IFERROR(IF(AND(LEN(TRIM(B112))&gt;0,LEN(TRIM(C112))&gt;0),'Bang TH nop'!BB113,0),0)</f>
        <v>0</v>
      </c>
      <c r="J112" s="10">
        <f>IFERROR(IF(AND(LEN(TRIM(B112))&gt;0,LEN(TRIM(C112))&gt;0),'Bang TH nop'!AV113,0),0)</f>
        <v>0</v>
      </c>
      <c r="K112" s="10">
        <f>IFERROR(IF(AND(LEN(TRIM(B112))&gt;0,LEN(TRIM(C112))&gt;0),'Bang TH nop'!AR113,0),0)</f>
        <v>0</v>
      </c>
      <c r="L112" s="12">
        <f>IFERROR(IF(AND(LEN(TRIM(B112))&gt;0,LEN(TRIM(C112))&gt;0),'Bang TH nop'!AS113,0),0)</f>
        <v>0</v>
      </c>
      <c r="M112" s="12">
        <f>IFERROR(IF(AND(LEN(TRIM(C112))&gt;0,LEN(TRIM(D112))&gt;0),'Bang TH nop'!AT113,0),0)</f>
        <v>0</v>
      </c>
      <c r="N112" s="12">
        <f>IFERROR(IF(AND(LEN(TRIM(B112))&gt;0,LEN(TRIM(C112))&gt;0),'Bang TH nop'!AU113,0),0)</f>
        <v>0</v>
      </c>
      <c r="O112" s="12">
        <f>IFERROR(IF(AND(LEN(TRIM(B112))&gt;0,LEN(TRIM(C112))&gt;0),'Bang TH nop'!BE113,0),0)</f>
        <v>0</v>
      </c>
      <c r="P112" s="12">
        <f>IFERROR(IF(AND(LEN(TRIM(B113))&gt;0,LEN(TRIM(C112))&gt;0),'Bang TH nop'!AZ113,0),0)</f>
        <v>0</v>
      </c>
      <c r="Q112" s="12"/>
      <c r="R112" s="261"/>
      <c r="S112" s="261"/>
      <c r="T112" s="261"/>
      <c r="U112" s="260"/>
      <c r="V112" s="260"/>
      <c r="W112" s="260"/>
      <c r="X112" s="260"/>
      <c r="Y112" s="260"/>
      <c r="Z112" s="260"/>
      <c r="AA112" s="259" t="str">
        <f>IFERROR(
IF(AND(LEN(TRIM(B112))&gt;0,LEN(TRIM(C112))&gt;0),
'Bang TH nop'!AH113,
0
),
0
)</f>
        <v>A</v>
      </c>
      <c r="AB112" s="11"/>
      <c r="AC112" s="11"/>
      <c r="AD112" s="260"/>
      <c r="AE112" s="11"/>
      <c r="AF112" s="260"/>
      <c r="AG112" s="241"/>
      <c r="AH112" s="286"/>
      <c r="AI112" s="287"/>
      <c r="AJ112" s="288"/>
      <c r="AK112" s="287"/>
      <c r="AL112" s="173"/>
    </row>
    <row r="113" spans="1:38" ht="17.100000000000001" customHeight="1">
      <c r="A113" s="306"/>
      <c r="B113" s="308"/>
      <c r="C113" s="310"/>
      <c r="D113" s="319">
        <f>IFERROR(IF(AND(LEN(TRIM(B112))&gt;0,LEN(TRIM(C112))&gt;0),'Bang TH nop'!AP113,""),"")</f>
        <v>0</v>
      </c>
      <c r="E113" s="320"/>
      <c r="F113" s="55">
        <f>IFERROR(IF(AND(LEN(TRIM(B112))&gt;0,LEN(TRIM(C112))&gt;0),'Bang TH nop'!AL113,0),0)</f>
        <v>0</v>
      </c>
      <c r="G113" s="263">
        <f t="shared" ref="G113:G131" si="1122">D113*I112/26</f>
        <v>0</v>
      </c>
      <c r="H113" s="263">
        <f t="shared" ref="H113:H131" si="1123">D113*J112*150%/(26*8)</f>
        <v>0</v>
      </c>
      <c r="I113" s="263">
        <f t="shared" ref="I113:I131" si="1124">IFERROR(
IF(AND(LEN(TRIM(B112))&gt;0,LEN(TRIM(C112))&gt;0),
IF(((I112-N112)*8+N112*7+J112)=0,0,
F113*680*(((I112-N112)*8+N112*7))/(((I112-N112)*8+N112*7+J112))*$I$4
),
0
),
0
)</f>
        <v>0</v>
      </c>
      <c r="J113" s="263">
        <f t="shared" ref="J113:J131" si="1125">IFERROR(
IF(AND(LEN(TRIM(B112))&gt;0,LEN(TRIM(C112))&gt;0),
IF(((I112-N112)*8+N112*7+J112)=0,0,
F113*680*150%*J112/(((I112-N112)*8+N112*7+J112))*$I$4
),
0
),
0
)</f>
        <v>0</v>
      </c>
      <c r="K113" s="264">
        <f t="shared" ref="K113:K131" si="1126">IFERROR(
IF(AND(LEN(TRIM(B112))&gt;0,LEN(TRIM(C112))&gt;0),
ROUND(D113/26*K112,0),
0
),
0
)</f>
        <v>0</v>
      </c>
      <c r="L113" s="264">
        <f t="shared" ref="L113:L131" si="1127">IFERROR(
IF(AND(LEN(TRIM(B112))&gt;0,LEN(TRIM(C112))&gt;0),
ROUND(D113/26*L112,0),
0
),
0
)</f>
        <v>0</v>
      </c>
      <c r="M113" s="264">
        <f t="shared" ref="M113:M131" si="1128">IFERROR(
IF(AND(LEN(TRIM(B112))&gt;0,LEN(TRIM(C112))&gt;0),
ROUND(D113/26*M112,0),
0
),
0
)</f>
        <v>0</v>
      </c>
      <c r="N113" s="264">
        <f t="shared" ref="N113:N131" si="1129">IFERROR(
IF(AND(LEN(TRIM(B112))&gt;0,LEN(TRIM(C112))&gt;0),
D113*N112/(26*8),
0
),
0
)</f>
        <v>0</v>
      </c>
      <c r="O113" s="264">
        <f t="shared" ref="O113:O131" si="1130">IFERROR(
IF(AND(LEN(TRIM(B112))&gt;0,LEN(TRIM(C112))&gt;0),
D113*O112/(26*8),
0
),
0
)</f>
        <v>0</v>
      </c>
      <c r="P113" s="264">
        <f t="shared" ref="P113:P131" si="1131">IFERROR(
IF(AND(LEN(TRIM(B112))&gt;0,LEN(TRIM(C112))&gt;0),
(D113/26/8*P112),
0
),
0
)</f>
        <v>0</v>
      </c>
      <c r="Q113" s="56">
        <f>IFERROR(
IF(AND(LEN(TRIM(B112))&gt;0,LEN(TRIM(C112))&gt;0),
'Bang TH nop'!BC113,
0
),
0
)</f>
        <v>0</v>
      </c>
      <c r="R113" s="263">
        <f>IFERROR(
IF(AND(LEN(TRIM(B112))&gt;0,LEN(TRIM(C112))&gt;0),
'Bang TH nop'!BD113,
0
),
0
)</f>
        <v>0</v>
      </c>
      <c r="S113" s="263">
        <f>IFERROR(
IF(AND(LEN(TRIM(B112))&gt;0,LEN(TRIM(C112))&gt;0),
'Bang TH nop'!BJ113,
0
),
0
)</f>
        <v>0</v>
      </c>
      <c r="T113" s="263">
        <f>IFERROR(
IF(AND(LEN(TRIM(B112))&gt;0,LEN(TRIM(C112))&gt;0),
'Bang TH nop'!AW113,
0
),
0
)</f>
        <v>0</v>
      </c>
      <c r="U113" s="264">
        <f t="shared" ref="U113:U131" si="1132">IFERROR(
IF(AND(LEN(TRIM(B112))&gt;0,LEN(TRIM(C112))&gt;0),
D113/26/8*U112,
0
),
0
)</f>
        <v>0</v>
      </c>
      <c r="V113" s="264"/>
      <c r="W113" s="264"/>
      <c r="X113" s="263">
        <f t="shared" ref="X113:X131" si="1133">+IF(G113-I113&lt;0,0,G113-I113)</f>
        <v>0</v>
      </c>
      <c r="Y113" s="263">
        <f t="shared" ref="Y113:Y131" si="1134">+IF(H113-J113&lt;0,0, H113-J113)</f>
        <v>0</v>
      </c>
      <c r="Z113" s="263">
        <f t="shared" ref="Z113" si="1135">IFERROR(
IF(AND(LEN(TRIM(B112))&gt;0,LEN(TRIM(C112))&gt;0),
(X113+Y113)*25%,
0
),
0
)</f>
        <v>0</v>
      </c>
      <c r="AA113" s="263">
        <f>IFERROR(
IF(AND(LEN(TRIM(B112))&gt;0,LEN(TRIM(C112))&gt;0),
'Bang TH nop'!BG113,
0
),
0
)</f>
        <v>0</v>
      </c>
      <c r="AB113" s="264">
        <f t="shared" ref="AB113" si="1136">IFERROR(
IF(AND(LEN(TRIM(B112))&gt;0,LEN(TRIM(C112))&gt;0),
SUM(I113:W113)+IFERROR(Z113,0)+IFERROR(AA113,0),
0
),
0
)</f>
        <v>0</v>
      </c>
      <c r="AC113" s="263">
        <f t="shared" ref="AC113:AC131" si="1137">IFERROR(
IF(AND(LEN(TRIM(B112))&gt;0,LEN(TRIM(C112))&gt;0),
IF((26-(IFERROR(I112,0)+IFERROR(K112,0)+IFERROR(L112,0)+IFERROR(M112,0)))&gt;12,0,D113*10.5%),
0
),
0
)</f>
        <v>0</v>
      </c>
      <c r="AD113" s="291">
        <f t="shared" ref="AD113:AD131" si="1138">IFERROR(
IF(AND(LEN(TRIM(B112))&gt;0,LEN(TRIM(C112))&gt;0),
ROUND(IF(D113=4939000,D113*0.5%,0),-2),
0
),
0
)</f>
        <v>0</v>
      </c>
      <c r="AE113" s="264">
        <f t="shared" ref="AE113" si="1139">IFERROR(
IF(AND(LEN(TRIM(B112))&gt;0,LEN(TRIM(C112))&gt;0),
ROUND(IFERROR(AB113,0)-IFERROR(AC113,0)-IFERROR(AD113,0),-2),
0
),
0
)</f>
        <v>0</v>
      </c>
      <c r="AF113" s="13">
        <f>IFERROR(
IF(AND(LEN(TRIM(B112))&gt;0,LEN(TRIM(C112))&gt;0),
IFERROR('Bang TH nop'!AR113,0)+IFERROR('Bang TH nop'!AU113,0)+IFERROR('Bang TH nop'!BG113,0),
0
),
0
)</f>
        <v>0</v>
      </c>
      <c r="AG113" s="241"/>
      <c r="AH113" s="266"/>
      <c r="AI113" s="174">
        <f t="shared" ref="AI113" si="1140">IFERROR(
IF(AND(LEN(TRIM(B112))&gt;0,LEN(TRIM(C112))&gt;0),
AH113/AG113,
0
),
0
)</f>
        <v>0</v>
      </c>
      <c r="AJ113" s="174">
        <f t="shared" ref="AJ113:AJ131" si="1141">IFERROR(
IF(AND(LEN(TRIM(B112))&gt;0,LEN(TRIM(C112))&gt;0),
AL113/AF113,
0
),
0
)</f>
        <v>0</v>
      </c>
      <c r="AK113" s="175">
        <f t="shared" ref="AK113" si="1142">IFERROR(
IF(AND(LEN(TRIM(B112))&gt;0,LEN(TRIM(C112))&gt;0),
AJ113/AI113,
0
),
0
)</f>
        <v>0</v>
      </c>
      <c r="AL113" s="176">
        <f t="shared" ref="AL113:AL131" si="1143">IFERROR(
IF(AND(LEN(TRIM(B112))&gt;0,LEN(TRIM(C112))&gt;0),
AB113/L113,
0
),
0
)</f>
        <v>0</v>
      </c>
    </row>
    <row r="114" spans="1:38" ht="17.100000000000001" customHeight="1">
      <c r="A114" s="305">
        <v>54</v>
      </c>
      <c r="B114" s="307">
        <f>'Bang TH nop'!B115</f>
        <v>0</v>
      </c>
      <c r="C114" s="309">
        <f>IFERROR(IF(LEN(TRIM(B114))&gt;0,'Bang TH nop'!C115,""),"")</f>
        <v>0</v>
      </c>
      <c r="D114" s="311">
        <f>IFERROR(IF(AND(LEN(TRIM(B114))&gt;0,LEN(TRIM(C114))&gt;0),'Bang TH nop'!AO115,""),"")</f>
        <v>0</v>
      </c>
      <c r="E114" s="312"/>
      <c r="F114" s="259"/>
      <c r="G114" s="260"/>
      <c r="H114" s="260"/>
      <c r="I114" s="10">
        <f>IFERROR(IF(AND(LEN(TRIM(B114))&gt;0,LEN(TRIM(C114))&gt;0),'Bang TH nop'!BB115,0),0)</f>
        <v>0</v>
      </c>
      <c r="J114" s="10">
        <f>IFERROR(IF(AND(LEN(TRIM(B114))&gt;0,LEN(TRIM(C114))&gt;0),'Bang TH nop'!AV115,0),0)</f>
        <v>0</v>
      </c>
      <c r="K114" s="10">
        <f>IFERROR(IF(AND(LEN(TRIM(B114))&gt;0,LEN(TRIM(C114))&gt;0),'Bang TH nop'!AR115,0),0)</f>
        <v>0</v>
      </c>
      <c r="L114" s="12">
        <f>IFERROR(IF(AND(LEN(TRIM(B114))&gt;0,LEN(TRIM(C114))&gt;0),'Bang TH nop'!AS115,0),0)</f>
        <v>0</v>
      </c>
      <c r="M114" s="12">
        <f>IFERROR(IF(AND(LEN(TRIM(C114))&gt;0,LEN(TRIM(D114))&gt;0),'Bang TH nop'!AT115,0),0)</f>
        <v>0</v>
      </c>
      <c r="N114" s="12">
        <f>IFERROR(IF(AND(LEN(TRIM(B114))&gt;0,LEN(TRIM(C114))&gt;0),'Bang TH nop'!AU115,0),0)</f>
        <v>0</v>
      </c>
      <c r="O114" s="12">
        <f>IFERROR(IF(AND(LEN(TRIM(B114))&gt;0,LEN(TRIM(C114))&gt;0),'Bang TH nop'!BE115,0),0)</f>
        <v>0</v>
      </c>
      <c r="P114" s="12">
        <f>IFERROR(IF(AND(LEN(TRIM(B115))&gt;0,LEN(TRIM(C114))&gt;0),'Bang TH nop'!AZ115,0),0)</f>
        <v>0</v>
      </c>
      <c r="Q114" s="12"/>
      <c r="R114" s="261"/>
      <c r="S114" s="261"/>
      <c r="T114" s="261"/>
      <c r="U114" s="260"/>
      <c r="V114" s="260"/>
      <c r="W114" s="260"/>
      <c r="X114" s="260"/>
      <c r="Y114" s="260"/>
      <c r="Z114" s="260"/>
      <c r="AA114" s="259" t="str">
        <f>IFERROR(
IF(AND(LEN(TRIM(B114))&gt;0,LEN(TRIM(C114))&gt;0),
'Bang TH nop'!AH115,
0
),
0
)</f>
        <v>A</v>
      </c>
      <c r="AB114" s="11"/>
      <c r="AC114" s="11"/>
      <c r="AD114" s="260"/>
      <c r="AE114" s="11"/>
      <c r="AF114" s="260"/>
      <c r="AG114" s="241"/>
      <c r="AH114" s="286"/>
      <c r="AI114" s="287"/>
      <c r="AJ114" s="288"/>
      <c r="AK114" s="287"/>
      <c r="AL114" s="173"/>
    </row>
    <row r="115" spans="1:38" ht="17.100000000000001" customHeight="1">
      <c r="A115" s="306"/>
      <c r="B115" s="308"/>
      <c r="C115" s="310"/>
      <c r="D115" s="319">
        <f>IFERROR(IF(AND(LEN(TRIM(B114))&gt;0,LEN(TRIM(C114))&gt;0),'Bang TH nop'!AP115,""),"")</f>
        <v>0</v>
      </c>
      <c r="E115" s="320"/>
      <c r="F115" s="55">
        <f>IFERROR(IF(AND(LEN(TRIM(B114))&gt;0,LEN(TRIM(C114))&gt;0),'Bang TH nop'!AL115,0),0)</f>
        <v>0</v>
      </c>
      <c r="G115" s="263">
        <f t="shared" ref="G115:G131" si="1144">D115*I114/26</f>
        <v>0</v>
      </c>
      <c r="H115" s="263">
        <f t="shared" ref="H115:H131" si="1145">D115*J114*150%/(26*8)</f>
        <v>0</v>
      </c>
      <c r="I115" s="263">
        <f t="shared" ref="I115:I131" si="1146">IFERROR(
IF(AND(LEN(TRIM(B114))&gt;0,LEN(TRIM(C114))&gt;0),
IF(((I114-N114)*8+N114*7+J114)=0,0,
F115*680*(((I114-N114)*8+N114*7))/(((I114-N114)*8+N114*7+J114))*$I$4
),
0
),
0
)</f>
        <v>0</v>
      </c>
      <c r="J115" s="263">
        <f t="shared" ref="J115:J131" si="1147">IFERROR(
IF(AND(LEN(TRIM(B114))&gt;0,LEN(TRIM(C114))&gt;0),
IF(((I114-N114)*8+N114*7+J114)=0,0,
F115*680*150%*J114/(((I114-N114)*8+N114*7+J114))*$I$4
),
0
),
0
)</f>
        <v>0</v>
      </c>
      <c r="K115" s="264">
        <f t="shared" ref="K115:K131" si="1148">IFERROR(
IF(AND(LEN(TRIM(B114))&gt;0,LEN(TRIM(C114))&gt;0),
ROUND(D115/26*K114,0),
0
),
0
)</f>
        <v>0</v>
      </c>
      <c r="L115" s="264">
        <f t="shared" ref="L115:L131" si="1149">IFERROR(
IF(AND(LEN(TRIM(B114))&gt;0,LEN(TRIM(C114))&gt;0),
ROUND(D115/26*L114,0),
0
),
0
)</f>
        <v>0</v>
      </c>
      <c r="M115" s="264">
        <f t="shared" ref="M115:M131" si="1150">IFERROR(
IF(AND(LEN(TRIM(B114))&gt;0,LEN(TRIM(C114))&gt;0),
ROUND(D115/26*M114,0),
0
),
0
)</f>
        <v>0</v>
      </c>
      <c r="N115" s="264">
        <f t="shared" ref="N115:N131" si="1151">IFERROR(
IF(AND(LEN(TRIM(B114))&gt;0,LEN(TRIM(C114))&gt;0),
D115*N114/(26*8),
0
),
0
)</f>
        <v>0</v>
      </c>
      <c r="O115" s="264">
        <f t="shared" ref="O115:O131" si="1152">IFERROR(
IF(AND(LEN(TRIM(B114))&gt;0,LEN(TRIM(C114))&gt;0),
D115*O114/(26*8),
0
),
0
)</f>
        <v>0</v>
      </c>
      <c r="P115" s="264">
        <f t="shared" ref="P115:P131" si="1153">IFERROR(
IF(AND(LEN(TRIM(B114))&gt;0,LEN(TRIM(C114))&gt;0),
(D115/26/8*P114),
0
),
0
)</f>
        <v>0</v>
      </c>
      <c r="Q115" s="56">
        <f>IFERROR(
IF(AND(LEN(TRIM(B114))&gt;0,LEN(TRIM(C114))&gt;0),
'Bang TH nop'!BC115,
0
),
0
)</f>
        <v>0</v>
      </c>
      <c r="R115" s="263">
        <f>IFERROR(
IF(AND(LEN(TRIM(B114))&gt;0,LEN(TRIM(C114))&gt;0),
'Bang TH nop'!BD115,
0
),
0
)</f>
        <v>0</v>
      </c>
      <c r="S115" s="263">
        <f>IFERROR(
IF(AND(LEN(TRIM(B114))&gt;0,LEN(TRIM(C114))&gt;0),
'Bang TH nop'!BJ115,
0
),
0
)</f>
        <v>0</v>
      </c>
      <c r="T115" s="263">
        <f>IFERROR(
IF(AND(LEN(TRIM(B114))&gt;0,LEN(TRIM(C114))&gt;0),
'Bang TH nop'!AW115,
0
),
0
)</f>
        <v>0</v>
      </c>
      <c r="U115" s="264">
        <f t="shared" ref="U115:U131" si="1154">IFERROR(
IF(AND(LEN(TRIM(B114))&gt;0,LEN(TRIM(C114))&gt;0),
D115/26/8*U114,
0
),
0
)</f>
        <v>0</v>
      </c>
      <c r="V115" s="264"/>
      <c r="W115" s="264"/>
      <c r="X115" s="263">
        <f t="shared" ref="X115:X131" si="1155">+IF(G115-I115&lt;0,0,G115-I115)</f>
        <v>0</v>
      </c>
      <c r="Y115" s="263">
        <f t="shared" ref="Y115:Y131" si="1156">+IF(H115-J115&lt;0,0, H115-J115)</f>
        <v>0</v>
      </c>
      <c r="Z115" s="263">
        <f t="shared" ref="Z115" si="1157">IFERROR(
IF(AND(LEN(TRIM(B114))&gt;0,LEN(TRIM(C114))&gt;0),
(X115+Y115)*25%,
0
),
0
)</f>
        <v>0</v>
      </c>
      <c r="AA115" s="263">
        <f>IFERROR(
IF(AND(LEN(TRIM(B114))&gt;0,LEN(TRIM(C114))&gt;0),
'Bang TH nop'!BG115,
0
),
0
)</f>
        <v>0</v>
      </c>
      <c r="AB115" s="264">
        <f t="shared" ref="AB115" si="1158">IFERROR(
IF(AND(LEN(TRIM(B114))&gt;0,LEN(TRIM(C114))&gt;0),
SUM(I115:W115)+IFERROR(Z115,0)+IFERROR(AA115,0),
0
),
0
)</f>
        <v>0</v>
      </c>
      <c r="AC115" s="263">
        <f t="shared" ref="AC115:AC131" si="1159">IFERROR(
IF(AND(LEN(TRIM(B114))&gt;0,LEN(TRIM(C114))&gt;0),
IF((26-(IFERROR(I114,0)+IFERROR(K114,0)+IFERROR(L114,0)+IFERROR(M114,0)))&gt;12,0,D115*10.5%),
0
),
0
)</f>
        <v>0</v>
      </c>
      <c r="AD115" s="291">
        <f t="shared" ref="AD115:AD131" si="1160">IFERROR(
IF(AND(LEN(TRIM(B114))&gt;0,LEN(TRIM(C114))&gt;0),
ROUND(IF(D115=4939000,D115*0.5%,0),-2),
0
),
0
)</f>
        <v>0</v>
      </c>
      <c r="AE115" s="264">
        <f t="shared" ref="AE115" si="1161">IFERROR(
IF(AND(LEN(TRIM(B114))&gt;0,LEN(TRIM(C114))&gt;0),
ROUND(IFERROR(AB115,0)-IFERROR(AC115,0)-IFERROR(AD115,0),-2),
0
),
0
)</f>
        <v>0</v>
      </c>
      <c r="AF115" s="13">
        <f>IFERROR(
IF(AND(LEN(TRIM(B114))&gt;0,LEN(TRIM(C114))&gt;0),
IFERROR('Bang TH nop'!AR115,0)+IFERROR('Bang TH nop'!AU115,0)+IFERROR('Bang TH nop'!BG115,0),
0
),
0
)</f>
        <v>0</v>
      </c>
      <c r="AG115" s="241"/>
      <c r="AH115" s="266"/>
      <c r="AI115" s="174">
        <f t="shared" ref="AI115" si="1162">IFERROR(
IF(AND(LEN(TRIM(B114))&gt;0,LEN(TRIM(C114))&gt;0),
AH115/AG115,
0
),
0
)</f>
        <v>0</v>
      </c>
      <c r="AJ115" s="174">
        <f t="shared" ref="AJ115:AJ131" si="1163">IFERROR(
IF(AND(LEN(TRIM(B114))&gt;0,LEN(TRIM(C114))&gt;0),
AL115/AF115,
0
),
0
)</f>
        <v>0</v>
      </c>
      <c r="AK115" s="175">
        <f t="shared" ref="AK115" si="1164">IFERROR(
IF(AND(LEN(TRIM(B114))&gt;0,LEN(TRIM(C114))&gt;0),
AJ115/AI115,
0
),
0
)</f>
        <v>0</v>
      </c>
      <c r="AL115" s="176">
        <f t="shared" ref="AL115:AL131" si="1165">IFERROR(
IF(AND(LEN(TRIM(B114))&gt;0,LEN(TRIM(C114))&gt;0),
AB115/L115,
0
),
0
)</f>
        <v>0</v>
      </c>
    </row>
    <row r="116" spans="1:38" ht="17.100000000000001" customHeight="1">
      <c r="A116" s="305">
        <v>55</v>
      </c>
      <c r="B116" s="307">
        <f>'Bang TH nop'!B117</f>
        <v>0</v>
      </c>
      <c r="C116" s="309">
        <f>IFERROR(IF(LEN(TRIM(B116))&gt;0,'Bang TH nop'!C117,""),"")</f>
        <v>0</v>
      </c>
      <c r="D116" s="311">
        <f>IFERROR(IF(AND(LEN(TRIM(B116))&gt;0,LEN(TRIM(C116))&gt;0),'Bang TH nop'!AO117,""),"")</f>
        <v>0</v>
      </c>
      <c r="E116" s="312"/>
      <c r="F116" s="259"/>
      <c r="G116" s="260"/>
      <c r="H116" s="260"/>
      <c r="I116" s="10">
        <f>IFERROR(IF(AND(LEN(TRIM(B116))&gt;0,LEN(TRIM(C116))&gt;0),'Bang TH nop'!BB117,0),0)</f>
        <v>0</v>
      </c>
      <c r="J116" s="10">
        <f>IFERROR(IF(AND(LEN(TRIM(B116))&gt;0,LEN(TRIM(C116))&gt;0),'Bang TH nop'!AV117,0),0)</f>
        <v>0</v>
      </c>
      <c r="K116" s="10">
        <f>IFERROR(IF(AND(LEN(TRIM(B116))&gt;0,LEN(TRIM(C116))&gt;0),'Bang TH nop'!AR117,0),0)</f>
        <v>0</v>
      </c>
      <c r="L116" s="12">
        <f>IFERROR(IF(AND(LEN(TRIM(B116))&gt;0,LEN(TRIM(C116))&gt;0),'Bang TH nop'!AS117,0),0)</f>
        <v>0</v>
      </c>
      <c r="M116" s="12">
        <f>IFERROR(IF(AND(LEN(TRIM(C116))&gt;0,LEN(TRIM(D116))&gt;0),'Bang TH nop'!AT117,0),0)</f>
        <v>0</v>
      </c>
      <c r="N116" s="12">
        <f>IFERROR(IF(AND(LEN(TRIM(B116))&gt;0,LEN(TRIM(C116))&gt;0),'Bang TH nop'!AU117,0),0)</f>
        <v>0</v>
      </c>
      <c r="O116" s="12">
        <f>IFERROR(IF(AND(LEN(TRIM(B116))&gt;0,LEN(TRIM(C116))&gt;0),'Bang TH nop'!BE117,0),0)</f>
        <v>0</v>
      </c>
      <c r="P116" s="12">
        <f>IFERROR(IF(AND(LEN(TRIM(B117))&gt;0,LEN(TRIM(C116))&gt;0),'Bang TH nop'!AZ117,0),0)</f>
        <v>0</v>
      </c>
      <c r="Q116" s="12"/>
      <c r="R116" s="261"/>
      <c r="S116" s="261"/>
      <c r="T116" s="261"/>
      <c r="U116" s="260"/>
      <c r="V116" s="260"/>
      <c r="W116" s="260"/>
      <c r="X116" s="260"/>
      <c r="Y116" s="260"/>
      <c r="Z116" s="260"/>
      <c r="AA116" s="259" t="str">
        <f>IFERROR(
IF(AND(LEN(TRIM(B116))&gt;0,LEN(TRIM(C116))&gt;0),
'Bang TH nop'!AH117,
0
),
0
)</f>
        <v>A</v>
      </c>
      <c r="AB116" s="11"/>
      <c r="AC116" s="11"/>
      <c r="AD116" s="260"/>
      <c r="AE116" s="11"/>
      <c r="AF116" s="260"/>
      <c r="AG116" s="241"/>
      <c r="AH116" s="286"/>
      <c r="AI116" s="287"/>
      <c r="AJ116" s="288"/>
      <c r="AK116" s="287"/>
      <c r="AL116" s="173"/>
    </row>
    <row r="117" spans="1:38" ht="17.100000000000001" customHeight="1">
      <c r="A117" s="306"/>
      <c r="B117" s="308"/>
      <c r="C117" s="310"/>
      <c r="D117" s="319">
        <f>IFERROR(IF(AND(LEN(TRIM(B116))&gt;0,LEN(TRIM(C116))&gt;0),'Bang TH nop'!AP117,""),"")</f>
        <v>0</v>
      </c>
      <c r="E117" s="320"/>
      <c r="F117" s="55">
        <f>IFERROR(IF(AND(LEN(TRIM(B116))&gt;0,LEN(TRIM(C116))&gt;0),'Bang TH nop'!AL117,0),0)</f>
        <v>0</v>
      </c>
      <c r="G117" s="263">
        <f t="shared" ref="G117:G131" si="1166">D117*I116/26</f>
        <v>0</v>
      </c>
      <c r="H117" s="263">
        <f t="shared" ref="H117:H131" si="1167">D117*J116*150%/(26*8)</f>
        <v>0</v>
      </c>
      <c r="I117" s="263">
        <f t="shared" ref="I117:I131" si="1168">IFERROR(
IF(AND(LEN(TRIM(B116))&gt;0,LEN(TRIM(C116))&gt;0),
IF(((I116-N116)*8+N116*7+J116)=0,0,
F117*680*(((I116-N116)*8+N116*7))/(((I116-N116)*8+N116*7+J116))*$I$4
),
0
),
0
)</f>
        <v>0</v>
      </c>
      <c r="J117" s="263">
        <f t="shared" ref="J117:J131" si="1169">IFERROR(
IF(AND(LEN(TRIM(B116))&gt;0,LEN(TRIM(C116))&gt;0),
IF(((I116-N116)*8+N116*7+J116)=0,0,
F117*680*150%*J116/(((I116-N116)*8+N116*7+J116))*$I$4
),
0
),
0
)</f>
        <v>0</v>
      </c>
      <c r="K117" s="264">
        <f t="shared" ref="K117:K131" si="1170">IFERROR(
IF(AND(LEN(TRIM(B116))&gt;0,LEN(TRIM(C116))&gt;0),
ROUND(D117/26*K116,0),
0
),
0
)</f>
        <v>0</v>
      </c>
      <c r="L117" s="264">
        <f t="shared" ref="L117:L131" si="1171">IFERROR(
IF(AND(LEN(TRIM(B116))&gt;0,LEN(TRIM(C116))&gt;0),
ROUND(D117/26*L116,0),
0
),
0
)</f>
        <v>0</v>
      </c>
      <c r="M117" s="264">
        <f t="shared" ref="M117:M131" si="1172">IFERROR(
IF(AND(LEN(TRIM(B116))&gt;0,LEN(TRIM(C116))&gt;0),
ROUND(D117/26*M116,0),
0
),
0
)</f>
        <v>0</v>
      </c>
      <c r="N117" s="264">
        <f t="shared" ref="N117:N131" si="1173">IFERROR(
IF(AND(LEN(TRIM(B116))&gt;0,LEN(TRIM(C116))&gt;0),
D117*N116/(26*8),
0
),
0
)</f>
        <v>0</v>
      </c>
      <c r="O117" s="264">
        <f t="shared" ref="O117:O131" si="1174">IFERROR(
IF(AND(LEN(TRIM(B116))&gt;0,LEN(TRIM(C116))&gt;0),
D117*O116/(26*8),
0
),
0
)</f>
        <v>0</v>
      </c>
      <c r="P117" s="264">
        <f t="shared" ref="P117:P131" si="1175">IFERROR(
IF(AND(LEN(TRIM(B116))&gt;0,LEN(TRIM(C116))&gt;0),
(D117/26/8*P116),
0
),
0
)</f>
        <v>0</v>
      </c>
      <c r="Q117" s="56">
        <f>IFERROR(
IF(AND(LEN(TRIM(B116))&gt;0,LEN(TRIM(C116))&gt;0),
'Bang TH nop'!BC117,
0
),
0
)</f>
        <v>0</v>
      </c>
      <c r="R117" s="263">
        <f>IFERROR(
IF(AND(LEN(TRIM(B116))&gt;0,LEN(TRIM(C116))&gt;0),
'Bang TH nop'!BD117,
0
),
0
)</f>
        <v>0</v>
      </c>
      <c r="S117" s="263">
        <f>IFERROR(
IF(AND(LEN(TRIM(B116))&gt;0,LEN(TRIM(C116))&gt;0),
'Bang TH nop'!BJ117,
0
),
0
)</f>
        <v>0</v>
      </c>
      <c r="T117" s="263">
        <f>IFERROR(
IF(AND(LEN(TRIM(B116))&gt;0,LEN(TRIM(C116))&gt;0),
'Bang TH nop'!AW117,
0
),
0
)</f>
        <v>0</v>
      </c>
      <c r="U117" s="264">
        <f t="shared" ref="U117:U131" si="1176">IFERROR(
IF(AND(LEN(TRIM(B116))&gt;0,LEN(TRIM(C116))&gt;0),
D117/26/8*U116,
0
),
0
)</f>
        <v>0</v>
      </c>
      <c r="V117" s="264"/>
      <c r="W117" s="264"/>
      <c r="X117" s="263">
        <f t="shared" ref="X117:X131" si="1177">+IF(G117-I117&lt;0,0,G117-I117)</f>
        <v>0</v>
      </c>
      <c r="Y117" s="263">
        <f t="shared" ref="Y117:Y131" si="1178">+IF(H117-J117&lt;0,0, H117-J117)</f>
        <v>0</v>
      </c>
      <c r="Z117" s="263">
        <f t="shared" ref="Z117" si="1179">IFERROR(
IF(AND(LEN(TRIM(B116))&gt;0,LEN(TRIM(C116))&gt;0),
(X117+Y117)*25%,
0
),
0
)</f>
        <v>0</v>
      </c>
      <c r="AA117" s="263">
        <f>IFERROR(
IF(AND(LEN(TRIM(B116))&gt;0,LEN(TRIM(C116))&gt;0),
'Bang TH nop'!BG117,
0
),
0
)</f>
        <v>0</v>
      </c>
      <c r="AB117" s="264">
        <f t="shared" ref="AB117" si="1180">IFERROR(
IF(AND(LEN(TRIM(B116))&gt;0,LEN(TRIM(C116))&gt;0),
SUM(I117:W117)+IFERROR(Z117,0)+IFERROR(AA117,0),
0
),
0
)</f>
        <v>0</v>
      </c>
      <c r="AC117" s="263">
        <f t="shared" ref="AC117:AC131" si="1181">IFERROR(
IF(AND(LEN(TRIM(B116))&gt;0,LEN(TRIM(C116))&gt;0),
IF((26-(IFERROR(I116,0)+IFERROR(K116,0)+IFERROR(L116,0)+IFERROR(M116,0)))&gt;12,0,D117*10.5%),
0
),
0
)</f>
        <v>0</v>
      </c>
      <c r="AD117" s="291">
        <f t="shared" ref="AD117:AD131" si="1182">IFERROR(
IF(AND(LEN(TRIM(B116))&gt;0,LEN(TRIM(C116))&gt;0),
ROUND(IF(D117=4939000,D117*0.5%,0),-2),
0
),
0
)</f>
        <v>0</v>
      </c>
      <c r="AE117" s="264">
        <f t="shared" ref="AE117" si="1183">IFERROR(
IF(AND(LEN(TRIM(B116))&gt;0,LEN(TRIM(C116))&gt;0),
ROUND(IFERROR(AB117,0)-IFERROR(AC117,0)-IFERROR(AD117,0),-2),
0
),
0
)</f>
        <v>0</v>
      </c>
      <c r="AF117" s="13">
        <f>IFERROR(
IF(AND(LEN(TRIM(B116))&gt;0,LEN(TRIM(C116))&gt;0),
IFERROR('Bang TH nop'!AR117,0)+IFERROR('Bang TH nop'!AU117,0)+IFERROR('Bang TH nop'!BG117,0),
0
),
0
)</f>
        <v>0</v>
      </c>
      <c r="AG117" s="241"/>
      <c r="AH117" s="266"/>
      <c r="AI117" s="174">
        <f t="shared" ref="AI117" si="1184">IFERROR(
IF(AND(LEN(TRIM(B116))&gt;0,LEN(TRIM(C116))&gt;0),
AH117/AG117,
0
),
0
)</f>
        <v>0</v>
      </c>
      <c r="AJ117" s="174">
        <f t="shared" ref="AJ117:AJ131" si="1185">IFERROR(
IF(AND(LEN(TRIM(B116))&gt;0,LEN(TRIM(C116))&gt;0),
AL117/AF117,
0
),
0
)</f>
        <v>0</v>
      </c>
      <c r="AK117" s="175">
        <f t="shared" ref="AK117" si="1186">IFERROR(
IF(AND(LEN(TRIM(B116))&gt;0,LEN(TRIM(C116))&gt;0),
AJ117/AI117,
0
),
0
)</f>
        <v>0</v>
      </c>
      <c r="AL117" s="176">
        <f t="shared" ref="AL117:AL131" si="1187">IFERROR(
IF(AND(LEN(TRIM(B116))&gt;0,LEN(TRIM(C116))&gt;0),
AB117/L117,
0
),
0
)</f>
        <v>0</v>
      </c>
    </row>
    <row r="118" spans="1:38" ht="17.100000000000001" customHeight="1">
      <c r="A118" s="305"/>
      <c r="B118" s="307">
        <f>'Bang TH nop'!B119</f>
        <v>0</v>
      </c>
      <c r="C118" s="309">
        <f>IFERROR(IF(LEN(TRIM(B118))&gt;0,'Bang TH nop'!C119,""),"")</f>
        <v>0</v>
      </c>
      <c r="D118" s="311">
        <f>IFERROR(IF(AND(LEN(TRIM(B118))&gt;0,LEN(TRIM(C118))&gt;0),'Bang TH nop'!AO119,""),"")</f>
        <v>0</v>
      </c>
      <c r="E118" s="312"/>
      <c r="F118" s="259"/>
      <c r="G118" s="260"/>
      <c r="H118" s="260"/>
      <c r="I118" s="10">
        <f>IFERROR(IF(AND(LEN(TRIM(B118))&gt;0,LEN(TRIM(C118))&gt;0),'Bang TH nop'!BB119,0),0)</f>
        <v>0</v>
      </c>
      <c r="J118" s="10">
        <f>IFERROR(IF(AND(LEN(TRIM(B118))&gt;0,LEN(TRIM(C118))&gt;0),'Bang TH nop'!AV119,0),0)</f>
        <v>0</v>
      </c>
      <c r="K118" s="10">
        <f>IFERROR(IF(AND(LEN(TRIM(B118))&gt;0,LEN(TRIM(C118))&gt;0),'Bang TH nop'!AR119,0),0)</f>
        <v>0</v>
      </c>
      <c r="L118" s="12">
        <f>IFERROR(IF(AND(LEN(TRIM(B118))&gt;0,LEN(TRIM(C118))&gt;0),'Bang TH nop'!AS119,0),0)</f>
        <v>0</v>
      </c>
      <c r="M118" s="12">
        <f>IFERROR(IF(AND(LEN(TRIM(C118))&gt;0,LEN(TRIM(D118))&gt;0),'Bang TH nop'!AT119,0),0)</f>
        <v>0</v>
      </c>
      <c r="N118" s="12">
        <f>IFERROR(IF(AND(LEN(TRIM(B118))&gt;0,LEN(TRIM(C118))&gt;0),'Bang TH nop'!AU119,0),0)</f>
        <v>0</v>
      </c>
      <c r="O118" s="12">
        <f>IFERROR(IF(AND(LEN(TRIM(B118))&gt;0,LEN(TRIM(C118))&gt;0),'Bang TH nop'!BE119,0),0)</f>
        <v>0</v>
      </c>
      <c r="P118" s="12">
        <f>IFERROR(IF(AND(LEN(TRIM(B119))&gt;0,LEN(TRIM(C118))&gt;0),'Bang TH nop'!AZ119,0),0)</f>
        <v>0</v>
      </c>
      <c r="Q118" s="12"/>
      <c r="R118" s="261"/>
      <c r="S118" s="261"/>
      <c r="T118" s="261"/>
      <c r="U118" s="260"/>
      <c r="V118" s="260"/>
      <c r="W118" s="260"/>
      <c r="X118" s="260"/>
      <c r="Y118" s="260"/>
      <c r="Z118" s="260"/>
      <c r="AA118" s="259" t="str">
        <f>IFERROR(
IF(AND(LEN(TRIM(B118))&gt;0,LEN(TRIM(C118))&gt;0),
'Bang TH nop'!AH119,
0
),
0
)</f>
        <v>A</v>
      </c>
      <c r="AB118" s="11"/>
      <c r="AC118" s="11"/>
      <c r="AD118" s="260"/>
      <c r="AE118" s="11"/>
      <c r="AF118" s="260"/>
      <c r="AG118" s="241"/>
      <c r="AH118" s="286"/>
      <c r="AI118" s="287"/>
      <c r="AJ118" s="288"/>
      <c r="AK118" s="287"/>
      <c r="AL118" s="173"/>
    </row>
    <row r="119" spans="1:38" ht="17.100000000000001" customHeight="1">
      <c r="A119" s="306"/>
      <c r="B119" s="308"/>
      <c r="C119" s="310"/>
      <c r="D119" s="319">
        <f>IFERROR(IF(AND(LEN(TRIM(B118))&gt;0,LEN(TRIM(C118))&gt;0),'Bang TH nop'!AP119,""),"")</f>
        <v>0</v>
      </c>
      <c r="E119" s="320"/>
      <c r="F119" s="55">
        <f>IFERROR(IF(AND(LEN(TRIM(B118))&gt;0,LEN(TRIM(C118))&gt;0),'Bang TH nop'!AL119,0),0)</f>
        <v>0</v>
      </c>
      <c r="G119" s="263">
        <f t="shared" ref="G119:G131" si="1188">D119*I118/26</f>
        <v>0</v>
      </c>
      <c r="H119" s="263">
        <f t="shared" ref="H119:H131" si="1189">D119*J118*150%/(26*8)</f>
        <v>0</v>
      </c>
      <c r="I119" s="263">
        <f t="shared" ref="I119:I131" si="1190">IFERROR(
IF(AND(LEN(TRIM(B118))&gt;0,LEN(TRIM(C118))&gt;0),
IF(((I118-N118)*8+N118*7+J118)=0,0,
F119*680*(((I118-N118)*8+N118*7))/(((I118-N118)*8+N118*7+J118))*$I$4
),
0
),
0
)</f>
        <v>0</v>
      </c>
      <c r="J119" s="263">
        <f t="shared" ref="J119:J131" si="1191">IFERROR(
IF(AND(LEN(TRIM(B118))&gt;0,LEN(TRIM(C118))&gt;0),
IF(((I118-N118)*8+N118*7+J118)=0,0,
F119*680*150%*J118/(((I118-N118)*8+N118*7+J118))*$I$4
),
0
),
0
)</f>
        <v>0</v>
      </c>
      <c r="K119" s="264">
        <f t="shared" ref="K119:K131" si="1192">IFERROR(
IF(AND(LEN(TRIM(B118))&gt;0,LEN(TRIM(C118))&gt;0),
ROUND(D119/26*K118,0),
0
),
0
)</f>
        <v>0</v>
      </c>
      <c r="L119" s="264">
        <f t="shared" ref="L119:L131" si="1193">IFERROR(
IF(AND(LEN(TRIM(B118))&gt;0,LEN(TRIM(C118))&gt;0),
ROUND(D119/26*L118,0),
0
),
0
)</f>
        <v>0</v>
      </c>
      <c r="M119" s="264">
        <f t="shared" ref="M119:M131" si="1194">IFERROR(
IF(AND(LEN(TRIM(B118))&gt;0,LEN(TRIM(C118))&gt;0),
ROUND(D119/26*M118,0),
0
),
0
)</f>
        <v>0</v>
      </c>
      <c r="N119" s="264">
        <f t="shared" ref="N119:N131" si="1195">IFERROR(
IF(AND(LEN(TRIM(B118))&gt;0,LEN(TRIM(C118))&gt;0),
D119*N118/(26*8),
0
),
0
)</f>
        <v>0</v>
      </c>
      <c r="O119" s="264">
        <f t="shared" ref="O119:O131" si="1196">IFERROR(
IF(AND(LEN(TRIM(B118))&gt;0,LEN(TRIM(C118))&gt;0),
D119*O118/(26*8),
0
),
0
)</f>
        <v>0</v>
      </c>
      <c r="P119" s="264">
        <f t="shared" ref="P119:P131" si="1197">IFERROR(
IF(AND(LEN(TRIM(B118))&gt;0,LEN(TRIM(C118))&gt;0),
(D119/26/8*P118),
0
),
0
)</f>
        <v>0</v>
      </c>
      <c r="Q119" s="56">
        <f>IFERROR(
IF(AND(LEN(TRIM(B118))&gt;0,LEN(TRIM(C118))&gt;0),
'Bang TH nop'!BC119,
0
),
0
)</f>
        <v>0</v>
      </c>
      <c r="R119" s="263">
        <f>IFERROR(
IF(AND(LEN(TRIM(B118))&gt;0,LEN(TRIM(C118))&gt;0),
'Bang TH nop'!BD119,
0
),
0
)</f>
        <v>0</v>
      </c>
      <c r="S119" s="263">
        <f>IFERROR(
IF(AND(LEN(TRIM(B118))&gt;0,LEN(TRIM(C118))&gt;0),
'Bang TH nop'!BJ119,
0
),
0
)</f>
        <v>0</v>
      </c>
      <c r="T119" s="263">
        <f>IFERROR(
IF(AND(LEN(TRIM(B118))&gt;0,LEN(TRIM(C118))&gt;0),
'Bang TH nop'!AW119,
0
),
0
)</f>
        <v>0</v>
      </c>
      <c r="U119" s="264">
        <f t="shared" ref="U119:U131" si="1198">IFERROR(
IF(AND(LEN(TRIM(B118))&gt;0,LEN(TRIM(C118))&gt;0),
D119/26/8*U118,
0
),
0
)</f>
        <v>0</v>
      </c>
      <c r="V119" s="264"/>
      <c r="W119" s="264"/>
      <c r="X119" s="263">
        <f t="shared" ref="X119:X131" si="1199">+IF(G119-I119&lt;0,0,G119-I119)</f>
        <v>0</v>
      </c>
      <c r="Y119" s="263">
        <f t="shared" ref="Y119:Y131" si="1200">+IF(H119-J119&lt;0,0, H119-J119)</f>
        <v>0</v>
      </c>
      <c r="Z119" s="263">
        <f t="shared" ref="Z119" si="1201">IFERROR(
IF(AND(LEN(TRIM(B118))&gt;0,LEN(TRIM(C118))&gt;0),
(X119+Y119)*25%,
0
),
0
)</f>
        <v>0</v>
      </c>
      <c r="AA119" s="263">
        <f>IFERROR(
IF(AND(LEN(TRIM(B118))&gt;0,LEN(TRIM(C118))&gt;0),
'Bang TH nop'!BG119,
0
),
0
)</f>
        <v>0</v>
      </c>
      <c r="AB119" s="264">
        <f t="shared" ref="AB119" si="1202">IFERROR(
IF(AND(LEN(TRIM(B118))&gt;0,LEN(TRIM(C118))&gt;0),
SUM(I119:W119)+IFERROR(Z119,0)+IFERROR(AA119,0),
0
),
0
)</f>
        <v>0</v>
      </c>
      <c r="AC119" s="263">
        <f t="shared" ref="AC119:AC131" si="1203">IFERROR(
IF(AND(LEN(TRIM(B118))&gt;0,LEN(TRIM(C118))&gt;0),
IF((26-(IFERROR(I118,0)+IFERROR(K118,0)+IFERROR(L118,0)+IFERROR(M118,0)))&gt;12,0,D119*10.5%),
0
),
0
)</f>
        <v>0</v>
      </c>
      <c r="AD119" s="291">
        <f t="shared" ref="AD119:AD131" si="1204">IFERROR(
IF(AND(LEN(TRIM(B118))&gt;0,LEN(TRIM(C118))&gt;0),
ROUND(IF(D119=4939000,D119*0.5%,0),-2),
0
),
0
)</f>
        <v>0</v>
      </c>
      <c r="AE119" s="264">
        <f t="shared" ref="AE119" si="1205">IFERROR(
IF(AND(LEN(TRIM(B118))&gt;0,LEN(TRIM(C118))&gt;0),
ROUND(IFERROR(AB119,0)-IFERROR(AC119,0)-IFERROR(AD119,0),-2),
0
),
0
)</f>
        <v>0</v>
      </c>
      <c r="AF119" s="13">
        <f>IFERROR(
IF(AND(LEN(TRIM(B118))&gt;0,LEN(TRIM(C118))&gt;0),
IFERROR('Bang TH nop'!AR119,0)+IFERROR('Bang TH nop'!AU119,0)+IFERROR('Bang TH nop'!BG119,0),
0
),
0
)</f>
        <v>0</v>
      </c>
      <c r="AG119" s="241"/>
      <c r="AH119" s="266"/>
      <c r="AI119" s="174">
        <f t="shared" ref="AI119" si="1206">IFERROR(
IF(AND(LEN(TRIM(B118))&gt;0,LEN(TRIM(C118))&gt;0),
AH119/AG119,
0
),
0
)</f>
        <v>0</v>
      </c>
      <c r="AJ119" s="174">
        <f t="shared" ref="AJ119:AJ131" si="1207">IFERROR(
IF(AND(LEN(TRIM(B118))&gt;0,LEN(TRIM(C118))&gt;0),
AL119/AF119,
0
),
0
)</f>
        <v>0</v>
      </c>
      <c r="AK119" s="175">
        <f t="shared" ref="AK119" si="1208">IFERROR(
IF(AND(LEN(TRIM(B118))&gt;0,LEN(TRIM(C118))&gt;0),
AJ119/AI119,
0
),
0
)</f>
        <v>0</v>
      </c>
      <c r="AL119" s="176">
        <f t="shared" ref="AL119:AL131" si="1209">IFERROR(
IF(AND(LEN(TRIM(B118))&gt;0,LEN(TRIM(C118))&gt;0),
AB119/L119,
0
),
0
)</f>
        <v>0</v>
      </c>
    </row>
    <row r="120" spans="1:38" ht="17.100000000000001" customHeight="1">
      <c r="A120" s="305"/>
      <c r="B120" s="307">
        <f>'Bang TH nop'!B121</f>
        <v>0</v>
      </c>
      <c r="C120" s="309">
        <f>IFERROR(IF(LEN(TRIM(B120))&gt;0,'Bang TH nop'!C121,""),"")</f>
        <v>0</v>
      </c>
      <c r="D120" s="311">
        <f>IFERROR(IF(AND(LEN(TRIM(B120))&gt;0,LEN(TRIM(C120))&gt;0),'Bang TH nop'!AO121,""),"")</f>
        <v>0</v>
      </c>
      <c r="E120" s="312"/>
      <c r="F120" s="259"/>
      <c r="G120" s="260"/>
      <c r="H120" s="260"/>
      <c r="I120" s="10">
        <f>IFERROR(IF(AND(LEN(TRIM(B120))&gt;0,LEN(TRIM(C120))&gt;0),'Bang TH nop'!BB121,0),0)</f>
        <v>0</v>
      </c>
      <c r="J120" s="10">
        <f>IFERROR(IF(AND(LEN(TRIM(B120))&gt;0,LEN(TRIM(C120))&gt;0),'Bang TH nop'!AV121,0),0)</f>
        <v>0</v>
      </c>
      <c r="K120" s="10">
        <f>IFERROR(IF(AND(LEN(TRIM(B120))&gt;0,LEN(TRIM(C120))&gt;0),'Bang TH nop'!AR121,0),0)</f>
        <v>0</v>
      </c>
      <c r="L120" s="12">
        <f>IFERROR(IF(AND(LEN(TRIM(B120))&gt;0,LEN(TRIM(C120))&gt;0),'Bang TH nop'!AS121,0),0)</f>
        <v>0</v>
      </c>
      <c r="M120" s="12">
        <f>IFERROR(IF(AND(LEN(TRIM(C120))&gt;0,LEN(TRIM(D120))&gt;0),'Bang TH nop'!AT121,0),0)</f>
        <v>0</v>
      </c>
      <c r="N120" s="12">
        <f>IFERROR(IF(AND(LEN(TRIM(B120))&gt;0,LEN(TRIM(C120))&gt;0),'Bang TH nop'!AU121,0),0)</f>
        <v>0</v>
      </c>
      <c r="O120" s="12">
        <f>IFERROR(IF(AND(LEN(TRIM(B120))&gt;0,LEN(TRIM(C120))&gt;0),'Bang TH nop'!BE121,0),0)</f>
        <v>0</v>
      </c>
      <c r="P120" s="12">
        <f>IFERROR(IF(AND(LEN(TRIM(B121))&gt;0,LEN(TRIM(C120))&gt;0),'Bang TH nop'!AZ121,0),0)</f>
        <v>0</v>
      </c>
      <c r="Q120" s="12"/>
      <c r="R120" s="261"/>
      <c r="S120" s="261"/>
      <c r="T120" s="261"/>
      <c r="U120" s="260"/>
      <c r="V120" s="260"/>
      <c r="W120" s="260"/>
      <c r="X120" s="260"/>
      <c r="Y120" s="260"/>
      <c r="Z120" s="260"/>
      <c r="AA120" s="259" t="str">
        <f>IFERROR(
IF(AND(LEN(TRIM(B120))&gt;0,LEN(TRIM(C120))&gt;0),
'Bang TH nop'!AH121,
0
),
0
)</f>
        <v>A</v>
      </c>
      <c r="AB120" s="11"/>
      <c r="AC120" s="11"/>
      <c r="AD120" s="260"/>
      <c r="AE120" s="11"/>
      <c r="AF120" s="260"/>
      <c r="AG120" s="241"/>
      <c r="AH120" s="286"/>
      <c r="AI120" s="287"/>
      <c r="AJ120" s="288"/>
      <c r="AK120" s="287"/>
      <c r="AL120" s="173"/>
    </row>
    <row r="121" spans="1:38" ht="17.100000000000001" customHeight="1">
      <c r="A121" s="306"/>
      <c r="B121" s="308"/>
      <c r="C121" s="310"/>
      <c r="D121" s="319">
        <f>IFERROR(IF(AND(LEN(TRIM(B120))&gt;0,LEN(TRIM(C120))&gt;0),'Bang TH nop'!AP121,""),"")</f>
        <v>0</v>
      </c>
      <c r="E121" s="320"/>
      <c r="F121" s="55">
        <f>IFERROR(IF(AND(LEN(TRIM(B120))&gt;0,LEN(TRIM(C120))&gt;0),'Bang TH nop'!AL121,0),0)</f>
        <v>0</v>
      </c>
      <c r="G121" s="263">
        <f t="shared" ref="G121:G131" si="1210">D121*I120/26</f>
        <v>0</v>
      </c>
      <c r="H121" s="263">
        <f t="shared" ref="H121:H131" si="1211">D121*J120*150%/(26*8)</f>
        <v>0</v>
      </c>
      <c r="I121" s="263">
        <f t="shared" ref="I121:I131" si="1212">IFERROR(
IF(AND(LEN(TRIM(B120))&gt;0,LEN(TRIM(C120))&gt;0),
IF(((I120-N120)*8+N120*7+J120)=0,0,
F121*680*(((I120-N120)*8+N120*7))/(((I120-N120)*8+N120*7+J120))*$I$4
),
0
),
0
)</f>
        <v>0</v>
      </c>
      <c r="J121" s="263">
        <f t="shared" ref="J121:J131" si="1213">IFERROR(
IF(AND(LEN(TRIM(B120))&gt;0,LEN(TRIM(C120))&gt;0),
IF(((I120-N120)*8+N120*7+J120)=0,0,
F121*680*150%*J120/(((I120-N120)*8+N120*7+J120))*$I$4
),
0
),
0
)</f>
        <v>0</v>
      </c>
      <c r="K121" s="264">
        <f t="shared" ref="K121:K131" si="1214">IFERROR(
IF(AND(LEN(TRIM(B120))&gt;0,LEN(TRIM(C120))&gt;0),
ROUND(D121/26*K120,0),
0
),
0
)</f>
        <v>0</v>
      </c>
      <c r="L121" s="264">
        <f t="shared" ref="L121:L131" si="1215">IFERROR(
IF(AND(LEN(TRIM(B120))&gt;0,LEN(TRIM(C120))&gt;0),
ROUND(D121/26*L120,0),
0
),
0
)</f>
        <v>0</v>
      </c>
      <c r="M121" s="264">
        <f t="shared" ref="M121:M131" si="1216">IFERROR(
IF(AND(LEN(TRIM(B120))&gt;0,LEN(TRIM(C120))&gt;0),
ROUND(D121/26*M120,0),
0
),
0
)</f>
        <v>0</v>
      </c>
      <c r="N121" s="264">
        <f t="shared" ref="N121:N131" si="1217">IFERROR(
IF(AND(LEN(TRIM(B120))&gt;0,LEN(TRIM(C120))&gt;0),
D121*N120/(26*8),
0
),
0
)</f>
        <v>0</v>
      </c>
      <c r="O121" s="264">
        <f t="shared" ref="O121:O131" si="1218">IFERROR(
IF(AND(LEN(TRIM(B120))&gt;0,LEN(TRIM(C120))&gt;0),
D121*O120/(26*8),
0
),
0
)</f>
        <v>0</v>
      </c>
      <c r="P121" s="264">
        <f t="shared" ref="P121:P131" si="1219">IFERROR(
IF(AND(LEN(TRIM(B120))&gt;0,LEN(TRIM(C120))&gt;0),
(D121/26/8*P120),
0
),
0
)</f>
        <v>0</v>
      </c>
      <c r="Q121" s="56">
        <f>IFERROR(
IF(AND(LEN(TRIM(B120))&gt;0,LEN(TRIM(C120))&gt;0),
'Bang TH nop'!BC121,
0
),
0
)</f>
        <v>0</v>
      </c>
      <c r="R121" s="263">
        <f>IFERROR(
IF(AND(LEN(TRIM(B120))&gt;0,LEN(TRIM(C120))&gt;0),
'Bang TH nop'!BD121,
0
),
0
)</f>
        <v>0</v>
      </c>
      <c r="S121" s="263">
        <f>IFERROR(
IF(AND(LEN(TRIM(B120))&gt;0,LEN(TRIM(C120))&gt;0),
'Bang TH nop'!BJ121,
0
),
0
)</f>
        <v>0</v>
      </c>
      <c r="T121" s="263">
        <f>IFERROR(
IF(AND(LEN(TRIM(B120))&gt;0,LEN(TRIM(C120))&gt;0),
'Bang TH nop'!AW121,
0
),
0
)</f>
        <v>0</v>
      </c>
      <c r="U121" s="264">
        <f t="shared" ref="U121:U131" si="1220">IFERROR(
IF(AND(LEN(TRIM(B120))&gt;0,LEN(TRIM(C120))&gt;0),
D121/26/8*U120,
0
),
0
)</f>
        <v>0</v>
      </c>
      <c r="V121" s="264"/>
      <c r="W121" s="264"/>
      <c r="X121" s="263">
        <f t="shared" ref="X121:X131" si="1221">+IF(G121-I121&lt;0,0,G121-I121)</f>
        <v>0</v>
      </c>
      <c r="Y121" s="263">
        <f t="shared" ref="Y121:Y131" si="1222">+IF(H121-J121&lt;0,0, H121-J121)</f>
        <v>0</v>
      </c>
      <c r="Z121" s="263">
        <f t="shared" ref="Z121" si="1223">IFERROR(
IF(AND(LEN(TRIM(B120))&gt;0,LEN(TRIM(C120))&gt;0),
(X121+Y121)*25%,
0
),
0
)</f>
        <v>0</v>
      </c>
      <c r="AA121" s="263">
        <f>IFERROR(
IF(AND(LEN(TRIM(B120))&gt;0,LEN(TRIM(C120))&gt;0),
'Bang TH nop'!BG121,
0
),
0
)</f>
        <v>0</v>
      </c>
      <c r="AB121" s="264">
        <f t="shared" ref="AB121" si="1224">IFERROR(
IF(AND(LEN(TRIM(B120))&gt;0,LEN(TRIM(C120))&gt;0),
SUM(I121:W121)+IFERROR(Z121,0)+IFERROR(AA121,0),
0
),
0
)</f>
        <v>0</v>
      </c>
      <c r="AC121" s="263">
        <f t="shared" ref="AC121:AC131" si="1225">IFERROR(
IF(AND(LEN(TRIM(B120))&gt;0,LEN(TRIM(C120))&gt;0),
IF((26-(IFERROR(I120,0)+IFERROR(K120,0)+IFERROR(L120,0)+IFERROR(M120,0)))&gt;12,0,D121*10.5%),
0
),
0
)</f>
        <v>0</v>
      </c>
      <c r="AD121" s="291">
        <f t="shared" ref="AD121:AD131" si="1226">IFERROR(
IF(AND(LEN(TRIM(B120))&gt;0,LEN(TRIM(C120))&gt;0),
ROUND(IF(D121=4939000,D121*0.5%,0),-2),
0
),
0
)</f>
        <v>0</v>
      </c>
      <c r="AE121" s="264">
        <f t="shared" ref="AE121" si="1227">IFERROR(
IF(AND(LEN(TRIM(B120))&gt;0,LEN(TRIM(C120))&gt;0),
ROUND(IFERROR(AB121,0)-IFERROR(AC121,0)-IFERROR(AD121,0),-2),
0
),
0
)</f>
        <v>0</v>
      </c>
      <c r="AF121" s="13">
        <f>IFERROR(
IF(AND(LEN(TRIM(B120))&gt;0,LEN(TRIM(C120))&gt;0),
IFERROR('Bang TH nop'!AR121,0)+IFERROR('Bang TH nop'!AU121,0)+IFERROR('Bang TH nop'!BG121,0),
0
),
0
)</f>
        <v>0</v>
      </c>
      <c r="AG121" s="241"/>
      <c r="AH121" s="266"/>
      <c r="AI121" s="174">
        <f t="shared" ref="AI121" si="1228">IFERROR(
IF(AND(LEN(TRIM(B120))&gt;0,LEN(TRIM(C120))&gt;0),
AH121/AG121,
0
),
0
)</f>
        <v>0</v>
      </c>
      <c r="AJ121" s="174">
        <f t="shared" ref="AJ121:AJ131" si="1229">IFERROR(
IF(AND(LEN(TRIM(B120))&gt;0,LEN(TRIM(C120))&gt;0),
AL121/AF121,
0
),
0
)</f>
        <v>0</v>
      </c>
      <c r="AK121" s="175">
        <f t="shared" ref="AK121" si="1230">IFERROR(
IF(AND(LEN(TRIM(B120))&gt;0,LEN(TRIM(C120))&gt;0),
AJ121/AI121,
0
),
0
)</f>
        <v>0</v>
      </c>
      <c r="AL121" s="176">
        <f t="shared" ref="AL121:AL131" si="1231">IFERROR(
IF(AND(LEN(TRIM(B120))&gt;0,LEN(TRIM(C120))&gt;0),
AB121/L121,
0
),
0
)</f>
        <v>0</v>
      </c>
    </row>
    <row r="122" spans="1:38" ht="17.100000000000001" customHeight="1">
      <c r="A122" s="305"/>
      <c r="B122" s="307">
        <f>'Bang TH nop'!B123</f>
        <v>0</v>
      </c>
      <c r="C122" s="309">
        <f>IFERROR(IF(LEN(TRIM(B122))&gt;0,'Bang TH nop'!C123,""),"")</f>
        <v>0</v>
      </c>
      <c r="D122" s="311">
        <f>IFERROR(IF(AND(LEN(TRIM(B122))&gt;0,LEN(TRIM(C122))&gt;0),'Bang TH nop'!AO123,""),"")</f>
        <v>0</v>
      </c>
      <c r="E122" s="312"/>
      <c r="F122" s="259"/>
      <c r="G122" s="260"/>
      <c r="H122" s="260"/>
      <c r="I122" s="10">
        <f>IFERROR(IF(AND(LEN(TRIM(B122))&gt;0,LEN(TRIM(C122))&gt;0),'Bang TH nop'!BB123,0),0)</f>
        <v>0</v>
      </c>
      <c r="J122" s="10">
        <f>IFERROR(IF(AND(LEN(TRIM(B122))&gt;0,LEN(TRIM(C122))&gt;0),'Bang TH nop'!AV123,0),0)</f>
        <v>0</v>
      </c>
      <c r="K122" s="10">
        <f>IFERROR(IF(AND(LEN(TRIM(B122))&gt;0,LEN(TRIM(C122))&gt;0),'Bang TH nop'!AR123,0),0)</f>
        <v>0</v>
      </c>
      <c r="L122" s="12">
        <f>IFERROR(IF(AND(LEN(TRIM(B122))&gt;0,LEN(TRIM(C122))&gt;0),'Bang TH nop'!AS123,0),0)</f>
        <v>0</v>
      </c>
      <c r="M122" s="12">
        <f>IFERROR(IF(AND(LEN(TRIM(C122))&gt;0,LEN(TRIM(D122))&gt;0),'Bang TH nop'!AT123,0),0)</f>
        <v>0</v>
      </c>
      <c r="N122" s="12">
        <f>IFERROR(IF(AND(LEN(TRIM(B122))&gt;0,LEN(TRIM(C122))&gt;0),'Bang TH nop'!AU123,0),0)</f>
        <v>0</v>
      </c>
      <c r="O122" s="12">
        <f>IFERROR(IF(AND(LEN(TRIM(B122))&gt;0,LEN(TRIM(C122))&gt;0),'Bang TH nop'!BE123,0),0)</f>
        <v>0</v>
      </c>
      <c r="P122" s="12">
        <f>IFERROR(IF(AND(LEN(TRIM(B123))&gt;0,LEN(TRIM(C122))&gt;0),'Bang TH nop'!AZ123,0),0)</f>
        <v>0</v>
      </c>
      <c r="Q122" s="12"/>
      <c r="R122" s="261"/>
      <c r="S122" s="261"/>
      <c r="T122" s="261"/>
      <c r="U122" s="260"/>
      <c r="V122" s="260"/>
      <c r="W122" s="260"/>
      <c r="X122" s="260"/>
      <c r="Y122" s="260"/>
      <c r="Z122" s="260"/>
      <c r="AA122" s="259" t="str">
        <f>IFERROR(
IF(AND(LEN(TRIM(B122))&gt;0,LEN(TRIM(C122))&gt;0),
'Bang TH nop'!AH123,
0
),
0
)</f>
        <v>A</v>
      </c>
      <c r="AB122" s="11"/>
      <c r="AC122" s="11"/>
      <c r="AD122" s="260"/>
      <c r="AE122" s="11"/>
      <c r="AF122" s="260"/>
      <c r="AG122" s="241"/>
      <c r="AH122" s="286"/>
      <c r="AI122" s="287"/>
      <c r="AJ122" s="288"/>
      <c r="AK122" s="287"/>
      <c r="AL122" s="173"/>
    </row>
    <row r="123" spans="1:38" ht="17.100000000000001" customHeight="1">
      <c r="A123" s="306"/>
      <c r="B123" s="308"/>
      <c r="C123" s="310"/>
      <c r="D123" s="319">
        <f>IFERROR(IF(AND(LEN(TRIM(B122))&gt;0,LEN(TRIM(C122))&gt;0),'Bang TH nop'!AP123,""),"")</f>
        <v>0</v>
      </c>
      <c r="E123" s="320"/>
      <c r="F123" s="55">
        <f>IFERROR(IF(AND(LEN(TRIM(B122))&gt;0,LEN(TRIM(C122))&gt;0),'Bang TH nop'!AL123,0),0)</f>
        <v>0</v>
      </c>
      <c r="G123" s="263">
        <f t="shared" ref="G123:G131" si="1232">D123*I122/26</f>
        <v>0</v>
      </c>
      <c r="H123" s="263">
        <f t="shared" ref="H123:H131" si="1233">D123*J122*150%/(26*8)</f>
        <v>0</v>
      </c>
      <c r="I123" s="263">
        <f t="shared" ref="I123:I131" si="1234">IFERROR(
IF(AND(LEN(TRIM(B122))&gt;0,LEN(TRIM(C122))&gt;0),
IF(((I122-N122)*8+N122*7+J122)=0,0,
F123*680*(((I122-N122)*8+N122*7))/(((I122-N122)*8+N122*7+J122))*$I$4
),
0
),
0
)</f>
        <v>0</v>
      </c>
      <c r="J123" s="263">
        <f t="shared" ref="J123:J131" si="1235">IFERROR(
IF(AND(LEN(TRIM(B122))&gt;0,LEN(TRIM(C122))&gt;0),
IF(((I122-N122)*8+N122*7+J122)=0,0,
F123*680*150%*J122/(((I122-N122)*8+N122*7+J122))*$I$4
),
0
),
0
)</f>
        <v>0</v>
      </c>
      <c r="K123" s="264">
        <f t="shared" ref="K123:K131" si="1236">IFERROR(
IF(AND(LEN(TRIM(B122))&gt;0,LEN(TRIM(C122))&gt;0),
ROUND(D123/26*K122,0),
0
),
0
)</f>
        <v>0</v>
      </c>
      <c r="L123" s="264">
        <f t="shared" ref="L123:L131" si="1237">IFERROR(
IF(AND(LEN(TRIM(B122))&gt;0,LEN(TRIM(C122))&gt;0),
ROUND(D123/26*L122,0),
0
),
0
)</f>
        <v>0</v>
      </c>
      <c r="M123" s="264">
        <f t="shared" ref="M123:M131" si="1238">IFERROR(
IF(AND(LEN(TRIM(B122))&gt;0,LEN(TRIM(C122))&gt;0),
ROUND(D123/26*M122,0),
0
),
0
)</f>
        <v>0</v>
      </c>
      <c r="N123" s="264">
        <f t="shared" ref="N123:N131" si="1239">IFERROR(
IF(AND(LEN(TRIM(B122))&gt;0,LEN(TRIM(C122))&gt;0),
D123*N122/(26*8),
0
),
0
)</f>
        <v>0</v>
      </c>
      <c r="O123" s="264">
        <f t="shared" ref="O123:O131" si="1240">IFERROR(
IF(AND(LEN(TRIM(B122))&gt;0,LEN(TRIM(C122))&gt;0),
D123*O122/(26*8),
0
),
0
)</f>
        <v>0</v>
      </c>
      <c r="P123" s="264">
        <f t="shared" ref="P123:P131" si="1241">IFERROR(
IF(AND(LEN(TRIM(B122))&gt;0,LEN(TRIM(C122))&gt;0),
(D123/26/8*P122),
0
),
0
)</f>
        <v>0</v>
      </c>
      <c r="Q123" s="56">
        <f>IFERROR(
IF(AND(LEN(TRIM(B122))&gt;0,LEN(TRIM(C122))&gt;0),
'Bang TH nop'!BC123,
0
),
0
)</f>
        <v>0</v>
      </c>
      <c r="R123" s="263">
        <f>IFERROR(
IF(AND(LEN(TRIM(B122))&gt;0,LEN(TRIM(C122))&gt;0),
'Bang TH nop'!BD123,
0
),
0
)</f>
        <v>0</v>
      </c>
      <c r="S123" s="263">
        <f>IFERROR(
IF(AND(LEN(TRIM(B122))&gt;0,LEN(TRIM(C122))&gt;0),
'Bang TH nop'!BJ123,
0
),
0
)</f>
        <v>0</v>
      </c>
      <c r="T123" s="263">
        <f>IFERROR(
IF(AND(LEN(TRIM(B122))&gt;0,LEN(TRIM(C122))&gt;0),
'Bang TH nop'!AW123,
0
),
0
)</f>
        <v>0</v>
      </c>
      <c r="U123" s="264">
        <f t="shared" ref="U123:U131" si="1242">IFERROR(
IF(AND(LEN(TRIM(B122))&gt;0,LEN(TRIM(C122))&gt;0),
D123/26/8*U122,
0
),
0
)</f>
        <v>0</v>
      </c>
      <c r="V123" s="264"/>
      <c r="W123" s="264"/>
      <c r="X123" s="263">
        <f t="shared" ref="X123:X131" si="1243">+IF(G123-I123&lt;0,0,G123-I123)</f>
        <v>0</v>
      </c>
      <c r="Y123" s="263">
        <f t="shared" ref="Y123:Y131" si="1244">+IF(H123-J123&lt;0,0, H123-J123)</f>
        <v>0</v>
      </c>
      <c r="Z123" s="263">
        <f t="shared" ref="Z123" si="1245">IFERROR(
IF(AND(LEN(TRIM(B122))&gt;0,LEN(TRIM(C122))&gt;0),
(X123+Y123)*25%,
0
),
0
)</f>
        <v>0</v>
      </c>
      <c r="AA123" s="263">
        <f>IFERROR(
IF(AND(LEN(TRIM(B122))&gt;0,LEN(TRIM(C122))&gt;0),
'Bang TH nop'!BG123,
0
),
0
)</f>
        <v>0</v>
      </c>
      <c r="AB123" s="264">
        <f t="shared" ref="AB123" si="1246">IFERROR(
IF(AND(LEN(TRIM(B122))&gt;0,LEN(TRIM(C122))&gt;0),
SUM(I123:W123)+IFERROR(Z123,0)+IFERROR(AA123,0),
0
),
0
)</f>
        <v>0</v>
      </c>
      <c r="AC123" s="263">
        <f t="shared" ref="AC123:AC131" si="1247">IFERROR(
IF(AND(LEN(TRIM(B122))&gt;0,LEN(TRIM(C122))&gt;0),
IF((26-(IFERROR(I122,0)+IFERROR(K122,0)+IFERROR(L122,0)+IFERROR(M122,0)))&gt;12,0,D123*10.5%),
0
),
0
)</f>
        <v>0</v>
      </c>
      <c r="AD123" s="291">
        <f t="shared" ref="AD123:AD131" si="1248">IFERROR(
IF(AND(LEN(TRIM(B122))&gt;0,LEN(TRIM(C122))&gt;0),
ROUND(IF(D123=4939000,D123*0.5%,0),-2),
0
),
0
)</f>
        <v>0</v>
      </c>
      <c r="AE123" s="264">
        <f t="shared" ref="AE123" si="1249">IFERROR(
IF(AND(LEN(TRIM(B122))&gt;0,LEN(TRIM(C122))&gt;0),
ROUND(IFERROR(AB123,0)-IFERROR(AC123,0)-IFERROR(AD123,0),-2),
0
),
0
)</f>
        <v>0</v>
      </c>
      <c r="AF123" s="13">
        <f>IFERROR(
IF(AND(LEN(TRIM(B122))&gt;0,LEN(TRIM(C122))&gt;0),
IFERROR('Bang TH nop'!AR123,0)+IFERROR('Bang TH nop'!AU123,0)+IFERROR('Bang TH nop'!BG123,0),
0
),
0
)</f>
        <v>0</v>
      </c>
      <c r="AG123" s="241"/>
      <c r="AH123" s="266"/>
      <c r="AI123" s="174">
        <f t="shared" ref="AI123" si="1250">IFERROR(
IF(AND(LEN(TRIM(B122))&gt;0,LEN(TRIM(C122))&gt;0),
AH123/AG123,
0
),
0
)</f>
        <v>0</v>
      </c>
      <c r="AJ123" s="174">
        <f t="shared" ref="AJ123:AJ131" si="1251">IFERROR(
IF(AND(LEN(TRIM(B122))&gt;0,LEN(TRIM(C122))&gt;0),
AL123/AF123,
0
),
0
)</f>
        <v>0</v>
      </c>
      <c r="AK123" s="175">
        <f t="shared" ref="AK123" si="1252">IFERROR(
IF(AND(LEN(TRIM(B122))&gt;0,LEN(TRIM(C122))&gt;0),
AJ123/AI123,
0
),
0
)</f>
        <v>0</v>
      </c>
      <c r="AL123" s="176">
        <f t="shared" ref="AL123:AL131" si="1253">IFERROR(
IF(AND(LEN(TRIM(B122))&gt;0,LEN(TRIM(C122))&gt;0),
AB123/L123,
0
),
0
)</f>
        <v>0</v>
      </c>
    </row>
    <row r="124" spans="1:38" ht="17.100000000000001" customHeight="1">
      <c r="A124" s="305"/>
      <c r="B124" s="307">
        <f>'Bang TH nop'!B125</f>
        <v>0</v>
      </c>
      <c r="C124" s="309">
        <f>IFERROR(IF(LEN(TRIM(B124))&gt;0,'Bang TH nop'!C125,""),"")</f>
        <v>0</v>
      </c>
      <c r="D124" s="311">
        <f>IFERROR(IF(AND(LEN(TRIM(B124))&gt;0,LEN(TRIM(C124))&gt;0),'Bang TH nop'!AO125,""),"")</f>
        <v>0</v>
      </c>
      <c r="E124" s="312"/>
      <c r="F124" s="259"/>
      <c r="G124" s="260"/>
      <c r="H124" s="260"/>
      <c r="I124" s="10">
        <f>IFERROR(IF(AND(LEN(TRIM(B124))&gt;0,LEN(TRIM(C124))&gt;0),'Bang TH nop'!BB125,0),0)</f>
        <v>0</v>
      </c>
      <c r="J124" s="10">
        <f>IFERROR(IF(AND(LEN(TRIM(B124))&gt;0,LEN(TRIM(C124))&gt;0),'Bang TH nop'!AV125,0),0)</f>
        <v>0</v>
      </c>
      <c r="K124" s="10">
        <f>IFERROR(IF(AND(LEN(TRIM(B124))&gt;0,LEN(TRIM(C124))&gt;0),'Bang TH nop'!AR125,0),0)</f>
        <v>0</v>
      </c>
      <c r="L124" s="12">
        <f>IFERROR(IF(AND(LEN(TRIM(B124))&gt;0,LEN(TRIM(C124))&gt;0),'Bang TH nop'!AS125,0),0)</f>
        <v>0</v>
      </c>
      <c r="M124" s="12">
        <f>IFERROR(IF(AND(LEN(TRIM(C124))&gt;0,LEN(TRIM(D124))&gt;0),'Bang TH nop'!AT125,0),0)</f>
        <v>0</v>
      </c>
      <c r="N124" s="12">
        <f>IFERROR(IF(AND(LEN(TRIM(B124))&gt;0,LEN(TRIM(C124))&gt;0),'Bang TH nop'!AU125,0),0)</f>
        <v>0</v>
      </c>
      <c r="O124" s="12">
        <f>IFERROR(IF(AND(LEN(TRIM(B124))&gt;0,LEN(TRIM(C124))&gt;0),'Bang TH nop'!BE125,0),0)</f>
        <v>0</v>
      </c>
      <c r="P124" s="12">
        <f>IFERROR(IF(AND(LEN(TRIM(B125))&gt;0,LEN(TRIM(C124))&gt;0),'Bang TH nop'!AZ125,0),0)</f>
        <v>0</v>
      </c>
      <c r="Q124" s="12"/>
      <c r="R124" s="261"/>
      <c r="S124" s="261"/>
      <c r="T124" s="261"/>
      <c r="U124" s="260"/>
      <c r="V124" s="260"/>
      <c r="W124" s="260"/>
      <c r="X124" s="260"/>
      <c r="Y124" s="260"/>
      <c r="Z124" s="260"/>
      <c r="AA124" s="259" t="str">
        <f>IFERROR(
IF(AND(LEN(TRIM(B124))&gt;0,LEN(TRIM(C124))&gt;0),
'Bang TH nop'!AH125,
0
),
0
)</f>
        <v>A</v>
      </c>
      <c r="AB124" s="11"/>
      <c r="AC124" s="11"/>
      <c r="AD124" s="260"/>
      <c r="AE124" s="11"/>
      <c r="AF124" s="260"/>
      <c r="AG124" s="241"/>
      <c r="AH124" s="286"/>
      <c r="AI124" s="287"/>
      <c r="AJ124" s="288"/>
      <c r="AK124" s="287"/>
      <c r="AL124" s="173"/>
    </row>
    <row r="125" spans="1:38" ht="17.100000000000001" customHeight="1">
      <c r="A125" s="306"/>
      <c r="B125" s="308"/>
      <c r="C125" s="310"/>
      <c r="D125" s="319">
        <f>IFERROR(IF(AND(LEN(TRIM(B124))&gt;0,LEN(TRIM(C124))&gt;0),'Bang TH nop'!AP125,""),"")</f>
        <v>0</v>
      </c>
      <c r="E125" s="320"/>
      <c r="F125" s="55">
        <f>IFERROR(IF(AND(LEN(TRIM(B124))&gt;0,LEN(TRIM(C124))&gt;0),'Bang TH nop'!AL125,0),0)</f>
        <v>0</v>
      </c>
      <c r="G125" s="263">
        <f t="shared" ref="G125:G131" si="1254">D125*I124/26</f>
        <v>0</v>
      </c>
      <c r="H125" s="263">
        <f t="shared" ref="H125:H131" si="1255">D125*J124*150%/(26*8)</f>
        <v>0</v>
      </c>
      <c r="I125" s="263">
        <f t="shared" ref="I125:I131" si="1256">IFERROR(
IF(AND(LEN(TRIM(B124))&gt;0,LEN(TRIM(C124))&gt;0),
IF(((I124-N124)*8+N124*7+J124)=0,0,
F125*680*(((I124-N124)*8+N124*7))/(((I124-N124)*8+N124*7+J124))*$I$4
),
0
),
0
)</f>
        <v>0</v>
      </c>
      <c r="J125" s="263">
        <f t="shared" ref="J125:J131" si="1257">IFERROR(
IF(AND(LEN(TRIM(B124))&gt;0,LEN(TRIM(C124))&gt;0),
IF(((I124-N124)*8+N124*7+J124)=0,0,
F125*680*150%*J124/(((I124-N124)*8+N124*7+J124))*$I$4
),
0
),
0
)</f>
        <v>0</v>
      </c>
      <c r="K125" s="264">
        <f t="shared" ref="K125:K131" si="1258">IFERROR(
IF(AND(LEN(TRIM(B124))&gt;0,LEN(TRIM(C124))&gt;0),
ROUND(D125/26*K124,0),
0
),
0
)</f>
        <v>0</v>
      </c>
      <c r="L125" s="264">
        <f t="shared" ref="L125:L131" si="1259">IFERROR(
IF(AND(LEN(TRIM(B124))&gt;0,LEN(TRIM(C124))&gt;0),
ROUND(D125/26*L124,0),
0
),
0
)</f>
        <v>0</v>
      </c>
      <c r="M125" s="264">
        <f t="shared" ref="M125:M131" si="1260">IFERROR(
IF(AND(LEN(TRIM(B124))&gt;0,LEN(TRIM(C124))&gt;0),
ROUND(D125/26*M124,0),
0
),
0
)</f>
        <v>0</v>
      </c>
      <c r="N125" s="264">
        <f t="shared" ref="N125:N131" si="1261">IFERROR(
IF(AND(LEN(TRIM(B124))&gt;0,LEN(TRIM(C124))&gt;0),
D125*N124/(26*8),
0
),
0
)</f>
        <v>0</v>
      </c>
      <c r="O125" s="264">
        <f t="shared" ref="O125:O131" si="1262">IFERROR(
IF(AND(LEN(TRIM(B124))&gt;0,LEN(TRIM(C124))&gt;0),
D125*O124/(26*8),
0
),
0
)</f>
        <v>0</v>
      </c>
      <c r="P125" s="264">
        <f t="shared" ref="P125:P131" si="1263">IFERROR(
IF(AND(LEN(TRIM(B124))&gt;0,LEN(TRIM(C124))&gt;0),
(D125/26/8*P124),
0
),
0
)</f>
        <v>0</v>
      </c>
      <c r="Q125" s="56">
        <f>IFERROR(
IF(AND(LEN(TRIM(B124))&gt;0,LEN(TRIM(C124))&gt;0),
'Bang TH nop'!BC125,
0
),
0
)</f>
        <v>0</v>
      </c>
      <c r="R125" s="263">
        <f>IFERROR(
IF(AND(LEN(TRIM(B124))&gt;0,LEN(TRIM(C124))&gt;0),
'Bang TH nop'!BD125,
0
),
0
)</f>
        <v>0</v>
      </c>
      <c r="S125" s="263">
        <f>IFERROR(
IF(AND(LEN(TRIM(B124))&gt;0,LEN(TRIM(C124))&gt;0),
'Bang TH nop'!BJ125,
0
),
0
)</f>
        <v>0</v>
      </c>
      <c r="T125" s="263">
        <f>IFERROR(
IF(AND(LEN(TRIM(B124))&gt;0,LEN(TRIM(C124))&gt;0),
'Bang TH nop'!AW125,
0
),
0
)</f>
        <v>0</v>
      </c>
      <c r="U125" s="264">
        <f t="shared" ref="U125:U131" si="1264">IFERROR(
IF(AND(LEN(TRIM(B124))&gt;0,LEN(TRIM(C124))&gt;0),
D125/26/8*U124,
0
),
0
)</f>
        <v>0</v>
      </c>
      <c r="V125" s="264"/>
      <c r="W125" s="264"/>
      <c r="X125" s="263">
        <f t="shared" ref="X125:X131" si="1265">+IF(G125-I125&lt;0,0,G125-I125)</f>
        <v>0</v>
      </c>
      <c r="Y125" s="263">
        <f t="shared" ref="Y125:Y131" si="1266">+IF(H125-J125&lt;0,0, H125-J125)</f>
        <v>0</v>
      </c>
      <c r="Z125" s="263">
        <f t="shared" ref="Z125" si="1267">IFERROR(
IF(AND(LEN(TRIM(B124))&gt;0,LEN(TRIM(C124))&gt;0),
(X125+Y125)*25%,
0
),
0
)</f>
        <v>0</v>
      </c>
      <c r="AA125" s="263">
        <f>IFERROR(
IF(AND(LEN(TRIM(B124))&gt;0,LEN(TRIM(C124))&gt;0),
'Bang TH nop'!BG125,
0
),
0
)</f>
        <v>0</v>
      </c>
      <c r="AB125" s="264">
        <f t="shared" ref="AB125" si="1268">IFERROR(
IF(AND(LEN(TRIM(B124))&gt;0,LEN(TRIM(C124))&gt;0),
SUM(I125:W125)+IFERROR(Z125,0)+IFERROR(AA125,0),
0
),
0
)</f>
        <v>0</v>
      </c>
      <c r="AC125" s="263">
        <f t="shared" ref="AC125:AC131" si="1269">IFERROR(
IF(AND(LEN(TRIM(B124))&gt;0,LEN(TRIM(C124))&gt;0),
IF((26-(IFERROR(I124,0)+IFERROR(K124,0)+IFERROR(L124,0)+IFERROR(M124,0)))&gt;12,0,D125*10.5%),
0
),
0
)</f>
        <v>0</v>
      </c>
      <c r="AD125" s="291">
        <f t="shared" ref="AD125:AD131" si="1270">IFERROR(
IF(AND(LEN(TRIM(B124))&gt;0,LEN(TRIM(C124))&gt;0),
ROUND(IF(D125=4939000,D125*0.5%,0),-2),
0
),
0
)</f>
        <v>0</v>
      </c>
      <c r="AE125" s="264">
        <f t="shared" ref="AE125" si="1271">IFERROR(
IF(AND(LEN(TRIM(B124))&gt;0,LEN(TRIM(C124))&gt;0),
ROUND(IFERROR(AB125,0)-IFERROR(AC125,0)-IFERROR(AD125,0),-2),
0
),
0
)</f>
        <v>0</v>
      </c>
      <c r="AF125" s="13">
        <f>IFERROR(
IF(AND(LEN(TRIM(B124))&gt;0,LEN(TRIM(C124))&gt;0),
IFERROR('Bang TH nop'!AR125,0)+IFERROR('Bang TH nop'!AU125,0)+IFERROR('Bang TH nop'!BG125,0),
0
),
0
)</f>
        <v>0</v>
      </c>
      <c r="AG125" s="241"/>
      <c r="AH125" s="266"/>
      <c r="AI125" s="174">
        <f t="shared" ref="AI125" si="1272">IFERROR(
IF(AND(LEN(TRIM(B124))&gt;0,LEN(TRIM(C124))&gt;0),
AH125/AG125,
0
),
0
)</f>
        <v>0</v>
      </c>
      <c r="AJ125" s="174">
        <f t="shared" ref="AJ125:AJ131" si="1273">IFERROR(
IF(AND(LEN(TRIM(B124))&gt;0,LEN(TRIM(C124))&gt;0),
AL125/AF125,
0
),
0
)</f>
        <v>0</v>
      </c>
      <c r="AK125" s="175">
        <f t="shared" ref="AK125" si="1274">IFERROR(
IF(AND(LEN(TRIM(B124))&gt;0,LEN(TRIM(C124))&gt;0),
AJ125/AI125,
0
),
0
)</f>
        <v>0</v>
      </c>
      <c r="AL125" s="176">
        <f t="shared" ref="AL125:AL131" si="1275">IFERROR(
IF(AND(LEN(TRIM(B124))&gt;0,LEN(TRIM(C124))&gt;0),
AB125/L125,
0
),
0
)</f>
        <v>0</v>
      </c>
    </row>
    <row r="126" spans="1:38" ht="17.100000000000001" customHeight="1">
      <c r="A126" s="305"/>
      <c r="B126" s="307">
        <f>'Bang TH nop'!B127</f>
        <v>0</v>
      </c>
      <c r="C126" s="309">
        <f>IFERROR(IF(LEN(TRIM(B126))&gt;0,'Bang TH nop'!C127,""),"")</f>
        <v>0</v>
      </c>
      <c r="D126" s="311">
        <f>IFERROR(IF(AND(LEN(TRIM(B126))&gt;0,LEN(TRIM(C126))&gt;0),'Bang TH nop'!AO127,""),"")</f>
        <v>0</v>
      </c>
      <c r="E126" s="312"/>
      <c r="F126" s="259"/>
      <c r="G126" s="260"/>
      <c r="H126" s="260"/>
      <c r="I126" s="10">
        <f>IFERROR(IF(AND(LEN(TRIM(B126))&gt;0,LEN(TRIM(C126))&gt;0),'Bang TH nop'!BB127,0),0)</f>
        <v>0</v>
      </c>
      <c r="J126" s="10">
        <f>IFERROR(IF(AND(LEN(TRIM(B126))&gt;0,LEN(TRIM(C126))&gt;0),'Bang TH nop'!AV127,0),0)</f>
        <v>0</v>
      </c>
      <c r="K126" s="10">
        <f>IFERROR(IF(AND(LEN(TRIM(B126))&gt;0,LEN(TRIM(C126))&gt;0),'Bang TH nop'!AR127,0),0)</f>
        <v>0</v>
      </c>
      <c r="L126" s="12">
        <f>IFERROR(IF(AND(LEN(TRIM(B126))&gt;0,LEN(TRIM(C126))&gt;0),'Bang TH nop'!AS127,0),0)</f>
        <v>0</v>
      </c>
      <c r="M126" s="12">
        <f>IFERROR(IF(AND(LEN(TRIM(C126))&gt;0,LEN(TRIM(D126))&gt;0),'Bang TH nop'!AT127,0),0)</f>
        <v>0</v>
      </c>
      <c r="N126" s="12">
        <f>IFERROR(IF(AND(LEN(TRIM(B126))&gt;0,LEN(TRIM(C126))&gt;0),'Bang TH nop'!AU127,0),0)</f>
        <v>0</v>
      </c>
      <c r="O126" s="12">
        <f>IFERROR(IF(AND(LEN(TRIM(B126))&gt;0,LEN(TRIM(C126))&gt;0),'Bang TH nop'!BE127,0),0)</f>
        <v>0</v>
      </c>
      <c r="P126" s="12">
        <f>IFERROR(IF(AND(LEN(TRIM(B127))&gt;0,LEN(TRIM(C126))&gt;0),'Bang TH nop'!AZ127,0),0)</f>
        <v>0</v>
      </c>
      <c r="Q126" s="12"/>
      <c r="R126" s="261"/>
      <c r="S126" s="261"/>
      <c r="T126" s="261"/>
      <c r="U126" s="260"/>
      <c r="V126" s="260"/>
      <c r="W126" s="260"/>
      <c r="X126" s="260"/>
      <c r="Y126" s="260"/>
      <c r="Z126" s="260"/>
      <c r="AA126" s="259" t="str">
        <f>IFERROR(
IF(AND(LEN(TRIM(B126))&gt;0,LEN(TRIM(C126))&gt;0),
'Bang TH nop'!AH127,
0
),
0
)</f>
        <v>A</v>
      </c>
      <c r="AB126" s="11"/>
      <c r="AC126" s="11"/>
      <c r="AD126" s="260"/>
      <c r="AE126" s="11"/>
      <c r="AF126" s="260"/>
      <c r="AG126" s="241"/>
      <c r="AH126" s="286"/>
      <c r="AI126" s="287"/>
      <c r="AJ126" s="288"/>
      <c r="AK126" s="287"/>
      <c r="AL126" s="173"/>
    </row>
    <row r="127" spans="1:38" ht="17.100000000000001" customHeight="1">
      <c r="A127" s="306"/>
      <c r="B127" s="308"/>
      <c r="C127" s="310"/>
      <c r="D127" s="319">
        <f>IFERROR(IF(AND(LEN(TRIM(B126))&gt;0,LEN(TRIM(C126))&gt;0),'Bang TH nop'!AP127,""),"")</f>
        <v>0</v>
      </c>
      <c r="E127" s="320"/>
      <c r="F127" s="55">
        <f>IFERROR(IF(AND(LEN(TRIM(B126))&gt;0,LEN(TRIM(C126))&gt;0),'Bang TH nop'!AL127,0),0)</f>
        <v>0</v>
      </c>
      <c r="G127" s="263">
        <f t="shared" ref="G127:G131" si="1276">D127*I126/26</f>
        <v>0</v>
      </c>
      <c r="H127" s="263">
        <f t="shared" ref="H127:H131" si="1277">D127*J126*150%/(26*8)</f>
        <v>0</v>
      </c>
      <c r="I127" s="263">
        <f t="shared" ref="I127:I131" si="1278">IFERROR(
IF(AND(LEN(TRIM(B126))&gt;0,LEN(TRIM(C126))&gt;0),
IF(((I126-N126)*8+N126*7+J126)=0,0,
F127*680*(((I126-N126)*8+N126*7))/(((I126-N126)*8+N126*7+J126))*$I$4
),
0
),
0
)</f>
        <v>0</v>
      </c>
      <c r="J127" s="263">
        <f t="shared" ref="J127:J131" si="1279">IFERROR(
IF(AND(LEN(TRIM(B126))&gt;0,LEN(TRIM(C126))&gt;0),
IF(((I126-N126)*8+N126*7+J126)=0,0,
F127*680*150%*J126/(((I126-N126)*8+N126*7+J126))*$I$4
),
0
),
0
)</f>
        <v>0</v>
      </c>
      <c r="K127" s="264">
        <f t="shared" ref="K127:K131" si="1280">IFERROR(
IF(AND(LEN(TRIM(B126))&gt;0,LEN(TRIM(C126))&gt;0),
ROUND(D127/26*K126,0),
0
),
0
)</f>
        <v>0</v>
      </c>
      <c r="L127" s="264">
        <f t="shared" ref="L127:L131" si="1281">IFERROR(
IF(AND(LEN(TRIM(B126))&gt;0,LEN(TRIM(C126))&gt;0),
ROUND(D127/26*L126,0),
0
),
0
)</f>
        <v>0</v>
      </c>
      <c r="M127" s="264">
        <f t="shared" ref="M127:M131" si="1282">IFERROR(
IF(AND(LEN(TRIM(B126))&gt;0,LEN(TRIM(C126))&gt;0),
ROUND(D127/26*M126,0),
0
),
0
)</f>
        <v>0</v>
      </c>
      <c r="N127" s="264">
        <f t="shared" ref="N127:N131" si="1283">IFERROR(
IF(AND(LEN(TRIM(B126))&gt;0,LEN(TRIM(C126))&gt;0),
D127*N126/(26*8),
0
),
0
)</f>
        <v>0</v>
      </c>
      <c r="O127" s="264">
        <f t="shared" ref="O127:O131" si="1284">IFERROR(
IF(AND(LEN(TRIM(B126))&gt;0,LEN(TRIM(C126))&gt;0),
D127*O126/(26*8),
0
),
0
)</f>
        <v>0</v>
      </c>
      <c r="P127" s="264">
        <f t="shared" ref="P127:P131" si="1285">IFERROR(
IF(AND(LEN(TRIM(B126))&gt;0,LEN(TRIM(C126))&gt;0),
(D127/26/8*P126),
0
),
0
)</f>
        <v>0</v>
      </c>
      <c r="Q127" s="56">
        <f>IFERROR(
IF(AND(LEN(TRIM(B126))&gt;0,LEN(TRIM(C126))&gt;0),
'Bang TH nop'!BC127,
0
),
0
)</f>
        <v>0</v>
      </c>
      <c r="R127" s="263">
        <f>IFERROR(
IF(AND(LEN(TRIM(B126))&gt;0,LEN(TRIM(C126))&gt;0),
'Bang TH nop'!BD127,
0
),
0
)</f>
        <v>0</v>
      </c>
      <c r="S127" s="263">
        <f>IFERROR(
IF(AND(LEN(TRIM(B126))&gt;0,LEN(TRIM(C126))&gt;0),
'Bang TH nop'!BJ127,
0
),
0
)</f>
        <v>0</v>
      </c>
      <c r="T127" s="263">
        <f>IFERROR(
IF(AND(LEN(TRIM(B126))&gt;0,LEN(TRIM(C126))&gt;0),
'Bang TH nop'!AW127,
0
),
0
)</f>
        <v>0</v>
      </c>
      <c r="U127" s="264">
        <f t="shared" ref="U127:U131" si="1286">IFERROR(
IF(AND(LEN(TRIM(B126))&gt;0,LEN(TRIM(C126))&gt;0),
D127/26/8*U126,
0
),
0
)</f>
        <v>0</v>
      </c>
      <c r="V127" s="264"/>
      <c r="W127" s="264"/>
      <c r="X127" s="263">
        <f t="shared" ref="X127:X131" si="1287">+IF(G127-I127&lt;0,0,G127-I127)</f>
        <v>0</v>
      </c>
      <c r="Y127" s="263">
        <f t="shared" ref="Y127:Y131" si="1288">+IF(H127-J127&lt;0,0, H127-J127)</f>
        <v>0</v>
      </c>
      <c r="Z127" s="263">
        <f t="shared" ref="Z127" si="1289">IFERROR(
IF(AND(LEN(TRIM(B126))&gt;0,LEN(TRIM(C126))&gt;0),
(X127+Y127)*25%,
0
),
0
)</f>
        <v>0</v>
      </c>
      <c r="AA127" s="263">
        <f>IFERROR(
IF(AND(LEN(TRIM(B126))&gt;0,LEN(TRIM(C126))&gt;0),
'Bang TH nop'!BG127,
0
),
0
)</f>
        <v>0</v>
      </c>
      <c r="AB127" s="264">
        <f t="shared" ref="AB127" si="1290">IFERROR(
IF(AND(LEN(TRIM(B126))&gt;0,LEN(TRIM(C126))&gt;0),
SUM(I127:W127)+IFERROR(Z127,0)+IFERROR(AA127,0),
0
),
0
)</f>
        <v>0</v>
      </c>
      <c r="AC127" s="263">
        <f t="shared" ref="AC127:AC131" si="1291">IFERROR(
IF(AND(LEN(TRIM(B126))&gt;0,LEN(TRIM(C126))&gt;0),
IF((26-(IFERROR(I126,0)+IFERROR(K126,0)+IFERROR(L126,0)+IFERROR(M126,0)))&gt;12,0,D127*10.5%),
0
),
0
)</f>
        <v>0</v>
      </c>
      <c r="AD127" s="291">
        <f t="shared" ref="AD127:AD131" si="1292">IFERROR(
IF(AND(LEN(TRIM(B126))&gt;0,LEN(TRIM(C126))&gt;0),
ROUND(IF(D127=4939000,D127*0.5%,0),-2),
0
),
0
)</f>
        <v>0</v>
      </c>
      <c r="AE127" s="264">
        <f t="shared" ref="AE127" si="1293">IFERROR(
IF(AND(LEN(TRIM(B126))&gt;0,LEN(TRIM(C126))&gt;0),
ROUND(IFERROR(AB127,0)-IFERROR(AC127,0)-IFERROR(AD127,0),-2),
0
),
0
)</f>
        <v>0</v>
      </c>
      <c r="AF127" s="13">
        <f>IFERROR(
IF(AND(LEN(TRIM(B126))&gt;0,LEN(TRIM(C126))&gt;0),
IFERROR('Bang TH nop'!AR127,0)+IFERROR('Bang TH nop'!AU127,0)+IFERROR('Bang TH nop'!BG127,0),
0
),
0
)</f>
        <v>0</v>
      </c>
      <c r="AG127" s="241"/>
      <c r="AH127" s="266"/>
      <c r="AI127" s="174">
        <f t="shared" ref="AI127" si="1294">IFERROR(
IF(AND(LEN(TRIM(B126))&gt;0,LEN(TRIM(C126))&gt;0),
AH127/AG127,
0
),
0
)</f>
        <v>0</v>
      </c>
      <c r="AJ127" s="174">
        <f t="shared" ref="AJ127:AJ131" si="1295">IFERROR(
IF(AND(LEN(TRIM(B126))&gt;0,LEN(TRIM(C126))&gt;0),
AL127/AF127,
0
),
0
)</f>
        <v>0</v>
      </c>
      <c r="AK127" s="175">
        <f t="shared" ref="AK127" si="1296">IFERROR(
IF(AND(LEN(TRIM(B126))&gt;0,LEN(TRIM(C126))&gt;0),
AJ127/AI127,
0
),
0
)</f>
        <v>0</v>
      </c>
      <c r="AL127" s="176">
        <f t="shared" ref="AL127:AL131" si="1297">IFERROR(
IF(AND(LEN(TRIM(B126))&gt;0,LEN(TRIM(C126))&gt;0),
AB127/L127,
0
),
0
)</f>
        <v>0</v>
      </c>
    </row>
    <row r="128" spans="1:38" ht="17.100000000000001" customHeight="1">
      <c r="A128" s="305"/>
      <c r="B128" s="307">
        <f>'Bang TH nop'!B129</f>
        <v>0</v>
      </c>
      <c r="C128" s="309">
        <f>IFERROR(IF(LEN(TRIM(B128))&gt;0,'Bang TH nop'!C129,""),"")</f>
        <v>0</v>
      </c>
      <c r="D128" s="311">
        <f>IFERROR(IF(AND(LEN(TRIM(B128))&gt;0,LEN(TRIM(C128))&gt;0),'Bang TH nop'!AO129,""),"")</f>
        <v>0</v>
      </c>
      <c r="E128" s="312"/>
      <c r="F128" s="259"/>
      <c r="G128" s="260"/>
      <c r="H128" s="260"/>
      <c r="I128" s="10">
        <f>IFERROR(IF(AND(LEN(TRIM(B128))&gt;0,LEN(TRIM(C128))&gt;0),'Bang TH nop'!BB129,0),0)</f>
        <v>0</v>
      </c>
      <c r="J128" s="10">
        <f>IFERROR(IF(AND(LEN(TRIM(B128))&gt;0,LEN(TRIM(C128))&gt;0),'Bang TH nop'!AV129,0),0)</f>
        <v>0</v>
      </c>
      <c r="K128" s="10">
        <f>IFERROR(IF(AND(LEN(TRIM(B128))&gt;0,LEN(TRIM(C128))&gt;0),'Bang TH nop'!AR129,0),0)</f>
        <v>0</v>
      </c>
      <c r="L128" s="12">
        <f>IFERROR(IF(AND(LEN(TRIM(B128))&gt;0,LEN(TRIM(C128))&gt;0),'Bang TH nop'!AS129,0),0)</f>
        <v>0</v>
      </c>
      <c r="M128" s="12">
        <f>IFERROR(IF(AND(LEN(TRIM(C128))&gt;0,LEN(TRIM(D128))&gt;0),'Bang TH nop'!AT129,0),0)</f>
        <v>0</v>
      </c>
      <c r="N128" s="12">
        <f>IFERROR(IF(AND(LEN(TRIM(B128))&gt;0,LEN(TRIM(C128))&gt;0),'Bang TH nop'!AU129,0),0)</f>
        <v>0</v>
      </c>
      <c r="O128" s="12">
        <f>IFERROR(IF(AND(LEN(TRIM(B128))&gt;0,LEN(TRIM(C128))&gt;0),'Bang TH nop'!BE129,0),0)</f>
        <v>0</v>
      </c>
      <c r="P128" s="12">
        <f>IFERROR(IF(AND(LEN(TRIM(B129))&gt;0,LEN(TRIM(C128))&gt;0),'Bang TH nop'!AZ129,0),0)</f>
        <v>0</v>
      </c>
      <c r="Q128" s="12"/>
      <c r="R128" s="261"/>
      <c r="S128" s="261"/>
      <c r="T128" s="261"/>
      <c r="U128" s="260"/>
      <c r="V128" s="260"/>
      <c r="W128" s="260"/>
      <c r="X128" s="260"/>
      <c r="Y128" s="260"/>
      <c r="Z128" s="260"/>
      <c r="AA128" s="259" t="str">
        <f>IFERROR(
IF(AND(LEN(TRIM(B128))&gt;0,LEN(TRIM(C128))&gt;0),
'Bang TH nop'!AH129,
0
),
0
)</f>
        <v>A</v>
      </c>
      <c r="AB128" s="11"/>
      <c r="AC128" s="11"/>
      <c r="AD128" s="260"/>
      <c r="AE128" s="11"/>
      <c r="AF128" s="260"/>
      <c r="AG128" s="241"/>
      <c r="AH128" s="286"/>
      <c r="AI128" s="287"/>
      <c r="AJ128" s="288"/>
      <c r="AK128" s="287"/>
      <c r="AL128" s="173"/>
    </row>
    <row r="129" spans="1:38" ht="17.100000000000001" customHeight="1">
      <c r="A129" s="306"/>
      <c r="B129" s="308"/>
      <c r="C129" s="310"/>
      <c r="D129" s="319">
        <f>IFERROR(IF(AND(LEN(TRIM(B128))&gt;0,LEN(TRIM(C128))&gt;0),'Bang TH nop'!AP129,""),"")</f>
        <v>0</v>
      </c>
      <c r="E129" s="320"/>
      <c r="F129" s="55">
        <f>IFERROR(IF(AND(LEN(TRIM(B128))&gt;0,LEN(TRIM(C128))&gt;0),'Bang TH nop'!AL129,0),0)</f>
        <v>0</v>
      </c>
      <c r="G129" s="263">
        <f t="shared" ref="G129:G131" si="1298">D129*I128/26</f>
        <v>0</v>
      </c>
      <c r="H129" s="263">
        <f t="shared" ref="H129:H131" si="1299">D129*J128*150%/(26*8)</f>
        <v>0</v>
      </c>
      <c r="I129" s="263">
        <f t="shared" ref="I129:I131" si="1300">IFERROR(
IF(AND(LEN(TRIM(B128))&gt;0,LEN(TRIM(C128))&gt;0),
IF(((I128-N128)*8+N128*7+J128)=0,0,
F129*680*(((I128-N128)*8+N128*7))/(((I128-N128)*8+N128*7+J128))*$I$4
),
0
),
0
)</f>
        <v>0</v>
      </c>
      <c r="J129" s="263">
        <f t="shared" ref="J129:J131" si="1301">IFERROR(
IF(AND(LEN(TRIM(B128))&gt;0,LEN(TRIM(C128))&gt;0),
IF(((I128-N128)*8+N128*7+J128)=0,0,
F129*680*150%*J128/(((I128-N128)*8+N128*7+J128))*$I$4
),
0
),
0
)</f>
        <v>0</v>
      </c>
      <c r="K129" s="264">
        <f t="shared" ref="K129:K131" si="1302">IFERROR(
IF(AND(LEN(TRIM(B128))&gt;0,LEN(TRIM(C128))&gt;0),
ROUND(D129/26*K128,0),
0
),
0
)</f>
        <v>0</v>
      </c>
      <c r="L129" s="264">
        <f t="shared" ref="L129:L131" si="1303">IFERROR(
IF(AND(LEN(TRIM(B128))&gt;0,LEN(TRIM(C128))&gt;0),
ROUND(D129/26*L128,0),
0
),
0
)</f>
        <v>0</v>
      </c>
      <c r="M129" s="264">
        <f t="shared" ref="M129:M131" si="1304">IFERROR(
IF(AND(LEN(TRIM(B128))&gt;0,LEN(TRIM(C128))&gt;0),
ROUND(D129/26*M128,0),
0
),
0
)</f>
        <v>0</v>
      </c>
      <c r="N129" s="264">
        <f t="shared" ref="N129:N131" si="1305">IFERROR(
IF(AND(LEN(TRIM(B128))&gt;0,LEN(TRIM(C128))&gt;0),
D129*N128/(26*8),
0
),
0
)</f>
        <v>0</v>
      </c>
      <c r="O129" s="264">
        <f t="shared" ref="O129:O131" si="1306">IFERROR(
IF(AND(LEN(TRIM(B128))&gt;0,LEN(TRIM(C128))&gt;0),
D129*O128/(26*8),
0
),
0
)</f>
        <v>0</v>
      </c>
      <c r="P129" s="264">
        <f t="shared" ref="P129:P131" si="1307">IFERROR(
IF(AND(LEN(TRIM(B128))&gt;0,LEN(TRIM(C128))&gt;0),
(D129/26/8*P128),
0
),
0
)</f>
        <v>0</v>
      </c>
      <c r="Q129" s="56">
        <f>IFERROR(
IF(AND(LEN(TRIM(B128))&gt;0,LEN(TRIM(C128))&gt;0),
'Bang TH nop'!BC129,
0
),
0
)</f>
        <v>0</v>
      </c>
      <c r="R129" s="263">
        <f>IFERROR(
IF(AND(LEN(TRIM(B128))&gt;0,LEN(TRIM(C128))&gt;0),
'Bang TH nop'!BD129,
0
),
0
)</f>
        <v>0</v>
      </c>
      <c r="S129" s="263">
        <f>IFERROR(
IF(AND(LEN(TRIM(B128))&gt;0,LEN(TRIM(C128))&gt;0),
'Bang TH nop'!BJ129,
0
),
0
)</f>
        <v>0</v>
      </c>
      <c r="T129" s="263">
        <f>IFERROR(
IF(AND(LEN(TRIM(B128))&gt;0,LEN(TRIM(C128))&gt;0),
'Bang TH nop'!AW129,
0
),
0
)</f>
        <v>0</v>
      </c>
      <c r="U129" s="264">
        <f t="shared" ref="U129:U131" si="1308">IFERROR(
IF(AND(LEN(TRIM(B128))&gt;0,LEN(TRIM(C128))&gt;0),
D129/26/8*U128,
0
),
0
)</f>
        <v>0</v>
      </c>
      <c r="V129" s="264"/>
      <c r="W129" s="264"/>
      <c r="X129" s="263">
        <f t="shared" ref="X129:X131" si="1309">+IF(G129-I129&lt;0,0,G129-I129)</f>
        <v>0</v>
      </c>
      <c r="Y129" s="263">
        <f t="shared" ref="Y129:Y131" si="1310">+IF(H129-J129&lt;0,0, H129-J129)</f>
        <v>0</v>
      </c>
      <c r="Z129" s="263">
        <f t="shared" ref="Z129" si="1311">IFERROR(
IF(AND(LEN(TRIM(B128))&gt;0,LEN(TRIM(C128))&gt;0),
(X129+Y129)*25%,
0
),
0
)</f>
        <v>0</v>
      </c>
      <c r="AA129" s="263">
        <f>IFERROR(
IF(AND(LEN(TRIM(B128))&gt;0,LEN(TRIM(C128))&gt;0),
'Bang TH nop'!BG129,
0
),
0
)</f>
        <v>0</v>
      </c>
      <c r="AB129" s="264">
        <f t="shared" ref="AB129" si="1312">IFERROR(
IF(AND(LEN(TRIM(B128))&gt;0,LEN(TRIM(C128))&gt;0),
SUM(I129:W129)+IFERROR(Z129,0)+IFERROR(AA129,0),
0
),
0
)</f>
        <v>0</v>
      </c>
      <c r="AC129" s="263">
        <f t="shared" ref="AC129:AC131" si="1313">IFERROR(
IF(AND(LEN(TRIM(B128))&gt;0,LEN(TRIM(C128))&gt;0),
IF((26-(IFERROR(I128,0)+IFERROR(K128,0)+IFERROR(L128,0)+IFERROR(M128,0)))&gt;12,0,D129*10.5%),
0
),
0
)</f>
        <v>0</v>
      </c>
      <c r="AD129" s="291">
        <f t="shared" ref="AD129:AD131" si="1314">IFERROR(
IF(AND(LEN(TRIM(B128))&gt;0,LEN(TRIM(C128))&gt;0),
ROUND(IF(D129=4939000,D129*0.5%,0),-2),
0
),
0
)</f>
        <v>0</v>
      </c>
      <c r="AE129" s="264">
        <f t="shared" ref="AE129" si="1315">IFERROR(
IF(AND(LEN(TRIM(B128))&gt;0,LEN(TRIM(C128))&gt;0),
ROUND(IFERROR(AB129,0)-IFERROR(AC129,0)-IFERROR(AD129,0),-2),
0
),
0
)</f>
        <v>0</v>
      </c>
      <c r="AF129" s="13">
        <f>IFERROR(
IF(AND(LEN(TRIM(B128))&gt;0,LEN(TRIM(C128))&gt;0),
IFERROR('Bang TH nop'!AR129,0)+IFERROR('Bang TH nop'!AU129,0)+IFERROR('Bang TH nop'!BG129,0),
0
),
0
)</f>
        <v>0</v>
      </c>
      <c r="AG129" s="241"/>
      <c r="AH129" s="266"/>
      <c r="AI129" s="174">
        <f t="shared" ref="AI129" si="1316">IFERROR(
IF(AND(LEN(TRIM(B128))&gt;0,LEN(TRIM(C128))&gt;0),
AH129/AG129,
0
),
0
)</f>
        <v>0</v>
      </c>
      <c r="AJ129" s="174">
        <f t="shared" ref="AJ129:AJ131" si="1317">IFERROR(
IF(AND(LEN(TRIM(B128))&gt;0,LEN(TRIM(C128))&gt;0),
AL129/AF129,
0
),
0
)</f>
        <v>0</v>
      </c>
      <c r="AK129" s="175">
        <f t="shared" ref="AK129" si="1318">IFERROR(
IF(AND(LEN(TRIM(B128))&gt;0,LEN(TRIM(C128))&gt;0),
AJ129/AI129,
0
),
0
)</f>
        <v>0</v>
      </c>
      <c r="AL129" s="176">
        <f t="shared" ref="AL129:AL131" si="1319">IFERROR(
IF(AND(LEN(TRIM(B128))&gt;0,LEN(TRIM(C128))&gt;0),
AB129/L129,
0
),
0
)</f>
        <v>0</v>
      </c>
    </row>
    <row r="130" spans="1:38" ht="17.100000000000001" customHeight="1">
      <c r="A130" s="305"/>
      <c r="B130" s="307">
        <f>'Bang TH nop'!B131</f>
        <v>0</v>
      </c>
      <c r="C130" s="309">
        <f>IFERROR(IF(LEN(TRIM(B130))&gt;0,'Bang TH nop'!C131,""),"")</f>
        <v>0</v>
      </c>
      <c r="D130" s="311">
        <f>IFERROR(IF(AND(LEN(TRIM(B130))&gt;0,LEN(TRIM(C130))&gt;0),'Bang TH nop'!AO131,""),"")</f>
        <v>0</v>
      </c>
      <c r="E130" s="312"/>
      <c r="F130" s="259"/>
      <c r="G130" s="260"/>
      <c r="H130" s="260"/>
      <c r="I130" s="10">
        <f>IFERROR(IF(AND(LEN(TRIM(B130))&gt;0,LEN(TRIM(C130))&gt;0),'Bang TH nop'!BB131,0),0)</f>
        <v>0</v>
      </c>
      <c r="J130" s="10">
        <f>IFERROR(IF(AND(LEN(TRIM(B130))&gt;0,LEN(TRIM(C130))&gt;0),'Bang TH nop'!AV131,0),0)</f>
        <v>0</v>
      </c>
      <c r="K130" s="10">
        <f>IFERROR(IF(AND(LEN(TRIM(B130))&gt;0,LEN(TRIM(C130))&gt;0),'Bang TH nop'!AR131,0),0)</f>
        <v>0</v>
      </c>
      <c r="L130" s="12">
        <f>IFERROR(IF(AND(LEN(TRIM(B130))&gt;0,LEN(TRIM(C130))&gt;0),'Bang TH nop'!AS131,0),0)</f>
        <v>0</v>
      </c>
      <c r="M130" s="12">
        <f>IFERROR(IF(AND(LEN(TRIM(C130))&gt;0,LEN(TRIM(D130))&gt;0),'Bang TH nop'!AT131,0),0)</f>
        <v>0</v>
      </c>
      <c r="N130" s="12">
        <f>IFERROR(IF(AND(LEN(TRIM(B130))&gt;0,LEN(TRIM(C130))&gt;0),'Bang TH nop'!AU131,0),0)</f>
        <v>0</v>
      </c>
      <c r="O130" s="12">
        <f>IFERROR(IF(AND(LEN(TRIM(B130))&gt;0,LEN(TRIM(C130))&gt;0),'Bang TH nop'!BE131,0),0)</f>
        <v>0</v>
      </c>
      <c r="P130" s="12">
        <f>IFERROR(IF(AND(LEN(TRIM(B131))&gt;0,LEN(TRIM(C130))&gt;0),'Bang TH nop'!AZ131,0),0)</f>
        <v>0</v>
      </c>
      <c r="Q130" s="12"/>
      <c r="R130" s="261"/>
      <c r="S130" s="261"/>
      <c r="T130" s="261"/>
      <c r="U130" s="260"/>
      <c r="V130" s="260"/>
      <c r="W130" s="260"/>
      <c r="X130" s="260"/>
      <c r="Y130" s="260"/>
      <c r="Z130" s="260"/>
      <c r="AA130" s="259" t="str">
        <f>IFERROR(
IF(AND(LEN(TRIM(B130))&gt;0,LEN(TRIM(C130))&gt;0),
'Bang TH nop'!AH131,
0
),
0
)</f>
        <v>A</v>
      </c>
      <c r="AB130" s="11"/>
      <c r="AC130" s="11"/>
      <c r="AD130" s="260"/>
      <c r="AE130" s="11"/>
      <c r="AF130" s="260"/>
      <c r="AG130" s="241"/>
      <c r="AH130" s="286"/>
      <c r="AI130" s="287"/>
      <c r="AJ130" s="288"/>
      <c r="AK130" s="287"/>
      <c r="AL130" s="173"/>
    </row>
    <row r="131" spans="1:38" ht="17.100000000000001" customHeight="1">
      <c r="A131" s="306"/>
      <c r="B131" s="308"/>
      <c r="C131" s="310"/>
      <c r="D131" s="319">
        <f>IFERROR(IF(AND(LEN(TRIM(B130))&gt;0,LEN(TRIM(C130))&gt;0),'Bang TH nop'!AP131,""),"")</f>
        <v>0</v>
      </c>
      <c r="E131" s="320"/>
      <c r="F131" s="55">
        <f>IFERROR(IF(AND(LEN(TRIM(B130))&gt;0,LEN(TRIM(C130))&gt;0),'Bang TH nop'!AL131,0),0)</f>
        <v>0</v>
      </c>
      <c r="G131" s="263">
        <f t="shared" ref="G131" si="1320">D131*I130/26</f>
        <v>0</v>
      </c>
      <c r="H131" s="263">
        <f t="shared" ref="H131" si="1321">D131*J130*150%/(26*8)</f>
        <v>0</v>
      </c>
      <c r="I131" s="263">
        <f t="shared" ref="I131" si="1322">IFERROR(
IF(AND(LEN(TRIM(B130))&gt;0,LEN(TRIM(C130))&gt;0),
IF(((I130-N130)*8+N130*7+J130)=0,0,
F131*680*(((I130-N130)*8+N130*7))/(((I130-N130)*8+N130*7+J130))*$I$4
),
0
),
0
)</f>
        <v>0</v>
      </c>
      <c r="J131" s="263">
        <f t="shared" ref="J131" si="1323">IFERROR(
IF(AND(LEN(TRIM(B130))&gt;0,LEN(TRIM(C130))&gt;0),
IF(((I130-N130)*8+N130*7+J130)=0,0,
F131*680*150%*J130/(((I130-N130)*8+N130*7+J130))*$I$4
),
0
),
0
)</f>
        <v>0</v>
      </c>
      <c r="K131" s="264">
        <f t="shared" ref="K131" si="1324">IFERROR(
IF(AND(LEN(TRIM(B130))&gt;0,LEN(TRIM(C130))&gt;0),
ROUND(D131/26*K130,0),
0
),
0
)</f>
        <v>0</v>
      </c>
      <c r="L131" s="264">
        <f t="shared" ref="L131" si="1325">IFERROR(
IF(AND(LEN(TRIM(B130))&gt;0,LEN(TRIM(C130))&gt;0),
ROUND(D131/26*L130,0),
0
),
0
)</f>
        <v>0</v>
      </c>
      <c r="M131" s="264">
        <f t="shared" ref="M131" si="1326">IFERROR(
IF(AND(LEN(TRIM(B130))&gt;0,LEN(TRIM(C130))&gt;0),
ROUND(D131/26*M130,0),
0
),
0
)</f>
        <v>0</v>
      </c>
      <c r="N131" s="264">
        <f t="shared" ref="N131" si="1327">IFERROR(
IF(AND(LEN(TRIM(B130))&gt;0,LEN(TRIM(C130))&gt;0),
D131*N130/(26*8),
0
),
0
)</f>
        <v>0</v>
      </c>
      <c r="O131" s="264">
        <f t="shared" ref="O131" si="1328">IFERROR(
IF(AND(LEN(TRIM(B130))&gt;0,LEN(TRIM(C130))&gt;0),
D131*O130/(26*8),
0
),
0
)</f>
        <v>0</v>
      </c>
      <c r="P131" s="264">
        <f t="shared" ref="P131" si="1329">IFERROR(
IF(AND(LEN(TRIM(B130))&gt;0,LEN(TRIM(C130))&gt;0),
(D131/26/8*P130),
0
),
0
)</f>
        <v>0</v>
      </c>
      <c r="Q131" s="56">
        <f>IFERROR(
IF(AND(LEN(TRIM(B130))&gt;0,LEN(TRIM(C130))&gt;0),
'Bang TH nop'!BC131,
0
),
0
)</f>
        <v>0</v>
      </c>
      <c r="R131" s="263">
        <f>IFERROR(
IF(AND(LEN(TRIM(B130))&gt;0,LEN(TRIM(C130))&gt;0),
'Bang TH nop'!BD131,
0
),
0
)</f>
        <v>0</v>
      </c>
      <c r="S131" s="263">
        <f>IFERROR(
IF(AND(LEN(TRIM(B130))&gt;0,LEN(TRIM(C130))&gt;0),
'Bang TH nop'!BJ131,
0
),
0
)</f>
        <v>0</v>
      </c>
      <c r="T131" s="263">
        <f>IFERROR(
IF(AND(LEN(TRIM(B130))&gt;0,LEN(TRIM(C130))&gt;0),
'Bang TH nop'!AW131,
0
),
0
)</f>
        <v>0</v>
      </c>
      <c r="U131" s="264">
        <f t="shared" ref="U131" si="1330">IFERROR(
IF(AND(LEN(TRIM(B130))&gt;0,LEN(TRIM(C130))&gt;0),
D131/26/8*U130,
0
),
0
)</f>
        <v>0</v>
      </c>
      <c r="V131" s="264"/>
      <c r="W131" s="264"/>
      <c r="X131" s="263">
        <f t="shared" ref="X131" si="1331">+IF(G131-I131&lt;0,0,G131-I131)</f>
        <v>0</v>
      </c>
      <c r="Y131" s="263">
        <f t="shared" ref="Y131" si="1332">+IF(H131-J131&lt;0,0, H131-J131)</f>
        <v>0</v>
      </c>
      <c r="Z131" s="263">
        <f t="shared" ref="Z131" si="1333">IFERROR(
IF(AND(LEN(TRIM(B130))&gt;0,LEN(TRIM(C130))&gt;0),
(X131+Y131)*25%,
0
),
0
)</f>
        <v>0</v>
      </c>
      <c r="AA131" s="263">
        <f>IFERROR(
IF(AND(LEN(TRIM(B130))&gt;0,LEN(TRIM(C130))&gt;0),
'Bang TH nop'!BG131,
0
),
0
)</f>
        <v>0</v>
      </c>
      <c r="AB131" s="264">
        <f t="shared" ref="AB131" si="1334">IFERROR(
IF(AND(LEN(TRIM(B130))&gt;0,LEN(TRIM(C130))&gt;0),
SUM(I131:W131)+IFERROR(Z131,0)+IFERROR(AA131,0),
0
),
0
)</f>
        <v>0</v>
      </c>
      <c r="AC131" s="263">
        <f t="shared" ref="AC131" si="1335">IFERROR(
IF(AND(LEN(TRIM(B130))&gt;0,LEN(TRIM(C130))&gt;0),
IF((26-(IFERROR(I130,0)+IFERROR(K130,0)+IFERROR(L130,0)+IFERROR(M130,0)))&gt;12,0,D131*10.5%),
0
),
0
)</f>
        <v>0</v>
      </c>
      <c r="AD131" s="291">
        <f t="shared" ref="AD131" si="1336">IFERROR(
IF(AND(LEN(TRIM(B130))&gt;0,LEN(TRIM(C130))&gt;0),
ROUND(IF(D131=4939000,D131*0.5%,0),-2),
0
),
0
)</f>
        <v>0</v>
      </c>
      <c r="AE131" s="264">
        <f t="shared" ref="AE131" si="1337">IFERROR(
IF(AND(LEN(TRIM(B130))&gt;0,LEN(TRIM(C130))&gt;0),
ROUND(IFERROR(AB131,0)-IFERROR(AC131,0)-IFERROR(AD131,0),-2),
0
),
0
)</f>
        <v>0</v>
      </c>
      <c r="AF131" s="13">
        <f>IFERROR(
IF(AND(LEN(TRIM(B130))&gt;0,LEN(TRIM(C130))&gt;0),
IFERROR('Bang TH nop'!AR131,0)+IFERROR('Bang TH nop'!AU131,0)+IFERROR('Bang TH nop'!BG131,0),
0
),
0
)</f>
        <v>0</v>
      </c>
      <c r="AG131" s="241"/>
      <c r="AH131" s="266"/>
      <c r="AI131" s="174">
        <f t="shared" ref="AI131" si="1338">IFERROR(
IF(AND(LEN(TRIM(B130))&gt;0,LEN(TRIM(C130))&gt;0),
AH131/AG131,
0
),
0
)</f>
        <v>0</v>
      </c>
      <c r="AJ131" s="174">
        <f t="shared" ref="AJ131" si="1339">IFERROR(
IF(AND(LEN(TRIM(B130))&gt;0,LEN(TRIM(C130))&gt;0),
AL131/AF131,
0
),
0
)</f>
        <v>0</v>
      </c>
      <c r="AK131" s="175">
        <f t="shared" ref="AK131" si="1340">IFERROR(
IF(AND(LEN(TRIM(B130))&gt;0,LEN(TRIM(C130))&gt;0),
AJ131/AI131,
0
),
0
)</f>
        <v>0</v>
      </c>
      <c r="AL131" s="176">
        <f t="shared" ref="AL131" si="1341">IFERROR(
IF(AND(LEN(TRIM(B130))&gt;0,LEN(TRIM(C130))&gt;0),
AB131/L131,
0
),
0
)</f>
        <v>0</v>
      </c>
    </row>
    <row r="132" spans="1:38" ht="17.100000000000001" customHeight="1">
      <c r="A132" s="269"/>
      <c r="B132" s="270"/>
      <c r="C132" s="269"/>
      <c r="D132" s="271"/>
      <c r="E132" s="272"/>
      <c r="F132" s="259"/>
      <c r="G132" s="260"/>
      <c r="H132" s="260"/>
      <c r="I132" s="261">
        <f>'[1]Bang TH nop'!BB133</f>
        <v>0</v>
      </c>
      <c r="J132" s="261">
        <f>'[1]Bang TH nop'!AR133</f>
        <v>0</v>
      </c>
      <c r="K132" s="261">
        <f>'[1]Bang TH nop'!AS133</f>
        <v>0</v>
      </c>
      <c r="L132" s="12">
        <f>'[1]Bang TH nop'!AT133</f>
        <v>0</v>
      </c>
      <c r="M132" s="261">
        <f>'[1]Bang TH nop'!AU133</f>
        <v>0</v>
      </c>
      <c r="N132" s="261"/>
      <c r="O132" s="262">
        <f>+'[1]Bang TH nop'!BE133</f>
        <v>0</v>
      </c>
      <c r="P132" s="66">
        <f>'[1]Bang TH nop'!AZ133</f>
        <v>0</v>
      </c>
      <c r="Q132" s="12">
        <f>'[1]Bang TH nop'!AV133</f>
        <v>0</v>
      </c>
      <c r="R132" s="261"/>
      <c r="S132" s="261"/>
      <c r="T132" s="261"/>
      <c r="U132" s="260"/>
      <c r="V132" s="260"/>
      <c r="W132" s="260"/>
      <c r="X132" s="260"/>
      <c r="Y132" s="260"/>
      <c r="Z132" s="260"/>
      <c r="AA132" s="260"/>
      <c r="AB132" s="11"/>
      <c r="AC132" s="11"/>
      <c r="AD132" s="260"/>
      <c r="AE132" s="11"/>
      <c r="AF132" s="265"/>
      <c r="AH132" s="267"/>
      <c r="AL132" s="267"/>
    </row>
    <row r="133" spans="1:38" ht="17.100000000000001" customHeight="1">
      <c r="A133" s="313"/>
      <c r="B133" s="315" t="s">
        <v>11</v>
      </c>
      <c r="C133" s="317"/>
      <c r="D133" s="15"/>
      <c r="E133" s="15"/>
      <c r="F133" s="15" cm="1">
        <f t="array" ref="F133">SUMPRODUCT((MOD(ROW(F8:F130),2)=0)*IFERROR(F8:F130,0))</f>
        <v>0</v>
      </c>
      <c r="G133" s="15" cm="1">
        <f t="array" ref="G133">SUMPRODUCT((MOD(ROW(G8:G130),2)=0)*IFERROR(G8:G130,0))</f>
        <v>0</v>
      </c>
      <c r="H133" s="15" cm="1">
        <f t="array" ref="H133">SUMPRODUCT((MOD(ROW(H8:H130),2)=0)*IFERROR(H8:H130,0))</f>
        <v>0</v>
      </c>
      <c r="I133" s="15" cm="1">
        <f t="array" ref="I133">SUMPRODUCT((MOD(ROW(I8:I130),2)=0)*IFERROR(I8:I130,0))</f>
        <v>0</v>
      </c>
      <c r="J133" s="15" cm="1">
        <f t="array" ref="J133">SUMPRODUCT((MOD(ROW(J8:J130),2)=0)*IFERROR(J8:J130,0))</f>
        <v>0</v>
      </c>
      <c r="K133" s="15" cm="1">
        <f t="array" ref="K133">SUMPRODUCT((MOD(ROW(K8:K130),2)=0)*IFERROR(K8:K130,0))</f>
        <v>0</v>
      </c>
      <c r="L133" s="15" cm="1">
        <f t="array" ref="L133">SUMPRODUCT((MOD(ROW(L8:L130),2)=0)*IFERROR(L8:L130,0))</f>
        <v>0</v>
      </c>
      <c r="M133" s="15" cm="1">
        <f t="array" ref="M133">SUMPRODUCT((MOD(ROW(M8:M130),2)=0)*IFERROR(M8:M130,0))</f>
        <v>0</v>
      </c>
      <c r="N133" s="15" cm="1">
        <f t="array" ref="N133">SUMPRODUCT((MOD(ROW(N8:N130),2)=0)*IFERROR(N8:N130,0))</f>
        <v>0</v>
      </c>
      <c r="O133" s="15" cm="1">
        <f t="array" ref="O133">SUMPRODUCT((MOD(ROW(O8:O130),2)=0)*IFERROR(O8:O130,0))</f>
        <v>0</v>
      </c>
      <c r="P133" s="15" cm="1">
        <f t="array" ref="P133">SUMPRODUCT((MOD(ROW(P8:P130),2)=0)*IFERROR(P8:P130,0))</f>
        <v>0</v>
      </c>
      <c r="Q133" s="15" cm="1">
        <f t="array" ref="Q133">SUMPRODUCT((MOD(ROW(Q8:Q130),2)=0)*IFERROR(Q8:Q130,0))</f>
        <v>0</v>
      </c>
      <c r="R133" s="15" cm="1">
        <f t="array" ref="R133">SUMPRODUCT((MOD(ROW(R8:R130),2)=0)*IFERROR(R8:R130,0))</f>
        <v>0</v>
      </c>
      <c r="S133" s="15" cm="1">
        <f t="array" ref="S133">SUMPRODUCT((MOD(ROW(S8:S130),2)=0)*IFERROR(S8:S130,0))</f>
        <v>0</v>
      </c>
      <c r="T133" s="15" cm="1">
        <f t="array" ref="T133">SUMPRODUCT((MOD(ROW(T8:T130),2)=0)*IFERROR(T8:T130,0))</f>
        <v>0</v>
      </c>
      <c r="U133" s="15" cm="1">
        <f t="array" ref="U133">SUMPRODUCT((MOD(ROW(U8:U130),2)=0)*IFERROR(U8:U130,0))</f>
        <v>0</v>
      </c>
      <c r="V133" s="15" cm="1">
        <f t="array" ref="V133">SUMPRODUCT((MOD(ROW(V8:V130),2)=0)*IFERROR(V8:V130,0))</f>
        <v>0</v>
      </c>
      <c r="W133" s="15" cm="1">
        <f t="array" ref="W133">SUMPRODUCT((MOD(ROW(W8:W130),2)=0)*IFERROR(W8:W130,0))</f>
        <v>0</v>
      </c>
      <c r="X133" s="15" cm="1">
        <f t="array" ref="X133">SUMPRODUCT((MOD(ROW(X8:X130),2)=0)*IFERROR(X8:X130,0))</f>
        <v>0</v>
      </c>
      <c r="Y133" s="15" cm="1">
        <f t="array" ref="Y133">SUMPRODUCT((MOD(ROW(Y8:Y130),2)=0)*IFERROR(Y8:Y130,0))</f>
        <v>0</v>
      </c>
      <c r="Z133" s="15" cm="1">
        <f t="array" ref="Z133">SUMPRODUCT((MOD(ROW(Z8:Z130),2)=0)*IFERROR(Z8:Z130,0))</f>
        <v>0</v>
      </c>
      <c r="AA133" s="15" t="e" cm="1">
        <f t="array" ref="AA133">SUMPRODUCT((MOD(ROW(AA8:AA130),2)=0)*IFERROR(AA8:AA130,0))</f>
        <v>#VALUE!</v>
      </c>
      <c r="AB133" s="15" cm="1">
        <f t="array" ref="AB133">SUMPRODUCT((MOD(ROW(AB8:AB130),2)=0)*IFERROR(AB8:AB130,0))</f>
        <v>0</v>
      </c>
      <c r="AC133" s="15" cm="1">
        <f t="array" ref="AC133">SUMPRODUCT((MOD(ROW(AC8:AC130),2)=0)*IFERROR(AC8:AC130,0))</f>
        <v>0</v>
      </c>
      <c r="AD133" s="15" cm="1">
        <f t="array" ref="AD133">SUMPRODUCT((MOD(ROW(AD8:AD130),2)=0)*IFERROR(AD8:AD130,0))</f>
        <v>0</v>
      </c>
      <c r="AE133" s="15" cm="1">
        <f t="array" ref="AE133">SUMPRODUCT((MOD(ROW(AE8:AE130),2)=0)*IFERROR(AE8:AE130,0))</f>
        <v>0</v>
      </c>
      <c r="AF133" s="15" cm="1">
        <f t="array" ref="AF133">SUMPRODUCT((MOD(ROW(AF8:AF130),2)=0)*IFERROR(AF8:AF130,0))</f>
        <v>0</v>
      </c>
      <c r="AJ133" s="268"/>
      <c r="AL133" s="267"/>
    </row>
    <row r="134" spans="1:38" ht="16.5" customHeight="1">
      <c r="A134" s="314"/>
      <c r="B134" s="316"/>
      <c r="C134" s="318"/>
      <c r="D134" s="15"/>
      <c r="E134" s="15"/>
      <c r="F134" s="16" cm="1">
        <f t="array" ref="F134">SUMPRODUCT((MOD(ROW(F9:F131),2)=1)*IFERROR(F9:F131,0))</f>
        <v>0</v>
      </c>
      <c r="G134" s="16" cm="1">
        <f t="array" ref="G134">SUMPRODUCT((MOD(ROW(G9:G131),2)=1)*IFERROR(G9:G131,0))</f>
        <v>0</v>
      </c>
      <c r="H134" s="16" cm="1">
        <f t="array" ref="H134">SUMPRODUCT((MOD(ROW(H9:H131),2)=1)*IFERROR(H9:H131,0))</f>
        <v>0</v>
      </c>
      <c r="I134" s="16" cm="1">
        <f t="array" ref="I134">SUMPRODUCT((MOD(ROW(I9:I131),2)=1)*IFERROR(I9:I131,0))</f>
        <v>0</v>
      </c>
      <c r="J134" s="16" cm="1">
        <f t="array" ref="J134">SUMPRODUCT((MOD(ROW(J9:J131),2)=1)*IFERROR(J9:J131,0))</f>
        <v>0</v>
      </c>
      <c r="K134" s="16" cm="1">
        <f t="array" ref="K134">SUMPRODUCT((MOD(ROW(K9:K131),2)=1)*IFERROR(K9:K131,0))</f>
        <v>0</v>
      </c>
      <c r="L134" s="16" cm="1">
        <f t="array" ref="L134">SUMPRODUCT((MOD(ROW(L9:L131),2)=1)*IFERROR(L9:L131,0))</f>
        <v>0</v>
      </c>
      <c r="M134" s="16" cm="1">
        <f t="array" ref="M134">SUMPRODUCT((MOD(ROW(M9:M131),2)=1)*IFERROR(M9:M131,0))</f>
        <v>0</v>
      </c>
      <c r="N134" s="16" cm="1">
        <f t="array" ref="N134">SUMPRODUCT((MOD(ROW(N9:N131),2)=1)*IFERROR(N9:N131,0))</f>
        <v>0</v>
      </c>
      <c r="O134" s="16" cm="1">
        <f t="array" ref="O134">SUMPRODUCT((MOD(ROW(O9:O131),2)=1)*IFERROR(O9:O131,0))</f>
        <v>0</v>
      </c>
      <c r="P134" s="16" cm="1">
        <f t="array" ref="P134">SUMPRODUCT((MOD(ROW(P9:P131),2)=1)*IFERROR(P9:P131,0))</f>
        <v>0</v>
      </c>
      <c r="Q134" s="16" cm="1">
        <f t="array" ref="Q134">SUMPRODUCT((MOD(ROW(Q9:Q131),2)=1)*IFERROR(Q9:Q131,0))</f>
        <v>0</v>
      </c>
      <c r="R134" s="16" cm="1">
        <f t="array" ref="R134">SUMPRODUCT((MOD(ROW(R9:R131),2)=1)*IFERROR(R9:R131,0))</f>
        <v>0</v>
      </c>
      <c r="S134" s="16" cm="1">
        <f t="array" ref="S134">SUMPRODUCT((MOD(ROW(S9:S131),2)=1)*IFERROR(S9:S131,0))</f>
        <v>0</v>
      </c>
      <c r="T134" s="16" cm="1">
        <f t="array" ref="T134">SUMPRODUCT((MOD(ROW(T9:T131),2)=1)*IFERROR(T9:T131,0))</f>
        <v>0</v>
      </c>
      <c r="U134" s="16" cm="1">
        <f t="array" ref="U134">SUMPRODUCT((MOD(ROW(U9:U131),2)=1)*IFERROR(U9:U131,0))</f>
        <v>0</v>
      </c>
      <c r="V134" s="16" cm="1">
        <f t="array" ref="V134">SUMPRODUCT((MOD(ROW(V9:V131),2)=1)*IFERROR(V9:V131,0))</f>
        <v>0</v>
      </c>
      <c r="W134" s="16" cm="1">
        <f t="array" ref="W134">SUMPRODUCT((MOD(ROW(W9:W131),2)=1)*IFERROR(W9:W131,0))</f>
        <v>0</v>
      </c>
      <c r="X134" s="16" cm="1">
        <f t="array" ref="X134">SUMPRODUCT((MOD(ROW(X9:X131),2)=1)*IFERROR(X9:X131,0))</f>
        <v>0</v>
      </c>
      <c r="Y134" s="16" cm="1">
        <f t="array" ref="Y134">SUMPRODUCT((MOD(ROW(Y9:Y131),2)=1)*IFERROR(Y9:Y131,0))</f>
        <v>0</v>
      </c>
      <c r="Z134" s="16" cm="1">
        <f t="array" ref="Z134">SUMPRODUCT((MOD(ROW(Z9:Z131),2)=1)*IFERROR(Z9:Z131,0))</f>
        <v>0</v>
      </c>
      <c r="AA134" s="16" t="e" cm="1">
        <f t="array" ref="AA134">SUMPRODUCT((MOD(ROW(AA9:AA131),2)=1)*IFERROR(AA9:AA131,0))</f>
        <v>#VALUE!</v>
      </c>
      <c r="AB134" s="16" cm="1">
        <f t="array" ref="AB134">SUMPRODUCT((MOD(ROW(AB9:AB131),2)=1)*IFERROR(AB9:AB131,0))</f>
        <v>0</v>
      </c>
      <c r="AC134" s="16" cm="1">
        <f t="array" ref="AC134">SUMPRODUCT((MOD(ROW(AC9:AC131),2)=1)*IFERROR(AC9:AC131,0))</f>
        <v>0</v>
      </c>
      <c r="AD134" s="16" cm="1">
        <f t="array" ref="AD134">SUMPRODUCT((MOD(ROW(AD9:AD131),2)=1)*IFERROR(AD9:AD131,0))</f>
        <v>0</v>
      </c>
      <c r="AE134" s="16" cm="1">
        <f t="array" ref="AE134">SUMPRODUCT((MOD(ROW(AE9:AE131),2)=1)*IFERROR(AE9:AE131,0))</f>
        <v>0</v>
      </c>
      <c r="AF134" s="16" cm="1">
        <f t="array" ref="AF134">SUMPRODUCT((MOD(ROW(AF9:AF131),2)=1)*IFERROR(AF9:AF131,0))</f>
        <v>0</v>
      </c>
      <c r="AG134" s="289">
        <f>IFERROR(
IF((AF134+L133)=0,0,
AB134/(AF134+L133)*(AF135+2)
),
0
)</f>
        <v>0</v>
      </c>
      <c r="AH134" s="290">
        <f>IFERROR(AL134/AF134*AF135,0)</f>
        <v>0</v>
      </c>
      <c r="AI134" s="182"/>
      <c r="AJ134" s="273"/>
      <c r="AL134" s="16" cm="1">
        <f t="array" ref="AL134">SUMPRODUCT((MOD(ROW(AL9:AL131),2)=1)*IFERROR(AL9:AL131,0))</f>
        <v>0</v>
      </c>
    </row>
    <row r="135" spans="1:38" ht="17.100000000000001" customHeight="1">
      <c r="A135" s="274"/>
      <c r="B135" s="275"/>
      <c r="C135" s="276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20"/>
      <c r="AC135" s="19"/>
      <c r="AD135" s="19"/>
      <c r="AE135" s="20"/>
      <c r="AF135" s="21" cm="1">
        <f t="array" ref="AF135">IFERROR(AVERAGE(_xlfn._xlws.FILTER(AF8:AF131,ISNUMBER(AF8:AF131))),0)</f>
        <v>0</v>
      </c>
      <c r="AG135" s="108">
        <f>IFERROR(AG134/(AF135+2),0)</f>
        <v>0</v>
      </c>
      <c r="AH135" s="108">
        <f>IFERROR(AH134/AF135,0)</f>
        <v>0</v>
      </c>
      <c r="AI135" s="182"/>
    </row>
    <row r="136" spans="1:38" ht="17.100000000000001" customHeight="1">
      <c r="A136" s="246"/>
      <c r="B136" s="277"/>
      <c r="C136" s="246"/>
      <c r="D136" s="246"/>
      <c r="E136" s="246"/>
      <c r="F136" s="31" t="s">
        <v>175</v>
      </c>
      <c r="G136" s="31"/>
      <c r="H136" s="31"/>
      <c r="I136" s="31"/>
      <c r="J136" s="278" t="e" cm="1">
        <f t="array" aca="1" ref="J136" ca="1">+_xll.VND(AE134)</f>
        <v>#NAME?</v>
      </c>
      <c r="K136" s="246"/>
      <c r="L136" s="246"/>
      <c r="M136" s="246"/>
      <c r="N136" s="246"/>
      <c r="O136" s="246"/>
      <c r="P136" s="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2"/>
      <c r="AC136" s="246"/>
      <c r="AD136" s="246"/>
      <c r="AE136" s="6"/>
    </row>
    <row r="137" spans="1:38" ht="17.100000000000001" customHeight="1">
      <c r="A137" s="246"/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246"/>
      <c r="N137" s="246"/>
      <c r="O137" s="246"/>
      <c r="P137" s="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93" t="s">
        <v>234</v>
      </c>
      <c r="AC137" s="293"/>
      <c r="AD137" s="293"/>
      <c r="AE137" s="293"/>
      <c r="AF137" s="293"/>
    </row>
    <row r="138" spans="1:38" ht="17.100000000000001" customHeight="1">
      <c r="A138" s="242"/>
      <c r="B138" s="279" t="s">
        <v>26</v>
      </c>
      <c r="C138" s="242"/>
      <c r="D138" s="242"/>
      <c r="E138" s="242"/>
      <c r="F138" s="242"/>
      <c r="G138" s="242"/>
      <c r="H138" s="242"/>
      <c r="I138" s="242"/>
      <c r="J138" s="242"/>
      <c r="K138" s="242"/>
      <c r="L138" s="242"/>
      <c r="M138" s="242"/>
      <c r="N138" s="242"/>
      <c r="O138" s="242"/>
      <c r="P138" s="5"/>
      <c r="Q138" s="242"/>
      <c r="R138" s="242"/>
      <c r="S138" s="242"/>
      <c r="T138" s="242"/>
      <c r="U138" s="242"/>
      <c r="V138" s="242"/>
      <c r="W138" s="242"/>
      <c r="X138" s="242"/>
      <c r="Y138" s="242"/>
      <c r="Z138" s="242"/>
      <c r="AA138" s="242"/>
      <c r="AB138" s="303" t="s">
        <v>73</v>
      </c>
      <c r="AC138" s="303"/>
      <c r="AD138" s="303"/>
      <c r="AE138" s="303"/>
      <c r="AF138" s="303"/>
    </row>
    <row r="139" spans="1:38" ht="17.100000000000001" customHeight="1">
      <c r="A139" s="246"/>
      <c r="B139" s="280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246"/>
      <c r="N139" s="246"/>
      <c r="O139" s="246"/>
      <c r="P139" s="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6"/>
      <c r="AC139" s="280"/>
      <c r="AD139" s="280"/>
      <c r="AE139" s="143"/>
      <c r="AF139" s="23"/>
    </row>
    <row r="140" spans="1:38" ht="21.75" customHeight="1">
      <c r="A140" s="246"/>
      <c r="B140" s="280"/>
      <c r="C140" s="246"/>
      <c r="D140" s="246"/>
      <c r="E140" s="24"/>
      <c r="F140" s="246"/>
      <c r="G140" s="246"/>
      <c r="H140" s="246"/>
      <c r="I140" s="246"/>
      <c r="J140" s="246"/>
      <c r="K140" s="246"/>
      <c r="L140" s="246"/>
      <c r="M140" s="246"/>
      <c r="N140" s="246"/>
      <c r="O140" s="246"/>
      <c r="P140" s="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6"/>
      <c r="AC140" s="280"/>
      <c r="AD140" s="280"/>
      <c r="AE140" s="143"/>
    </row>
    <row r="141" spans="1:38" ht="17.100000000000001" customHeight="1">
      <c r="A141" s="246"/>
      <c r="B141" s="281" t="s">
        <v>198</v>
      </c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246"/>
      <c r="N141" s="246"/>
      <c r="O141" s="246"/>
      <c r="P141" s="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304" t="s">
        <v>201</v>
      </c>
      <c r="AC141" s="304"/>
      <c r="AD141" s="304"/>
      <c r="AE141" s="304"/>
      <c r="AF141" s="304"/>
    </row>
    <row r="142" spans="1:38" s="283" customFormat="1" ht="17.100000000000001" customHeight="1">
      <c r="A142" s="282"/>
      <c r="B142" s="282"/>
      <c r="C142" s="278"/>
      <c r="D142" s="278"/>
      <c r="E142" s="278"/>
      <c r="F142" s="278"/>
      <c r="G142" s="278"/>
      <c r="H142" s="278"/>
      <c r="I142" s="278"/>
      <c r="J142" s="278"/>
      <c r="K142" s="278"/>
      <c r="L142" s="278"/>
      <c r="M142" s="278"/>
      <c r="N142" s="278"/>
      <c r="O142" s="278"/>
      <c r="P142" s="25"/>
      <c r="Q142" s="278"/>
      <c r="R142" s="278"/>
      <c r="S142" s="278"/>
      <c r="T142" s="278"/>
      <c r="U142" s="278"/>
      <c r="V142" s="278"/>
      <c r="W142" s="278"/>
      <c r="X142" s="278"/>
      <c r="Y142" s="278"/>
      <c r="Z142" s="278"/>
      <c r="AA142" s="278"/>
      <c r="AB142" s="25"/>
      <c r="AC142" s="278"/>
      <c r="AD142" s="278"/>
      <c r="AE142" s="25"/>
      <c r="AG142" s="284"/>
      <c r="AI142" s="285"/>
      <c r="AK142" s="285"/>
    </row>
    <row r="143" spans="1:38" ht="17.100000000000001" customHeight="1">
      <c r="A143" s="246"/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246"/>
      <c r="N143" s="246"/>
      <c r="O143" s="246"/>
      <c r="P143" s="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6"/>
      <c r="AC143" s="246"/>
      <c r="AD143" s="246"/>
      <c r="AE143" s="6"/>
    </row>
    <row r="144" spans="1:38" ht="17.100000000000001" customHeight="1">
      <c r="A144" s="246"/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246"/>
      <c r="N144" s="246"/>
      <c r="O144" s="246"/>
      <c r="P144" s="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6"/>
      <c r="AC144" s="246"/>
      <c r="AD144" s="246"/>
      <c r="AE144" s="6"/>
    </row>
  </sheetData>
  <mergeCells count="337">
    <mergeCell ref="AG5:AG6"/>
    <mergeCell ref="AH5:AH6"/>
    <mergeCell ref="I5:P5"/>
    <mergeCell ref="AL5:AL6"/>
    <mergeCell ref="D7:E7"/>
    <mergeCell ref="A8:A9"/>
    <mergeCell ref="B8:B9"/>
    <mergeCell ref="C8:C9"/>
    <mergeCell ref="D8:E8"/>
    <mergeCell ref="D9:E9"/>
    <mergeCell ref="AF5:AF6"/>
    <mergeCell ref="AI5:AI6"/>
    <mergeCell ref="AJ5:AJ6"/>
    <mergeCell ref="AK5:AK6"/>
    <mergeCell ref="Q5:W5"/>
    <mergeCell ref="Z5:Z6"/>
    <mergeCell ref="AA5:AA6"/>
    <mergeCell ref="AB5:AB6"/>
    <mergeCell ref="AC5:AD5"/>
    <mergeCell ref="AE5:AE6"/>
    <mergeCell ref="A5:A6"/>
    <mergeCell ref="B5:B6"/>
    <mergeCell ref="C5:C6"/>
    <mergeCell ref="D5:E6"/>
    <mergeCell ref="F5:F6"/>
    <mergeCell ref="A10:A11"/>
    <mergeCell ref="B10:B11"/>
    <mergeCell ref="C10:C11"/>
    <mergeCell ref="D10:E10"/>
    <mergeCell ref="D11:E11"/>
    <mergeCell ref="A12:A13"/>
    <mergeCell ref="B12:B13"/>
    <mergeCell ref="C12:C13"/>
    <mergeCell ref="D12:E12"/>
    <mergeCell ref="D13:E13"/>
    <mergeCell ref="A14:A15"/>
    <mergeCell ref="B14:B15"/>
    <mergeCell ref="C14:C15"/>
    <mergeCell ref="D14:E14"/>
    <mergeCell ref="D15:E15"/>
    <mergeCell ref="A16:A17"/>
    <mergeCell ref="B16:B17"/>
    <mergeCell ref="C16:C17"/>
    <mergeCell ref="D16:E16"/>
    <mergeCell ref="D17:E17"/>
    <mergeCell ref="A18:A19"/>
    <mergeCell ref="B18:B19"/>
    <mergeCell ref="C18:C19"/>
    <mergeCell ref="D18:E18"/>
    <mergeCell ref="D19:E19"/>
    <mergeCell ref="A20:A21"/>
    <mergeCell ref="B20:B21"/>
    <mergeCell ref="C20:C21"/>
    <mergeCell ref="D20:E20"/>
    <mergeCell ref="D21:E21"/>
    <mergeCell ref="A22:A23"/>
    <mergeCell ref="B22:B23"/>
    <mergeCell ref="C22:C23"/>
    <mergeCell ref="D22:E22"/>
    <mergeCell ref="D23:E23"/>
    <mergeCell ref="A24:A25"/>
    <mergeCell ref="B24:B25"/>
    <mergeCell ref="C24:C25"/>
    <mergeCell ref="D24:E24"/>
    <mergeCell ref="D25:E25"/>
    <mergeCell ref="A26:A27"/>
    <mergeCell ref="B26:B27"/>
    <mergeCell ref="C26:C27"/>
    <mergeCell ref="D26:E26"/>
    <mergeCell ref="D27:E27"/>
    <mergeCell ref="A28:A29"/>
    <mergeCell ref="B28:B29"/>
    <mergeCell ref="C28:C29"/>
    <mergeCell ref="D28:E28"/>
    <mergeCell ref="D29:E29"/>
    <mergeCell ref="A30:A31"/>
    <mergeCell ref="B30:B31"/>
    <mergeCell ref="C30:C31"/>
    <mergeCell ref="D30:E30"/>
    <mergeCell ref="D31:E31"/>
    <mergeCell ref="A32:A33"/>
    <mergeCell ref="B32:B33"/>
    <mergeCell ref="C32:C33"/>
    <mergeCell ref="D32:E32"/>
    <mergeCell ref="D33:E33"/>
    <mergeCell ref="A34:A35"/>
    <mergeCell ref="B34:B35"/>
    <mergeCell ref="C34:C35"/>
    <mergeCell ref="D34:E34"/>
    <mergeCell ref="D35:E35"/>
    <mergeCell ref="A36:A37"/>
    <mergeCell ref="B36:B37"/>
    <mergeCell ref="C36:C37"/>
    <mergeCell ref="D36:E36"/>
    <mergeCell ref="D37:E37"/>
    <mergeCell ref="A38:A39"/>
    <mergeCell ref="B38:B39"/>
    <mergeCell ref="C38:C39"/>
    <mergeCell ref="D38:E38"/>
    <mergeCell ref="D39:E39"/>
    <mergeCell ref="A40:A41"/>
    <mergeCell ref="B40:B41"/>
    <mergeCell ref="C40:C41"/>
    <mergeCell ref="D40:E40"/>
    <mergeCell ref="D41:E41"/>
    <mergeCell ref="A42:A43"/>
    <mergeCell ref="B42:B43"/>
    <mergeCell ref="C42:C43"/>
    <mergeCell ref="D42:E42"/>
    <mergeCell ref="D43:E43"/>
    <mergeCell ref="A44:A45"/>
    <mergeCell ref="B44:B45"/>
    <mergeCell ref="C44:C45"/>
    <mergeCell ref="D44:E44"/>
    <mergeCell ref="D45:E45"/>
    <mergeCell ref="A46:A47"/>
    <mergeCell ref="B46:B47"/>
    <mergeCell ref="C46:C47"/>
    <mergeCell ref="D46:E46"/>
    <mergeCell ref="D47:E47"/>
    <mergeCell ref="A48:A49"/>
    <mergeCell ref="B48:B49"/>
    <mergeCell ref="C48:C49"/>
    <mergeCell ref="D48:E48"/>
    <mergeCell ref="D49:E49"/>
    <mergeCell ref="A50:A51"/>
    <mergeCell ref="B50:B51"/>
    <mergeCell ref="C50:C51"/>
    <mergeCell ref="D50:E50"/>
    <mergeCell ref="D51:E51"/>
    <mergeCell ref="A52:A53"/>
    <mergeCell ref="B52:B53"/>
    <mergeCell ref="C52:C53"/>
    <mergeCell ref="D52:E52"/>
    <mergeCell ref="D53:E53"/>
    <mergeCell ref="A54:A55"/>
    <mergeCell ref="B54:B55"/>
    <mergeCell ref="C54:C55"/>
    <mergeCell ref="D54:E54"/>
    <mergeCell ref="D55:E55"/>
    <mergeCell ref="A56:A57"/>
    <mergeCell ref="B56:B57"/>
    <mergeCell ref="C56:C57"/>
    <mergeCell ref="D56:E56"/>
    <mergeCell ref="D57:E57"/>
    <mergeCell ref="A58:A59"/>
    <mergeCell ref="B58:B59"/>
    <mergeCell ref="C58:C59"/>
    <mergeCell ref="D58:E58"/>
    <mergeCell ref="D59:E59"/>
    <mergeCell ref="A60:A61"/>
    <mergeCell ref="B60:B61"/>
    <mergeCell ref="C60:C61"/>
    <mergeCell ref="D60:E60"/>
    <mergeCell ref="D61:E61"/>
    <mergeCell ref="A62:A63"/>
    <mergeCell ref="B62:B63"/>
    <mergeCell ref="C62:C63"/>
    <mergeCell ref="D62:E62"/>
    <mergeCell ref="D63:E63"/>
    <mergeCell ref="A64:A65"/>
    <mergeCell ref="B64:B65"/>
    <mergeCell ref="C64:C65"/>
    <mergeCell ref="D64:E64"/>
    <mergeCell ref="D65:E65"/>
    <mergeCell ref="A66:A67"/>
    <mergeCell ref="B66:B67"/>
    <mergeCell ref="C66:C67"/>
    <mergeCell ref="D66:E66"/>
    <mergeCell ref="D67:E67"/>
    <mergeCell ref="A68:A69"/>
    <mergeCell ref="B68:B69"/>
    <mergeCell ref="C68:C69"/>
    <mergeCell ref="D68:E68"/>
    <mergeCell ref="D69:E69"/>
    <mergeCell ref="A70:A71"/>
    <mergeCell ref="B70:B71"/>
    <mergeCell ref="C70:C71"/>
    <mergeCell ref="D70:E70"/>
    <mergeCell ref="D71:E71"/>
    <mergeCell ref="A72:A73"/>
    <mergeCell ref="B72:B73"/>
    <mergeCell ref="C72:C73"/>
    <mergeCell ref="D72:E72"/>
    <mergeCell ref="D73:E73"/>
    <mergeCell ref="A74:A75"/>
    <mergeCell ref="B74:B75"/>
    <mergeCell ref="C74:C75"/>
    <mergeCell ref="D74:E74"/>
    <mergeCell ref="D75:E75"/>
    <mergeCell ref="A76:A77"/>
    <mergeCell ref="B76:B77"/>
    <mergeCell ref="C76:C77"/>
    <mergeCell ref="D76:E76"/>
    <mergeCell ref="D77:E77"/>
    <mergeCell ref="A78:A79"/>
    <mergeCell ref="B78:B79"/>
    <mergeCell ref="C78:C79"/>
    <mergeCell ref="D78:E78"/>
    <mergeCell ref="D79:E79"/>
    <mergeCell ref="A80:A81"/>
    <mergeCell ref="B80:B81"/>
    <mergeCell ref="C80:C81"/>
    <mergeCell ref="D80:E80"/>
    <mergeCell ref="D81:E81"/>
    <mergeCell ref="A82:A83"/>
    <mergeCell ref="B82:B83"/>
    <mergeCell ref="C82:C83"/>
    <mergeCell ref="D82:E82"/>
    <mergeCell ref="D83:E83"/>
    <mergeCell ref="A84:A85"/>
    <mergeCell ref="B84:B85"/>
    <mergeCell ref="C84:C85"/>
    <mergeCell ref="D84:E84"/>
    <mergeCell ref="D85:E85"/>
    <mergeCell ref="A86:A87"/>
    <mergeCell ref="B86:B87"/>
    <mergeCell ref="C86:C87"/>
    <mergeCell ref="D86:E86"/>
    <mergeCell ref="D87:E87"/>
    <mergeCell ref="A88:A89"/>
    <mergeCell ref="B88:B89"/>
    <mergeCell ref="C88:C89"/>
    <mergeCell ref="D88:E88"/>
    <mergeCell ref="D89:E89"/>
    <mergeCell ref="A90:A91"/>
    <mergeCell ref="B90:B91"/>
    <mergeCell ref="C90:C91"/>
    <mergeCell ref="D90:E90"/>
    <mergeCell ref="D91:E91"/>
    <mergeCell ref="A92:A93"/>
    <mergeCell ref="B92:B93"/>
    <mergeCell ref="C92:C93"/>
    <mergeCell ref="D92:E92"/>
    <mergeCell ref="D93:E93"/>
    <mergeCell ref="A94:A95"/>
    <mergeCell ref="B94:B95"/>
    <mergeCell ref="C94:C95"/>
    <mergeCell ref="D94:E94"/>
    <mergeCell ref="D95:E95"/>
    <mergeCell ref="A96:A97"/>
    <mergeCell ref="B96:B97"/>
    <mergeCell ref="C96:C97"/>
    <mergeCell ref="D96:E96"/>
    <mergeCell ref="D97:E97"/>
    <mergeCell ref="A98:A99"/>
    <mergeCell ref="B98:B99"/>
    <mergeCell ref="C98:C99"/>
    <mergeCell ref="D98:E98"/>
    <mergeCell ref="D99:E99"/>
    <mergeCell ref="A100:A101"/>
    <mergeCell ref="B100:B101"/>
    <mergeCell ref="C100:C101"/>
    <mergeCell ref="D100:E100"/>
    <mergeCell ref="D101:E101"/>
    <mergeCell ref="A102:A103"/>
    <mergeCell ref="B102:B103"/>
    <mergeCell ref="C102:C103"/>
    <mergeCell ref="D102:E102"/>
    <mergeCell ref="D103:E103"/>
    <mergeCell ref="A104:A105"/>
    <mergeCell ref="B104:B105"/>
    <mergeCell ref="C104:C105"/>
    <mergeCell ref="D104:E104"/>
    <mergeCell ref="D105:E105"/>
    <mergeCell ref="A106:A107"/>
    <mergeCell ref="B106:B107"/>
    <mergeCell ref="C106:C107"/>
    <mergeCell ref="D106:E106"/>
    <mergeCell ref="D107:E107"/>
    <mergeCell ref="A108:A109"/>
    <mergeCell ref="B108:B109"/>
    <mergeCell ref="C108:C109"/>
    <mergeCell ref="D108:E108"/>
    <mergeCell ref="D109:E109"/>
    <mergeCell ref="A110:A111"/>
    <mergeCell ref="B110:B111"/>
    <mergeCell ref="C110:C111"/>
    <mergeCell ref="D110:E110"/>
    <mergeCell ref="D111:E111"/>
    <mergeCell ref="A112:A113"/>
    <mergeCell ref="B112:B113"/>
    <mergeCell ref="C112:C113"/>
    <mergeCell ref="D112:E112"/>
    <mergeCell ref="D113:E113"/>
    <mergeCell ref="A114:A115"/>
    <mergeCell ref="B114:B115"/>
    <mergeCell ref="C114:C115"/>
    <mergeCell ref="D114:E114"/>
    <mergeCell ref="D115:E115"/>
    <mergeCell ref="A116:A117"/>
    <mergeCell ref="B116:B117"/>
    <mergeCell ref="C116:C117"/>
    <mergeCell ref="D116:E116"/>
    <mergeCell ref="D117:E117"/>
    <mergeCell ref="A118:A119"/>
    <mergeCell ref="B118:B119"/>
    <mergeCell ref="C118:C119"/>
    <mergeCell ref="D118:E118"/>
    <mergeCell ref="D119:E119"/>
    <mergeCell ref="A120:A121"/>
    <mergeCell ref="B120:B121"/>
    <mergeCell ref="C120:C121"/>
    <mergeCell ref="D120:E120"/>
    <mergeCell ref="D121:E121"/>
    <mergeCell ref="A122:A123"/>
    <mergeCell ref="B122:B123"/>
    <mergeCell ref="C122:C123"/>
    <mergeCell ref="D122:E122"/>
    <mergeCell ref="D123:E123"/>
    <mergeCell ref="A124:A125"/>
    <mergeCell ref="B124:B125"/>
    <mergeCell ref="C124:C125"/>
    <mergeCell ref="D124:E124"/>
    <mergeCell ref="D125:E125"/>
    <mergeCell ref="A126:A127"/>
    <mergeCell ref="B126:B127"/>
    <mergeCell ref="C126:C127"/>
    <mergeCell ref="D126:E126"/>
    <mergeCell ref="D127:E127"/>
    <mergeCell ref="A128:A129"/>
    <mergeCell ref="B128:B129"/>
    <mergeCell ref="C128:C129"/>
    <mergeCell ref="D128:E128"/>
    <mergeCell ref="D129:E129"/>
    <mergeCell ref="F136:I136"/>
    <mergeCell ref="AB137:AF137"/>
    <mergeCell ref="AB138:AF138"/>
    <mergeCell ref="AB141:AF141"/>
    <mergeCell ref="A130:A131"/>
    <mergeCell ref="B130:B131"/>
    <mergeCell ref="C130:C131"/>
    <mergeCell ref="D130:E130"/>
    <mergeCell ref="A133:A134"/>
    <mergeCell ref="B133:B134"/>
    <mergeCell ref="C133:C134"/>
    <mergeCell ref="D131:E131"/>
  </mergeCells>
  <pageMargins left="0" right="0" top="0" bottom="0" header="0" footer="0"/>
  <pageSetup paperSize="9" scale="7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A1:X1185"/>
  <sheetViews>
    <sheetView zoomScale="70" zoomScaleNormal="70" workbookViewId="0">
      <selection activeCell="K720" sqref="K720"/>
    </sheetView>
  </sheetViews>
  <sheetFormatPr defaultColWidth="9" defaultRowHeight="18.75" customHeight="1"/>
  <cols>
    <col min="1" max="1" width="11.875" style="26" customWidth="1"/>
    <col min="2" max="2" width="4.5" style="26" customWidth="1"/>
    <col min="3" max="3" width="6" style="26" customWidth="1"/>
    <col min="4" max="4" width="4.125" style="26" customWidth="1"/>
    <col min="5" max="9" width="4.375" style="26" customWidth="1"/>
    <col min="10" max="10" width="6" style="26" customWidth="1"/>
    <col min="11" max="11" width="17.75" style="26" customWidth="1"/>
    <col min="12" max="12" width="11.125" style="26" customWidth="1"/>
    <col min="13" max="13" width="11.625" style="26" customWidth="1"/>
    <col min="14" max="14" width="3.625" style="26" customWidth="1"/>
    <col min="15" max="15" width="5.5" style="26" customWidth="1"/>
    <col min="16" max="18" width="3.625" style="26" customWidth="1"/>
    <col min="19" max="19" width="9" style="26"/>
    <col min="20" max="20" width="3.875" style="26" customWidth="1"/>
    <col min="21" max="22" width="9" style="26"/>
    <col min="23" max="23" width="11.875" style="26" customWidth="1"/>
    <col min="24" max="16384" width="9" style="26"/>
  </cols>
  <sheetData>
    <row r="1" spans="1:24" ht="18.75" customHeight="1" thickTop="1">
      <c r="A1" s="351" t="s">
        <v>160</v>
      </c>
      <c r="B1" s="352"/>
      <c r="C1" s="352"/>
      <c r="D1" s="352"/>
      <c r="E1" s="352"/>
      <c r="F1" s="352"/>
      <c r="G1" s="352"/>
      <c r="H1" s="352"/>
      <c r="I1" s="352"/>
      <c r="J1" s="352"/>
      <c r="K1" s="353"/>
      <c r="L1" s="26">
        <v>26</v>
      </c>
      <c r="M1" s="351" t="s">
        <v>160</v>
      </c>
      <c r="N1" s="352"/>
      <c r="O1" s="352"/>
      <c r="P1" s="352"/>
      <c r="Q1" s="352"/>
      <c r="R1" s="352"/>
      <c r="S1" s="352"/>
      <c r="T1" s="352"/>
      <c r="U1" s="352"/>
      <c r="V1" s="352"/>
      <c r="W1" s="353"/>
      <c r="X1" s="26">
        <v>26</v>
      </c>
    </row>
    <row r="2" spans="1:24" ht="18.75" customHeight="1">
      <c r="A2" s="27" t="s">
        <v>75</v>
      </c>
      <c r="B2" s="28"/>
      <c r="C2" s="28"/>
      <c r="D2" s="28"/>
      <c r="E2" s="28"/>
      <c r="F2" s="28"/>
      <c r="G2" s="28"/>
      <c r="H2" s="28"/>
      <c r="I2" s="28"/>
      <c r="J2" s="28"/>
      <c r="K2" s="29"/>
      <c r="L2" s="26" t="s">
        <v>157</v>
      </c>
      <c r="M2" s="27" t="s">
        <v>76</v>
      </c>
      <c r="N2" s="28"/>
      <c r="O2" s="28"/>
      <c r="P2" s="28"/>
      <c r="Q2" s="28"/>
      <c r="R2" s="28"/>
      <c r="S2" s="28"/>
      <c r="T2" s="28"/>
      <c r="U2" s="28"/>
      <c r="V2" s="28"/>
      <c r="W2" s="29"/>
    </row>
    <row r="3" spans="1:24" ht="18.75" customHeight="1">
      <c r="A3" s="354" t="s">
        <v>27</v>
      </c>
      <c r="B3" s="355"/>
      <c r="C3" s="355"/>
      <c r="D3" s="355"/>
      <c r="E3" s="355"/>
      <c r="F3" s="355"/>
      <c r="G3" s="355"/>
      <c r="H3" s="355"/>
      <c r="I3" s="355"/>
      <c r="J3" s="355"/>
      <c r="K3" s="356"/>
      <c r="M3" s="354" t="s">
        <v>27</v>
      </c>
      <c r="N3" s="355"/>
      <c r="O3" s="355"/>
      <c r="P3" s="355"/>
      <c r="Q3" s="355"/>
      <c r="R3" s="355"/>
      <c r="S3" s="355"/>
      <c r="T3" s="355"/>
      <c r="U3" s="355"/>
      <c r="V3" s="355"/>
      <c r="W3" s="356"/>
    </row>
    <row r="4" spans="1:24" ht="18.75" customHeight="1">
      <c r="A4" s="347" t="s">
        <v>28</v>
      </c>
      <c r="B4" s="31"/>
      <c r="C4" s="31"/>
      <c r="D4" s="31"/>
      <c r="E4" s="30" t="s">
        <v>29</v>
      </c>
      <c r="F4" s="348">
        <f>'Bang TH nop'!B9</f>
        <v>0</v>
      </c>
      <c r="G4" s="31"/>
      <c r="H4" s="31"/>
      <c r="I4" s="31"/>
      <c r="J4" s="31"/>
      <c r="K4" s="350"/>
      <c r="M4" s="347" t="s">
        <v>28</v>
      </c>
      <c r="N4" s="31"/>
      <c r="O4" s="31"/>
      <c r="P4" s="31"/>
      <c r="Q4" s="30" t="s">
        <v>29</v>
      </c>
      <c r="R4" s="348">
        <f>'Bang TH nop'!B11</f>
        <v>0</v>
      </c>
      <c r="S4" s="31"/>
      <c r="T4" s="31"/>
      <c r="U4" s="31"/>
      <c r="V4" s="31"/>
      <c r="W4" s="350"/>
    </row>
    <row r="5" spans="1:24" ht="18.75" customHeight="1">
      <c r="A5" s="347" t="s">
        <v>30</v>
      </c>
      <c r="B5" s="31"/>
      <c r="C5" s="31"/>
      <c r="D5" s="31"/>
      <c r="E5" s="30" t="s">
        <v>29</v>
      </c>
      <c r="F5" s="348">
        <f>'Bang TH nop'!C9</f>
        <v>0</v>
      </c>
      <c r="G5" s="348"/>
      <c r="H5" s="348"/>
      <c r="I5" s="348"/>
      <c r="J5" s="348"/>
      <c r="K5" s="349"/>
      <c r="M5" s="347" t="s">
        <v>30</v>
      </c>
      <c r="N5" s="31"/>
      <c r="O5" s="31"/>
      <c r="P5" s="31"/>
      <c r="Q5" s="30" t="s">
        <v>29</v>
      </c>
      <c r="R5" s="348">
        <f>'Bang TH nop'!C11</f>
        <v>0</v>
      </c>
      <c r="S5" s="348"/>
      <c r="T5" s="348"/>
      <c r="U5" s="348"/>
      <c r="V5" s="348"/>
      <c r="W5" s="349"/>
    </row>
    <row r="6" spans="1:24" ht="18.75" customHeight="1">
      <c r="A6" s="347" t="s">
        <v>31</v>
      </c>
      <c r="B6" s="31"/>
      <c r="C6" s="31"/>
      <c r="D6" s="31"/>
      <c r="E6" s="30" t="s">
        <v>29</v>
      </c>
      <c r="F6" s="31" t="str">
        <f>+$L$2</f>
        <v xml:space="preserve">Tổ  </v>
      </c>
      <c r="G6" s="31"/>
      <c r="H6" s="31"/>
      <c r="I6" s="31"/>
      <c r="J6" s="31"/>
      <c r="K6" s="350"/>
      <c r="M6" s="347" t="s">
        <v>31</v>
      </c>
      <c r="N6" s="31"/>
      <c r="O6" s="31"/>
      <c r="P6" s="31"/>
      <c r="Q6" s="30" t="s">
        <v>29</v>
      </c>
      <c r="R6" s="31" t="str">
        <f>+$L$2</f>
        <v xml:space="preserve">Tổ  </v>
      </c>
      <c r="S6" s="31"/>
      <c r="T6" s="31"/>
      <c r="U6" s="31"/>
      <c r="V6" s="31"/>
      <c r="W6" s="350"/>
    </row>
    <row r="7" spans="1:24" ht="18.75" customHeight="1">
      <c r="A7" s="354" t="s">
        <v>32</v>
      </c>
      <c r="B7" s="355"/>
      <c r="C7" s="355"/>
      <c r="D7" s="355"/>
      <c r="E7" s="355"/>
      <c r="F7" s="355"/>
      <c r="G7" s="355"/>
      <c r="H7" s="355"/>
      <c r="I7" s="355"/>
      <c r="J7" s="355"/>
      <c r="K7" s="356"/>
      <c r="M7" s="354" t="s">
        <v>32</v>
      </c>
      <c r="N7" s="355"/>
      <c r="O7" s="355"/>
      <c r="P7" s="355"/>
      <c r="Q7" s="355"/>
      <c r="R7" s="355"/>
      <c r="S7" s="355"/>
      <c r="T7" s="355"/>
      <c r="U7" s="355"/>
      <c r="V7" s="355"/>
      <c r="W7" s="356"/>
    </row>
    <row r="8" spans="1:24" ht="18.75" customHeight="1">
      <c r="A8" s="347" t="s">
        <v>33</v>
      </c>
      <c r="B8" s="31"/>
      <c r="C8" s="31"/>
      <c r="D8" s="31"/>
      <c r="E8" s="30" t="s">
        <v>29</v>
      </c>
      <c r="F8" s="361">
        <f>VLOOKUP(F5,'Bang TH nop'!$C$9:$AP$266,29,0)</f>
        <v>0</v>
      </c>
      <c r="G8" s="361"/>
      <c r="H8" s="361"/>
      <c r="I8" s="361"/>
      <c r="J8" s="30" t="s">
        <v>34</v>
      </c>
      <c r="K8" s="32"/>
      <c r="M8" s="347" t="s">
        <v>33</v>
      </c>
      <c r="N8" s="31"/>
      <c r="O8" s="31"/>
      <c r="P8" s="31"/>
      <c r="Q8" s="30" t="s">
        <v>29</v>
      </c>
      <c r="R8" s="361">
        <f>VLOOKUP(R5,'Bang TH nop'!$C$9:$AP$266,29,0)</f>
        <v>0</v>
      </c>
      <c r="S8" s="361"/>
      <c r="T8" s="361"/>
      <c r="U8" s="361"/>
      <c r="V8" s="30" t="s">
        <v>34</v>
      </c>
      <c r="W8" s="32"/>
    </row>
    <row r="9" spans="1:24" ht="18.75" customHeight="1">
      <c r="A9" s="33" t="s">
        <v>35</v>
      </c>
      <c r="B9" s="30"/>
      <c r="C9" s="34"/>
      <c r="D9" s="35"/>
      <c r="E9" s="36"/>
      <c r="F9" s="36"/>
      <c r="G9" s="36"/>
      <c r="H9" s="30"/>
      <c r="I9" s="37" t="e">
        <f>#REF!</f>
        <v>#REF!</v>
      </c>
      <c r="J9" s="38"/>
      <c r="K9" s="39"/>
      <c r="M9" s="33" t="s">
        <v>35</v>
      </c>
      <c r="N9" s="30"/>
      <c r="O9" s="34"/>
      <c r="P9" s="35"/>
      <c r="Q9" s="36"/>
      <c r="R9" s="36"/>
      <c r="S9" s="36"/>
      <c r="T9" s="30"/>
      <c r="U9" s="37" t="e">
        <f>#REF!</f>
        <v>#REF!</v>
      </c>
      <c r="V9" s="38"/>
      <c r="W9" s="39"/>
    </row>
    <row r="10" spans="1:24" ht="18.75" customHeight="1">
      <c r="A10" s="33" t="s">
        <v>36</v>
      </c>
      <c r="B10" s="30"/>
      <c r="C10" s="34"/>
      <c r="D10" s="35"/>
      <c r="E10" s="36"/>
      <c r="F10" s="36"/>
      <c r="G10" s="36"/>
      <c r="H10" s="30"/>
      <c r="I10" s="37" t="e">
        <f>I11/C11/8</f>
        <v>#REF!</v>
      </c>
      <c r="J10" s="38"/>
      <c r="K10" s="39"/>
      <c r="M10" s="33" t="s">
        <v>36</v>
      </c>
      <c r="N10" s="30"/>
      <c r="O10" s="34"/>
      <c r="P10" s="35"/>
      <c r="Q10" s="36"/>
      <c r="R10" s="36"/>
      <c r="S10" s="36"/>
      <c r="T10" s="30"/>
      <c r="U10" s="37" t="e">
        <f>U11/O11/8</f>
        <v>#REF!</v>
      </c>
      <c r="V10" s="38"/>
      <c r="W10" s="39"/>
    </row>
    <row r="11" spans="1:24" ht="18.75" customHeight="1">
      <c r="A11" s="33" t="s">
        <v>37</v>
      </c>
      <c r="B11" s="30" t="s">
        <v>29</v>
      </c>
      <c r="C11" s="34" t="e">
        <f>#REF!</f>
        <v>#REF!</v>
      </c>
      <c r="D11" s="35" t="s">
        <v>38</v>
      </c>
      <c r="E11" s="359" t="s">
        <v>39</v>
      </c>
      <c r="F11" s="359"/>
      <c r="G11" s="359"/>
      <c r="H11" s="30" t="s">
        <v>29</v>
      </c>
      <c r="I11" s="360" t="e">
        <f>#REF!</f>
        <v>#REF!</v>
      </c>
      <c r="J11" s="360"/>
      <c r="K11" s="39" t="s">
        <v>34</v>
      </c>
      <c r="L11" s="40" t="e">
        <f>F8/L1*C11</f>
        <v>#REF!</v>
      </c>
      <c r="M11" s="33" t="s">
        <v>37</v>
      </c>
      <c r="N11" s="30" t="s">
        <v>29</v>
      </c>
      <c r="O11" s="34" t="e">
        <f>#REF!</f>
        <v>#REF!</v>
      </c>
      <c r="P11" s="35" t="s">
        <v>38</v>
      </c>
      <c r="Q11" s="359" t="s">
        <v>39</v>
      </c>
      <c r="R11" s="359"/>
      <c r="S11" s="359"/>
      <c r="T11" s="30" t="s">
        <v>29</v>
      </c>
      <c r="U11" s="360" t="e">
        <f>#REF!</f>
        <v>#REF!</v>
      </c>
      <c r="V11" s="360"/>
      <c r="W11" s="39" t="s">
        <v>34</v>
      </c>
      <c r="X11" s="40" t="e">
        <f>R8/X1*O11</f>
        <v>#REF!</v>
      </c>
    </row>
    <row r="12" spans="1:24" ht="18.75" customHeight="1">
      <c r="A12" s="33" t="s">
        <v>40</v>
      </c>
      <c r="B12" s="30" t="s">
        <v>29</v>
      </c>
      <c r="C12" s="34" t="e">
        <f>#REF!</f>
        <v>#REF!</v>
      </c>
      <c r="D12" s="35" t="s">
        <v>38</v>
      </c>
      <c r="E12" s="31" t="s">
        <v>41</v>
      </c>
      <c r="F12" s="31"/>
      <c r="G12" s="31"/>
      <c r="H12" s="30" t="s">
        <v>29</v>
      </c>
      <c r="I12" s="358" t="e">
        <f>$F$8/$L$1*C12</f>
        <v>#REF!</v>
      </c>
      <c r="J12" s="358"/>
      <c r="K12" s="39" t="s">
        <v>34</v>
      </c>
      <c r="L12" s="40"/>
      <c r="M12" s="33" t="s">
        <v>40</v>
      </c>
      <c r="N12" s="30" t="s">
        <v>29</v>
      </c>
      <c r="O12" s="34" t="e">
        <f>#REF!</f>
        <v>#REF!</v>
      </c>
      <c r="P12" s="35" t="s">
        <v>38</v>
      </c>
      <c r="Q12" s="31" t="s">
        <v>41</v>
      </c>
      <c r="R12" s="31"/>
      <c r="S12" s="31"/>
      <c r="T12" s="30" t="s">
        <v>29</v>
      </c>
      <c r="U12" s="358" t="e">
        <f>$F$8/$L$1*O12</f>
        <v>#REF!</v>
      </c>
      <c r="V12" s="358"/>
      <c r="W12" s="39" t="s">
        <v>34</v>
      </c>
      <c r="X12" s="40"/>
    </row>
    <row r="13" spans="1:24" ht="18.75" customHeight="1">
      <c r="A13" s="33" t="s">
        <v>42</v>
      </c>
      <c r="B13" s="30" t="s">
        <v>29</v>
      </c>
      <c r="C13" s="34" t="e">
        <f>#REF!</f>
        <v>#REF!</v>
      </c>
      <c r="D13" s="35" t="s">
        <v>38</v>
      </c>
      <c r="E13" s="357" t="s">
        <v>43</v>
      </c>
      <c r="F13" s="357"/>
      <c r="G13" s="357"/>
      <c r="H13" s="30" t="s">
        <v>29</v>
      </c>
      <c r="I13" s="358" t="e">
        <f>$F$8/$L$1*C13</f>
        <v>#REF!</v>
      </c>
      <c r="J13" s="358"/>
      <c r="K13" s="39" t="s">
        <v>34</v>
      </c>
      <c r="L13" s="40"/>
      <c r="M13" s="33" t="s">
        <v>42</v>
      </c>
      <c r="N13" s="30" t="s">
        <v>29</v>
      </c>
      <c r="O13" s="34" t="e">
        <f>#REF!</f>
        <v>#REF!</v>
      </c>
      <c r="P13" s="35" t="s">
        <v>38</v>
      </c>
      <c r="Q13" s="357" t="s">
        <v>43</v>
      </c>
      <c r="R13" s="357"/>
      <c r="S13" s="357"/>
      <c r="T13" s="30" t="s">
        <v>29</v>
      </c>
      <c r="U13" s="358" t="e">
        <f>$F$8/$L$1*O13</f>
        <v>#REF!</v>
      </c>
      <c r="V13" s="358"/>
      <c r="W13" s="39" t="s">
        <v>34</v>
      </c>
      <c r="X13" s="40"/>
    </row>
    <row r="14" spans="1:24" ht="18.75" customHeight="1">
      <c r="A14" s="33" t="s">
        <v>44</v>
      </c>
      <c r="B14" s="30" t="s">
        <v>29</v>
      </c>
      <c r="C14" s="34" t="e">
        <f>#REF!</f>
        <v>#REF!</v>
      </c>
      <c r="D14" s="35" t="s">
        <v>38</v>
      </c>
      <c r="E14" s="357" t="s">
        <v>45</v>
      </c>
      <c r="F14" s="357"/>
      <c r="G14" s="357"/>
      <c r="H14" s="30" t="s">
        <v>29</v>
      </c>
      <c r="I14" s="358" t="e">
        <f>$F$8/$L$1*C14</f>
        <v>#REF!</v>
      </c>
      <c r="J14" s="358"/>
      <c r="K14" s="39" t="s">
        <v>34</v>
      </c>
      <c r="L14" s="40"/>
      <c r="M14" s="33" t="s">
        <v>44</v>
      </c>
      <c r="N14" s="30" t="s">
        <v>29</v>
      </c>
      <c r="O14" s="34" t="e">
        <f>#REF!</f>
        <v>#REF!</v>
      </c>
      <c r="P14" s="35" t="s">
        <v>38</v>
      </c>
      <c r="Q14" s="357" t="s">
        <v>45</v>
      </c>
      <c r="R14" s="357"/>
      <c r="S14" s="357"/>
      <c r="T14" s="30" t="s">
        <v>29</v>
      </c>
      <c r="U14" s="358" t="e">
        <f>$F$8/$L$1*O14</f>
        <v>#REF!</v>
      </c>
      <c r="V14" s="358"/>
      <c r="W14" s="39" t="s">
        <v>34</v>
      </c>
      <c r="X14" s="40"/>
    </row>
    <row r="15" spans="1:24" ht="18.75" customHeight="1">
      <c r="A15" s="33" t="s">
        <v>46</v>
      </c>
      <c r="B15" s="30" t="s">
        <v>29</v>
      </c>
      <c r="C15" s="34" t="e">
        <f>#REF!</f>
        <v>#REF!</v>
      </c>
      <c r="D15" s="35" t="s">
        <v>47</v>
      </c>
      <c r="E15" s="31" t="s">
        <v>48</v>
      </c>
      <c r="F15" s="31"/>
      <c r="G15" s="31"/>
      <c r="H15" s="30" t="s">
        <v>29</v>
      </c>
      <c r="I15" s="358" t="e">
        <f>#REF!</f>
        <v>#REF!</v>
      </c>
      <c r="J15" s="358"/>
      <c r="K15" s="39" t="s">
        <v>34</v>
      </c>
      <c r="L15" s="40" t="e">
        <f>F8*C15/L1/8*1.5</f>
        <v>#REF!</v>
      </c>
      <c r="M15" s="33" t="s">
        <v>46</v>
      </c>
      <c r="N15" s="30" t="s">
        <v>29</v>
      </c>
      <c r="O15" s="34" t="e">
        <f>#REF!</f>
        <v>#REF!</v>
      </c>
      <c r="P15" s="35" t="s">
        <v>47</v>
      </c>
      <c r="Q15" s="31" t="s">
        <v>48</v>
      </c>
      <c r="R15" s="31"/>
      <c r="S15" s="31"/>
      <c r="T15" s="30" t="s">
        <v>29</v>
      </c>
      <c r="U15" s="358" t="e">
        <f>#REF!</f>
        <v>#REF!</v>
      </c>
      <c r="V15" s="358"/>
      <c r="W15" s="39" t="s">
        <v>34</v>
      </c>
      <c r="X15" s="40" t="e">
        <f>R8*O15/X1/8*1.5</f>
        <v>#REF!</v>
      </c>
    </row>
    <row r="16" spans="1:24" ht="18.75" customHeight="1">
      <c r="A16" s="347" t="s">
        <v>158</v>
      </c>
      <c r="B16" s="31"/>
      <c r="C16" s="34"/>
      <c r="D16" s="35" t="s">
        <v>38</v>
      </c>
      <c r="E16" s="31" t="s">
        <v>159</v>
      </c>
      <c r="F16" s="31"/>
      <c r="G16" s="31"/>
      <c r="H16" s="41" t="s">
        <v>29</v>
      </c>
      <c r="I16" s="358"/>
      <c r="J16" s="358"/>
      <c r="K16" s="39" t="s">
        <v>34</v>
      </c>
      <c r="L16" s="40"/>
      <c r="M16" s="347" t="s">
        <v>158</v>
      </c>
      <c r="N16" s="31"/>
      <c r="O16" s="34"/>
      <c r="P16" s="35" t="s">
        <v>38</v>
      </c>
      <c r="Q16" s="31" t="s">
        <v>159</v>
      </c>
      <c r="R16" s="31"/>
      <c r="S16" s="31"/>
      <c r="T16" s="41" t="s">
        <v>29</v>
      </c>
      <c r="U16" s="358"/>
      <c r="V16" s="358"/>
      <c r="W16" s="39" t="s">
        <v>34</v>
      </c>
      <c r="X16" s="40"/>
    </row>
    <row r="17" spans="1:24" ht="18.75" customHeight="1">
      <c r="A17" s="33" t="s">
        <v>51</v>
      </c>
      <c r="B17" s="30" t="s">
        <v>29</v>
      </c>
      <c r="C17" s="34"/>
      <c r="D17" s="35" t="s">
        <v>38</v>
      </c>
      <c r="E17" s="31" t="s">
        <v>52</v>
      </c>
      <c r="F17" s="31"/>
      <c r="G17" s="31"/>
      <c r="H17" s="30" t="s">
        <v>29</v>
      </c>
      <c r="I17" s="358"/>
      <c r="J17" s="358"/>
      <c r="K17" s="39" t="s">
        <v>34</v>
      </c>
      <c r="L17" s="40"/>
      <c r="M17" s="33" t="s">
        <v>51</v>
      </c>
      <c r="N17" s="30" t="s">
        <v>29</v>
      </c>
      <c r="O17" s="34"/>
      <c r="P17" s="35" t="s">
        <v>38</v>
      </c>
      <c r="Q17" s="31" t="s">
        <v>52</v>
      </c>
      <c r="R17" s="31"/>
      <c r="S17" s="31"/>
      <c r="T17" s="30" t="s">
        <v>29</v>
      </c>
      <c r="U17" s="358"/>
      <c r="V17" s="358"/>
      <c r="W17" s="39" t="s">
        <v>34</v>
      </c>
      <c r="X17" s="40"/>
    </row>
    <row r="18" spans="1:24" ht="18.75" customHeight="1">
      <c r="A18" s="42" t="s">
        <v>53</v>
      </c>
      <c r="B18" s="30"/>
      <c r="C18" s="34" t="e">
        <f>#REF!</f>
        <v>#REF!</v>
      </c>
      <c r="D18" s="35" t="s">
        <v>47</v>
      </c>
      <c r="E18" s="31" t="s">
        <v>54</v>
      </c>
      <c r="F18" s="31"/>
      <c r="G18" s="31"/>
      <c r="H18" s="30" t="s">
        <v>29</v>
      </c>
      <c r="I18" s="358" t="e">
        <f>$F$8*C18/8/$L$1</f>
        <v>#REF!</v>
      </c>
      <c r="J18" s="358"/>
      <c r="K18" s="39" t="s">
        <v>34</v>
      </c>
      <c r="L18" s="40"/>
      <c r="M18" s="42" t="s">
        <v>53</v>
      </c>
      <c r="N18" s="30"/>
      <c r="O18" s="34" t="e">
        <f>#REF!</f>
        <v>#REF!</v>
      </c>
      <c r="P18" s="35" t="s">
        <v>47</v>
      </c>
      <c r="Q18" s="31" t="s">
        <v>54</v>
      </c>
      <c r="R18" s="31"/>
      <c r="S18" s="31"/>
      <c r="T18" s="30" t="s">
        <v>29</v>
      </c>
      <c r="U18" s="358" t="e">
        <f>$F$8*O18/8/$L$1</f>
        <v>#REF!</v>
      </c>
      <c r="V18" s="358"/>
      <c r="W18" s="39" t="s">
        <v>34</v>
      </c>
      <c r="X18" s="40"/>
    </row>
    <row r="19" spans="1:24" ht="18.75" customHeight="1">
      <c r="A19" s="33" t="s">
        <v>155</v>
      </c>
      <c r="B19" s="30" t="s">
        <v>29</v>
      </c>
      <c r="C19" s="34"/>
      <c r="D19" s="35" t="s">
        <v>47</v>
      </c>
      <c r="E19" s="31" t="s">
        <v>61</v>
      </c>
      <c r="F19" s="31"/>
      <c r="G19" s="31"/>
      <c r="H19" s="30" t="s">
        <v>29</v>
      </c>
      <c r="I19" s="360"/>
      <c r="J19" s="360"/>
      <c r="K19" s="39" t="s">
        <v>34</v>
      </c>
      <c r="L19" s="40"/>
      <c r="M19" s="33" t="s">
        <v>155</v>
      </c>
      <c r="N19" s="30" t="s">
        <v>29</v>
      </c>
      <c r="O19" s="34"/>
      <c r="P19" s="35" t="s">
        <v>47</v>
      </c>
      <c r="Q19" s="31" t="s">
        <v>61</v>
      </c>
      <c r="R19" s="31"/>
      <c r="S19" s="31"/>
      <c r="T19" s="30" t="s">
        <v>29</v>
      </c>
      <c r="U19" s="360"/>
      <c r="V19" s="360"/>
      <c r="W19" s="39" t="s">
        <v>34</v>
      </c>
      <c r="X19" s="40"/>
    </row>
    <row r="20" spans="1:24" ht="18.75" customHeight="1">
      <c r="A20" s="33" t="s">
        <v>57</v>
      </c>
      <c r="B20" s="30" t="s">
        <v>29</v>
      </c>
      <c r="C20" s="34"/>
      <c r="D20" s="35" t="s">
        <v>58</v>
      </c>
      <c r="E20" s="31" t="s">
        <v>59</v>
      </c>
      <c r="F20" s="31"/>
      <c r="G20" s="31"/>
      <c r="H20" s="30" t="s">
        <v>29</v>
      </c>
      <c r="I20" s="358"/>
      <c r="J20" s="358"/>
      <c r="K20" s="39" t="s">
        <v>34</v>
      </c>
      <c r="L20" s="40" t="e">
        <f>+IF(L11-I11&lt;0,0,L11-I11)+IF(L15-I15&lt;0,0,L15-I15)</f>
        <v>#REF!</v>
      </c>
      <c r="M20" s="33" t="s">
        <v>57</v>
      </c>
      <c r="N20" s="30" t="s">
        <v>29</v>
      </c>
      <c r="O20" s="34"/>
      <c r="P20" s="35" t="s">
        <v>58</v>
      </c>
      <c r="Q20" s="31" t="s">
        <v>59</v>
      </c>
      <c r="R20" s="31"/>
      <c r="S20" s="31"/>
      <c r="T20" s="30" t="s">
        <v>29</v>
      </c>
      <c r="U20" s="358"/>
      <c r="V20" s="358"/>
      <c r="W20" s="39" t="s">
        <v>34</v>
      </c>
      <c r="X20" s="40" t="e">
        <f>+IF(X11-U11&lt;0,0,X11-U11)+IF(X15-U15&lt;0,0,X15-U15)</f>
        <v>#REF!</v>
      </c>
    </row>
    <row r="21" spans="1:24" ht="18.75" customHeight="1">
      <c r="A21" s="43" t="s">
        <v>152</v>
      </c>
      <c r="B21" s="44"/>
      <c r="C21" s="34"/>
      <c r="D21" s="35" t="s">
        <v>38</v>
      </c>
      <c r="E21" s="31" t="s">
        <v>153</v>
      </c>
      <c r="F21" s="31"/>
      <c r="G21" s="31"/>
      <c r="H21" s="30" t="s">
        <v>29</v>
      </c>
      <c r="I21" s="358"/>
      <c r="J21" s="358"/>
      <c r="K21" s="39" t="s">
        <v>34</v>
      </c>
      <c r="L21" s="40"/>
      <c r="M21" s="43" t="s">
        <v>152</v>
      </c>
      <c r="N21" s="44"/>
      <c r="O21" s="34"/>
      <c r="P21" s="35" t="s">
        <v>38</v>
      </c>
      <c r="Q21" s="31" t="s">
        <v>153</v>
      </c>
      <c r="R21" s="31"/>
      <c r="S21" s="31"/>
      <c r="T21" s="30" t="s">
        <v>29</v>
      </c>
      <c r="U21" s="358"/>
      <c r="V21" s="358"/>
      <c r="W21" s="39" t="s">
        <v>34</v>
      </c>
      <c r="X21" s="40"/>
    </row>
    <row r="22" spans="1:24" ht="18.75" customHeight="1">
      <c r="A22" s="366" t="s">
        <v>154</v>
      </c>
      <c r="B22" s="367"/>
      <c r="C22" s="34"/>
      <c r="D22" s="35"/>
      <c r="E22" s="36"/>
      <c r="F22" s="36"/>
      <c r="G22" s="36"/>
      <c r="H22" s="30" t="s">
        <v>29</v>
      </c>
      <c r="I22" s="358" t="e">
        <f>#REF!</f>
        <v>#REF!</v>
      </c>
      <c r="J22" s="358"/>
      <c r="K22" s="39" t="s">
        <v>34</v>
      </c>
      <c r="L22" s="40"/>
      <c r="M22" s="366" t="s">
        <v>154</v>
      </c>
      <c r="N22" s="367"/>
      <c r="O22" s="34"/>
      <c r="P22" s="35"/>
      <c r="Q22" s="36"/>
      <c r="R22" s="36"/>
      <c r="S22" s="36"/>
      <c r="T22" s="30" t="s">
        <v>29</v>
      </c>
      <c r="U22" s="358" t="e">
        <f>#REF!</f>
        <v>#REF!</v>
      </c>
      <c r="V22" s="358"/>
      <c r="W22" s="39" t="s">
        <v>34</v>
      </c>
      <c r="X22" s="40"/>
    </row>
    <row r="23" spans="1:24" ht="18.75" customHeight="1">
      <c r="A23" s="33" t="s">
        <v>63</v>
      </c>
      <c r="B23" s="30" t="s">
        <v>29</v>
      </c>
      <c r="C23" s="34"/>
      <c r="D23" s="35"/>
      <c r="E23" s="36" t="s">
        <v>64</v>
      </c>
      <c r="F23" s="36"/>
      <c r="G23" s="36"/>
      <c r="H23" s="30" t="s">
        <v>29</v>
      </c>
      <c r="I23" s="358" t="e">
        <f>L20</f>
        <v>#REF!</v>
      </c>
      <c r="J23" s="358"/>
      <c r="K23" s="39" t="s">
        <v>34</v>
      </c>
      <c r="L23" s="40"/>
      <c r="M23" s="33" t="s">
        <v>63</v>
      </c>
      <c r="N23" s="30" t="s">
        <v>29</v>
      </c>
      <c r="O23" s="34"/>
      <c r="P23" s="35"/>
      <c r="Q23" s="36" t="s">
        <v>64</v>
      </c>
      <c r="R23" s="36"/>
      <c r="S23" s="36"/>
      <c r="T23" s="30" t="s">
        <v>29</v>
      </c>
      <c r="U23" s="358" t="e">
        <f>X20</f>
        <v>#REF!</v>
      </c>
      <c r="V23" s="358"/>
      <c r="W23" s="39" t="s">
        <v>34</v>
      </c>
      <c r="X23" s="40"/>
    </row>
    <row r="24" spans="1:24" ht="18.75" customHeight="1">
      <c r="A24" s="362" t="s">
        <v>65</v>
      </c>
      <c r="B24" s="363"/>
      <c r="C24" s="363"/>
      <c r="D24" s="363"/>
      <c r="E24" s="363"/>
      <c r="F24" s="363"/>
      <c r="G24" s="30" t="s">
        <v>29</v>
      </c>
      <c r="H24" s="364" t="e">
        <f>I11+I12+I13+I14+I15+I18+I22+I23+I16+I17+I19+I20+I21+C22</f>
        <v>#REF!</v>
      </c>
      <c r="I24" s="365"/>
      <c r="J24" s="365"/>
      <c r="K24" s="39" t="s">
        <v>34</v>
      </c>
      <c r="M24" s="362" t="s">
        <v>65</v>
      </c>
      <c r="N24" s="363"/>
      <c r="O24" s="363"/>
      <c r="P24" s="363"/>
      <c r="Q24" s="363"/>
      <c r="R24" s="363"/>
      <c r="S24" s="30" t="s">
        <v>29</v>
      </c>
      <c r="T24" s="364" t="e">
        <f>U11+U12+U13+U14+U15+U18+U22+U23+U16+U17+U19+U20+U21+O22</f>
        <v>#REF!</v>
      </c>
      <c r="U24" s="365"/>
      <c r="V24" s="365"/>
      <c r="W24" s="39" t="s">
        <v>34</v>
      </c>
    </row>
    <row r="25" spans="1:24" ht="18.75" customHeight="1">
      <c r="A25" s="45"/>
      <c r="B25" s="46"/>
      <c r="C25" s="46"/>
      <c r="D25" s="46"/>
      <c r="E25" s="46"/>
      <c r="F25" s="46"/>
      <c r="G25" s="46"/>
      <c r="H25" s="46"/>
      <c r="I25" s="46"/>
      <c r="J25" s="46"/>
      <c r="K25" s="47"/>
      <c r="M25" s="45"/>
      <c r="N25" s="46"/>
      <c r="O25" s="46"/>
      <c r="P25" s="46"/>
      <c r="Q25" s="46"/>
      <c r="R25" s="46"/>
      <c r="S25" s="46"/>
      <c r="T25" s="46"/>
      <c r="U25" s="46"/>
      <c r="V25" s="46"/>
      <c r="W25" s="47"/>
    </row>
    <row r="26" spans="1:24" ht="18.75" customHeight="1">
      <c r="A26" s="374" t="s">
        <v>66</v>
      </c>
      <c r="B26" s="375"/>
      <c r="C26" s="375"/>
      <c r="D26" s="375"/>
      <c r="E26" s="375"/>
      <c r="F26" s="375"/>
      <c r="G26" s="30"/>
      <c r="H26" s="30"/>
      <c r="I26" s="30"/>
      <c r="J26" s="30"/>
      <c r="K26" s="39"/>
      <c r="M26" s="374" t="s">
        <v>66</v>
      </c>
      <c r="N26" s="375"/>
      <c r="O26" s="375"/>
      <c r="P26" s="375"/>
      <c r="Q26" s="375"/>
      <c r="R26" s="375"/>
      <c r="S26" s="30"/>
      <c r="T26" s="30"/>
      <c r="U26" s="30"/>
      <c r="V26" s="30"/>
      <c r="W26" s="39"/>
    </row>
    <row r="27" spans="1:24" ht="18.75" customHeight="1">
      <c r="A27" s="368" t="s">
        <v>67</v>
      </c>
      <c r="B27" s="369"/>
      <c r="C27" s="369"/>
      <c r="D27" s="369"/>
      <c r="E27" s="369"/>
      <c r="F27" s="369"/>
      <c r="G27" s="30" t="s">
        <v>29</v>
      </c>
      <c r="H27" s="376" t="e">
        <f>IF(($L$1-(C11+C12+C13+C14))&gt;12,0,F8*8%)</f>
        <v>#REF!</v>
      </c>
      <c r="I27" s="376"/>
      <c r="J27" s="376"/>
      <c r="K27" s="39" t="s">
        <v>34</v>
      </c>
      <c r="M27" s="368" t="s">
        <v>67</v>
      </c>
      <c r="N27" s="369"/>
      <c r="O27" s="369"/>
      <c r="P27" s="369"/>
      <c r="Q27" s="369"/>
      <c r="R27" s="369"/>
      <c r="S27" s="30" t="s">
        <v>29</v>
      </c>
      <c r="T27" s="376" t="e">
        <f>IF(($L$1-(O11+O12+O13+O14))&gt;12,0,R8*8%)</f>
        <v>#REF!</v>
      </c>
      <c r="U27" s="376"/>
      <c r="V27" s="376"/>
      <c r="W27" s="39" t="s">
        <v>34</v>
      </c>
    </row>
    <row r="28" spans="1:24" ht="18.75" customHeight="1">
      <c r="A28" s="368" t="s">
        <v>68</v>
      </c>
      <c r="B28" s="369"/>
      <c r="C28" s="369"/>
      <c r="D28" s="369"/>
      <c r="E28" s="369"/>
      <c r="F28" s="369"/>
      <c r="G28" s="30" t="s">
        <v>29</v>
      </c>
      <c r="H28" s="370" t="e">
        <f>IF(($L$1-(C11+C12+C13+C14))&gt;12,0,F8*1.5%)</f>
        <v>#REF!</v>
      </c>
      <c r="I28" s="370"/>
      <c r="J28" s="370"/>
      <c r="K28" s="39" t="s">
        <v>34</v>
      </c>
      <c r="M28" s="368" t="s">
        <v>68</v>
      </c>
      <c r="N28" s="369"/>
      <c r="O28" s="369"/>
      <c r="P28" s="369"/>
      <c r="Q28" s="369"/>
      <c r="R28" s="369"/>
      <c r="S28" s="30" t="s">
        <v>29</v>
      </c>
      <c r="T28" s="370" t="e">
        <f>IF(($L$1-(O11+O12+O13+O14))&gt;12,0,R8*1.5%)</f>
        <v>#REF!</v>
      </c>
      <c r="U28" s="370"/>
      <c r="V28" s="370"/>
      <c r="W28" s="39" t="s">
        <v>34</v>
      </c>
    </row>
    <row r="29" spans="1:24" ht="18.75" customHeight="1">
      <c r="A29" s="368" t="s">
        <v>69</v>
      </c>
      <c r="B29" s="369"/>
      <c r="C29" s="369"/>
      <c r="D29" s="369"/>
      <c r="E29" s="369"/>
      <c r="F29" s="369"/>
      <c r="G29" s="30" t="s">
        <v>29</v>
      </c>
      <c r="H29" s="370" t="e">
        <f>IF(($L$1-(C11+C12+C13+C14))&gt;12,0,F8*1%)</f>
        <v>#REF!</v>
      </c>
      <c r="I29" s="370"/>
      <c r="J29" s="370"/>
      <c r="K29" s="39" t="s">
        <v>34</v>
      </c>
      <c r="M29" s="368" t="s">
        <v>69</v>
      </c>
      <c r="N29" s="369"/>
      <c r="O29" s="369"/>
      <c r="P29" s="369"/>
      <c r="Q29" s="369"/>
      <c r="R29" s="369"/>
      <c r="S29" s="30" t="s">
        <v>29</v>
      </c>
      <c r="T29" s="370" t="e">
        <f>IF(($L$1-(O11+O12+O13+O14))&gt;12,0,R8*1%)</f>
        <v>#REF!</v>
      </c>
      <c r="U29" s="370"/>
      <c r="V29" s="370"/>
      <c r="W29" s="39" t="s">
        <v>34</v>
      </c>
    </row>
    <row r="30" spans="1:24" ht="18.75" customHeight="1">
      <c r="A30" s="368" t="s">
        <v>70</v>
      </c>
      <c r="B30" s="369"/>
      <c r="C30" s="369"/>
      <c r="D30" s="369"/>
      <c r="E30" s="369"/>
      <c r="F30" s="369"/>
      <c r="G30" s="30" t="s">
        <v>29</v>
      </c>
      <c r="H30" s="370">
        <v>0</v>
      </c>
      <c r="I30" s="370"/>
      <c r="J30" s="370"/>
      <c r="K30" s="39" t="s">
        <v>34</v>
      </c>
      <c r="M30" s="368" t="s">
        <v>70</v>
      </c>
      <c r="N30" s="369"/>
      <c r="O30" s="369"/>
      <c r="P30" s="369"/>
      <c r="Q30" s="369"/>
      <c r="R30" s="369"/>
      <c r="S30" s="30" t="s">
        <v>29</v>
      </c>
      <c r="T30" s="370">
        <v>0</v>
      </c>
      <c r="U30" s="370"/>
      <c r="V30" s="370"/>
      <c r="W30" s="39" t="s">
        <v>34</v>
      </c>
    </row>
    <row r="31" spans="1:24" ht="18.75" customHeight="1">
      <c r="A31" s="371" t="s">
        <v>71</v>
      </c>
      <c r="B31" s="372"/>
      <c r="C31" s="372"/>
      <c r="D31" s="372"/>
      <c r="E31" s="372"/>
      <c r="F31" s="372"/>
      <c r="G31" s="30" t="s">
        <v>29</v>
      </c>
      <c r="H31" s="373" t="e">
        <f>SUM(H27:J30)</f>
        <v>#REF!</v>
      </c>
      <c r="I31" s="373"/>
      <c r="J31" s="373"/>
      <c r="K31" s="39" t="s">
        <v>34</v>
      </c>
      <c r="M31" s="371" t="s">
        <v>71</v>
      </c>
      <c r="N31" s="372"/>
      <c r="O31" s="372"/>
      <c r="P31" s="372"/>
      <c r="Q31" s="372"/>
      <c r="R31" s="372"/>
      <c r="S31" s="30" t="s">
        <v>29</v>
      </c>
      <c r="T31" s="373" t="e">
        <f>SUM(T27:V30)</f>
        <v>#REF!</v>
      </c>
      <c r="U31" s="373"/>
      <c r="V31" s="373"/>
      <c r="W31" s="39" t="s">
        <v>34</v>
      </c>
    </row>
    <row r="32" spans="1:24" ht="18.75" customHeight="1">
      <c r="A32" s="368" t="s">
        <v>72</v>
      </c>
      <c r="B32" s="369"/>
      <c r="C32" s="369"/>
      <c r="D32" s="369"/>
      <c r="E32" s="369"/>
      <c r="F32" s="369"/>
      <c r="G32" s="30" t="s">
        <v>29</v>
      </c>
      <c r="H32" s="381" t="e">
        <f>ROUND(H24-H31,-2)</f>
        <v>#REF!</v>
      </c>
      <c r="I32" s="381"/>
      <c r="J32" s="381"/>
      <c r="K32" s="39" t="s">
        <v>34</v>
      </c>
      <c r="M32" s="368" t="s">
        <v>72</v>
      </c>
      <c r="N32" s="369"/>
      <c r="O32" s="369"/>
      <c r="P32" s="369"/>
      <c r="Q32" s="369"/>
      <c r="R32" s="369"/>
      <c r="S32" s="30" t="s">
        <v>29</v>
      </c>
      <c r="T32" s="381" t="e">
        <f>ROUND(T24-T31,-2)</f>
        <v>#REF!</v>
      </c>
      <c r="U32" s="381"/>
      <c r="V32" s="381"/>
      <c r="W32" s="39" t="s">
        <v>34</v>
      </c>
    </row>
    <row r="33" spans="1:24" ht="18.75" customHeight="1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50"/>
      <c r="M33" s="48"/>
      <c r="N33" s="49"/>
      <c r="O33" s="49"/>
      <c r="P33" s="49"/>
      <c r="Q33" s="49"/>
      <c r="R33" s="49"/>
      <c r="S33" s="49"/>
      <c r="T33" s="49"/>
      <c r="U33" s="49"/>
      <c r="V33" s="49"/>
      <c r="W33" s="50"/>
    </row>
    <row r="34" spans="1:24" ht="18.75" customHeight="1">
      <c r="A34" s="51"/>
      <c r="B34" s="30"/>
      <c r="C34" s="30"/>
      <c r="D34" s="30"/>
      <c r="E34" s="30"/>
      <c r="F34" s="30"/>
      <c r="G34" s="30"/>
      <c r="H34" s="30"/>
      <c r="I34" s="378" t="s">
        <v>73</v>
      </c>
      <c r="J34" s="378"/>
      <c r="K34" s="382"/>
      <c r="M34" s="51"/>
      <c r="N34" s="30"/>
      <c r="O34" s="30"/>
      <c r="P34" s="30"/>
      <c r="Q34" s="30"/>
      <c r="R34" s="30"/>
      <c r="S34" s="30"/>
      <c r="T34" s="30"/>
      <c r="U34" s="378" t="s">
        <v>73</v>
      </c>
      <c r="V34" s="378"/>
      <c r="W34" s="382"/>
    </row>
    <row r="35" spans="1:24" ht="18.75" customHeight="1">
      <c r="A35" s="51"/>
      <c r="B35" s="377"/>
      <c r="C35" s="378"/>
      <c r="D35" s="378"/>
      <c r="E35" s="378"/>
      <c r="F35" s="30"/>
      <c r="G35" s="30"/>
      <c r="H35" s="30"/>
      <c r="I35" s="30"/>
      <c r="J35" s="30"/>
      <c r="K35" s="32"/>
      <c r="M35" s="51"/>
      <c r="N35" s="377"/>
      <c r="O35" s="378"/>
      <c r="P35" s="378"/>
      <c r="Q35" s="378"/>
      <c r="R35" s="30"/>
      <c r="S35" s="30"/>
      <c r="T35" s="30"/>
      <c r="U35" s="30"/>
      <c r="V35" s="30"/>
      <c r="W35" s="32"/>
    </row>
    <row r="36" spans="1:24" ht="18.75" customHeight="1" thickBot="1">
      <c r="A36" s="53"/>
      <c r="B36" s="54"/>
      <c r="C36" s="54"/>
      <c r="D36" s="54"/>
      <c r="E36" s="54"/>
      <c r="F36" s="54"/>
      <c r="G36" s="54"/>
      <c r="H36" s="54"/>
      <c r="I36" s="379" t="s">
        <v>74</v>
      </c>
      <c r="J36" s="379"/>
      <c r="K36" s="380"/>
      <c r="M36" s="53"/>
      <c r="N36" s="54"/>
      <c r="O36" s="54"/>
      <c r="P36" s="54"/>
      <c r="Q36" s="54"/>
      <c r="R36" s="54"/>
      <c r="S36" s="54"/>
      <c r="T36" s="54"/>
      <c r="U36" s="379" t="s">
        <v>74</v>
      </c>
      <c r="V36" s="379"/>
      <c r="W36" s="380"/>
    </row>
    <row r="37" spans="1:24" ht="18.75" customHeight="1" thickTop="1"/>
    <row r="38" spans="1:24" ht="18.75" customHeight="1" thickBot="1"/>
    <row r="39" spans="1:24" ht="18.75" customHeight="1" thickTop="1">
      <c r="A39" s="351" t="s">
        <v>160</v>
      </c>
      <c r="B39" s="352"/>
      <c r="C39" s="352"/>
      <c r="D39" s="352"/>
      <c r="E39" s="352"/>
      <c r="F39" s="352"/>
      <c r="G39" s="352"/>
      <c r="H39" s="352"/>
      <c r="I39" s="352"/>
      <c r="J39" s="352"/>
      <c r="K39" s="353"/>
      <c r="L39" s="26">
        <v>26</v>
      </c>
      <c r="M39" s="351" t="s">
        <v>160</v>
      </c>
      <c r="N39" s="352"/>
      <c r="O39" s="352"/>
      <c r="P39" s="352"/>
      <c r="Q39" s="352"/>
      <c r="R39" s="352"/>
      <c r="S39" s="352"/>
      <c r="T39" s="352"/>
      <c r="U39" s="352"/>
      <c r="V39" s="352"/>
      <c r="W39" s="353"/>
      <c r="X39" s="26">
        <v>26</v>
      </c>
    </row>
    <row r="40" spans="1:24" ht="18.75" customHeight="1">
      <c r="A40" s="27" t="s">
        <v>77</v>
      </c>
      <c r="B40" s="28"/>
      <c r="C40" s="28"/>
      <c r="D40" s="28"/>
      <c r="E40" s="28"/>
      <c r="F40" s="28"/>
      <c r="G40" s="28"/>
      <c r="H40" s="28"/>
      <c r="I40" s="28"/>
      <c r="J40" s="28"/>
      <c r="K40" s="29"/>
      <c r="M40" s="27" t="s">
        <v>78</v>
      </c>
      <c r="N40" s="28"/>
      <c r="O40" s="28"/>
      <c r="P40" s="28"/>
      <c r="Q40" s="28"/>
      <c r="R40" s="28"/>
      <c r="S40" s="28"/>
      <c r="T40" s="28"/>
      <c r="U40" s="28"/>
      <c r="V40" s="28"/>
      <c r="W40" s="29"/>
    </row>
    <row r="41" spans="1:24" ht="18.75" customHeight="1">
      <c r="A41" s="354" t="s">
        <v>27</v>
      </c>
      <c r="B41" s="355"/>
      <c r="C41" s="355"/>
      <c r="D41" s="355"/>
      <c r="E41" s="355"/>
      <c r="F41" s="355"/>
      <c r="G41" s="355"/>
      <c r="H41" s="355"/>
      <c r="I41" s="355"/>
      <c r="J41" s="355"/>
      <c r="K41" s="356"/>
      <c r="M41" s="354" t="s">
        <v>27</v>
      </c>
      <c r="N41" s="355"/>
      <c r="O41" s="355"/>
      <c r="P41" s="355"/>
      <c r="Q41" s="355"/>
      <c r="R41" s="355"/>
      <c r="S41" s="355"/>
      <c r="T41" s="355"/>
      <c r="U41" s="355"/>
      <c r="V41" s="355"/>
      <c r="W41" s="356"/>
    </row>
    <row r="42" spans="1:24" ht="18.75" customHeight="1">
      <c r="A42" s="347" t="s">
        <v>28</v>
      </c>
      <c r="B42" s="31"/>
      <c r="C42" s="31"/>
      <c r="D42" s="31"/>
      <c r="E42" s="30" t="s">
        <v>29</v>
      </c>
      <c r="F42" s="348">
        <f>'Bang TH nop'!B13</f>
        <v>0</v>
      </c>
      <c r="G42" s="31"/>
      <c r="H42" s="31"/>
      <c r="I42" s="31"/>
      <c r="J42" s="31"/>
      <c r="K42" s="350"/>
      <c r="M42" s="347" t="s">
        <v>28</v>
      </c>
      <c r="N42" s="31"/>
      <c r="O42" s="31"/>
      <c r="P42" s="31"/>
      <c r="Q42" s="30" t="s">
        <v>29</v>
      </c>
      <c r="R42" s="348">
        <f>'Bang TH nop'!B15</f>
        <v>0</v>
      </c>
      <c r="S42" s="31"/>
      <c r="T42" s="31"/>
      <c r="U42" s="31"/>
      <c r="V42" s="31"/>
      <c r="W42" s="350"/>
    </row>
    <row r="43" spans="1:24" ht="18.75" customHeight="1">
      <c r="A43" s="347" t="s">
        <v>30</v>
      </c>
      <c r="B43" s="31"/>
      <c r="C43" s="31"/>
      <c r="D43" s="31"/>
      <c r="E43" s="30" t="s">
        <v>29</v>
      </c>
      <c r="F43" s="348">
        <f>'Bang TH nop'!C13</f>
        <v>0</v>
      </c>
      <c r="G43" s="348"/>
      <c r="H43" s="348"/>
      <c r="I43" s="348"/>
      <c r="J43" s="348"/>
      <c r="K43" s="349"/>
      <c r="M43" s="347" t="s">
        <v>30</v>
      </c>
      <c r="N43" s="31"/>
      <c r="O43" s="31"/>
      <c r="P43" s="31"/>
      <c r="Q43" s="30" t="s">
        <v>29</v>
      </c>
      <c r="R43" s="348">
        <f>'Bang TH nop'!C15</f>
        <v>0</v>
      </c>
      <c r="S43" s="348"/>
      <c r="T43" s="348"/>
      <c r="U43" s="348"/>
      <c r="V43" s="348"/>
      <c r="W43" s="349"/>
    </row>
    <row r="44" spans="1:24" ht="18.75" customHeight="1">
      <c r="A44" s="347" t="s">
        <v>31</v>
      </c>
      <c r="B44" s="31"/>
      <c r="C44" s="31"/>
      <c r="D44" s="31"/>
      <c r="E44" s="30" t="s">
        <v>29</v>
      </c>
      <c r="F44" s="31" t="str">
        <f>+$L$2</f>
        <v xml:space="preserve">Tổ  </v>
      </c>
      <c r="G44" s="31"/>
      <c r="H44" s="31"/>
      <c r="I44" s="31"/>
      <c r="J44" s="31"/>
      <c r="K44" s="350"/>
      <c r="M44" s="347" t="s">
        <v>31</v>
      </c>
      <c r="N44" s="31"/>
      <c r="O44" s="31"/>
      <c r="P44" s="31"/>
      <c r="Q44" s="30" t="s">
        <v>29</v>
      </c>
      <c r="R44" s="31" t="str">
        <f>+$L$2</f>
        <v xml:space="preserve">Tổ  </v>
      </c>
      <c r="S44" s="31"/>
      <c r="T44" s="31"/>
      <c r="U44" s="31"/>
      <c r="V44" s="31"/>
      <c r="W44" s="350"/>
    </row>
    <row r="45" spans="1:24" ht="18.75" customHeight="1">
      <c r="A45" s="354" t="s">
        <v>32</v>
      </c>
      <c r="B45" s="355"/>
      <c r="C45" s="355"/>
      <c r="D45" s="355"/>
      <c r="E45" s="355"/>
      <c r="F45" s="355"/>
      <c r="G45" s="355"/>
      <c r="H45" s="355"/>
      <c r="I45" s="355"/>
      <c r="J45" s="355"/>
      <c r="K45" s="356"/>
      <c r="M45" s="354" t="s">
        <v>32</v>
      </c>
      <c r="N45" s="355"/>
      <c r="O45" s="355"/>
      <c r="P45" s="355"/>
      <c r="Q45" s="355"/>
      <c r="R45" s="355"/>
      <c r="S45" s="355"/>
      <c r="T45" s="355"/>
      <c r="U45" s="355"/>
      <c r="V45" s="355"/>
      <c r="W45" s="356"/>
    </row>
    <row r="46" spans="1:24" ht="18.75" customHeight="1">
      <c r="A46" s="347" t="s">
        <v>33</v>
      </c>
      <c r="B46" s="31"/>
      <c r="C46" s="31"/>
      <c r="D46" s="31"/>
      <c r="E46" s="30" t="s">
        <v>29</v>
      </c>
      <c r="F46" s="361">
        <f>VLOOKUP(F43,'Bang TH nop'!$C$9:$AP$266,29,0)</f>
        <v>0</v>
      </c>
      <c r="G46" s="361"/>
      <c r="H46" s="361"/>
      <c r="I46" s="361"/>
      <c r="J46" s="30" t="s">
        <v>34</v>
      </c>
      <c r="K46" s="32"/>
      <c r="M46" s="347" t="s">
        <v>33</v>
      </c>
      <c r="N46" s="31"/>
      <c r="O46" s="31"/>
      <c r="P46" s="31"/>
      <c r="Q46" s="30" t="s">
        <v>29</v>
      </c>
      <c r="R46" s="361">
        <f>VLOOKUP(R43,'Bang TH nop'!$C$9:$AP$266,29,0)</f>
        <v>0</v>
      </c>
      <c r="S46" s="361"/>
      <c r="T46" s="361"/>
      <c r="U46" s="361"/>
      <c r="V46" s="30" t="s">
        <v>34</v>
      </c>
      <c r="W46" s="32"/>
    </row>
    <row r="47" spans="1:24" ht="18.75" customHeight="1">
      <c r="A47" s="33" t="s">
        <v>35</v>
      </c>
      <c r="B47" s="30"/>
      <c r="C47" s="34"/>
      <c r="D47" s="35"/>
      <c r="E47" s="36"/>
      <c r="F47" s="36"/>
      <c r="G47" s="36"/>
      <c r="H47" s="30"/>
      <c r="I47" s="37" t="e">
        <f>#REF!</f>
        <v>#REF!</v>
      </c>
      <c r="J47" s="38"/>
      <c r="K47" s="39"/>
      <c r="M47" s="33" t="s">
        <v>35</v>
      </c>
      <c r="N47" s="30"/>
      <c r="O47" s="34"/>
      <c r="P47" s="35"/>
      <c r="Q47" s="36"/>
      <c r="R47" s="36"/>
      <c r="S47" s="36"/>
      <c r="T47" s="30"/>
      <c r="U47" s="37" t="e">
        <f>#REF!</f>
        <v>#REF!</v>
      </c>
      <c r="V47" s="38"/>
      <c r="W47" s="39"/>
    </row>
    <row r="48" spans="1:24" ht="18.75" customHeight="1">
      <c r="A48" s="33" t="s">
        <v>36</v>
      </c>
      <c r="B48" s="30"/>
      <c r="C48" s="34"/>
      <c r="D48" s="35"/>
      <c r="E48" s="36"/>
      <c r="F48" s="36"/>
      <c r="G48" s="36"/>
      <c r="H48" s="30"/>
      <c r="I48" s="37" t="e">
        <f>I49/C49/8</f>
        <v>#REF!</v>
      </c>
      <c r="J48" s="38"/>
      <c r="K48" s="39"/>
      <c r="M48" s="33" t="s">
        <v>36</v>
      </c>
      <c r="N48" s="30"/>
      <c r="O48" s="34"/>
      <c r="P48" s="35"/>
      <c r="Q48" s="36"/>
      <c r="R48" s="36"/>
      <c r="S48" s="36"/>
      <c r="T48" s="30"/>
      <c r="U48" s="37" t="e">
        <f>U49/O49/8</f>
        <v>#REF!</v>
      </c>
      <c r="V48" s="38"/>
      <c r="W48" s="39"/>
    </row>
    <row r="49" spans="1:24" ht="18.75" customHeight="1">
      <c r="A49" s="33" t="s">
        <v>37</v>
      </c>
      <c r="B49" s="30" t="s">
        <v>29</v>
      </c>
      <c r="C49" s="34" t="e">
        <f>#REF!</f>
        <v>#REF!</v>
      </c>
      <c r="D49" s="35" t="s">
        <v>38</v>
      </c>
      <c r="E49" s="359" t="s">
        <v>39</v>
      </c>
      <c r="F49" s="359"/>
      <c r="G49" s="359"/>
      <c r="H49" s="30" t="s">
        <v>29</v>
      </c>
      <c r="I49" s="360" t="e">
        <f>#REF!</f>
        <v>#REF!</v>
      </c>
      <c r="J49" s="360"/>
      <c r="K49" s="39" t="s">
        <v>34</v>
      </c>
      <c r="L49" s="40" t="e">
        <f>F46/L39*C49</f>
        <v>#REF!</v>
      </c>
      <c r="M49" s="33" t="s">
        <v>37</v>
      </c>
      <c r="N49" s="30" t="s">
        <v>29</v>
      </c>
      <c r="O49" s="34" t="e">
        <f>#REF!</f>
        <v>#REF!</v>
      </c>
      <c r="P49" s="35" t="s">
        <v>38</v>
      </c>
      <c r="Q49" s="359" t="s">
        <v>39</v>
      </c>
      <c r="R49" s="359"/>
      <c r="S49" s="359"/>
      <c r="T49" s="30" t="s">
        <v>29</v>
      </c>
      <c r="U49" s="360" t="e">
        <f>#REF!</f>
        <v>#REF!</v>
      </c>
      <c r="V49" s="360"/>
      <c r="W49" s="39" t="s">
        <v>34</v>
      </c>
      <c r="X49" s="40" t="e">
        <f>R46/X39*O49</f>
        <v>#REF!</v>
      </c>
    </row>
    <row r="50" spans="1:24" ht="18.75" customHeight="1">
      <c r="A50" s="33" t="s">
        <v>40</v>
      </c>
      <c r="B50" s="30" t="s">
        <v>29</v>
      </c>
      <c r="C50" s="34" t="e">
        <f>#REF!</f>
        <v>#REF!</v>
      </c>
      <c r="D50" s="35" t="s">
        <v>38</v>
      </c>
      <c r="E50" s="31" t="s">
        <v>41</v>
      </c>
      <c r="F50" s="31"/>
      <c r="G50" s="31"/>
      <c r="H50" s="30" t="s">
        <v>29</v>
      </c>
      <c r="I50" s="358" t="e">
        <f>$F$8/$L$1*C50</f>
        <v>#REF!</v>
      </c>
      <c r="J50" s="358"/>
      <c r="K50" s="39" t="s">
        <v>34</v>
      </c>
      <c r="L50" s="40"/>
      <c r="M50" s="33" t="s">
        <v>40</v>
      </c>
      <c r="N50" s="30" t="s">
        <v>29</v>
      </c>
      <c r="O50" s="34" t="e">
        <f>#REF!</f>
        <v>#REF!</v>
      </c>
      <c r="P50" s="35" t="s">
        <v>38</v>
      </c>
      <c r="Q50" s="31" t="s">
        <v>41</v>
      </c>
      <c r="R50" s="31"/>
      <c r="S50" s="31"/>
      <c r="T50" s="30" t="s">
        <v>29</v>
      </c>
      <c r="U50" s="358" t="e">
        <f>$F$8/$L$1*O50</f>
        <v>#REF!</v>
      </c>
      <c r="V50" s="358"/>
      <c r="W50" s="39" t="s">
        <v>34</v>
      </c>
      <c r="X50" s="40"/>
    </row>
    <row r="51" spans="1:24" ht="18.75" customHeight="1">
      <c r="A51" s="33" t="s">
        <v>42</v>
      </c>
      <c r="B51" s="30" t="s">
        <v>29</v>
      </c>
      <c r="C51" s="34" t="e">
        <f>#REF!</f>
        <v>#REF!</v>
      </c>
      <c r="D51" s="35" t="s">
        <v>38</v>
      </c>
      <c r="E51" s="357" t="s">
        <v>43</v>
      </c>
      <c r="F51" s="357"/>
      <c r="G51" s="357"/>
      <c r="H51" s="30" t="s">
        <v>29</v>
      </c>
      <c r="I51" s="358" t="e">
        <f>$F$8/$L$1*C51</f>
        <v>#REF!</v>
      </c>
      <c r="J51" s="358"/>
      <c r="K51" s="39" t="s">
        <v>34</v>
      </c>
      <c r="L51" s="40"/>
      <c r="M51" s="33" t="s">
        <v>42</v>
      </c>
      <c r="N51" s="30" t="s">
        <v>29</v>
      </c>
      <c r="O51" s="34" t="e">
        <f>#REF!</f>
        <v>#REF!</v>
      </c>
      <c r="P51" s="35" t="s">
        <v>38</v>
      </c>
      <c r="Q51" s="357" t="s">
        <v>43</v>
      </c>
      <c r="R51" s="357"/>
      <c r="S51" s="357"/>
      <c r="T51" s="30" t="s">
        <v>29</v>
      </c>
      <c r="U51" s="358" t="e">
        <f>$F$8/$L$1*O51</f>
        <v>#REF!</v>
      </c>
      <c r="V51" s="358"/>
      <c r="W51" s="39" t="s">
        <v>34</v>
      </c>
      <c r="X51" s="40"/>
    </row>
    <row r="52" spans="1:24" ht="18.75" customHeight="1">
      <c r="A52" s="33" t="s">
        <v>44</v>
      </c>
      <c r="B52" s="30" t="s">
        <v>29</v>
      </c>
      <c r="C52" s="34" t="e">
        <f>#REF!</f>
        <v>#REF!</v>
      </c>
      <c r="D52" s="35" t="s">
        <v>38</v>
      </c>
      <c r="E52" s="357" t="s">
        <v>45</v>
      </c>
      <c r="F52" s="357"/>
      <c r="G52" s="357"/>
      <c r="H52" s="30" t="s">
        <v>29</v>
      </c>
      <c r="I52" s="358" t="e">
        <f>$F$8/$L$1*C52</f>
        <v>#REF!</v>
      </c>
      <c r="J52" s="358"/>
      <c r="K52" s="39" t="s">
        <v>34</v>
      </c>
      <c r="L52" s="40"/>
      <c r="M52" s="33" t="s">
        <v>44</v>
      </c>
      <c r="N52" s="30" t="s">
        <v>29</v>
      </c>
      <c r="O52" s="34" t="e">
        <f>#REF!</f>
        <v>#REF!</v>
      </c>
      <c r="P52" s="35" t="s">
        <v>38</v>
      </c>
      <c r="Q52" s="357" t="s">
        <v>45</v>
      </c>
      <c r="R52" s="357"/>
      <c r="S52" s="357"/>
      <c r="T52" s="30" t="s">
        <v>29</v>
      </c>
      <c r="U52" s="358" t="e">
        <f>$F$8/$L$1*O52</f>
        <v>#REF!</v>
      </c>
      <c r="V52" s="358"/>
      <c r="W52" s="39" t="s">
        <v>34</v>
      </c>
      <c r="X52" s="40"/>
    </row>
    <row r="53" spans="1:24" ht="18.75" customHeight="1">
      <c r="A53" s="33" t="s">
        <v>46</v>
      </c>
      <c r="B53" s="30" t="s">
        <v>29</v>
      </c>
      <c r="C53" s="34" t="e">
        <f>#REF!</f>
        <v>#REF!</v>
      </c>
      <c r="D53" s="35" t="s">
        <v>47</v>
      </c>
      <c r="E53" s="31" t="s">
        <v>48</v>
      </c>
      <c r="F53" s="31"/>
      <c r="G53" s="31"/>
      <c r="H53" s="30" t="s">
        <v>29</v>
      </c>
      <c r="I53" s="358" t="e">
        <f>#REF!</f>
        <v>#REF!</v>
      </c>
      <c r="J53" s="358"/>
      <c r="K53" s="39" t="s">
        <v>34</v>
      </c>
      <c r="L53" s="40" t="e">
        <f>F46*C53/L39/8*1.5</f>
        <v>#REF!</v>
      </c>
      <c r="M53" s="33" t="s">
        <v>46</v>
      </c>
      <c r="N53" s="30" t="s">
        <v>29</v>
      </c>
      <c r="O53" s="34" t="e">
        <f>#REF!</f>
        <v>#REF!</v>
      </c>
      <c r="P53" s="35" t="s">
        <v>47</v>
      </c>
      <c r="Q53" s="31" t="s">
        <v>48</v>
      </c>
      <c r="R53" s="31"/>
      <c r="S53" s="31"/>
      <c r="T53" s="30" t="s">
        <v>29</v>
      </c>
      <c r="U53" s="358" t="e">
        <f>#REF!</f>
        <v>#REF!</v>
      </c>
      <c r="V53" s="358"/>
      <c r="W53" s="39" t="s">
        <v>34</v>
      </c>
      <c r="X53" s="40" t="e">
        <f>R46*O53/X39/8*1.5</f>
        <v>#REF!</v>
      </c>
    </row>
    <row r="54" spans="1:24" ht="18.75" customHeight="1">
      <c r="A54" s="347" t="s">
        <v>158</v>
      </c>
      <c r="B54" s="31"/>
      <c r="C54" s="34"/>
      <c r="D54" s="35" t="s">
        <v>38</v>
      </c>
      <c r="E54" s="31" t="s">
        <v>159</v>
      </c>
      <c r="F54" s="31"/>
      <c r="G54" s="31"/>
      <c r="H54" s="41" t="s">
        <v>29</v>
      </c>
      <c r="I54" s="358"/>
      <c r="J54" s="358"/>
      <c r="K54" s="39" t="s">
        <v>34</v>
      </c>
      <c r="L54" s="40"/>
      <c r="M54" s="347" t="s">
        <v>158</v>
      </c>
      <c r="N54" s="31"/>
      <c r="O54" s="34"/>
      <c r="P54" s="35" t="s">
        <v>38</v>
      </c>
      <c r="Q54" s="31" t="s">
        <v>159</v>
      </c>
      <c r="R54" s="31"/>
      <c r="S54" s="31"/>
      <c r="T54" s="41" t="s">
        <v>29</v>
      </c>
      <c r="U54" s="358"/>
      <c r="V54" s="358"/>
      <c r="W54" s="39" t="s">
        <v>34</v>
      </c>
      <c r="X54" s="40"/>
    </row>
    <row r="55" spans="1:24" ht="18.75" customHeight="1">
      <c r="A55" s="33" t="s">
        <v>51</v>
      </c>
      <c r="B55" s="30" t="s">
        <v>29</v>
      </c>
      <c r="C55" s="34"/>
      <c r="D55" s="35" t="s">
        <v>38</v>
      </c>
      <c r="E55" s="31" t="s">
        <v>52</v>
      </c>
      <c r="F55" s="31"/>
      <c r="G55" s="31"/>
      <c r="H55" s="30" t="s">
        <v>29</v>
      </c>
      <c r="I55" s="358"/>
      <c r="J55" s="358"/>
      <c r="K55" s="39" t="s">
        <v>34</v>
      </c>
      <c r="L55" s="40"/>
      <c r="M55" s="33" t="s">
        <v>51</v>
      </c>
      <c r="N55" s="30" t="s">
        <v>29</v>
      </c>
      <c r="O55" s="34"/>
      <c r="P55" s="35" t="s">
        <v>38</v>
      </c>
      <c r="Q55" s="31" t="s">
        <v>52</v>
      </c>
      <c r="R55" s="31"/>
      <c r="S55" s="31"/>
      <c r="T55" s="30" t="s">
        <v>29</v>
      </c>
      <c r="U55" s="358"/>
      <c r="V55" s="358"/>
      <c r="W55" s="39" t="s">
        <v>34</v>
      </c>
      <c r="X55" s="40"/>
    </row>
    <row r="56" spans="1:24" ht="18.75" customHeight="1">
      <c r="A56" s="42" t="s">
        <v>53</v>
      </c>
      <c r="B56" s="30"/>
      <c r="C56" s="34" t="e">
        <f>#REF!</f>
        <v>#REF!</v>
      </c>
      <c r="D56" s="35" t="s">
        <v>47</v>
      </c>
      <c r="E56" s="31" t="s">
        <v>54</v>
      </c>
      <c r="F56" s="31"/>
      <c r="G56" s="31"/>
      <c r="H56" s="30" t="s">
        <v>29</v>
      </c>
      <c r="I56" s="358" t="e">
        <f>$F$8*C56/8/$L$1</f>
        <v>#REF!</v>
      </c>
      <c r="J56" s="358"/>
      <c r="K56" s="39" t="s">
        <v>34</v>
      </c>
      <c r="L56" s="40"/>
      <c r="M56" s="42" t="s">
        <v>53</v>
      </c>
      <c r="N56" s="30"/>
      <c r="O56" s="34" t="e">
        <f>#REF!</f>
        <v>#REF!</v>
      </c>
      <c r="P56" s="35" t="s">
        <v>47</v>
      </c>
      <c r="Q56" s="31" t="s">
        <v>54</v>
      </c>
      <c r="R56" s="31"/>
      <c r="S56" s="31"/>
      <c r="T56" s="30" t="s">
        <v>29</v>
      </c>
      <c r="U56" s="358" t="e">
        <f>$F$8*O56/8/$L$1</f>
        <v>#REF!</v>
      </c>
      <c r="V56" s="358"/>
      <c r="W56" s="39" t="s">
        <v>34</v>
      </c>
      <c r="X56" s="40"/>
    </row>
    <row r="57" spans="1:24" ht="18.75" customHeight="1">
      <c r="A57" s="33" t="s">
        <v>155</v>
      </c>
      <c r="B57" s="30" t="s">
        <v>29</v>
      </c>
      <c r="C57" s="34"/>
      <c r="D57" s="35" t="s">
        <v>47</v>
      </c>
      <c r="E57" s="31" t="s">
        <v>61</v>
      </c>
      <c r="F57" s="31"/>
      <c r="G57" s="31"/>
      <c r="H57" s="30" t="s">
        <v>29</v>
      </c>
      <c r="I57" s="360"/>
      <c r="J57" s="360"/>
      <c r="K57" s="39" t="s">
        <v>34</v>
      </c>
      <c r="L57" s="40"/>
      <c r="M57" s="33" t="s">
        <v>155</v>
      </c>
      <c r="N57" s="30" t="s">
        <v>29</v>
      </c>
      <c r="O57" s="34"/>
      <c r="P57" s="35" t="s">
        <v>47</v>
      </c>
      <c r="Q57" s="31" t="s">
        <v>61</v>
      </c>
      <c r="R57" s="31"/>
      <c r="S57" s="31"/>
      <c r="T57" s="30" t="s">
        <v>29</v>
      </c>
      <c r="U57" s="360"/>
      <c r="V57" s="360"/>
      <c r="W57" s="39" t="s">
        <v>34</v>
      </c>
      <c r="X57" s="40"/>
    </row>
    <row r="58" spans="1:24" ht="18.75" customHeight="1">
      <c r="A58" s="33" t="s">
        <v>57</v>
      </c>
      <c r="B58" s="30" t="s">
        <v>29</v>
      </c>
      <c r="C58" s="34"/>
      <c r="D58" s="35" t="s">
        <v>58</v>
      </c>
      <c r="E58" s="31" t="s">
        <v>59</v>
      </c>
      <c r="F58" s="31"/>
      <c r="G58" s="31"/>
      <c r="H58" s="30" t="s">
        <v>29</v>
      </c>
      <c r="I58" s="358"/>
      <c r="J58" s="358"/>
      <c r="K58" s="39" t="s">
        <v>34</v>
      </c>
      <c r="L58" s="40" t="e">
        <f>+IF(L49-I49&lt;0,0,L49-I49)+IF(L53-I53&lt;0,0,L53-I53)</f>
        <v>#REF!</v>
      </c>
      <c r="M58" s="33" t="s">
        <v>57</v>
      </c>
      <c r="N58" s="30" t="s">
        <v>29</v>
      </c>
      <c r="O58" s="34"/>
      <c r="P58" s="35" t="s">
        <v>58</v>
      </c>
      <c r="Q58" s="31" t="s">
        <v>59</v>
      </c>
      <c r="R58" s="31"/>
      <c r="S58" s="31"/>
      <c r="T58" s="30" t="s">
        <v>29</v>
      </c>
      <c r="U58" s="358"/>
      <c r="V58" s="358"/>
      <c r="W58" s="39" t="s">
        <v>34</v>
      </c>
      <c r="X58" s="40" t="e">
        <f>+IF(X49-U49&lt;0,0,X49-U49)+IF(X53-U53&lt;0,0,X53-U53)</f>
        <v>#REF!</v>
      </c>
    </row>
    <row r="59" spans="1:24" ht="18.75" customHeight="1">
      <c r="A59" s="43" t="s">
        <v>152</v>
      </c>
      <c r="B59" s="44"/>
      <c r="C59" s="34"/>
      <c r="D59" s="35" t="s">
        <v>38</v>
      </c>
      <c r="E59" s="31" t="s">
        <v>153</v>
      </c>
      <c r="F59" s="31"/>
      <c r="G59" s="31"/>
      <c r="H59" s="30" t="s">
        <v>29</v>
      </c>
      <c r="I59" s="358"/>
      <c r="J59" s="358"/>
      <c r="K59" s="39" t="s">
        <v>34</v>
      </c>
      <c r="L59" s="40"/>
      <c r="M59" s="43" t="s">
        <v>152</v>
      </c>
      <c r="N59" s="44"/>
      <c r="O59" s="34"/>
      <c r="P59" s="35" t="s">
        <v>38</v>
      </c>
      <c r="Q59" s="31" t="s">
        <v>153</v>
      </c>
      <c r="R59" s="31"/>
      <c r="S59" s="31"/>
      <c r="T59" s="30" t="s">
        <v>29</v>
      </c>
      <c r="U59" s="358"/>
      <c r="V59" s="358"/>
      <c r="W59" s="39" t="s">
        <v>34</v>
      </c>
      <c r="X59" s="40"/>
    </row>
    <row r="60" spans="1:24" ht="18.75" customHeight="1">
      <c r="A60" s="366" t="s">
        <v>154</v>
      </c>
      <c r="B60" s="367"/>
      <c r="C60" s="34"/>
      <c r="D60" s="35"/>
      <c r="E60" s="36"/>
      <c r="F60" s="36"/>
      <c r="G60" s="36"/>
      <c r="H60" s="30" t="s">
        <v>29</v>
      </c>
      <c r="I60" s="358" t="e">
        <f>#REF!</f>
        <v>#REF!</v>
      </c>
      <c r="J60" s="358"/>
      <c r="K60" s="39" t="s">
        <v>34</v>
      </c>
      <c r="L60" s="40"/>
      <c r="M60" s="366" t="s">
        <v>154</v>
      </c>
      <c r="N60" s="367"/>
      <c r="O60" s="34"/>
      <c r="P60" s="35"/>
      <c r="Q60" s="36"/>
      <c r="R60" s="36"/>
      <c r="S60" s="36"/>
      <c r="T60" s="30" t="s">
        <v>29</v>
      </c>
      <c r="U60" s="358" t="e">
        <f>#REF!</f>
        <v>#REF!</v>
      </c>
      <c r="V60" s="358"/>
      <c r="W60" s="39" t="s">
        <v>34</v>
      </c>
      <c r="X60" s="40"/>
    </row>
    <row r="61" spans="1:24" ht="18.75" customHeight="1">
      <c r="A61" s="33" t="s">
        <v>63</v>
      </c>
      <c r="B61" s="30" t="s">
        <v>29</v>
      </c>
      <c r="C61" s="34"/>
      <c r="D61" s="35"/>
      <c r="E61" s="36" t="s">
        <v>64</v>
      </c>
      <c r="F61" s="36"/>
      <c r="G61" s="36"/>
      <c r="H61" s="30" t="s">
        <v>29</v>
      </c>
      <c r="I61" s="358" t="e">
        <f>L58</f>
        <v>#REF!</v>
      </c>
      <c r="J61" s="358"/>
      <c r="K61" s="39" t="s">
        <v>34</v>
      </c>
      <c r="L61" s="40"/>
      <c r="M61" s="33" t="s">
        <v>63</v>
      </c>
      <c r="N61" s="30" t="s">
        <v>29</v>
      </c>
      <c r="O61" s="34"/>
      <c r="P61" s="35"/>
      <c r="Q61" s="36" t="s">
        <v>64</v>
      </c>
      <c r="R61" s="36"/>
      <c r="S61" s="36"/>
      <c r="T61" s="30" t="s">
        <v>29</v>
      </c>
      <c r="U61" s="358" t="e">
        <f>X58</f>
        <v>#REF!</v>
      </c>
      <c r="V61" s="358"/>
      <c r="W61" s="39" t="s">
        <v>34</v>
      </c>
      <c r="X61" s="40"/>
    </row>
    <row r="62" spans="1:24" ht="18.75" customHeight="1">
      <c r="A62" s="362" t="s">
        <v>65</v>
      </c>
      <c r="B62" s="363"/>
      <c r="C62" s="363"/>
      <c r="D62" s="363"/>
      <c r="E62" s="363"/>
      <c r="F62" s="363"/>
      <c r="G62" s="30" t="s">
        <v>29</v>
      </c>
      <c r="H62" s="364" t="e">
        <f>I49+I50+I51+I52+I53+I56+I60+I61+I54+I55+I57+I58+I59+C60</f>
        <v>#REF!</v>
      </c>
      <c r="I62" s="365"/>
      <c r="J62" s="365"/>
      <c r="K62" s="39" t="s">
        <v>34</v>
      </c>
      <c r="M62" s="362" t="s">
        <v>65</v>
      </c>
      <c r="N62" s="363"/>
      <c r="O62" s="363"/>
      <c r="P62" s="363"/>
      <c r="Q62" s="363"/>
      <c r="R62" s="363"/>
      <c r="S62" s="30" t="s">
        <v>29</v>
      </c>
      <c r="T62" s="364" t="e">
        <f>U49+U50+U51+U52+U53+U56+U60+U61+U54+U55+U57+U58+U59+O60</f>
        <v>#REF!</v>
      </c>
      <c r="U62" s="365"/>
      <c r="V62" s="365"/>
      <c r="W62" s="39" t="s">
        <v>34</v>
      </c>
    </row>
    <row r="63" spans="1:24" ht="18.75" customHeight="1">
      <c r="A63" s="45"/>
      <c r="B63" s="46"/>
      <c r="C63" s="46"/>
      <c r="D63" s="46"/>
      <c r="E63" s="46"/>
      <c r="F63" s="46"/>
      <c r="G63" s="46"/>
      <c r="H63" s="46"/>
      <c r="I63" s="46"/>
      <c r="J63" s="46"/>
      <c r="K63" s="47"/>
      <c r="M63" s="45"/>
      <c r="N63" s="46"/>
      <c r="O63" s="46"/>
      <c r="P63" s="46"/>
      <c r="Q63" s="46"/>
      <c r="R63" s="46"/>
      <c r="S63" s="46"/>
      <c r="T63" s="46"/>
      <c r="U63" s="46"/>
      <c r="V63" s="46"/>
      <c r="W63" s="47"/>
    </row>
    <row r="64" spans="1:24" ht="18.75" customHeight="1">
      <c r="A64" s="374" t="s">
        <v>66</v>
      </c>
      <c r="B64" s="375"/>
      <c r="C64" s="375"/>
      <c r="D64" s="375"/>
      <c r="E64" s="375"/>
      <c r="F64" s="375"/>
      <c r="G64" s="30"/>
      <c r="H64" s="30"/>
      <c r="I64" s="30"/>
      <c r="J64" s="30"/>
      <c r="K64" s="39"/>
      <c r="M64" s="374" t="s">
        <v>66</v>
      </c>
      <c r="N64" s="375"/>
      <c r="O64" s="375"/>
      <c r="P64" s="375"/>
      <c r="Q64" s="375"/>
      <c r="R64" s="375"/>
      <c r="S64" s="30"/>
      <c r="T64" s="30"/>
      <c r="U64" s="30"/>
      <c r="V64" s="30"/>
      <c r="W64" s="39"/>
    </row>
    <row r="65" spans="1:24" ht="18.75" customHeight="1">
      <c r="A65" s="368" t="s">
        <v>67</v>
      </c>
      <c r="B65" s="369"/>
      <c r="C65" s="369"/>
      <c r="D65" s="369"/>
      <c r="E65" s="369"/>
      <c r="F65" s="369"/>
      <c r="G65" s="30" t="s">
        <v>29</v>
      </c>
      <c r="H65" s="376" t="e">
        <f>IF(($L$1-(C49+C50+C51+C52))&gt;12,0,F46*8%)</f>
        <v>#REF!</v>
      </c>
      <c r="I65" s="376"/>
      <c r="J65" s="376"/>
      <c r="K65" s="39" t="s">
        <v>34</v>
      </c>
      <c r="M65" s="368" t="s">
        <v>67</v>
      </c>
      <c r="N65" s="369"/>
      <c r="O65" s="369"/>
      <c r="P65" s="369"/>
      <c r="Q65" s="369"/>
      <c r="R65" s="369"/>
      <c r="S65" s="30" t="s">
        <v>29</v>
      </c>
      <c r="T65" s="376" t="e">
        <f>IF(($L$1-(O49+O50+O51+O52))&gt;12,0,R46*8%)</f>
        <v>#REF!</v>
      </c>
      <c r="U65" s="376"/>
      <c r="V65" s="376"/>
      <c r="W65" s="39" t="s">
        <v>34</v>
      </c>
    </row>
    <row r="66" spans="1:24" ht="18.75" customHeight="1">
      <c r="A66" s="368" t="s">
        <v>68</v>
      </c>
      <c r="B66" s="369"/>
      <c r="C66" s="369"/>
      <c r="D66" s="369"/>
      <c r="E66" s="369"/>
      <c r="F66" s="369"/>
      <c r="G66" s="30" t="s">
        <v>29</v>
      </c>
      <c r="H66" s="370" t="e">
        <f>IF(($L$1-(C49+C50+C51+C52))&gt;12,0,F46*1.5%)</f>
        <v>#REF!</v>
      </c>
      <c r="I66" s="370"/>
      <c r="J66" s="370"/>
      <c r="K66" s="39" t="s">
        <v>34</v>
      </c>
      <c r="M66" s="368" t="s">
        <v>68</v>
      </c>
      <c r="N66" s="369"/>
      <c r="O66" s="369"/>
      <c r="P66" s="369"/>
      <c r="Q66" s="369"/>
      <c r="R66" s="369"/>
      <c r="S66" s="30" t="s">
        <v>29</v>
      </c>
      <c r="T66" s="370" t="e">
        <f>IF(($L$1-(O49+O50+O51+O52))&gt;12,0,R46*1.5%)</f>
        <v>#REF!</v>
      </c>
      <c r="U66" s="370"/>
      <c r="V66" s="370"/>
      <c r="W66" s="39" t="s">
        <v>34</v>
      </c>
    </row>
    <row r="67" spans="1:24" ht="18.75" customHeight="1">
      <c r="A67" s="368" t="s">
        <v>69</v>
      </c>
      <c r="B67" s="369"/>
      <c r="C67" s="369"/>
      <c r="D67" s="369"/>
      <c r="E67" s="369"/>
      <c r="F67" s="369"/>
      <c r="G67" s="30" t="s">
        <v>29</v>
      </c>
      <c r="H67" s="370" t="e">
        <f>IF(($L$1-(C49+C50+C51+C52))&gt;12,0,F46*1%)</f>
        <v>#REF!</v>
      </c>
      <c r="I67" s="370"/>
      <c r="J67" s="370"/>
      <c r="K67" s="39" t="s">
        <v>34</v>
      </c>
      <c r="M67" s="368" t="s">
        <v>69</v>
      </c>
      <c r="N67" s="369"/>
      <c r="O67" s="369"/>
      <c r="P67" s="369"/>
      <c r="Q67" s="369"/>
      <c r="R67" s="369"/>
      <c r="S67" s="30" t="s">
        <v>29</v>
      </c>
      <c r="T67" s="370" t="e">
        <f>IF(($L$1-(O49+O50+O51+O52))&gt;12,0,R46*1%)</f>
        <v>#REF!</v>
      </c>
      <c r="U67" s="370"/>
      <c r="V67" s="370"/>
      <c r="W67" s="39" t="s">
        <v>34</v>
      </c>
    </row>
    <row r="68" spans="1:24" ht="18.75" customHeight="1">
      <c r="A68" s="368" t="s">
        <v>70</v>
      </c>
      <c r="B68" s="369"/>
      <c r="C68" s="369"/>
      <c r="D68" s="369"/>
      <c r="E68" s="369"/>
      <c r="F68" s="369"/>
      <c r="G68" s="30" t="s">
        <v>29</v>
      </c>
      <c r="H68" s="370">
        <v>0</v>
      </c>
      <c r="I68" s="370"/>
      <c r="J68" s="370"/>
      <c r="K68" s="39" t="s">
        <v>34</v>
      </c>
      <c r="M68" s="368" t="s">
        <v>70</v>
      </c>
      <c r="N68" s="369"/>
      <c r="O68" s="369"/>
      <c r="P68" s="369"/>
      <c r="Q68" s="369"/>
      <c r="R68" s="369"/>
      <c r="S68" s="30" t="s">
        <v>29</v>
      </c>
      <c r="T68" s="370">
        <v>0</v>
      </c>
      <c r="U68" s="370"/>
      <c r="V68" s="370"/>
      <c r="W68" s="39" t="s">
        <v>34</v>
      </c>
    </row>
    <row r="69" spans="1:24" ht="18.75" customHeight="1">
      <c r="A69" s="371" t="s">
        <v>71</v>
      </c>
      <c r="B69" s="372"/>
      <c r="C69" s="372"/>
      <c r="D69" s="372"/>
      <c r="E69" s="372"/>
      <c r="F69" s="372"/>
      <c r="G69" s="30" t="s">
        <v>29</v>
      </c>
      <c r="H69" s="373" t="e">
        <f>SUM(H65:J68)</f>
        <v>#REF!</v>
      </c>
      <c r="I69" s="373"/>
      <c r="J69" s="373"/>
      <c r="K69" s="39" t="s">
        <v>34</v>
      </c>
      <c r="M69" s="371" t="s">
        <v>71</v>
      </c>
      <c r="N69" s="372"/>
      <c r="O69" s="372"/>
      <c r="P69" s="372"/>
      <c r="Q69" s="372"/>
      <c r="R69" s="372"/>
      <c r="S69" s="30" t="s">
        <v>29</v>
      </c>
      <c r="T69" s="373" t="e">
        <f>SUM(T65:V68)</f>
        <v>#REF!</v>
      </c>
      <c r="U69" s="373"/>
      <c r="V69" s="373"/>
      <c r="W69" s="39" t="s">
        <v>34</v>
      </c>
    </row>
    <row r="70" spans="1:24" ht="18.75" customHeight="1">
      <c r="A70" s="368" t="s">
        <v>72</v>
      </c>
      <c r="B70" s="369"/>
      <c r="C70" s="369"/>
      <c r="D70" s="369"/>
      <c r="E70" s="369"/>
      <c r="F70" s="369"/>
      <c r="G70" s="30" t="s">
        <v>29</v>
      </c>
      <c r="H70" s="381" t="e">
        <f>ROUND(H62-H69,-2)</f>
        <v>#REF!</v>
      </c>
      <c r="I70" s="381"/>
      <c r="J70" s="381"/>
      <c r="K70" s="39" t="s">
        <v>34</v>
      </c>
      <c r="M70" s="368" t="s">
        <v>72</v>
      </c>
      <c r="N70" s="369"/>
      <c r="O70" s="369"/>
      <c r="P70" s="369"/>
      <c r="Q70" s="369"/>
      <c r="R70" s="369"/>
      <c r="S70" s="30" t="s">
        <v>29</v>
      </c>
      <c r="T70" s="381" t="e">
        <f>ROUND(T62-T69,-2)</f>
        <v>#REF!</v>
      </c>
      <c r="U70" s="381"/>
      <c r="V70" s="381"/>
      <c r="W70" s="39" t="s">
        <v>34</v>
      </c>
    </row>
    <row r="71" spans="1:24" ht="18.75" customHeight="1">
      <c r="A71" s="48"/>
      <c r="B71" s="49"/>
      <c r="C71" s="49"/>
      <c r="D71" s="49"/>
      <c r="E71" s="49"/>
      <c r="F71" s="49"/>
      <c r="G71" s="49"/>
      <c r="H71" s="49"/>
      <c r="I71" s="49"/>
      <c r="J71" s="49"/>
      <c r="K71" s="50"/>
      <c r="M71" s="48"/>
      <c r="N71" s="49"/>
      <c r="O71" s="49"/>
      <c r="P71" s="49"/>
      <c r="Q71" s="49"/>
      <c r="R71" s="49"/>
      <c r="S71" s="49"/>
      <c r="T71" s="49"/>
      <c r="U71" s="49"/>
      <c r="V71" s="49"/>
      <c r="W71" s="50"/>
    </row>
    <row r="72" spans="1:24" ht="18.75" customHeight="1">
      <c r="A72" s="51"/>
      <c r="B72" s="30"/>
      <c r="C72" s="30"/>
      <c r="D72" s="30"/>
      <c r="E72" s="30"/>
      <c r="F72" s="30"/>
      <c r="G72" s="30"/>
      <c r="H72" s="30"/>
      <c r="I72" s="378" t="s">
        <v>73</v>
      </c>
      <c r="J72" s="378"/>
      <c r="K72" s="382"/>
      <c r="M72" s="51"/>
      <c r="N72" s="30"/>
      <c r="O72" s="30"/>
      <c r="P72" s="30"/>
      <c r="Q72" s="30"/>
      <c r="R72" s="30"/>
      <c r="S72" s="30"/>
      <c r="T72" s="30"/>
      <c r="U72" s="378" t="s">
        <v>73</v>
      </c>
      <c r="V72" s="378"/>
      <c r="W72" s="382"/>
    </row>
    <row r="73" spans="1:24" ht="18.75" customHeight="1">
      <c r="A73" s="51"/>
      <c r="B73" s="377"/>
      <c r="C73" s="378"/>
      <c r="D73" s="378"/>
      <c r="E73" s="378"/>
      <c r="F73" s="30"/>
      <c r="G73" s="30"/>
      <c r="H73" s="30"/>
      <c r="I73" s="30"/>
      <c r="J73" s="30"/>
      <c r="K73" s="32"/>
      <c r="M73" s="51"/>
      <c r="N73" s="377"/>
      <c r="O73" s="378"/>
      <c r="P73" s="378"/>
      <c r="Q73" s="378"/>
      <c r="R73" s="30"/>
      <c r="S73" s="30"/>
      <c r="T73" s="30"/>
      <c r="U73" s="30"/>
      <c r="V73" s="30"/>
      <c r="W73" s="32"/>
    </row>
    <row r="74" spans="1:24" ht="18.75" customHeight="1" thickBot="1">
      <c r="A74" s="53"/>
      <c r="B74" s="54"/>
      <c r="C74" s="54"/>
      <c r="D74" s="54"/>
      <c r="E74" s="54"/>
      <c r="F74" s="54"/>
      <c r="G74" s="54"/>
      <c r="H74" s="54"/>
      <c r="I74" s="379" t="s">
        <v>74</v>
      </c>
      <c r="J74" s="379"/>
      <c r="K74" s="380"/>
      <c r="M74" s="53"/>
      <c r="N74" s="54"/>
      <c r="O74" s="54"/>
      <c r="P74" s="54"/>
      <c r="Q74" s="54"/>
      <c r="R74" s="54"/>
      <c r="S74" s="54"/>
      <c r="T74" s="54"/>
      <c r="U74" s="379" t="s">
        <v>74</v>
      </c>
      <c r="V74" s="379"/>
      <c r="W74" s="380"/>
    </row>
    <row r="75" spans="1:24" ht="18.75" customHeight="1" thickTop="1" thickBot="1"/>
    <row r="76" spans="1:24" ht="18.75" customHeight="1" thickTop="1">
      <c r="A76" s="351" t="s">
        <v>160</v>
      </c>
      <c r="B76" s="352"/>
      <c r="C76" s="352"/>
      <c r="D76" s="352"/>
      <c r="E76" s="352"/>
      <c r="F76" s="352"/>
      <c r="G76" s="352"/>
      <c r="H76" s="352"/>
      <c r="I76" s="352"/>
      <c r="J76" s="352"/>
      <c r="K76" s="353"/>
      <c r="L76" s="26">
        <v>26</v>
      </c>
      <c r="M76" s="351" t="s">
        <v>160</v>
      </c>
      <c r="N76" s="352"/>
      <c r="O76" s="352"/>
      <c r="P76" s="352"/>
      <c r="Q76" s="352"/>
      <c r="R76" s="352"/>
      <c r="S76" s="352"/>
      <c r="T76" s="352"/>
      <c r="U76" s="352"/>
      <c r="V76" s="352"/>
      <c r="W76" s="353"/>
      <c r="X76" s="26">
        <v>26</v>
      </c>
    </row>
    <row r="77" spans="1:24" ht="18.75" customHeight="1">
      <c r="A77" s="27" t="s">
        <v>79</v>
      </c>
      <c r="B77" s="28"/>
      <c r="C77" s="28"/>
      <c r="D77" s="28"/>
      <c r="E77" s="28"/>
      <c r="F77" s="28"/>
      <c r="G77" s="28"/>
      <c r="H77" s="28"/>
      <c r="I77" s="28"/>
      <c r="J77" s="28"/>
      <c r="K77" s="29"/>
      <c r="M77" s="27" t="s">
        <v>80</v>
      </c>
      <c r="N77" s="28"/>
      <c r="O77" s="28"/>
      <c r="P77" s="28"/>
      <c r="Q77" s="28"/>
      <c r="R77" s="28"/>
      <c r="S77" s="28"/>
      <c r="T77" s="28"/>
      <c r="U77" s="28"/>
      <c r="V77" s="28"/>
      <c r="W77" s="29"/>
    </row>
    <row r="78" spans="1:24" ht="18.75" customHeight="1">
      <c r="A78" s="354" t="s">
        <v>27</v>
      </c>
      <c r="B78" s="355"/>
      <c r="C78" s="355"/>
      <c r="D78" s="355"/>
      <c r="E78" s="355"/>
      <c r="F78" s="355"/>
      <c r="G78" s="355"/>
      <c r="H78" s="355"/>
      <c r="I78" s="355"/>
      <c r="J78" s="355"/>
      <c r="K78" s="356"/>
      <c r="M78" s="354" t="s">
        <v>27</v>
      </c>
      <c r="N78" s="355"/>
      <c r="O78" s="355"/>
      <c r="P78" s="355"/>
      <c r="Q78" s="355"/>
      <c r="R78" s="355"/>
      <c r="S78" s="355"/>
      <c r="T78" s="355"/>
      <c r="U78" s="355"/>
      <c r="V78" s="355"/>
      <c r="W78" s="356"/>
    </row>
    <row r="79" spans="1:24" ht="18.75" customHeight="1">
      <c r="A79" s="347" t="s">
        <v>28</v>
      </c>
      <c r="B79" s="31"/>
      <c r="C79" s="31"/>
      <c r="D79" s="31"/>
      <c r="E79" s="30" t="s">
        <v>29</v>
      </c>
      <c r="F79" s="348">
        <f>'Bang TH nop'!B17</f>
        <v>0</v>
      </c>
      <c r="G79" s="31"/>
      <c r="H79" s="31"/>
      <c r="I79" s="31"/>
      <c r="J79" s="31"/>
      <c r="K79" s="350"/>
      <c r="M79" s="347" t="s">
        <v>28</v>
      </c>
      <c r="N79" s="31"/>
      <c r="O79" s="31"/>
      <c r="P79" s="31"/>
      <c r="Q79" s="30" t="s">
        <v>29</v>
      </c>
      <c r="R79" s="348">
        <f>'Bang TH nop'!B19</f>
        <v>0</v>
      </c>
      <c r="S79" s="31"/>
      <c r="T79" s="31"/>
      <c r="U79" s="31"/>
      <c r="V79" s="31"/>
      <c r="W79" s="350"/>
    </row>
    <row r="80" spans="1:24" ht="18.75" customHeight="1">
      <c r="A80" s="347" t="s">
        <v>30</v>
      </c>
      <c r="B80" s="31"/>
      <c r="C80" s="31"/>
      <c r="D80" s="31"/>
      <c r="E80" s="30" t="s">
        <v>29</v>
      </c>
      <c r="F80" s="348">
        <f>'Bang TH nop'!C17</f>
        <v>0</v>
      </c>
      <c r="G80" s="348"/>
      <c r="H80" s="348"/>
      <c r="I80" s="348"/>
      <c r="J80" s="348"/>
      <c r="K80" s="349"/>
      <c r="M80" s="347" t="s">
        <v>30</v>
      </c>
      <c r="N80" s="31"/>
      <c r="O80" s="31"/>
      <c r="P80" s="31"/>
      <c r="Q80" s="30" t="s">
        <v>29</v>
      </c>
      <c r="R80" s="348">
        <f>'Bang TH nop'!C19</f>
        <v>0</v>
      </c>
      <c r="S80" s="348"/>
      <c r="T80" s="348"/>
      <c r="U80" s="348"/>
      <c r="V80" s="348"/>
      <c r="W80" s="349"/>
    </row>
    <row r="81" spans="1:24" ht="18.75" customHeight="1">
      <c r="A81" s="347" t="s">
        <v>31</v>
      </c>
      <c r="B81" s="31"/>
      <c r="C81" s="31"/>
      <c r="D81" s="31"/>
      <c r="E81" s="30" t="s">
        <v>29</v>
      </c>
      <c r="F81" s="31" t="str">
        <f>+$L$2</f>
        <v xml:space="preserve">Tổ  </v>
      </c>
      <c r="G81" s="31"/>
      <c r="H81" s="31"/>
      <c r="I81" s="31"/>
      <c r="J81" s="31"/>
      <c r="K81" s="350"/>
      <c r="M81" s="347" t="s">
        <v>31</v>
      </c>
      <c r="N81" s="31"/>
      <c r="O81" s="31"/>
      <c r="P81" s="31"/>
      <c r="Q81" s="30" t="s">
        <v>29</v>
      </c>
      <c r="R81" s="31" t="str">
        <f>+$L$2</f>
        <v xml:space="preserve">Tổ  </v>
      </c>
      <c r="S81" s="31"/>
      <c r="T81" s="31"/>
      <c r="U81" s="31"/>
      <c r="V81" s="31"/>
      <c r="W81" s="350"/>
    </row>
    <row r="82" spans="1:24" ht="18.75" customHeight="1">
      <c r="A82" s="354" t="s">
        <v>32</v>
      </c>
      <c r="B82" s="355"/>
      <c r="C82" s="355"/>
      <c r="D82" s="355"/>
      <c r="E82" s="355"/>
      <c r="F82" s="355"/>
      <c r="G82" s="355"/>
      <c r="H82" s="355"/>
      <c r="I82" s="355"/>
      <c r="J82" s="355"/>
      <c r="K82" s="356"/>
      <c r="M82" s="354" t="s">
        <v>32</v>
      </c>
      <c r="N82" s="355"/>
      <c r="O82" s="355"/>
      <c r="P82" s="355"/>
      <c r="Q82" s="355"/>
      <c r="R82" s="355"/>
      <c r="S82" s="355"/>
      <c r="T82" s="355"/>
      <c r="U82" s="355"/>
      <c r="V82" s="355"/>
      <c r="W82" s="356"/>
    </row>
    <row r="83" spans="1:24" ht="18.75" customHeight="1">
      <c r="A83" s="347" t="s">
        <v>33</v>
      </c>
      <c r="B83" s="31"/>
      <c r="C83" s="31"/>
      <c r="D83" s="31"/>
      <c r="E83" s="30" t="s">
        <v>29</v>
      </c>
      <c r="F83" s="361">
        <f>VLOOKUP(F80,'Bang TH nop'!$C$9:$AP$266,29,0)</f>
        <v>0</v>
      </c>
      <c r="G83" s="361"/>
      <c r="H83" s="361"/>
      <c r="I83" s="361"/>
      <c r="J83" s="30" t="s">
        <v>34</v>
      </c>
      <c r="K83" s="32"/>
      <c r="M83" s="347" t="s">
        <v>33</v>
      </c>
      <c r="N83" s="31"/>
      <c r="O83" s="31"/>
      <c r="P83" s="31"/>
      <c r="Q83" s="30" t="s">
        <v>29</v>
      </c>
      <c r="R83" s="361">
        <f>VLOOKUP(R80,'Bang TH nop'!$C$9:$AP$266,29,0)</f>
        <v>0</v>
      </c>
      <c r="S83" s="361"/>
      <c r="T83" s="361"/>
      <c r="U83" s="361"/>
      <c r="V83" s="30" t="s">
        <v>34</v>
      </c>
      <c r="W83" s="32"/>
    </row>
    <row r="84" spans="1:24" ht="18.75" customHeight="1">
      <c r="A84" s="33" t="s">
        <v>35</v>
      </c>
      <c r="B84" s="30"/>
      <c r="C84" s="34"/>
      <c r="D84" s="35"/>
      <c r="E84" s="36"/>
      <c r="F84" s="36"/>
      <c r="G84" s="36"/>
      <c r="H84" s="30"/>
      <c r="I84" s="37" t="e">
        <f>#REF!</f>
        <v>#REF!</v>
      </c>
      <c r="J84" s="38"/>
      <c r="K84" s="39"/>
      <c r="M84" s="33" t="s">
        <v>35</v>
      </c>
      <c r="N84" s="30"/>
      <c r="O84" s="34"/>
      <c r="P84" s="35"/>
      <c r="Q84" s="36"/>
      <c r="R84" s="36"/>
      <c r="S84" s="36"/>
      <c r="T84" s="30"/>
      <c r="U84" s="37" t="e">
        <f>#REF!</f>
        <v>#REF!</v>
      </c>
      <c r="V84" s="38"/>
      <c r="W84" s="39"/>
    </row>
    <row r="85" spans="1:24" ht="18.75" customHeight="1">
      <c r="A85" s="33" t="s">
        <v>36</v>
      </c>
      <c r="B85" s="30"/>
      <c r="C85" s="34"/>
      <c r="D85" s="35"/>
      <c r="E85" s="36"/>
      <c r="F85" s="36"/>
      <c r="G85" s="36"/>
      <c r="H85" s="30"/>
      <c r="I85" s="37" t="e">
        <f>I86/C86/8</f>
        <v>#REF!</v>
      </c>
      <c r="J85" s="38"/>
      <c r="K85" s="39"/>
      <c r="M85" s="33" t="s">
        <v>36</v>
      </c>
      <c r="N85" s="30"/>
      <c r="O85" s="34"/>
      <c r="P85" s="35"/>
      <c r="Q85" s="36"/>
      <c r="R85" s="36"/>
      <c r="S85" s="36"/>
      <c r="T85" s="30"/>
      <c r="U85" s="37" t="e">
        <f>U86/O86/8</f>
        <v>#REF!</v>
      </c>
      <c r="V85" s="38"/>
      <c r="W85" s="39"/>
    </row>
    <row r="86" spans="1:24" ht="18.75" customHeight="1">
      <c r="A86" s="33" t="s">
        <v>37</v>
      </c>
      <c r="B86" s="30" t="s">
        <v>29</v>
      </c>
      <c r="C86" s="34" t="e">
        <f>#REF!</f>
        <v>#REF!</v>
      </c>
      <c r="D86" s="35" t="s">
        <v>38</v>
      </c>
      <c r="E86" s="359" t="s">
        <v>39</v>
      </c>
      <c r="F86" s="359"/>
      <c r="G86" s="359"/>
      <c r="H86" s="30" t="s">
        <v>29</v>
      </c>
      <c r="I86" s="360" t="e">
        <f>#REF!</f>
        <v>#REF!</v>
      </c>
      <c r="J86" s="360"/>
      <c r="K86" s="39" t="s">
        <v>34</v>
      </c>
      <c r="L86" s="40" t="e">
        <f>F83/L76*C86</f>
        <v>#REF!</v>
      </c>
      <c r="M86" s="33" t="s">
        <v>37</v>
      </c>
      <c r="N86" s="30" t="s">
        <v>29</v>
      </c>
      <c r="O86" s="34" t="e">
        <f>#REF!</f>
        <v>#REF!</v>
      </c>
      <c r="P86" s="35" t="s">
        <v>38</v>
      </c>
      <c r="Q86" s="359" t="s">
        <v>39</v>
      </c>
      <c r="R86" s="359"/>
      <c r="S86" s="359"/>
      <c r="T86" s="30" t="s">
        <v>29</v>
      </c>
      <c r="U86" s="360" t="e">
        <f>#REF!</f>
        <v>#REF!</v>
      </c>
      <c r="V86" s="360"/>
      <c r="W86" s="39" t="s">
        <v>34</v>
      </c>
      <c r="X86" s="40" t="e">
        <f>R83/X76*O86</f>
        <v>#REF!</v>
      </c>
    </row>
    <row r="87" spans="1:24" ht="18.75" customHeight="1">
      <c r="A87" s="33" t="s">
        <v>40</v>
      </c>
      <c r="B87" s="30" t="s">
        <v>29</v>
      </c>
      <c r="C87" s="34" t="e">
        <f>#REF!</f>
        <v>#REF!</v>
      </c>
      <c r="D87" s="35" t="s">
        <v>38</v>
      </c>
      <c r="E87" s="31" t="s">
        <v>41</v>
      </c>
      <c r="F87" s="31"/>
      <c r="G87" s="31"/>
      <c r="H87" s="30" t="s">
        <v>29</v>
      </c>
      <c r="I87" s="358" t="e">
        <f>$F$8/$L$1*C87</f>
        <v>#REF!</v>
      </c>
      <c r="J87" s="358"/>
      <c r="K87" s="39" t="s">
        <v>34</v>
      </c>
      <c r="L87" s="40"/>
      <c r="M87" s="33" t="s">
        <v>40</v>
      </c>
      <c r="N87" s="30" t="s">
        <v>29</v>
      </c>
      <c r="O87" s="34" t="e">
        <f>#REF!</f>
        <v>#REF!</v>
      </c>
      <c r="P87" s="35" t="s">
        <v>38</v>
      </c>
      <c r="Q87" s="31" t="s">
        <v>41</v>
      </c>
      <c r="R87" s="31"/>
      <c r="S87" s="31"/>
      <c r="T87" s="30" t="s">
        <v>29</v>
      </c>
      <c r="U87" s="358" t="e">
        <f>$F$8/$L$1*O87</f>
        <v>#REF!</v>
      </c>
      <c r="V87" s="358"/>
      <c r="W87" s="39" t="s">
        <v>34</v>
      </c>
      <c r="X87" s="40"/>
    </row>
    <row r="88" spans="1:24" ht="18.75" customHeight="1">
      <c r="A88" s="33" t="s">
        <v>42</v>
      </c>
      <c r="B88" s="30" t="s">
        <v>29</v>
      </c>
      <c r="C88" s="34" t="e">
        <f>#REF!</f>
        <v>#REF!</v>
      </c>
      <c r="D88" s="35" t="s">
        <v>38</v>
      </c>
      <c r="E88" s="357" t="s">
        <v>43</v>
      </c>
      <c r="F88" s="357"/>
      <c r="G88" s="357"/>
      <c r="H88" s="30" t="s">
        <v>29</v>
      </c>
      <c r="I88" s="358" t="e">
        <f>$F$8/$L$1*C88</f>
        <v>#REF!</v>
      </c>
      <c r="J88" s="358"/>
      <c r="K88" s="39" t="s">
        <v>34</v>
      </c>
      <c r="L88" s="40"/>
      <c r="M88" s="33" t="s">
        <v>42</v>
      </c>
      <c r="N88" s="30" t="s">
        <v>29</v>
      </c>
      <c r="O88" s="34" t="e">
        <f>#REF!</f>
        <v>#REF!</v>
      </c>
      <c r="P88" s="35" t="s">
        <v>38</v>
      </c>
      <c r="Q88" s="357" t="s">
        <v>43</v>
      </c>
      <c r="R88" s="357"/>
      <c r="S88" s="357"/>
      <c r="T88" s="30" t="s">
        <v>29</v>
      </c>
      <c r="U88" s="358" t="e">
        <f>$F$8/$L$1*O88</f>
        <v>#REF!</v>
      </c>
      <c r="V88" s="358"/>
      <c r="W88" s="39" t="s">
        <v>34</v>
      </c>
      <c r="X88" s="40"/>
    </row>
    <row r="89" spans="1:24" ht="18.75" customHeight="1">
      <c r="A89" s="33" t="s">
        <v>44</v>
      </c>
      <c r="B89" s="30" t="s">
        <v>29</v>
      </c>
      <c r="C89" s="34" t="e">
        <f>#REF!</f>
        <v>#REF!</v>
      </c>
      <c r="D89" s="35" t="s">
        <v>38</v>
      </c>
      <c r="E89" s="357" t="s">
        <v>45</v>
      </c>
      <c r="F89" s="357"/>
      <c r="G89" s="357"/>
      <c r="H89" s="30" t="s">
        <v>29</v>
      </c>
      <c r="I89" s="358" t="e">
        <f>$F$8/$L$1*C89</f>
        <v>#REF!</v>
      </c>
      <c r="J89" s="358"/>
      <c r="K89" s="39" t="s">
        <v>34</v>
      </c>
      <c r="L89" s="40"/>
      <c r="M89" s="33" t="s">
        <v>44</v>
      </c>
      <c r="N89" s="30" t="s">
        <v>29</v>
      </c>
      <c r="O89" s="34" t="e">
        <f>#REF!</f>
        <v>#REF!</v>
      </c>
      <c r="P89" s="35" t="s">
        <v>38</v>
      </c>
      <c r="Q89" s="357" t="s">
        <v>45</v>
      </c>
      <c r="R89" s="357"/>
      <c r="S89" s="357"/>
      <c r="T89" s="30" t="s">
        <v>29</v>
      </c>
      <c r="U89" s="358" t="e">
        <f>$F$8/$L$1*O89</f>
        <v>#REF!</v>
      </c>
      <c r="V89" s="358"/>
      <c r="W89" s="39" t="s">
        <v>34</v>
      </c>
      <c r="X89" s="40"/>
    </row>
    <row r="90" spans="1:24" ht="18.75" customHeight="1">
      <c r="A90" s="33" t="s">
        <v>46</v>
      </c>
      <c r="B90" s="30" t="s">
        <v>29</v>
      </c>
      <c r="C90" s="34" t="e">
        <f>#REF!</f>
        <v>#REF!</v>
      </c>
      <c r="D90" s="35" t="s">
        <v>47</v>
      </c>
      <c r="E90" s="31" t="s">
        <v>48</v>
      </c>
      <c r="F90" s="31"/>
      <c r="G90" s="31"/>
      <c r="H90" s="30" t="s">
        <v>29</v>
      </c>
      <c r="I90" s="358" t="e">
        <f>#REF!</f>
        <v>#REF!</v>
      </c>
      <c r="J90" s="358"/>
      <c r="K90" s="39" t="s">
        <v>34</v>
      </c>
      <c r="L90" s="40" t="e">
        <f>F83*C90/L76/8*1.5</f>
        <v>#REF!</v>
      </c>
      <c r="M90" s="33" t="s">
        <v>46</v>
      </c>
      <c r="N90" s="30" t="s">
        <v>29</v>
      </c>
      <c r="O90" s="34" t="e">
        <f>#REF!</f>
        <v>#REF!</v>
      </c>
      <c r="P90" s="35" t="s">
        <v>47</v>
      </c>
      <c r="Q90" s="31" t="s">
        <v>48</v>
      </c>
      <c r="R90" s="31"/>
      <c r="S90" s="31"/>
      <c r="T90" s="30" t="s">
        <v>29</v>
      </c>
      <c r="U90" s="358" t="e">
        <f>#REF!</f>
        <v>#REF!</v>
      </c>
      <c r="V90" s="358"/>
      <c r="W90" s="39" t="s">
        <v>34</v>
      </c>
      <c r="X90" s="40" t="e">
        <f>R83*O90/X76/8*1.5</f>
        <v>#REF!</v>
      </c>
    </row>
    <row r="91" spans="1:24" ht="18.75" customHeight="1">
      <c r="A91" s="347" t="s">
        <v>158</v>
      </c>
      <c r="B91" s="31"/>
      <c r="C91" s="34"/>
      <c r="D91" s="35" t="s">
        <v>38</v>
      </c>
      <c r="E91" s="31" t="s">
        <v>159</v>
      </c>
      <c r="F91" s="31"/>
      <c r="G91" s="31"/>
      <c r="H91" s="41" t="s">
        <v>29</v>
      </c>
      <c r="I91" s="358"/>
      <c r="J91" s="358"/>
      <c r="K91" s="39" t="s">
        <v>34</v>
      </c>
      <c r="L91" s="40"/>
      <c r="M91" s="347" t="s">
        <v>158</v>
      </c>
      <c r="N91" s="31"/>
      <c r="O91" s="34"/>
      <c r="P91" s="35" t="s">
        <v>38</v>
      </c>
      <c r="Q91" s="31" t="s">
        <v>159</v>
      </c>
      <c r="R91" s="31"/>
      <c r="S91" s="31"/>
      <c r="T91" s="41" t="s">
        <v>29</v>
      </c>
      <c r="U91" s="358"/>
      <c r="V91" s="358"/>
      <c r="W91" s="39" t="s">
        <v>34</v>
      </c>
      <c r="X91" s="40"/>
    </row>
    <row r="92" spans="1:24" ht="18.75" customHeight="1">
      <c r="A92" s="33" t="s">
        <v>51</v>
      </c>
      <c r="B92" s="30" t="s">
        <v>29</v>
      </c>
      <c r="C92" s="34"/>
      <c r="D92" s="35" t="s">
        <v>38</v>
      </c>
      <c r="E92" s="31" t="s">
        <v>52</v>
      </c>
      <c r="F92" s="31"/>
      <c r="G92" s="31"/>
      <c r="H92" s="30" t="s">
        <v>29</v>
      </c>
      <c r="I92" s="358"/>
      <c r="J92" s="358"/>
      <c r="K92" s="39" t="s">
        <v>34</v>
      </c>
      <c r="L92" s="40"/>
      <c r="M92" s="33" t="s">
        <v>51</v>
      </c>
      <c r="N92" s="30" t="s">
        <v>29</v>
      </c>
      <c r="O92" s="34"/>
      <c r="P92" s="35" t="s">
        <v>38</v>
      </c>
      <c r="Q92" s="31" t="s">
        <v>52</v>
      </c>
      <c r="R92" s="31"/>
      <c r="S92" s="31"/>
      <c r="T92" s="30" t="s">
        <v>29</v>
      </c>
      <c r="U92" s="358"/>
      <c r="V92" s="358"/>
      <c r="W92" s="39" t="s">
        <v>34</v>
      </c>
      <c r="X92" s="40"/>
    </row>
    <row r="93" spans="1:24" ht="18.75" customHeight="1">
      <c r="A93" s="42" t="s">
        <v>53</v>
      </c>
      <c r="B93" s="30"/>
      <c r="C93" s="34" t="e">
        <f>#REF!</f>
        <v>#REF!</v>
      </c>
      <c r="D93" s="35" t="s">
        <v>47</v>
      </c>
      <c r="E93" s="31" t="s">
        <v>54</v>
      </c>
      <c r="F93" s="31"/>
      <c r="G93" s="31"/>
      <c r="H93" s="30" t="s">
        <v>29</v>
      </c>
      <c r="I93" s="358" t="e">
        <f>$F$8*C93/8/$L$1</f>
        <v>#REF!</v>
      </c>
      <c r="J93" s="358"/>
      <c r="K93" s="39" t="s">
        <v>34</v>
      </c>
      <c r="L93" s="40"/>
      <c r="M93" s="42" t="s">
        <v>53</v>
      </c>
      <c r="N93" s="30"/>
      <c r="O93" s="34" t="e">
        <f>#REF!</f>
        <v>#REF!</v>
      </c>
      <c r="P93" s="35" t="s">
        <v>47</v>
      </c>
      <c r="Q93" s="31" t="s">
        <v>54</v>
      </c>
      <c r="R93" s="31"/>
      <c r="S93" s="31"/>
      <c r="T93" s="30" t="s">
        <v>29</v>
      </c>
      <c r="U93" s="358" t="e">
        <f>$F$8*O93/8/$L$1</f>
        <v>#REF!</v>
      </c>
      <c r="V93" s="358"/>
      <c r="W93" s="39" t="s">
        <v>34</v>
      </c>
      <c r="X93" s="40"/>
    </row>
    <row r="94" spans="1:24" ht="18.75" customHeight="1">
      <c r="A94" s="33" t="s">
        <v>155</v>
      </c>
      <c r="B94" s="30" t="s">
        <v>29</v>
      </c>
      <c r="C94" s="34"/>
      <c r="D94" s="35" t="s">
        <v>47</v>
      </c>
      <c r="E94" s="31" t="s">
        <v>61</v>
      </c>
      <c r="F94" s="31"/>
      <c r="G94" s="31"/>
      <c r="H94" s="30" t="s">
        <v>29</v>
      </c>
      <c r="I94" s="360"/>
      <c r="J94" s="360"/>
      <c r="K94" s="39" t="s">
        <v>34</v>
      </c>
      <c r="L94" s="40"/>
      <c r="M94" s="33" t="s">
        <v>155</v>
      </c>
      <c r="N94" s="30" t="s">
        <v>29</v>
      </c>
      <c r="O94" s="34"/>
      <c r="P94" s="35" t="s">
        <v>47</v>
      </c>
      <c r="Q94" s="31" t="s">
        <v>61</v>
      </c>
      <c r="R94" s="31"/>
      <c r="S94" s="31"/>
      <c r="T94" s="30" t="s">
        <v>29</v>
      </c>
      <c r="U94" s="360"/>
      <c r="V94" s="360"/>
      <c r="W94" s="39" t="s">
        <v>34</v>
      </c>
      <c r="X94" s="40"/>
    </row>
    <row r="95" spans="1:24" ht="18.75" customHeight="1">
      <c r="A95" s="33" t="s">
        <v>57</v>
      </c>
      <c r="B95" s="30" t="s">
        <v>29</v>
      </c>
      <c r="C95" s="34"/>
      <c r="D95" s="35" t="s">
        <v>58</v>
      </c>
      <c r="E95" s="31" t="s">
        <v>59</v>
      </c>
      <c r="F95" s="31"/>
      <c r="G95" s="31"/>
      <c r="H95" s="30" t="s">
        <v>29</v>
      </c>
      <c r="I95" s="358"/>
      <c r="J95" s="358"/>
      <c r="K95" s="39" t="s">
        <v>34</v>
      </c>
      <c r="L95" s="40" t="e">
        <f>+IF(L86-I86&lt;0,0,L86-I86)+IF(L90-I90&lt;0,0,L90-I90)</f>
        <v>#REF!</v>
      </c>
      <c r="M95" s="33" t="s">
        <v>57</v>
      </c>
      <c r="N95" s="30" t="s">
        <v>29</v>
      </c>
      <c r="O95" s="34"/>
      <c r="P95" s="35" t="s">
        <v>58</v>
      </c>
      <c r="Q95" s="31" t="s">
        <v>59</v>
      </c>
      <c r="R95" s="31"/>
      <c r="S95" s="31"/>
      <c r="T95" s="30" t="s">
        <v>29</v>
      </c>
      <c r="U95" s="358"/>
      <c r="V95" s="358"/>
      <c r="W95" s="39" t="s">
        <v>34</v>
      </c>
      <c r="X95" s="40" t="e">
        <f>+IF(X86-U86&lt;0,0,X86-U86)+IF(X90-U90&lt;0,0,X90-U90)</f>
        <v>#REF!</v>
      </c>
    </row>
    <row r="96" spans="1:24" ht="18.75" customHeight="1">
      <c r="A96" s="43" t="s">
        <v>152</v>
      </c>
      <c r="B96" s="44"/>
      <c r="C96" s="34"/>
      <c r="D96" s="35" t="s">
        <v>38</v>
      </c>
      <c r="E96" s="31" t="s">
        <v>153</v>
      </c>
      <c r="F96" s="31"/>
      <c r="G96" s="31"/>
      <c r="H96" s="30" t="s">
        <v>29</v>
      </c>
      <c r="I96" s="358"/>
      <c r="J96" s="358"/>
      <c r="K96" s="39" t="s">
        <v>34</v>
      </c>
      <c r="L96" s="40"/>
      <c r="M96" s="43" t="s">
        <v>152</v>
      </c>
      <c r="N96" s="44"/>
      <c r="O96" s="34"/>
      <c r="P96" s="35" t="s">
        <v>38</v>
      </c>
      <c r="Q96" s="31" t="s">
        <v>153</v>
      </c>
      <c r="R96" s="31"/>
      <c r="S96" s="31"/>
      <c r="T96" s="30" t="s">
        <v>29</v>
      </c>
      <c r="U96" s="358"/>
      <c r="V96" s="358"/>
      <c r="W96" s="39" t="s">
        <v>34</v>
      </c>
      <c r="X96" s="40"/>
    </row>
    <row r="97" spans="1:24" ht="18.75" customHeight="1">
      <c r="A97" s="366" t="s">
        <v>154</v>
      </c>
      <c r="B97" s="367"/>
      <c r="C97" s="34"/>
      <c r="D97" s="35"/>
      <c r="E97" s="36"/>
      <c r="F97" s="36"/>
      <c r="G97" s="36"/>
      <c r="H97" s="30" t="s">
        <v>29</v>
      </c>
      <c r="I97" s="358" t="e">
        <f>#REF!</f>
        <v>#REF!</v>
      </c>
      <c r="J97" s="358"/>
      <c r="K97" s="39" t="s">
        <v>34</v>
      </c>
      <c r="L97" s="40"/>
      <c r="M97" s="366" t="s">
        <v>154</v>
      </c>
      <c r="N97" s="367"/>
      <c r="O97" s="34"/>
      <c r="P97" s="35"/>
      <c r="Q97" s="36"/>
      <c r="R97" s="36"/>
      <c r="S97" s="36"/>
      <c r="T97" s="30" t="s">
        <v>29</v>
      </c>
      <c r="U97" s="358" t="e">
        <f>#REF!</f>
        <v>#REF!</v>
      </c>
      <c r="V97" s="358"/>
      <c r="W97" s="39" t="s">
        <v>34</v>
      </c>
      <c r="X97" s="40"/>
    </row>
    <row r="98" spans="1:24" ht="18.75" customHeight="1">
      <c r="A98" s="33" t="s">
        <v>63</v>
      </c>
      <c r="B98" s="30" t="s">
        <v>29</v>
      </c>
      <c r="C98" s="34"/>
      <c r="D98" s="35"/>
      <c r="E98" s="36" t="s">
        <v>64</v>
      </c>
      <c r="F98" s="36"/>
      <c r="G98" s="36"/>
      <c r="H98" s="30" t="s">
        <v>29</v>
      </c>
      <c r="I98" s="358" t="e">
        <f>L95</f>
        <v>#REF!</v>
      </c>
      <c r="J98" s="358"/>
      <c r="K98" s="39" t="s">
        <v>34</v>
      </c>
      <c r="L98" s="40"/>
      <c r="M98" s="33" t="s">
        <v>63</v>
      </c>
      <c r="N98" s="30" t="s">
        <v>29</v>
      </c>
      <c r="O98" s="34"/>
      <c r="P98" s="35"/>
      <c r="Q98" s="36" t="s">
        <v>64</v>
      </c>
      <c r="R98" s="36"/>
      <c r="S98" s="36"/>
      <c r="T98" s="30" t="s">
        <v>29</v>
      </c>
      <c r="U98" s="358" t="e">
        <f>X95</f>
        <v>#REF!</v>
      </c>
      <c r="V98" s="358"/>
      <c r="W98" s="39" t="s">
        <v>34</v>
      </c>
      <c r="X98" s="40"/>
    </row>
    <row r="99" spans="1:24" ht="18.75" customHeight="1">
      <c r="A99" s="362" t="s">
        <v>65</v>
      </c>
      <c r="B99" s="363"/>
      <c r="C99" s="363"/>
      <c r="D99" s="363"/>
      <c r="E99" s="363"/>
      <c r="F99" s="363"/>
      <c r="G99" s="30" t="s">
        <v>29</v>
      </c>
      <c r="H99" s="364" t="e">
        <f>I86+I87+I88+I89+I90+I93+I97+I98+I91+I92+I94+I95+I96+C97</f>
        <v>#REF!</v>
      </c>
      <c r="I99" s="365"/>
      <c r="J99" s="365"/>
      <c r="K99" s="39" t="s">
        <v>34</v>
      </c>
      <c r="M99" s="362" t="s">
        <v>65</v>
      </c>
      <c r="N99" s="363"/>
      <c r="O99" s="363"/>
      <c r="P99" s="363"/>
      <c r="Q99" s="363"/>
      <c r="R99" s="363"/>
      <c r="S99" s="30" t="s">
        <v>29</v>
      </c>
      <c r="T99" s="364" t="e">
        <f>U86+U87+U88+U89+U90+U93+U97+U98+U91+U92+U94+U95+U96+O97</f>
        <v>#REF!</v>
      </c>
      <c r="U99" s="365"/>
      <c r="V99" s="365"/>
      <c r="W99" s="39" t="s">
        <v>34</v>
      </c>
    </row>
    <row r="100" spans="1:24" ht="18.75" customHeight="1">
      <c r="A100" s="45"/>
      <c r="B100" s="46"/>
      <c r="C100" s="46"/>
      <c r="D100" s="46"/>
      <c r="E100" s="46"/>
      <c r="F100" s="46"/>
      <c r="G100" s="46"/>
      <c r="H100" s="46"/>
      <c r="I100" s="46"/>
      <c r="J100" s="46"/>
      <c r="K100" s="47"/>
      <c r="M100" s="45"/>
      <c r="N100" s="46"/>
      <c r="O100" s="46"/>
      <c r="P100" s="46"/>
      <c r="Q100" s="46"/>
      <c r="R100" s="46"/>
      <c r="S100" s="46"/>
      <c r="T100" s="46"/>
      <c r="U100" s="46"/>
      <c r="V100" s="46"/>
      <c r="W100" s="47"/>
    </row>
    <row r="101" spans="1:24" ht="18.75" customHeight="1">
      <c r="A101" s="374" t="s">
        <v>66</v>
      </c>
      <c r="B101" s="375"/>
      <c r="C101" s="375"/>
      <c r="D101" s="375"/>
      <c r="E101" s="375"/>
      <c r="F101" s="375"/>
      <c r="G101" s="30"/>
      <c r="H101" s="30"/>
      <c r="I101" s="30"/>
      <c r="J101" s="30"/>
      <c r="K101" s="39"/>
      <c r="M101" s="374" t="s">
        <v>66</v>
      </c>
      <c r="N101" s="375"/>
      <c r="O101" s="375"/>
      <c r="P101" s="375"/>
      <c r="Q101" s="375"/>
      <c r="R101" s="375"/>
      <c r="S101" s="30"/>
      <c r="T101" s="30"/>
      <c r="U101" s="30"/>
      <c r="V101" s="30"/>
      <c r="W101" s="39"/>
    </row>
    <row r="102" spans="1:24" ht="18.75" customHeight="1">
      <c r="A102" s="368" t="s">
        <v>67</v>
      </c>
      <c r="B102" s="369"/>
      <c r="C102" s="369"/>
      <c r="D102" s="369"/>
      <c r="E102" s="369"/>
      <c r="F102" s="369"/>
      <c r="G102" s="30" t="s">
        <v>29</v>
      </c>
      <c r="H102" s="376" t="e">
        <f>IF(($L$1-(C86+C87+C88+C89))&gt;12,0,F83*8%)</f>
        <v>#REF!</v>
      </c>
      <c r="I102" s="376"/>
      <c r="J102" s="376"/>
      <c r="K102" s="39" t="s">
        <v>34</v>
      </c>
      <c r="M102" s="368" t="s">
        <v>67</v>
      </c>
      <c r="N102" s="369"/>
      <c r="O102" s="369"/>
      <c r="P102" s="369"/>
      <c r="Q102" s="369"/>
      <c r="R102" s="369"/>
      <c r="S102" s="30" t="s">
        <v>29</v>
      </c>
      <c r="T102" s="376" t="e">
        <f>IF(($L$1-(O86+O87+O88+O89))&gt;12,0,R83*8%)</f>
        <v>#REF!</v>
      </c>
      <c r="U102" s="376"/>
      <c r="V102" s="376"/>
      <c r="W102" s="39" t="s">
        <v>34</v>
      </c>
    </row>
    <row r="103" spans="1:24" ht="18.75" customHeight="1">
      <c r="A103" s="368" t="s">
        <v>68</v>
      </c>
      <c r="B103" s="369"/>
      <c r="C103" s="369"/>
      <c r="D103" s="369"/>
      <c r="E103" s="369"/>
      <c r="F103" s="369"/>
      <c r="G103" s="30" t="s">
        <v>29</v>
      </c>
      <c r="H103" s="370" t="e">
        <f>IF(($L$1-(C86+C87+C88+C89))&gt;12,0,F83*1.5%)</f>
        <v>#REF!</v>
      </c>
      <c r="I103" s="370"/>
      <c r="J103" s="370"/>
      <c r="K103" s="39" t="s">
        <v>34</v>
      </c>
      <c r="M103" s="368" t="s">
        <v>68</v>
      </c>
      <c r="N103" s="369"/>
      <c r="O103" s="369"/>
      <c r="P103" s="369"/>
      <c r="Q103" s="369"/>
      <c r="R103" s="369"/>
      <c r="S103" s="30" t="s">
        <v>29</v>
      </c>
      <c r="T103" s="370" t="e">
        <f>IF(($L$1-(O86+O87+O88+O89))&gt;12,0,R83*1.5%)</f>
        <v>#REF!</v>
      </c>
      <c r="U103" s="370"/>
      <c r="V103" s="370"/>
      <c r="W103" s="39" t="s">
        <v>34</v>
      </c>
    </row>
    <row r="104" spans="1:24" ht="18.75" customHeight="1">
      <c r="A104" s="368" t="s">
        <v>69</v>
      </c>
      <c r="B104" s="369"/>
      <c r="C104" s="369"/>
      <c r="D104" s="369"/>
      <c r="E104" s="369"/>
      <c r="F104" s="369"/>
      <c r="G104" s="30" t="s">
        <v>29</v>
      </c>
      <c r="H104" s="370" t="e">
        <f>IF(($L$1-(C86+C87+C88+C89))&gt;12,0,F83*1%)</f>
        <v>#REF!</v>
      </c>
      <c r="I104" s="370"/>
      <c r="J104" s="370"/>
      <c r="K104" s="39" t="s">
        <v>34</v>
      </c>
      <c r="M104" s="368" t="s">
        <v>69</v>
      </c>
      <c r="N104" s="369"/>
      <c r="O104" s="369"/>
      <c r="P104" s="369"/>
      <c r="Q104" s="369"/>
      <c r="R104" s="369"/>
      <c r="S104" s="30" t="s">
        <v>29</v>
      </c>
      <c r="T104" s="370" t="e">
        <f>IF(($L$1-(O86+O87+O88+O89))&gt;12,0,R83*1%)</f>
        <v>#REF!</v>
      </c>
      <c r="U104" s="370"/>
      <c r="V104" s="370"/>
      <c r="W104" s="39" t="s">
        <v>34</v>
      </c>
    </row>
    <row r="105" spans="1:24" ht="18.75" customHeight="1">
      <c r="A105" s="368" t="s">
        <v>70</v>
      </c>
      <c r="B105" s="369"/>
      <c r="C105" s="369"/>
      <c r="D105" s="369"/>
      <c r="E105" s="369"/>
      <c r="F105" s="369"/>
      <c r="G105" s="30" t="s">
        <v>29</v>
      </c>
      <c r="H105" s="370">
        <v>0</v>
      </c>
      <c r="I105" s="370"/>
      <c r="J105" s="370"/>
      <c r="K105" s="39" t="s">
        <v>34</v>
      </c>
      <c r="M105" s="368" t="s">
        <v>70</v>
      </c>
      <c r="N105" s="369"/>
      <c r="O105" s="369"/>
      <c r="P105" s="369"/>
      <c r="Q105" s="369"/>
      <c r="R105" s="369"/>
      <c r="S105" s="30" t="s">
        <v>29</v>
      </c>
      <c r="T105" s="370">
        <v>0</v>
      </c>
      <c r="U105" s="370"/>
      <c r="V105" s="370"/>
      <c r="W105" s="39" t="s">
        <v>34</v>
      </c>
    </row>
    <row r="106" spans="1:24" ht="18.75" customHeight="1">
      <c r="A106" s="371" t="s">
        <v>71</v>
      </c>
      <c r="B106" s="372"/>
      <c r="C106" s="372"/>
      <c r="D106" s="372"/>
      <c r="E106" s="372"/>
      <c r="F106" s="372"/>
      <c r="G106" s="30" t="s">
        <v>29</v>
      </c>
      <c r="H106" s="373" t="e">
        <f>SUM(H102:J105)</f>
        <v>#REF!</v>
      </c>
      <c r="I106" s="373"/>
      <c r="J106" s="373"/>
      <c r="K106" s="39" t="s">
        <v>34</v>
      </c>
      <c r="M106" s="371" t="s">
        <v>71</v>
      </c>
      <c r="N106" s="372"/>
      <c r="O106" s="372"/>
      <c r="P106" s="372"/>
      <c r="Q106" s="372"/>
      <c r="R106" s="372"/>
      <c r="S106" s="30" t="s">
        <v>29</v>
      </c>
      <c r="T106" s="373" t="e">
        <f>SUM(T102:V105)</f>
        <v>#REF!</v>
      </c>
      <c r="U106" s="373"/>
      <c r="V106" s="373"/>
      <c r="W106" s="39" t="s">
        <v>34</v>
      </c>
    </row>
    <row r="107" spans="1:24" ht="18.75" customHeight="1">
      <c r="A107" s="368" t="s">
        <v>72</v>
      </c>
      <c r="B107" s="369"/>
      <c r="C107" s="369"/>
      <c r="D107" s="369"/>
      <c r="E107" s="369"/>
      <c r="F107" s="369"/>
      <c r="G107" s="30" t="s">
        <v>29</v>
      </c>
      <c r="H107" s="381" t="e">
        <f>ROUND(H99-H106,-2)</f>
        <v>#REF!</v>
      </c>
      <c r="I107" s="381"/>
      <c r="J107" s="381"/>
      <c r="K107" s="39" t="s">
        <v>34</v>
      </c>
      <c r="M107" s="368" t="s">
        <v>72</v>
      </c>
      <c r="N107" s="369"/>
      <c r="O107" s="369"/>
      <c r="P107" s="369"/>
      <c r="Q107" s="369"/>
      <c r="R107" s="369"/>
      <c r="S107" s="30" t="s">
        <v>29</v>
      </c>
      <c r="T107" s="381" t="e">
        <f>ROUND(T99-T106,-2)</f>
        <v>#REF!</v>
      </c>
      <c r="U107" s="381"/>
      <c r="V107" s="381"/>
      <c r="W107" s="39" t="s">
        <v>34</v>
      </c>
    </row>
    <row r="108" spans="1:24" ht="18.75" customHeight="1">
      <c r="A108" s="48"/>
      <c r="B108" s="49"/>
      <c r="C108" s="49"/>
      <c r="D108" s="49"/>
      <c r="E108" s="49"/>
      <c r="F108" s="49"/>
      <c r="G108" s="49"/>
      <c r="H108" s="49"/>
      <c r="I108" s="49"/>
      <c r="J108" s="49"/>
      <c r="K108" s="50"/>
      <c r="M108" s="48"/>
      <c r="N108" s="49"/>
      <c r="O108" s="49"/>
      <c r="P108" s="49"/>
      <c r="Q108" s="49"/>
      <c r="R108" s="49"/>
      <c r="S108" s="49"/>
      <c r="T108" s="49"/>
      <c r="U108" s="49"/>
      <c r="V108" s="49"/>
      <c r="W108" s="50"/>
    </row>
    <row r="109" spans="1:24" ht="18.75" customHeight="1">
      <c r="A109" s="51"/>
      <c r="B109" s="30"/>
      <c r="C109" s="30"/>
      <c r="D109" s="30"/>
      <c r="E109" s="30"/>
      <c r="F109" s="30"/>
      <c r="G109" s="30"/>
      <c r="H109" s="30"/>
      <c r="I109" s="378" t="s">
        <v>73</v>
      </c>
      <c r="J109" s="378"/>
      <c r="K109" s="382"/>
      <c r="M109" s="51"/>
      <c r="N109" s="30"/>
      <c r="O109" s="30"/>
      <c r="P109" s="30"/>
      <c r="Q109" s="30"/>
      <c r="R109" s="30"/>
      <c r="S109" s="30"/>
      <c r="T109" s="30"/>
      <c r="U109" s="378" t="s">
        <v>73</v>
      </c>
      <c r="V109" s="378"/>
      <c r="W109" s="382"/>
    </row>
    <row r="110" spans="1:24" ht="18.75" customHeight="1">
      <c r="A110" s="51"/>
      <c r="B110" s="377"/>
      <c r="C110" s="378"/>
      <c r="D110" s="378"/>
      <c r="E110" s="378"/>
      <c r="F110" s="30"/>
      <c r="G110" s="30"/>
      <c r="H110" s="30"/>
      <c r="I110" s="30"/>
      <c r="J110" s="30"/>
      <c r="K110" s="32"/>
      <c r="M110" s="51"/>
      <c r="N110" s="377"/>
      <c r="O110" s="378"/>
      <c r="P110" s="378"/>
      <c r="Q110" s="378"/>
      <c r="R110" s="30"/>
      <c r="S110" s="30"/>
      <c r="T110" s="30"/>
      <c r="U110" s="30"/>
      <c r="V110" s="30"/>
      <c r="W110" s="32"/>
    </row>
    <row r="111" spans="1:24" ht="18.75" customHeight="1" thickBot="1">
      <c r="A111" s="53"/>
      <c r="B111" s="54"/>
      <c r="C111" s="54"/>
      <c r="D111" s="54"/>
      <c r="E111" s="54"/>
      <c r="F111" s="54"/>
      <c r="G111" s="54"/>
      <c r="H111" s="54"/>
      <c r="I111" s="379" t="s">
        <v>74</v>
      </c>
      <c r="J111" s="379"/>
      <c r="K111" s="380"/>
      <c r="M111" s="53"/>
      <c r="N111" s="54"/>
      <c r="O111" s="54"/>
      <c r="P111" s="54"/>
      <c r="Q111" s="54"/>
      <c r="R111" s="54"/>
      <c r="S111" s="54"/>
      <c r="T111" s="54"/>
      <c r="U111" s="379" t="s">
        <v>74</v>
      </c>
      <c r="V111" s="379"/>
      <c r="W111" s="380"/>
    </row>
    <row r="112" spans="1:24" ht="18.75" customHeight="1" thickTop="1" thickBot="1"/>
    <row r="113" spans="1:24" ht="18.75" customHeight="1" thickTop="1">
      <c r="A113" s="351" t="s">
        <v>160</v>
      </c>
      <c r="B113" s="352"/>
      <c r="C113" s="352"/>
      <c r="D113" s="352"/>
      <c r="E113" s="352"/>
      <c r="F113" s="352"/>
      <c r="G113" s="352"/>
      <c r="H113" s="352"/>
      <c r="I113" s="352"/>
      <c r="J113" s="352"/>
      <c r="K113" s="353"/>
      <c r="L113" s="26">
        <v>26</v>
      </c>
      <c r="M113" s="351" t="s">
        <v>160</v>
      </c>
      <c r="N113" s="352"/>
      <c r="O113" s="352"/>
      <c r="P113" s="352"/>
      <c r="Q113" s="352"/>
      <c r="R113" s="352"/>
      <c r="S113" s="352"/>
      <c r="T113" s="352"/>
      <c r="U113" s="352"/>
      <c r="V113" s="352"/>
      <c r="W113" s="353"/>
      <c r="X113" s="26">
        <v>26</v>
      </c>
    </row>
    <row r="114" spans="1:24" ht="18.75" customHeight="1">
      <c r="A114" s="27" t="s">
        <v>81</v>
      </c>
      <c r="B114" s="28"/>
      <c r="C114" s="28"/>
      <c r="D114" s="28"/>
      <c r="E114" s="28"/>
      <c r="F114" s="28"/>
      <c r="G114" s="28"/>
      <c r="H114" s="28"/>
      <c r="I114" s="28"/>
      <c r="J114" s="28"/>
      <c r="K114" s="29"/>
      <c r="M114" s="27" t="s">
        <v>82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9"/>
    </row>
    <row r="115" spans="1:24" ht="18.75" customHeight="1">
      <c r="A115" s="354" t="s">
        <v>27</v>
      </c>
      <c r="B115" s="355"/>
      <c r="C115" s="355"/>
      <c r="D115" s="355"/>
      <c r="E115" s="355"/>
      <c r="F115" s="355"/>
      <c r="G115" s="355"/>
      <c r="H115" s="355"/>
      <c r="I115" s="355"/>
      <c r="J115" s="355"/>
      <c r="K115" s="356"/>
      <c r="M115" s="354" t="s">
        <v>27</v>
      </c>
      <c r="N115" s="355"/>
      <c r="O115" s="355"/>
      <c r="P115" s="355"/>
      <c r="Q115" s="355"/>
      <c r="R115" s="355"/>
      <c r="S115" s="355"/>
      <c r="T115" s="355"/>
      <c r="U115" s="355"/>
      <c r="V115" s="355"/>
      <c r="W115" s="356"/>
    </row>
    <row r="116" spans="1:24" ht="18.75" customHeight="1">
      <c r="A116" s="347" t="s">
        <v>28</v>
      </c>
      <c r="B116" s="31"/>
      <c r="C116" s="31"/>
      <c r="D116" s="31"/>
      <c r="E116" s="30" t="s">
        <v>29</v>
      </c>
      <c r="F116" s="348">
        <f>'Bang TH nop'!B21</f>
        <v>0</v>
      </c>
      <c r="G116" s="31"/>
      <c r="H116" s="31"/>
      <c r="I116" s="31"/>
      <c r="J116" s="31"/>
      <c r="K116" s="350"/>
      <c r="M116" s="347" t="s">
        <v>28</v>
      </c>
      <c r="N116" s="31"/>
      <c r="O116" s="31"/>
      <c r="P116" s="31"/>
      <c r="Q116" s="30" t="s">
        <v>29</v>
      </c>
      <c r="R116" s="348">
        <f>'Bang TH nop'!B23</f>
        <v>0</v>
      </c>
      <c r="S116" s="31"/>
      <c r="T116" s="31"/>
      <c r="U116" s="31"/>
      <c r="V116" s="31"/>
      <c r="W116" s="350"/>
    </row>
    <row r="117" spans="1:24" ht="18.75" customHeight="1">
      <c r="A117" s="347" t="s">
        <v>30</v>
      </c>
      <c r="B117" s="31"/>
      <c r="C117" s="31"/>
      <c r="D117" s="31"/>
      <c r="E117" s="30" t="s">
        <v>29</v>
      </c>
      <c r="F117" s="348">
        <f>'Bang TH nop'!C21</f>
        <v>0</v>
      </c>
      <c r="G117" s="348"/>
      <c r="H117" s="348"/>
      <c r="I117" s="348"/>
      <c r="J117" s="348"/>
      <c r="K117" s="349"/>
      <c r="M117" s="347" t="s">
        <v>30</v>
      </c>
      <c r="N117" s="31"/>
      <c r="O117" s="31"/>
      <c r="P117" s="31"/>
      <c r="Q117" s="30" t="s">
        <v>29</v>
      </c>
      <c r="R117" s="348">
        <f>'Bang TH nop'!C23</f>
        <v>0</v>
      </c>
      <c r="S117" s="348"/>
      <c r="T117" s="348"/>
      <c r="U117" s="348"/>
      <c r="V117" s="348"/>
      <c r="W117" s="349"/>
    </row>
    <row r="118" spans="1:24" ht="18.75" customHeight="1">
      <c r="A118" s="347" t="s">
        <v>31</v>
      </c>
      <c r="B118" s="31"/>
      <c r="C118" s="31"/>
      <c r="D118" s="31"/>
      <c r="E118" s="30" t="s">
        <v>29</v>
      </c>
      <c r="F118" s="31" t="str">
        <f>+$L$2</f>
        <v xml:space="preserve">Tổ  </v>
      </c>
      <c r="G118" s="31"/>
      <c r="H118" s="31"/>
      <c r="I118" s="31"/>
      <c r="J118" s="31"/>
      <c r="K118" s="350"/>
      <c r="M118" s="347" t="s">
        <v>31</v>
      </c>
      <c r="N118" s="31"/>
      <c r="O118" s="31"/>
      <c r="P118" s="31"/>
      <c r="Q118" s="30" t="s">
        <v>29</v>
      </c>
      <c r="R118" s="31" t="str">
        <f>+$L$2</f>
        <v xml:space="preserve">Tổ  </v>
      </c>
      <c r="S118" s="31"/>
      <c r="T118" s="31"/>
      <c r="U118" s="31"/>
      <c r="V118" s="31"/>
      <c r="W118" s="350"/>
    </row>
    <row r="119" spans="1:24" ht="18.75" customHeight="1">
      <c r="A119" s="354" t="s">
        <v>32</v>
      </c>
      <c r="B119" s="355"/>
      <c r="C119" s="355"/>
      <c r="D119" s="355"/>
      <c r="E119" s="355"/>
      <c r="F119" s="355"/>
      <c r="G119" s="355"/>
      <c r="H119" s="355"/>
      <c r="I119" s="355"/>
      <c r="J119" s="355"/>
      <c r="K119" s="356"/>
      <c r="M119" s="354" t="s">
        <v>32</v>
      </c>
      <c r="N119" s="355"/>
      <c r="O119" s="355"/>
      <c r="P119" s="355"/>
      <c r="Q119" s="355"/>
      <c r="R119" s="355"/>
      <c r="S119" s="355"/>
      <c r="T119" s="355"/>
      <c r="U119" s="355"/>
      <c r="V119" s="355"/>
      <c r="W119" s="356"/>
    </row>
    <row r="120" spans="1:24" ht="18.75" customHeight="1">
      <c r="A120" s="347" t="s">
        <v>33</v>
      </c>
      <c r="B120" s="31"/>
      <c r="C120" s="31"/>
      <c r="D120" s="31"/>
      <c r="E120" s="30" t="s">
        <v>29</v>
      </c>
      <c r="F120" s="361">
        <f>VLOOKUP(F117,'Bang TH nop'!$C$9:$AP$266,29,0)</f>
        <v>0</v>
      </c>
      <c r="G120" s="361"/>
      <c r="H120" s="361"/>
      <c r="I120" s="361"/>
      <c r="J120" s="30" t="s">
        <v>34</v>
      </c>
      <c r="K120" s="32"/>
      <c r="M120" s="347" t="s">
        <v>33</v>
      </c>
      <c r="N120" s="31"/>
      <c r="O120" s="31"/>
      <c r="P120" s="31"/>
      <c r="Q120" s="30" t="s">
        <v>29</v>
      </c>
      <c r="R120" s="361">
        <f>VLOOKUP(R117,'Bang TH nop'!$C$9:$AP$266,29,0)</f>
        <v>0</v>
      </c>
      <c r="S120" s="361"/>
      <c r="T120" s="361"/>
      <c r="U120" s="361"/>
      <c r="V120" s="30" t="s">
        <v>34</v>
      </c>
      <c r="W120" s="32"/>
    </row>
    <row r="121" spans="1:24" ht="18.75" customHeight="1">
      <c r="A121" s="33" t="s">
        <v>35</v>
      </c>
      <c r="B121" s="30"/>
      <c r="C121" s="34"/>
      <c r="D121" s="35"/>
      <c r="E121" s="36"/>
      <c r="F121" s="36"/>
      <c r="G121" s="36"/>
      <c r="H121" s="30"/>
      <c r="I121" s="37" t="e">
        <f>#REF!</f>
        <v>#REF!</v>
      </c>
      <c r="J121" s="38"/>
      <c r="K121" s="39"/>
      <c r="M121" s="33" t="s">
        <v>35</v>
      </c>
      <c r="N121" s="30"/>
      <c r="O121" s="34"/>
      <c r="P121" s="35"/>
      <c r="Q121" s="36"/>
      <c r="R121" s="36"/>
      <c r="S121" s="36"/>
      <c r="T121" s="30"/>
      <c r="U121" s="37" t="e">
        <f>#REF!</f>
        <v>#REF!</v>
      </c>
      <c r="V121" s="38"/>
      <c r="W121" s="39"/>
    </row>
    <row r="122" spans="1:24" ht="18.75" customHeight="1">
      <c r="A122" s="33" t="s">
        <v>36</v>
      </c>
      <c r="B122" s="30"/>
      <c r="C122" s="34"/>
      <c r="D122" s="35"/>
      <c r="E122" s="36"/>
      <c r="F122" s="36"/>
      <c r="G122" s="36"/>
      <c r="H122" s="30"/>
      <c r="I122" s="37" t="e">
        <f>I123/C123/8</f>
        <v>#REF!</v>
      </c>
      <c r="J122" s="38"/>
      <c r="K122" s="39"/>
      <c r="M122" s="33" t="s">
        <v>36</v>
      </c>
      <c r="N122" s="30"/>
      <c r="O122" s="34"/>
      <c r="P122" s="35"/>
      <c r="Q122" s="36"/>
      <c r="R122" s="36"/>
      <c r="S122" s="36"/>
      <c r="T122" s="30"/>
      <c r="U122" s="37" t="e">
        <f>U123/O123/8</f>
        <v>#REF!</v>
      </c>
      <c r="V122" s="38"/>
      <c r="W122" s="39"/>
    </row>
    <row r="123" spans="1:24" ht="18.75" customHeight="1">
      <c r="A123" s="33" t="s">
        <v>37</v>
      </c>
      <c r="B123" s="30" t="s">
        <v>29</v>
      </c>
      <c r="C123" s="34" t="e">
        <f>#REF!</f>
        <v>#REF!</v>
      </c>
      <c r="D123" s="35" t="s">
        <v>38</v>
      </c>
      <c r="E123" s="359" t="s">
        <v>39</v>
      </c>
      <c r="F123" s="359"/>
      <c r="G123" s="359"/>
      <c r="H123" s="30" t="s">
        <v>29</v>
      </c>
      <c r="I123" s="360" t="e">
        <f>#REF!</f>
        <v>#REF!</v>
      </c>
      <c r="J123" s="360"/>
      <c r="K123" s="39" t="s">
        <v>34</v>
      </c>
      <c r="L123" s="40" t="e">
        <f>F120/L113*C123</f>
        <v>#REF!</v>
      </c>
      <c r="M123" s="33" t="s">
        <v>37</v>
      </c>
      <c r="N123" s="30" t="s">
        <v>29</v>
      </c>
      <c r="O123" s="34" t="e">
        <f>#REF!</f>
        <v>#REF!</v>
      </c>
      <c r="P123" s="35" t="s">
        <v>38</v>
      </c>
      <c r="Q123" s="359" t="s">
        <v>39</v>
      </c>
      <c r="R123" s="359"/>
      <c r="S123" s="359"/>
      <c r="T123" s="30" t="s">
        <v>29</v>
      </c>
      <c r="U123" s="360" t="e">
        <f>#REF!</f>
        <v>#REF!</v>
      </c>
      <c r="V123" s="360"/>
      <c r="W123" s="39" t="s">
        <v>34</v>
      </c>
      <c r="X123" s="40" t="e">
        <f>R120/X113*O123</f>
        <v>#REF!</v>
      </c>
    </row>
    <row r="124" spans="1:24" ht="18.75" customHeight="1">
      <c r="A124" s="33" t="s">
        <v>40</v>
      </c>
      <c r="B124" s="30" t="s">
        <v>29</v>
      </c>
      <c r="C124" s="34" t="e">
        <f>#REF!</f>
        <v>#REF!</v>
      </c>
      <c r="D124" s="35" t="s">
        <v>38</v>
      </c>
      <c r="E124" s="31" t="s">
        <v>41</v>
      </c>
      <c r="F124" s="31"/>
      <c r="G124" s="31"/>
      <c r="H124" s="30" t="s">
        <v>29</v>
      </c>
      <c r="I124" s="358" t="e">
        <f>$F$8/$L$1*C124</f>
        <v>#REF!</v>
      </c>
      <c r="J124" s="358"/>
      <c r="K124" s="39" t="s">
        <v>34</v>
      </c>
      <c r="L124" s="40"/>
      <c r="M124" s="33" t="s">
        <v>40</v>
      </c>
      <c r="N124" s="30" t="s">
        <v>29</v>
      </c>
      <c r="O124" s="34" t="e">
        <f>#REF!</f>
        <v>#REF!</v>
      </c>
      <c r="P124" s="35" t="s">
        <v>38</v>
      </c>
      <c r="Q124" s="31" t="s">
        <v>41</v>
      </c>
      <c r="R124" s="31"/>
      <c r="S124" s="31"/>
      <c r="T124" s="30" t="s">
        <v>29</v>
      </c>
      <c r="U124" s="358" t="e">
        <f>$F$8/$L$1*O124</f>
        <v>#REF!</v>
      </c>
      <c r="V124" s="358"/>
      <c r="W124" s="39" t="s">
        <v>34</v>
      </c>
      <c r="X124" s="40"/>
    </row>
    <row r="125" spans="1:24" ht="18.75" customHeight="1">
      <c r="A125" s="33" t="s">
        <v>42</v>
      </c>
      <c r="B125" s="30" t="s">
        <v>29</v>
      </c>
      <c r="C125" s="34" t="e">
        <f>#REF!</f>
        <v>#REF!</v>
      </c>
      <c r="D125" s="35" t="s">
        <v>38</v>
      </c>
      <c r="E125" s="357" t="s">
        <v>43</v>
      </c>
      <c r="F125" s="357"/>
      <c r="G125" s="357"/>
      <c r="H125" s="30" t="s">
        <v>29</v>
      </c>
      <c r="I125" s="358" t="e">
        <f>$F$8/$L$1*C125</f>
        <v>#REF!</v>
      </c>
      <c r="J125" s="358"/>
      <c r="K125" s="39" t="s">
        <v>34</v>
      </c>
      <c r="L125" s="40"/>
      <c r="M125" s="33" t="s">
        <v>42</v>
      </c>
      <c r="N125" s="30" t="s">
        <v>29</v>
      </c>
      <c r="O125" s="34" t="e">
        <f>#REF!</f>
        <v>#REF!</v>
      </c>
      <c r="P125" s="35" t="s">
        <v>38</v>
      </c>
      <c r="Q125" s="357" t="s">
        <v>43</v>
      </c>
      <c r="R125" s="357"/>
      <c r="S125" s="357"/>
      <c r="T125" s="30" t="s">
        <v>29</v>
      </c>
      <c r="U125" s="358" t="e">
        <f>$F$8/$L$1*O125</f>
        <v>#REF!</v>
      </c>
      <c r="V125" s="358"/>
      <c r="W125" s="39" t="s">
        <v>34</v>
      </c>
      <c r="X125" s="40"/>
    </row>
    <row r="126" spans="1:24" ht="18.75" customHeight="1">
      <c r="A126" s="33" t="s">
        <v>44</v>
      </c>
      <c r="B126" s="30" t="s">
        <v>29</v>
      </c>
      <c r="C126" s="34" t="e">
        <f>#REF!</f>
        <v>#REF!</v>
      </c>
      <c r="D126" s="35" t="s">
        <v>38</v>
      </c>
      <c r="E126" s="357" t="s">
        <v>45</v>
      </c>
      <c r="F126" s="357"/>
      <c r="G126" s="357"/>
      <c r="H126" s="30" t="s">
        <v>29</v>
      </c>
      <c r="I126" s="358" t="e">
        <f>$F$8/$L$1*C126</f>
        <v>#REF!</v>
      </c>
      <c r="J126" s="358"/>
      <c r="K126" s="39" t="s">
        <v>34</v>
      </c>
      <c r="L126" s="40"/>
      <c r="M126" s="33" t="s">
        <v>44</v>
      </c>
      <c r="N126" s="30" t="s">
        <v>29</v>
      </c>
      <c r="O126" s="34" t="e">
        <f>#REF!</f>
        <v>#REF!</v>
      </c>
      <c r="P126" s="35" t="s">
        <v>38</v>
      </c>
      <c r="Q126" s="357" t="s">
        <v>45</v>
      </c>
      <c r="R126" s="357"/>
      <c r="S126" s="357"/>
      <c r="T126" s="30" t="s">
        <v>29</v>
      </c>
      <c r="U126" s="358" t="e">
        <f>$F$8/$L$1*O126</f>
        <v>#REF!</v>
      </c>
      <c r="V126" s="358"/>
      <c r="W126" s="39" t="s">
        <v>34</v>
      </c>
      <c r="X126" s="40"/>
    </row>
    <row r="127" spans="1:24" ht="18.75" customHeight="1">
      <c r="A127" s="33" t="s">
        <v>46</v>
      </c>
      <c r="B127" s="30" t="s">
        <v>29</v>
      </c>
      <c r="C127" s="34" t="e">
        <f>#REF!</f>
        <v>#REF!</v>
      </c>
      <c r="D127" s="35" t="s">
        <v>47</v>
      </c>
      <c r="E127" s="31" t="s">
        <v>48</v>
      </c>
      <c r="F127" s="31"/>
      <c r="G127" s="31"/>
      <c r="H127" s="30" t="s">
        <v>29</v>
      </c>
      <c r="I127" s="358" t="e">
        <f>#REF!</f>
        <v>#REF!</v>
      </c>
      <c r="J127" s="358"/>
      <c r="K127" s="39" t="s">
        <v>34</v>
      </c>
      <c r="L127" s="40" t="e">
        <f>F120*C127/L113/8*1.5</f>
        <v>#REF!</v>
      </c>
      <c r="M127" s="33" t="s">
        <v>46</v>
      </c>
      <c r="N127" s="30" t="s">
        <v>29</v>
      </c>
      <c r="O127" s="34" t="e">
        <f>#REF!</f>
        <v>#REF!</v>
      </c>
      <c r="P127" s="35" t="s">
        <v>47</v>
      </c>
      <c r="Q127" s="31" t="s">
        <v>48</v>
      </c>
      <c r="R127" s="31"/>
      <c r="S127" s="31"/>
      <c r="T127" s="30" t="s">
        <v>29</v>
      </c>
      <c r="U127" s="358" t="e">
        <f>#REF!</f>
        <v>#REF!</v>
      </c>
      <c r="V127" s="358"/>
      <c r="W127" s="39" t="s">
        <v>34</v>
      </c>
      <c r="X127" s="40" t="e">
        <f>R120*O127/X113/8*1.5</f>
        <v>#REF!</v>
      </c>
    </row>
    <row r="128" spans="1:24" ht="18.75" customHeight="1">
      <c r="A128" s="347" t="s">
        <v>49</v>
      </c>
      <c r="B128" s="31"/>
      <c r="C128" s="34"/>
      <c r="D128" s="35" t="s">
        <v>38</v>
      </c>
      <c r="E128" s="31" t="s">
        <v>50</v>
      </c>
      <c r="F128" s="31"/>
      <c r="G128" s="31"/>
      <c r="H128" s="41" t="s">
        <v>29</v>
      </c>
      <c r="I128" s="358"/>
      <c r="J128" s="358"/>
      <c r="K128" s="39" t="s">
        <v>34</v>
      </c>
      <c r="L128" s="40"/>
      <c r="M128" s="347" t="s">
        <v>49</v>
      </c>
      <c r="N128" s="31"/>
      <c r="O128" s="34"/>
      <c r="P128" s="35" t="s">
        <v>38</v>
      </c>
      <c r="Q128" s="31" t="s">
        <v>50</v>
      </c>
      <c r="R128" s="31"/>
      <c r="S128" s="31"/>
      <c r="T128" s="41" t="s">
        <v>29</v>
      </c>
      <c r="U128" s="358"/>
      <c r="V128" s="358"/>
      <c r="W128" s="39" t="s">
        <v>34</v>
      </c>
      <c r="X128" s="40"/>
    </row>
    <row r="129" spans="1:24" ht="18.75" customHeight="1">
      <c r="A129" s="33" t="s">
        <v>51</v>
      </c>
      <c r="B129" s="30" t="s">
        <v>29</v>
      </c>
      <c r="C129" s="34"/>
      <c r="D129" s="35" t="s">
        <v>38</v>
      </c>
      <c r="E129" s="31" t="s">
        <v>52</v>
      </c>
      <c r="F129" s="31"/>
      <c r="G129" s="31"/>
      <c r="H129" s="30" t="s">
        <v>29</v>
      </c>
      <c r="I129" s="358"/>
      <c r="J129" s="358"/>
      <c r="K129" s="39" t="s">
        <v>34</v>
      </c>
      <c r="L129" s="40"/>
      <c r="M129" s="33" t="s">
        <v>51</v>
      </c>
      <c r="N129" s="30" t="s">
        <v>29</v>
      </c>
      <c r="O129" s="34"/>
      <c r="P129" s="35" t="s">
        <v>38</v>
      </c>
      <c r="Q129" s="31" t="s">
        <v>52</v>
      </c>
      <c r="R129" s="31"/>
      <c r="S129" s="31"/>
      <c r="T129" s="30" t="s">
        <v>29</v>
      </c>
      <c r="U129" s="358"/>
      <c r="V129" s="358"/>
      <c r="W129" s="39" t="s">
        <v>34</v>
      </c>
      <c r="X129" s="40"/>
    </row>
    <row r="130" spans="1:24" ht="18.75" customHeight="1">
      <c r="A130" s="42" t="s">
        <v>53</v>
      </c>
      <c r="B130" s="30"/>
      <c r="C130" s="34" t="e">
        <f>#REF!</f>
        <v>#REF!</v>
      </c>
      <c r="D130" s="35" t="s">
        <v>47</v>
      </c>
      <c r="E130" s="31" t="s">
        <v>54</v>
      </c>
      <c r="F130" s="31"/>
      <c r="G130" s="31"/>
      <c r="H130" s="30" t="s">
        <v>29</v>
      </c>
      <c r="I130" s="358" t="e">
        <f>$F$8*C130/8/$L$1</f>
        <v>#REF!</v>
      </c>
      <c r="J130" s="358"/>
      <c r="K130" s="39" t="s">
        <v>34</v>
      </c>
      <c r="L130" s="40"/>
      <c r="M130" s="42" t="s">
        <v>53</v>
      </c>
      <c r="N130" s="30"/>
      <c r="O130" s="34" t="e">
        <f>#REF!</f>
        <v>#REF!</v>
      </c>
      <c r="P130" s="35" t="s">
        <v>47</v>
      </c>
      <c r="Q130" s="31" t="s">
        <v>54</v>
      </c>
      <c r="R130" s="31"/>
      <c r="S130" s="31"/>
      <c r="T130" s="30" t="s">
        <v>29</v>
      </c>
      <c r="U130" s="358" t="e">
        <f>$F$8*O130/8/$L$1</f>
        <v>#REF!</v>
      </c>
      <c r="V130" s="358"/>
      <c r="W130" s="39" t="s">
        <v>34</v>
      </c>
      <c r="X130" s="40"/>
    </row>
    <row r="131" spans="1:24" ht="18.75" customHeight="1">
      <c r="A131" s="33" t="s">
        <v>155</v>
      </c>
      <c r="B131" s="30" t="s">
        <v>29</v>
      </c>
      <c r="C131" s="34"/>
      <c r="D131" s="35" t="s">
        <v>47</v>
      </c>
      <c r="E131" s="31" t="s">
        <v>61</v>
      </c>
      <c r="F131" s="31"/>
      <c r="G131" s="31"/>
      <c r="H131" s="30" t="s">
        <v>29</v>
      </c>
      <c r="I131" s="360"/>
      <c r="J131" s="360"/>
      <c r="K131" s="39" t="s">
        <v>34</v>
      </c>
      <c r="L131" s="40"/>
      <c r="M131" s="33" t="s">
        <v>155</v>
      </c>
      <c r="N131" s="30" t="s">
        <v>29</v>
      </c>
      <c r="O131" s="34"/>
      <c r="P131" s="35" t="s">
        <v>47</v>
      </c>
      <c r="Q131" s="31" t="s">
        <v>61</v>
      </c>
      <c r="R131" s="31"/>
      <c r="S131" s="31"/>
      <c r="T131" s="30" t="s">
        <v>29</v>
      </c>
      <c r="U131" s="360"/>
      <c r="V131" s="360"/>
      <c r="W131" s="39" t="s">
        <v>34</v>
      </c>
      <c r="X131" s="40"/>
    </row>
    <row r="132" spans="1:24" ht="18.75" customHeight="1">
      <c r="A132" s="33" t="s">
        <v>57</v>
      </c>
      <c r="B132" s="30" t="s">
        <v>29</v>
      </c>
      <c r="C132" s="34"/>
      <c r="D132" s="35" t="s">
        <v>58</v>
      </c>
      <c r="E132" s="31" t="s">
        <v>59</v>
      </c>
      <c r="F132" s="31"/>
      <c r="G132" s="31"/>
      <c r="H132" s="30" t="s">
        <v>29</v>
      </c>
      <c r="I132" s="358"/>
      <c r="J132" s="358"/>
      <c r="K132" s="39" t="s">
        <v>34</v>
      </c>
      <c r="L132" s="40" t="e">
        <f>+IF(L123-I123&lt;0,0,L123-I123)+IF(L127-I127&lt;0,0,L127-I127)</f>
        <v>#REF!</v>
      </c>
      <c r="M132" s="33" t="s">
        <v>57</v>
      </c>
      <c r="N132" s="30" t="s">
        <v>29</v>
      </c>
      <c r="O132" s="34"/>
      <c r="P132" s="35" t="s">
        <v>58</v>
      </c>
      <c r="Q132" s="31" t="s">
        <v>59</v>
      </c>
      <c r="R132" s="31"/>
      <c r="S132" s="31"/>
      <c r="T132" s="30" t="s">
        <v>29</v>
      </c>
      <c r="U132" s="358"/>
      <c r="V132" s="358"/>
      <c r="W132" s="39" t="s">
        <v>34</v>
      </c>
      <c r="X132" s="40" t="e">
        <f>+IF(X123-U123&lt;0,0,X123-U123)+IF(X127-U127&lt;0,0,X127-U127)</f>
        <v>#REF!</v>
      </c>
    </row>
    <row r="133" spans="1:24" ht="18.75" customHeight="1">
      <c r="A133" s="43" t="s">
        <v>152</v>
      </c>
      <c r="B133" s="44"/>
      <c r="C133" s="34"/>
      <c r="D133" s="35" t="s">
        <v>38</v>
      </c>
      <c r="E133" s="31" t="s">
        <v>153</v>
      </c>
      <c r="F133" s="31"/>
      <c r="G133" s="31"/>
      <c r="H133" s="30" t="s">
        <v>29</v>
      </c>
      <c r="I133" s="358"/>
      <c r="J133" s="358"/>
      <c r="K133" s="39" t="s">
        <v>34</v>
      </c>
      <c r="L133" s="40"/>
      <c r="M133" s="43" t="s">
        <v>152</v>
      </c>
      <c r="N133" s="44"/>
      <c r="O133" s="34"/>
      <c r="P133" s="35" t="s">
        <v>38</v>
      </c>
      <c r="Q133" s="31" t="s">
        <v>153</v>
      </c>
      <c r="R133" s="31"/>
      <c r="S133" s="31"/>
      <c r="T133" s="30" t="s">
        <v>29</v>
      </c>
      <c r="U133" s="358"/>
      <c r="V133" s="358"/>
      <c r="W133" s="39" t="s">
        <v>34</v>
      </c>
      <c r="X133" s="40"/>
    </row>
    <row r="134" spans="1:24" ht="18.75" customHeight="1">
      <c r="A134" s="366" t="s">
        <v>154</v>
      </c>
      <c r="B134" s="367"/>
      <c r="C134" s="34"/>
      <c r="D134" s="35"/>
      <c r="E134" s="36"/>
      <c r="F134" s="36"/>
      <c r="G134" s="36"/>
      <c r="H134" s="30" t="s">
        <v>29</v>
      </c>
      <c r="I134" s="358" t="e">
        <f>#REF!</f>
        <v>#REF!</v>
      </c>
      <c r="J134" s="358"/>
      <c r="K134" s="39" t="s">
        <v>34</v>
      </c>
      <c r="L134" s="40"/>
      <c r="M134" s="366" t="s">
        <v>154</v>
      </c>
      <c r="N134" s="367"/>
      <c r="O134" s="34"/>
      <c r="P134" s="35"/>
      <c r="Q134" s="36"/>
      <c r="R134" s="36"/>
      <c r="S134" s="36"/>
      <c r="T134" s="30" t="s">
        <v>29</v>
      </c>
      <c r="U134" s="358" t="e">
        <f>#REF!</f>
        <v>#REF!</v>
      </c>
      <c r="V134" s="358"/>
      <c r="W134" s="39" t="s">
        <v>34</v>
      </c>
      <c r="X134" s="40"/>
    </row>
    <row r="135" spans="1:24" ht="18.75" customHeight="1">
      <c r="A135" s="33" t="s">
        <v>63</v>
      </c>
      <c r="B135" s="30" t="s">
        <v>29</v>
      </c>
      <c r="C135" s="34"/>
      <c r="D135" s="35"/>
      <c r="E135" s="36" t="s">
        <v>64</v>
      </c>
      <c r="F135" s="36"/>
      <c r="G135" s="36"/>
      <c r="H135" s="30" t="s">
        <v>29</v>
      </c>
      <c r="I135" s="358" t="e">
        <f>L132</f>
        <v>#REF!</v>
      </c>
      <c r="J135" s="358"/>
      <c r="K135" s="39" t="s">
        <v>34</v>
      </c>
      <c r="L135" s="40"/>
      <c r="M135" s="33" t="s">
        <v>63</v>
      </c>
      <c r="N135" s="30" t="s">
        <v>29</v>
      </c>
      <c r="O135" s="34"/>
      <c r="P135" s="35"/>
      <c r="Q135" s="36" t="s">
        <v>64</v>
      </c>
      <c r="R135" s="36"/>
      <c r="S135" s="36"/>
      <c r="T135" s="30" t="s">
        <v>29</v>
      </c>
      <c r="U135" s="358" t="e">
        <f>X132</f>
        <v>#REF!</v>
      </c>
      <c r="V135" s="358"/>
      <c r="W135" s="39" t="s">
        <v>34</v>
      </c>
      <c r="X135" s="40"/>
    </row>
    <row r="136" spans="1:24" ht="18.75" customHeight="1">
      <c r="A136" s="362" t="s">
        <v>65</v>
      </c>
      <c r="B136" s="363"/>
      <c r="C136" s="363"/>
      <c r="D136" s="363"/>
      <c r="E136" s="363"/>
      <c r="F136" s="363"/>
      <c r="G136" s="30" t="s">
        <v>29</v>
      </c>
      <c r="H136" s="364" t="e">
        <f>I123+I124+I125+I126+I127+I130+I134+I135+I128+I129+I131+I132+I133+C134</f>
        <v>#REF!</v>
      </c>
      <c r="I136" s="365"/>
      <c r="J136" s="365"/>
      <c r="K136" s="39" t="s">
        <v>34</v>
      </c>
      <c r="M136" s="362" t="s">
        <v>65</v>
      </c>
      <c r="N136" s="363"/>
      <c r="O136" s="363"/>
      <c r="P136" s="363"/>
      <c r="Q136" s="363"/>
      <c r="R136" s="363"/>
      <c r="S136" s="30" t="s">
        <v>29</v>
      </c>
      <c r="T136" s="364" t="e">
        <f>U123+U124+U125+U126+U127+U130+U134+U135+U128+U129+U131+U132+U133+O134</f>
        <v>#REF!</v>
      </c>
      <c r="U136" s="365"/>
      <c r="V136" s="365"/>
      <c r="W136" s="39" t="s">
        <v>34</v>
      </c>
    </row>
    <row r="137" spans="1:24" ht="18.75" customHeight="1">
      <c r="A137" s="45"/>
      <c r="B137" s="46"/>
      <c r="C137" s="46"/>
      <c r="D137" s="46"/>
      <c r="E137" s="46"/>
      <c r="F137" s="46"/>
      <c r="G137" s="46"/>
      <c r="H137" s="46"/>
      <c r="I137" s="46"/>
      <c r="J137" s="46"/>
      <c r="K137" s="47"/>
      <c r="M137" s="45"/>
      <c r="N137" s="46"/>
      <c r="O137" s="46"/>
      <c r="P137" s="46"/>
      <c r="Q137" s="46"/>
      <c r="R137" s="46"/>
      <c r="S137" s="46"/>
      <c r="T137" s="46"/>
      <c r="U137" s="46"/>
      <c r="V137" s="46"/>
      <c r="W137" s="47"/>
    </row>
    <row r="138" spans="1:24" ht="18.75" customHeight="1">
      <c r="A138" s="374" t="s">
        <v>66</v>
      </c>
      <c r="B138" s="375"/>
      <c r="C138" s="375"/>
      <c r="D138" s="375"/>
      <c r="E138" s="375"/>
      <c r="F138" s="375"/>
      <c r="G138" s="30"/>
      <c r="H138" s="30"/>
      <c r="I138" s="30"/>
      <c r="J138" s="30"/>
      <c r="K138" s="39"/>
      <c r="M138" s="374" t="s">
        <v>66</v>
      </c>
      <c r="N138" s="375"/>
      <c r="O138" s="375"/>
      <c r="P138" s="375"/>
      <c r="Q138" s="375"/>
      <c r="R138" s="375"/>
      <c r="S138" s="30"/>
      <c r="T138" s="30"/>
      <c r="U138" s="30"/>
      <c r="V138" s="30"/>
      <c r="W138" s="39"/>
    </row>
    <row r="139" spans="1:24" ht="18.75" customHeight="1">
      <c r="A139" s="368" t="s">
        <v>67</v>
      </c>
      <c r="B139" s="369"/>
      <c r="C139" s="369"/>
      <c r="D139" s="369"/>
      <c r="E139" s="369"/>
      <c r="F139" s="369"/>
      <c r="G139" s="30" t="s">
        <v>29</v>
      </c>
      <c r="H139" s="376" t="e">
        <f>IF(($L$1-C123)&gt;12,0,F120*8%)</f>
        <v>#REF!</v>
      </c>
      <c r="I139" s="376"/>
      <c r="J139" s="376"/>
      <c r="K139" s="39" t="s">
        <v>34</v>
      </c>
      <c r="M139" s="368" t="s">
        <v>67</v>
      </c>
      <c r="N139" s="369"/>
      <c r="O139" s="369"/>
      <c r="P139" s="369"/>
      <c r="Q139" s="369"/>
      <c r="R139" s="369"/>
      <c r="S139" s="30" t="s">
        <v>29</v>
      </c>
      <c r="T139" s="376" t="e">
        <f>IF(($L$1-O123)&gt;12,0,R120*8%)</f>
        <v>#REF!</v>
      </c>
      <c r="U139" s="376"/>
      <c r="V139" s="376"/>
      <c r="W139" s="39" t="s">
        <v>34</v>
      </c>
    </row>
    <row r="140" spans="1:24" ht="18.75" customHeight="1">
      <c r="A140" s="368" t="s">
        <v>68</v>
      </c>
      <c r="B140" s="369"/>
      <c r="C140" s="369"/>
      <c r="D140" s="369"/>
      <c r="E140" s="369"/>
      <c r="F140" s="369"/>
      <c r="G140" s="30" t="s">
        <v>29</v>
      </c>
      <c r="H140" s="370" t="e">
        <f>IF(($L$1-C123)&gt;12,0,F120*1.5%)</f>
        <v>#REF!</v>
      </c>
      <c r="I140" s="370"/>
      <c r="J140" s="370"/>
      <c r="K140" s="39" t="s">
        <v>34</v>
      </c>
      <c r="M140" s="368" t="s">
        <v>68</v>
      </c>
      <c r="N140" s="369"/>
      <c r="O140" s="369"/>
      <c r="P140" s="369"/>
      <c r="Q140" s="369"/>
      <c r="R140" s="369"/>
      <c r="S140" s="30" t="s">
        <v>29</v>
      </c>
      <c r="T140" s="370" t="e">
        <f>IF(($L$1-O123)&gt;12,0,R120*1.5%)</f>
        <v>#REF!</v>
      </c>
      <c r="U140" s="370"/>
      <c r="V140" s="370"/>
      <c r="W140" s="39" t="s">
        <v>34</v>
      </c>
    </row>
    <row r="141" spans="1:24" ht="18.75" customHeight="1">
      <c r="A141" s="368" t="s">
        <v>69</v>
      </c>
      <c r="B141" s="369"/>
      <c r="C141" s="369"/>
      <c r="D141" s="369"/>
      <c r="E141" s="369"/>
      <c r="F141" s="369"/>
      <c r="G141" s="30" t="s">
        <v>29</v>
      </c>
      <c r="H141" s="370" t="e">
        <f>IF(($L$1-C123)&gt;12,0,F120*1%)</f>
        <v>#REF!</v>
      </c>
      <c r="I141" s="370"/>
      <c r="J141" s="370"/>
      <c r="K141" s="39" t="s">
        <v>34</v>
      </c>
      <c r="M141" s="368" t="s">
        <v>69</v>
      </c>
      <c r="N141" s="369"/>
      <c r="O141" s="369"/>
      <c r="P141" s="369"/>
      <c r="Q141" s="369"/>
      <c r="R141" s="369"/>
      <c r="S141" s="30" t="s">
        <v>29</v>
      </c>
      <c r="T141" s="370" t="e">
        <f>IF(($L$1-O123)&gt;12,0,R120*1%)</f>
        <v>#REF!</v>
      </c>
      <c r="U141" s="370"/>
      <c r="V141" s="370"/>
      <c r="W141" s="39" t="s">
        <v>34</v>
      </c>
    </row>
    <row r="142" spans="1:24" ht="18.75" customHeight="1">
      <c r="A142" s="368" t="s">
        <v>70</v>
      </c>
      <c r="B142" s="369"/>
      <c r="C142" s="369"/>
      <c r="D142" s="369"/>
      <c r="E142" s="369"/>
      <c r="F142" s="369"/>
      <c r="G142" s="30" t="s">
        <v>29</v>
      </c>
      <c r="H142" s="370">
        <v>0</v>
      </c>
      <c r="I142" s="370"/>
      <c r="J142" s="370"/>
      <c r="K142" s="39" t="s">
        <v>34</v>
      </c>
      <c r="M142" s="368" t="s">
        <v>70</v>
      </c>
      <c r="N142" s="369"/>
      <c r="O142" s="369"/>
      <c r="P142" s="369"/>
      <c r="Q142" s="369"/>
      <c r="R142" s="369"/>
      <c r="S142" s="30" t="s">
        <v>29</v>
      </c>
      <c r="T142" s="370">
        <v>0</v>
      </c>
      <c r="U142" s="370"/>
      <c r="V142" s="370"/>
      <c r="W142" s="39" t="s">
        <v>34</v>
      </c>
    </row>
    <row r="143" spans="1:24" ht="18.75" customHeight="1">
      <c r="A143" s="371" t="s">
        <v>71</v>
      </c>
      <c r="B143" s="372"/>
      <c r="C143" s="372"/>
      <c r="D143" s="372"/>
      <c r="E143" s="372"/>
      <c r="F143" s="372"/>
      <c r="G143" s="30" t="s">
        <v>29</v>
      </c>
      <c r="H143" s="373" t="e">
        <f>SUM(H139:J142)</f>
        <v>#REF!</v>
      </c>
      <c r="I143" s="373"/>
      <c r="J143" s="373"/>
      <c r="K143" s="39" t="s">
        <v>34</v>
      </c>
      <c r="M143" s="371" t="s">
        <v>71</v>
      </c>
      <c r="N143" s="372"/>
      <c r="O143" s="372"/>
      <c r="P143" s="372"/>
      <c r="Q143" s="372"/>
      <c r="R143" s="372"/>
      <c r="S143" s="30" t="s">
        <v>29</v>
      </c>
      <c r="T143" s="373" t="e">
        <f>SUM(T139:V142)</f>
        <v>#REF!</v>
      </c>
      <c r="U143" s="373"/>
      <c r="V143" s="373"/>
      <c r="W143" s="39" t="s">
        <v>34</v>
      </c>
    </row>
    <row r="144" spans="1:24" ht="18.75" customHeight="1">
      <c r="A144" s="368" t="s">
        <v>72</v>
      </c>
      <c r="B144" s="369"/>
      <c r="C144" s="369"/>
      <c r="D144" s="369"/>
      <c r="E144" s="369"/>
      <c r="F144" s="369"/>
      <c r="G144" s="30" t="s">
        <v>29</v>
      </c>
      <c r="H144" s="381" t="e">
        <f>ROUND(H136-H143,-2)</f>
        <v>#REF!</v>
      </c>
      <c r="I144" s="381"/>
      <c r="J144" s="381"/>
      <c r="K144" s="39" t="s">
        <v>34</v>
      </c>
      <c r="M144" s="368" t="s">
        <v>72</v>
      </c>
      <c r="N144" s="369"/>
      <c r="O144" s="369"/>
      <c r="P144" s="369"/>
      <c r="Q144" s="369"/>
      <c r="R144" s="369"/>
      <c r="S144" s="30" t="s">
        <v>29</v>
      </c>
      <c r="T144" s="381" t="e">
        <f>ROUND(T136-T143,-2)</f>
        <v>#REF!</v>
      </c>
      <c r="U144" s="381"/>
      <c r="V144" s="381"/>
      <c r="W144" s="39" t="s">
        <v>34</v>
      </c>
    </row>
    <row r="145" spans="1:24" ht="18.75" customHeight="1">
      <c r="A145" s="48"/>
      <c r="B145" s="49"/>
      <c r="C145" s="49"/>
      <c r="D145" s="49"/>
      <c r="E145" s="49"/>
      <c r="F145" s="49"/>
      <c r="G145" s="49"/>
      <c r="H145" s="49"/>
      <c r="I145" s="49"/>
      <c r="J145" s="49"/>
      <c r="K145" s="50"/>
      <c r="M145" s="48"/>
      <c r="N145" s="49"/>
      <c r="O145" s="49"/>
      <c r="P145" s="49"/>
      <c r="Q145" s="49"/>
      <c r="R145" s="49"/>
      <c r="S145" s="49"/>
      <c r="T145" s="49"/>
      <c r="U145" s="49"/>
      <c r="V145" s="49"/>
      <c r="W145" s="50"/>
    </row>
    <row r="146" spans="1:24" ht="18.75" customHeight="1">
      <c r="A146" s="51"/>
      <c r="B146" s="30"/>
      <c r="C146" s="30"/>
      <c r="D146" s="30"/>
      <c r="E146" s="30"/>
      <c r="F146" s="30"/>
      <c r="G146" s="30"/>
      <c r="H146" s="30"/>
      <c r="I146" s="378" t="s">
        <v>73</v>
      </c>
      <c r="J146" s="378"/>
      <c r="K146" s="382"/>
      <c r="M146" s="51"/>
      <c r="N146" s="30"/>
      <c r="O146" s="30"/>
      <c r="P146" s="30"/>
      <c r="Q146" s="30"/>
      <c r="R146" s="30"/>
      <c r="S146" s="30"/>
      <c r="T146" s="30"/>
      <c r="U146" s="378" t="s">
        <v>73</v>
      </c>
      <c r="V146" s="378"/>
      <c r="W146" s="382"/>
    </row>
    <row r="147" spans="1:24" ht="18.75" customHeight="1">
      <c r="A147" s="51"/>
      <c r="B147" s="377"/>
      <c r="C147" s="378"/>
      <c r="D147" s="378"/>
      <c r="E147" s="378"/>
      <c r="F147" s="30"/>
      <c r="G147" s="30"/>
      <c r="H147" s="30"/>
      <c r="I147" s="30"/>
      <c r="J147" s="30"/>
      <c r="K147" s="32"/>
      <c r="M147" s="51"/>
      <c r="N147" s="377"/>
      <c r="O147" s="378"/>
      <c r="P147" s="378"/>
      <c r="Q147" s="378"/>
      <c r="R147" s="30"/>
      <c r="S147" s="30"/>
      <c r="T147" s="30"/>
      <c r="U147" s="30"/>
      <c r="V147" s="30"/>
      <c r="W147" s="32"/>
    </row>
    <row r="148" spans="1:24" ht="18.75" customHeight="1" thickBot="1">
      <c r="A148" s="53"/>
      <c r="B148" s="54"/>
      <c r="C148" s="54"/>
      <c r="D148" s="54"/>
      <c r="E148" s="54"/>
      <c r="F148" s="54"/>
      <c r="G148" s="54"/>
      <c r="H148" s="54"/>
      <c r="I148" s="379" t="s">
        <v>74</v>
      </c>
      <c r="J148" s="379"/>
      <c r="K148" s="380"/>
      <c r="M148" s="53"/>
      <c r="N148" s="54"/>
      <c r="O148" s="54"/>
      <c r="P148" s="54"/>
      <c r="Q148" s="54"/>
      <c r="R148" s="54"/>
      <c r="S148" s="54"/>
      <c r="T148" s="54"/>
      <c r="U148" s="379" t="s">
        <v>74</v>
      </c>
      <c r="V148" s="379"/>
      <c r="W148" s="380"/>
    </row>
    <row r="149" spans="1:24" ht="18.75" customHeight="1" thickTop="1" thickBot="1"/>
    <row r="150" spans="1:24" ht="18.75" customHeight="1" thickTop="1">
      <c r="A150" s="351" t="s">
        <v>160</v>
      </c>
      <c r="B150" s="352"/>
      <c r="C150" s="352"/>
      <c r="D150" s="352"/>
      <c r="E150" s="352"/>
      <c r="F150" s="352"/>
      <c r="G150" s="352"/>
      <c r="H150" s="352"/>
      <c r="I150" s="352"/>
      <c r="J150" s="352"/>
      <c r="K150" s="353"/>
      <c r="L150" s="26">
        <v>26</v>
      </c>
      <c r="M150" s="351" t="s">
        <v>160</v>
      </c>
      <c r="N150" s="352"/>
      <c r="O150" s="352"/>
      <c r="P150" s="352"/>
      <c r="Q150" s="352"/>
      <c r="R150" s="352"/>
      <c r="S150" s="352"/>
      <c r="T150" s="352"/>
      <c r="U150" s="352"/>
      <c r="V150" s="352"/>
      <c r="W150" s="353"/>
      <c r="X150" s="26">
        <v>26</v>
      </c>
    </row>
    <row r="151" spans="1:24" ht="18.75" customHeight="1">
      <c r="A151" s="27" t="s">
        <v>83</v>
      </c>
      <c r="B151" s="28"/>
      <c r="C151" s="28"/>
      <c r="D151" s="28"/>
      <c r="E151" s="28"/>
      <c r="F151" s="28"/>
      <c r="G151" s="28"/>
      <c r="H151" s="28"/>
      <c r="I151" s="28"/>
      <c r="J151" s="28"/>
      <c r="K151" s="29"/>
      <c r="M151" s="27" t="s">
        <v>84</v>
      </c>
      <c r="N151" s="28"/>
      <c r="O151" s="28"/>
      <c r="P151" s="28"/>
      <c r="Q151" s="28"/>
      <c r="R151" s="28"/>
      <c r="S151" s="28"/>
      <c r="T151" s="28"/>
      <c r="U151" s="28"/>
      <c r="V151" s="28"/>
      <c r="W151" s="29"/>
    </row>
    <row r="152" spans="1:24" ht="18.75" customHeight="1">
      <c r="A152" s="354" t="s">
        <v>27</v>
      </c>
      <c r="B152" s="355"/>
      <c r="C152" s="355"/>
      <c r="D152" s="355"/>
      <c r="E152" s="355"/>
      <c r="F152" s="355"/>
      <c r="G152" s="355"/>
      <c r="H152" s="355"/>
      <c r="I152" s="355"/>
      <c r="J152" s="355"/>
      <c r="K152" s="356"/>
      <c r="M152" s="354" t="s">
        <v>27</v>
      </c>
      <c r="N152" s="355"/>
      <c r="O152" s="355"/>
      <c r="P152" s="355"/>
      <c r="Q152" s="355"/>
      <c r="R152" s="355"/>
      <c r="S152" s="355"/>
      <c r="T152" s="355"/>
      <c r="U152" s="355"/>
      <c r="V152" s="355"/>
      <c r="W152" s="356"/>
    </row>
    <row r="153" spans="1:24" ht="18.75" customHeight="1">
      <c r="A153" s="347" t="s">
        <v>28</v>
      </c>
      <c r="B153" s="31"/>
      <c r="C153" s="31"/>
      <c r="D153" s="31"/>
      <c r="E153" s="30" t="s">
        <v>29</v>
      </c>
      <c r="F153" s="348">
        <f>'Bang TH nop'!B25</f>
        <v>0</v>
      </c>
      <c r="G153" s="31"/>
      <c r="H153" s="31"/>
      <c r="I153" s="31"/>
      <c r="J153" s="31"/>
      <c r="K153" s="350"/>
      <c r="M153" s="347" t="s">
        <v>28</v>
      </c>
      <c r="N153" s="31"/>
      <c r="O153" s="31"/>
      <c r="P153" s="31"/>
      <c r="Q153" s="30" t="s">
        <v>29</v>
      </c>
      <c r="R153" s="348">
        <f>'Bang TH nop'!B27</f>
        <v>0</v>
      </c>
      <c r="S153" s="31"/>
      <c r="T153" s="31"/>
      <c r="U153" s="31"/>
      <c r="V153" s="31"/>
      <c r="W153" s="350"/>
    </row>
    <row r="154" spans="1:24" ht="18.75" customHeight="1">
      <c r="A154" s="347" t="s">
        <v>30</v>
      </c>
      <c r="B154" s="31"/>
      <c r="C154" s="31"/>
      <c r="D154" s="31"/>
      <c r="E154" s="30" t="s">
        <v>29</v>
      </c>
      <c r="F154" s="348">
        <f>'Bang TH nop'!C25</f>
        <v>0</v>
      </c>
      <c r="G154" s="348"/>
      <c r="H154" s="348"/>
      <c r="I154" s="348"/>
      <c r="J154" s="348"/>
      <c r="K154" s="349"/>
      <c r="M154" s="347" t="s">
        <v>30</v>
      </c>
      <c r="N154" s="31"/>
      <c r="O154" s="31"/>
      <c r="P154" s="31"/>
      <c r="Q154" s="30" t="s">
        <v>29</v>
      </c>
      <c r="R154" s="348">
        <f>'Bang TH nop'!C27</f>
        <v>0</v>
      </c>
      <c r="S154" s="348"/>
      <c r="T154" s="348"/>
      <c r="U154" s="348"/>
      <c r="V154" s="348"/>
      <c r="W154" s="349"/>
    </row>
    <row r="155" spans="1:24" ht="18.75" customHeight="1">
      <c r="A155" s="347" t="s">
        <v>31</v>
      </c>
      <c r="B155" s="31"/>
      <c r="C155" s="31"/>
      <c r="D155" s="31"/>
      <c r="E155" s="30" t="s">
        <v>29</v>
      </c>
      <c r="F155" s="31" t="str">
        <f>+$L$2</f>
        <v xml:space="preserve">Tổ  </v>
      </c>
      <c r="G155" s="31"/>
      <c r="H155" s="31"/>
      <c r="I155" s="31"/>
      <c r="J155" s="31"/>
      <c r="K155" s="350"/>
      <c r="M155" s="347" t="s">
        <v>31</v>
      </c>
      <c r="N155" s="31"/>
      <c r="O155" s="31"/>
      <c r="P155" s="31"/>
      <c r="Q155" s="30" t="s">
        <v>29</v>
      </c>
      <c r="R155" s="31" t="str">
        <f>+$L$2</f>
        <v xml:space="preserve">Tổ  </v>
      </c>
      <c r="S155" s="31"/>
      <c r="T155" s="31"/>
      <c r="U155" s="31"/>
      <c r="V155" s="31"/>
      <c r="W155" s="350"/>
    </row>
    <row r="156" spans="1:24" ht="18.75" customHeight="1">
      <c r="A156" s="354" t="s">
        <v>32</v>
      </c>
      <c r="B156" s="355"/>
      <c r="C156" s="355"/>
      <c r="D156" s="355"/>
      <c r="E156" s="355"/>
      <c r="F156" s="355"/>
      <c r="G156" s="355"/>
      <c r="H156" s="355"/>
      <c r="I156" s="355"/>
      <c r="J156" s="355"/>
      <c r="K156" s="356"/>
      <c r="M156" s="354" t="s">
        <v>32</v>
      </c>
      <c r="N156" s="355"/>
      <c r="O156" s="355"/>
      <c r="P156" s="355"/>
      <c r="Q156" s="355"/>
      <c r="R156" s="355"/>
      <c r="S156" s="355"/>
      <c r="T156" s="355"/>
      <c r="U156" s="355"/>
      <c r="V156" s="355"/>
      <c r="W156" s="356"/>
    </row>
    <row r="157" spans="1:24" ht="18.75" customHeight="1">
      <c r="A157" s="347" t="s">
        <v>33</v>
      </c>
      <c r="B157" s="31"/>
      <c r="C157" s="31"/>
      <c r="D157" s="31"/>
      <c r="E157" s="30" t="s">
        <v>29</v>
      </c>
      <c r="F157" s="361">
        <f>VLOOKUP(F154,'Bang TH nop'!$C$9:$AP$266,29,0)</f>
        <v>0</v>
      </c>
      <c r="G157" s="361"/>
      <c r="H157" s="361"/>
      <c r="I157" s="361"/>
      <c r="J157" s="30" t="s">
        <v>34</v>
      </c>
      <c r="K157" s="32"/>
      <c r="M157" s="347" t="s">
        <v>33</v>
      </c>
      <c r="N157" s="31"/>
      <c r="O157" s="31"/>
      <c r="P157" s="31"/>
      <c r="Q157" s="30" t="s">
        <v>29</v>
      </c>
      <c r="R157" s="361">
        <f>VLOOKUP(R154,'Bang TH nop'!$C$9:$AP$266,29,0)</f>
        <v>0</v>
      </c>
      <c r="S157" s="361"/>
      <c r="T157" s="361"/>
      <c r="U157" s="361"/>
      <c r="V157" s="30" t="s">
        <v>34</v>
      </c>
      <c r="W157" s="32"/>
    </row>
    <row r="158" spans="1:24" ht="18.75" customHeight="1">
      <c r="A158" s="33" t="s">
        <v>35</v>
      </c>
      <c r="B158" s="30"/>
      <c r="C158" s="34"/>
      <c r="D158" s="35"/>
      <c r="E158" s="36"/>
      <c r="F158" s="36"/>
      <c r="G158" s="36"/>
      <c r="H158" s="30"/>
      <c r="I158" s="37" t="e">
        <f>#REF!</f>
        <v>#REF!</v>
      </c>
      <c r="J158" s="38"/>
      <c r="K158" s="39"/>
      <c r="M158" s="33" t="s">
        <v>35</v>
      </c>
      <c r="N158" s="30"/>
      <c r="O158" s="34"/>
      <c r="P158" s="35"/>
      <c r="Q158" s="36"/>
      <c r="R158" s="36"/>
      <c r="S158" s="36"/>
      <c r="T158" s="30"/>
      <c r="U158" s="37" t="e">
        <f>#REF!</f>
        <v>#REF!</v>
      </c>
      <c r="V158" s="38"/>
      <c r="W158" s="39"/>
    </row>
    <row r="159" spans="1:24" ht="18.75" customHeight="1">
      <c r="A159" s="33" t="s">
        <v>36</v>
      </c>
      <c r="B159" s="30"/>
      <c r="C159" s="34"/>
      <c r="D159" s="35"/>
      <c r="E159" s="36"/>
      <c r="F159" s="36"/>
      <c r="G159" s="36"/>
      <c r="H159" s="30"/>
      <c r="I159" s="37" t="e">
        <f>I160/C160/8</f>
        <v>#REF!</v>
      </c>
      <c r="J159" s="38"/>
      <c r="K159" s="39"/>
      <c r="M159" s="33" t="s">
        <v>36</v>
      </c>
      <c r="N159" s="30"/>
      <c r="O159" s="34"/>
      <c r="P159" s="35"/>
      <c r="Q159" s="36"/>
      <c r="R159" s="36"/>
      <c r="S159" s="36"/>
      <c r="T159" s="30"/>
      <c r="U159" s="37" t="e">
        <f>U160/O160/8</f>
        <v>#REF!</v>
      </c>
      <c r="V159" s="38"/>
      <c r="W159" s="39"/>
    </row>
    <row r="160" spans="1:24" ht="18.75" customHeight="1">
      <c r="A160" s="33" t="s">
        <v>37</v>
      </c>
      <c r="B160" s="30" t="s">
        <v>29</v>
      </c>
      <c r="C160" s="34" t="e">
        <f>#REF!</f>
        <v>#REF!</v>
      </c>
      <c r="D160" s="35" t="s">
        <v>38</v>
      </c>
      <c r="E160" s="359" t="s">
        <v>39</v>
      </c>
      <c r="F160" s="359"/>
      <c r="G160" s="359"/>
      <c r="H160" s="30" t="s">
        <v>29</v>
      </c>
      <c r="I160" s="360" t="e">
        <f>#REF!</f>
        <v>#REF!</v>
      </c>
      <c r="J160" s="360"/>
      <c r="K160" s="39" t="s">
        <v>34</v>
      </c>
      <c r="L160" s="40" t="e">
        <f>F157/L150*C160</f>
        <v>#REF!</v>
      </c>
      <c r="M160" s="33" t="s">
        <v>37</v>
      </c>
      <c r="N160" s="30" t="s">
        <v>29</v>
      </c>
      <c r="O160" s="34" t="e">
        <f>#REF!</f>
        <v>#REF!</v>
      </c>
      <c r="P160" s="35" t="s">
        <v>38</v>
      </c>
      <c r="Q160" s="359" t="s">
        <v>39</v>
      </c>
      <c r="R160" s="359"/>
      <c r="S160" s="359"/>
      <c r="T160" s="30" t="s">
        <v>29</v>
      </c>
      <c r="U160" s="360" t="e">
        <f>#REF!</f>
        <v>#REF!</v>
      </c>
      <c r="V160" s="360"/>
      <c r="W160" s="39" t="s">
        <v>34</v>
      </c>
      <c r="X160" s="40" t="e">
        <f>R157/X150*O160</f>
        <v>#REF!</v>
      </c>
    </row>
    <row r="161" spans="1:24" ht="18.75" customHeight="1">
      <c r="A161" s="33" t="s">
        <v>40</v>
      </c>
      <c r="B161" s="30" t="s">
        <v>29</v>
      </c>
      <c r="C161" s="34" t="e">
        <f>#REF!</f>
        <v>#REF!</v>
      </c>
      <c r="D161" s="35" t="s">
        <v>38</v>
      </c>
      <c r="E161" s="31" t="s">
        <v>41</v>
      </c>
      <c r="F161" s="31"/>
      <c r="G161" s="31"/>
      <c r="H161" s="30" t="s">
        <v>29</v>
      </c>
      <c r="I161" s="358" t="e">
        <f>$F$8/$L$1*C161</f>
        <v>#REF!</v>
      </c>
      <c r="J161" s="358"/>
      <c r="K161" s="39" t="s">
        <v>34</v>
      </c>
      <c r="L161" s="40"/>
      <c r="M161" s="33" t="s">
        <v>40</v>
      </c>
      <c r="N161" s="30" t="s">
        <v>29</v>
      </c>
      <c r="O161" s="34" t="e">
        <f>#REF!</f>
        <v>#REF!</v>
      </c>
      <c r="P161" s="35" t="s">
        <v>38</v>
      </c>
      <c r="Q161" s="31" t="s">
        <v>41</v>
      </c>
      <c r="R161" s="31"/>
      <c r="S161" s="31"/>
      <c r="T161" s="30" t="s">
        <v>29</v>
      </c>
      <c r="U161" s="358" t="e">
        <f>$F$8/$L$1*O161</f>
        <v>#REF!</v>
      </c>
      <c r="V161" s="358"/>
      <c r="W161" s="39" t="s">
        <v>34</v>
      </c>
      <c r="X161" s="40"/>
    </row>
    <row r="162" spans="1:24" ht="18.75" customHeight="1">
      <c r="A162" s="33" t="s">
        <v>42</v>
      </c>
      <c r="B162" s="30" t="s">
        <v>29</v>
      </c>
      <c r="C162" s="34" t="e">
        <f>#REF!</f>
        <v>#REF!</v>
      </c>
      <c r="D162" s="35" t="s">
        <v>38</v>
      </c>
      <c r="E162" s="357" t="s">
        <v>43</v>
      </c>
      <c r="F162" s="357"/>
      <c r="G162" s="357"/>
      <c r="H162" s="30" t="s">
        <v>29</v>
      </c>
      <c r="I162" s="358" t="e">
        <f>$F$8/$L$1*C162</f>
        <v>#REF!</v>
      </c>
      <c r="J162" s="358"/>
      <c r="K162" s="39" t="s">
        <v>34</v>
      </c>
      <c r="L162" s="40"/>
      <c r="M162" s="33" t="s">
        <v>42</v>
      </c>
      <c r="N162" s="30" t="s">
        <v>29</v>
      </c>
      <c r="O162" s="34" t="e">
        <f>#REF!</f>
        <v>#REF!</v>
      </c>
      <c r="P162" s="35" t="s">
        <v>38</v>
      </c>
      <c r="Q162" s="357" t="s">
        <v>43</v>
      </c>
      <c r="R162" s="357"/>
      <c r="S162" s="357"/>
      <c r="T162" s="30" t="s">
        <v>29</v>
      </c>
      <c r="U162" s="358" t="e">
        <f>$F$8/$L$1*O162</f>
        <v>#REF!</v>
      </c>
      <c r="V162" s="358"/>
      <c r="W162" s="39" t="s">
        <v>34</v>
      </c>
      <c r="X162" s="40"/>
    </row>
    <row r="163" spans="1:24" ht="18.75" customHeight="1">
      <c r="A163" s="33" t="s">
        <v>44</v>
      </c>
      <c r="B163" s="30" t="s">
        <v>29</v>
      </c>
      <c r="C163" s="34" t="e">
        <f>#REF!</f>
        <v>#REF!</v>
      </c>
      <c r="D163" s="35" t="s">
        <v>38</v>
      </c>
      <c r="E163" s="357" t="s">
        <v>45</v>
      </c>
      <c r="F163" s="357"/>
      <c r="G163" s="357"/>
      <c r="H163" s="30" t="s">
        <v>29</v>
      </c>
      <c r="I163" s="358" t="e">
        <f>$F$8/$L$1*C163</f>
        <v>#REF!</v>
      </c>
      <c r="J163" s="358"/>
      <c r="K163" s="39" t="s">
        <v>34</v>
      </c>
      <c r="L163" s="40"/>
      <c r="M163" s="33" t="s">
        <v>44</v>
      </c>
      <c r="N163" s="30" t="s">
        <v>29</v>
      </c>
      <c r="O163" s="34" t="e">
        <f>#REF!</f>
        <v>#REF!</v>
      </c>
      <c r="P163" s="35" t="s">
        <v>38</v>
      </c>
      <c r="Q163" s="357" t="s">
        <v>45</v>
      </c>
      <c r="R163" s="357"/>
      <c r="S163" s="357"/>
      <c r="T163" s="30" t="s">
        <v>29</v>
      </c>
      <c r="U163" s="358" t="e">
        <f>$F$8/$L$1*O163</f>
        <v>#REF!</v>
      </c>
      <c r="V163" s="358"/>
      <c r="W163" s="39" t="s">
        <v>34</v>
      </c>
      <c r="X163" s="40"/>
    </row>
    <row r="164" spans="1:24" ht="18.75" customHeight="1">
      <c r="A164" s="33" t="s">
        <v>46</v>
      </c>
      <c r="B164" s="30" t="s">
        <v>29</v>
      </c>
      <c r="C164" s="34" t="e">
        <f>#REF!</f>
        <v>#REF!</v>
      </c>
      <c r="D164" s="35" t="s">
        <v>47</v>
      </c>
      <c r="E164" s="31" t="s">
        <v>48</v>
      </c>
      <c r="F164" s="31"/>
      <c r="G164" s="31"/>
      <c r="H164" s="30" t="s">
        <v>29</v>
      </c>
      <c r="I164" s="358" t="e">
        <f>#REF!</f>
        <v>#REF!</v>
      </c>
      <c r="J164" s="358"/>
      <c r="K164" s="39" t="s">
        <v>34</v>
      </c>
      <c r="L164" s="40" t="e">
        <f>F157*C164/L150/8*1.5</f>
        <v>#REF!</v>
      </c>
      <c r="M164" s="33" t="s">
        <v>46</v>
      </c>
      <c r="N164" s="30" t="s">
        <v>29</v>
      </c>
      <c r="O164" s="34" t="e">
        <f>#REF!</f>
        <v>#REF!</v>
      </c>
      <c r="P164" s="35" t="s">
        <v>47</v>
      </c>
      <c r="Q164" s="31" t="s">
        <v>48</v>
      </c>
      <c r="R164" s="31"/>
      <c r="S164" s="31"/>
      <c r="T164" s="30" t="s">
        <v>29</v>
      </c>
      <c r="U164" s="358" t="e">
        <f>#REF!</f>
        <v>#REF!</v>
      </c>
      <c r="V164" s="358"/>
      <c r="W164" s="39" t="s">
        <v>34</v>
      </c>
      <c r="X164" s="40" t="e">
        <f>R157*O164/X150/8*1.5</f>
        <v>#REF!</v>
      </c>
    </row>
    <row r="165" spans="1:24" ht="18.75" customHeight="1">
      <c r="A165" s="347" t="s">
        <v>49</v>
      </c>
      <c r="B165" s="31"/>
      <c r="C165" s="34"/>
      <c r="D165" s="35" t="s">
        <v>38</v>
      </c>
      <c r="E165" s="31" t="s">
        <v>50</v>
      </c>
      <c r="F165" s="31"/>
      <c r="G165" s="31"/>
      <c r="H165" s="41" t="s">
        <v>29</v>
      </c>
      <c r="I165" s="358"/>
      <c r="J165" s="358"/>
      <c r="K165" s="39" t="s">
        <v>34</v>
      </c>
      <c r="L165" s="40"/>
      <c r="M165" s="347" t="s">
        <v>49</v>
      </c>
      <c r="N165" s="31"/>
      <c r="O165" s="34"/>
      <c r="P165" s="35" t="s">
        <v>38</v>
      </c>
      <c r="Q165" s="31" t="s">
        <v>50</v>
      </c>
      <c r="R165" s="31"/>
      <c r="S165" s="31"/>
      <c r="T165" s="41" t="s">
        <v>29</v>
      </c>
      <c r="U165" s="358"/>
      <c r="V165" s="358"/>
      <c r="W165" s="39" t="s">
        <v>34</v>
      </c>
      <c r="X165" s="40"/>
    </row>
    <row r="166" spans="1:24" ht="18.75" customHeight="1">
      <c r="A166" s="33" t="s">
        <v>51</v>
      </c>
      <c r="B166" s="30" t="s">
        <v>29</v>
      </c>
      <c r="C166" s="34"/>
      <c r="D166" s="35" t="s">
        <v>38</v>
      </c>
      <c r="E166" s="31" t="s">
        <v>52</v>
      </c>
      <c r="F166" s="31"/>
      <c r="G166" s="31"/>
      <c r="H166" s="30" t="s">
        <v>29</v>
      </c>
      <c r="I166" s="358"/>
      <c r="J166" s="358"/>
      <c r="K166" s="39" t="s">
        <v>34</v>
      </c>
      <c r="L166" s="40"/>
      <c r="M166" s="33" t="s">
        <v>51</v>
      </c>
      <c r="N166" s="30" t="s">
        <v>29</v>
      </c>
      <c r="O166" s="34"/>
      <c r="P166" s="35" t="s">
        <v>38</v>
      </c>
      <c r="Q166" s="31" t="s">
        <v>52</v>
      </c>
      <c r="R166" s="31"/>
      <c r="S166" s="31"/>
      <c r="T166" s="30" t="s">
        <v>29</v>
      </c>
      <c r="U166" s="358"/>
      <c r="V166" s="358"/>
      <c r="W166" s="39" t="s">
        <v>34</v>
      </c>
      <c r="X166" s="40"/>
    </row>
    <row r="167" spans="1:24" ht="18.75" customHeight="1">
      <c r="A167" s="42" t="s">
        <v>53</v>
      </c>
      <c r="B167" s="30"/>
      <c r="C167" s="34" t="e">
        <f>#REF!</f>
        <v>#REF!</v>
      </c>
      <c r="D167" s="35" t="s">
        <v>47</v>
      </c>
      <c r="E167" s="31" t="s">
        <v>54</v>
      </c>
      <c r="F167" s="31"/>
      <c r="G167" s="31"/>
      <c r="H167" s="30" t="s">
        <v>29</v>
      </c>
      <c r="I167" s="358" t="e">
        <f>$F$8*C167/8/$L$1</f>
        <v>#REF!</v>
      </c>
      <c r="J167" s="358"/>
      <c r="K167" s="39" t="s">
        <v>34</v>
      </c>
      <c r="L167" s="40"/>
      <c r="M167" s="42" t="s">
        <v>53</v>
      </c>
      <c r="N167" s="30"/>
      <c r="O167" s="34" t="e">
        <f>#REF!</f>
        <v>#REF!</v>
      </c>
      <c r="P167" s="35" t="s">
        <v>47</v>
      </c>
      <c r="Q167" s="31" t="s">
        <v>54</v>
      </c>
      <c r="R167" s="31"/>
      <c r="S167" s="31"/>
      <c r="T167" s="30" t="s">
        <v>29</v>
      </c>
      <c r="U167" s="358" t="e">
        <f>$F$8*O167/8/$L$1</f>
        <v>#REF!</v>
      </c>
      <c r="V167" s="358"/>
      <c r="W167" s="39" t="s">
        <v>34</v>
      </c>
      <c r="X167" s="40"/>
    </row>
    <row r="168" spans="1:24" ht="18.75" customHeight="1">
      <c r="A168" s="33" t="s">
        <v>155</v>
      </c>
      <c r="B168" s="30" t="s">
        <v>29</v>
      </c>
      <c r="C168" s="34"/>
      <c r="D168" s="35" t="s">
        <v>47</v>
      </c>
      <c r="E168" s="31" t="s">
        <v>61</v>
      </c>
      <c r="F168" s="31"/>
      <c r="G168" s="31"/>
      <c r="H168" s="30" t="s">
        <v>29</v>
      </c>
      <c r="I168" s="360"/>
      <c r="J168" s="360"/>
      <c r="K168" s="39" t="s">
        <v>34</v>
      </c>
      <c r="L168" s="40"/>
      <c r="M168" s="33" t="s">
        <v>155</v>
      </c>
      <c r="N168" s="30" t="s">
        <v>29</v>
      </c>
      <c r="O168" s="34"/>
      <c r="P168" s="35" t="s">
        <v>47</v>
      </c>
      <c r="Q168" s="31" t="s">
        <v>61</v>
      </c>
      <c r="R168" s="31"/>
      <c r="S168" s="31"/>
      <c r="T168" s="30" t="s">
        <v>29</v>
      </c>
      <c r="U168" s="360"/>
      <c r="V168" s="360"/>
      <c r="W168" s="39" t="s">
        <v>34</v>
      </c>
      <c r="X168" s="40"/>
    </row>
    <row r="169" spans="1:24" ht="18.75" customHeight="1">
      <c r="A169" s="33" t="s">
        <v>57</v>
      </c>
      <c r="B169" s="30" t="s">
        <v>29</v>
      </c>
      <c r="C169" s="34"/>
      <c r="D169" s="35" t="s">
        <v>58</v>
      </c>
      <c r="E169" s="31" t="s">
        <v>59</v>
      </c>
      <c r="F169" s="31"/>
      <c r="G169" s="31"/>
      <c r="H169" s="30" t="s">
        <v>29</v>
      </c>
      <c r="I169" s="358"/>
      <c r="J169" s="358"/>
      <c r="K169" s="39" t="s">
        <v>34</v>
      </c>
      <c r="L169" s="40" t="e">
        <f>+IF(L160-I160&lt;0,0,L160-I160)+IF(L164-I164&lt;0,0,L164-I164)</f>
        <v>#REF!</v>
      </c>
      <c r="M169" s="33" t="s">
        <v>57</v>
      </c>
      <c r="N169" s="30" t="s">
        <v>29</v>
      </c>
      <c r="O169" s="34"/>
      <c r="P169" s="35" t="s">
        <v>58</v>
      </c>
      <c r="Q169" s="31" t="s">
        <v>59</v>
      </c>
      <c r="R169" s="31"/>
      <c r="S169" s="31"/>
      <c r="T169" s="30" t="s">
        <v>29</v>
      </c>
      <c r="U169" s="358"/>
      <c r="V169" s="358"/>
      <c r="W169" s="39" t="s">
        <v>34</v>
      </c>
      <c r="X169" s="40" t="e">
        <f>+IF(X160-U160&lt;0,0,X160-U160)+IF(X164-U164&lt;0,0,X164-U164)</f>
        <v>#REF!</v>
      </c>
    </row>
    <row r="170" spans="1:24" ht="18.75" customHeight="1">
      <c r="A170" s="43" t="s">
        <v>152</v>
      </c>
      <c r="B170" s="44"/>
      <c r="C170" s="34"/>
      <c r="D170" s="35" t="s">
        <v>38</v>
      </c>
      <c r="E170" s="31" t="s">
        <v>153</v>
      </c>
      <c r="F170" s="31"/>
      <c r="G170" s="31"/>
      <c r="H170" s="30" t="s">
        <v>29</v>
      </c>
      <c r="I170" s="358"/>
      <c r="J170" s="358"/>
      <c r="K170" s="39" t="s">
        <v>34</v>
      </c>
      <c r="L170" s="40"/>
      <c r="M170" s="43" t="s">
        <v>152</v>
      </c>
      <c r="N170" s="44"/>
      <c r="O170" s="34"/>
      <c r="P170" s="35" t="s">
        <v>38</v>
      </c>
      <c r="Q170" s="31" t="s">
        <v>153</v>
      </c>
      <c r="R170" s="31"/>
      <c r="S170" s="31"/>
      <c r="T170" s="30" t="s">
        <v>29</v>
      </c>
      <c r="U170" s="358"/>
      <c r="V170" s="358"/>
      <c r="W170" s="39" t="s">
        <v>34</v>
      </c>
      <c r="X170" s="40"/>
    </row>
    <row r="171" spans="1:24" ht="18.75" customHeight="1">
      <c r="A171" s="366" t="s">
        <v>154</v>
      </c>
      <c r="B171" s="367"/>
      <c r="C171" s="34"/>
      <c r="D171" s="35"/>
      <c r="E171" s="36"/>
      <c r="F171" s="36"/>
      <c r="G171" s="36"/>
      <c r="H171" s="30" t="s">
        <v>29</v>
      </c>
      <c r="I171" s="358" t="e">
        <f>#REF!</f>
        <v>#REF!</v>
      </c>
      <c r="J171" s="358"/>
      <c r="K171" s="39" t="s">
        <v>34</v>
      </c>
      <c r="L171" s="40"/>
      <c r="M171" s="366" t="s">
        <v>154</v>
      </c>
      <c r="N171" s="367"/>
      <c r="O171" s="34"/>
      <c r="P171" s="35"/>
      <c r="Q171" s="36"/>
      <c r="R171" s="36"/>
      <c r="S171" s="36"/>
      <c r="T171" s="30" t="s">
        <v>29</v>
      </c>
      <c r="U171" s="358" t="e">
        <f>#REF!</f>
        <v>#REF!</v>
      </c>
      <c r="V171" s="358"/>
      <c r="W171" s="39" t="s">
        <v>34</v>
      </c>
      <c r="X171" s="40"/>
    </row>
    <row r="172" spans="1:24" ht="18.75" customHeight="1">
      <c r="A172" s="33" t="s">
        <v>63</v>
      </c>
      <c r="B172" s="30" t="s">
        <v>29</v>
      </c>
      <c r="C172" s="34"/>
      <c r="D172" s="35"/>
      <c r="E172" s="36" t="s">
        <v>64</v>
      </c>
      <c r="F172" s="36"/>
      <c r="G172" s="36"/>
      <c r="H172" s="30" t="s">
        <v>29</v>
      </c>
      <c r="I172" s="358" t="e">
        <f>L169</f>
        <v>#REF!</v>
      </c>
      <c r="J172" s="358"/>
      <c r="K172" s="39" t="s">
        <v>34</v>
      </c>
      <c r="L172" s="40"/>
      <c r="M172" s="33" t="s">
        <v>63</v>
      </c>
      <c r="N172" s="30" t="s">
        <v>29</v>
      </c>
      <c r="O172" s="34"/>
      <c r="P172" s="35"/>
      <c r="Q172" s="36" t="s">
        <v>64</v>
      </c>
      <c r="R172" s="36"/>
      <c r="S172" s="36"/>
      <c r="T172" s="30" t="s">
        <v>29</v>
      </c>
      <c r="U172" s="358" t="e">
        <f>X169</f>
        <v>#REF!</v>
      </c>
      <c r="V172" s="358"/>
      <c r="W172" s="39" t="s">
        <v>34</v>
      </c>
      <c r="X172" s="40"/>
    </row>
    <row r="173" spans="1:24" ht="18.75" customHeight="1">
      <c r="A173" s="362" t="s">
        <v>65</v>
      </c>
      <c r="B173" s="363"/>
      <c r="C173" s="363"/>
      <c r="D173" s="363"/>
      <c r="E173" s="363"/>
      <c r="F173" s="363"/>
      <c r="G173" s="30" t="s">
        <v>29</v>
      </c>
      <c r="H173" s="364" t="e">
        <f>I160+I161+I162+I163+I164+I167+I171+I172+I165+I166+I168+I169+I170+C171</f>
        <v>#REF!</v>
      </c>
      <c r="I173" s="365"/>
      <c r="J173" s="365"/>
      <c r="K173" s="39" t="s">
        <v>34</v>
      </c>
      <c r="M173" s="362" t="s">
        <v>65</v>
      </c>
      <c r="N173" s="363"/>
      <c r="O173" s="363"/>
      <c r="P173" s="363"/>
      <c r="Q173" s="363"/>
      <c r="R173" s="363"/>
      <c r="S173" s="30" t="s">
        <v>29</v>
      </c>
      <c r="T173" s="364" t="e">
        <f>U160+U161+U162+U163+U164+U167+U171+U172+U165+U166+U168+U169+U170+O171</f>
        <v>#REF!</v>
      </c>
      <c r="U173" s="365"/>
      <c r="V173" s="365"/>
      <c r="W173" s="39" t="s">
        <v>34</v>
      </c>
    </row>
    <row r="174" spans="1:24" ht="18.75" customHeight="1">
      <c r="A174" s="45"/>
      <c r="B174" s="46"/>
      <c r="C174" s="46"/>
      <c r="D174" s="46"/>
      <c r="E174" s="46"/>
      <c r="F174" s="46"/>
      <c r="G174" s="46"/>
      <c r="H174" s="46"/>
      <c r="I174" s="46"/>
      <c r="J174" s="46"/>
      <c r="K174" s="47"/>
      <c r="M174" s="45"/>
      <c r="N174" s="46"/>
      <c r="O174" s="46"/>
      <c r="P174" s="46"/>
      <c r="Q174" s="46"/>
      <c r="R174" s="46"/>
      <c r="S174" s="46"/>
      <c r="T174" s="46"/>
      <c r="U174" s="46"/>
      <c r="V174" s="46"/>
      <c r="W174" s="47"/>
    </row>
    <row r="175" spans="1:24" ht="18.75" customHeight="1">
      <c r="A175" s="374" t="s">
        <v>66</v>
      </c>
      <c r="B175" s="375"/>
      <c r="C175" s="375"/>
      <c r="D175" s="375"/>
      <c r="E175" s="375"/>
      <c r="F175" s="375"/>
      <c r="G175" s="30"/>
      <c r="H175" s="30"/>
      <c r="I175" s="30"/>
      <c r="J175" s="30"/>
      <c r="K175" s="39"/>
      <c r="M175" s="374" t="s">
        <v>66</v>
      </c>
      <c r="N175" s="375"/>
      <c r="O175" s="375"/>
      <c r="P175" s="375"/>
      <c r="Q175" s="375"/>
      <c r="R175" s="375"/>
      <c r="S175" s="30"/>
      <c r="T175" s="30"/>
      <c r="U175" s="30"/>
      <c r="V175" s="30"/>
      <c r="W175" s="39"/>
    </row>
    <row r="176" spans="1:24" ht="18.75" customHeight="1">
      <c r="A176" s="368" t="s">
        <v>67</v>
      </c>
      <c r="B176" s="369"/>
      <c r="C176" s="369"/>
      <c r="D176" s="369"/>
      <c r="E176" s="369"/>
      <c r="F176" s="369"/>
      <c r="G176" s="30" t="s">
        <v>29</v>
      </c>
      <c r="H176" s="376" t="e">
        <f>IF(($L$1-(C160+C161+C162+C163))&gt;12,0,F157*8%)</f>
        <v>#REF!</v>
      </c>
      <c r="I176" s="376"/>
      <c r="J176" s="376"/>
      <c r="K176" s="39" t="s">
        <v>34</v>
      </c>
      <c r="M176" s="368" t="s">
        <v>67</v>
      </c>
      <c r="N176" s="369"/>
      <c r="O176" s="369"/>
      <c r="P176" s="369"/>
      <c r="Q176" s="369"/>
      <c r="R176" s="369"/>
      <c r="S176" s="30" t="s">
        <v>29</v>
      </c>
      <c r="T176" s="376" t="e">
        <f>IF(($L$1-(O160+O161+O162+O163))&gt;12,0,R157*8%)</f>
        <v>#REF!</v>
      </c>
      <c r="U176" s="376"/>
      <c r="V176" s="376"/>
      <c r="W176" s="39" t="s">
        <v>34</v>
      </c>
    </row>
    <row r="177" spans="1:24" ht="18.75" customHeight="1">
      <c r="A177" s="368" t="s">
        <v>68</v>
      </c>
      <c r="B177" s="369"/>
      <c r="C177" s="369"/>
      <c r="D177" s="369"/>
      <c r="E177" s="369"/>
      <c r="F177" s="369"/>
      <c r="G177" s="30" t="s">
        <v>29</v>
      </c>
      <c r="H177" s="370" t="e">
        <f>IF(($L$1-(C160+C161+C162+C163))&gt;12,0,F157*1.5%)</f>
        <v>#REF!</v>
      </c>
      <c r="I177" s="370"/>
      <c r="J177" s="370"/>
      <c r="K177" s="39" t="s">
        <v>34</v>
      </c>
      <c r="M177" s="368" t="s">
        <v>68</v>
      </c>
      <c r="N177" s="369"/>
      <c r="O177" s="369"/>
      <c r="P177" s="369"/>
      <c r="Q177" s="369"/>
      <c r="R177" s="369"/>
      <c r="S177" s="30" t="s">
        <v>29</v>
      </c>
      <c r="T177" s="370" t="e">
        <f>IF(($L$1-(O160+O161+O162+O163))&gt;12,0,R157*1.5%)</f>
        <v>#REF!</v>
      </c>
      <c r="U177" s="370"/>
      <c r="V177" s="370"/>
      <c r="W177" s="39" t="s">
        <v>34</v>
      </c>
    </row>
    <row r="178" spans="1:24" ht="18.75" customHeight="1">
      <c r="A178" s="368" t="s">
        <v>69</v>
      </c>
      <c r="B178" s="369"/>
      <c r="C178" s="369"/>
      <c r="D178" s="369"/>
      <c r="E178" s="369"/>
      <c r="F178" s="369"/>
      <c r="G178" s="30" t="s">
        <v>29</v>
      </c>
      <c r="H178" s="370" t="e">
        <f>IF(($L$1-(C160+C161+C162+C163))&gt;12,0,F157*1%)</f>
        <v>#REF!</v>
      </c>
      <c r="I178" s="370"/>
      <c r="J178" s="370"/>
      <c r="K178" s="39" t="s">
        <v>34</v>
      </c>
      <c r="M178" s="368" t="s">
        <v>69</v>
      </c>
      <c r="N178" s="369"/>
      <c r="O178" s="369"/>
      <c r="P178" s="369"/>
      <c r="Q178" s="369"/>
      <c r="R178" s="369"/>
      <c r="S178" s="30" t="s">
        <v>29</v>
      </c>
      <c r="T178" s="370" t="e">
        <f>IF(($L$1-(O160+O161+O162+O163))&gt;12,0,R157*1%)</f>
        <v>#REF!</v>
      </c>
      <c r="U178" s="370"/>
      <c r="V178" s="370"/>
      <c r="W178" s="39" t="s">
        <v>34</v>
      </c>
    </row>
    <row r="179" spans="1:24" ht="18.75" customHeight="1">
      <c r="A179" s="368" t="s">
        <v>70</v>
      </c>
      <c r="B179" s="369"/>
      <c r="C179" s="369"/>
      <c r="D179" s="369"/>
      <c r="E179" s="369"/>
      <c r="F179" s="369"/>
      <c r="G179" s="30" t="s">
        <v>29</v>
      </c>
      <c r="H179" s="370">
        <v>0</v>
      </c>
      <c r="I179" s="370"/>
      <c r="J179" s="370"/>
      <c r="K179" s="39" t="s">
        <v>34</v>
      </c>
      <c r="M179" s="368" t="s">
        <v>70</v>
      </c>
      <c r="N179" s="369"/>
      <c r="O179" s="369"/>
      <c r="P179" s="369"/>
      <c r="Q179" s="369"/>
      <c r="R179" s="369"/>
      <c r="S179" s="30" t="s">
        <v>29</v>
      </c>
      <c r="T179" s="370">
        <v>0</v>
      </c>
      <c r="U179" s="370"/>
      <c r="V179" s="370"/>
      <c r="W179" s="39" t="s">
        <v>34</v>
      </c>
    </row>
    <row r="180" spans="1:24" ht="18.75" customHeight="1">
      <c r="A180" s="371" t="s">
        <v>71</v>
      </c>
      <c r="B180" s="372"/>
      <c r="C180" s="372"/>
      <c r="D180" s="372"/>
      <c r="E180" s="372"/>
      <c r="F180" s="372"/>
      <c r="G180" s="30" t="s">
        <v>29</v>
      </c>
      <c r="H180" s="373" t="e">
        <f>SUM(H176:J179)</f>
        <v>#REF!</v>
      </c>
      <c r="I180" s="373"/>
      <c r="J180" s="373"/>
      <c r="K180" s="39" t="s">
        <v>34</v>
      </c>
      <c r="M180" s="371" t="s">
        <v>71</v>
      </c>
      <c r="N180" s="372"/>
      <c r="O180" s="372"/>
      <c r="P180" s="372"/>
      <c r="Q180" s="372"/>
      <c r="R180" s="372"/>
      <c r="S180" s="30" t="s">
        <v>29</v>
      </c>
      <c r="T180" s="373" t="e">
        <f>SUM(T176:V179)</f>
        <v>#REF!</v>
      </c>
      <c r="U180" s="373"/>
      <c r="V180" s="373"/>
      <c r="W180" s="39" t="s">
        <v>34</v>
      </c>
    </row>
    <row r="181" spans="1:24" ht="18.75" customHeight="1">
      <c r="A181" s="368" t="s">
        <v>72</v>
      </c>
      <c r="B181" s="369"/>
      <c r="C181" s="369"/>
      <c r="D181" s="369"/>
      <c r="E181" s="369"/>
      <c r="F181" s="369"/>
      <c r="G181" s="30" t="s">
        <v>29</v>
      </c>
      <c r="H181" s="381" t="e">
        <f>ROUND(H173-H180,-2)</f>
        <v>#REF!</v>
      </c>
      <c r="I181" s="381"/>
      <c r="J181" s="381"/>
      <c r="K181" s="39" t="s">
        <v>34</v>
      </c>
      <c r="M181" s="368" t="s">
        <v>72</v>
      </c>
      <c r="N181" s="369"/>
      <c r="O181" s="369"/>
      <c r="P181" s="369"/>
      <c r="Q181" s="369"/>
      <c r="R181" s="369"/>
      <c r="S181" s="30" t="s">
        <v>29</v>
      </c>
      <c r="T181" s="381" t="e">
        <f>ROUND(T173-T180,-2)</f>
        <v>#REF!</v>
      </c>
      <c r="U181" s="381"/>
      <c r="V181" s="381"/>
      <c r="W181" s="39" t="s">
        <v>34</v>
      </c>
    </row>
    <row r="182" spans="1:24" ht="18.75" customHeight="1">
      <c r="A182" s="48"/>
      <c r="B182" s="49"/>
      <c r="C182" s="49"/>
      <c r="D182" s="49"/>
      <c r="E182" s="49"/>
      <c r="F182" s="49"/>
      <c r="G182" s="49"/>
      <c r="H182" s="49"/>
      <c r="I182" s="49"/>
      <c r="J182" s="49"/>
      <c r="K182" s="50"/>
      <c r="M182" s="48"/>
      <c r="N182" s="49"/>
      <c r="O182" s="49"/>
      <c r="P182" s="49"/>
      <c r="Q182" s="49"/>
      <c r="R182" s="49"/>
      <c r="S182" s="49"/>
      <c r="T182" s="49"/>
      <c r="U182" s="49"/>
      <c r="V182" s="49"/>
      <c r="W182" s="50"/>
    </row>
    <row r="183" spans="1:24" ht="18.75" customHeight="1">
      <c r="A183" s="51"/>
      <c r="B183" s="30"/>
      <c r="C183" s="30"/>
      <c r="D183" s="30"/>
      <c r="E183" s="30"/>
      <c r="F183" s="30"/>
      <c r="G183" s="30"/>
      <c r="H183" s="30"/>
      <c r="I183" s="378" t="s">
        <v>73</v>
      </c>
      <c r="J183" s="378"/>
      <c r="K183" s="382"/>
      <c r="M183" s="51"/>
      <c r="N183" s="30"/>
      <c r="O183" s="30"/>
      <c r="P183" s="30"/>
      <c r="Q183" s="30"/>
      <c r="R183" s="30"/>
      <c r="S183" s="30"/>
      <c r="T183" s="30"/>
      <c r="U183" s="378" t="s">
        <v>73</v>
      </c>
      <c r="V183" s="378"/>
      <c r="W183" s="382"/>
    </row>
    <row r="184" spans="1:24" ht="18.75" customHeight="1">
      <c r="A184" s="51"/>
      <c r="B184" s="377"/>
      <c r="C184" s="378"/>
      <c r="D184" s="378"/>
      <c r="E184" s="378"/>
      <c r="F184" s="30"/>
      <c r="G184" s="30"/>
      <c r="H184" s="30"/>
      <c r="I184" s="30"/>
      <c r="J184" s="30"/>
      <c r="K184" s="32"/>
      <c r="M184" s="51"/>
      <c r="N184" s="377"/>
      <c r="O184" s="378"/>
      <c r="P184" s="378"/>
      <c r="Q184" s="378"/>
      <c r="R184" s="30"/>
      <c r="S184" s="30"/>
      <c r="T184" s="30"/>
      <c r="U184" s="30"/>
      <c r="V184" s="30"/>
      <c r="W184" s="32"/>
    </row>
    <row r="185" spans="1:24" ht="18.75" customHeight="1" thickBot="1">
      <c r="A185" s="53"/>
      <c r="B185" s="54"/>
      <c r="C185" s="54"/>
      <c r="D185" s="54"/>
      <c r="E185" s="54"/>
      <c r="F185" s="54"/>
      <c r="G185" s="54"/>
      <c r="H185" s="54"/>
      <c r="I185" s="379" t="s">
        <v>74</v>
      </c>
      <c r="J185" s="379"/>
      <c r="K185" s="380"/>
      <c r="M185" s="53"/>
      <c r="N185" s="54"/>
      <c r="O185" s="54"/>
      <c r="P185" s="54"/>
      <c r="Q185" s="54"/>
      <c r="R185" s="54"/>
      <c r="S185" s="54"/>
      <c r="T185" s="54"/>
      <c r="U185" s="379" t="s">
        <v>74</v>
      </c>
      <c r="V185" s="379"/>
      <c r="W185" s="380"/>
    </row>
    <row r="186" spans="1:24" ht="18.75" customHeight="1" thickTop="1" thickBot="1"/>
    <row r="187" spans="1:24" ht="18.75" customHeight="1" thickTop="1">
      <c r="A187" s="351" t="s">
        <v>160</v>
      </c>
      <c r="B187" s="352"/>
      <c r="C187" s="352"/>
      <c r="D187" s="352"/>
      <c r="E187" s="352"/>
      <c r="F187" s="352"/>
      <c r="G187" s="352"/>
      <c r="H187" s="352"/>
      <c r="I187" s="352"/>
      <c r="J187" s="352"/>
      <c r="K187" s="353"/>
      <c r="L187" s="26">
        <v>26</v>
      </c>
      <c r="M187" s="351" t="s">
        <v>160</v>
      </c>
      <c r="N187" s="352"/>
      <c r="O187" s="352"/>
      <c r="P187" s="352"/>
      <c r="Q187" s="352"/>
      <c r="R187" s="352"/>
      <c r="S187" s="352"/>
      <c r="T187" s="352"/>
      <c r="U187" s="352"/>
      <c r="V187" s="352"/>
      <c r="W187" s="353"/>
      <c r="X187" s="26">
        <v>26</v>
      </c>
    </row>
    <row r="188" spans="1:24" ht="18.75" customHeight="1">
      <c r="A188" s="27" t="s">
        <v>85</v>
      </c>
      <c r="B188" s="28"/>
      <c r="C188" s="28"/>
      <c r="D188" s="28"/>
      <c r="E188" s="28"/>
      <c r="F188" s="28"/>
      <c r="G188" s="28"/>
      <c r="H188" s="28"/>
      <c r="I188" s="28"/>
      <c r="J188" s="28"/>
      <c r="K188" s="29"/>
      <c r="M188" s="27" t="s">
        <v>86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9"/>
    </row>
    <row r="189" spans="1:24" ht="18.75" customHeight="1">
      <c r="A189" s="354" t="s">
        <v>27</v>
      </c>
      <c r="B189" s="355"/>
      <c r="C189" s="355"/>
      <c r="D189" s="355"/>
      <c r="E189" s="355"/>
      <c r="F189" s="355"/>
      <c r="G189" s="355"/>
      <c r="H189" s="355"/>
      <c r="I189" s="355"/>
      <c r="J189" s="355"/>
      <c r="K189" s="356"/>
      <c r="M189" s="354" t="s">
        <v>27</v>
      </c>
      <c r="N189" s="355"/>
      <c r="O189" s="355"/>
      <c r="P189" s="355"/>
      <c r="Q189" s="355"/>
      <c r="R189" s="355"/>
      <c r="S189" s="355"/>
      <c r="T189" s="355"/>
      <c r="U189" s="355"/>
      <c r="V189" s="355"/>
      <c r="W189" s="356"/>
    </row>
    <row r="190" spans="1:24" ht="18.75" customHeight="1">
      <c r="A190" s="347" t="s">
        <v>28</v>
      </c>
      <c r="B190" s="31"/>
      <c r="C190" s="31"/>
      <c r="D190" s="31"/>
      <c r="E190" s="30" t="s">
        <v>29</v>
      </c>
      <c r="F190" s="348">
        <f>'Bang TH nop'!B29</f>
        <v>0</v>
      </c>
      <c r="G190" s="31"/>
      <c r="H190" s="31"/>
      <c r="I190" s="31"/>
      <c r="J190" s="31"/>
      <c r="K190" s="350"/>
      <c r="M190" s="347" t="s">
        <v>28</v>
      </c>
      <c r="N190" s="31"/>
      <c r="O190" s="31"/>
      <c r="P190" s="31"/>
      <c r="Q190" s="30" t="s">
        <v>29</v>
      </c>
      <c r="R190" s="348">
        <f>'Bang TH nop'!B31</f>
        <v>0</v>
      </c>
      <c r="S190" s="31"/>
      <c r="T190" s="31"/>
      <c r="U190" s="31"/>
      <c r="V190" s="31"/>
      <c r="W190" s="350"/>
    </row>
    <row r="191" spans="1:24" ht="18.75" customHeight="1">
      <c r="A191" s="347" t="s">
        <v>30</v>
      </c>
      <c r="B191" s="31"/>
      <c r="C191" s="31"/>
      <c r="D191" s="31"/>
      <c r="E191" s="30" t="s">
        <v>29</v>
      </c>
      <c r="F191" s="348">
        <f>'Bang TH nop'!C29</f>
        <v>0</v>
      </c>
      <c r="G191" s="348"/>
      <c r="H191" s="348"/>
      <c r="I191" s="348"/>
      <c r="J191" s="348"/>
      <c r="K191" s="349"/>
      <c r="M191" s="347" t="s">
        <v>30</v>
      </c>
      <c r="N191" s="31"/>
      <c r="O191" s="31"/>
      <c r="P191" s="31"/>
      <c r="Q191" s="30" t="s">
        <v>29</v>
      </c>
      <c r="R191" s="348">
        <f>'Bang TH nop'!C31</f>
        <v>0</v>
      </c>
      <c r="S191" s="348"/>
      <c r="T191" s="348"/>
      <c r="U191" s="348"/>
      <c r="V191" s="348"/>
      <c r="W191" s="349"/>
    </row>
    <row r="192" spans="1:24" ht="18.75" customHeight="1">
      <c r="A192" s="347" t="s">
        <v>31</v>
      </c>
      <c r="B192" s="31"/>
      <c r="C192" s="31"/>
      <c r="D192" s="31"/>
      <c r="E192" s="30" t="s">
        <v>29</v>
      </c>
      <c r="F192" s="31" t="str">
        <f>+$L$2</f>
        <v xml:space="preserve">Tổ  </v>
      </c>
      <c r="G192" s="31"/>
      <c r="H192" s="31"/>
      <c r="I192" s="31"/>
      <c r="J192" s="31"/>
      <c r="K192" s="350"/>
      <c r="M192" s="347" t="s">
        <v>31</v>
      </c>
      <c r="N192" s="31"/>
      <c r="O192" s="31"/>
      <c r="P192" s="31"/>
      <c r="Q192" s="30" t="s">
        <v>29</v>
      </c>
      <c r="R192" s="31" t="str">
        <f>+$L$2</f>
        <v xml:space="preserve">Tổ  </v>
      </c>
      <c r="S192" s="31"/>
      <c r="T192" s="31"/>
      <c r="U192" s="31"/>
      <c r="V192" s="31"/>
      <c r="W192" s="350"/>
    </row>
    <row r="193" spans="1:24" ht="18.75" customHeight="1">
      <c r="A193" s="354" t="s">
        <v>32</v>
      </c>
      <c r="B193" s="355"/>
      <c r="C193" s="355"/>
      <c r="D193" s="355"/>
      <c r="E193" s="355"/>
      <c r="F193" s="355"/>
      <c r="G193" s="355"/>
      <c r="H193" s="355"/>
      <c r="I193" s="355"/>
      <c r="J193" s="355"/>
      <c r="K193" s="356"/>
      <c r="M193" s="354" t="s">
        <v>32</v>
      </c>
      <c r="N193" s="355"/>
      <c r="O193" s="355"/>
      <c r="P193" s="355"/>
      <c r="Q193" s="355"/>
      <c r="R193" s="355"/>
      <c r="S193" s="355"/>
      <c r="T193" s="355"/>
      <c r="U193" s="355"/>
      <c r="V193" s="355"/>
      <c r="W193" s="356"/>
    </row>
    <row r="194" spans="1:24" ht="18.75" customHeight="1">
      <c r="A194" s="347" t="s">
        <v>33</v>
      </c>
      <c r="B194" s="31"/>
      <c r="C194" s="31"/>
      <c r="D194" s="31"/>
      <c r="E194" s="30" t="s">
        <v>29</v>
      </c>
      <c r="F194" s="361">
        <f>VLOOKUP(F191,'Bang TH nop'!$C$9:$AP$266,29,0)</f>
        <v>0</v>
      </c>
      <c r="G194" s="361"/>
      <c r="H194" s="361"/>
      <c r="I194" s="361"/>
      <c r="J194" s="30" t="s">
        <v>34</v>
      </c>
      <c r="K194" s="32"/>
      <c r="M194" s="347" t="s">
        <v>33</v>
      </c>
      <c r="N194" s="31"/>
      <c r="O194" s="31"/>
      <c r="P194" s="31"/>
      <c r="Q194" s="30" t="s">
        <v>29</v>
      </c>
      <c r="R194" s="361">
        <f>VLOOKUP(R191,'Bang TH nop'!$C$9:$AP$266,29,0)</f>
        <v>0</v>
      </c>
      <c r="S194" s="361"/>
      <c r="T194" s="361"/>
      <c r="U194" s="361"/>
      <c r="V194" s="30" t="s">
        <v>34</v>
      </c>
      <c r="W194" s="32"/>
    </row>
    <row r="195" spans="1:24" ht="18.75" customHeight="1">
      <c r="A195" s="33" t="s">
        <v>35</v>
      </c>
      <c r="B195" s="30"/>
      <c r="C195" s="34"/>
      <c r="D195" s="35"/>
      <c r="E195" s="36"/>
      <c r="F195" s="36"/>
      <c r="G195" s="36"/>
      <c r="H195" s="30"/>
      <c r="I195" s="37" t="e">
        <f>#REF!</f>
        <v>#REF!</v>
      </c>
      <c r="J195" s="38"/>
      <c r="K195" s="39"/>
      <c r="M195" s="33" t="s">
        <v>35</v>
      </c>
      <c r="N195" s="30"/>
      <c r="O195" s="34"/>
      <c r="P195" s="35"/>
      <c r="Q195" s="36"/>
      <c r="R195" s="36"/>
      <c r="S195" s="36"/>
      <c r="T195" s="30"/>
      <c r="U195" s="37" t="e">
        <f>#REF!</f>
        <v>#REF!</v>
      </c>
      <c r="V195" s="38"/>
      <c r="W195" s="39"/>
    </row>
    <row r="196" spans="1:24" ht="18.75" customHeight="1">
      <c r="A196" s="33" t="s">
        <v>36</v>
      </c>
      <c r="B196" s="30"/>
      <c r="C196" s="34"/>
      <c r="D196" s="35"/>
      <c r="E196" s="36"/>
      <c r="F196" s="36"/>
      <c r="G196" s="36"/>
      <c r="H196" s="30"/>
      <c r="I196" s="37" t="e">
        <f>I197/C197/8</f>
        <v>#REF!</v>
      </c>
      <c r="J196" s="38"/>
      <c r="K196" s="39"/>
      <c r="M196" s="33" t="s">
        <v>36</v>
      </c>
      <c r="N196" s="30"/>
      <c r="O196" s="34"/>
      <c r="P196" s="35"/>
      <c r="Q196" s="36"/>
      <c r="R196" s="36"/>
      <c r="S196" s="36"/>
      <c r="T196" s="30"/>
      <c r="U196" s="37" t="e">
        <f>U197/O197/8</f>
        <v>#REF!</v>
      </c>
      <c r="V196" s="38"/>
      <c r="W196" s="39"/>
    </row>
    <row r="197" spans="1:24" ht="18.75" customHeight="1">
      <c r="A197" s="33" t="s">
        <v>37</v>
      </c>
      <c r="B197" s="30" t="s">
        <v>29</v>
      </c>
      <c r="C197" s="34" t="e">
        <f>#REF!</f>
        <v>#REF!</v>
      </c>
      <c r="D197" s="35" t="s">
        <v>38</v>
      </c>
      <c r="E197" s="359" t="s">
        <v>39</v>
      </c>
      <c r="F197" s="359"/>
      <c r="G197" s="359"/>
      <c r="H197" s="30" t="s">
        <v>29</v>
      </c>
      <c r="I197" s="360" t="e">
        <f>#REF!</f>
        <v>#REF!</v>
      </c>
      <c r="J197" s="360"/>
      <c r="K197" s="39" t="s">
        <v>34</v>
      </c>
      <c r="L197" s="40" t="e">
        <f>F194/L187*C197</f>
        <v>#REF!</v>
      </c>
      <c r="M197" s="33" t="s">
        <v>37</v>
      </c>
      <c r="N197" s="30" t="s">
        <v>29</v>
      </c>
      <c r="O197" s="34" t="e">
        <f>#REF!</f>
        <v>#REF!</v>
      </c>
      <c r="P197" s="35" t="s">
        <v>38</v>
      </c>
      <c r="Q197" s="359" t="s">
        <v>39</v>
      </c>
      <c r="R197" s="359"/>
      <c r="S197" s="359"/>
      <c r="T197" s="30" t="s">
        <v>29</v>
      </c>
      <c r="U197" s="360" t="e">
        <f>#REF!</f>
        <v>#REF!</v>
      </c>
      <c r="V197" s="360"/>
      <c r="W197" s="39" t="s">
        <v>34</v>
      </c>
      <c r="X197" s="40" t="e">
        <f>R194/X187*O197</f>
        <v>#REF!</v>
      </c>
    </row>
    <row r="198" spans="1:24" ht="18.75" customHeight="1">
      <c r="A198" s="33" t="s">
        <v>40</v>
      </c>
      <c r="B198" s="30" t="s">
        <v>29</v>
      </c>
      <c r="C198" s="34" t="e">
        <f>#REF!</f>
        <v>#REF!</v>
      </c>
      <c r="D198" s="35" t="s">
        <v>38</v>
      </c>
      <c r="E198" s="31" t="s">
        <v>41</v>
      </c>
      <c r="F198" s="31"/>
      <c r="G198" s="31"/>
      <c r="H198" s="30" t="s">
        <v>29</v>
      </c>
      <c r="I198" s="358" t="e">
        <f>$F$8/$L$1*C198</f>
        <v>#REF!</v>
      </c>
      <c r="J198" s="358"/>
      <c r="K198" s="39" t="s">
        <v>34</v>
      </c>
      <c r="L198" s="40"/>
      <c r="M198" s="33" t="s">
        <v>40</v>
      </c>
      <c r="N198" s="30" t="s">
        <v>29</v>
      </c>
      <c r="O198" s="34" t="e">
        <f>#REF!</f>
        <v>#REF!</v>
      </c>
      <c r="P198" s="35" t="s">
        <v>38</v>
      </c>
      <c r="Q198" s="31" t="s">
        <v>41</v>
      </c>
      <c r="R198" s="31"/>
      <c r="S198" s="31"/>
      <c r="T198" s="30" t="s">
        <v>29</v>
      </c>
      <c r="U198" s="358" t="e">
        <f>$F$8/$L$1*O198</f>
        <v>#REF!</v>
      </c>
      <c r="V198" s="358"/>
      <c r="W198" s="39" t="s">
        <v>34</v>
      </c>
      <c r="X198" s="40"/>
    </row>
    <row r="199" spans="1:24" ht="18.75" customHeight="1">
      <c r="A199" s="33" t="s">
        <v>42</v>
      </c>
      <c r="B199" s="30" t="s">
        <v>29</v>
      </c>
      <c r="C199" s="34" t="e">
        <f>#REF!</f>
        <v>#REF!</v>
      </c>
      <c r="D199" s="35" t="s">
        <v>38</v>
      </c>
      <c r="E199" s="357" t="s">
        <v>43</v>
      </c>
      <c r="F199" s="357"/>
      <c r="G199" s="357"/>
      <c r="H199" s="30" t="s">
        <v>29</v>
      </c>
      <c r="I199" s="358" t="e">
        <f>$F$8/$L$1*C199</f>
        <v>#REF!</v>
      </c>
      <c r="J199" s="358"/>
      <c r="K199" s="39" t="s">
        <v>34</v>
      </c>
      <c r="L199" s="40"/>
      <c r="M199" s="33" t="s">
        <v>42</v>
      </c>
      <c r="N199" s="30" t="s">
        <v>29</v>
      </c>
      <c r="O199" s="34" t="e">
        <f>#REF!</f>
        <v>#REF!</v>
      </c>
      <c r="P199" s="35" t="s">
        <v>38</v>
      </c>
      <c r="Q199" s="357" t="s">
        <v>43</v>
      </c>
      <c r="R199" s="357"/>
      <c r="S199" s="357"/>
      <c r="T199" s="30" t="s">
        <v>29</v>
      </c>
      <c r="U199" s="358" t="e">
        <f>$F$8/$L$1*O199</f>
        <v>#REF!</v>
      </c>
      <c r="V199" s="358"/>
      <c r="W199" s="39" t="s">
        <v>34</v>
      </c>
      <c r="X199" s="40"/>
    </row>
    <row r="200" spans="1:24" ht="18.75" customHeight="1">
      <c r="A200" s="33" t="s">
        <v>44</v>
      </c>
      <c r="B200" s="30" t="s">
        <v>29</v>
      </c>
      <c r="C200" s="34" t="e">
        <f>#REF!</f>
        <v>#REF!</v>
      </c>
      <c r="D200" s="35" t="s">
        <v>38</v>
      </c>
      <c r="E200" s="357" t="s">
        <v>45</v>
      </c>
      <c r="F200" s="357"/>
      <c r="G200" s="357"/>
      <c r="H200" s="30" t="s">
        <v>29</v>
      </c>
      <c r="I200" s="358" t="e">
        <f>$F$8/$L$1*C200</f>
        <v>#REF!</v>
      </c>
      <c r="J200" s="358"/>
      <c r="K200" s="39" t="s">
        <v>34</v>
      </c>
      <c r="L200" s="40"/>
      <c r="M200" s="33" t="s">
        <v>44</v>
      </c>
      <c r="N200" s="30" t="s">
        <v>29</v>
      </c>
      <c r="O200" s="34" t="e">
        <f>#REF!</f>
        <v>#REF!</v>
      </c>
      <c r="P200" s="35" t="s">
        <v>38</v>
      </c>
      <c r="Q200" s="357" t="s">
        <v>45</v>
      </c>
      <c r="R200" s="357"/>
      <c r="S200" s="357"/>
      <c r="T200" s="30" t="s">
        <v>29</v>
      </c>
      <c r="U200" s="358" t="e">
        <f>$F$8/$L$1*O200</f>
        <v>#REF!</v>
      </c>
      <c r="V200" s="358"/>
      <c r="W200" s="39" t="s">
        <v>34</v>
      </c>
      <c r="X200" s="40"/>
    </row>
    <row r="201" spans="1:24" ht="18.75" customHeight="1">
      <c r="A201" s="33" t="s">
        <v>46</v>
      </c>
      <c r="B201" s="30" t="s">
        <v>29</v>
      </c>
      <c r="C201" s="34" t="e">
        <f>#REF!</f>
        <v>#REF!</v>
      </c>
      <c r="D201" s="35" t="s">
        <v>47</v>
      </c>
      <c r="E201" s="31" t="s">
        <v>48</v>
      </c>
      <c r="F201" s="31"/>
      <c r="G201" s="31"/>
      <c r="H201" s="30" t="s">
        <v>29</v>
      </c>
      <c r="I201" s="358" t="e">
        <f>#REF!</f>
        <v>#REF!</v>
      </c>
      <c r="J201" s="358"/>
      <c r="K201" s="39" t="s">
        <v>34</v>
      </c>
      <c r="L201" s="40" t="e">
        <f>F194*C201/L187/8*1.5</f>
        <v>#REF!</v>
      </c>
      <c r="M201" s="33" t="s">
        <v>46</v>
      </c>
      <c r="N201" s="30" t="s">
        <v>29</v>
      </c>
      <c r="O201" s="34" t="e">
        <f>#REF!</f>
        <v>#REF!</v>
      </c>
      <c r="P201" s="35" t="s">
        <v>47</v>
      </c>
      <c r="Q201" s="31" t="s">
        <v>48</v>
      </c>
      <c r="R201" s="31"/>
      <c r="S201" s="31"/>
      <c r="T201" s="30" t="s">
        <v>29</v>
      </c>
      <c r="U201" s="358" t="e">
        <f>#REF!</f>
        <v>#REF!</v>
      </c>
      <c r="V201" s="358"/>
      <c r="W201" s="39" t="s">
        <v>34</v>
      </c>
      <c r="X201" s="40" t="e">
        <f>R194*O201/X187/8*1.5</f>
        <v>#REF!</v>
      </c>
    </row>
    <row r="202" spans="1:24" ht="18.75" customHeight="1">
      <c r="A202" s="347" t="s">
        <v>49</v>
      </c>
      <c r="B202" s="31"/>
      <c r="C202" s="34"/>
      <c r="D202" s="35" t="s">
        <v>38</v>
      </c>
      <c r="E202" s="31" t="s">
        <v>50</v>
      </c>
      <c r="F202" s="31"/>
      <c r="G202" s="31"/>
      <c r="H202" s="41" t="s">
        <v>29</v>
      </c>
      <c r="I202" s="358"/>
      <c r="J202" s="358"/>
      <c r="K202" s="39" t="s">
        <v>34</v>
      </c>
      <c r="L202" s="40"/>
      <c r="M202" s="347" t="s">
        <v>49</v>
      </c>
      <c r="N202" s="31"/>
      <c r="O202" s="34"/>
      <c r="P202" s="35" t="s">
        <v>38</v>
      </c>
      <c r="Q202" s="31" t="s">
        <v>50</v>
      </c>
      <c r="R202" s="31"/>
      <c r="S202" s="31"/>
      <c r="T202" s="41" t="s">
        <v>29</v>
      </c>
      <c r="U202" s="358"/>
      <c r="V202" s="358"/>
      <c r="W202" s="39" t="s">
        <v>34</v>
      </c>
      <c r="X202" s="40"/>
    </row>
    <row r="203" spans="1:24" ht="18.75" customHeight="1">
      <c r="A203" s="33" t="s">
        <v>51</v>
      </c>
      <c r="B203" s="30" t="s">
        <v>29</v>
      </c>
      <c r="C203" s="34"/>
      <c r="D203" s="35" t="s">
        <v>38</v>
      </c>
      <c r="E203" s="31" t="s">
        <v>52</v>
      </c>
      <c r="F203" s="31"/>
      <c r="G203" s="31"/>
      <c r="H203" s="30" t="s">
        <v>29</v>
      </c>
      <c r="I203" s="358"/>
      <c r="J203" s="358"/>
      <c r="K203" s="39" t="s">
        <v>34</v>
      </c>
      <c r="L203" s="40"/>
      <c r="M203" s="33" t="s">
        <v>51</v>
      </c>
      <c r="N203" s="30" t="s">
        <v>29</v>
      </c>
      <c r="O203" s="34"/>
      <c r="P203" s="35" t="s">
        <v>38</v>
      </c>
      <c r="Q203" s="31" t="s">
        <v>52</v>
      </c>
      <c r="R203" s="31"/>
      <c r="S203" s="31"/>
      <c r="T203" s="30" t="s">
        <v>29</v>
      </c>
      <c r="U203" s="358"/>
      <c r="V203" s="358"/>
      <c r="W203" s="39" t="s">
        <v>34</v>
      </c>
      <c r="X203" s="40"/>
    </row>
    <row r="204" spans="1:24" ht="18.75" customHeight="1">
      <c r="A204" s="42" t="s">
        <v>53</v>
      </c>
      <c r="B204" s="30"/>
      <c r="C204" s="34" t="e">
        <f>#REF!</f>
        <v>#REF!</v>
      </c>
      <c r="D204" s="35" t="s">
        <v>47</v>
      </c>
      <c r="E204" s="31" t="s">
        <v>54</v>
      </c>
      <c r="F204" s="31"/>
      <c r="G204" s="31"/>
      <c r="H204" s="30" t="s">
        <v>29</v>
      </c>
      <c r="I204" s="358" t="e">
        <f>$F$8*C204/8/$L$1</f>
        <v>#REF!</v>
      </c>
      <c r="J204" s="358"/>
      <c r="K204" s="39" t="s">
        <v>34</v>
      </c>
      <c r="L204" s="40"/>
      <c r="M204" s="42" t="s">
        <v>53</v>
      </c>
      <c r="N204" s="30"/>
      <c r="O204" s="34" t="e">
        <f>#REF!</f>
        <v>#REF!</v>
      </c>
      <c r="P204" s="35" t="s">
        <v>47</v>
      </c>
      <c r="Q204" s="31" t="s">
        <v>54</v>
      </c>
      <c r="R204" s="31"/>
      <c r="S204" s="31"/>
      <c r="T204" s="30" t="s">
        <v>29</v>
      </c>
      <c r="U204" s="358" t="e">
        <f>$F$8*O204/8/$L$1</f>
        <v>#REF!</v>
      </c>
      <c r="V204" s="358"/>
      <c r="W204" s="39" t="s">
        <v>34</v>
      </c>
      <c r="X204" s="40"/>
    </row>
    <row r="205" spans="1:24" ht="18.75" customHeight="1">
      <c r="A205" s="33" t="s">
        <v>155</v>
      </c>
      <c r="B205" s="30" t="s">
        <v>29</v>
      </c>
      <c r="C205" s="34"/>
      <c r="D205" s="35" t="s">
        <v>47</v>
      </c>
      <c r="E205" s="31" t="s">
        <v>61</v>
      </c>
      <c r="F205" s="31"/>
      <c r="G205" s="31"/>
      <c r="H205" s="30" t="s">
        <v>29</v>
      </c>
      <c r="I205" s="360"/>
      <c r="J205" s="360"/>
      <c r="K205" s="39" t="s">
        <v>34</v>
      </c>
      <c r="L205" s="40"/>
      <c r="M205" s="33" t="s">
        <v>155</v>
      </c>
      <c r="N205" s="30" t="s">
        <v>29</v>
      </c>
      <c r="O205" s="34"/>
      <c r="P205" s="35" t="s">
        <v>47</v>
      </c>
      <c r="Q205" s="31" t="s">
        <v>61</v>
      </c>
      <c r="R205" s="31"/>
      <c r="S205" s="31"/>
      <c r="T205" s="30" t="s">
        <v>29</v>
      </c>
      <c r="U205" s="360"/>
      <c r="V205" s="360"/>
      <c r="W205" s="39" t="s">
        <v>34</v>
      </c>
      <c r="X205" s="40"/>
    </row>
    <row r="206" spans="1:24" ht="18.75" customHeight="1">
      <c r="A206" s="33" t="s">
        <v>57</v>
      </c>
      <c r="B206" s="30" t="s">
        <v>29</v>
      </c>
      <c r="C206" s="34"/>
      <c r="D206" s="35" t="s">
        <v>58</v>
      </c>
      <c r="E206" s="31" t="s">
        <v>59</v>
      </c>
      <c r="F206" s="31"/>
      <c r="G206" s="31"/>
      <c r="H206" s="30" t="s">
        <v>29</v>
      </c>
      <c r="I206" s="358"/>
      <c r="J206" s="358"/>
      <c r="K206" s="39" t="s">
        <v>34</v>
      </c>
      <c r="L206" s="40" t="e">
        <f>+IF(L197-I197&lt;0,0,L197-I197)+IF(L201-I201&lt;0,0,L201-I201)</f>
        <v>#REF!</v>
      </c>
      <c r="M206" s="33" t="s">
        <v>57</v>
      </c>
      <c r="N206" s="30" t="s">
        <v>29</v>
      </c>
      <c r="O206" s="34"/>
      <c r="P206" s="35" t="s">
        <v>58</v>
      </c>
      <c r="Q206" s="31" t="s">
        <v>59</v>
      </c>
      <c r="R206" s="31"/>
      <c r="S206" s="31"/>
      <c r="T206" s="30" t="s">
        <v>29</v>
      </c>
      <c r="U206" s="358"/>
      <c r="V206" s="358"/>
      <c r="W206" s="39" t="s">
        <v>34</v>
      </c>
      <c r="X206" s="40" t="e">
        <f>+IF(X197-U197&lt;0,0,X197-U197)+IF(X201-U201&lt;0,0,X201-U201)</f>
        <v>#REF!</v>
      </c>
    </row>
    <row r="207" spans="1:24" ht="18.75" customHeight="1">
      <c r="A207" s="43" t="s">
        <v>152</v>
      </c>
      <c r="B207" s="44"/>
      <c r="C207" s="34"/>
      <c r="D207" s="35" t="s">
        <v>38</v>
      </c>
      <c r="E207" s="31" t="s">
        <v>153</v>
      </c>
      <c r="F207" s="31"/>
      <c r="G207" s="31"/>
      <c r="H207" s="30" t="s">
        <v>29</v>
      </c>
      <c r="I207" s="358"/>
      <c r="J207" s="358"/>
      <c r="K207" s="39" t="s">
        <v>34</v>
      </c>
      <c r="L207" s="40"/>
      <c r="M207" s="43" t="s">
        <v>152</v>
      </c>
      <c r="N207" s="44"/>
      <c r="O207" s="34"/>
      <c r="P207" s="35" t="s">
        <v>38</v>
      </c>
      <c r="Q207" s="31" t="s">
        <v>153</v>
      </c>
      <c r="R207" s="31"/>
      <c r="S207" s="31"/>
      <c r="T207" s="30" t="s">
        <v>29</v>
      </c>
      <c r="U207" s="358"/>
      <c r="V207" s="358"/>
      <c r="W207" s="39" t="s">
        <v>34</v>
      </c>
      <c r="X207" s="40"/>
    </row>
    <row r="208" spans="1:24" ht="18.75" customHeight="1">
      <c r="A208" s="366" t="s">
        <v>154</v>
      </c>
      <c r="B208" s="367"/>
      <c r="C208" s="34"/>
      <c r="D208" s="35"/>
      <c r="E208" s="36"/>
      <c r="F208" s="36"/>
      <c r="G208" s="36"/>
      <c r="H208" s="30" t="s">
        <v>29</v>
      </c>
      <c r="I208" s="358" t="e">
        <f>#REF!</f>
        <v>#REF!</v>
      </c>
      <c r="J208" s="358"/>
      <c r="K208" s="39" t="s">
        <v>34</v>
      </c>
      <c r="L208" s="40"/>
      <c r="M208" s="366" t="s">
        <v>154</v>
      </c>
      <c r="N208" s="367"/>
      <c r="O208" s="34"/>
      <c r="P208" s="35"/>
      <c r="Q208" s="36"/>
      <c r="R208" s="36"/>
      <c r="S208" s="36"/>
      <c r="T208" s="30" t="s">
        <v>29</v>
      </c>
      <c r="U208" s="358" t="e">
        <f>#REF!</f>
        <v>#REF!</v>
      </c>
      <c r="V208" s="358"/>
      <c r="W208" s="39" t="s">
        <v>34</v>
      </c>
      <c r="X208" s="40"/>
    </row>
    <row r="209" spans="1:24" ht="18.75" customHeight="1">
      <c r="A209" s="33" t="s">
        <v>63</v>
      </c>
      <c r="B209" s="30" t="s">
        <v>29</v>
      </c>
      <c r="C209" s="34"/>
      <c r="D209" s="35"/>
      <c r="E209" s="36" t="s">
        <v>64</v>
      </c>
      <c r="F209" s="36"/>
      <c r="G209" s="36"/>
      <c r="H209" s="30" t="s">
        <v>29</v>
      </c>
      <c r="I209" s="358" t="e">
        <f>L206</f>
        <v>#REF!</v>
      </c>
      <c r="J209" s="358"/>
      <c r="K209" s="39" t="s">
        <v>34</v>
      </c>
      <c r="L209" s="40"/>
      <c r="M209" s="33" t="s">
        <v>63</v>
      </c>
      <c r="N209" s="30" t="s">
        <v>29</v>
      </c>
      <c r="O209" s="34"/>
      <c r="P209" s="35"/>
      <c r="Q209" s="36" t="s">
        <v>64</v>
      </c>
      <c r="R209" s="36"/>
      <c r="S209" s="36"/>
      <c r="T209" s="30" t="s">
        <v>29</v>
      </c>
      <c r="U209" s="358" t="e">
        <f>X206</f>
        <v>#REF!</v>
      </c>
      <c r="V209" s="358"/>
      <c r="W209" s="39" t="s">
        <v>34</v>
      </c>
      <c r="X209" s="40"/>
    </row>
    <row r="210" spans="1:24" ht="18.75" customHeight="1">
      <c r="A210" s="362" t="s">
        <v>65</v>
      </c>
      <c r="B210" s="363"/>
      <c r="C210" s="363"/>
      <c r="D210" s="363"/>
      <c r="E210" s="363"/>
      <c r="F210" s="363"/>
      <c r="G210" s="30" t="s">
        <v>29</v>
      </c>
      <c r="H210" s="364" t="e">
        <f>I197+I198+I199+I200+I201+I204+I208+I209+I202+I203+I205+I206+I207+C208</f>
        <v>#REF!</v>
      </c>
      <c r="I210" s="365"/>
      <c r="J210" s="365"/>
      <c r="K210" s="39" t="s">
        <v>34</v>
      </c>
      <c r="M210" s="362" t="s">
        <v>65</v>
      </c>
      <c r="N210" s="363"/>
      <c r="O210" s="363"/>
      <c r="P210" s="363"/>
      <c r="Q210" s="363"/>
      <c r="R210" s="363"/>
      <c r="S210" s="30" t="s">
        <v>29</v>
      </c>
      <c r="T210" s="364" t="e">
        <f>U197+U198+U199+U200+U201+U204+U208+U209+U202+U203+U205+U206+U207+O208</f>
        <v>#REF!</v>
      </c>
      <c r="U210" s="365"/>
      <c r="V210" s="365"/>
      <c r="W210" s="39" t="s">
        <v>34</v>
      </c>
    </row>
    <row r="211" spans="1:24" ht="18.75" customHeight="1">
      <c r="A211" s="45"/>
      <c r="B211" s="46"/>
      <c r="C211" s="46"/>
      <c r="D211" s="46"/>
      <c r="E211" s="46"/>
      <c r="F211" s="46"/>
      <c r="G211" s="46"/>
      <c r="H211" s="46"/>
      <c r="I211" s="46"/>
      <c r="J211" s="46"/>
      <c r="K211" s="47"/>
      <c r="M211" s="45"/>
      <c r="N211" s="46"/>
      <c r="O211" s="46"/>
      <c r="P211" s="46"/>
      <c r="Q211" s="46"/>
      <c r="R211" s="46"/>
      <c r="S211" s="46"/>
      <c r="T211" s="46"/>
      <c r="U211" s="46"/>
      <c r="V211" s="46"/>
      <c r="W211" s="47"/>
    </row>
    <row r="212" spans="1:24" ht="18.75" customHeight="1">
      <c r="A212" s="374" t="s">
        <v>66</v>
      </c>
      <c r="B212" s="375"/>
      <c r="C212" s="375"/>
      <c r="D212" s="375"/>
      <c r="E212" s="375"/>
      <c r="F212" s="375"/>
      <c r="G212" s="30"/>
      <c r="H212" s="30"/>
      <c r="I212" s="30"/>
      <c r="J212" s="30"/>
      <c r="K212" s="39"/>
      <c r="M212" s="374" t="s">
        <v>66</v>
      </c>
      <c r="N212" s="375"/>
      <c r="O212" s="375"/>
      <c r="P212" s="375"/>
      <c r="Q212" s="375"/>
      <c r="R212" s="375"/>
      <c r="S212" s="30"/>
      <c r="T212" s="30"/>
      <c r="U212" s="30"/>
      <c r="V212" s="30"/>
      <c r="W212" s="39"/>
    </row>
    <row r="213" spans="1:24" ht="18.75" customHeight="1">
      <c r="A213" s="368" t="s">
        <v>67</v>
      </c>
      <c r="B213" s="369"/>
      <c r="C213" s="369"/>
      <c r="D213" s="369"/>
      <c r="E213" s="369"/>
      <c r="F213" s="369"/>
      <c r="G213" s="30" t="s">
        <v>29</v>
      </c>
      <c r="H213" s="376" t="e">
        <f>IF(($L$1-(C197+C198+C199+C200))&gt;12,0,F194*8%)</f>
        <v>#REF!</v>
      </c>
      <c r="I213" s="376"/>
      <c r="J213" s="376"/>
      <c r="K213" s="39" t="s">
        <v>34</v>
      </c>
      <c r="M213" s="368" t="s">
        <v>67</v>
      </c>
      <c r="N213" s="369"/>
      <c r="O213" s="369"/>
      <c r="P213" s="369"/>
      <c r="Q213" s="369"/>
      <c r="R213" s="369"/>
      <c r="S213" s="30" t="s">
        <v>29</v>
      </c>
      <c r="T213" s="376" t="e">
        <f>IF(($L$1-(O197+O198+O199+O200))&gt;12,0,R194*8%)</f>
        <v>#REF!</v>
      </c>
      <c r="U213" s="376"/>
      <c r="V213" s="376"/>
      <c r="W213" s="39" t="s">
        <v>34</v>
      </c>
    </row>
    <row r="214" spans="1:24" ht="18.75" customHeight="1">
      <c r="A214" s="368" t="s">
        <v>68</v>
      </c>
      <c r="B214" s="369"/>
      <c r="C214" s="369"/>
      <c r="D214" s="369"/>
      <c r="E214" s="369"/>
      <c r="F214" s="369"/>
      <c r="G214" s="30" t="s">
        <v>29</v>
      </c>
      <c r="H214" s="370" t="e">
        <f>IF(($L$1-(C197+C198+C199+C200))&gt;12,0,F194*1.5%)</f>
        <v>#REF!</v>
      </c>
      <c r="I214" s="370"/>
      <c r="J214" s="370"/>
      <c r="K214" s="39" t="s">
        <v>34</v>
      </c>
      <c r="M214" s="368" t="s">
        <v>68</v>
      </c>
      <c r="N214" s="369"/>
      <c r="O214" s="369"/>
      <c r="P214" s="369"/>
      <c r="Q214" s="369"/>
      <c r="R214" s="369"/>
      <c r="S214" s="30" t="s">
        <v>29</v>
      </c>
      <c r="T214" s="370" t="e">
        <f>IF(($L$1-(O197+O198+O199+O200))&gt;12,0,R194*1.5%)</f>
        <v>#REF!</v>
      </c>
      <c r="U214" s="370"/>
      <c r="V214" s="370"/>
      <c r="W214" s="39" t="s">
        <v>34</v>
      </c>
    </row>
    <row r="215" spans="1:24" ht="18.75" customHeight="1">
      <c r="A215" s="368" t="s">
        <v>69</v>
      </c>
      <c r="B215" s="369"/>
      <c r="C215" s="369"/>
      <c r="D215" s="369"/>
      <c r="E215" s="369"/>
      <c r="F215" s="369"/>
      <c r="G215" s="30" t="s">
        <v>29</v>
      </c>
      <c r="H215" s="370" t="e">
        <f>IF(($L$1-(C197+C198+C199+C200))&gt;12,0,F194*1%)</f>
        <v>#REF!</v>
      </c>
      <c r="I215" s="370"/>
      <c r="J215" s="370"/>
      <c r="K215" s="39" t="s">
        <v>34</v>
      </c>
      <c r="M215" s="368" t="s">
        <v>69</v>
      </c>
      <c r="N215" s="369"/>
      <c r="O215" s="369"/>
      <c r="P215" s="369"/>
      <c r="Q215" s="369"/>
      <c r="R215" s="369"/>
      <c r="S215" s="30" t="s">
        <v>29</v>
      </c>
      <c r="T215" s="370" t="e">
        <f>IF(($L$1-(O197+O198+O199+O200))&gt;12,0,R194*1%)</f>
        <v>#REF!</v>
      </c>
      <c r="U215" s="370"/>
      <c r="V215" s="370"/>
      <c r="W215" s="39" t="s">
        <v>34</v>
      </c>
    </row>
    <row r="216" spans="1:24" ht="18.75" customHeight="1">
      <c r="A216" s="368" t="s">
        <v>70</v>
      </c>
      <c r="B216" s="369"/>
      <c r="C216" s="369"/>
      <c r="D216" s="369"/>
      <c r="E216" s="369"/>
      <c r="F216" s="369"/>
      <c r="G216" s="30" t="s">
        <v>29</v>
      </c>
      <c r="H216" s="370">
        <v>0</v>
      </c>
      <c r="I216" s="370"/>
      <c r="J216" s="370"/>
      <c r="K216" s="39" t="s">
        <v>34</v>
      </c>
      <c r="M216" s="368" t="s">
        <v>70</v>
      </c>
      <c r="N216" s="369"/>
      <c r="O216" s="369"/>
      <c r="P216" s="369"/>
      <c r="Q216" s="369"/>
      <c r="R216" s="369"/>
      <c r="S216" s="30" t="s">
        <v>29</v>
      </c>
      <c r="T216" s="370">
        <v>0</v>
      </c>
      <c r="U216" s="370"/>
      <c r="V216" s="370"/>
      <c r="W216" s="39" t="s">
        <v>34</v>
      </c>
    </row>
    <row r="217" spans="1:24" ht="18.75" customHeight="1">
      <c r="A217" s="371" t="s">
        <v>71</v>
      </c>
      <c r="B217" s="372"/>
      <c r="C217" s="372"/>
      <c r="D217" s="372"/>
      <c r="E217" s="372"/>
      <c r="F217" s="372"/>
      <c r="G217" s="30" t="s">
        <v>29</v>
      </c>
      <c r="H217" s="373" t="e">
        <f>SUM(H213:J216)</f>
        <v>#REF!</v>
      </c>
      <c r="I217" s="373"/>
      <c r="J217" s="373"/>
      <c r="K217" s="39" t="s">
        <v>34</v>
      </c>
      <c r="M217" s="371" t="s">
        <v>71</v>
      </c>
      <c r="N217" s="372"/>
      <c r="O217" s="372"/>
      <c r="P217" s="372"/>
      <c r="Q217" s="372"/>
      <c r="R217" s="372"/>
      <c r="S217" s="30" t="s">
        <v>29</v>
      </c>
      <c r="T217" s="373" t="e">
        <f>SUM(T213:V216)</f>
        <v>#REF!</v>
      </c>
      <c r="U217" s="373"/>
      <c r="V217" s="373"/>
      <c r="W217" s="39" t="s">
        <v>34</v>
      </c>
    </row>
    <row r="218" spans="1:24" ht="18.75" customHeight="1">
      <c r="A218" s="368" t="s">
        <v>72</v>
      </c>
      <c r="B218" s="369"/>
      <c r="C218" s="369"/>
      <c r="D218" s="369"/>
      <c r="E218" s="369"/>
      <c r="F218" s="369"/>
      <c r="G218" s="30" t="s">
        <v>29</v>
      </c>
      <c r="H218" s="381" t="e">
        <f>ROUND(H210-H217,-2)</f>
        <v>#REF!</v>
      </c>
      <c r="I218" s="381"/>
      <c r="J218" s="381"/>
      <c r="K218" s="39" t="s">
        <v>34</v>
      </c>
      <c r="M218" s="368" t="s">
        <v>72</v>
      </c>
      <c r="N218" s="369"/>
      <c r="O218" s="369"/>
      <c r="P218" s="369"/>
      <c r="Q218" s="369"/>
      <c r="R218" s="369"/>
      <c r="S218" s="30" t="s">
        <v>29</v>
      </c>
      <c r="T218" s="381" t="e">
        <f>ROUND(T210-T217,-2)</f>
        <v>#REF!</v>
      </c>
      <c r="U218" s="381"/>
      <c r="V218" s="381"/>
      <c r="W218" s="39" t="s">
        <v>34</v>
      </c>
    </row>
    <row r="219" spans="1:24" ht="18.75" customHeight="1">
      <c r="A219" s="48"/>
      <c r="B219" s="49"/>
      <c r="C219" s="49"/>
      <c r="D219" s="49"/>
      <c r="E219" s="49"/>
      <c r="F219" s="49"/>
      <c r="G219" s="49"/>
      <c r="H219" s="49"/>
      <c r="I219" s="49"/>
      <c r="J219" s="49"/>
      <c r="K219" s="50"/>
      <c r="M219" s="48"/>
      <c r="N219" s="49"/>
      <c r="O219" s="49"/>
      <c r="P219" s="49"/>
      <c r="Q219" s="49"/>
      <c r="R219" s="49"/>
      <c r="S219" s="49"/>
      <c r="T219" s="49"/>
      <c r="U219" s="49"/>
      <c r="V219" s="49"/>
      <c r="W219" s="50"/>
    </row>
    <row r="220" spans="1:24" ht="18.75" customHeight="1">
      <c r="A220" s="51"/>
      <c r="B220" s="30"/>
      <c r="C220" s="30"/>
      <c r="D220" s="30"/>
      <c r="E220" s="30"/>
      <c r="F220" s="30"/>
      <c r="G220" s="30"/>
      <c r="H220" s="30"/>
      <c r="I220" s="378" t="s">
        <v>73</v>
      </c>
      <c r="J220" s="378"/>
      <c r="K220" s="382"/>
      <c r="M220" s="51"/>
      <c r="N220" s="30"/>
      <c r="O220" s="30"/>
      <c r="P220" s="30"/>
      <c r="Q220" s="30"/>
      <c r="R220" s="30"/>
      <c r="S220" s="30"/>
      <c r="T220" s="30"/>
      <c r="U220" s="378" t="s">
        <v>73</v>
      </c>
      <c r="V220" s="378"/>
      <c r="W220" s="382"/>
    </row>
    <row r="221" spans="1:24" ht="18.75" customHeight="1">
      <c r="A221" s="51"/>
      <c r="B221" s="377"/>
      <c r="C221" s="378"/>
      <c r="D221" s="378"/>
      <c r="E221" s="378"/>
      <c r="F221" s="30"/>
      <c r="G221" s="30"/>
      <c r="H221" s="30"/>
      <c r="I221" s="30"/>
      <c r="J221" s="30"/>
      <c r="K221" s="32"/>
      <c r="M221" s="51"/>
      <c r="N221" s="377"/>
      <c r="O221" s="378"/>
      <c r="P221" s="378"/>
      <c r="Q221" s="378"/>
      <c r="R221" s="30"/>
      <c r="S221" s="30"/>
      <c r="T221" s="30"/>
      <c r="U221" s="30"/>
      <c r="V221" s="30"/>
      <c r="W221" s="32"/>
    </row>
    <row r="222" spans="1:24" ht="18.75" customHeight="1" thickBot="1">
      <c r="A222" s="53"/>
      <c r="B222" s="54"/>
      <c r="C222" s="54"/>
      <c r="D222" s="54"/>
      <c r="E222" s="54"/>
      <c r="F222" s="54"/>
      <c r="G222" s="54"/>
      <c r="H222" s="54"/>
      <c r="I222" s="379" t="s">
        <v>74</v>
      </c>
      <c r="J222" s="379"/>
      <c r="K222" s="380"/>
      <c r="M222" s="53"/>
      <c r="N222" s="54"/>
      <c r="O222" s="54"/>
      <c r="P222" s="54"/>
      <c r="Q222" s="54"/>
      <c r="R222" s="54"/>
      <c r="S222" s="54"/>
      <c r="T222" s="54"/>
      <c r="U222" s="379" t="s">
        <v>74</v>
      </c>
      <c r="V222" s="379"/>
      <c r="W222" s="380"/>
    </row>
    <row r="223" spans="1:24" ht="18.75" customHeight="1" thickTop="1" thickBot="1"/>
    <row r="224" spans="1:24" ht="18.75" customHeight="1" thickTop="1">
      <c r="A224" s="351" t="s">
        <v>160</v>
      </c>
      <c r="B224" s="352"/>
      <c r="C224" s="352"/>
      <c r="D224" s="352"/>
      <c r="E224" s="352"/>
      <c r="F224" s="352"/>
      <c r="G224" s="352"/>
      <c r="H224" s="352"/>
      <c r="I224" s="352"/>
      <c r="J224" s="352"/>
      <c r="K224" s="353"/>
      <c r="L224" s="26">
        <v>26</v>
      </c>
      <c r="M224" s="351" t="s">
        <v>160</v>
      </c>
      <c r="N224" s="352"/>
      <c r="O224" s="352"/>
      <c r="P224" s="352"/>
      <c r="Q224" s="352"/>
      <c r="R224" s="352"/>
      <c r="S224" s="352"/>
      <c r="T224" s="352"/>
      <c r="U224" s="352"/>
      <c r="V224" s="352"/>
      <c r="W224" s="353"/>
      <c r="X224" s="26">
        <v>26</v>
      </c>
    </row>
    <row r="225" spans="1:24" ht="18.75" customHeight="1">
      <c r="A225" s="27" t="s">
        <v>87</v>
      </c>
      <c r="B225" s="28"/>
      <c r="C225" s="28"/>
      <c r="D225" s="28"/>
      <c r="E225" s="28"/>
      <c r="F225" s="28"/>
      <c r="G225" s="28"/>
      <c r="H225" s="28"/>
      <c r="I225" s="28"/>
      <c r="J225" s="28"/>
      <c r="K225" s="29"/>
      <c r="M225" s="27" t="s">
        <v>88</v>
      </c>
      <c r="N225" s="28"/>
      <c r="O225" s="28"/>
      <c r="P225" s="28"/>
      <c r="Q225" s="28"/>
      <c r="R225" s="28"/>
      <c r="S225" s="28"/>
      <c r="T225" s="28"/>
      <c r="U225" s="28"/>
      <c r="V225" s="28"/>
      <c r="W225" s="29"/>
    </row>
    <row r="226" spans="1:24" ht="18.75" customHeight="1">
      <c r="A226" s="354" t="s">
        <v>27</v>
      </c>
      <c r="B226" s="355"/>
      <c r="C226" s="355"/>
      <c r="D226" s="355"/>
      <c r="E226" s="355"/>
      <c r="F226" s="355"/>
      <c r="G226" s="355"/>
      <c r="H226" s="355"/>
      <c r="I226" s="355"/>
      <c r="J226" s="355"/>
      <c r="K226" s="356"/>
      <c r="M226" s="354" t="s">
        <v>27</v>
      </c>
      <c r="N226" s="355"/>
      <c r="O226" s="355"/>
      <c r="P226" s="355"/>
      <c r="Q226" s="355"/>
      <c r="R226" s="355"/>
      <c r="S226" s="355"/>
      <c r="T226" s="355"/>
      <c r="U226" s="355"/>
      <c r="V226" s="355"/>
      <c r="W226" s="356"/>
    </row>
    <row r="227" spans="1:24" ht="18.75" customHeight="1">
      <c r="A227" s="347" t="s">
        <v>28</v>
      </c>
      <c r="B227" s="31"/>
      <c r="C227" s="31"/>
      <c r="D227" s="31"/>
      <c r="E227" s="30" t="s">
        <v>29</v>
      </c>
      <c r="F227" s="348">
        <f>'Bang TH nop'!B33</f>
        <v>0</v>
      </c>
      <c r="G227" s="31"/>
      <c r="H227" s="31"/>
      <c r="I227" s="31"/>
      <c r="J227" s="31"/>
      <c r="K227" s="350"/>
      <c r="M227" s="347" t="s">
        <v>28</v>
      </c>
      <c r="N227" s="31"/>
      <c r="O227" s="31"/>
      <c r="P227" s="31"/>
      <c r="Q227" s="30" t="s">
        <v>29</v>
      </c>
      <c r="R227" s="348">
        <f>'Bang TH nop'!B35</f>
        <v>0</v>
      </c>
      <c r="S227" s="31"/>
      <c r="T227" s="31"/>
      <c r="U227" s="31"/>
      <c r="V227" s="31"/>
      <c r="W227" s="350"/>
    </row>
    <row r="228" spans="1:24" ht="18.75" customHeight="1">
      <c r="A228" s="347" t="s">
        <v>30</v>
      </c>
      <c r="B228" s="31"/>
      <c r="C228" s="31"/>
      <c r="D228" s="31"/>
      <c r="E228" s="30" t="s">
        <v>29</v>
      </c>
      <c r="F228" s="348">
        <f>'Bang TH nop'!C33</f>
        <v>0</v>
      </c>
      <c r="G228" s="348"/>
      <c r="H228" s="348"/>
      <c r="I228" s="348"/>
      <c r="J228" s="348"/>
      <c r="K228" s="349"/>
      <c r="M228" s="347" t="s">
        <v>30</v>
      </c>
      <c r="N228" s="31"/>
      <c r="O228" s="31"/>
      <c r="P228" s="31"/>
      <c r="Q228" s="30" t="s">
        <v>29</v>
      </c>
      <c r="R228" s="348">
        <f>'Bang TH nop'!C35</f>
        <v>0</v>
      </c>
      <c r="S228" s="348"/>
      <c r="T228" s="348"/>
      <c r="U228" s="348"/>
      <c r="V228" s="348"/>
      <c r="W228" s="349"/>
    </row>
    <row r="229" spans="1:24" ht="18.75" customHeight="1">
      <c r="A229" s="347" t="s">
        <v>31</v>
      </c>
      <c r="B229" s="31"/>
      <c r="C229" s="31"/>
      <c r="D229" s="31"/>
      <c r="E229" s="30" t="s">
        <v>29</v>
      </c>
      <c r="F229" s="31" t="str">
        <f>+$L$2</f>
        <v xml:space="preserve">Tổ  </v>
      </c>
      <c r="G229" s="31"/>
      <c r="H229" s="31"/>
      <c r="I229" s="31"/>
      <c r="J229" s="31"/>
      <c r="K229" s="350"/>
      <c r="M229" s="347" t="s">
        <v>31</v>
      </c>
      <c r="N229" s="31"/>
      <c r="O229" s="31"/>
      <c r="P229" s="31"/>
      <c r="Q229" s="30" t="s">
        <v>29</v>
      </c>
      <c r="R229" s="31" t="str">
        <f>+$L$2</f>
        <v xml:space="preserve">Tổ  </v>
      </c>
      <c r="S229" s="31"/>
      <c r="T229" s="31"/>
      <c r="U229" s="31"/>
      <c r="V229" s="31"/>
      <c r="W229" s="350"/>
    </row>
    <row r="230" spans="1:24" ht="18.75" customHeight="1">
      <c r="A230" s="354" t="s">
        <v>32</v>
      </c>
      <c r="B230" s="355"/>
      <c r="C230" s="355"/>
      <c r="D230" s="355"/>
      <c r="E230" s="355"/>
      <c r="F230" s="355"/>
      <c r="G230" s="355"/>
      <c r="H230" s="355"/>
      <c r="I230" s="355"/>
      <c r="J230" s="355"/>
      <c r="K230" s="356"/>
      <c r="M230" s="354" t="s">
        <v>32</v>
      </c>
      <c r="N230" s="355"/>
      <c r="O230" s="355"/>
      <c r="P230" s="355"/>
      <c r="Q230" s="355"/>
      <c r="R230" s="355"/>
      <c r="S230" s="355"/>
      <c r="T230" s="355"/>
      <c r="U230" s="355"/>
      <c r="V230" s="355"/>
      <c r="W230" s="356"/>
    </row>
    <row r="231" spans="1:24" ht="18.75" customHeight="1">
      <c r="A231" s="347" t="s">
        <v>33</v>
      </c>
      <c r="B231" s="31"/>
      <c r="C231" s="31"/>
      <c r="D231" s="31"/>
      <c r="E231" s="30" t="s">
        <v>29</v>
      </c>
      <c r="F231" s="361">
        <f>VLOOKUP(F228,'Bang TH nop'!$C$9:$AP$266,29,0)</f>
        <v>0</v>
      </c>
      <c r="G231" s="361"/>
      <c r="H231" s="361"/>
      <c r="I231" s="361"/>
      <c r="J231" s="30" t="s">
        <v>34</v>
      </c>
      <c r="K231" s="32"/>
      <c r="M231" s="347" t="s">
        <v>33</v>
      </c>
      <c r="N231" s="31"/>
      <c r="O231" s="31"/>
      <c r="P231" s="31"/>
      <c r="Q231" s="30" t="s">
        <v>29</v>
      </c>
      <c r="R231" s="361">
        <f>VLOOKUP(R228,'Bang TH nop'!$C$9:$AP$266,29,0)</f>
        <v>0</v>
      </c>
      <c r="S231" s="361"/>
      <c r="T231" s="361"/>
      <c r="U231" s="361"/>
      <c r="V231" s="30" t="s">
        <v>34</v>
      </c>
      <c r="W231" s="32"/>
    </row>
    <row r="232" spans="1:24" ht="18.75" customHeight="1">
      <c r="A232" s="33" t="s">
        <v>35</v>
      </c>
      <c r="B232" s="30"/>
      <c r="C232" s="34"/>
      <c r="D232" s="35"/>
      <c r="E232" s="36"/>
      <c r="F232" s="36"/>
      <c r="G232" s="36"/>
      <c r="H232" s="30"/>
      <c r="I232" s="37" t="e">
        <f>#REF!</f>
        <v>#REF!</v>
      </c>
      <c r="J232" s="38"/>
      <c r="K232" s="39"/>
      <c r="M232" s="33" t="s">
        <v>35</v>
      </c>
      <c r="N232" s="30"/>
      <c r="O232" s="34"/>
      <c r="P232" s="35"/>
      <c r="Q232" s="36"/>
      <c r="R232" s="36"/>
      <c r="S232" s="36"/>
      <c r="T232" s="30"/>
      <c r="U232" s="37" t="e">
        <f>#REF!</f>
        <v>#REF!</v>
      </c>
      <c r="V232" s="38"/>
      <c r="W232" s="39"/>
    </row>
    <row r="233" spans="1:24" ht="18.75" customHeight="1">
      <c r="A233" s="33" t="s">
        <v>36</v>
      </c>
      <c r="B233" s="30"/>
      <c r="C233" s="34"/>
      <c r="D233" s="35"/>
      <c r="E233" s="36"/>
      <c r="F233" s="36"/>
      <c r="G233" s="36"/>
      <c r="H233" s="30"/>
      <c r="I233" s="37" t="e">
        <f>I234/C234/8</f>
        <v>#REF!</v>
      </c>
      <c r="J233" s="38"/>
      <c r="K233" s="39"/>
      <c r="M233" s="33" t="s">
        <v>36</v>
      </c>
      <c r="N233" s="30"/>
      <c r="O233" s="34"/>
      <c r="P233" s="35"/>
      <c r="Q233" s="36"/>
      <c r="R233" s="36"/>
      <c r="S233" s="36"/>
      <c r="T233" s="30"/>
      <c r="U233" s="37" t="e">
        <f>U234/O234/8</f>
        <v>#REF!</v>
      </c>
      <c r="V233" s="38"/>
      <c r="W233" s="39"/>
    </row>
    <row r="234" spans="1:24" ht="18.75" customHeight="1">
      <c r="A234" s="33" t="s">
        <v>37</v>
      </c>
      <c r="B234" s="30" t="s">
        <v>29</v>
      </c>
      <c r="C234" s="34" t="e">
        <f>#REF!</f>
        <v>#REF!</v>
      </c>
      <c r="D234" s="35" t="s">
        <v>38</v>
      </c>
      <c r="E234" s="359" t="s">
        <v>39</v>
      </c>
      <c r="F234" s="359"/>
      <c r="G234" s="359"/>
      <c r="H234" s="30" t="s">
        <v>29</v>
      </c>
      <c r="I234" s="360" t="e">
        <f>#REF!</f>
        <v>#REF!</v>
      </c>
      <c r="J234" s="360"/>
      <c r="K234" s="39" t="s">
        <v>34</v>
      </c>
      <c r="L234" s="40" t="e">
        <f>F231/L224*C234</f>
        <v>#REF!</v>
      </c>
      <c r="M234" s="33" t="s">
        <v>37</v>
      </c>
      <c r="N234" s="30" t="s">
        <v>29</v>
      </c>
      <c r="O234" s="34" t="e">
        <f>#REF!</f>
        <v>#REF!</v>
      </c>
      <c r="P234" s="35" t="s">
        <v>38</v>
      </c>
      <c r="Q234" s="359" t="s">
        <v>39</v>
      </c>
      <c r="R234" s="359"/>
      <c r="S234" s="359"/>
      <c r="T234" s="30" t="s">
        <v>29</v>
      </c>
      <c r="U234" s="360" t="e">
        <f>#REF!</f>
        <v>#REF!</v>
      </c>
      <c r="V234" s="360"/>
      <c r="W234" s="39" t="s">
        <v>34</v>
      </c>
      <c r="X234" s="40" t="e">
        <f>R231/X224*O234</f>
        <v>#REF!</v>
      </c>
    </row>
    <row r="235" spans="1:24" ht="18.75" customHeight="1">
      <c r="A235" s="33" t="s">
        <v>40</v>
      </c>
      <c r="B235" s="30" t="s">
        <v>29</v>
      </c>
      <c r="C235" s="34" t="e">
        <f>#REF!</f>
        <v>#REF!</v>
      </c>
      <c r="D235" s="35" t="s">
        <v>38</v>
      </c>
      <c r="E235" s="31" t="s">
        <v>41</v>
      </c>
      <c r="F235" s="31"/>
      <c r="G235" s="31"/>
      <c r="H235" s="30" t="s">
        <v>29</v>
      </c>
      <c r="I235" s="358" t="e">
        <f>$F$8/$L$1*C235</f>
        <v>#REF!</v>
      </c>
      <c r="J235" s="358"/>
      <c r="K235" s="39" t="s">
        <v>34</v>
      </c>
      <c r="L235" s="40"/>
      <c r="M235" s="33" t="s">
        <v>40</v>
      </c>
      <c r="N235" s="30" t="s">
        <v>29</v>
      </c>
      <c r="O235" s="34" t="e">
        <f>#REF!</f>
        <v>#REF!</v>
      </c>
      <c r="P235" s="35" t="s">
        <v>38</v>
      </c>
      <c r="Q235" s="31" t="s">
        <v>41</v>
      </c>
      <c r="R235" s="31"/>
      <c r="S235" s="31"/>
      <c r="T235" s="30" t="s">
        <v>29</v>
      </c>
      <c r="U235" s="358" t="e">
        <f>$F$8/$L$1*O235</f>
        <v>#REF!</v>
      </c>
      <c r="V235" s="358"/>
      <c r="W235" s="39" t="s">
        <v>34</v>
      </c>
      <c r="X235" s="40"/>
    </row>
    <row r="236" spans="1:24" ht="18.75" customHeight="1">
      <c r="A236" s="33" t="s">
        <v>42</v>
      </c>
      <c r="B236" s="30" t="s">
        <v>29</v>
      </c>
      <c r="C236" s="34" t="e">
        <f>#REF!</f>
        <v>#REF!</v>
      </c>
      <c r="D236" s="35" t="s">
        <v>38</v>
      </c>
      <c r="E236" s="357" t="s">
        <v>43</v>
      </c>
      <c r="F236" s="357"/>
      <c r="G236" s="357"/>
      <c r="H236" s="30" t="s">
        <v>29</v>
      </c>
      <c r="I236" s="358" t="e">
        <f>$F$8/$L$1*C236</f>
        <v>#REF!</v>
      </c>
      <c r="J236" s="358"/>
      <c r="K236" s="39" t="s">
        <v>34</v>
      </c>
      <c r="L236" s="40"/>
      <c r="M236" s="33" t="s">
        <v>42</v>
      </c>
      <c r="N236" s="30" t="s">
        <v>29</v>
      </c>
      <c r="O236" s="34" t="e">
        <f>#REF!</f>
        <v>#REF!</v>
      </c>
      <c r="P236" s="35" t="s">
        <v>38</v>
      </c>
      <c r="Q236" s="357" t="s">
        <v>43</v>
      </c>
      <c r="R236" s="357"/>
      <c r="S236" s="357"/>
      <c r="T236" s="30" t="s">
        <v>29</v>
      </c>
      <c r="U236" s="358" t="e">
        <f>$F$8/$L$1*O236</f>
        <v>#REF!</v>
      </c>
      <c r="V236" s="358"/>
      <c r="W236" s="39" t="s">
        <v>34</v>
      </c>
      <c r="X236" s="40"/>
    </row>
    <row r="237" spans="1:24" ht="18.75" customHeight="1">
      <c r="A237" s="33" t="s">
        <v>44</v>
      </c>
      <c r="B237" s="30" t="s">
        <v>29</v>
      </c>
      <c r="C237" s="34" t="e">
        <f>#REF!</f>
        <v>#REF!</v>
      </c>
      <c r="D237" s="35" t="s">
        <v>38</v>
      </c>
      <c r="E237" s="357" t="s">
        <v>45</v>
      </c>
      <c r="F237" s="357"/>
      <c r="G237" s="357"/>
      <c r="H237" s="30" t="s">
        <v>29</v>
      </c>
      <c r="I237" s="358" t="e">
        <f>$F$8/$L$1*C237</f>
        <v>#REF!</v>
      </c>
      <c r="J237" s="358"/>
      <c r="K237" s="39" t="s">
        <v>34</v>
      </c>
      <c r="L237" s="40"/>
      <c r="M237" s="33" t="s">
        <v>44</v>
      </c>
      <c r="N237" s="30" t="s">
        <v>29</v>
      </c>
      <c r="O237" s="34" t="e">
        <f>#REF!</f>
        <v>#REF!</v>
      </c>
      <c r="P237" s="35" t="s">
        <v>38</v>
      </c>
      <c r="Q237" s="357" t="s">
        <v>45</v>
      </c>
      <c r="R237" s="357"/>
      <c r="S237" s="357"/>
      <c r="T237" s="30" t="s">
        <v>29</v>
      </c>
      <c r="U237" s="358" t="e">
        <f>$F$8/$L$1*O237</f>
        <v>#REF!</v>
      </c>
      <c r="V237" s="358"/>
      <c r="W237" s="39" t="s">
        <v>34</v>
      </c>
      <c r="X237" s="40"/>
    </row>
    <row r="238" spans="1:24" ht="18.75" customHeight="1">
      <c r="A238" s="33" t="s">
        <v>46</v>
      </c>
      <c r="B238" s="30" t="s">
        <v>29</v>
      </c>
      <c r="C238" s="34" t="e">
        <f>#REF!</f>
        <v>#REF!</v>
      </c>
      <c r="D238" s="35" t="s">
        <v>47</v>
      </c>
      <c r="E238" s="31" t="s">
        <v>48</v>
      </c>
      <c r="F238" s="31"/>
      <c r="G238" s="31"/>
      <c r="H238" s="30" t="s">
        <v>29</v>
      </c>
      <c r="I238" s="358" t="e">
        <f>#REF!</f>
        <v>#REF!</v>
      </c>
      <c r="J238" s="358"/>
      <c r="K238" s="39" t="s">
        <v>34</v>
      </c>
      <c r="L238" s="40" t="e">
        <f>F231*C238/L224/8*1.5</f>
        <v>#REF!</v>
      </c>
      <c r="M238" s="33" t="s">
        <v>46</v>
      </c>
      <c r="N238" s="30" t="s">
        <v>29</v>
      </c>
      <c r="O238" s="34" t="e">
        <f>#REF!</f>
        <v>#REF!</v>
      </c>
      <c r="P238" s="35" t="s">
        <v>47</v>
      </c>
      <c r="Q238" s="31" t="s">
        <v>48</v>
      </c>
      <c r="R238" s="31"/>
      <c r="S238" s="31"/>
      <c r="T238" s="30" t="s">
        <v>29</v>
      </c>
      <c r="U238" s="358" t="e">
        <f>#REF!</f>
        <v>#REF!</v>
      </c>
      <c r="V238" s="358"/>
      <c r="W238" s="39" t="s">
        <v>34</v>
      </c>
      <c r="X238" s="40" t="e">
        <f>R231*O238/X224/8*1.5</f>
        <v>#REF!</v>
      </c>
    </row>
    <row r="239" spans="1:24" ht="18.75" customHeight="1">
      <c r="A239" s="347" t="s">
        <v>49</v>
      </c>
      <c r="B239" s="31"/>
      <c r="C239" s="34"/>
      <c r="D239" s="35" t="s">
        <v>38</v>
      </c>
      <c r="E239" s="31" t="s">
        <v>50</v>
      </c>
      <c r="F239" s="31"/>
      <c r="G239" s="31"/>
      <c r="H239" s="41" t="s">
        <v>29</v>
      </c>
      <c r="I239" s="358"/>
      <c r="J239" s="358"/>
      <c r="K239" s="39" t="s">
        <v>34</v>
      </c>
      <c r="L239" s="40"/>
      <c r="M239" s="347" t="s">
        <v>49</v>
      </c>
      <c r="N239" s="31"/>
      <c r="O239" s="34"/>
      <c r="P239" s="35" t="s">
        <v>38</v>
      </c>
      <c r="Q239" s="31" t="s">
        <v>50</v>
      </c>
      <c r="R239" s="31"/>
      <c r="S239" s="31"/>
      <c r="T239" s="41" t="s">
        <v>29</v>
      </c>
      <c r="U239" s="358"/>
      <c r="V239" s="358"/>
      <c r="W239" s="39" t="s">
        <v>34</v>
      </c>
      <c r="X239" s="40"/>
    </row>
    <row r="240" spans="1:24" ht="18.75" customHeight="1">
      <c r="A240" s="33" t="s">
        <v>51</v>
      </c>
      <c r="B240" s="30" t="s">
        <v>29</v>
      </c>
      <c r="C240" s="34"/>
      <c r="D240" s="35" t="s">
        <v>38</v>
      </c>
      <c r="E240" s="31" t="s">
        <v>52</v>
      </c>
      <c r="F240" s="31"/>
      <c r="G240" s="31"/>
      <c r="H240" s="30" t="s">
        <v>29</v>
      </c>
      <c r="I240" s="358"/>
      <c r="J240" s="358"/>
      <c r="K240" s="39" t="s">
        <v>34</v>
      </c>
      <c r="L240" s="40"/>
      <c r="M240" s="33" t="s">
        <v>51</v>
      </c>
      <c r="N240" s="30" t="s">
        <v>29</v>
      </c>
      <c r="O240" s="34"/>
      <c r="P240" s="35" t="s">
        <v>38</v>
      </c>
      <c r="Q240" s="31" t="s">
        <v>52</v>
      </c>
      <c r="R240" s="31"/>
      <c r="S240" s="31"/>
      <c r="T240" s="30" t="s">
        <v>29</v>
      </c>
      <c r="U240" s="358"/>
      <c r="V240" s="358"/>
      <c r="W240" s="39" t="s">
        <v>34</v>
      </c>
      <c r="X240" s="40"/>
    </row>
    <row r="241" spans="1:24" ht="18.75" customHeight="1">
      <c r="A241" s="42" t="s">
        <v>53</v>
      </c>
      <c r="B241" s="30"/>
      <c r="C241" s="34" t="e">
        <f>#REF!</f>
        <v>#REF!</v>
      </c>
      <c r="D241" s="35" t="s">
        <v>47</v>
      </c>
      <c r="E241" s="31" t="s">
        <v>54</v>
      </c>
      <c r="F241" s="31"/>
      <c r="G241" s="31"/>
      <c r="H241" s="30" t="s">
        <v>29</v>
      </c>
      <c r="I241" s="358" t="e">
        <f>$F$8*C241/8/$L$1</f>
        <v>#REF!</v>
      </c>
      <c r="J241" s="358"/>
      <c r="K241" s="39" t="s">
        <v>34</v>
      </c>
      <c r="L241" s="40"/>
      <c r="M241" s="42" t="s">
        <v>53</v>
      </c>
      <c r="N241" s="30"/>
      <c r="O241" s="34" t="e">
        <f>#REF!</f>
        <v>#REF!</v>
      </c>
      <c r="P241" s="35" t="s">
        <v>47</v>
      </c>
      <c r="Q241" s="31" t="s">
        <v>54</v>
      </c>
      <c r="R241" s="31"/>
      <c r="S241" s="31"/>
      <c r="T241" s="30" t="s">
        <v>29</v>
      </c>
      <c r="U241" s="358" t="e">
        <f>$F$8*O241/8/$L$1</f>
        <v>#REF!</v>
      </c>
      <c r="V241" s="358"/>
      <c r="W241" s="39" t="s">
        <v>34</v>
      </c>
      <c r="X241" s="40"/>
    </row>
    <row r="242" spans="1:24" ht="18.75" customHeight="1">
      <c r="A242" s="33" t="s">
        <v>155</v>
      </c>
      <c r="B242" s="30" t="s">
        <v>29</v>
      </c>
      <c r="C242" s="34"/>
      <c r="D242" s="35" t="s">
        <v>47</v>
      </c>
      <c r="E242" s="31" t="s">
        <v>61</v>
      </c>
      <c r="F242" s="31"/>
      <c r="G242" s="31"/>
      <c r="H242" s="30" t="s">
        <v>29</v>
      </c>
      <c r="I242" s="360"/>
      <c r="J242" s="360"/>
      <c r="K242" s="39" t="s">
        <v>34</v>
      </c>
      <c r="L242" s="40"/>
      <c r="M242" s="33" t="s">
        <v>155</v>
      </c>
      <c r="N242" s="30" t="s">
        <v>29</v>
      </c>
      <c r="O242" s="34"/>
      <c r="P242" s="35" t="s">
        <v>47</v>
      </c>
      <c r="Q242" s="31" t="s">
        <v>61</v>
      </c>
      <c r="R242" s="31"/>
      <c r="S242" s="31"/>
      <c r="T242" s="30" t="s">
        <v>29</v>
      </c>
      <c r="U242" s="360"/>
      <c r="V242" s="360"/>
      <c r="W242" s="39" t="s">
        <v>34</v>
      </c>
      <c r="X242" s="40"/>
    </row>
    <row r="243" spans="1:24" ht="18.75" customHeight="1">
      <c r="A243" s="33" t="s">
        <v>57</v>
      </c>
      <c r="B243" s="30" t="s">
        <v>29</v>
      </c>
      <c r="C243" s="34"/>
      <c r="D243" s="35" t="s">
        <v>58</v>
      </c>
      <c r="E243" s="31" t="s">
        <v>59</v>
      </c>
      <c r="F243" s="31"/>
      <c r="G243" s="31"/>
      <c r="H243" s="30" t="s">
        <v>29</v>
      </c>
      <c r="I243" s="358"/>
      <c r="J243" s="358"/>
      <c r="K243" s="39" t="s">
        <v>34</v>
      </c>
      <c r="L243" s="40" t="e">
        <f>+IF(L234-I234&lt;0,0,L234-I234)+IF(L238-I238&lt;0,0,L238-I238)</f>
        <v>#REF!</v>
      </c>
      <c r="M243" s="33" t="s">
        <v>57</v>
      </c>
      <c r="N243" s="30" t="s">
        <v>29</v>
      </c>
      <c r="O243" s="34"/>
      <c r="P243" s="35" t="s">
        <v>58</v>
      </c>
      <c r="Q243" s="31" t="s">
        <v>59</v>
      </c>
      <c r="R243" s="31"/>
      <c r="S243" s="31"/>
      <c r="T243" s="30" t="s">
        <v>29</v>
      </c>
      <c r="U243" s="358"/>
      <c r="V243" s="358"/>
      <c r="W243" s="39" t="s">
        <v>34</v>
      </c>
      <c r="X243" s="40" t="e">
        <f>+IF(X234-U234&lt;0,0,X234-U234)+IF(X238-U238&lt;0,0,X238-U238)</f>
        <v>#REF!</v>
      </c>
    </row>
    <row r="244" spans="1:24" ht="18.75" customHeight="1">
      <c r="A244" s="43" t="s">
        <v>152</v>
      </c>
      <c r="B244" s="44"/>
      <c r="C244" s="34"/>
      <c r="D244" s="35" t="s">
        <v>38</v>
      </c>
      <c r="E244" s="31" t="s">
        <v>153</v>
      </c>
      <c r="F244" s="31"/>
      <c r="G244" s="31"/>
      <c r="H244" s="30" t="s">
        <v>29</v>
      </c>
      <c r="I244" s="358"/>
      <c r="J244" s="358"/>
      <c r="K244" s="39" t="s">
        <v>34</v>
      </c>
      <c r="L244" s="40"/>
      <c r="M244" s="43" t="s">
        <v>152</v>
      </c>
      <c r="N244" s="44"/>
      <c r="O244" s="34"/>
      <c r="P244" s="35" t="s">
        <v>38</v>
      </c>
      <c r="Q244" s="31" t="s">
        <v>153</v>
      </c>
      <c r="R244" s="31"/>
      <c r="S244" s="31"/>
      <c r="T244" s="30" t="s">
        <v>29</v>
      </c>
      <c r="U244" s="358"/>
      <c r="V244" s="358"/>
      <c r="W244" s="39" t="s">
        <v>34</v>
      </c>
      <c r="X244" s="40"/>
    </row>
    <row r="245" spans="1:24" ht="18.75" customHeight="1">
      <c r="A245" s="366" t="s">
        <v>154</v>
      </c>
      <c r="B245" s="367"/>
      <c r="C245" s="34"/>
      <c r="D245" s="35"/>
      <c r="E245" s="36"/>
      <c r="F245" s="36"/>
      <c r="G245" s="36"/>
      <c r="H245" s="30" t="s">
        <v>29</v>
      </c>
      <c r="I245" s="358" t="e">
        <f>#REF!</f>
        <v>#REF!</v>
      </c>
      <c r="J245" s="358"/>
      <c r="K245" s="39" t="s">
        <v>34</v>
      </c>
      <c r="L245" s="40"/>
      <c r="M245" s="366" t="s">
        <v>154</v>
      </c>
      <c r="N245" s="367"/>
      <c r="O245" s="34"/>
      <c r="P245" s="35"/>
      <c r="Q245" s="36"/>
      <c r="R245" s="36"/>
      <c r="S245" s="36"/>
      <c r="T245" s="30" t="s">
        <v>29</v>
      </c>
      <c r="U245" s="358" t="e">
        <f>#REF!</f>
        <v>#REF!</v>
      </c>
      <c r="V245" s="358"/>
      <c r="W245" s="39" t="s">
        <v>34</v>
      </c>
      <c r="X245" s="40"/>
    </row>
    <row r="246" spans="1:24" ht="18.75" customHeight="1">
      <c r="A246" s="33" t="s">
        <v>63</v>
      </c>
      <c r="B246" s="30" t="s">
        <v>29</v>
      </c>
      <c r="C246" s="34"/>
      <c r="D246" s="35"/>
      <c r="E246" s="36" t="s">
        <v>64</v>
      </c>
      <c r="F246" s="36"/>
      <c r="G246" s="36"/>
      <c r="H246" s="30" t="s">
        <v>29</v>
      </c>
      <c r="I246" s="358" t="e">
        <f>L243</f>
        <v>#REF!</v>
      </c>
      <c r="J246" s="358"/>
      <c r="K246" s="39" t="s">
        <v>34</v>
      </c>
      <c r="L246" s="40"/>
      <c r="M246" s="33" t="s">
        <v>63</v>
      </c>
      <c r="N246" s="30" t="s">
        <v>29</v>
      </c>
      <c r="O246" s="34"/>
      <c r="P246" s="35"/>
      <c r="Q246" s="36" t="s">
        <v>64</v>
      </c>
      <c r="R246" s="36"/>
      <c r="S246" s="36"/>
      <c r="T246" s="30" t="s">
        <v>29</v>
      </c>
      <c r="U246" s="358" t="e">
        <f>X243</f>
        <v>#REF!</v>
      </c>
      <c r="V246" s="358"/>
      <c r="W246" s="39" t="s">
        <v>34</v>
      </c>
      <c r="X246" s="40"/>
    </row>
    <row r="247" spans="1:24" ht="18.75" customHeight="1">
      <c r="A247" s="362" t="s">
        <v>65</v>
      </c>
      <c r="B247" s="363"/>
      <c r="C247" s="363"/>
      <c r="D247" s="363"/>
      <c r="E247" s="363"/>
      <c r="F247" s="363"/>
      <c r="G247" s="30" t="s">
        <v>29</v>
      </c>
      <c r="H247" s="364" t="e">
        <f>I234+I235+I236+I237+I238+I241+I245+I246+I239+I240+I242+I243+I244+C245</f>
        <v>#REF!</v>
      </c>
      <c r="I247" s="365"/>
      <c r="J247" s="365"/>
      <c r="K247" s="39" t="s">
        <v>34</v>
      </c>
      <c r="M247" s="362" t="s">
        <v>65</v>
      </c>
      <c r="N247" s="363"/>
      <c r="O247" s="363"/>
      <c r="P247" s="363"/>
      <c r="Q247" s="363"/>
      <c r="R247" s="363"/>
      <c r="S247" s="30" t="s">
        <v>29</v>
      </c>
      <c r="T247" s="364" t="e">
        <f>U234+U235+U236+U237+U238+U241+U245+U246+U239+U240+U242+U243+U244+O245</f>
        <v>#REF!</v>
      </c>
      <c r="U247" s="365"/>
      <c r="V247" s="365"/>
      <c r="W247" s="39" t="s">
        <v>34</v>
      </c>
    </row>
    <row r="248" spans="1:24" ht="18.75" customHeight="1">
      <c r="A248" s="45"/>
      <c r="B248" s="46"/>
      <c r="C248" s="46"/>
      <c r="D248" s="46"/>
      <c r="E248" s="46"/>
      <c r="F248" s="46"/>
      <c r="G248" s="46"/>
      <c r="H248" s="46"/>
      <c r="I248" s="46"/>
      <c r="J248" s="46"/>
      <c r="K248" s="47"/>
      <c r="M248" s="45"/>
      <c r="N248" s="46"/>
      <c r="O248" s="46"/>
      <c r="P248" s="46"/>
      <c r="Q248" s="46"/>
      <c r="R248" s="46"/>
      <c r="S248" s="46"/>
      <c r="T248" s="46"/>
      <c r="U248" s="46"/>
      <c r="V248" s="46"/>
      <c r="W248" s="47"/>
    </row>
    <row r="249" spans="1:24" ht="18.75" customHeight="1">
      <c r="A249" s="374" t="s">
        <v>66</v>
      </c>
      <c r="B249" s="375"/>
      <c r="C249" s="375"/>
      <c r="D249" s="375"/>
      <c r="E249" s="375"/>
      <c r="F249" s="375"/>
      <c r="G249" s="30"/>
      <c r="H249" s="30"/>
      <c r="I249" s="30"/>
      <c r="J249" s="30"/>
      <c r="K249" s="39"/>
      <c r="M249" s="374" t="s">
        <v>66</v>
      </c>
      <c r="N249" s="375"/>
      <c r="O249" s="375"/>
      <c r="P249" s="375"/>
      <c r="Q249" s="375"/>
      <c r="R249" s="375"/>
      <c r="S249" s="30"/>
      <c r="T249" s="30"/>
      <c r="U249" s="30"/>
      <c r="V249" s="30"/>
      <c r="W249" s="39"/>
    </row>
    <row r="250" spans="1:24" ht="18.75" customHeight="1">
      <c r="A250" s="368" t="s">
        <v>67</v>
      </c>
      <c r="B250" s="369"/>
      <c r="C250" s="369"/>
      <c r="D250" s="369"/>
      <c r="E250" s="369"/>
      <c r="F250" s="369"/>
      <c r="G250" s="30" t="s">
        <v>29</v>
      </c>
      <c r="H250" s="376" t="e">
        <f>IF(($L$1-(C234+C235+C236+C237))&gt;12,0,F231*8%)</f>
        <v>#REF!</v>
      </c>
      <c r="I250" s="376"/>
      <c r="J250" s="376"/>
      <c r="K250" s="39" t="s">
        <v>34</v>
      </c>
      <c r="M250" s="368" t="s">
        <v>67</v>
      </c>
      <c r="N250" s="369"/>
      <c r="O250" s="369"/>
      <c r="P250" s="369"/>
      <c r="Q250" s="369"/>
      <c r="R250" s="369"/>
      <c r="S250" s="30" t="s">
        <v>29</v>
      </c>
      <c r="T250" s="376" t="e">
        <f>IF(($L$1-(O234+O235+O236+O237))&gt;12,0,R231*8%)</f>
        <v>#REF!</v>
      </c>
      <c r="U250" s="376"/>
      <c r="V250" s="376"/>
      <c r="W250" s="39" t="s">
        <v>34</v>
      </c>
    </row>
    <row r="251" spans="1:24" ht="18.75" customHeight="1">
      <c r="A251" s="368" t="s">
        <v>68</v>
      </c>
      <c r="B251" s="369"/>
      <c r="C251" s="369"/>
      <c r="D251" s="369"/>
      <c r="E251" s="369"/>
      <c r="F251" s="369"/>
      <c r="G251" s="30" t="s">
        <v>29</v>
      </c>
      <c r="H251" s="370" t="e">
        <f>IF(($L$1-(C234+C235+C236+C237))&gt;12,0,F231*1.5%)</f>
        <v>#REF!</v>
      </c>
      <c r="I251" s="370"/>
      <c r="J251" s="370"/>
      <c r="K251" s="39" t="s">
        <v>34</v>
      </c>
      <c r="M251" s="368" t="s">
        <v>68</v>
      </c>
      <c r="N251" s="369"/>
      <c r="O251" s="369"/>
      <c r="P251" s="369"/>
      <c r="Q251" s="369"/>
      <c r="R251" s="369"/>
      <c r="S251" s="30" t="s">
        <v>29</v>
      </c>
      <c r="T251" s="370" t="e">
        <f>IF(($L$1-(O234+O235+O236+O237))&gt;12,0,R231*1.5%)</f>
        <v>#REF!</v>
      </c>
      <c r="U251" s="370"/>
      <c r="V251" s="370"/>
      <c r="W251" s="39" t="s">
        <v>34</v>
      </c>
    </row>
    <row r="252" spans="1:24" ht="18.75" customHeight="1">
      <c r="A252" s="368" t="s">
        <v>69</v>
      </c>
      <c r="B252" s="369"/>
      <c r="C252" s="369"/>
      <c r="D252" s="369"/>
      <c r="E252" s="369"/>
      <c r="F252" s="369"/>
      <c r="G252" s="30" t="s">
        <v>29</v>
      </c>
      <c r="H252" s="370" t="e">
        <f>IF(($L$1-(C234+C235+C236+C237))&gt;12,0,F231*1%)</f>
        <v>#REF!</v>
      </c>
      <c r="I252" s="370"/>
      <c r="J252" s="370"/>
      <c r="K252" s="39" t="s">
        <v>34</v>
      </c>
      <c r="M252" s="368" t="s">
        <v>69</v>
      </c>
      <c r="N252" s="369"/>
      <c r="O252" s="369"/>
      <c r="P252" s="369"/>
      <c r="Q252" s="369"/>
      <c r="R252" s="369"/>
      <c r="S252" s="30" t="s">
        <v>29</v>
      </c>
      <c r="T252" s="370" t="e">
        <f>IF(($L$1-(O234+O235+O236+O237))&gt;12,0,R231*1%)</f>
        <v>#REF!</v>
      </c>
      <c r="U252" s="370"/>
      <c r="V252" s="370"/>
      <c r="W252" s="39" t="s">
        <v>34</v>
      </c>
    </row>
    <row r="253" spans="1:24" ht="18.75" customHeight="1">
      <c r="A253" s="368" t="s">
        <v>70</v>
      </c>
      <c r="B253" s="369"/>
      <c r="C253" s="369"/>
      <c r="D253" s="369"/>
      <c r="E253" s="369"/>
      <c r="F253" s="369"/>
      <c r="G253" s="30" t="s">
        <v>29</v>
      </c>
      <c r="H253" s="370">
        <v>0</v>
      </c>
      <c r="I253" s="370"/>
      <c r="J253" s="370"/>
      <c r="K253" s="39" t="s">
        <v>34</v>
      </c>
      <c r="M253" s="368" t="s">
        <v>70</v>
      </c>
      <c r="N253" s="369"/>
      <c r="O253" s="369"/>
      <c r="P253" s="369"/>
      <c r="Q253" s="369"/>
      <c r="R253" s="369"/>
      <c r="S253" s="30" t="s">
        <v>29</v>
      </c>
      <c r="T253" s="370">
        <v>0</v>
      </c>
      <c r="U253" s="370"/>
      <c r="V253" s="370"/>
      <c r="W253" s="39" t="s">
        <v>34</v>
      </c>
    </row>
    <row r="254" spans="1:24" ht="18.75" customHeight="1">
      <c r="A254" s="371" t="s">
        <v>71</v>
      </c>
      <c r="B254" s="372"/>
      <c r="C254" s="372"/>
      <c r="D254" s="372"/>
      <c r="E254" s="372"/>
      <c r="F254" s="372"/>
      <c r="G254" s="30" t="s">
        <v>29</v>
      </c>
      <c r="H254" s="373" t="e">
        <f>SUM(H250:J253)</f>
        <v>#REF!</v>
      </c>
      <c r="I254" s="373"/>
      <c r="J254" s="373"/>
      <c r="K254" s="39" t="s">
        <v>34</v>
      </c>
      <c r="M254" s="371" t="s">
        <v>71</v>
      </c>
      <c r="N254" s="372"/>
      <c r="O254" s="372"/>
      <c r="P254" s="372"/>
      <c r="Q254" s="372"/>
      <c r="R254" s="372"/>
      <c r="S254" s="30" t="s">
        <v>29</v>
      </c>
      <c r="T254" s="373" t="e">
        <f>SUM(T250:V253)</f>
        <v>#REF!</v>
      </c>
      <c r="U254" s="373"/>
      <c r="V254" s="373"/>
      <c r="W254" s="39" t="s">
        <v>34</v>
      </c>
    </row>
    <row r="255" spans="1:24" ht="18.75" customHeight="1">
      <c r="A255" s="368" t="s">
        <v>72</v>
      </c>
      <c r="B255" s="369"/>
      <c r="C255" s="369"/>
      <c r="D255" s="369"/>
      <c r="E255" s="369"/>
      <c r="F255" s="369"/>
      <c r="G255" s="30" t="s">
        <v>29</v>
      </c>
      <c r="H255" s="381" t="e">
        <f>ROUND(H247-H254,-2)</f>
        <v>#REF!</v>
      </c>
      <c r="I255" s="381"/>
      <c r="J255" s="381"/>
      <c r="K255" s="39" t="s">
        <v>34</v>
      </c>
      <c r="M255" s="368" t="s">
        <v>72</v>
      </c>
      <c r="N255" s="369"/>
      <c r="O255" s="369"/>
      <c r="P255" s="369"/>
      <c r="Q255" s="369"/>
      <c r="R255" s="369"/>
      <c r="S255" s="30" t="s">
        <v>29</v>
      </c>
      <c r="T255" s="381" t="e">
        <f>ROUND(T247-T254,-2)</f>
        <v>#REF!</v>
      </c>
      <c r="U255" s="381"/>
      <c r="V255" s="381"/>
      <c r="W255" s="39" t="s">
        <v>34</v>
      </c>
    </row>
    <row r="256" spans="1:24" ht="18.75" customHeight="1">
      <c r="A256" s="48"/>
      <c r="B256" s="49"/>
      <c r="C256" s="49"/>
      <c r="D256" s="49"/>
      <c r="E256" s="49"/>
      <c r="F256" s="49"/>
      <c r="G256" s="49"/>
      <c r="H256" s="49"/>
      <c r="I256" s="49"/>
      <c r="J256" s="49"/>
      <c r="K256" s="50"/>
      <c r="M256" s="48"/>
      <c r="N256" s="49"/>
      <c r="O256" s="49"/>
      <c r="P256" s="49"/>
      <c r="Q256" s="49"/>
      <c r="R256" s="49"/>
      <c r="S256" s="49"/>
      <c r="T256" s="49"/>
      <c r="U256" s="49"/>
      <c r="V256" s="49"/>
      <c r="W256" s="50"/>
    </row>
    <row r="257" spans="1:24" ht="18.75" customHeight="1">
      <c r="A257" s="51"/>
      <c r="B257" s="30"/>
      <c r="C257" s="30"/>
      <c r="D257" s="30"/>
      <c r="E257" s="30"/>
      <c r="F257" s="30"/>
      <c r="G257" s="30"/>
      <c r="H257" s="30"/>
      <c r="I257" s="378" t="s">
        <v>73</v>
      </c>
      <c r="J257" s="378"/>
      <c r="K257" s="382"/>
      <c r="M257" s="51"/>
      <c r="N257" s="30"/>
      <c r="O257" s="30"/>
      <c r="P257" s="30"/>
      <c r="Q257" s="30"/>
      <c r="R257" s="30"/>
      <c r="S257" s="30"/>
      <c r="T257" s="30"/>
      <c r="U257" s="378" t="s">
        <v>73</v>
      </c>
      <c r="V257" s="378"/>
      <c r="W257" s="382"/>
    </row>
    <row r="258" spans="1:24" ht="18.75" customHeight="1">
      <c r="A258" s="51"/>
      <c r="B258" s="377"/>
      <c r="C258" s="378"/>
      <c r="D258" s="378"/>
      <c r="E258" s="378"/>
      <c r="F258" s="30"/>
      <c r="G258" s="30"/>
      <c r="H258" s="30"/>
      <c r="I258" s="30"/>
      <c r="J258" s="30"/>
      <c r="K258" s="32"/>
      <c r="M258" s="51"/>
      <c r="N258" s="377"/>
      <c r="O258" s="378"/>
      <c r="P258" s="378"/>
      <c r="Q258" s="378"/>
      <c r="R258" s="30"/>
      <c r="S258" s="30"/>
      <c r="T258" s="30"/>
      <c r="U258" s="30"/>
      <c r="V258" s="30"/>
      <c r="W258" s="32"/>
    </row>
    <row r="259" spans="1:24" ht="18.75" customHeight="1" thickBot="1">
      <c r="A259" s="53"/>
      <c r="B259" s="54"/>
      <c r="C259" s="54"/>
      <c r="D259" s="54"/>
      <c r="E259" s="54"/>
      <c r="F259" s="54"/>
      <c r="G259" s="54"/>
      <c r="H259" s="54"/>
      <c r="I259" s="379" t="s">
        <v>74</v>
      </c>
      <c r="J259" s="379"/>
      <c r="K259" s="380"/>
      <c r="M259" s="53"/>
      <c r="N259" s="54"/>
      <c r="O259" s="54"/>
      <c r="P259" s="54"/>
      <c r="Q259" s="54"/>
      <c r="R259" s="54"/>
      <c r="S259" s="54"/>
      <c r="T259" s="54"/>
      <c r="U259" s="379" t="s">
        <v>74</v>
      </c>
      <c r="V259" s="379"/>
      <c r="W259" s="380"/>
    </row>
    <row r="260" spans="1:24" ht="18.75" customHeight="1" thickTop="1" thickBot="1"/>
    <row r="261" spans="1:24" ht="18.75" customHeight="1" thickTop="1">
      <c r="A261" s="351" t="s">
        <v>160</v>
      </c>
      <c r="B261" s="352"/>
      <c r="C261" s="352"/>
      <c r="D261" s="352"/>
      <c r="E261" s="352"/>
      <c r="F261" s="352"/>
      <c r="G261" s="352"/>
      <c r="H261" s="352"/>
      <c r="I261" s="352"/>
      <c r="J261" s="352"/>
      <c r="K261" s="353"/>
      <c r="L261" s="26">
        <v>26</v>
      </c>
      <c r="M261" s="351" t="s">
        <v>160</v>
      </c>
      <c r="N261" s="352"/>
      <c r="O261" s="352"/>
      <c r="P261" s="352"/>
      <c r="Q261" s="352"/>
      <c r="R261" s="352"/>
      <c r="S261" s="352"/>
      <c r="T261" s="352"/>
      <c r="U261" s="352"/>
      <c r="V261" s="352"/>
      <c r="W261" s="353"/>
      <c r="X261" s="26">
        <v>26</v>
      </c>
    </row>
    <row r="262" spans="1:24" ht="18.75" customHeight="1">
      <c r="A262" s="27" t="s">
        <v>89</v>
      </c>
      <c r="B262" s="28"/>
      <c r="C262" s="28"/>
      <c r="D262" s="28"/>
      <c r="E262" s="28"/>
      <c r="F262" s="28"/>
      <c r="G262" s="28"/>
      <c r="H262" s="28"/>
      <c r="I262" s="28"/>
      <c r="J262" s="28"/>
      <c r="K262" s="29"/>
      <c r="M262" s="27" t="s">
        <v>90</v>
      </c>
      <c r="N262" s="28"/>
      <c r="O262" s="28"/>
      <c r="P262" s="28"/>
      <c r="Q262" s="28"/>
      <c r="R262" s="28"/>
      <c r="S262" s="28"/>
      <c r="T262" s="28"/>
      <c r="U262" s="28"/>
      <c r="V262" s="28"/>
      <c r="W262" s="29"/>
    </row>
    <row r="263" spans="1:24" ht="18.75" customHeight="1">
      <c r="A263" s="354" t="s">
        <v>27</v>
      </c>
      <c r="B263" s="355"/>
      <c r="C263" s="355"/>
      <c r="D263" s="355"/>
      <c r="E263" s="355"/>
      <c r="F263" s="355"/>
      <c r="G263" s="355"/>
      <c r="H263" s="355"/>
      <c r="I263" s="355"/>
      <c r="J263" s="355"/>
      <c r="K263" s="356"/>
      <c r="M263" s="354" t="s">
        <v>27</v>
      </c>
      <c r="N263" s="355"/>
      <c r="O263" s="355"/>
      <c r="P263" s="355"/>
      <c r="Q263" s="355"/>
      <c r="R263" s="355"/>
      <c r="S263" s="355"/>
      <c r="T263" s="355"/>
      <c r="U263" s="355"/>
      <c r="V263" s="355"/>
      <c r="W263" s="356"/>
    </row>
    <row r="264" spans="1:24" ht="18.75" customHeight="1">
      <c r="A264" s="347" t="s">
        <v>28</v>
      </c>
      <c r="B264" s="31"/>
      <c r="C264" s="31"/>
      <c r="D264" s="31"/>
      <c r="E264" s="30" t="s">
        <v>29</v>
      </c>
      <c r="F264" s="348">
        <f>'Bang TH nop'!B37</f>
        <v>0</v>
      </c>
      <c r="G264" s="31"/>
      <c r="H264" s="31"/>
      <c r="I264" s="31"/>
      <c r="J264" s="31"/>
      <c r="K264" s="350"/>
      <c r="M264" s="347" t="s">
        <v>28</v>
      </c>
      <c r="N264" s="31"/>
      <c r="O264" s="31"/>
      <c r="P264" s="31"/>
      <c r="Q264" s="30" t="s">
        <v>29</v>
      </c>
      <c r="R264" s="348">
        <f>'Bang TH nop'!B39</f>
        <v>0</v>
      </c>
      <c r="S264" s="31"/>
      <c r="T264" s="31"/>
      <c r="U264" s="31"/>
      <c r="V264" s="31"/>
      <c r="W264" s="350"/>
    </row>
    <row r="265" spans="1:24" ht="18.75" customHeight="1">
      <c r="A265" s="347" t="s">
        <v>30</v>
      </c>
      <c r="B265" s="31"/>
      <c r="C265" s="31"/>
      <c r="D265" s="31"/>
      <c r="E265" s="30" t="s">
        <v>29</v>
      </c>
      <c r="F265" s="348">
        <f>'Bang TH nop'!C37</f>
        <v>0</v>
      </c>
      <c r="G265" s="348"/>
      <c r="H265" s="348"/>
      <c r="I265" s="348"/>
      <c r="J265" s="348"/>
      <c r="K265" s="349"/>
      <c r="M265" s="347" t="s">
        <v>30</v>
      </c>
      <c r="N265" s="31"/>
      <c r="O265" s="31"/>
      <c r="P265" s="31"/>
      <c r="Q265" s="30" t="s">
        <v>29</v>
      </c>
      <c r="R265" s="348">
        <f>'Bang TH nop'!C39</f>
        <v>0</v>
      </c>
      <c r="S265" s="348"/>
      <c r="T265" s="348"/>
      <c r="U265" s="348"/>
      <c r="V265" s="348"/>
      <c r="W265" s="349"/>
    </row>
    <row r="266" spans="1:24" ht="18.75" customHeight="1">
      <c r="A266" s="347" t="s">
        <v>31</v>
      </c>
      <c r="B266" s="31"/>
      <c r="C266" s="31"/>
      <c r="D266" s="31"/>
      <c r="E266" s="30" t="s">
        <v>29</v>
      </c>
      <c r="F266" s="31" t="str">
        <f>+$L$2</f>
        <v xml:space="preserve">Tổ  </v>
      </c>
      <c r="G266" s="31"/>
      <c r="H266" s="31"/>
      <c r="I266" s="31"/>
      <c r="J266" s="31"/>
      <c r="K266" s="350"/>
      <c r="M266" s="347" t="s">
        <v>31</v>
      </c>
      <c r="N266" s="31"/>
      <c r="O266" s="31"/>
      <c r="P266" s="31"/>
      <c r="Q266" s="30" t="s">
        <v>29</v>
      </c>
      <c r="R266" s="31" t="str">
        <f>+$L$2</f>
        <v xml:space="preserve">Tổ  </v>
      </c>
      <c r="S266" s="31"/>
      <c r="T266" s="31"/>
      <c r="U266" s="31"/>
      <c r="V266" s="31"/>
      <c r="W266" s="350"/>
    </row>
    <row r="267" spans="1:24" ht="18.75" customHeight="1">
      <c r="A267" s="354" t="s">
        <v>32</v>
      </c>
      <c r="B267" s="355"/>
      <c r="C267" s="355"/>
      <c r="D267" s="355"/>
      <c r="E267" s="355"/>
      <c r="F267" s="355"/>
      <c r="G267" s="355"/>
      <c r="H267" s="355"/>
      <c r="I267" s="355"/>
      <c r="J267" s="355"/>
      <c r="K267" s="356"/>
      <c r="M267" s="354" t="s">
        <v>32</v>
      </c>
      <c r="N267" s="355"/>
      <c r="O267" s="355"/>
      <c r="P267" s="355"/>
      <c r="Q267" s="355"/>
      <c r="R267" s="355"/>
      <c r="S267" s="355"/>
      <c r="T267" s="355"/>
      <c r="U267" s="355"/>
      <c r="V267" s="355"/>
      <c r="W267" s="356"/>
    </row>
    <row r="268" spans="1:24" ht="18.75" customHeight="1">
      <c r="A268" s="347" t="s">
        <v>33</v>
      </c>
      <c r="B268" s="31"/>
      <c r="C268" s="31"/>
      <c r="D268" s="31"/>
      <c r="E268" s="30" t="s">
        <v>29</v>
      </c>
      <c r="F268" s="361">
        <f>VLOOKUP(F265,'Bang TH nop'!$C$9:$AP$266,29,0)</f>
        <v>0</v>
      </c>
      <c r="G268" s="361"/>
      <c r="H268" s="361"/>
      <c r="I268" s="361"/>
      <c r="J268" s="30" t="s">
        <v>34</v>
      </c>
      <c r="K268" s="32"/>
      <c r="M268" s="347" t="s">
        <v>33</v>
      </c>
      <c r="N268" s="31"/>
      <c r="O268" s="31"/>
      <c r="P268" s="31"/>
      <c r="Q268" s="30" t="s">
        <v>29</v>
      </c>
      <c r="R268" s="361">
        <f>VLOOKUP(R265,'Bang TH nop'!$C$9:$AP$266,29,0)</f>
        <v>0</v>
      </c>
      <c r="S268" s="361"/>
      <c r="T268" s="361"/>
      <c r="U268" s="361"/>
      <c r="V268" s="30" t="s">
        <v>34</v>
      </c>
      <c r="W268" s="32"/>
    </row>
    <row r="269" spans="1:24" ht="18.75" customHeight="1">
      <c r="A269" s="33" t="s">
        <v>35</v>
      </c>
      <c r="B269" s="30"/>
      <c r="C269" s="34"/>
      <c r="D269" s="35"/>
      <c r="E269" s="36"/>
      <c r="F269" s="36"/>
      <c r="G269" s="36"/>
      <c r="H269" s="30"/>
      <c r="I269" s="37" t="e">
        <f>#REF!</f>
        <v>#REF!</v>
      </c>
      <c r="J269" s="38"/>
      <c r="K269" s="39"/>
      <c r="M269" s="33" t="s">
        <v>35</v>
      </c>
      <c r="N269" s="30"/>
      <c r="O269" s="34"/>
      <c r="P269" s="35"/>
      <c r="Q269" s="36"/>
      <c r="R269" s="36"/>
      <c r="S269" s="36"/>
      <c r="T269" s="30"/>
      <c r="U269" s="37" t="e">
        <f>#REF!</f>
        <v>#REF!</v>
      </c>
      <c r="V269" s="38"/>
      <c r="W269" s="39"/>
    </row>
    <row r="270" spans="1:24" ht="18.75" customHeight="1">
      <c r="A270" s="33" t="s">
        <v>36</v>
      </c>
      <c r="B270" s="30"/>
      <c r="C270" s="34"/>
      <c r="D270" s="35"/>
      <c r="E270" s="36"/>
      <c r="F270" s="36"/>
      <c r="G270" s="36"/>
      <c r="H270" s="30"/>
      <c r="I270" s="37" t="e">
        <f>I271/C271/8</f>
        <v>#REF!</v>
      </c>
      <c r="J270" s="38"/>
      <c r="K270" s="39"/>
      <c r="M270" s="33" t="s">
        <v>36</v>
      </c>
      <c r="N270" s="30"/>
      <c r="O270" s="34"/>
      <c r="P270" s="35"/>
      <c r="Q270" s="36"/>
      <c r="R270" s="36"/>
      <c r="S270" s="36"/>
      <c r="T270" s="30"/>
      <c r="U270" s="37" t="e">
        <f>U271/O271/8</f>
        <v>#REF!</v>
      </c>
      <c r="V270" s="38"/>
      <c r="W270" s="39"/>
    </row>
    <row r="271" spans="1:24" ht="18.75" customHeight="1">
      <c r="A271" s="33" t="s">
        <v>37</v>
      </c>
      <c r="B271" s="30" t="s">
        <v>29</v>
      </c>
      <c r="C271" s="34" t="e">
        <f>#REF!</f>
        <v>#REF!</v>
      </c>
      <c r="D271" s="35" t="s">
        <v>38</v>
      </c>
      <c r="E271" s="359" t="s">
        <v>39</v>
      </c>
      <c r="F271" s="359"/>
      <c r="G271" s="359"/>
      <c r="H271" s="30" t="s">
        <v>29</v>
      </c>
      <c r="I271" s="360" t="e">
        <f>#REF!</f>
        <v>#REF!</v>
      </c>
      <c r="J271" s="360"/>
      <c r="K271" s="39" t="s">
        <v>34</v>
      </c>
      <c r="L271" s="40" t="e">
        <f>F268/L261*C271</f>
        <v>#REF!</v>
      </c>
      <c r="M271" s="33" t="s">
        <v>37</v>
      </c>
      <c r="N271" s="30" t="s">
        <v>29</v>
      </c>
      <c r="O271" s="34" t="e">
        <f>#REF!</f>
        <v>#REF!</v>
      </c>
      <c r="P271" s="35" t="s">
        <v>38</v>
      </c>
      <c r="Q271" s="359" t="s">
        <v>39</v>
      </c>
      <c r="R271" s="359"/>
      <c r="S271" s="359"/>
      <c r="T271" s="30" t="s">
        <v>29</v>
      </c>
      <c r="U271" s="360" t="e">
        <f>#REF!</f>
        <v>#REF!</v>
      </c>
      <c r="V271" s="360"/>
      <c r="W271" s="39" t="s">
        <v>34</v>
      </c>
      <c r="X271" s="40" t="e">
        <f>R268/X261*O271</f>
        <v>#REF!</v>
      </c>
    </row>
    <row r="272" spans="1:24" ht="18.75" customHeight="1">
      <c r="A272" s="33" t="s">
        <v>40</v>
      </c>
      <c r="B272" s="30" t="s">
        <v>29</v>
      </c>
      <c r="C272" s="34" t="e">
        <f>#REF!</f>
        <v>#REF!</v>
      </c>
      <c r="D272" s="35" t="s">
        <v>38</v>
      </c>
      <c r="E272" s="31" t="s">
        <v>41</v>
      </c>
      <c r="F272" s="31"/>
      <c r="G272" s="31"/>
      <c r="H272" s="30" t="s">
        <v>29</v>
      </c>
      <c r="I272" s="358" t="e">
        <f>$F$8/$L$1*C272</f>
        <v>#REF!</v>
      </c>
      <c r="J272" s="358"/>
      <c r="K272" s="39" t="s">
        <v>34</v>
      </c>
      <c r="L272" s="40"/>
      <c r="M272" s="33" t="s">
        <v>40</v>
      </c>
      <c r="N272" s="30" t="s">
        <v>29</v>
      </c>
      <c r="O272" s="34" t="e">
        <f>#REF!</f>
        <v>#REF!</v>
      </c>
      <c r="P272" s="35" t="s">
        <v>38</v>
      </c>
      <c r="Q272" s="31" t="s">
        <v>41</v>
      </c>
      <c r="R272" s="31"/>
      <c r="S272" s="31"/>
      <c r="T272" s="30" t="s">
        <v>29</v>
      </c>
      <c r="U272" s="358" t="e">
        <f>$F$8/$L$1*O272</f>
        <v>#REF!</v>
      </c>
      <c r="V272" s="358"/>
      <c r="W272" s="39" t="s">
        <v>34</v>
      </c>
      <c r="X272" s="40"/>
    </row>
    <row r="273" spans="1:24" ht="18.75" customHeight="1">
      <c r="A273" s="33" t="s">
        <v>42</v>
      </c>
      <c r="B273" s="30" t="s">
        <v>29</v>
      </c>
      <c r="C273" s="34" t="e">
        <f>#REF!</f>
        <v>#REF!</v>
      </c>
      <c r="D273" s="35" t="s">
        <v>38</v>
      </c>
      <c r="E273" s="357" t="s">
        <v>43</v>
      </c>
      <c r="F273" s="357"/>
      <c r="G273" s="357"/>
      <c r="H273" s="30" t="s">
        <v>29</v>
      </c>
      <c r="I273" s="358" t="e">
        <f>$F$8/$L$1*C273</f>
        <v>#REF!</v>
      </c>
      <c r="J273" s="358"/>
      <c r="K273" s="39" t="s">
        <v>34</v>
      </c>
      <c r="L273" s="40"/>
      <c r="M273" s="33" t="s">
        <v>42</v>
      </c>
      <c r="N273" s="30" t="s">
        <v>29</v>
      </c>
      <c r="O273" s="34" t="e">
        <f>#REF!</f>
        <v>#REF!</v>
      </c>
      <c r="P273" s="35" t="s">
        <v>38</v>
      </c>
      <c r="Q273" s="357" t="s">
        <v>43</v>
      </c>
      <c r="R273" s="357"/>
      <c r="S273" s="357"/>
      <c r="T273" s="30" t="s">
        <v>29</v>
      </c>
      <c r="U273" s="358" t="e">
        <f>$F$8/$L$1*O273</f>
        <v>#REF!</v>
      </c>
      <c r="V273" s="358"/>
      <c r="W273" s="39" t="s">
        <v>34</v>
      </c>
      <c r="X273" s="40"/>
    </row>
    <row r="274" spans="1:24" ht="18.75" customHeight="1">
      <c r="A274" s="33" t="s">
        <v>44</v>
      </c>
      <c r="B274" s="30" t="s">
        <v>29</v>
      </c>
      <c r="C274" s="34" t="e">
        <f>#REF!</f>
        <v>#REF!</v>
      </c>
      <c r="D274" s="35" t="s">
        <v>38</v>
      </c>
      <c r="E274" s="357" t="s">
        <v>45</v>
      </c>
      <c r="F274" s="357"/>
      <c r="G274" s="357"/>
      <c r="H274" s="30" t="s">
        <v>29</v>
      </c>
      <c r="I274" s="358" t="e">
        <f>$F$8/$L$1*C274</f>
        <v>#REF!</v>
      </c>
      <c r="J274" s="358"/>
      <c r="K274" s="39" t="s">
        <v>34</v>
      </c>
      <c r="L274" s="40"/>
      <c r="M274" s="33" t="s">
        <v>44</v>
      </c>
      <c r="N274" s="30" t="s">
        <v>29</v>
      </c>
      <c r="O274" s="34" t="e">
        <f>#REF!</f>
        <v>#REF!</v>
      </c>
      <c r="P274" s="35" t="s">
        <v>38</v>
      </c>
      <c r="Q274" s="357" t="s">
        <v>45</v>
      </c>
      <c r="R274" s="357"/>
      <c r="S274" s="357"/>
      <c r="T274" s="30" t="s">
        <v>29</v>
      </c>
      <c r="U274" s="358" t="e">
        <f>$F$8/$L$1*O274</f>
        <v>#REF!</v>
      </c>
      <c r="V274" s="358"/>
      <c r="W274" s="39" t="s">
        <v>34</v>
      </c>
      <c r="X274" s="40"/>
    </row>
    <row r="275" spans="1:24" ht="18.75" customHeight="1">
      <c r="A275" s="33" t="s">
        <v>46</v>
      </c>
      <c r="B275" s="30" t="s">
        <v>29</v>
      </c>
      <c r="C275" s="34" t="e">
        <f>#REF!</f>
        <v>#REF!</v>
      </c>
      <c r="D275" s="35" t="s">
        <v>47</v>
      </c>
      <c r="E275" s="31" t="s">
        <v>48</v>
      </c>
      <c r="F275" s="31"/>
      <c r="G275" s="31"/>
      <c r="H275" s="30" t="s">
        <v>29</v>
      </c>
      <c r="I275" s="358" t="e">
        <f>#REF!</f>
        <v>#REF!</v>
      </c>
      <c r="J275" s="358"/>
      <c r="K275" s="39" t="s">
        <v>34</v>
      </c>
      <c r="L275" s="40" t="e">
        <f>F268*C275/L261/8*1.5</f>
        <v>#REF!</v>
      </c>
      <c r="M275" s="33" t="s">
        <v>46</v>
      </c>
      <c r="N275" s="30" t="s">
        <v>29</v>
      </c>
      <c r="O275" s="34" t="e">
        <f>#REF!</f>
        <v>#REF!</v>
      </c>
      <c r="P275" s="35" t="s">
        <v>47</v>
      </c>
      <c r="Q275" s="31" t="s">
        <v>48</v>
      </c>
      <c r="R275" s="31"/>
      <c r="S275" s="31"/>
      <c r="T275" s="30" t="s">
        <v>29</v>
      </c>
      <c r="U275" s="358" t="e">
        <f>#REF!</f>
        <v>#REF!</v>
      </c>
      <c r="V275" s="358"/>
      <c r="W275" s="39" t="s">
        <v>34</v>
      </c>
      <c r="X275" s="40" t="e">
        <f>R268*O275/X261/8*1.5</f>
        <v>#REF!</v>
      </c>
    </row>
    <row r="276" spans="1:24" ht="18.75" customHeight="1">
      <c r="A276" s="347" t="s">
        <v>49</v>
      </c>
      <c r="B276" s="31"/>
      <c r="C276" s="34"/>
      <c r="D276" s="35" t="s">
        <v>38</v>
      </c>
      <c r="E276" s="31" t="s">
        <v>50</v>
      </c>
      <c r="F276" s="31"/>
      <c r="G276" s="31"/>
      <c r="H276" s="41" t="s">
        <v>29</v>
      </c>
      <c r="I276" s="358"/>
      <c r="J276" s="358"/>
      <c r="K276" s="39" t="s">
        <v>34</v>
      </c>
      <c r="L276" s="40"/>
      <c r="M276" s="347" t="s">
        <v>49</v>
      </c>
      <c r="N276" s="31"/>
      <c r="O276" s="34"/>
      <c r="P276" s="35" t="s">
        <v>38</v>
      </c>
      <c r="Q276" s="31" t="s">
        <v>50</v>
      </c>
      <c r="R276" s="31"/>
      <c r="S276" s="31"/>
      <c r="T276" s="41" t="s">
        <v>29</v>
      </c>
      <c r="U276" s="358"/>
      <c r="V276" s="358"/>
      <c r="W276" s="39" t="s">
        <v>34</v>
      </c>
      <c r="X276" s="40"/>
    </row>
    <row r="277" spans="1:24" ht="18.75" customHeight="1">
      <c r="A277" s="33" t="s">
        <v>51</v>
      </c>
      <c r="B277" s="30" t="s">
        <v>29</v>
      </c>
      <c r="C277" s="34"/>
      <c r="D277" s="35" t="s">
        <v>38</v>
      </c>
      <c r="E277" s="31" t="s">
        <v>52</v>
      </c>
      <c r="F277" s="31"/>
      <c r="G277" s="31"/>
      <c r="H277" s="30" t="s">
        <v>29</v>
      </c>
      <c r="I277" s="358"/>
      <c r="J277" s="358"/>
      <c r="K277" s="39" t="s">
        <v>34</v>
      </c>
      <c r="L277" s="40"/>
      <c r="M277" s="33" t="s">
        <v>51</v>
      </c>
      <c r="N277" s="30" t="s">
        <v>29</v>
      </c>
      <c r="O277" s="34"/>
      <c r="P277" s="35" t="s">
        <v>38</v>
      </c>
      <c r="Q277" s="31" t="s">
        <v>52</v>
      </c>
      <c r="R277" s="31"/>
      <c r="S277" s="31"/>
      <c r="T277" s="30" t="s">
        <v>29</v>
      </c>
      <c r="U277" s="358"/>
      <c r="V277" s="358"/>
      <c r="W277" s="39" t="s">
        <v>34</v>
      </c>
      <c r="X277" s="40"/>
    </row>
    <row r="278" spans="1:24" ht="18.75" customHeight="1">
      <c r="A278" s="42" t="s">
        <v>53</v>
      </c>
      <c r="B278" s="30"/>
      <c r="C278" s="34" t="e">
        <f>#REF!</f>
        <v>#REF!</v>
      </c>
      <c r="D278" s="35" t="s">
        <v>47</v>
      </c>
      <c r="E278" s="31" t="s">
        <v>54</v>
      </c>
      <c r="F278" s="31"/>
      <c r="G278" s="31"/>
      <c r="H278" s="30" t="s">
        <v>29</v>
      </c>
      <c r="I278" s="358" t="e">
        <f>$F$8*C278/8/$L$1</f>
        <v>#REF!</v>
      </c>
      <c r="J278" s="358"/>
      <c r="K278" s="39" t="s">
        <v>34</v>
      </c>
      <c r="L278" s="40"/>
      <c r="M278" s="42" t="s">
        <v>53</v>
      </c>
      <c r="N278" s="30"/>
      <c r="O278" s="34" t="e">
        <f>#REF!</f>
        <v>#REF!</v>
      </c>
      <c r="P278" s="35" t="s">
        <v>47</v>
      </c>
      <c r="Q278" s="31" t="s">
        <v>54</v>
      </c>
      <c r="R278" s="31"/>
      <c r="S278" s="31"/>
      <c r="T278" s="30" t="s">
        <v>29</v>
      </c>
      <c r="U278" s="358" t="e">
        <f>$F$8*O278/8/$L$1</f>
        <v>#REF!</v>
      </c>
      <c r="V278" s="358"/>
      <c r="W278" s="39" t="s">
        <v>34</v>
      </c>
      <c r="X278" s="40"/>
    </row>
    <row r="279" spans="1:24" ht="18.75" customHeight="1">
      <c r="A279" s="33" t="s">
        <v>155</v>
      </c>
      <c r="B279" s="30" t="s">
        <v>29</v>
      </c>
      <c r="C279" s="34"/>
      <c r="D279" s="35" t="s">
        <v>47</v>
      </c>
      <c r="E279" s="31" t="s">
        <v>61</v>
      </c>
      <c r="F279" s="31"/>
      <c r="G279" s="31"/>
      <c r="H279" s="30" t="s">
        <v>29</v>
      </c>
      <c r="I279" s="360"/>
      <c r="J279" s="360"/>
      <c r="K279" s="39" t="s">
        <v>34</v>
      </c>
      <c r="L279" s="40"/>
      <c r="M279" s="33" t="s">
        <v>155</v>
      </c>
      <c r="N279" s="30" t="s">
        <v>29</v>
      </c>
      <c r="O279" s="34"/>
      <c r="P279" s="35" t="s">
        <v>47</v>
      </c>
      <c r="Q279" s="31" t="s">
        <v>61</v>
      </c>
      <c r="R279" s="31"/>
      <c r="S279" s="31"/>
      <c r="T279" s="30" t="s">
        <v>29</v>
      </c>
      <c r="U279" s="360"/>
      <c r="V279" s="360"/>
      <c r="W279" s="39" t="s">
        <v>34</v>
      </c>
      <c r="X279" s="40"/>
    </row>
    <row r="280" spans="1:24" ht="18.75" customHeight="1">
      <c r="A280" s="33" t="s">
        <v>57</v>
      </c>
      <c r="B280" s="30" t="s">
        <v>29</v>
      </c>
      <c r="C280" s="34"/>
      <c r="D280" s="35" t="s">
        <v>58</v>
      </c>
      <c r="E280" s="31" t="s">
        <v>59</v>
      </c>
      <c r="F280" s="31"/>
      <c r="G280" s="31"/>
      <c r="H280" s="30" t="s">
        <v>29</v>
      </c>
      <c r="I280" s="358"/>
      <c r="J280" s="358"/>
      <c r="K280" s="39" t="s">
        <v>34</v>
      </c>
      <c r="L280" s="40" t="e">
        <f>+IF(L271-I271&lt;0,0,L271-I271)+IF(L275-I275&lt;0,0,L275-I275)</f>
        <v>#REF!</v>
      </c>
      <c r="M280" s="43" t="s">
        <v>152</v>
      </c>
      <c r="N280" s="44"/>
      <c r="O280" s="34"/>
      <c r="P280" s="35" t="s">
        <v>38</v>
      </c>
      <c r="Q280" s="31" t="s">
        <v>153</v>
      </c>
      <c r="R280" s="31"/>
      <c r="S280" s="31"/>
      <c r="T280" s="30" t="s">
        <v>29</v>
      </c>
      <c r="U280" s="358"/>
      <c r="V280" s="358"/>
      <c r="W280" s="39" t="s">
        <v>34</v>
      </c>
      <c r="X280" s="40" t="e">
        <f>+IF(X271-U271&lt;0,0,X271-U271)+IF(X275-U275&lt;0,0,X275-U275)</f>
        <v>#REF!</v>
      </c>
    </row>
    <row r="281" spans="1:24" ht="18.75" customHeight="1">
      <c r="A281" s="43" t="s">
        <v>152</v>
      </c>
      <c r="B281" s="44"/>
      <c r="C281" s="34"/>
      <c r="D281" s="35" t="s">
        <v>38</v>
      </c>
      <c r="E281" s="31" t="s">
        <v>153</v>
      </c>
      <c r="F281" s="31"/>
      <c r="G281" s="31"/>
      <c r="H281" s="30" t="s">
        <v>29</v>
      </c>
      <c r="I281" s="358"/>
      <c r="J281" s="358"/>
      <c r="K281" s="39" t="s">
        <v>34</v>
      </c>
      <c r="L281" s="40"/>
      <c r="M281" s="366" t="s">
        <v>154</v>
      </c>
      <c r="N281" s="367"/>
      <c r="O281" s="34"/>
      <c r="P281" s="35"/>
      <c r="Q281" s="36"/>
      <c r="R281" s="36"/>
      <c r="S281" s="36"/>
      <c r="T281" s="30" t="s">
        <v>29</v>
      </c>
      <c r="U281" s="358"/>
      <c r="V281" s="358"/>
      <c r="W281" s="39" t="s">
        <v>34</v>
      </c>
      <c r="X281" s="40"/>
    </row>
    <row r="282" spans="1:24" ht="18.75" customHeight="1">
      <c r="A282" s="366" t="s">
        <v>154</v>
      </c>
      <c r="B282" s="367"/>
      <c r="C282" s="34"/>
      <c r="D282" s="35"/>
      <c r="E282" s="36"/>
      <c r="F282" s="36"/>
      <c r="G282" s="36"/>
      <c r="H282" s="30" t="s">
        <v>29</v>
      </c>
      <c r="I282" s="358" t="e">
        <f>#REF!</f>
        <v>#REF!</v>
      </c>
      <c r="J282" s="358"/>
      <c r="K282" s="39" t="s">
        <v>34</v>
      </c>
      <c r="L282" s="40"/>
      <c r="M282" s="383" t="s">
        <v>62</v>
      </c>
      <c r="N282" s="359"/>
      <c r="O282" s="34"/>
      <c r="P282" s="35"/>
      <c r="Q282" s="36"/>
      <c r="R282" s="36"/>
      <c r="S282" s="36"/>
      <c r="T282" s="30" t="s">
        <v>29</v>
      </c>
      <c r="U282" s="358" t="e">
        <f>#REF!</f>
        <v>#REF!</v>
      </c>
      <c r="V282" s="358"/>
      <c r="W282" s="39" t="s">
        <v>34</v>
      </c>
      <c r="X282" s="40"/>
    </row>
    <row r="283" spans="1:24" ht="18.75" customHeight="1">
      <c r="A283" s="33" t="s">
        <v>63</v>
      </c>
      <c r="B283" s="30" t="s">
        <v>29</v>
      </c>
      <c r="C283" s="34"/>
      <c r="D283" s="35"/>
      <c r="E283" s="36" t="s">
        <v>64</v>
      </c>
      <c r="F283" s="36"/>
      <c r="G283" s="36"/>
      <c r="H283" s="30" t="s">
        <v>29</v>
      </c>
      <c r="I283" s="358" t="e">
        <f>L280</f>
        <v>#REF!</v>
      </c>
      <c r="J283" s="358"/>
      <c r="K283" s="39" t="s">
        <v>34</v>
      </c>
      <c r="L283" s="40"/>
      <c r="M283" s="33" t="s">
        <v>63</v>
      </c>
      <c r="N283" s="30" t="s">
        <v>29</v>
      </c>
      <c r="O283" s="34"/>
      <c r="P283" s="35"/>
      <c r="Q283" s="36" t="s">
        <v>64</v>
      </c>
      <c r="R283" s="36"/>
      <c r="S283" s="36"/>
      <c r="T283" s="30" t="s">
        <v>29</v>
      </c>
      <c r="U283" s="358" t="e">
        <f>X280</f>
        <v>#REF!</v>
      </c>
      <c r="V283" s="358"/>
      <c r="W283" s="39" t="s">
        <v>34</v>
      </c>
      <c r="X283" s="40"/>
    </row>
    <row r="284" spans="1:24" ht="18.75" customHeight="1">
      <c r="A284" s="362" t="s">
        <v>65</v>
      </c>
      <c r="B284" s="363"/>
      <c r="C284" s="363"/>
      <c r="D284" s="363"/>
      <c r="E284" s="363"/>
      <c r="F284" s="363"/>
      <c r="G284" s="30" t="s">
        <v>29</v>
      </c>
      <c r="H284" s="364" t="e">
        <f>I271+I272+I273+I274+I275+I278+I282+I283+I276+I277+I279+I280+I281+C282</f>
        <v>#REF!</v>
      </c>
      <c r="I284" s="365"/>
      <c r="J284" s="365"/>
      <c r="K284" s="39" t="s">
        <v>34</v>
      </c>
      <c r="M284" s="362" t="s">
        <v>65</v>
      </c>
      <c r="N284" s="363"/>
      <c r="O284" s="363"/>
      <c r="P284" s="363"/>
      <c r="Q284" s="363"/>
      <c r="R284" s="363"/>
      <c r="S284" s="30" t="s">
        <v>29</v>
      </c>
      <c r="T284" s="364" t="e">
        <f>U271+U272+U273+U274+U275+U278+U282+U283+U276+U277+U279+U280+U281+O282</f>
        <v>#REF!</v>
      </c>
      <c r="U284" s="365"/>
      <c r="V284" s="365"/>
      <c r="W284" s="39" t="s">
        <v>34</v>
      </c>
    </row>
    <row r="285" spans="1:24" ht="18.75" customHeight="1">
      <c r="A285" s="45"/>
      <c r="B285" s="46"/>
      <c r="C285" s="46"/>
      <c r="D285" s="46"/>
      <c r="E285" s="46"/>
      <c r="F285" s="46"/>
      <c r="G285" s="46"/>
      <c r="H285" s="46"/>
      <c r="I285" s="46"/>
      <c r="J285" s="46"/>
      <c r="K285" s="47"/>
      <c r="M285" s="45"/>
      <c r="N285" s="46"/>
      <c r="O285" s="46"/>
      <c r="P285" s="46"/>
      <c r="Q285" s="46"/>
      <c r="R285" s="46"/>
      <c r="S285" s="46"/>
      <c r="T285" s="46"/>
      <c r="U285" s="46"/>
      <c r="V285" s="46"/>
      <c r="W285" s="47"/>
    </row>
    <row r="286" spans="1:24" ht="18.75" customHeight="1">
      <c r="A286" s="374" t="s">
        <v>66</v>
      </c>
      <c r="B286" s="375"/>
      <c r="C286" s="375"/>
      <c r="D286" s="375"/>
      <c r="E286" s="375"/>
      <c r="F286" s="375"/>
      <c r="G286" s="30"/>
      <c r="H286" s="30"/>
      <c r="I286" s="30"/>
      <c r="J286" s="30"/>
      <c r="K286" s="39"/>
      <c r="M286" s="374" t="s">
        <v>66</v>
      </c>
      <c r="N286" s="375"/>
      <c r="O286" s="375"/>
      <c r="P286" s="375"/>
      <c r="Q286" s="375"/>
      <c r="R286" s="375"/>
      <c r="S286" s="30"/>
      <c r="T286" s="30"/>
      <c r="U286" s="30"/>
      <c r="V286" s="30"/>
      <c r="W286" s="39"/>
    </row>
    <row r="287" spans="1:24" ht="18.75" customHeight="1">
      <c r="A287" s="368" t="s">
        <v>67</v>
      </c>
      <c r="B287" s="369"/>
      <c r="C287" s="369"/>
      <c r="D287" s="369"/>
      <c r="E287" s="369"/>
      <c r="F287" s="369"/>
      <c r="G287" s="30" t="s">
        <v>29</v>
      </c>
      <c r="H287" s="376" t="e">
        <f>IF(($L$1-(C271+C272+C273+C274))&gt;12,0,F268*8%)</f>
        <v>#REF!</v>
      </c>
      <c r="I287" s="376"/>
      <c r="J287" s="376"/>
      <c r="K287" s="39" t="s">
        <v>34</v>
      </c>
      <c r="M287" s="368" t="s">
        <v>67</v>
      </c>
      <c r="N287" s="369"/>
      <c r="O287" s="369"/>
      <c r="P287" s="369"/>
      <c r="Q287" s="369"/>
      <c r="R287" s="369"/>
      <c r="S287" s="30" t="s">
        <v>29</v>
      </c>
      <c r="T287" s="376" t="e">
        <f>IF(($L$1-(O271+O272+O273+O274))&gt;12,0,R268*8%)</f>
        <v>#REF!</v>
      </c>
      <c r="U287" s="376"/>
      <c r="V287" s="376"/>
      <c r="W287" s="39" t="s">
        <v>34</v>
      </c>
    </row>
    <row r="288" spans="1:24" ht="18.75" customHeight="1">
      <c r="A288" s="368" t="s">
        <v>68</v>
      </c>
      <c r="B288" s="369"/>
      <c r="C288" s="369"/>
      <c r="D288" s="369"/>
      <c r="E288" s="369"/>
      <c r="F288" s="369"/>
      <c r="G288" s="30" t="s">
        <v>29</v>
      </c>
      <c r="H288" s="370" t="e">
        <f>IF(($L$1-(C271+C272+C273+C274))&gt;12,0,F268*1.5%)</f>
        <v>#REF!</v>
      </c>
      <c r="I288" s="370"/>
      <c r="J288" s="370"/>
      <c r="K288" s="39" t="s">
        <v>34</v>
      </c>
      <c r="M288" s="368" t="s">
        <v>68</v>
      </c>
      <c r="N288" s="369"/>
      <c r="O288" s="369"/>
      <c r="P288" s="369"/>
      <c r="Q288" s="369"/>
      <c r="R288" s="369"/>
      <c r="S288" s="30" t="s">
        <v>29</v>
      </c>
      <c r="T288" s="370" t="e">
        <f>IF(($L$1-(O271+O272+O273+O274))&gt;12,0,R268*1.5%)</f>
        <v>#REF!</v>
      </c>
      <c r="U288" s="370"/>
      <c r="V288" s="370"/>
      <c r="W288" s="39" t="s">
        <v>34</v>
      </c>
    </row>
    <row r="289" spans="1:24" ht="18.75" customHeight="1">
      <c r="A289" s="368" t="s">
        <v>69</v>
      </c>
      <c r="B289" s="369"/>
      <c r="C289" s="369"/>
      <c r="D289" s="369"/>
      <c r="E289" s="369"/>
      <c r="F289" s="369"/>
      <c r="G289" s="30" t="s">
        <v>29</v>
      </c>
      <c r="H289" s="370" t="e">
        <f>IF(($L$1-(C271+C272+C273+C274))&gt;12,0,F268*1%)</f>
        <v>#REF!</v>
      </c>
      <c r="I289" s="370"/>
      <c r="J289" s="370"/>
      <c r="K289" s="39" t="s">
        <v>34</v>
      </c>
      <c r="M289" s="368" t="s">
        <v>69</v>
      </c>
      <c r="N289" s="369"/>
      <c r="O289" s="369"/>
      <c r="P289" s="369"/>
      <c r="Q289" s="369"/>
      <c r="R289" s="369"/>
      <c r="S289" s="30" t="s">
        <v>29</v>
      </c>
      <c r="T289" s="370" t="e">
        <f>IF(($L$1-(O271+O272+O273+O274))&gt;12,0,R268*1%)</f>
        <v>#REF!</v>
      </c>
      <c r="U289" s="370"/>
      <c r="V289" s="370"/>
      <c r="W289" s="39" t="s">
        <v>34</v>
      </c>
    </row>
    <row r="290" spans="1:24" ht="18.75" customHeight="1">
      <c r="A290" s="368" t="s">
        <v>70</v>
      </c>
      <c r="B290" s="369"/>
      <c r="C290" s="369"/>
      <c r="D290" s="369"/>
      <c r="E290" s="369"/>
      <c r="F290" s="369"/>
      <c r="G290" s="30" t="s">
        <v>29</v>
      </c>
      <c r="H290" s="370">
        <v>0</v>
      </c>
      <c r="I290" s="370"/>
      <c r="J290" s="370"/>
      <c r="K290" s="39" t="s">
        <v>34</v>
      </c>
      <c r="M290" s="368" t="s">
        <v>70</v>
      </c>
      <c r="N290" s="369"/>
      <c r="O290" s="369"/>
      <c r="P290" s="369"/>
      <c r="Q290" s="369"/>
      <c r="R290" s="369"/>
      <c r="S290" s="30" t="s">
        <v>29</v>
      </c>
      <c r="T290" s="370">
        <v>0</v>
      </c>
      <c r="U290" s="370"/>
      <c r="V290" s="370"/>
      <c r="W290" s="39" t="s">
        <v>34</v>
      </c>
    </row>
    <row r="291" spans="1:24" ht="18.75" customHeight="1">
      <c r="A291" s="371" t="s">
        <v>71</v>
      </c>
      <c r="B291" s="372"/>
      <c r="C291" s="372"/>
      <c r="D291" s="372"/>
      <c r="E291" s="372"/>
      <c r="F291" s="372"/>
      <c r="G291" s="30" t="s">
        <v>29</v>
      </c>
      <c r="H291" s="373" t="e">
        <f>SUM(H287:J290)</f>
        <v>#REF!</v>
      </c>
      <c r="I291" s="373"/>
      <c r="J291" s="373"/>
      <c r="K291" s="39" t="s">
        <v>34</v>
      </c>
      <c r="M291" s="371" t="s">
        <v>71</v>
      </c>
      <c r="N291" s="372"/>
      <c r="O291" s="372"/>
      <c r="P291" s="372"/>
      <c r="Q291" s="372"/>
      <c r="R291" s="372"/>
      <c r="S291" s="30" t="s">
        <v>29</v>
      </c>
      <c r="T291" s="373" t="e">
        <f>SUM(T287:V290)</f>
        <v>#REF!</v>
      </c>
      <c r="U291" s="373"/>
      <c r="V291" s="373"/>
      <c r="W291" s="39" t="s">
        <v>34</v>
      </c>
    </row>
    <row r="292" spans="1:24" ht="18.75" customHeight="1">
      <c r="A292" s="368" t="s">
        <v>72</v>
      </c>
      <c r="B292" s="369"/>
      <c r="C292" s="369"/>
      <c r="D292" s="369"/>
      <c r="E292" s="369"/>
      <c r="F292" s="369"/>
      <c r="G292" s="30" t="s">
        <v>29</v>
      </c>
      <c r="H292" s="381" t="e">
        <f>ROUND(H284-H291,-2)</f>
        <v>#REF!</v>
      </c>
      <c r="I292" s="381"/>
      <c r="J292" s="381"/>
      <c r="K292" s="39" t="s">
        <v>34</v>
      </c>
      <c r="M292" s="368" t="s">
        <v>72</v>
      </c>
      <c r="N292" s="369"/>
      <c r="O292" s="369"/>
      <c r="P292" s="369"/>
      <c r="Q292" s="369"/>
      <c r="R292" s="369"/>
      <c r="S292" s="30" t="s">
        <v>29</v>
      </c>
      <c r="T292" s="381" t="e">
        <f>ROUND(T284-T291,-2)</f>
        <v>#REF!</v>
      </c>
      <c r="U292" s="381"/>
      <c r="V292" s="381"/>
      <c r="W292" s="39" t="s">
        <v>34</v>
      </c>
    </row>
    <row r="293" spans="1:24" ht="18.75" customHeight="1">
      <c r="A293" s="48"/>
      <c r="B293" s="49"/>
      <c r="C293" s="49"/>
      <c r="D293" s="49"/>
      <c r="E293" s="49"/>
      <c r="F293" s="49"/>
      <c r="G293" s="49"/>
      <c r="H293" s="49"/>
      <c r="I293" s="49"/>
      <c r="J293" s="49"/>
      <c r="K293" s="50"/>
      <c r="M293" s="48"/>
      <c r="N293" s="49"/>
      <c r="O293" s="49"/>
      <c r="P293" s="49"/>
      <c r="Q293" s="49"/>
      <c r="R293" s="49"/>
      <c r="S293" s="49"/>
      <c r="T293" s="49"/>
      <c r="U293" s="49"/>
      <c r="V293" s="49"/>
      <c r="W293" s="50"/>
    </row>
    <row r="294" spans="1:24" ht="18.75" customHeight="1">
      <c r="A294" s="51"/>
      <c r="B294" s="30"/>
      <c r="C294" s="30"/>
      <c r="D294" s="30"/>
      <c r="E294" s="30"/>
      <c r="F294" s="30"/>
      <c r="G294" s="30"/>
      <c r="H294" s="30"/>
      <c r="I294" s="378" t="s">
        <v>73</v>
      </c>
      <c r="J294" s="378"/>
      <c r="K294" s="382"/>
      <c r="M294" s="51"/>
      <c r="N294" s="30"/>
      <c r="O294" s="30"/>
      <c r="P294" s="30"/>
      <c r="Q294" s="30"/>
      <c r="R294" s="30"/>
      <c r="S294" s="30"/>
      <c r="T294" s="30"/>
      <c r="U294" s="378" t="s">
        <v>73</v>
      </c>
      <c r="V294" s="378"/>
      <c r="W294" s="382"/>
    </row>
    <row r="295" spans="1:24" ht="18.75" customHeight="1">
      <c r="A295" s="51"/>
      <c r="B295" s="377"/>
      <c r="C295" s="378"/>
      <c r="D295" s="378"/>
      <c r="E295" s="378"/>
      <c r="F295" s="30"/>
      <c r="G295" s="30"/>
      <c r="H295" s="30"/>
      <c r="I295" s="30"/>
      <c r="J295" s="30"/>
      <c r="K295" s="32"/>
      <c r="M295" s="51"/>
      <c r="N295" s="377"/>
      <c r="O295" s="378"/>
      <c r="P295" s="378"/>
      <c r="Q295" s="378"/>
      <c r="R295" s="30"/>
      <c r="S295" s="30"/>
      <c r="T295" s="30"/>
      <c r="U295" s="30"/>
      <c r="V295" s="30"/>
      <c r="W295" s="32"/>
    </row>
    <row r="296" spans="1:24" ht="18.75" customHeight="1" thickBot="1">
      <c r="A296" s="53"/>
      <c r="B296" s="54"/>
      <c r="C296" s="54"/>
      <c r="D296" s="54"/>
      <c r="E296" s="54"/>
      <c r="F296" s="54"/>
      <c r="G296" s="54"/>
      <c r="H296" s="54"/>
      <c r="I296" s="379" t="s">
        <v>74</v>
      </c>
      <c r="J296" s="379"/>
      <c r="K296" s="380"/>
      <c r="M296" s="53"/>
      <c r="N296" s="54"/>
      <c r="O296" s="54"/>
      <c r="P296" s="54"/>
      <c r="Q296" s="54"/>
      <c r="R296" s="54"/>
      <c r="S296" s="54"/>
      <c r="T296" s="54"/>
      <c r="U296" s="379" t="s">
        <v>74</v>
      </c>
      <c r="V296" s="379"/>
      <c r="W296" s="380"/>
    </row>
    <row r="297" spans="1:24" ht="18.75" customHeight="1" thickTop="1" thickBot="1"/>
    <row r="298" spans="1:24" ht="18.75" customHeight="1" thickTop="1">
      <c r="A298" s="351" t="s">
        <v>160</v>
      </c>
      <c r="B298" s="352"/>
      <c r="C298" s="352"/>
      <c r="D298" s="352"/>
      <c r="E298" s="352"/>
      <c r="F298" s="352"/>
      <c r="G298" s="352"/>
      <c r="H298" s="352"/>
      <c r="I298" s="352"/>
      <c r="J298" s="352"/>
      <c r="K298" s="353"/>
      <c r="L298" s="26">
        <v>26</v>
      </c>
      <c r="M298" s="351" t="s">
        <v>160</v>
      </c>
      <c r="N298" s="352"/>
      <c r="O298" s="352"/>
      <c r="P298" s="352"/>
      <c r="Q298" s="352"/>
      <c r="R298" s="352"/>
      <c r="S298" s="352"/>
      <c r="T298" s="352"/>
      <c r="U298" s="352"/>
      <c r="V298" s="352"/>
      <c r="W298" s="353"/>
      <c r="X298" s="26">
        <v>26</v>
      </c>
    </row>
    <row r="299" spans="1:24" ht="18.75" customHeight="1">
      <c r="A299" s="27" t="s">
        <v>91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9"/>
      <c r="M299" s="27" t="s">
        <v>92</v>
      </c>
      <c r="N299" s="28"/>
      <c r="O299" s="28"/>
      <c r="P299" s="28"/>
      <c r="Q299" s="28"/>
      <c r="R299" s="28"/>
      <c r="S299" s="28"/>
      <c r="T299" s="28"/>
      <c r="U299" s="28"/>
      <c r="V299" s="28"/>
      <c r="W299" s="29"/>
    </row>
    <row r="300" spans="1:24" ht="18.75" customHeight="1">
      <c r="A300" s="354" t="s">
        <v>27</v>
      </c>
      <c r="B300" s="355"/>
      <c r="C300" s="355"/>
      <c r="D300" s="355"/>
      <c r="E300" s="355"/>
      <c r="F300" s="355"/>
      <c r="G300" s="355"/>
      <c r="H300" s="355"/>
      <c r="I300" s="355"/>
      <c r="J300" s="355"/>
      <c r="K300" s="356"/>
      <c r="M300" s="354" t="s">
        <v>27</v>
      </c>
      <c r="N300" s="355"/>
      <c r="O300" s="355"/>
      <c r="P300" s="355"/>
      <c r="Q300" s="355"/>
      <c r="R300" s="355"/>
      <c r="S300" s="355"/>
      <c r="T300" s="355"/>
      <c r="U300" s="355"/>
      <c r="V300" s="355"/>
      <c r="W300" s="356"/>
    </row>
    <row r="301" spans="1:24" ht="18.75" customHeight="1">
      <c r="A301" s="347" t="s">
        <v>28</v>
      </c>
      <c r="B301" s="31"/>
      <c r="C301" s="31"/>
      <c r="D301" s="31"/>
      <c r="E301" s="30" t="s">
        <v>29</v>
      </c>
      <c r="F301" s="348">
        <f>'Bang TH nop'!B41</f>
        <v>0</v>
      </c>
      <c r="G301" s="31"/>
      <c r="H301" s="31"/>
      <c r="I301" s="31"/>
      <c r="J301" s="31"/>
      <c r="K301" s="350"/>
      <c r="M301" s="347" t="s">
        <v>28</v>
      </c>
      <c r="N301" s="31"/>
      <c r="O301" s="31"/>
      <c r="P301" s="31"/>
      <c r="Q301" s="30" t="s">
        <v>29</v>
      </c>
      <c r="R301" s="348">
        <f>'Bang TH nop'!B43</f>
        <v>0</v>
      </c>
      <c r="S301" s="31"/>
      <c r="T301" s="31"/>
      <c r="U301" s="31"/>
      <c r="V301" s="31"/>
      <c r="W301" s="350"/>
    </row>
    <row r="302" spans="1:24" ht="18.75" customHeight="1">
      <c r="A302" s="347" t="s">
        <v>30</v>
      </c>
      <c r="B302" s="31"/>
      <c r="C302" s="31"/>
      <c r="D302" s="31"/>
      <c r="E302" s="30" t="s">
        <v>29</v>
      </c>
      <c r="F302" s="348">
        <f>'Bang TH nop'!C41</f>
        <v>0</v>
      </c>
      <c r="G302" s="348"/>
      <c r="H302" s="348"/>
      <c r="I302" s="348"/>
      <c r="J302" s="348"/>
      <c r="K302" s="349"/>
      <c r="M302" s="347" t="s">
        <v>30</v>
      </c>
      <c r="N302" s="31"/>
      <c r="O302" s="31"/>
      <c r="P302" s="31"/>
      <c r="Q302" s="30" t="s">
        <v>29</v>
      </c>
      <c r="R302" s="348">
        <f>'Bang TH nop'!C43</f>
        <v>0</v>
      </c>
      <c r="S302" s="348"/>
      <c r="T302" s="348"/>
      <c r="U302" s="348"/>
      <c r="V302" s="348"/>
      <c r="W302" s="349"/>
    </row>
    <row r="303" spans="1:24" ht="18.75" customHeight="1">
      <c r="A303" s="347" t="s">
        <v>31</v>
      </c>
      <c r="B303" s="31"/>
      <c r="C303" s="31"/>
      <c r="D303" s="31"/>
      <c r="E303" s="30" t="s">
        <v>29</v>
      </c>
      <c r="F303" s="31" t="str">
        <f>+$L$2</f>
        <v xml:space="preserve">Tổ  </v>
      </c>
      <c r="G303" s="31"/>
      <c r="H303" s="31"/>
      <c r="I303" s="31"/>
      <c r="J303" s="31"/>
      <c r="K303" s="350"/>
      <c r="M303" s="347" t="s">
        <v>31</v>
      </c>
      <c r="N303" s="31"/>
      <c r="O303" s="31"/>
      <c r="P303" s="31"/>
      <c r="Q303" s="30" t="s">
        <v>29</v>
      </c>
      <c r="R303" s="31" t="str">
        <f>+$L$2</f>
        <v xml:space="preserve">Tổ  </v>
      </c>
      <c r="S303" s="31"/>
      <c r="T303" s="31"/>
      <c r="U303" s="31"/>
      <c r="V303" s="31"/>
      <c r="W303" s="350"/>
    </row>
    <row r="304" spans="1:24" ht="18.75" customHeight="1">
      <c r="A304" s="354" t="s">
        <v>32</v>
      </c>
      <c r="B304" s="355"/>
      <c r="C304" s="355"/>
      <c r="D304" s="355"/>
      <c r="E304" s="355"/>
      <c r="F304" s="355"/>
      <c r="G304" s="355"/>
      <c r="H304" s="355"/>
      <c r="I304" s="355"/>
      <c r="J304" s="355"/>
      <c r="K304" s="356"/>
      <c r="M304" s="354" t="s">
        <v>32</v>
      </c>
      <c r="N304" s="355"/>
      <c r="O304" s="355"/>
      <c r="P304" s="355"/>
      <c r="Q304" s="355"/>
      <c r="R304" s="355"/>
      <c r="S304" s="355"/>
      <c r="T304" s="355"/>
      <c r="U304" s="355"/>
      <c r="V304" s="355"/>
      <c r="W304" s="356"/>
    </row>
    <row r="305" spans="1:24" ht="18.75" customHeight="1">
      <c r="A305" s="347" t="s">
        <v>33</v>
      </c>
      <c r="B305" s="31"/>
      <c r="C305" s="31"/>
      <c r="D305" s="31"/>
      <c r="E305" s="30" t="s">
        <v>29</v>
      </c>
      <c r="F305" s="361">
        <f>VLOOKUP(F302,'Bang TH nop'!$C$9:$AP$266,29,0)</f>
        <v>0</v>
      </c>
      <c r="G305" s="361"/>
      <c r="H305" s="361"/>
      <c r="I305" s="361"/>
      <c r="J305" s="30" t="s">
        <v>34</v>
      </c>
      <c r="K305" s="32"/>
      <c r="M305" s="347" t="s">
        <v>33</v>
      </c>
      <c r="N305" s="31"/>
      <c r="O305" s="31"/>
      <c r="P305" s="31"/>
      <c r="Q305" s="30" t="s">
        <v>29</v>
      </c>
      <c r="R305" s="361">
        <f>VLOOKUP(R302,'Bang TH nop'!$C$9:$AP$266,29,0)</f>
        <v>0</v>
      </c>
      <c r="S305" s="361"/>
      <c r="T305" s="361"/>
      <c r="U305" s="361"/>
      <c r="V305" s="30" t="s">
        <v>34</v>
      </c>
      <c r="W305" s="32"/>
    </row>
    <row r="306" spans="1:24" ht="18.75" customHeight="1">
      <c r="A306" s="33" t="s">
        <v>35</v>
      </c>
      <c r="B306" s="30"/>
      <c r="C306" s="34"/>
      <c r="D306" s="35"/>
      <c r="E306" s="36"/>
      <c r="F306" s="36"/>
      <c r="G306" s="36"/>
      <c r="H306" s="30"/>
      <c r="I306" s="37" t="e">
        <f>#REF!</f>
        <v>#REF!</v>
      </c>
      <c r="J306" s="38"/>
      <c r="K306" s="39"/>
      <c r="M306" s="33" t="s">
        <v>35</v>
      </c>
      <c r="N306" s="30"/>
      <c r="O306" s="34"/>
      <c r="P306" s="35"/>
      <c r="Q306" s="36"/>
      <c r="R306" s="36"/>
      <c r="S306" s="36"/>
      <c r="T306" s="30"/>
      <c r="U306" s="37" t="e">
        <f>#REF!</f>
        <v>#REF!</v>
      </c>
      <c r="V306" s="38"/>
      <c r="W306" s="39"/>
    </row>
    <row r="307" spans="1:24" ht="18.75" customHeight="1">
      <c r="A307" s="33" t="s">
        <v>36</v>
      </c>
      <c r="B307" s="30"/>
      <c r="C307" s="34"/>
      <c r="D307" s="35"/>
      <c r="E307" s="36"/>
      <c r="F307" s="36"/>
      <c r="G307" s="36"/>
      <c r="H307" s="30"/>
      <c r="I307" s="37" t="e">
        <f>I308/C308/8</f>
        <v>#REF!</v>
      </c>
      <c r="J307" s="38"/>
      <c r="K307" s="39"/>
      <c r="M307" s="33" t="s">
        <v>36</v>
      </c>
      <c r="N307" s="30"/>
      <c r="O307" s="34"/>
      <c r="P307" s="35"/>
      <c r="Q307" s="36"/>
      <c r="R307" s="36"/>
      <c r="S307" s="36"/>
      <c r="T307" s="30"/>
      <c r="U307" s="37" t="e">
        <f>U308/O308/8</f>
        <v>#REF!</v>
      </c>
      <c r="V307" s="38"/>
      <c r="W307" s="39"/>
    </row>
    <row r="308" spans="1:24" ht="18.75" customHeight="1">
      <c r="A308" s="33" t="s">
        <v>37</v>
      </c>
      <c r="B308" s="30" t="s">
        <v>29</v>
      </c>
      <c r="C308" s="34" t="e">
        <f>#REF!</f>
        <v>#REF!</v>
      </c>
      <c r="D308" s="35" t="s">
        <v>38</v>
      </c>
      <c r="E308" s="359" t="s">
        <v>39</v>
      </c>
      <c r="F308" s="359"/>
      <c r="G308" s="359"/>
      <c r="H308" s="30" t="s">
        <v>29</v>
      </c>
      <c r="I308" s="360" t="e">
        <f>#REF!</f>
        <v>#REF!</v>
      </c>
      <c r="J308" s="360"/>
      <c r="K308" s="39" t="s">
        <v>34</v>
      </c>
      <c r="L308" s="40" t="e">
        <f>F305/L298*C308</f>
        <v>#REF!</v>
      </c>
      <c r="M308" s="33" t="s">
        <v>37</v>
      </c>
      <c r="N308" s="30" t="s">
        <v>29</v>
      </c>
      <c r="O308" s="34" t="e">
        <f>#REF!</f>
        <v>#REF!</v>
      </c>
      <c r="P308" s="35" t="s">
        <v>38</v>
      </c>
      <c r="Q308" s="359" t="s">
        <v>39</v>
      </c>
      <c r="R308" s="359"/>
      <c r="S308" s="359"/>
      <c r="T308" s="30" t="s">
        <v>29</v>
      </c>
      <c r="U308" s="360" t="e">
        <f>#REF!</f>
        <v>#REF!</v>
      </c>
      <c r="V308" s="360"/>
      <c r="W308" s="39" t="s">
        <v>34</v>
      </c>
      <c r="X308" s="40" t="e">
        <f>R305/X298*O308</f>
        <v>#REF!</v>
      </c>
    </row>
    <row r="309" spans="1:24" ht="18.75" customHeight="1">
      <c r="A309" s="33" t="s">
        <v>40</v>
      </c>
      <c r="B309" s="30" t="s">
        <v>29</v>
      </c>
      <c r="C309" s="34" t="e">
        <f>#REF!</f>
        <v>#REF!</v>
      </c>
      <c r="D309" s="35" t="s">
        <v>38</v>
      </c>
      <c r="E309" s="31" t="s">
        <v>41</v>
      </c>
      <c r="F309" s="31"/>
      <c r="G309" s="31"/>
      <c r="H309" s="30" t="s">
        <v>29</v>
      </c>
      <c r="I309" s="358" t="e">
        <f>$F$8/$L$1*C309</f>
        <v>#REF!</v>
      </c>
      <c r="J309" s="358"/>
      <c r="K309" s="39" t="s">
        <v>34</v>
      </c>
      <c r="L309" s="40"/>
      <c r="M309" s="33" t="s">
        <v>40</v>
      </c>
      <c r="N309" s="30" t="s">
        <v>29</v>
      </c>
      <c r="O309" s="34" t="e">
        <f>#REF!</f>
        <v>#REF!</v>
      </c>
      <c r="P309" s="35" t="s">
        <v>38</v>
      </c>
      <c r="Q309" s="31" t="s">
        <v>41</v>
      </c>
      <c r="R309" s="31"/>
      <c r="S309" s="31"/>
      <c r="T309" s="30" t="s">
        <v>29</v>
      </c>
      <c r="U309" s="358" t="e">
        <f>$F$8/$L$1*O309</f>
        <v>#REF!</v>
      </c>
      <c r="V309" s="358"/>
      <c r="W309" s="39" t="s">
        <v>34</v>
      </c>
      <c r="X309" s="40"/>
    </row>
    <row r="310" spans="1:24" ht="18.75" customHeight="1">
      <c r="A310" s="33" t="s">
        <v>42</v>
      </c>
      <c r="B310" s="30" t="s">
        <v>29</v>
      </c>
      <c r="C310" s="34" t="e">
        <f>#REF!</f>
        <v>#REF!</v>
      </c>
      <c r="D310" s="35" t="s">
        <v>38</v>
      </c>
      <c r="E310" s="357" t="s">
        <v>43</v>
      </c>
      <c r="F310" s="357"/>
      <c r="G310" s="357"/>
      <c r="H310" s="30" t="s">
        <v>29</v>
      </c>
      <c r="I310" s="358" t="e">
        <f>$F$8/$L$1*C310</f>
        <v>#REF!</v>
      </c>
      <c r="J310" s="358"/>
      <c r="K310" s="39" t="s">
        <v>34</v>
      </c>
      <c r="L310" s="40"/>
      <c r="M310" s="33" t="s">
        <v>42</v>
      </c>
      <c r="N310" s="30" t="s">
        <v>29</v>
      </c>
      <c r="O310" s="34" t="e">
        <f>#REF!</f>
        <v>#REF!</v>
      </c>
      <c r="P310" s="35" t="s">
        <v>38</v>
      </c>
      <c r="Q310" s="357" t="s">
        <v>43</v>
      </c>
      <c r="R310" s="357"/>
      <c r="S310" s="357"/>
      <c r="T310" s="30" t="s">
        <v>29</v>
      </c>
      <c r="U310" s="358" t="e">
        <f>$F$8/$L$1*O310</f>
        <v>#REF!</v>
      </c>
      <c r="V310" s="358"/>
      <c r="W310" s="39" t="s">
        <v>34</v>
      </c>
      <c r="X310" s="40"/>
    </row>
    <row r="311" spans="1:24" ht="18.75" customHeight="1">
      <c r="A311" s="33" t="s">
        <v>44</v>
      </c>
      <c r="B311" s="30" t="s">
        <v>29</v>
      </c>
      <c r="C311" s="34" t="e">
        <f>#REF!</f>
        <v>#REF!</v>
      </c>
      <c r="D311" s="35" t="s">
        <v>38</v>
      </c>
      <c r="E311" s="357" t="s">
        <v>45</v>
      </c>
      <c r="F311" s="357"/>
      <c r="G311" s="357"/>
      <c r="H311" s="30" t="s">
        <v>29</v>
      </c>
      <c r="I311" s="358" t="e">
        <f>$F$8/$L$1*C311</f>
        <v>#REF!</v>
      </c>
      <c r="J311" s="358"/>
      <c r="K311" s="39" t="s">
        <v>34</v>
      </c>
      <c r="L311" s="40"/>
      <c r="M311" s="33" t="s">
        <v>44</v>
      </c>
      <c r="N311" s="30" t="s">
        <v>29</v>
      </c>
      <c r="O311" s="34" t="e">
        <f>#REF!</f>
        <v>#REF!</v>
      </c>
      <c r="P311" s="35" t="s">
        <v>38</v>
      </c>
      <c r="Q311" s="357" t="s">
        <v>45</v>
      </c>
      <c r="R311" s="357"/>
      <c r="S311" s="357"/>
      <c r="T311" s="30" t="s">
        <v>29</v>
      </c>
      <c r="U311" s="358" t="e">
        <f>$F$8/$L$1*O311</f>
        <v>#REF!</v>
      </c>
      <c r="V311" s="358"/>
      <c r="W311" s="39" t="s">
        <v>34</v>
      </c>
      <c r="X311" s="40"/>
    </row>
    <row r="312" spans="1:24" ht="18.75" customHeight="1">
      <c r="A312" s="33" t="s">
        <v>46</v>
      </c>
      <c r="B312" s="30" t="s">
        <v>29</v>
      </c>
      <c r="C312" s="34" t="e">
        <f>#REF!</f>
        <v>#REF!</v>
      </c>
      <c r="D312" s="35" t="s">
        <v>47</v>
      </c>
      <c r="E312" s="31" t="s">
        <v>48</v>
      </c>
      <c r="F312" s="31"/>
      <c r="G312" s="31"/>
      <c r="H312" s="30" t="s">
        <v>29</v>
      </c>
      <c r="I312" s="358" t="e">
        <f>#REF!</f>
        <v>#REF!</v>
      </c>
      <c r="J312" s="358"/>
      <c r="K312" s="39" t="s">
        <v>34</v>
      </c>
      <c r="L312" s="40" t="e">
        <f>F305*C312/L298/8*1.5</f>
        <v>#REF!</v>
      </c>
      <c r="M312" s="33" t="s">
        <v>46</v>
      </c>
      <c r="N312" s="30" t="s">
        <v>29</v>
      </c>
      <c r="O312" s="34" t="e">
        <f>#REF!</f>
        <v>#REF!</v>
      </c>
      <c r="P312" s="35" t="s">
        <v>47</v>
      </c>
      <c r="Q312" s="31" t="s">
        <v>48</v>
      </c>
      <c r="R312" s="31"/>
      <c r="S312" s="31"/>
      <c r="T312" s="30" t="s">
        <v>29</v>
      </c>
      <c r="U312" s="358" t="e">
        <f>#REF!</f>
        <v>#REF!</v>
      </c>
      <c r="V312" s="358"/>
      <c r="W312" s="39" t="s">
        <v>34</v>
      </c>
      <c r="X312" s="40" t="e">
        <f>R305*O312/X298/8*1.5</f>
        <v>#REF!</v>
      </c>
    </row>
    <row r="313" spans="1:24" ht="18.75" customHeight="1">
      <c r="A313" s="347" t="s">
        <v>49</v>
      </c>
      <c r="B313" s="31"/>
      <c r="C313" s="34"/>
      <c r="D313" s="35" t="s">
        <v>38</v>
      </c>
      <c r="E313" s="31" t="s">
        <v>50</v>
      </c>
      <c r="F313" s="31"/>
      <c r="G313" s="31"/>
      <c r="H313" s="41" t="s">
        <v>29</v>
      </c>
      <c r="I313" s="358"/>
      <c r="J313" s="358"/>
      <c r="K313" s="39" t="s">
        <v>34</v>
      </c>
      <c r="L313" s="40"/>
      <c r="M313" s="347" t="s">
        <v>49</v>
      </c>
      <c r="N313" s="31"/>
      <c r="O313" s="34"/>
      <c r="P313" s="35" t="s">
        <v>38</v>
      </c>
      <c r="Q313" s="31" t="s">
        <v>50</v>
      </c>
      <c r="R313" s="31"/>
      <c r="S313" s="31"/>
      <c r="T313" s="41" t="s">
        <v>29</v>
      </c>
      <c r="U313" s="358"/>
      <c r="V313" s="358"/>
      <c r="W313" s="39" t="s">
        <v>34</v>
      </c>
      <c r="X313" s="40"/>
    </row>
    <row r="314" spans="1:24" ht="18.75" customHeight="1">
      <c r="A314" s="33" t="s">
        <v>51</v>
      </c>
      <c r="B314" s="30" t="s">
        <v>29</v>
      </c>
      <c r="C314" s="34"/>
      <c r="D314" s="35" t="s">
        <v>38</v>
      </c>
      <c r="E314" s="31" t="s">
        <v>52</v>
      </c>
      <c r="F314" s="31"/>
      <c r="G314" s="31"/>
      <c r="H314" s="30" t="s">
        <v>29</v>
      </c>
      <c r="I314" s="358"/>
      <c r="J314" s="358"/>
      <c r="K314" s="39" t="s">
        <v>34</v>
      </c>
      <c r="L314" s="40"/>
      <c r="M314" s="33" t="s">
        <v>51</v>
      </c>
      <c r="N314" s="30" t="s">
        <v>29</v>
      </c>
      <c r="O314" s="34"/>
      <c r="P314" s="35" t="s">
        <v>38</v>
      </c>
      <c r="Q314" s="31" t="s">
        <v>52</v>
      </c>
      <c r="R314" s="31"/>
      <c r="S314" s="31"/>
      <c r="T314" s="30" t="s">
        <v>29</v>
      </c>
      <c r="U314" s="358"/>
      <c r="V314" s="358"/>
      <c r="W314" s="39" t="s">
        <v>34</v>
      </c>
      <c r="X314" s="40"/>
    </row>
    <row r="315" spans="1:24" ht="18.75" customHeight="1">
      <c r="A315" s="42" t="s">
        <v>53</v>
      </c>
      <c r="B315" s="30"/>
      <c r="C315" s="34" t="e">
        <f>#REF!</f>
        <v>#REF!</v>
      </c>
      <c r="D315" s="35" t="s">
        <v>47</v>
      </c>
      <c r="E315" s="31" t="s">
        <v>54</v>
      </c>
      <c r="F315" s="31"/>
      <c r="G315" s="31"/>
      <c r="H315" s="30" t="s">
        <v>29</v>
      </c>
      <c r="I315" s="358" t="e">
        <f>$F$8*C315/8/$L$1</f>
        <v>#REF!</v>
      </c>
      <c r="J315" s="358"/>
      <c r="K315" s="39" t="s">
        <v>34</v>
      </c>
      <c r="L315" s="40"/>
      <c r="M315" s="42" t="s">
        <v>53</v>
      </c>
      <c r="N315" s="30"/>
      <c r="O315" s="34" t="e">
        <f>#REF!</f>
        <v>#REF!</v>
      </c>
      <c r="P315" s="35" t="s">
        <v>47</v>
      </c>
      <c r="Q315" s="31" t="s">
        <v>54</v>
      </c>
      <c r="R315" s="31"/>
      <c r="S315" s="31"/>
      <c r="T315" s="30" t="s">
        <v>29</v>
      </c>
      <c r="U315" s="358" t="e">
        <f>$F$8*O315/8/$L$1</f>
        <v>#REF!</v>
      </c>
      <c r="V315" s="358"/>
      <c r="W315" s="39" t="s">
        <v>34</v>
      </c>
      <c r="X315" s="40"/>
    </row>
    <row r="316" spans="1:24" ht="18.75" customHeight="1">
      <c r="A316" s="33" t="s">
        <v>155</v>
      </c>
      <c r="B316" s="30" t="s">
        <v>29</v>
      </c>
      <c r="C316" s="34"/>
      <c r="D316" s="35" t="s">
        <v>47</v>
      </c>
      <c r="E316" s="31" t="s">
        <v>61</v>
      </c>
      <c r="F316" s="31"/>
      <c r="G316" s="31"/>
      <c r="H316" s="30" t="s">
        <v>29</v>
      </c>
      <c r="I316" s="360"/>
      <c r="J316" s="360"/>
      <c r="K316" s="39" t="s">
        <v>34</v>
      </c>
      <c r="L316" s="40"/>
      <c r="M316" s="33" t="s">
        <v>155</v>
      </c>
      <c r="N316" s="30" t="s">
        <v>29</v>
      </c>
      <c r="O316" s="34"/>
      <c r="P316" s="35" t="s">
        <v>47</v>
      </c>
      <c r="Q316" s="31" t="s">
        <v>61</v>
      </c>
      <c r="R316" s="31"/>
      <c r="S316" s="31"/>
      <c r="T316" s="30" t="s">
        <v>29</v>
      </c>
      <c r="U316" s="360"/>
      <c r="V316" s="360"/>
      <c r="W316" s="39" t="s">
        <v>34</v>
      </c>
      <c r="X316" s="40"/>
    </row>
    <row r="317" spans="1:24" ht="18.75" customHeight="1">
      <c r="A317" s="33" t="s">
        <v>57</v>
      </c>
      <c r="B317" s="30" t="s">
        <v>29</v>
      </c>
      <c r="C317" s="34"/>
      <c r="D317" s="35" t="s">
        <v>58</v>
      </c>
      <c r="E317" s="31" t="s">
        <v>59</v>
      </c>
      <c r="F317" s="31"/>
      <c r="G317" s="31"/>
      <c r="H317" s="30" t="s">
        <v>29</v>
      </c>
      <c r="I317" s="358"/>
      <c r="J317" s="358"/>
      <c r="K317" s="39" t="s">
        <v>34</v>
      </c>
      <c r="L317" s="40" t="e">
        <f>+IF(L308-I308&lt;0,0,L308-I308)+IF(L312-I312&lt;0,0,L312-I312)</f>
        <v>#REF!</v>
      </c>
      <c r="M317" s="33" t="s">
        <v>57</v>
      </c>
      <c r="N317" s="30" t="s">
        <v>29</v>
      </c>
      <c r="O317" s="34"/>
      <c r="P317" s="35" t="s">
        <v>58</v>
      </c>
      <c r="Q317" s="31" t="s">
        <v>59</v>
      </c>
      <c r="R317" s="31"/>
      <c r="S317" s="31"/>
      <c r="T317" s="30" t="s">
        <v>29</v>
      </c>
      <c r="U317" s="358"/>
      <c r="V317" s="358"/>
      <c r="W317" s="39" t="s">
        <v>34</v>
      </c>
      <c r="X317" s="40" t="e">
        <f>+IF(X308-U308&lt;0,0,X308-U308)+IF(X312-U312&lt;0,0,X312-U312)</f>
        <v>#REF!</v>
      </c>
    </row>
    <row r="318" spans="1:24" ht="18.75" customHeight="1">
      <c r="A318" s="43" t="s">
        <v>152</v>
      </c>
      <c r="B318" s="44"/>
      <c r="C318" s="34"/>
      <c r="D318" s="35" t="s">
        <v>38</v>
      </c>
      <c r="E318" s="31" t="s">
        <v>153</v>
      </c>
      <c r="F318" s="31"/>
      <c r="G318" s="31"/>
      <c r="H318" s="30" t="s">
        <v>29</v>
      </c>
      <c r="I318" s="358"/>
      <c r="J318" s="358"/>
      <c r="K318" s="39" t="s">
        <v>34</v>
      </c>
      <c r="L318" s="40"/>
      <c r="M318" s="43" t="s">
        <v>152</v>
      </c>
      <c r="N318" s="44"/>
      <c r="O318" s="34"/>
      <c r="P318" s="35" t="s">
        <v>38</v>
      </c>
      <c r="Q318" s="31" t="s">
        <v>153</v>
      </c>
      <c r="R318" s="31"/>
      <c r="S318" s="31"/>
      <c r="T318" s="30" t="s">
        <v>29</v>
      </c>
      <c r="U318" s="358"/>
      <c r="V318" s="358"/>
      <c r="W318" s="39" t="s">
        <v>34</v>
      </c>
      <c r="X318" s="40"/>
    </row>
    <row r="319" spans="1:24" ht="18.75" customHeight="1">
      <c r="A319" s="366" t="s">
        <v>154</v>
      </c>
      <c r="B319" s="367"/>
      <c r="C319" s="34"/>
      <c r="D319" s="35"/>
      <c r="E319" s="36"/>
      <c r="F319" s="36"/>
      <c r="G319" s="36"/>
      <c r="H319" s="30" t="s">
        <v>29</v>
      </c>
      <c r="I319" s="358" t="e">
        <f>#REF!</f>
        <v>#REF!</v>
      </c>
      <c r="J319" s="358"/>
      <c r="K319" s="39" t="s">
        <v>34</v>
      </c>
      <c r="L319" s="40"/>
      <c r="M319" s="366" t="s">
        <v>154</v>
      </c>
      <c r="N319" s="367"/>
      <c r="O319" s="34"/>
      <c r="P319" s="35"/>
      <c r="Q319" s="36"/>
      <c r="R319" s="36"/>
      <c r="S319" s="36"/>
      <c r="T319" s="30" t="s">
        <v>29</v>
      </c>
      <c r="U319" s="358" t="e">
        <f>#REF!</f>
        <v>#REF!</v>
      </c>
      <c r="V319" s="358"/>
      <c r="W319" s="39" t="s">
        <v>34</v>
      </c>
      <c r="X319" s="40"/>
    </row>
    <row r="320" spans="1:24" ht="18.75" customHeight="1">
      <c r="A320" s="33" t="s">
        <v>63</v>
      </c>
      <c r="B320" s="30" t="s">
        <v>29</v>
      </c>
      <c r="C320" s="34"/>
      <c r="D320" s="35"/>
      <c r="E320" s="36" t="s">
        <v>64</v>
      </c>
      <c r="F320" s="36"/>
      <c r="G320" s="36"/>
      <c r="H320" s="30" t="s">
        <v>29</v>
      </c>
      <c r="I320" s="358" t="e">
        <f>L317</f>
        <v>#REF!</v>
      </c>
      <c r="J320" s="358"/>
      <c r="K320" s="39" t="s">
        <v>34</v>
      </c>
      <c r="L320" s="40"/>
      <c r="M320" s="33" t="s">
        <v>63</v>
      </c>
      <c r="N320" s="30" t="s">
        <v>29</v>
      </c>
      <c r="O320" s="34"/>
      <c r="P320" s="35"/>
      <c r="Q320" s="36" t="s">
        <v>64</v>
      </c>
      <c r="R320" s="36"/>
      <c r="S320" s="36"/>
      <c r="T320" s="30" t="s">
        <v>29</v>
      </c>
      <c r="U320" s="358" t="e">
        <f>X317</f>
        <v>#REF!</v>
      </c>
      <c r="V320" s="358"/>
      <c r="W320" s="39" t="s">
        <v>34</v>
      </c>
      <c r="X320" s="40"/>
    </row>
    <row r="321" spans="1:24" ht="18.75" customHeight="1">
      <c r="A321" s="362" t="s">
        <v>65</v>
      </c>
      <c r="B321" s="363"/>
      <c r="C321" s="363"/>
      <c r="D321" s="363"/>
      <c r="E321" s="363"/>
      <c r="F321" s="363"/>
      <c r="G321" s="30" t="s">
        <v>29</v>
      </c>
      <c r="H321" s="364" t="e">
        <f>I308+I309+I310+I311+I312+I315+I319+I320+I313+I314+I316+I317+I318+C319</f>
        <v>#REF!</v>
      </c>
      <c r="I321" s="365"/>
      <c r="J321" s="365"/>
      <c r="K321" s="39" t="s">
        <v>34</v>
      </c>
      <c r="M321" s="362" t="s">
        <v>65</v>
      </c>
      <c r="N321" s="363"/>
      <c r="O321" s="363"/>
      <c r="P321" s="363"/>
      <c r="Q321" s="363"/>
      <c r="R321" s="363"/>
      <c r="S321" s="30" t="s">
        <v>29</v>
      </c>
      <c r="T321" s="364" t="e">
        <f>U308+U309+U310+U311+U312+U315+U319+U320+U313+U314+U316+U317+U318+O319</f>
        <v>#REF!</v>
      </c>
      <c r="U321" s="365"/>
      <c r="V321" s="365"/>
      <c r="W321" s="39" t="s">
        <v>34</v>
      </c>
    </row>
    <row r="322" spans="1:24" ht="18.75" customHeight="1">
      <c r="A322" s="45"/>
      <c r="B322" s="46"/>
      <c r="C322" s="46"/>
      <c r="D322" s="46"/>
      <c r="E322" s="46"/>
      <c r="F322" s="46"/>
      <c r="G322" s="46"/>
      <c r="H322" s="46"/>
      <c r="I322" s="46"/>
      <c r="J322" s="46"/>
      <c r="K322" s="47"/>
      <c r="M322" s="45"/>
      <c r="N322" s="46"/>
      <c r="O322" s="46"/>
      <c r="P322" s="46"/>
      <c r="Q322" s="46"/>
      <c r="R322" s="46"/>
      <c r="S322" s="46"/>
      <c r="T322" s="46"/>
      <c r="U322" s="46"/>
      <c r="V322" s="46"/>
      <c r="W322" s="47"/>
    </row>
    <row r="323" spans="1:24" ht="18.75" customHeight="1">
      <c r="A323" s="374" t="s">
        <v>66</v>
      </c>
      <c r="B323" s="375"/>
      <c r="C323" s="375"/>
      <c r="D323" s="375"/>
      <c r="E323" s="375"/>
      <c r="F323" s="375"/>
      <c r="G323" s="30"/>
      <c r="H323" s="30"/>
      <c r="I323" s="30"/>
      <c r="J323" s="30"/>
      <c r="K323" s="39"/>
      <c r="M323" s="374" t="s">
        <v>66</v>
      </c>
      <c r="N323" s="375"/>
      <c r="O323" s="375"/>
      <c r="P323" s="375"/>
      <c r="Q323" s="375"/>
      <c r="R323" s="375"/>
      <c r="S323" s="30"/>
      <c r="T323" s="30"/>
      <c r="U323" s="30"/>
      <c r="V323" s="30"/>
      <c r="W323" s="39"/>
    </row>
    <row r="324" spans="1:24" ht="18.75" customHeight="1">
      <c r="A324" s="368" t="s">
        <v>67</v>
      </c>
      <c r="B324" s="369"/>
      <c r="C324" s="369"/>
      <c r="D324" s="369"/>
      <c r="E324" s="369"/>
      <c r="F324" s="369"/>
      <c r="G324" s="30" t="s">
        <v>29</v>
      </c>
      <c r="H324" s="376" t="e">
        <f>IF(($L$1-(C308+C309+C310+C311))&gt;12,0,F305*8%)</f>
        <v>#REF!</v>
      </c>
      <c r="I324" s="376"/>
      <c r="J324" s="376"/>
      <c r="K324" s="39" t="s">
        <v>34</v>
      </c>
      <c r="M324" s="368" t="s">
        <v>67</v>
      </c>
      <c r="N324" s="369"/>
      <c r="O324" s="369"/>
      <c r="P324" s="369"/>
      <c r="Q324" s="369"/>
      <c r="R324" s="369"/>
      <c r="S324" s="30" t="s">
        <v>29</v>
      </c>
      <c r="T324" s="376" t="e">
        <f>IF(($L$1-(O308+O309+O310+O311))&gt;12,0,R305*8%)</f>
        <v>#REF!</v>
      </c>
      <c r="U324" s="376"/>
      <c r="V324" s="376"/>
      <c r="W324" s="39" t="s">
        <v>34</v>
      </c>
    </row>
    <row r="325" spans="1:24" ht="18.75" customHeight="1">
      <c r="A325" s="368" t="s">
        <v>68</v>
      </c>
      <c r="B325" s="369"/>
      <c r="C325" s="369"/>
      <c r="D325" s="369"/>
      <c r="E325" s="369"/>
      <c r="F325" s="369"/>
      <c r="G325" s="30" t="s">
        <v>29</v>
      </c>
      <c r="H325" s="370" t="e">
        <f>IF(($L$1-(C308+C309+C310+C311))&gt;12,0,F305*1.5%)</f>
        <v>#REF!</v>
      </c>
      <c r="I325" s="370"/>
      <c r="J325" s="370"/>
      <c r="K325" s="39" t="s">
        <v>34</v>
      </c>
      <c r="M325" s="368" t="s">
        <v>68</v>
      </c>
      <c r="N325" s="369"/>
      <c r="O325" s="369"/>
      <c r="P325" s="369"/>
      <c r="Q325" s="369"/>
      <c r="R325" s="369"/>
      <c r="S325" s="30" t="s">
        <v>29</v>
      </c>
      <c r="T325" s="370" t="e">
        <f>IF(($L$1-(O308+O309+O310+O311))&gt;12,0,R305*1.5%)</f>
        <v>#REF!</v>
      </c>
      <c r="U325" s="370"/>
      <c r="V325" s="370"/>
      <c r="W325" s="39" t="s">
        <v>34</v>
      </c>
    </row>
    <row r="326" spans="1:24" ht="18.75" customHeight="1">
      <c r="A326" s="368" t="s">
        <v>69</v>
      </c>
      <c r="B326" s="369"/>
      <c r="C326" s="369"/>
      <c r="D326" s="369"/>
      <c r="E326" s="369"/>
      <c r="F326" s="369"/>
      <c r="G326" s="30" t="s">
        <v>29</v>
      </c>
      <c r="H326" s="370" t="e">
        <f>IF(($L$1-(C308+C309+C310+C311))&gt;12,0,F305*1%)</f>
        <v>#REF!</v>
      </c>
      <c r="I326" s="370"/>
      <c r="J326" s="370"/>
      <c r="K326" s="39" t="s">
        <v>34</v>
      </c>
      <c r="M326" s="368" t="s">
        <v>69</v>
      </c>
      <c r="N326" s="369"/>
      <c r="O326" s="369"/>
      <c r="P326" s="369"/>
      <c r="Q326" s="369"/>
      <c r="R326" s="369"/>
      <c r="S326" s="30" t="s">
        <v>29</v>
      </c>
      <c r="T326" s="370" t="e">
        <f>IF(($L$1-(O308+O309+O310+O311))&gt;12,0,R305*1%)</f>
        <v>#REF!</v>
      </c>
      <c r="U326" s="370"/>
      <c r="V326" s="370"/>
      <c r="W326" s="39" t="s">
        <v>34</v>
      </c>
    </row>
    <row r="327" spans="1:24" ht="18.75" customHeight="1">
      <c r="A327" s="368" t="s">
        <v>70</v>
      </c>
      <c r="B327" s="369"/>
      <c r="C327" s="369"/>
      <c r="D327" s="369"/>
      <c r="E327" s="369"/>
      <c r="F327" s="369"/>
      <c r="G327" s="30" t="s">
        <v>29</v>
      </c>
      <c r="H327" s="370">
        <v>0</v>
      </c>
      <c r="I327" s="370"/>
      <c r="J327" s="370"/>
      <c r="K327" s="39" t="s">
        <v>34</v>
      </c>
      <c r="M327" s="368" t="s">
        <v>70</v>
      </c>
      <c r="N327" s="369"/>
      <c r="O327" s="369"/>
      <c r="P327" s="369"/>
      <c r="Q327" s="369"/>
      <c r="R327" s="369"/>
      <c r="S327" s="30" t="s">
        <v>29</v>
      </c>
      <c r="T327" s="370">
        <v>0</v>
      </c>
      <c r="U327" s="370"/>
      <c r="V327" s="370"/>
      <c r="W327" s="39" t="s">
        <v>34</v>
      </c>
    </row>
    <row r="328" spans="1:24" ht="18.75" customHeight="1">
      <c r="A328" s="371" t="s">
        <v>71</v>
      </c>
      <c r="B328" s="372"/>
      <c r="C328" s="372"/>
      <c r="D328" s="372"/>
      <c r="E328" s="372"/>
      <c r="F328" s="372"/>
      <c r="G328" s="30" t="s">
        <v>29</v>
      </c>
      <c r="H328" s="373" t="e">
        <f>SUM(H324:J327)</f>
        <v>#REF!</v>
      </c>
      <c r="I328" s="373"/>
      <c r="J328" s="373"/>
      <c r="K328" s="39" t="s">
        <v>34</v>
      </c>
      <c r="M328" s="371" t="s">
        <v>71</v>
      </c>
      <c r="N328" s="372"/>
      <c r="O328" s="372"/>
      <c r="P328" s="372"/>
      <c r="Q328" s="372"/>
      <c r="R328" s="372"/>
      <c r="S328" s="30" t="s">
        <v>29</v>
      </c>
      <c r="T328" s="373" t="e">
        <f>SUM(T324:V327)</f>
        <v>#REF!</v>
      </c>
      <c r="U328" s="373"/>
      <c r="V328" s="373"/>
      <c r="W328" s="39" t="s">
        <v>34</v>
      </c>
    </row>
    <row r="329" spans="1:24" ht="18.75" customHeight="1">
      <c r="A329" s="368" t="s">
        <v>72</v>
      </c>
      <c r="B329" s="369"/>
      <c r="C329" s="369"/>
      <c r="D329" s="369"/>
      <c r="E329" s="369"/>
      <c r="F329" s="369"/>
      <c r="G329" s="30" t="s">
        <v>29</v>
      </c>
      <c r="H329" s="381" t="e">
        <f>ROUND(H321-H328,-2)</f>
        <v>#REF!</v>
      </c>
      <c r="I329" s="381"/>
      <c r="J329" s="381"/>
      <c r="K329" s="39" t="s">
        <v>34</v>
      </c>
      <c r="M329" s="368" t="s">
        <v>72</v>
      </c>
      <c r="N329" s="369"/>
      <c r="O329" s="369"/>
      <c r="P329" s="369"/>
      <c r="Q329" s="369"/>
      <c r="R329" s="369"/>
      <c r="S329" s="30" t="s">
        <v>29</v>
      </c>
      <c r="T329" s="381" t="e">
        <f>ROUND(T321-T328,-2)</f>
        <v>#REF!</v>
      </c>
      <c r="U329" s="381"/>
      <c r="V329" s="381"/>
      <c r="W329" s="39" t="s">
        <v>34</v>
      </c>
    </row>
    <row r="330" spans="1:24" ht="18.75" customHeight="1">
      <c r="A330" s="48"/>
      <c r="B330" s="49"/>
      <c r="C330" s="49"/>
      <c r="D330" s="49"/>
      <c r="E330" s="49"/>
      <c r="F330" s="49"/>
      <c r="G330" s="49"/>
      <c r="H330" s="49"/>
      <c r="I330" s="49"/>
      <c r="J330" s="49"/>
      <c r="K330" s="50"/>
      <c r="M330" s="48"/>
      <c r="N330" s="49"/>
      <c r="O330" s="49"/>
      <c r="P330" s="49"/>
      <c r="Q330" s="49"/>
      <c r="R330" s="49"/>
      <c r="S330" s="49"/>
      <c r="T330" s="49"/>
      <c r="U330" s="49"/>
      <c r="V330" s="49"/>
      <c r="W330" s="50"/>
    </row>
    <row r="331" spans="1:24" ht="18.75" customHeight="1">
      <c r="A331" s="51"/>
      <c r="B331" s="30"/>
      <c r="C331" s="30"/>
      <c r="D331" s="30"/>
      <c r="E331" s="30"/>
      <c r="F331" s="30"/>
      <c r="G331" s="30"/>
      <c r="H331" s="30"/>
      <c r="I331" s="378" t="s">
        <v>73</v>
      </c>
      <c r="J331" s="378"/>
      <c r="K331" s="382"/>
      <c r="M331" s="51"/>
      <c r="N331" s="30"/>
      <c r="O331" s="30"/>
      <c r="P331" s="30"/>
      <c r="Q331" s="30"/>
      <c r="R331" s="30"/>
      <c r="S331" s="30"/>
      <c r="T331" s="30"/>
      <c r="U331" s="378" t="s">
        <v>73</v>
      </c>
      <c r="V331" s="378"/>
      <c r="W331" s="382"/>
    </row>
    <row r="332" spans="1:24" ht="18.75" customHeight="1">
      <c r="A332" s="51"/>
      <c r="B332" s="377"/>
      <c r="C332" s="378"/>
      <c r="D332" s="378"/>
      <c r="E332" s="378"/>
      <c r="F332" s="30"/>
      <c r="G332" s="30"/>
      <c r="H332" s="30"/>
      <c r="I332" s="30"/>
      <c r="J332" s="30"/>
      <c r="K332" s="32"/>
      <c r="M332" s="51"/>
      <c r="N332" s="377"/>
      <c r="O332" s="378"/>
      <c r="P332" s="378"/>
      <c r="Q332" s="378"/>
      <c r="R332" s="30"/>
      <c r="S332" s="30"/>
      <c r="T332" s="30"/>
      <c r="U332" s="30"/>
      <c r="V332" s="30"/>
      <c r="W332" s="32"/>
    </row>
    <row r="333" spans="1:24" ht="18.75" customHeight="1" thickBot="1">
      <c r="A333" s="53"/>
      <c r="B333" s="54"/>
      <c r="C333" s="54"/>
      <c r="D333" s="54"/>
      <c r="E333" s="54"/>
      <c r="F333" s="54"/>
      <c r="G333" s="54"/>
      <c r="H333" s="54"/>
      <c r="I333" s="379" t="s">
        <v>74</v>
      </c>
      <c r="J333" s="379"/>
      <c r="K333" s="380"/>
      <c r="M333" s="53"/>
      <c r="N333" s="54"/>
      <c r="O333" s="54"/>
      <c r="P333" s="54"/>
      <c r="Q333" s="54"/>
      <c r="R333" s="54"/>
      <c r="S333" s="54"/>
      <c r="T333" s="54"/>
      <c r="U333" s="379" t="s">
        <v>74</v>
      </c>
      <c r="V333" s="379"/>
      <c r="W333" s="380"/>
    </row>
    <row r="334" spans="1:24" ht="18.75" customHeight="1" thickTop="1" thickBot="1"/>
    <row r="335" spans="1:24" ht="18.75" customHeight="1" thickTop="1">
      <c r="A335" s="351" t="s">
        <v>160</v>
      </c>
      <c r="B335" s="352"/>
      <c r="C335" s="352"/>
      <c r="D335" s="352"/>
      <c r="E335" s="352"/>
      <c r="F335" s="352"/>
      <c r="G335" s="352"/>
      <c r="H335" s="352"/>
      <c r="I335" s="352"/>
      <c r="J335" s="352"/>
      <c r="K335" s="353"/>
      <c r="L335" s="26">
        <v>26</v>
      </c>
      <c r="M335" s="351" t="s">
        <v>160</v>
      </c>
      <c r="N335" s="352"/>
      <c r="O335" s="352"/>
      <c r="P335" s="352"/>
      <c r="Q335" s="352"/>
      <c r="R335" s="352"/>
      <c r="S335" s="352"/>
      <c r="T335" s="352"/>
      <c r="U335" s="352"/>
      <c r="V335" s="352"/>
      <c r="W335" s="353"/>
      <c r="X335" s="26">
        <v>26</v>
      </c>
    </row>
    <row r="336" spans="1:24" ht="18.75" customHeight="1">
      <c r="A336" s="27" t="s">
        <v>93</v>
      </c>
      <c r="B336" s="28"/>
      <c r="C336" s="28"/>
      <c r="D336" s="28"/>
      <c r="E336" s="28"/>
      <c r="F336" s="28"/>
      <c r="G336" s="28"/>
      <c r="H336" s="28"/>
      <c r="I336" s="28"/>
      <c r="J336" s="28"/>
      <c r="K336" s="29"/>
      <c r="M336" s="27" t="s">
        <v>94</v>
      </c>
      <c r="N336" s="28"/>
      <c r="O336" s="28"/>
      <c r="P336" s="28"/>
      <c r="Q336" s="28"/>
      <c r="R336" s="28"/>
      <c r="S336" s="28"/>
      <c r="T336" s="28"/>
      <c r="U336" s="28"/>
      <c r="V336" s="28"/>
      <c r="W336" s="29"/>
    </row>
    <row r="337" spans="1:24" ht="18.75" customHeight="1">
      <c r="A337" s="354" t="s">
        <v>27</v>
      </c>
      <c r="B337" s="355"/>
      <c r="C337" s="355"/>
      <c r="D337" s="355"/>
      <c r="E337" s="355"/>
      <c r="F337" s="355"/>
      <c r="G337" s="355"/>
      <c r="H337" s="355"/>
      <c r="I337" s="355"/>
      <c r="J337" s="355"/>
      <c r="K337" s="356"/>
      <c r="M337" s="354" t="s">
        <v>27</v>
      </c>
      <c r="N337" s="355"/>
      <c r="O337" s="355"/>
      <c r="P337" s="355"/>
      <c r="Q337" s="355"/>
      <c r="R337" s="355"/>
      <c r="S337" s="355"/>
      <c r="T337" s="355"/>
      <c r="U337" s="355"/>
      <c r="V337" s="355"/>
      <c r="W337" s="356"/>
    </row>
    <row r="338" spans="1:24" ht="18.75" customHeight="1">
      <c r="A338" s="347" t="s">
        <v>28</v>
      </c>
      <c r="B338" s="31"/>
      <c r="C338" s="31"/>
      <c r="D338" s="31"/>
      <c r="E338" s="30" t="s">
        <v>29</v>
      </c>
      <c r="F338" s="348">
        <f>'Bang TH nop'!B45</f>
        <v>0</v>
      </c>
      <c r="G338" s="31"/>
      <c r="H338" s="31"/>
      <c r="I338" s="31"/>
      <c r="J338" s="31"/>
      <c r="K338" s="350"/>
      <c r="M338" s="347" t="s">
        <v>28</v>
      </c>
      <c r="N338" s="31"/>
      <c r="O338" s="31"/>
      <c r="P338" s="31"/>
      <c r="Q338" s="30" t="s">
        <v>29</v>
      </c>
      <c r="R338" s="348">
        <f>'Bang TH nop'!B47</f>
        <v>0</v>
      </c>
      <c r="S338" s="31"/>
      <c r="T338" s="31"/>
      <c r="U338" s="31"/>
      <c r="V338" s="31"/>
      <c r="W338" s="350"/>
    </row>
    <row r="339" spans="1:24" ht="18.75" customHeight="1">
      <c r="A339" s="347" t="s">
        <v>30</v>
      </c>
      <c r="B339" s="31"/>
      <c r="C339" s="31"/>
      <c r="D339" s="31"/>
      <c r="E339" s="30" t="s">
        <v>29</v>
      </c>
      <c r="F339" s="348">
        <f>'Bang TH nop'!C45</f>
        <v>0</v>
      </c>
      <c r="G339" s="348"/>
      <c r="H339" s="348"/>
      <c r="I339" s="348"/>
      <c r="J339" s="348"/>
      <c r="K339" s="349"/>
      <c r="M339" s="347" t="s">
        <v>30</v>
      </c>
      <c r="N339" s="31"/>
      <c r="O339" s="31"/>
      <c r="P339" s="31"/>
      <c r="Q339" s="30" t="s">
        <v>29</v>
      </c>
      <c r="R339" s="348">
        <f>'Bang TH nop'!C47</f>
        <v>0</v>
      </c>
      <c r="S339" s="348"/>
      <c r="T339" s="348"/>
      <c r="U339" s="348"/>
      <c r="V339" s="348"/>
      <c r="W339" s="349"/>
    </row>
    <row r="340" spans="1:24" ht="18.75" customHeight="1">
      <c r="A340" s="347" t="s">
        <v>31</v>
      </c>
      <c r="B340" s="31"/>
      <c r="C340" s="31"/>
      <c r="D340" s="31"/>
      <c r="E340" s="30" t="s">
        <v>29</v>
      </c>
      <c r="F340" s="31" t="str">
        <f>+$L$2</f>
        <v xml:space="preserve">Tổ  </v>
      </c>
      <c r="G340" s="31"/>
      <c r="H340" s="31"/>
      <c r="I340" s="31"/>
      <c r="J340" s="31"/>
      <c r="K340" s="350"/>
      <c r="M340" s="347" t="s">
        <v>31</v>
      </c>
      <c r="N340" s="31"/>
      <c r="O340" s="31"/>
      <c r="P340" s="31"/>
      <c r="Q340" s="30" t="s">
        <v>29</v>
      </c>
      <c r="R340" s="31" t="str">
        <f>+$L$2</f>
        <v xml:space="preserve">Tổ  </v>
      </c>
      <c r="S340" s="31"/>
      <c r="T340" s="31"/>
      <c r="U340" s="31"/>
      <c r="V340" s="31"/>
      <c r="W340" s="350"/>
    </row>
    <row r="341" spans="1:24" ht="18.75" customHeight="1">
      <c r="A341" s="354" t="s">
        <v>32</v>
      </c>
      <c r="B341" s="355"/>
      <c r="C341" s="355"/>
      <c r="D341" s="355"/>
      <c r="E341" s="355"/>
      <c r="F341" s="355"/>
      <c r="G341" s="355"/>
      <c r="H341" s="355"/>
      <c r="I341" s="355"/>
      <c r="J341" s="355"/>
      <c r="K341" s="356"/>
      <c r="M341" s="354" t="s">
        <v>32</v>
      </c>
      <c r="N341" s="355"/>
      <c r="O341" s="355"/>
      <c r="P341" s="355"/>
      <c r="Q341" s="355"/>
      <c r="R341" s="355"/>
      <c r="S341" s="355"/>
      <c r="T341" s="355"/>
      <c r="U341" s="355"/>
      <c r="V341" s="355"/>
      <c r="W341" s="356"/>
    </row>
    <row r="342" spans="1:24" ht="18.75" customHeight="1">
      <c r="A342" s="347" t="s">
        <v>33</v>
      </c>
      <c r="B342" s="31"/>
      <c r="C342" s="31"/>
      <c r="D342" s="31"/>
      <c r="E342" s="30" t="s">
        <v>29</v>
      </c>
      <c r="F342" s="361">
        <f>VLOOKUP(F339,'Bang TH nop'!$C$9:$AP$266,29,0)</f>
        <v>0</v>
      </c>
      <c r="G342" s="361"/>
      <c r="H342" s="361"/>
      <c r="I342" s="361"/>
      <c r="J342" s="30" t="s">
        <v>34</v>
      </c>
      <c r="K342" s="32"/>
      <c r="M342" s="347" t="s">
        <v>33</v>
      </c>
      <c r="N342" s="31"/>
      <c r="O342" s="31"/>
      <c r="P342" s="31"/>
      <c r="Q342" s="30" t="s">
        <v>29</v>
      </c>
      <c r="R342" s="361">
        <f>VLOOKUP(R339,'Bang TH nop'!$C$9:$AP$266,29,0)</f>
        <v>0</v>
      </c>
      <c r="S342" s="361"/>
      <c r="T342" s="361"/>
      <c r="U342" s="361"/>
      <c r="V342" s="30" t="s">
        <v>34</v>
      </c>
      <c r="W342" s="32"/>
    </row>
    <row r="343" spans="1:24" ht="18.75" customHeight="1">
      <c r="A343" s="33" t="s">
        <v>35</v>
      </c>
      <c r="B343" s="30"/>
      <c r="C343" s="34"/>
      <c r="D343" s="35"/>
      <c r="E343" s="36"/>
      <c r="F343" s="36"/>
      <c r="G343" s="36"/>
      <c r="H343" s="30"/>
      <c r="I343" s="37" t="e">
        <f>#REF!</f>
        <v>#REF!</v>
      </c>
      <c r="J343" s="38"/>
      <c r="K343" s="39"/>
      <c r="M343" s="33" t="s">
        <v>35</v>
      </c>
      <c r="N343" s="30"/>
      <c r="O343" s="34"/>
      <c r="P343" s="35"/>
      <c r="Q343" s="36"/>
      <c r="R343" s="36"/>
      <c r="S343" s="36"/>
      <c r="T343" s="30"/>
      <c r="U343" s="37" t="e">
        <f>#REF!</f>
        <v>#REF!</v>
      </c>
      <c r="V343" s="38"/>
      <c r="W343" s="39"/>
    </row>
    <row r="344" spans="1:24" ht="18.75" customHeight="1">
      <c r="A344" s="33" t="s">
        <v>36</v>
      </c>
      <c r="B344" s="30"/>
      <c r="C344" s="34"/>
      <c r="D344" s="35"/>
      <c r="E344" s="36"/>
      <c r="F344" s="36"/>
      <c r="G344" s="36"/>
      <c r="H344" s="30"/>
      <c r="I344" s="37" t="e">
        <f>I345/C345/8</f>
        <v>#REF!</v>
      </c>
      <c r="J344" s="38"/>
      <c r="K344" s="39"/>
      <c r="M344" s="33" t="s">
        <v>36</v>
      </c>
      <c r="N344" s="30"/>
      <c r="O344" s="34"/>
      <c r="P344" s="35"/>
      <c r="Q344" s="36"/>
      <c r="R344" s="36"/>
      <c r="S344" s="36"/>
      <c r="T344" s="30"/>
      <c r="U344" s="37" t="e">
        <f>U345/O345/8</f>
        <v>#REF!</v>
      </c>
      <c r="V344" s="38"/>
      <c r="W344" s="39"/>
    </row>
    <row r="345" spans="1:24" ht="18.75" customHeight="1">
      <c r="A345" s="33" t="s">
        <v>37</v>
      </c>
      <c r="B345" s="30" t="s">
        <v>29</v>
      </c>
      <c r="C345" s="34" t="e">
        <f>#REF!</f>
        <v>#REF!</v>
      </c>
      <c r="D345" s="35" t="s">
        <v>38</v>
      </c>
      <c r="E345" s="359" t="s">
        <v>39</v>
      </c>
      <c r="F345" s="359"/>
      <c r="G345" s="359"/>
      <c r="H345" s="30" t="s">
        <v>29</v>
      </c>
      <c r="I345" s="360" t="e">
        <f>#REF!</f>
        <v>#REF!</v>
      </c>
      <c r="J345" s="360"/>
      <c r="K345" s="39" t="s">
        <v>34</v>
      </c>
      <c r="L345" s="40" t="e">
        <f>F342/L335*C345</f>
        <v>#REF!</v>
      </c>
      <c r="M345" s="33" t="s">
        <v>37</v>
      </c>
      <c r="N345" s="30" t="s">
        <v>29</v>
      </c>
      <c r="O345" s="34" t="e">
        <f>#REF!</f>
        <v>#REF!</v>
      </c>
      <c r="P345" s="35" t="s">
        <v>38</v>
      </c>
      <c r="Q345" s="359" t="s">
        <v>39</v>
      </c>
      <c r="R345" s="359"/>
      <c r="S345" s="359"/>
      <c r="T345" s="30" t="s">
        <v>29</v>
      </c>
      <c r="U345" s="360" t="e">
        <f>#REF!</f>
        <v>#REF!</v>
      </c>
      <c r="V345" s="360"/>
      <c r="W345" s="39" t="s">
        <v>34</v>
      </c>
      <c r="X345" s="40" t="e">
        <f>R342/X335*O345</f>
        <v>#REF!</v>
      </c>
    </row>
    <row r="346" spans="1:24" ht="18.75" customHeight="1">
      <c r="A346" s="33" t="s">
        <v>40</v>
      </c>
      <c r="B346" s="30" t="s">
        <v>29</v>
      </c>
      <c r="C346" s="34" t="e">
        <f>#REF!</f>
        <v>#REF!</v>
      </c>
      <c r="D346" s="35" t="s">
        <v>38</v>
      </c>
      <c r="E346" s="31" t="s">
        <v>41</v>
      </c>
      <c r="F346" s="31"/>
      <c r="G346" s="31"/>
      <c r="H346" s="30" t="s">
        <v>29</v>
      </c>
      <c r="I346" s="358" t="e">
        <f>$F$8/$L$1*C346</f>
        <v>#REF!</v>
      </c>
      <c r="J346" s="358"/>
      <c r="K346" s="39" t="s">
        <v>34</v>
      </c>
      <c r="L346" s="40"/>
      <c r="M346" s="33" t="s">
        <v>40</v>
      </c>
      <c r="N346" s="30" t="s">
        <v>29</v>
      </c>
      <c r="O346" s="34" t="e">
        <f>#REF!</f>
        <v>#REF!</v>
      </c>
      <c r="P346" s="35" t="s">
        <v>38</v>
      </c>
      <c r="Q346" s="31" t="s">
        <v>41</v>
      </c>
      <c r="R346" s="31"/>
      <c r="S346" s="31"/>
      <c r="T346" s="30" t="s">
        <v>29</v>
      </c>
      <c r="U346" s="358" t="e">
        <f>$F$8/$L$1*O346</f>
        <v>#REF!</v>
      </c>
      <c r="V346" s="358"/>
      <c r="W346" s="39" t="s">
        <v>34</v>
      </c>
      <c r="X346" s="40"/>
    </row>
    <row r="347" spans="1:24" ht="18.75" customHeight="1">
      <c r="A347" s="33" t="s">
        <v>42</v>
      </c>
      <c r="B347" s="30" t="s">
        <v>29</v>
      </c>
      <c r="C347" s="34" t="e">
        <f>#REF!</f>
        <v>#REF!</v>
      </c>
      <c r="D347" s="35" t="s">
        <v>38</v>
      </c>
      <c r="E347" s="357" t="s">
        <v>43</v>
      </c>
      <c r="F347" s="357"/>
      <c r="G347" s="357"/>
      <c r="H347" s="30" t="s">
        <v>29</v>
      </c>
      <c r="I347" s="358" t="e">
        <f>$F$8/$L$1*C347</f>
        <v>#REF!</v>
      </c>
      <c r="J347" s="358"/>
      <c r="K347" s="39" t="s">
        <v>34</v>
      </c>
      <c r="L347" s="40"/>
      <c r="M347" s="33" t="s">
        <v>42</v>
      </c>
      <c r="N347" s="30" t="s">
        <v>29</v>
      </c>
      <c r="O347" s="34" t="e">
        <f>#REF!</f>
        <v>#REF!</v>
      </c>
      <c r="P347" s="35" t="s">
        <v>38</v>
      </c>
      <c r="Q347" s="357" t="s">
        <v>43</v>
      </c>
      <c r="R347" s="357"/>
      <c r="S347" s="357"/>
      <c r="T347" s="30" t="s">
        <v>29</v>
      </c>
      <c r="U347" s="358" t="e">
        <f>$F$8/$L$1*O347</f>
        <v>#REF!</v>
      </c>
      <c r="V347" s="358"/>
      <c r="W347" s="39" t="s">
        <v>34</v>
      </c>
      <c r="X347" s="40"/>
    </row>
    <row r="348" spans="1:24" ht="18.75" customHeight="1">
      <c r="A348" s="33" t="s">
        <v>44</v>
      </c>
      <c r="B348" s="30" t="s">
        <v>29</v>
      </c>
      <c r="C348" s="34" t="e">
        <f>#REF!</f>
        <v>#REF!</v>
      </c>
      <c r="D348" s="35" t="s">
        <v>38</v>
      </c>
      <c r="E348" s="357" t="s">
        <v>45</v>
      </c>
      <c r="F348" s="357"/>
      <c r="G348" s="357"/>
      <c r="H348" s="30" t="s">
        <v>29</v>
      </c>
      <c r="I348" s="358" t="e">
        <f>$F$8/$L$1*C348</f>
        <v>#REF!</v>
      </c>
      <c r="J348" s="358"/>
      <c r="K348" s="39" t="s">
        <v>34</v>
      </c>
      <c r="L348" s="40"/>
      <c r="M348" s="33" t="s">
        <v>44</v>
      </c>
      <c r="N348" s="30" t="s">
        <v>29</v>
      </c>
      <c r="O348" s="34" t="e">
        <f>#REF!</f>
        <v>#REF!</v>
      </c>
      <c r="P348" s="35" t="s">
        <v>38</v>
      </c>
      <c r="Q348" s="357" t="s">
        <v>45</v>
      </c>
      <c r="R348" s="357"/>
      <c r="S348" s="357"/>
      <c r="T348" s="30" t="s">
        <v>29</v>
      </c>
      <c r="U348" s="358" t="e">
        <f>$F$8/$L$1*O348</f>
        <v>#REF!</v>
      </c>
      <c r="V348" s="358"/>
      <c r="W348" s="39" t="s">
        <v>34</v>
      </c>
      <c r="X348" s="40"/>
    </row>
    <row r="349" spans="1:24" ht="18.75" customHeight="1">
      <c r="A349" s="33" t="s">
        <v>46</v>
      </c>
      <c r="B349" s="30" t="s">
        <v>29</v>
      </c>
      <c r="C349" s="34" t="e">
        <f>#REF!</f>
        <v>#REF!</v>
      </c>
      <c r="D349" s="35" t="s">
        <v>47</v>
      </c>
      <c r="E349" s="31" t="s">
        <v>48</v>
      </c>
      <c r="F349" s="31"/>
      <c r="G349" s="31"/>
      <c r="H349" s="30" t="s">
        <v>29</v>
      </c>
      <c r="I349" s="358" t="e">
        <f>#REF!</f>
        <v>#REF!</v>
      </c>
      <c r="J349" s="358"/>
      <c r="K349" s="39" t="s">
        <v>34</v>
      </c>
      <c r="L349" s="40" t="e">
        <f>F342*C349/L335/8*1.5</f>
        <v>#REF!</v>
      </c>
      <c r="M349" s="33" t="s">
        <v>46</v>
      </c>
      <c r="N349" s="30" t="s">
        <v>29</v>
      </c>
      <c r="O349" s="34" t="e">
        <f>#REF!</f>
        <v>#REF!</v>
      </c>
      <c r="P349" s="35" t="s">
        <v>47</v>
      </c>
      <c r="Q349" s="31" t="s">
        <v>48</v>
      </c>
      <c r="R349" s="31"/>
      <c r="S349" s="31"/>
      <c r="T349" s="30" t="s">
        <v>29</v>
      </c>
      <c r="U349" s="358" t="e">
        <f>#REF!</f>
        <v>#REF!</v>
      </c>
      <c r="V349" s="358"/>
      <c r="W349" s="39" t="s">
        <v>34</v>
      </c>
      <c r="X349" s="40" t="e">
        <f>R342*O349/X335/8*1.5</f>
        <v>#REF!</v>
      </c>
    </row>
    <row r="350" spans="1:24" ht="18.75" customHeight="1">
      <c r="A350" s="347" t="s">
        <v>49</v>
      </c>
      <c r="B350" s="31"/>
      <c r="C350" s="34"/>
      <c r="D350" s="35" t="s">
        <v>38</v>
      </c>
      <c r="E350" s="31" t="s">
        <v>50</v>
      </c>
      <c r="F350" s="31"/>
      <c r="G350" s="31"/>
      <c r="H350" s="41" t="s">
        <v>29</v>
      </c>
      <c r="I350" s="358"/>
      <c r="J350" s="358"/>
      <c r="K350" s="39" t="s">
        <v>34</v>
      </c>
      <c r="L350" s="40"/>
      <c r="M350" s="347" t="s">
        <v>49</v>
      </c>
      <c r="N350" s="31"/>
      <c r="O350" s="34"/>
      <c r="P350" s="35" t="s">
        <v>38</v>
      </c>
      <c r="Q350" s="31" t="s">
        <v>50</v>
      </c>
      <c r="R350" s="31"/>
      <c r="S350" s="31"/>
      <c r="T350" s="41" t="s">
        <v>29</v>
      </c>
      <c r="U350" s="358"/>
      <c r="V350" s="358"/>
      <c r="W350" s="39" t="s">
        <v>34</v>
      </c>
      <c r="X350" s="40"/>
    </row>
    <row r="351" spans="1:24" ht="18.75" customHeight="1">
      <c r="A351" s="33" t="s">
        <v>51</v>
      </c>
      <c r="B351" s="30" t="s">
        <v>29</v>
      </c>
      <c r="C351" s="34"/>
      <c r="D351" s="35" t="s">
        <v>38</v>
      </c>
      <c r="E351" s="31" t="s">
        <v>52</v>
      </c>
      <c r="F351" s="31"/>
      <c r="G351" s="31"/>
      <c r="H351" s="30" t="s">
        <v>29</v>
      </c>
      <c r="I351" s="358"/>
      <c r="J351" s="358"/>
      <c r="K351" s="39" t="s">
        <v>34</v>
      </c>
      <c r="L351" s="40"/>
      <c r="M351" s="33" t="s">
        <v>51</v>
      </c>
      <c r="N351" s="30" t="s">
        <v>29</v>
      </c>
      <c r="O351" s="34"/>
      <c r="P351" s="35" t="s">
        <v>38</v>
      </c>
      <c r="Q351" s="31" t="s">
        <v>52</v>
      </c>
      <c r="R351" s="31"/>
      <c r="S351" s="31"/>
      <c r="T351" s="30" t="s">
        <v>29</v>
      </c>
      <c r="U351" s="358"/>
      <c r="V351" s="358"/>
      <c r="W351" s="39" t="s">
        <v>34</v>
      </c>
      <c r="X351" s="40"/>
    </row>
    <row r="352" spans="1:24" ht="18.75" customHeight="1">
      <c r="A352" s="42" t="s">
        <v>53</v>
      </c>
      <c r="B352" s="30"/>
      <c r="C352" s="34" t="e">
        <f>#REF!</f>
        <v>#REF!</v>
      </c>
      <c r="D352" s="35" t="s">
        <v>47</v>
      </c>
      <c r="E352" s="31" t="s">
        <v>54</v>
      </c>
      <c r="F352" s="31"/>
      <c r="G352" s="31"/>
      <c r="H352" s="30" t="s">
        <v>29</v>
      </c>
      <c r="I352" s="358" t="e">
        <f>$F$8*C352/8/$L$1</f>
        <v>#REF!</v>
      </c>
      <c r="J352" s="358"/>
      <c r="K352" s="39" t="s">
        <v>34</v>
      </c>
      <c r="L352" s="40"/>
      <c r="M352" s="42" t="s">
        <v>53</v>
      </c>
      <c r="N352" s="30"/>
      <c r="O352" s="34" t="e">
        <f>#REF!</f>
        <v>#REF!</v>
      </c>
      <c r="P352" s="35" t="s">
        <v>47</v>
      </c>
      <c r="Q352" s="31" t="s">
        <v>54</v>
      </c>
      <c r="R352" s="31"/>
      <c r="S352" s="31"/>
      <c r="T352" s="30" t="s">
        <v>29</v>
      </c>
      <c r="U352" s="358" t="e">
        <f>$F$8*O352/8/$L$1</f>
        <v>#REF!</v>
      </c>
      <c r="V352" s="358"/>
      <c r="W352" s="39" t="s">
        <v>34</v>
      </c>
      <c r="X352" s="40"/>
    </row>
    <row r="353" spans="1:24" ht="18.75" customHeight="1">
      <c r="A353" s="33" t="s">
        <v>155</v>
      </c>
      <c r="B353" s="30" t="s">
        <v>29</v>
      </c>
      <c r="C353" s="34"/>
      <c r="D353" s="35" t="s">
        <v>47</v>
      </c>
      <c r="E353" s="31" t="s">
        <v>61</v>
      </c>
      <c r="F353" s="31"/>
      <c r="G353" s="31"/>
      <c r="H353" s="30" t="s">
        <v>29</v>
      </c>
      <c r="I353" s="360"/>
      <c r="J353" s="360"/>
      <c r="K353" s="39" t="s">
        <v>34</v>
      </c>
      <c r="L353" s="40"/>
      <c r="M353" s="33" t="s">
        <v>155</v>
      </c>
      <c r="N353" s="30" t="s">
        <v>29</v>
      </c>
      <c r="O353" s="34"/>
      <c r="P353" s="35" t="s">
        <v>47</v>
      </c>
      <c r="Q353" s="31" t="s">
        <v>61</v>
      </c>
      <c r="R353" s="31"/>
      <c r="S353" s="31"/>
      <c r="T353" s="30" t="s">
        <v>29</v>
      </c>
      <c r="U353" s="360"/>
      <c r="V353" s="360"/>
      <c r="W353" s="39" t="s">
        <v>34</v>
      </c>
      <c r="X353" s="40"/>
    </row>
    <row r="354" spans="1:24" ht="18.75" customHeight="1">
      <c r="A354" s="33" t="s">
        <v>57</v>
      </c>
      <c r="B354" s="30" t="s">
        <v>29</v>
      </c>
      <c r="C354" s="34"/>
      <c r="D354" s="35" t="s">
        <v>58</v>
      </c>
      <c r="E354" s="31" t="s">
        <v>59</v>
      </c>
      <c r="F354" s="31"/>
      <c r="G354" s="31"/>
      <c r="H354" s="30" t="s">
        <v>29</v>
      </c>
      <c r="I354" s="358"/>
      <c r="J354" s="358"/>
      <c r="K354" s="39" t="s">
        <v>34</v>
      </c>
      <c r="L354" s="40" t="e">
        <f>+IF(L345-I345&lt;0,0,L345-I345)+IF(L349-I349&lt;0,0,L349-I349)</f>
        <v>#REF!</v>
      </c>
      <c r="M354" s="33" t="s">
        <v>57</v>
      </c>
      <c r="N354" s="30" t="s">
        <v>29</v>
      </c>
      <c r="O354" s="34"/>
      <c r="P354" s="35" t="s">
        <v>58</v>
      </c>
      <c r="Q354" s="31" t="s">
        <v>59</v>
      </c>
      <c r="R354" s="31"/>
      <c r="S354" s="31"/>
      <c r="T354" s="30" t="s">
        <v>29</v>
      </c>
      <c r="U354" s="358"/>
      <c r="V354" s="358"/>
      <c r="W354" s="39" t="s">
        <v>34</v>
      </c>
      <c r="X354" s="40" t="e">
        <f>+IF(X345-U345&lt;0,0,X345-U345)+IF(X349-U349&lt;0,0,X349-U349)</f>
        <v>#REF!</v>
      </c>
    </row>
    <row r="355" spans="1:24" ht="18.75" customHeight="1">
      <c r="A355" s="43" t="s">
        <v>152</v>
      </c>
      <c r="B355" s="44"/>
      <c r="C355" s="34"/>
      <c r="D355" s="35" t="s">
        <v>38</v>
      </c>
      <c r="E355" s="31" t="s">
        <v>153</v>
      </c>
      <c r="F355" s="31"/>
      <c r="G355" s="31"/>
      <c r="H355" s="30" t="s">
        <v>29</v>
      </c>
      <c r="I355" s="358"/>
      <c r="J355" s="358"/>
      <c r="K355" s="39" t="s">
        <v>34</v>
      </c>
      <c r="L355" s="40"/>
      <c r="M355" s="43" t="s">
        <v>152</v>
      </c>
      <c r="N355" s="44"/>
      <c r="O355" s="34"/>
      <c r="P355" s="35" t="s">
        <v>38</v>
      </c>
      <c r="Q355" s="31" t="s">
        <v>153</v>
      </c>
      <c r="R355" s="31"/>
      <c r="S355" s="31"/>
      <c r="T355" s="30" t="s">
        <v>29</v>
      </c>
      <c r="U355" s="358"/>
      <c r="V355" s="358"/>
      <c r="W355" s="39" t="s">
        <v>34</v>
      </c>
      <c r="X355" s="40"/>
    </row>
    <row r="356" spans="1:24" ht="18.75" customHeight="1">
      <c r="A356" s="366" t="s">
        <v>154</v>
      </c>
      <c r="B356" s="367"/>
      <c r="C356" s="34"/>
      <c r="D356" s="35"/>
      <c r="E356" s="36"/>
      <c r="F356" s="36"/>
      <c r="G356" s="36"/>
      <c r="H356" s="30" t="s">
        <v>29</v>
      </c>
      <c r="I356" s="358" t="e">
        <f>#REF!</f>
        <v>#REF!</v>
      </c>
      <c r="J356" s="358"/>
      <c r="K356" s="39" t="s">
        <v>34</v>
      </c>
      <c r="L356" s="40"/>
      <c r="M356" s="366" t="s">
        <v>154</v>
      </c>
      <c r="N356" s="367"/>
      <c r="O356" s="34"/>
      <c r="P356" s="35"/>
      <c r="Q356" s="36"/>
      <c r="R356" s="36"/>
      <c r="S356" s="36"/>
      <c r="T356" s="30" t="s">
        <v>29</v>
      </c>
      <c r="U356" s="358" t="e">
        <f>#REF!</f>
        <v>#REF!</v>
      </c>
      <c r="V356" s="358"/>
      <c r="W356" s="39" t="s">
        <v>34</v>
      </c>
      <c r="X356" s="40"/>
    </row>
    <row r="357" spans="1:24" ht="18.75" customHeight="1">
      <c r="A357" s="33" t="s">
        <v>63</v>
      </c>
      <c r="B357" s="30" t="s">
        <v>29</v>
      </c>
      <c r="C357" s="34"/>
      <c r="D357" s="35"/>
      <c r="E357" s="36" t="s">
        <v>64</v>
      </c>
      <c r="F357" s="36"/>
      <c r="G357" s="36"/>
      <c r="H357" s="30" t="s">
        <v>29</v>
      </c>
      <c r="I357" s="358" t="e">
        <f>L354</f>
        <v>#REF!</v>
      </c>
      <c r="J357" s="358"/>
      <c r="K357" s="39" t="s">
        <v>34</v>
      </c>
      <c r="L357" s="40"/>
      <c r="M357" s="33" t="s">
        <v>63</v>
      </c>
      <c r="N357" s="30" t="s">
        <v>29</v>
      </c>
      <c r="O357" s="34"/>
      <c r="P357" s="35"/>
      <c r="Q357" s="36" t="s">
        <v>64</v>
      </c>
      <c r="R357" s="36"/>
      <c r="S357" s="36"/>
      <c r="T357" s="30" t="s">
        <v>29</v>
      </c>
      <c r="U357" s="358" t="e">
        <f>X354</f>
        <v>#REF!</v>
      </c>
      <c r="V357" s="358"/>
      <c r="W357" s="39" t="s">
        <v>34</v>
      </c>
      <c r="X357" s="40"/>
    </row>
    <row r="358" spans="1:24" ht="18.75" customHeight="1">
      <c r="A358" s="362" t="s">
        <v>65</v>
      </c>
      <c r="B358" s="363"/>
      <c r="C358" s="363"/>
      <c r="D358" s="363"/>
      <c r="E358" s="363"/>
      <c r="F358" s="363"/>
      <c r="G358" s="30" t="s">
        <v>29</v>
      </c>
      <c r="H358" s="364" t="e">
        <f>I345+I346+I347+I348+I349+I352+I356+I357+I350+I351+I353+I354+I355+C356</f>
        <v>#REF!</v>
      </c>
      <c r="I358" s="365"/>
      <c r="J358" s="365"/>
      <c r="K358" s="39" t="s">
        <v>34</v>
      </c>
      <c r="M358" s="362" t="s">
        <v>65</v>
      </c>
      <c r="N358" s="363"/>
      <c r="O358" s="363"/>
      <c r="P358" s="363"/>
      <c r="Q358" s="363"/>
      <c r="R358" s="363"/>
      <c r="S358" s="30" t="s">
        <v>29</v>
      </c>
      <c r="T358" s="364" t="e">
        <f>U345+U346+U347+U348+U349+U352+U356+U357+U350+U351+U353+U354+U355+O356</f>
        <v>#REF!</v>
      </c>
      <c r="U358" s="365"/>
      <c r="V358" s="365"/>
      <c r="W358" s="39" t="s">
        <v>34</v>
      </c>
    </row>
    <row r="359" spans="1:24" ht="18.75" customHeight="1">
      <c r="A359" s="45"/>
      <c r="B359" s="46"/>
      <c r="C359" s="46"/>
      <c r="D359" s="46"/>
      <c r="E359" s="46"/>
      <c r="F359" s="46"/>
      <c r="G359" s="46"/>
      <c r="H359" s="46"/>
      <c r="I359" s="46"/>
      <c r="J359" s="46"/>
      <c r="K359" s="47"/>
      <c r="M359" s="45"/>
      <c r="N359" s="46"/>
      <c r="O359" s="46"/>
      <c r="P359" s="46"/>
      <c r="Q359" s="46"/>
      <c r="R359" s="46"/>
      <c r="S359" s="46"/>
      <c r="T359" s="46"/>
      <c r="U359" s="46"/>
      <c r="V359" s="46"/>
      <c r="W359" s="47"/>
    </row>
    <row r="360" spans="1:24" ht="18.75" customHeight="1">
      <c r="A360" s="374" t="s">
        <v>66</v>
      </c>
      <c r="B360" s="375"/>
      <c r="C360" s="375"/>
      <c r="D360" s="375"/>
      <c r="E360" s="375"/>
      <c r="F360" s="375"/>
      <c r="G360" s="30"/>
      <c r="H360" s="30"/>
      <c r="I360" s="30"/>
      <c r="J360" s="30"/>
      <c r="K360" s="39"/>
      <c r="M360" s="374" t="s">
        <v>66</v>
      </c>
      <c r="N360" s="375"/>
      <c r="O360" s="375"/>
      <c r="P360" s="375"/>
      <c r="Q360" s="375"/>
      <c r="R360" s="375"/>
      <c r="S360" s="30"/>
      <c r="T360" s="30"/>
      <c r="U360" s="30"/>
      <c r="V360" s="30"/>
      <c r="W360" s="39"/>
    </row>
    <row r="361" spans="1:24" ht="18.75" customHeight="1">
      <c r="A361" s="368" t="s">
        <v>67</v>
      </c>
      <c r="B361" s="369"/>
      <c r="C361" s="369"/>
      <c r="D361" s="369"/>
      <c r="E361" s="369"/>
      <c r="F361" s="369"/>
      <c r="G361" s="30" t="s">
        <v>29</v>
      </c>
      <c r="H361" s="376" t="e">
        <f>IF(($L$1-(C345+C346+C347+C348))&gt;12,0,F342*8%)</f>
        <v>#REF!</v>
      </c>
      <c r="I361" s="376"/>
      <c r="J361" s="376"/>
      <c r="K361" s="39" t="s">
        <v>34</v>
      </c>
      <c r="M361" s="368" t="s">
        <v>67</v>
      </c>
      <c r="N361" s="369"/>
      <c r="O361" s="369"/>
      <c r="P361" s="369"/>
      <c r="Q361" s="369"/>
      <c r="R361" s="369"/>
      <c r="S361" s="30" t="s">
        <v>29</v>
      </c>
      <c r="T361" s="376" t="e">
        <f>IF(($L$1-(O345+O346+O347+O348))&gt;12,0,R342*8%)</f>
        <v>#REF!</v>
      </c>
      <c r="U361" s="376"/>
      <c r="V361" s="376"/>
      <c r="W361" s="39" t="s">
        <v>34</v>
      </c>
    </row>
    <row r="362" spans="1:24" ht="18.75" customHeight="1">
      <c r="A362" s="368" t="s">
        <v>68</v>
      </c>
      <c r="B362" s="369"/>
      <c r="C362" s="369"/>
      <c r="D362" s="369"/>
      <c r="E362" s="369"/>
      <c r="F362" s="369"/>
      <c r="G362" s="30" t="s">
        <v>29</v>
      </c>
      <c r="H362" s="370" t="e">
        <f>IF(($L$1-(C345+C346+C347+C348))&gt;12,0,F342*1.5%)</f>
        <v>#REF!</v>
      </c>
      <c r="I362" s="370"/>
      <c r="J362" s="370"/>
      <c r="K362" s="39" t="s">
        <v>34</v>
      </c>
      <c r="M362" s="368" t="s">
        <v>68</v>
      </c>
      <c r="N362" s="369"/>
      <c r="O362" s="369"/>
      <c r="P362" s="369"/>
      <c r="Q362" s="369"/>
      <c r="R362" s="369"/>
      <c r="S362" s="30" t="s">
        <v>29</v>
      </c>
      <c r="T362" s="370" t="e">
        <f>IF(($L$1-(O345+O346+O347+O348))&gt;12,0,R342*1.5%)</f>
        <v>#REF!</v>
      </c>
      <c r="U362" s="370"/>
      <c r="V362" s="370"/>
      <c r="W362" s="39" t="s">
        <v>34</v>
      </c>
    </row>
    <row r="363" spans="1:24" ht="18.75" customHeight="1">
      <c r="A363" s="368" t="s">
        <v>69</v>
      </c>
      <c r="B363" s="369"/>
      <c r="C363" s="369"/>
      <c r="D363" s="369"/>
      <c r="E363" s="369"/>
      <c r="F363" s="369"/>
      <c r="G363" s="30" t="s">
        <v>29</v>
      </c>
      <c r="H363" s="370" t="e">
        <f>IF(($L$1-(C345+C346+C347+C348))&gt;12,0,F342*1%)</f>
        <v>#REF!</v>
      </c>
      <c r="I363" s="370"/>
      <c r="J363" s="370"/>
      <c r="K363" s="39" t="s">
        <v>34</v>
      </c>
      <c r="M363" s="368" t="s">
        <v>69</v>
      </c>
      <c r="N363" s="369"/>
      <c r="O363" s="369"/>
      <c r="P363" s="369"/>
      <c r="Q363" s="369"/>
      <c r="R363" s="369"/>
      <c r="S363" s="30" t="s">
        <v>29</v>
      </c>
      <c r="T363" s="370" t="e">
        <f>IF(($L$1-(O345+O346+O347+O348))&gt;12,0,R342*1%)</f>
        <v>#REF!</v>
      </c>
      <c r="U363" s="370"/>
      <c r="V363" s="370"/>
      <c r="W363" s="39" t="s">
        <v>34</v>
      </c>
    </row>
    <row r="364" spans="1:24" ht="18.75" customHeight="1">
      <c r="A364" s="368" t="s">
        <v>70</v>
      </c>
      <c r="B364" s="369"/>
      <c r="C364" s="369"/>
      <c r="D364" s="369"/>
      <c r="E364" s="369"/>
      <c r="F364" s="369"/>
      <c r="G364" s="30" t="s">
        <v>29</v>
      </c>
      <c r="H364" s="370">
        <v>0</v>
      </c>
      <c r="I364" s="370"/>
      <c r="J364" s="370"/>
      <c r="K364" s="39" t="s">
        <v>34</v>
      </c>
      <c r="M364" s="368" t="s">
        <v>70</v>
      </c>
      <c r="N364" s="369"/>
      <c r="O364" s="369"/>
      <c r="P364" s="369"/>
      <c r="Q364" s="369"/>
      <c r="R364" s="369"/>
      <c r="S364" s="30" t="s">
        <v>29</v>
      </c>
      <c r="T364" s="370">
        <v>0</v>
      </c>
      <c r="U364" s="370"/>
      <c r="V364" s="370"/>
      <c r="W364" s="39" t="s">
        <v>34</v>
      </c>
    </row>
    <row r="365" spans="1:24" ht="18.75" customHeight="1">
      <c r="A365" s="371" t="s">
        <v>71</v>
      </c>
      <c r="B365" s="372"/>
      <c r="C365" s="372"/>
      <c r="D365" s="372"/>
      <c r="E365" s="372"/>
      <c r="F365" s="372"/>
      <c r="G365" s="30" t="s">
        <v>29</v>
      </c>
      <c r="H365" s="373" t="e">
        <f>SUM(H361:J364)</f>
        <v>#REF!</v>
      </c>
      <c r="I365" s="373"/>
      <c r="J365" s="373"/>
      <c r="K365" s="39" t="s">
        <v>34</v>
      </c>
      <c r="M365" s="371" t="s">
        <v>71</v>
      </c>
      <c r="N365" s="372"/>
      <c r="O365" s="372"/>
      <c r="P365" s="372"/>
      <c r="Q365" s="372"/>
      <c r="R365" s="372"/>
      <c r="S365" s="30" t="s">
        <v>29</v>
      </c>
      <c r="T365" s="373" t="e">
        <f>SUM(T361:V364)</f>
        <v>#REF!</v>
      </c>
      <c r="U365" s="373"/>
      <c r="V365" s="373"/>
      <c r="W365" s="39" t="s">
        <v>34</v>
      </c>
    </row>
    <row r="366" spans="1:24" ht="18.75" customHeight="1">
      <c r="A366" s="368" t="s">
        <v>72</v>
      </c>
      <c r="B366" s="369"/>
      <c r="C366" s="369"/>
      <c r="D366" s="369"/>
      <c r="E366" s="369"/>
      <c r="F366" s="369"/>
      <c r="G366" s="30" t="s">
        <v>29</v>
      </c>
      <c r="H366" s="381" t="e">
        <f>ROUND(H358-H365,-2)</f>
        <v>#REF!</v>
      </c>
      <c r="I366" s="381"/>
      <c r="J366" s="381"/>
      <c r="K366" s="39" t="s">
        <v>34</v>
      </c>
      <c r="M366" s="368" t="s">
        <v>72</v>
      </c>
      <c r="N366" s="369"/>
      <c r="O366" s="369"/>
      <c r="P366" s="369"/>
      <c r="Q366" s="369"/>
      <c r="R366" s="369"/>
      <c r="S366" s="30" t="s">
        <v>29</v>
      </c>
      <c r="T366" s="381" t="e">
        <f>ROUND(T358-T365,-2)</f>
        <v>#REF!</v>
      </c>
      <c r="U366" s="381"/>
      <c r="V366" s="381"/>
      <c r="W366" s="39" t="s">
        <v>34</v>
      </c>
    </row>
    <row r="367" spans="1:24" ht="18.75" customHeight="1">
      <c r="A367" s="48"/>
      <c r="B367" s="49"/>
      <c r="C367" s="49"/>
      <c r="D367" s="49"/>
      <c r="E367" s="49"/>
      <c r="F367" s="49"/>
      <c r="G367" s="49"/>
      <c r="H367" s="49"/>
      <c r="I367" s="49"/>
      <c r="J367" s="49"/>
      <c r="K367" s="50"/>
      <c r="M367" s="48"/>
      <c r="N367" s="49"/>
      <c r="O367" s="49"/>
      <c r="P367" s="49"/>
      <c r="Q367" s="49"/>
      <c r="R367" s="49"/>
      <c r="S367" s="49"/>
      <c r="T367" s="49"/>
      <c r="U367" s="49"/>
      <c r="V367" s="49"/>
      <c r="W367" s="50"/>
    </row>
    <row r="368" spans="1:24" ht="18.75" customHeight="1">
      <c r="A368" s="51"/>
      <c r="B368" s="30"/>
      <c r="C368" s="30"/>
      <c r="D368" s="30"/>
      <c r="E368" s="30"/>
      <c r="F368" s="30"/>
      <c r="G368" s="30"/>
      <c r="H368" s="30"/>
      <c r="I368" s="378" t="s">
        <v>73</v>
      </c>
      <c r="J368" s="378"/>
      <c r="K368" s="382"/>
      <c r="M368" s="51"/>
      <c r="N368" s="30"/>
      <c r="O368" s="30"/>
      <c r="P368" s="30"/>
      <c r="Q368" s="30"/>
      <c r="R368" s="30"/>
      <c r="S368" s="30"/>
      <c r="T368" s="30"/>
      <c r="U368" s="378" t="s">
        <v>73</v>
      </c>
      <c r="V368" s="378"/>
      <c r="W368" s="382"/>
    </row>
    <row r="369" spans="1:24" ht="18.75" customHeight="1">
      <c r="A369" s="51"/>
      <c r="B369" s="377"/>
      <c r="C369" s="378"/>
      <c r="D369" s="378"/>
      <c r="E369" s="378"/>
      <c r="F369" s="30"/>
      <c r="G369" s="30"/>
      <c r="H369" s="30"/>
      <c r="I369" s="30"/>
      <c r="J369" s="30"/>
      <c r="K369" s="32"/>
      <c r="M369" s="51"/>
      <c r="N369" s="377"/>
      <c r="O369" s="378"/>
      <c r="P369" s="378"/>
      <c r="Q369" s="378"/>
      <c r="R369" s="30"/>
      <c r="S369" s="30"/>
      <c r="T369" s="30"/>
      <c r="U369" s="30"/>
      <c r="V369" s="30"/>
      <c r="W369" s="32"/>
    </row>
    <row r="370" spans="1:24" ht="18.75" customHeight="1" thickBot="1">
      <c r="A370" s="53"/>
      <c r="B370" s="54"/>
      <c r="C370" s="54"/>
      <c r="D370" s="54"/>
      <c r="E370" s="54"/>
      <c r="F370" s="54"/>
      <c r="G370" s="54"/>
      <c r="H370" s="54"/>
      <c r="I370" s="379" t="s">
        <v>74</v>
      </c>
      <c r="J370" s="379"/>
      <c r="K370" s="380"/>
      <c r="M370" s="53"/>
      <c r="N370" s="54"/>
      <c r="O370" s="54"/>
      <c r="P370" s="54"/>
      <c r="Q370" s="54"/>
      <c r="R370" s="54"/>
      <c r="S370" s="54"/>
      <c r="T370" s="54"/>
      <c r="U370" s="379" t="s">
        <v>74</v>
      </c>
      <c r="V370" s="379"/>
      <c r="W370" s="380"/>
    </row>
    <row r="371" spans="1:24" ht="18.75" customHeight="1" thickTop="1" thickBot="1"/>
    <row r="372" spans="1:24" ht="18.75" customHeight="1" thickTop="1">
      <c r="A372" s="351" t="s">
        <v>160</v>
      </c>
      <c r="B372" s="352"/>
      <c r="C372" s="352"/>
      <c r="D372" s="352"/>
      <c r="E372" s="352"/>
      <c r="F372" s="352"/>
      <c r="G372" s="352"/>
      <c r="H372" s="352"/>
      <c r="I372" s="352"/>
      <c r="J372" s="352"/>
      <c r="K372" s="353"/>
      <c r="L372" s="26">
        <v>26</v>
      </c>
      <c r="M372" s="351" t="s">
        <v>160</v>
      </c>
      <c r="N372" s="352"/>
      <c r="O372" s="352"/>
      <c r="P372" s="352"/>
      <c r="Q372" s="352"/>
      <c r="R372" s="352"/>
      <c r="S372" s="352"/>
      <c r="T372" s="352"/>
      <c r="U372" s="352"/>
      <c r="V372" s="352"/>
      <c r="W372" s="353"/>
      <c r="X372" s="26">
        <v>26</v>
      </c>
    </row>
    <row r="373" spans="1:24" ht="18.75" customHeight="1">
      <c r="A373" s="27" t="s">
        <v>95</v>
      </c>
      <c r="B373" s="28"/>
      <c r="C373" s="28"/>
      <c r="D373" s="28"/>
      <c r="E373" s="28"/>
      <c r="F373" s="28"/>
      <c r="G373" s="28"/>
      <c r="H373" s="28"/>
      <c r="I373" s="28"/>
      <c r="J373" s="28"/>
      <c r="K373" s="29"/>
      <c r="M373" s="27" t="s">
        <v>96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29"/>
    </row>
    <row r="374" spans="1:24" ht="18.75" customHeight="1">
      <c r="A374" s="354" t="s">
        <v>27</v>
      </c>
      <c r="B374" s="355"/>
      <c r="C374" s="355"/>
      <c r="D374" s="355"/>
      <c r="E374" s="355"/>
      <c r="F374" s="355"/>
      <c r="G374" s="355"/>
      <c r="H374" s="355"/>
      <c r="I374" s="355"/>
      <c r="J374" s="355"/>
      <c r="K374" s="356"/>
      <c r="M374" s="354" t="s">
        <v>27</v>
      </c>
      <c r="N374" s="355"/>
      <c r="O374" s="355"/>
      <c r="P374" s="355"/>
      <c r="Q374" s="355"/>
      <c r="R374" s="355"/>
      <c r="S374" s="355"/>
      <c r="T374" s="355"/>
      <c r="U374" s="355"/>
      <c r="V374" s="355"/>
      <c r="W374" s="356"/>
    </row>
    <row r="375" spans="1:24" ht="18.75" customHeight="1">
      <c r="A375" s="347" t="s">
        <v>28</v>
      </c>
      <c r="B375" s="31"/>
      <c r="C375" s="31"/>
      <c r="D375" s="31"/>
      <c r="E375" s="30" t="s">
        <v>29</v>
      </c>
      <c r="F375" s="348">
        <f>'Bang TH nop'!B49</f>
        <v>0</v>
      </c>
      <c r="G375" s="31"/>
      <c r="H375" s="31"/>
      <c r="I375" s="31"/>
      <c r="J375" s="31"/>
      <c r="K375" s="350"/>
      <c r="M375" s="347" t="s">
        <v>28</v>
      </c>
      <c r="N375" s="31"/>
      <c r="O375" s="31"/>
      <c r="P375" s="31"/>
      <c r="Q375" s="30" t="s">
        <v>29</v>
      </c>
      <c r="R375" s="348">
        <f>'Bang TH nop'!B51</f>
        <v>0</v>
      </c>
      <c r="S375" s="31"/>
      <c r="T375" s="31"/>
      <c r="U375" s="31"/>
      <c r="V375" s="31"/>
      <c r="W375" s="350"/>
    </row>
    <row r="376" spans="1:24" ht="18.75" customHeight="1">
      <c r="A376" s="347" t="s">
        <v>30</v>
      </c>
      <c r="B376" s="31"/>
      <c r="C376" s="31"/>
      <c r="D376" s="31"/>
      <c r="E376" s="30" t="s">
        <v>29</v>
      </c>
      <c r="F376" s="348">
        <f>'Bang TH nop'!C49</f>
        <v>0</v>
      </c>
      <c r="G376" s="348"/>
      <c r="H376" s="348"/>
      <c r="I376" s="348"/>
      <c r="J376" s="348"/>
      <c r="K376" s="349"/>
      <c r="M376" s="347" t="s">
        <v>30</v>
      </c>
      <c r="N376" s="31"/>
      <c r="O376" s="31"/>
      <c r="P376" s="31"/>
      <c r="Q376" s="30" t="s">
        <v>29</v>
      </c>
      <c r="R376" s="348">
        <f>'Bang TH nop'!C51</f>
        <v>0</v>
      </c>
      <c r="S376" s="348"/>
      <c r="T376" s="348"/>
      <c r="U376" s="348"/>
      <c r="V376" s="348"/>
      <c r="W376" s="349"/>
    </row>
    <row r="377" spans="1:24" ht="18.75" customHeight="1">
      <c r="A377" s="347" t="s">
        <v>31</v>
      </c>
      <c r="B377" s="31"/>
      <c r="C377" s="31"/>
      <c r="D377" s="31"/>
      <c r="E377" s="30" t="s">
        <v>29</v>
      </c>
      <c r="F377" s="31" t="str">
        <f>+$L$2</f>
        <v xml:space="preserve">Tổ  </v>
      </c>
      <c r="G377" s="31"/>
      <c r="H377" s="31"/>
      <c r="I377" s="31"/>
      <c r="J377" s="31"/>
      <c r="K377" s="350"/>
      <c r="M377" s="347" t="s">
        <v>31</v>
      </c>
      <c r="N377" s="31"/>
      <c r="O377" s="31"/>
      <c r="P377" s="31"/>
      <c r="Q377" s="30" t="s">
        <v>29</v>
      </c>
      <c r="R377" s="31" t="str">
        <f>+$L$2</f>
        <v xml:space="preserve">Tổ  </v>
      </c>
      <c r="S377" s="31"/>
      <c r="T377" s="31"/>
      <c r="U377" s="31"/>
      <c r="V377" s="31"/>
      <c r="W377" s="350"/>
    </row>
    <row r="378" spans="1:24" ht="18.75" customHeight="1">
      <c r="A378" s="354" t="s">
        <v>32</v>
      </c>
      <c r="B378" s="355"/>
      <c r="C378" s="355"/>
      <c r="D378" s="355"/>
      <c r="E378" s="355"/>
      <c r="F378" s="355"/>
      <c r="G378" s="355"/>
      <c r="H378" s="355"/>
      <c r="I378" s="355"/>
      <c r="J378" s="355"/>
      <c r="K378" s="356"/>
      <c r="M378" s="354" t="s">
        <v>32</v>
      </c>
      <c r="N378" s="355"/>
      <c r="O378" s="355"/>
      <c r="P378" s="355"/>
      <c r="Q378" s="355"/>
      <c r="R378" s="355"/>
      <c r="S378" s="355"/>
      <c r="T378" s="355"/>
      <c r="U378" s="355"/>
      <c r="V378" s="355"/>
      <c r="W378" s="356"/>
    </row>
    <row r="379" spans="1:24" ht="18.75" customHeight="1">
      <c r="A379" s="347" t="s">
        <v>33</v>
      </c>
      <c r="B379" s="31"/>
      <c r="C379" s="31"/>
      <c r="D379" s="31"/>
      <c r="E379" s="30" t="s">
        <v>29</v>
      </c>
      <c r="F379" s="361">
        <f>VLOOKUP(F376,'Bang TH nop'!$C$9:$AP$266,29,0)</f>
        <v>0</v>
      </c>
      <c r="G379" s="361"/>
      <c r="H379" s="361"/>
      <c r="I379" s="361"/>
      <c r="J379" s="30" t="s">
        <v>34</v>
      </c>
      <c r="K379" s="32"/>
      <c r="M379" s="347" t="s">
        <v>33</v>
      </c>
      <c r="N379" s="31"/>
      <c r="O379" s="31"/>
      <c r="P379" s="31"/>
      <c r="Q379" s="30" t="s">
        <v>29</v>
      </c>
      <c r="R379" s="361">
        <f>VLOOKUP(R376,'Bang TH nop'!$C$9:$AP$266,29,0)</f>
        <v>0</v>
      </c>
      <c r="S379" s="361"/>
      <c r="T379" s="361"/>
      <c r="U379" s="361"/>
      <c r="V379" s="30" t="s">
        <v>34</v>
      </c>
      <c r="W379" s="32"/>
    </row>
    <row r="380" spans="1:24" ht="18.75" customHeight="1">
      <c r="A380" s="33" t="s">
        <v>35</v>
      </c>
      <c r="B380" s="30"/>
      <c r="C380" s="34"/>
      <c r="D380" s="35"/>
      <c r="E380" s="36"/>
      <c r="F380" s="36"/>
      <c r="G380" s="36"/>
      <c r="H380" s="30"/>
      <c r="I380" s="37" t="e">
        <f>#REF!</f>
        <v>#REF!</v>
      </c>
      <c r="J380" s="38"/>
      <c r="K380" s="39"/>
      <c r="M380" s="33" t="s">
        <v>35</v>
      </c>
      <c r="N380" s="30"/>
      <c r="O380" s="34"/>
      <c r="P380" s="35"/>
      <c r="Q380" s="36"/>
      <c r="R380" s="36"/>
      <c r="S380" s="36"/>
      <c r="T380" s="30"/>
      <c r="U380" s="37" t="e">
        <f>#REF!</f>
        <v>#REF!</v>
      </c>
      <c r="V380" s="38"/>
      <c r="W380" s="39"/>
    </row>
    <row r="381" spans="1:24" ht="18.75" customHeight="1">
      <c r="A381" s="33" t="s">
        <v>36</v>
      </c>
      <c r="B381" s="30"/>
      <c r="C381" s="34"/>
      <c r="D381" s="35"/>
      <c r="E381" s="36"/>
      <c r="F381" s="36"/>
      <c r="G381" s="36"/>
      <c r="H381" s="30"/>
      <c r="I381" s="37" t="e">
        <f>I382/C382/8</f>
        <v>#REF!</v>
      </c>
      <c r="J381" s="38"/>
      <c r="K381" s="39"/>
      <c r="M381" s="33" t="s">
        <v>36</v>
      </c>
      <c r="N381" s="30"/>
      <c r="O381" s="34"/>
      <c r="P381" s="35"/>
      <c r="Q381" s="36"/>
      <c r="R381" s="36"/>
      <c r="S381" s="36"/>
      <c r="T381" s="30"/>
      <c r="U381" s="37" t="e">
        <f>U382/O382/8</f>
        <v>#REF!</v>
      </c>
      <c r="V381" s="38"/>
      <c r="W381" s="39"/>
    </row>
    <row r="382" spans="1:24" ht="18.75" customHeight="1">
      <c r="A382" s="33" t="s">
        <v>37</v>
      </c>
      <c r="B382" s="30" t="s">
        <v>29</v>
      </c>
      <c r="C382" s="34" t="e">
        <f>#REF!</f>
        <v>#REF!</v>
      </c>
      <c r="D382" s="35" t="s">
        <v>38</v>
      </c>
      <c r="E382" s="359" t="s">
        <v>39</v>
      </c>
      <c r="F382" s="359"/>
      <c r="G382" s="359"/>
      <c r="H382" s="30" t="s">
        <v>29</v>
      </c>
      <c r="I382" s="360" t="e">
        <f>#REF!</f>
        <v>#REF!</v>
      </c>
      <c r="J382" s="360"/>
      <c r="K382" s="39" t="s">
        <v>34</v>
      </c>
      <c r="L382" s="40" t="e">
        <f>F379/L372*C382</f>
        <v>#REF!</v>
      </c>
      <c r="M382" s="33" t="s">
        <v>37</v>
      </c>
      <c r="N382" s="30" t="s">
        <v>29</v>
      </c>
      <c r="O382" s="34" t="e">
        <f>#REF!</f>
        <v>#REF!</v>
      </c>
      <c r="P382" s="35" t="s">
        <v>38</v>
      </c>
      <c r="Q382" s="359" t="s">
        <v>39</v>
      </c>
      <c r="R382" s="359"/>
      <c r="S382" s="359"/>
      <c r="T382" s="30" t="s">
        <v>29</v>
      </c>
      <c r="U382" s="360" t="e">
        <f>#REF!</f>
        <v>#REF!</v>
      </c>
      <c r="V382" s="360"/>
      <c r="W382" s="39" t="s">
        <v>34</v>
      </c>
      <c r="X382" s="40" t="e">
        <f>R379/X372*O382</f>
        <v>#REF!</v>
      </c>
    </row>
    <row r="383" spans="1:24" ht="18.75" customHeight="1">
      <c r="A383" s="33" t="s">
        <v>40</v>
      </c>
      <c r="B383" s="30" t="s">
        <v>29</v>
      </c>
      <c r="C383" s="34" t="e">
        <f>#REF!</f>
        <v>#REF!</v>
      </c>
      <c r="D383" s="35" t="s">
        <v>38</v>
      </c>
      <c r="E383" s="31" t="s">
        <v>41</v>
      </c>
      <c r="F383" s="31"/>
      <c r="G383" s="31"/>
      <c r="H383" s="30" t="s">
        <v>29</v>
      </c>
      <c r="I383" s="358" t="e">
        <f>$F$8/$L$1*C383</f>
        <v>#REF!</v>
      </c>
      <c r="J383" s="358"/>
      <c r="K383" s="39" t="s">
        <v>34</v>
      </c>
      <c r="L383" s="40"/>
      <c r="M383" s="33" t="s">
        <v>40</v>
      </c>
      <c r="N383" s="30" t="s">
        <v>29</v>
      </c>
      <c r="O383" s="34" t="e">
        <f>#REF!</f>
        <v>#REF!</v>
      </c>
      <c r="P383" s="35" t="s">
        <v>38</v>
      </c>
      <c r="Q383" s="31" t="s">
        <v>41</v>
      </c>
      <c r="R383" s="31"/>
      <c r="S383" s="31"/>
      <c r="T383" s="30" t="s">
        <v>29</v>
      </c>
      <c r="U383" s="358" t="e">
        <f>$F$8/$L$1*O383</f>
        <v>#REF!</v>
      </c>
      <c r="V383" s="358"/>
      <c r="W383" s="39" t="s">
        <v>34</v>
      </c>
      <c r="X383" s="40"/>
    </row>
    <row r="384" spans="1:24" ht="18.75" customHeight="1">
      <c r="A384" s="33" t="s">
        <v>42</v>
      </c>
      <c r="B384" s="30" t="s">
        <v>29</v>
      </c>
      <c r="C384" s="34" t="e">
        <f>#REF!</f>
        <v>#REF!</v>
      </c>
      <c r="D384" s="35" t="s">
        <v>38</v>
      </c>
      <c r="E384" s="357" t="s">
        <v>43</v>
      </c>
      <c r="F384" s="357"/>
      <c r="G384" s="357"/>
      <c r="H384" s="30" t="s">
        <v>29</v>
      </c>
      <c r="I384" s="358" t="e">
        <f>$F$8/$L$1*C384</f>
        <v>#REF!</v>
      </c>
      <c r="J384" s="358"/>
      <c r="K384" s="39" t="s">
        <v>34</v>
      </c>
      <c r="L384" s="40"/>
      <c r="M384" s="33" t="s">
        <v>42</v>
      </c>
      <c r="N384" s="30" t="s">
        <v>29</v>
      </c>
      <c r="O384" s="34" t="e">
        <f>#REF!</f>
        <v>#REF!</v>
      </c>
      <c r="P384" s="35" t="s">
        <v>38</v>
      </c>
      <c r="Q384" s="357" t="s">
        <v>43</v>
      </c>
      <c r="R384" s="357"/>
      <c r="S384" s="357"/>
      <c r="T384" s="30" t="s">
        <v>29</v>
      </c>
      <c r="U384" s="358" t="e">
        <f>$F$8/$L$1*O384</f>
        <v>#REF!</v>
      </c>
      <c r="V384" s="358"/>
      <c r="W384" s="39" t="s">
        <v>34</v>
      </c>
      <c r="X384" s="40"/>
    </row>
    <row r="385" spans="1:24" ht="18.75" customHeight="1">
      <c r="A385" s="33" t="s">
        <v>44</v>
      </c>
      <c r="B385" s="30" t="s">
        <v>29</v>
      </c>
      <c r="C385" s="34" t="e">
        <f>#REF!</f>
        <v>#REF!</v>
      </c>
      <c r="D385" s="35" t="s">
        <v>38</v>
      </c>
      <c r="E385" s="357" t="s">
        <v>45</v>
      </c>
      <c r="F385" s="357"/>
      <c r="G385" s="357"/>
      <c r="H385" s="30" t="s">
        <v>29</v>
      </c>
      <c r="I385" s="358" t="e">
        <f>$F$8/$L$1*C385</f>
        <v>#REF!</v>
      </c>
      <c r="J385" s="358"/>
      <c r="K385" s="39" t="s">
        <v>34</v>
      </c>
      <c r="L385" s="40"/>
      <c r="M385" s="33" t="s">
        <v>44</v>
      </c>
      <c r="N385" s="30" t="s">
        <v>29</v>
      </c>
      <c r="O385" s="34" t="e">
        <f>#REF!</f>
        <v>#REF!</v>
      </c>
      <c r="P385" s="35" t="s">
        <v>38</v>
      </c>
      <c r="Q385" s="357" t="s">
        <v>45</v>
      </c>
      <c r="R385" s="357"/>
      <c r="S385" s="357"/>
      <c r="T385" s="30" t="s">
        <v>29</v>
      </c>
      <c r="U385" s="358" t="e">
        <f>$F$8/$L$1*O385</f>
        <v>#REF!</v>
      </c>
      <c r="V385" s="358"/>
      <c r="W385" s="39" t="s">
        <v>34</v>
      </c>
      <c r="X385" s="40"/>
    </row>
    <row r="386" spans="1:24" ht="18.75" customHeight="1">
      <c r="A386" s="33" t="s">
        <v>46</v>
      </c>
      <c r="B386" s="30" t="s">
        <v>29</v>
      </c>
      <c r="C386" s="34" t="e">
        <f>#REF!</f>
        <v>#REF!</v>
      </c>
      <c r="D386" s="35" t="s">
        <v>47</v>
      </c>
      <c r="E386" s="31" t="s">
        <v>48</v>
      </c>
      <c r="F386" s="31"/>
      <c r="G386" s="31"/>
      <c r="H386" s="30" t="s">
        <v>29</v>
      </c>
      <c r="I386" s="358" t="e">
        <f>#REF!</f>
        <v>#REF!</v>
      </c>
      <c r="J386" s="358"/>
      <c r="K386" s="39" t="s">
        <v>34</v>
      </c>
      <c r="L386" s="40" t="e">
        <f>F379*C386/L372/8*1.5</f>
        <v>#REF!</v>
      </c>
      <c r="M386" s="33" t="s">
        <v>46</v>
      </c>
      <c r="N386" s="30" t="s">
        <v>29</v>
      </c>
      <c r="O386" s="34" t="e">
        <f>#REF!</f>
        <v>#REF!</v>
      </c>
      <c r="P386" s="35" t="s">
        <v>47</v>
      </c>
      <c r="Q386" s="31" t="s">
        <v>48</v>
      </c>
      <c r="R386" s="31"/>
      <c r="S386" s="31"/>
      <c r="T386" s="30" t="s">
        <v>29</v>
      </c>
      <c r="U386" s="358" t="e">
        <f>#REF!</f>
        <v>#REF!</v>
      </c>
      <c r="V386" s="358"/>
      <c r="W386" s="39" t="s">
        <v>34</v>
      </c>
      <c r="X386" s="40" t="e">
        <f>R379*O386/X372/8*1.5</f>
        <v>#REF!</v>
      </c>
    </row>
    <row r="387" spans="1:24" ht="18.75" customHeight="1">
      <c r="A387" s="347" t="s">
        <v>49</v>
      </c>
      <c r="B387" s="31"/>
      <c r="C387" s="34"/>
      <c r="D387" s="35" t="s">
        <v>38</v>
      </c>
      <c r="E387" s="31" t="s">
        <v>50</v>
      </c>
      <c r="F387" s="31"/>
      <c r="G387" s="31"/>
      <c r="H387" s="41" t="s">
        <v>29</v>
      </c>
      <c r="I387" s="358"/>
      <c r="J387" s="358"/>
      <c r="K387" s="39" t="s">
        <v>34</v>
      </c>
      <c r="L387" s="40"/>
      <c r="M387" s="347" t="s">
        <v>49</v>
      </c>
      <c r="N387" s="31"/>
      <c r="O387" s="34"/>
      <c r="P387" s="35" t="s">
        <v>38</v>
      </c>
      <c r="Q387" s="31" t="s">
        <v>50</v>
      </c>
      <c r="R387" s="31"/>
      <c r="S387" s="31"/>
      <c r="T387" s="41" t="s">
        <v>29</v>
      </c>
      <c r="U387" s="358"/>
      <c r="V387" s="358"/>
      <c r="W387" s="39" t="s">
        <v>34</v>
      </c>
      <c r="X387" s="40"/>
    </row>
    <row r="388" spans="1:24" ht="18.75" customHeight="1">
      <c r="A388" s="33" t="s">
        <v>51</v>
      </c>
      <c r="B388" s="30" t="s">
        <v>29</v>
      </c>
      <c r="C388" s="34"/>
      <c r="D388" s="35" t="s">
        <v>38</v>
      </c>
      <c r="E388" s="31" t="s">
        <v>52</v>
      </c>
      <c r="F388" s="31"/>
      <c r="G388" s="31"/>
      <c r="H388" s="30" t="s">
        <v>29</v>
      </c>
      <c r="I388" s="358"/>
      <c r="J388" s="358"/>
      <c r="K388" s="39" t="s">
        <v>34</v>
      </c>
      <c r="L388" s="40"/>
      <c r="M388" s="33" t="s">
        <v>51</v>
      </c>
      <c r="N388" s="30" t="s">
        <v>29</v>
      </c>
      <c r="O388" s="34"/>
      <c r="P388" s="35" t="s">
        <v>38</v>
      </c>
      <c r="Q388" s="31" t="s">
        <v>52</v>
      </c>
      <c r="R388" s="31"/>
      <c r="S388" s="31"/>
      <c r="T388" s="30" t="s">
        <v>29</v>
      </c>
      <c r="U388" s="358"/>
      <c r="V388" s="358"/>
      <c r="W388" s="39" t="s">
        <v>34</v>
      </c>
      <c r="X388" s="40"/>
    </row>
    <row r="389" spans="1:24" ht="18.75" customHeight="1">
      <c r="A389" s="42" t="s">
        <v>53</v>
      </c>
      <c r="B389" s="30"/>
      <c r="C389" s="34" t="e">
        <f>#REF!</f>
        <v>#REF!</v>
      </c>
      <c r="D389" s="35" t="s">
        <v>47</v>
      </c>
      <c r="E389" s="31" t="s">
        <v>54</v>
      </c>
      <c r="F389" s="31"/>
      <c r="G389" s="31"/>
      <c r="H389" s="30" t="s">
        <v>29</v>
      </c>
      <c r="I389" s="358" t="e">
        <f>$F$8*C389/8/$L$1</f>
        <v>#REF!</v>
      </c>
      <c r="J389" s="358"/>
      <c r="K389" s="39" t="s">
        <v>34</v>
      </c>
      <c r="L389" s="40"/>
      <c r="M389" s="42" t="s">
        <v>53</v>
      </c>
      <c r="N389" s="30"/>
      <c r="O389" s="34" t="e">
        <f>#REF!</f>
        <v>#REF!</v>
      </c>
      <c r="P389" s="35" t="s">
        <v>47</v>
      </c>
      <c r="Q389" s="31" t="s">
        <v>54</v>
      </c>
      <c r="R389" s="31"/>
      <c r="S389" s="31"/>
      <c r="T389" s="30" t="s">
        <v>29</v>
      </c>
      <c r="U389" s="358" t="e">
        <f>$F$8*O389/8/$L$1</f>
        <v>#REF!</v>
      </c>
      <c r="V389" s="358"/>
      <c r="W389" s="39" t="s">
        <v>34</v>
      </c>
      <c r="X389" s="40"/>
    </row>
    <row r="390" spans="1:24" ht="18.75" customHeight="1">
      <c r="A390" s="33" t="s">
        <v>155</v>
      </c>
      <c r="B390" s="30" t="s">
        <v>29</v>
      </c>
      <c r="C390" s="34"/>
      <c r="D390" s="35" t="s">
        <v>47</v>
      </c>
      <c r="E390" s="31" t="s">
        <v>61</v>
      </c>
      <c r="F390" s="31"/>
      <c r="G390" s="31"/>
      <c r="H390" s="30" t="s">
        <v>29</v>
      </c>
      <c r="I390" s="360"/>
      <c r="J390" s="360"/>
      <c r="K390" s="39" t="s">
        <v>34</v>
      </c>
      <c r="L390" s="40"/>
      <c r="M390" s="33" t="s">
        <v>155</v>
      </c>
      <c r="N390" s="30" t="s">
        <v>29</v>
      </c>
      <c r="O390" s="34"/>
      <c r="P390" s="35" t="s">
        <v>47</v>
      </c>
      <c r="Q390" s="31" t="s">
        <v>61</v>
      </c>
      <c r="R390" s="31"/>
      <c r="S390" s="31"/>
      <c r="T390" s="30" t="s">
        <v>29</v>
      </c>
      <c r="U390" s="360"/>
      <c r="V390" s="360"/>
      <c r="W390" s="39" t="s">
        <v>34</v>
      </c>
      <c r="X390" s="40"/>
    </row>
    <row r="391" spans="1:24" ht="18.75" customHeight="1">
      <c r="A391" s="33" t="s">
        <v>57</v>
      </c>
      <c r="B391" s="30" t="s">
        <v>29</v>
      </c>
      <c r="C391" s="34"/>
      <c r="D391" s="35" t="s">
        <v>58</v>
      </c>
      <c r="E391" s="31" t="s">
        <v>59</v>
      </c>
      <c r="F391" s="31"/>
      <c r="G391" s="31"/>
      <c r="H391" s="30" t="s">
        <v>29</v>
      </c>
      <c r="I391" s="358"/>
      <c r="J391" s="358"/>
      <c r="K391" s="39" t="s">
        <v>34</v>
      </c>
      <c r="L391" s="40" t="e">
        <f>+IF(L382-I382&lt;0,0,L382-I382)+IF(L386-I386&lt;0,0,L386-I386)</f>
        <v>#REF!</v>
      </c>
      <c r="M391" s="33" t="s">
        <v>57</v>
      </c>
      <c r="N391" s="30" t="s">
        <v>29</v>
      </c>
      <c r="O391" s="34"/>
      <c r="P391" s="35" t="s">
        <v>58</v>
      </c>
      <c r="Q391" s="31" t="s">
        <v>59</v>
      </c>
      <c r="R391" s="31"/>
      <c r="S391" s="31"/>
      <c r="T391" s="30" t="s">
        <v>29</v>
      </c>
      <c r="U391" s="358"/>
      <c r="V391" s="358"/>
      <c r="W391" s="39" t="s">
        <v>34</v>
      </c>
      <c r="X391" s="40" t="e">
        <f>+IF(X382-U382&lt;0,0,X382-U382)+IF(X386-U386&lt;0,0,X386-U386)</f>
        <v>#REF!</v>
      </c>
    </row>
    <row r="392" spans="1:24" ht="18.75" customHeight="1">
      <c r="A392" s="43" t="s">
        <v>152</v>
      </c>
      <c r="B392" s="44"/>
      <c r="C392" s="34"/>
      <c r="D392" s="35" t="s">
        <v>38</v>
      </c>
      <c r="E392" s="31" t="s">
        <v>153</v>
      </c>
      <c r="F392" s="31"/>
      <c r="G392" s="31"/>
      <c r="H392" s="30" t="s">
        <v>29</v>
      </c>
      <c r="I392" s="358"/>
      <c r="J392" s="358"/>
      <c r="K392" s="39" t="s">
        <v>34</v>
      </c>
      <c r="L392" s="40"/>
      <c r="M392" s="43" t="s">
        <v>152</v>
      </c>
      <c r="N392" s="44"/>
      <c r="O392" s="34"/>
      <c r="P392" s="35" t="s">
        <v>38</v>
      </c>
      <c r="Q392" s="31" t="s">
        <v>153</v>
      </c>
      <c r="R392" s="31"/>
      <c r="S392" s="31"/>
      <c r="T392" s="30" t="s">
        <v>29</v>
      </c>
      <c r="U392" s="358"/>
      <c r="V392" s="358"/>
      <c r="W392" s="39" t="s">
        <v>34</v>
      </c>
      <c r="X392" s="40"/>
    </row>
    <row r="393" spans="1:24" ht="18.75" customHeight="1">
      <c r="A393" s="366" t="s">
        <v>154</v>
      </c>
      <c r="B393" s="367"/>
      <c r="C393" s="34"/>
      <c r="D393" s="35"/>
      <c r="E393" s="36"/>
      <c r="F393" s="36"/>
      <c r="G393" s="36"/>
      <c r="H393" s="30" t="s">
        <v>29</v>
      </c>
      <c r="I393" s="358" t="e">
        <f>#REF!</f>
        <v>#REF!</v>
      </c>
      <c r="J393" s="358"/>
      <c r="K393" s="39" t="s">
        <v>34</v>
      </c>
      <c r="L393" s="40"/>
      <c r="M393" s="366" t="s">
        <v>154</v>
      </c>
      <c r="N393" s="367"/>
      <c r="O393" s="34"/>
      <c r="P393" s="35"/>
      <c r="Q393" s="36"/>
      <c r="R393" s="36"/>
      <c r="S393" s="36"/>
      <c r="T393" s="30" t="s">
        <v>29</v>
      </c>
      <c r="U393" s="358" t="e">
        <f>#REF!</f>
        <v>#REF!</v>
      </c>
      <c r="V393" s="358"/>
      <c r="W393" s="39" t="s">
        <v>34</v>
      </c>
      <c r="X393" s="40"/>
    </row>
    <row r="394" spans="1:24" ht="18.75" customHeight="1">
      <c r="A394" s="33" t="s">
        <v>63</v>
      </c>
      <c r="B394" s="30" t="s">
        <v>29</v>
      </c>
      <c r="C394" s="34"/>
      <c r="D394" s="35"/>
      <c r="E394" s="36" t="s">
        <v>64</v>
      </c>
      <c r="F394" s="36"/>
      <c r="G394" s="36"/>
      <c r="H394" s="30" t="s">
        <v>29</v>
      </c>
      <c r="I394" s="358" t="e">
        <f>L391</f>
        <v>#REF!</v>
      </c>
      <c r="J394" s="358"/>
      <c r="K394" s="39" t="s">
        <v>34</v>
      </c>
      <c r="L394" s="40"/>
      <c r="M394" s="33" t="s">
        <v>63</v>
      </c>
      <c r="N394" s="30" t="s">
        <v>29</v>
      </c>
      <c r="O394" s="34"/>
      <c r="P394" s="35"/>
      <c r="Q394" s="36" t="s">
        <v>64</v>
      </c>
      <c r="R394" s="36"/>
      <c r="S394" s="36"/>
      <c r="T394" s="30" t="s">
        <v>29</v>
      </c>
      <c r="U394" s="358" t="e">
        <f>X391</f>
        <v>#REF!</v>
      </c>
      <c r="V394" s="358"/>
      <c r="W394" s="39" t="s">
        <v>34</v>
      </c>
      <c r="X394" s="40"/>
    </row>
    <row r="395" spans="1:24" ht="18.75" customHeight="1">
      <c r="A395" s="362" t="s">
        <v>65</v>
      </c>
      <c r="B395" s="363"/>
      <c r="C395" s="363"/>
      <c r="D395" s="363"/>
      <c r="E395" s="363"/>
      <c r="F395" s="363"/>
      <c r="G395" s="30" t="s">
        <v>29</v>
      </c>
      <c r="H395" s="364" t="e">
        <f>I382+I383+I384+I385+I386+I389+I393+I394+I387+I388+I390+I391+I392+C393</f>
        <v>#REF!</v>
      </c>
      <c r="I395" s="365"/>
      <c r="J395" s="365"/>
      <c r="K395" s="39" t="s">
        <v>34</v>
      </c>
      <c r="M395" s="362" t="s">
        <v>65</v>
      </c>
      <c r="N395" s="363"/>
      <c r="O395" s="363"/>
      <c r="P395" s="363"/>
      <c r="Q395" s="363"/>
      <c r="R395" s="363"/>
      <c r="S395" s="30" t="s">
        <v>29</v>
      </c>
      <c r="T395" s="364" t="e">
        <f>U382+U383+U384+U385+U386+U389+U393+U394+U387+U388+U390+U391+U392+O393</f>
        <v>#REF!</v>
      </c>
      <c r="U395" s="365"/>
      <c r="V395" s="365"/>
      <c r="W395" s="39" t="s">
        <v>34</v>
      </c>
    </row>
    <row r="396" spans="1:24" ht="18.75" customHeight="1">
      <c r="A396" s="45"/>
      <c r="B396" s="46"/>
      <c r="C396" s="46"/>
      <c r="D396" s="46"/>
      <c r="E396" s="46"/>
      <c r="F396" s="46"/>
      <c r="G396" s="46"/>
      <c r="H396" s="46"/>
      <c r="I396" s="46"/>
      <c r="J396" s="46"/>
      <c r="K396" s="47"/>
      <c r="M396" s="45"/>
      <c r="N396" s="46"/>
      <c r="O396" s="46"/>
      <c r="P396" s="46"/>
      <c r="Q396" s="46"/>
      <c r="R396" s="46"/>
      <c r="S396" s="46"/>
      <c r="T396" s="46"/>
      <c r="U396" s="46"/>
      <c r="V396" s="46"/>
      <c r="W396" s="47"/>
    </row>
    <row r="397" spans="1:24" ht="18.75" customHeight="1">
      <c r="A397" s="374" t="s">
        <v>66</v>
      </c>
      <c r="B397" s="375"/>
      <c r="C397" s="375"/>
      <c r="D397" s="375"/>
      <c r="E397" s="375"/>
      <c r="F397" s="375"/>
      <c r="G397" s="30"/>
      <c r="H397" s="30"/>
      <c r="I397" s="30"/>
      <c r="J397" s="30"/>
      <c r="K397" s="39"/>
      <c r="M397" s="374" t="s">
        <v>66</v>
      </c>
      <c r="N397" s="375"/>
      <c r="O397" s="375"/>
      <c r="P397" s="375"/>
      <c r="Q397" s="375"/>
      <c r="R397" s="375"/>
      <c r="S397" s="30"/>
      <c r="T397" s="30"/>
      <c r="U397" s="30"/>
      <c r="V397" s="30"/>
      <c r="W397" s="39"/>
    </row>
    <row r="398" spans="1:24" ht="18.75" customHeight="1">
      <c r="A398" s="368" t="s">
        <v>67</v>
      </c>
      <c r="B398" s="369"/>
      <c r="C398" s="369"/>
      <c r="D398" s="369"/>
      <c r="E398" s="369"/>
      <c r="F398" s="369"/>
      <c r="G398" s="30" t="s">
        <v>29</v>
      </c>
      <c r="H398" s="376" t="e">
        <f>IF(($L$1-(C382+C383+C384+C385))&gt;12,0,F379*8%)</f>
        <v>#REF!</v>
      </c>
      <c r="I398" s="376"/>
      <c r="J398" s="376"/>
      <c r="K398" s="39" t="s">
        <v>34</v>
      </c>
      <c r="M398" s="368" t="s">
        <v>67</v>
      </c>
      <c r="N398" s="369"/>
      <c r="O398" s="369"/>
      <c r="P398" s="369"/>
      <c r="Q398" s="369"/>
      <c r="R398" s="369"/>
      <c r="S398" s="30" t="s">
        <v>29</v>
      </c>
      <c r="T398" s="376" t="e">
        <f>IF(($L$1-(O382+O383+O384+O385))&gt;12,0,R379*8%)</f>
        <v>#REF!</v>
      </c>
      <c r="U398" s="376"/>
      <c r="V398" s="376"/>
      <c r="W398" s="39" t="s">
        <v>34</v>
      </c>
    </row>
    <row r="399" spans="1:24" ht="18.75" customHeight="1">
      <c r="A399" s="368" t="s">
        <v>68</v>
      </c>
      <c r="B399" s="369"/>
      <c r="C399" s="369"/>
      <c r="D399" s="369"/>
      <c r="E399" s="369"/>
      <c r="F399" s="369"/>
      <c r="G399" s="30" t="s">
        <v>29</v>
      </c>
      <c r="H399" s="370" t="e">
        <f>IF(($L$1-(C382+C383+C384+C385))&gt;12,0,F379*1.5%)</f>
        <v>#REF!</v>
      </c>
      <c r="I399" s="370"/>
      <c r="J399" s="370"/>
      <c r="K399" s="39" t="s">
        <v>34</v>
      </c>
      <c r="M399" s="368" t="s">
        <v>68</v>
      </c>
      <c r="N399" s="369"/>
      <c r="O399" s="369"/>
      <c r="P399" s="369"/>
      <c r="Q399" s="369"/>
      <c r="R399" s="369"/>
      <c r="S399" s="30" t="s">
        <v>29</v>
      </c>
      <c r="T399" s="370" t="e">
        <f>IF(($L$1-(O382+O383+O384+O385))&gt;12,0,R379*1.5%)</f>
        <v>#REF!</v>
      </c>
      <c r="U399" s="370"/>
      <c r="V399" s="370"/>
      <c r="W399" s="39" t="s">
        <v>34</v>
      </c>
    </row>
    <row r="400" spans="1:24" ht="18.75" customHeight="1">
      <c r="A400" s="368" t="s">
        <v>69</v>
      </c>
      <c r="B400" s="369"/>
      <c r="C400" s="369"/>
      <c r="D400" s="369"/>
      <c r="E400" s="369"/>
      <c r="F400" s="369"/>
      <c r="G400" s="30" t="s">
        <v>29</v>
      </c>
      <c r="H400" s="370" t="e">
        <f>IF(($L$1-(C382+C383+C384+C385))&gt;12,0,F379*1%)</f>
        <v>#REF!</v>
      </c>
      <c r="I400" s="370"/>
      <c r="J400" s="370"/>
      <c r="K400" s="39" t="s">
        <v>34</v>
      </c>
      <c r="M400" s="368" t="s">
        <v>69</v>
      </c>
      <c r="N400" s="369"/>
      <c r="O400" s="369"/>
      <c r="P400" s="369"/>
      <c r="Q400" s="369"/>
      <c r="R400" s="369"/>
      <c r="S400" s="30" t="s">
        <v>29</v>
      </c>
      <c r="T400" s="370" t="e">
        <f>IF(($L$1-(O382+O383+O384+O385))&gt;12,0,R379*1%)</f>
        <v>#REF!</v>
      </c>
      <c r="U400" s="370"/>
      <c r="V400" s="370"/>
      <c r="W400" s="39" t="s">
        <v>34</v>
      </c>
    </row>
    <row r="401" spans="1:24" ht="18.75" customHeight="1">
      <c r="A401" s="368" t="s">
        <v>70</v>
      </c>
      <c r="B401" s="369"/>
      <c r="C401" s="369"/>
      <c r="D401" s="369"/>
      <c r="E401" s="369"/>
      <c r="F401" s="369"/>
      <c r="G401" s="30" t="s">
        <v>29</v>
      </c>
      <c r="H401" s="370">
        <v>0</v>
      </c>
      <c r="I401" s="370"/>
      <c r="J401" s="370"/>
      <c r="K401" s="39" t="s">
        <v>34</v>
      </c>
      <c r="M401" s="368" t="s">
        <v>70</v>
      </c>
      <c r="N401" s="369"/>
      <c r="O401" s="369"/>
      <c r="P401" s="369"/>
      <c r="Q401" s="369"/>
      <c r="R401" s="369"/>
      <c r="S401" s="30" t="s">
        <v>29</v>
      </c>
      <c r="T401" s="370">
        <v>0</v>
      </c>
      <c r="U401" s="370"/>
      <c r="V401" s="370"/>
      <c r="W401" s="39" t="s">
        <v>34</v>
      </c>
    </row>
    <row r="402" spans="1:24" ht="18.75" customHeight="1">
      <c r="A402" s="371" t="s">
        <v>71</v>
      </c>
      <c r="B402" s="372"/>
      <c r="C402" s="372"/>
      <c r="D402" s="372"/>
      <c r="E402" s="372"/>
      <c r="F402" s="372"/>
      <c r="G402" s="30" t="s">
        <v>29</v>
      </c>
      <c r="H402" s="373" t="e">
        <f>SUM(H398:J401)</f>
        <v>#REF!</v>
      </c>
      <c r="I402" s="373"/>
      <c r="J402" s="373"/>
      <c r="K402" s="39" t="s">
        <v>34</v>
      </c>
      <c r="M402" s="371" t="s">
        <v>71</v>
      </c>
      <c r="N402" s="372"/>
      <c r="O402" s="372"/>
      <c r="P402" s="372"/>
      <c r="Q402" s="372"/>
      <c r="R402" s="372"/>
      <c r="S402" s="30" t="s">
        <v>29</v>
      </c>
      <c r="T402" s="373" t="e">
        <f>SUM(T398:V401)</f>
        <v>#REF!</v>
      </c>
      <c r="U402" s="373"/>
      <c r="V402" s="373"/>
      <c r="W402" s="39" t="s">
        <v>34</v>
      </c>
    </row>
    <row r="403" spans="1:24" ht="18.75" customHeight="1">
      <c r="A403" s="368" t="s">
        <v>72</v>
      </c>
      <c r="B403" s="369"/>
      <c r="C403" s="369"/>
      <c r="D403" s="369"/>
      <c r="E403" s="369"/>
      <c r="F403" s="369"/>
      <c r="G403" s="30" t="s">
        <v>29</v>
      </c>
      <c r="H403" s="381" t="e">
        <f>ROUND(H395-H402,-2)</f>
        <v>#REF!</v>
      </c>
      <c r="I403" s="381"/>
      <c r="J403" s="381"/>
      <c r="K403" s="39" t="s">
        <v>34</v>
      </c>
      <c r="M403" s="368" t="s">
        <v>72</v>
      </c>
      <c r="N403" s="369"/>
      <c r="O403" s="369"/>
      <c r="P403" s="369"/>
      <c r="Q403" s="369"/>
      <c r="R403" s="369"/>
      <c r="S403" s="30" t="s">
        <v>29</v>
      </c>
      <c r="T403" s="381" t="e">
        <f>ROUND(T395-T402,-2)</f>
        <v>#REF!</v>
      </c>
      <c r="U403" s="381"/>
      <c r="V403" s="381"/>
      <c r="W403" s="39" t="s">
        <v>34</v>
      </c>
    </row>
    <row r="404" spans="1:24" ht="18.75" customHeight="1">
      <c r="A404" s="48"/>
      <c r="B404" s="49"/>
      <c r="C404" s="49"/>
      <c r="D404" s="49"/>
      <c r="E404" s="49"/>
      <c r="F404" s="49"/>
      <c r="G404" s="49"/>
      <c r="H404" s="49"/>
      <c r="I404" s="49"/>
      <c r="J404" s="49"/>
      <c r="K404" s="50"/>
      <c r="M404" s="48"/>
      <c r="N404" s="49"/>
      <c r="O404" s="49"/>
      <c r="P404" s="49"/>
      <c r="Q404" s="49"/>
      <c r="R404" s="49"/>
      <c r="S404" s="49"/>
      <c r="T404" s="49"/>
      <c r="U404" s="49"/>
      <c r="V404" s="49"/>
      <c r="W404" s="50"/>
    </row>
    <row r="405" spans="1:24" ht="18.75" customHeight="1">
      <c r="A405" s="51"/>
      <c r="B405" s="30"/>
      <c r="C405" s="30"/>
      <c r="D405" s="30"/>
      <c r="E405" s="30"/>
      <c r="F405" s="30"/>
      <c r="G405" s="30"/>
      <c r="H405" s="30"/>
      <c r="I405" s="378" t="s">
        <v>73</v>
      </c>
      <c r="J405" s="378"/>
      <c r="K405" s="382"/>
      <c r="M405" s="51"/>
      <c r="N405" s="30"/>
      <c r="O405" s="30"/>
      <c r="P405" s="30"/>
      <c r="Q405" s="30"/>
      <c r="R405" s="30"/>
      <c r="S405" s="30"/>
      <c r="T405" s="30"/>
      <c r="U405" s="378" t="s">
        <v>73</v>
      </c>
      <c r="V405" s="378"/>
      <c r="W405" s="382"/>
    </row>
    <row r="406" spans="1:24" ht="18.75" customHeight="1">
      <c r="A406" s="51"/>
      <c r="B406" s="377"/>
      <c r="C406" s="378"/>
      <c r="D406" s="378"/>
      <c r="E406" s="378"/>
      <c r="F406" s="30"/>
      <c r="G406" s="30"/>
      <c r="H406" s="30"/>
      <c r="I406" s="30"/>
      <c r="J406" s="30"/>
      <c r="K406" s="32"/>
      <c r="M406" s="51"/>
      <c r="N406" s="377"/>
      <c r="O406" s="378"/>
      <c r="P406" s="378"/>
      <c r="Q406" s="378"/>
      <c r="R406" s="30"/>
      <c r="S406" s="30"/>
      <c r="T406" s="30"/>
      <c r="U406" s="30"/>
      <c r="V406" s="30"/>
      <c r="W406" s="32"/>
    </row>
    <row r="407" spans="1:24" ht="18.75" customHeight="1" thickBot="1">
      <c r="A407" s="53"/>
      <c r="B407" s="54"/>
      <c r="C407" s="54"/>
      <c r="D407" s="54"/>
      <c r="E407" s="54"/>
      <c r="F407" s="54"/>
      <c r="G407" s="54"/>
      <c r="H407" s="54"/>
      <c r="I407" s="379" t="s">
        <v>74</v>
      </c>
      <c r="J407" s="379"/>
      <c r="K407" s="380"/>
      <c r="M407" s="53"/>
      <c r="N407" s="54"/>
      <c r="O407" s="54"/>
      <c r="P407" s="54"/>
      <c r="Q407" s="54"/>
      <c r="R407" s="54"/>
      <c r="S407" s="54"/>
      <c r="T407" s="54"/>
      <c r="U407" s="379" t="s">
        <v>74</v>
      </c>
      <c r="V407" s="379"/>
      <c r="W407" s="380"/>
    </row>
    <row r="408" spans="1:24" ht="18.75" customHeight="1" thickTop="1" thickBot="1">
      <c r="A408" s="51"/>
      <c r="B408" s="30"/>
      <c r="C408" s="30"/>
      <c r="D408" s="30"/>
      <c r="E408" s="30"/>
      <c r="F408" s="30"/>
      <c r="G408" s="30"/>
      <c r="H408" s="30"/>
      <c r="I408" s="52"/>
      <c r="J408" s="52"/>
      <c r="K408" s="52"/>
      <c r="M408" s="51"/>
      <c r="N408" s="30"/>
      <c r="O408" s="30"/>
      <c r="P408" s="30"/>
      <c r="Q408" s="30"/>
      <c r="R408" s="30"/>
      <c r="S408" s="30"/>
      <c r="T408" s="30"/>
      <c r="U408" s="52"/>
      <c r="V408" s="52"/>
      <c r="W408" s="52"/>
    </row>
    <row r="409" spans="1:24" ht="18.75" customHeight="1" thickTop="1">
      <c r="A409" s="351" t="s">
        <v>160</v>
      </c>
      <c r="B409" s="352"/>
      <c r="C409" s="352"/>
      <c r="D409" s="352"/>
      <c r="E409" s="352"/>
      <c r="F409" s="352"/>
      <c r="G409" s="352"/>
      <c r="H409" s="352"/>
      <c r="I409" s="352"/>
      <c r="J409" s="352"/>
      <c r="K409" s="353"/>
      <c r="L409" s="26">
        <v>26</v>
      </c>
      <c r="M409" s="351" t="s">
        <v>160</v>
      </c>
      <c r="N409" s="352"/>
      <c r="O409" s="352"/>
      <c r="P409" s="352"/>
      <c r="Q409" s="352"/>
      <c r="R409" s="352"/>
      <c r="S409" s="352"/>
      <c r="T409" s="352"/>
      <c r="U409" s="352"/>
      <c r="V409" s="352"/>
      <c r="W409" s="353"/>
      <c r="X409" s="26">
        <v>26</v>
      </c>
    </row>
    <row r="410" spans="1:24" ht="18.75" customHeight="1">
      <c r="A410" s="27" t="s">
        <v>97</v>
      </c>
      <c r="B410" s="28"/>
      <c r="C410" s="28"/>
      <c r="D410" s="28"/>
      <c r="E410" s="28"/>
      <c r="F410" s="28"/>
      <c r="G410" s="28"/>
      <c r="H410" s="28"/>
      <c r="I410" s="28"/>
      <c r="J410" s="28"/>
      <c r="K410" s="29"/>
      <c r="M410" s="27" t="s">
        <v>98</v>
      </c>
      <c r="N410" s="28"/>
      <c r="O410" s="28"/>
      <c r="P410" s="28"/>
      <c r="Q410" s="28"/>
      <c r="R410" s="28"/>
      <c r="S410" s="28"/>
      <c r="T410" s="28"/>
      <c r="U410" s="28"/>
      <c r="V410" s="28"/>
      <c r="W410" s="29"/>
    </row>
    <row r="411" spans="1:24" ht="18.75" customHeight="1">
      <c r="A411" s="354" t="s">
        <v>27</v>
      </c>
      <c r="B411" s="355"/>
      <c r="C411" s="355"/>
      <c r="D411" s="355"/>
      <c r="E411" s="355"/>
      <c r="F411" s="355"/>
      <c r="G411" s="355"/>
      <c r="H411" s="355"/>
      <c r="I411" s="355"/>
      <c r="J411" s="355"/>
      <c r="K411" s="356"/>
      <c r="M411" s="354" t="s">
        <v>27</v>
      </c>
      <c r="N411" s="355"/>
      <c r="O411" s="355"/>
      <c r="P411" s="355"/>
      <c r="Q411" s="355"/>
      <c r="R411" s="355"/>
      <c r="S411" s="355"/>
      <c r="T411" s="355"/>
      <c r="U411" s="355"/>
      <c r="V411" s="355"/>
      <c r="W411" s="356"/>
    </row>
    <row r="412" spans="1:24" ht="18.75" customHeight="1">
      <c r="A412" s="347" t="s">
        <v>28</v>
      </c>
      <c r="B412" s="31"/>
      <c r="C412" s="31"/>
      <c r="D412" s="31"/>
      <c r="E412" s="30" t="s">
        <v>29</v>
      </c>
      <c r="F412" s="348">
        <f>'Bang TH nop'!B53</f>
        <v>0</v>
      </c>
      <c r="G412" s="31"/>
      <c r="H412" s="31"/>
      <c r="I412" s="31"/>
      <c r="J412" s="31"/>
      <c r="K412" s="350"/>
      <c r="M412" s="347" t="s">
        <v>28</v>
      </c>
      <c r="N412" s="31"/>
      <c r="O412" s="31"/>
      <c r="P412" s="31"/>
      <c r="Q412" s="30" t="s">
        <v>29</v>
      </c>
      <c r="R412" s="348">
        <f>'Bang TH nop'!B55</f>
        <v>0</v>
      </c>
      <c r="S412" s="31"/>
      <c r="T412" s="31"/>
      <c r="U412" s="31"/>
      <c r="V412" s="31"/>
      <c r="W412" s="350"/>
    </row>
    <row r="413" spans="1:24" ht="18.75" customHeight="1">
      <c r="A413" s="347" t="s">
        <v>30</v>
      </c>
      <c r="B413" s="31"/>
      <c r="C413" s="31"/>
      <c r="D413" s="31"/>
      <c r="E413" s="30" t="s">
        <v>29</v>
      </c>
      <c r="F413" s="348">
        <f>'Bang TH nop'!C53</f>
        <v>0</v>
      </c>
      <c r="G413" s="348"/>
      <c r="H413" s="348"/>
      <c r="I413" s="348"/>
      <c r="J413" s="348"/>
      <c r="K413" s="349"/>
      <c r="M413" s="347" t="s">
        <v>30</v>
      </c>
      <c r="N413" s="31"/>
      <c r="O413" s="31"/>
      <c r="P413" s="31"/>
      <c r="Q413" s="30" t="s">
        <v>29</v>
      </c>
      <c r="R413" s="348">
        <f>'Bang TH nop'!C55</f>
        <v>0</v>
      </c>
      <c r="S413" s="348"/>
      <c r="T413" s="348"/>
      <c r="U413" s="348"/>
      <c r="V413" s="348"/>
      <c r="W413" s="349"/>
    </row>
    <row r="414" spans="1:24" ht="18.75" customHeight="1">
      <c r="A414" s="347" t="s">
        <v>31</v>
      </c>
      <c r="B414" s="31"/>
      <c r="C414" s="31"/>
      <c r="D414" s="31"/>
      <c r="E414" s="30" t="s">
        <v>29</v>
      </c>
      <c r="F414" s="31" t="str">
        <f>+$L$2</f>
        <v xml:space="preserve">Tổ  </v>
      </c>
      <c r="G414" s="31"/>
      <c r="H414" s="31"/>
      <c r="I414" s="31"/>
      <c r="J414" s="31"/>
      <c r="K414" s="350"/>
      <c r="M414" s="347" t="s">
        <v>31</v>
      </c>
      <c r="N414" s="31"/>
      <c r="O414" s="31"/>
      <c r="P414" s="31"/>
      <c r="Q414" s="30" t="s">
        <v>29</v>
      </c>
      <c r="R414" s="31" t="str">
        <f>+$L$2</f>
        <v xml:space="preserve">Tổ  </v>
      </c>
      <c r="S414" s="31"/>
      <c r="T414" s="31"/>
      <c r="U414" s="31"/>
      <c r="V414" s="31"/>
      <c r="W414" s="350"/>
    </row>
    <row r="415" spans="1:24" ht="18.75" customHeight="1">
      <c r="A415" s="354" t="s">
        <v>32</v>
      </c>
      <c r="B415" s="355"/>
      <c r="C415" s="355"/>
      <c r="D415" s="355"/>
      <c r="E415" s="355"/>
      <c r="F415" s="355"/>
      <c r="G415" s="355"/>
      <c r="H415" s="355"/>
      <c r="I415" s="355"/>
      <c r="J415" s="355"/>
      <c r="K415" s="356"/>
      <c r="M415" s="354" t="s">
        <v>32</v>
      </c>
      <c r="N415" s="355"/>
      <c r="O415" s="355"/>
      <c r="P415" s="355"/>
      <c r="Q415" s="355"/>
      <c r="R415" s="355"/>
      <c r="S415" s="355"/>
      <c r="T415" s="355"/>
      <c r="U415" s="355"/>
      <c r="V415" s="355"/>
      <c r="W415" s="356"/>
    </row>
    <row r="416" spans="1:24" ht="18.75" customHeight="1">
      <c r="A416" s="347" t="s">
        <v>33</v>
      </c>
      <c r="B416" s="31"/>
      <c r="C416" s="31"/>
      <c r="D416" s="31"/>
      <c r="E416" s="30" t="s">
        <v>29</v>
      </c>
      <c r="F416" s="361">
        <f>VLOOKUP(F413,'Bang TH nop'!$C$9:$AP$266,29,0)</f>
        <v>0</v>
      </c>
      <c r="G416" s="361"/>
      <c r="H416" s="361"/>
      <c r="I416" s="361"/>
      <c r="J416" s="30" t="s">
        <v>34</v>
      </c>
      <c r="K416" s="32"/>
      <c r="M416" s="347" t="s">
        <v>33</v>
      </c>
      <c r="N416" s="31"/>
      <c r="O416" s="31"/>
      <c r="P416" s="31"/>
      <c r="Q416" s="30" t="s">
        <v>29</v>
      </c>
      <c r="R416" s="361">
        <f>VLOOKUP(R413,'Bang TH nop'!$C$9:$AP$266,29,0)</f>
        <v>0</v>
      </c>
      <c r="S416" s="361"/>
      <c r="T416" s="361"/>
      <c r="U416" s="361"/>
      <c r="V416" s="30" t="s">
        <v>34</v>
      </c>
      <c r="W416" s="32"/>
    </row>
    <row r="417" spans="1:24" ht="18.75" customHeight="1">
      <c r="A417" s="33" t="s">
        <v>35</v>
      </c>
      <c r="B417" s="30"/>
      <c r="C417" s="34"/>
      <c r="D417" s="35"/>
      <c r="E417" s="36"/>
      <c r="F417" s="36"/>
      <c r="G417" s="36"/>
      <c r="H417" s="30"/>
      <c r="I417" s="37" t="e">
        <f>#REF!</f>
        <v>#REF!</v>
      </c>
      <c r="J417" s="38"/>
      <c r="K417" s="39"/>
      <c r="M417" s="33" t="s">
        <v>35</v>
      </c>
      <c r="N417" s="30"/>
      <c r="O417" s="34"/>
      <c r="P417" s="35"/>
      <c r="Q417" s="36"/>
      <c r="R417" s="36"/>
      <c r="S417" s="36"/>
      <c r="T417" s="30"/>
      <c r="U417" s="37" t="e">
        <f>#REF!</f>
        <v>#REF!</v>
      </c>
      <c r="V417" s="38"/>
      <c r="W417" s="39"/>
    </row>
    <row r="418" spans="1:24" ht="18.75" customHeight="1">
      <c r="A418" s="33" t="s">
        <v>36</v>
      </c>
      <c r="B418" s="30"/>
      <c r="C418" s="34"/>
      <c r="D418" s="35"/>
      <c r="E418" s="36"/>
      <c r="F418" s="36"/>
      <c r="G418" s="36"/>
      <c r="H418" s="30"/>
      <c r="I418" s="37" t="e">
        <f>I419/C419/8</f>
        <v>#REF!</v>
      </c>
      <c r="J418" s="38"/>
      <c r="K418" s="39"/>
      <c r="M418" s="33" t="s">
        <v>36</v>
      </c>
      <c r="N418" s="30"/>
      <c r="O418" s="34"/>
      <c r="P418" s="35"/>
      <c r="Q418" s="36"/>
      <c r="R418" s="36"/>
      <c r="S418" s="36"/>
      <c r="T418" s="30"/>
      <c r="U418" s="37" t="e">
        <f>U419/O419/8</f>
        <v>#REF!</v>
      </c>
      <c r="V418" s="38"/>
      <c r="W418" s="39"/>
    </row>
    <row r="419" spans="1:24" ht="18.75" customHeight="1">
      <c r="A419" s="33" t="s">
        <v>37</v>
      </c>
      <c r="B419" s="30" t="s">
        <v>29</v>
      </c>
      <c r="C419" s="34" t="e">
        <f>#REF!</f>
        <v>#REF!</v>
      </c>
      <c r="D419" s="35" t="s">
        <v>38</v>
      </c>
      <c r="E419" s="359" t="s">
        <v>39</v>
      </c>
      <c r="F419" s="359"/>
      <c r="G419" s="359"/>
      <c r="H419" s="30" t="s">
        <v>29</v>
      </c>
      <c r="I419" s="360" t="e">
        <f>#REF!</f>
        <v>#REF!</v>
      </c>
      <c r="J419" s="360"/>
      <c r="K419" s="39" t="s">
        <v>34</v>
      </c>
      <c r="L419" s="40" t="e">
        <f>F416/L409*C419</f>
        <v>#REF!</v>
      </c>
      <c r="M419" s="33" t="s">
        <v>37</v>
      </c>
      <c r="N419" s="30" t="s">
        <v>29</v>
      </c>
      <c r="O419" s="34" t="e">
        <f>#REF!</f>
        <v>#REF!</v>
      </c>
      <c r="P419" s="35" t="s">
        <v>38</v>
      </c>
      <c r="Q419" s="359" t="s">
        <v>39</v>
      </c>
      <c r="R419" s="359"/>
      <c r="S419" s="359"/>
      <c r="T419" s="30" t="s">
        <v>29</v>
      </c>
      <c r="U419" s="360" t="e">
        <f>#REF!</f>
        <v>#REF!</v>
      </c>
      <c r="V419" s="360"/>
      <c r="W419" s="39" t="s">
        <v>34</v>
      </c>
      <c r="X419" s="40" t="e">
        <f>R416/X409*O419</f>
        <v>#REF!</v>
      </c>
    </row>
    <row r="420" spans="1:24" ht="18.75" customHeight="1">
      <c r="A420" s="33" t="s">
        <v>40</v>
      </c>
      <c r="B420" s="30" t="s">
        <v>29</v>
      </c>
      <c r="C420" s="34" t="e">
        <f>#REF!</f>
        <v>#REF!</v>
      </c>
      <c r="D420" s="35" t="s">
        <v>38</v>
      </c>
      <c r="E420" s="31" t="s">
        <v>41</v>
      </c>
      <c r="F420" s="31"/>
      <c r="G420" s="31"/>
      <c r="H420" s="30" t="s">
        <v>29</v>
      </c>
      <c r="I420" s="358" t="e">
        <f>$F$8/$L$1*C420</f>
        <v>#REF!</v>
      </c>
      <c r="J420" s="358"/>
      <c r="K420" s="39" t="s">
        <v>34</v>
      </c>
      <c r="L420" s="40"/>
      <c r="M420" s="33" t="s">
        <v>40</v>
      </c>
      <c r="N420" s="30" t="s">
        <v>29</v>
      </c>
      <c r="O420" s="34" t="e">
        <f>#REF!</f>
        <v>#REF!</v>
      </c>
      <c r="P420" s="35" t="s">
        <v>38</v>
      </c>
      <c r="Q420" s="31" t="s">
        <v>41</v>
      </c>
      <c r="R420" s="31"/>
      <c r="S420" s="31"/>
      <c r="T420" s="30" t="s">
        <v>29</v>
      </c>
      <c r="U420" s="358" t="e">
        <f>$F$8/$L$1*O420</f>
        <v>#REF!</v>
      </c>
      <c r="V420" s="358"/>
      <c r="W420" s="39" t="s">
        <v>34</v>
      </c>
      <c r="X420" s="40"/>
    </row>
    <row r="421" spans="1:24" ht="18.75" customHeight="1">
      <c r="A421" s="33" t="s">
        <v>42</v>
      </c>
      <c r="B421" s="30" t="s">
        <v>29</v>
      </c>
      <c r="C421" s="34" t="e">
        <f>#REF!</f>
        <v>#REF!</v>
      </c>
      <c r="D421" s="35" t="s">
        <v>38</v>
      </c>
      <c r="E421" s="357" t="s">
        <v>43</v>
      </c>
      <c r="F421" s="357"/>
      <c r="G421" s="357"/>
      <c r="H421" s="30" t="s">
        <v>29</v>
      </c>
      <c r="I421" s="358" t="e">
        <f>$F$8/$L$1*C421</f>
        <v>#REF!</v>
      </c>
      <c r="J421" s="358"/>
      <c r="K421" s="39" t="s">
        <v>34</v>
      </c>
      <c r="L421" s="40"/>
      <c r="M421" s="33" t="s">
        <v>42</v>
      </c>
      <c r="N421" s="30" t="s">
        <v>29</v>
      </c>
      <c r="O421" s="34" t="e">
        <f>#REF!</f>
        <v>#REF!</v>
      </c>
      <c r="P421" s="35" t="s">
        <v>38</v>
      </c>
      <c r="Q421" s="357" t="s">
        <v>43</v>
      </c>
      <c r="R421" s="357"/>
      <c r="S421" s="357"/>
      <c r="T421" s="30" t="s">
        <v>29</v>
      </c>
      <c r="U421" s="358" t="e">
        <f>$F$8/$L$1*O421</f>
        <v>#REF!</v>
      </c>
      <c r="V421" s="358"/>
      <c r="W421" s="39" t="s">
        <v>34</v>
      </c>
      <c r="X421" s="40"/>
    </row>
    <row r="422" spans="1:24" ht="18.75" customHeight="1">
      <c r="A422" s="33" t="s">
        <v>44</v>
      </c>
      <c r="B422" s="30" t="s">
        <v>29</v>
      </c>
      <c r="C422" s="34" t="e">
        <f>#REF!</f>
        <v>#REF!</v>
      </c>
      <c r="D422" s="35" t="s">
        <v>38</v>
      </c>
      <c r="E422" s="357" t="s">
        <v>45</v>
      </c>
      <c r="F422" s="357"/>
      <c r="G422" s="357"/>
      <c r="H422" s="30" t="s">
        <v>29</v>
      </c>
      <c r="I422" s="358" t="e">
        <f>$F$8/$L$1*C422</f>
        <v>#REF!</v>
      </c>
      <c r="J422" s="358"/>
      <c r="K422" s="39" t="s">
        <v>34</v>
      </c>
      <c r="L422" s="40"/>
      <c r="M422" s="33" t="s">
        <v>44</v>
      </c>
      <c r="N422" s="30" t="s">
        <v>29</v>
      </c>
      <c r="O422" s="34" t="e">
        <f>#REF!</f>
        <v>#REF!</v>
      </c>
      <c r="P422" s="35" t="s">
        <v>38</v>
      </c>
      <c r="Q422" s="357" t="s">
        <v>45</v>
      </c>
      <c r="R422" s="357"/>
      <c r="S422" s="357"/>
      <c r="T422" s="30" t="s">
        <v>29</v>
      </c>
      <c r="U422" s="358" t="e">
        <f>$F$8/$L$1*O422</f>
        <v>#REF!</v>
      </c>
      <c r="V422" s="358"/>
      <c r="W422" s="39" t="s">
        <v>34</v>
      </c>
      <c r="X422" s="40"/>
    </row>
    <row r="423" spans="1:24" ht="18.75" customHeight="1">
      <c r="A423" s="33" t="s">
        <v>46</v>
      </c>
      <c r="B423" s="30" t="s">
        <v>29</v>
      </c>
      <c r="C423" s="34" t="e">
        <f>#REF!</f>
        <v>#REF!</v>
      </c>
      <c r="D423" s="35" t="s">
        <v>47</v>
      </c>
      <c r="E423" s="31" t="s">
        <v>48</v>
      </c>
      <c r="F423" s="31"/>
      <c r="G423" s="31"/>
      <c r="H423" s="30" t="s">
        <v>29</v>
      </c>
      <c r="I423" s="358" t="e">
        <f>#REF!</f>
        <v>#REF!</v>
      </c>
      <c r="J423" s="358"/>
      <c r="K423" s="39" t="s">
        <v>34</v>
      </c>
      <c r="L423" s="40" t="e">
        <f>F416*C423/L409/8*1.5</f>
        <v>#REF!</v>
      </c>
      <c r="M423" s="33" t="s">
        <v>46</v>
      </c>
      <c r="N423" s="30" t="s">
        <v>29</v>
      </c>
      <c r="O423" s="34" t="e">
        <f>#REF!</f>
        <v>#REF!</v>
      </c>
      <c r="P423" s="35" t="s">
        <v>47</v>
      </c>
      <c r="Q423" s="31" t="s">
        <v>48</v>
      </c>
      <c r="R423" s="31"/>
      <c r="S423" s="31"/>
      <c r="T423" s="30" t="s">
        <v>29</v>
      </c>
      <c r="U423" s="358" t="e">
        <f>#REF!</f>
        <v>#REF!</v>
      </c>
      <c r="V423" s="358"/>
      <c r="W423" s="39" t="s">
        <v>34</v>
      </c>
      <c r="X423" s="40" t="e">
        <f>R416*O423/X409/8*1.5</f>
        <v>#REF!</v>
      </c>
    </row>
    <row r="424" spans="1:24" ht="18.75" customHeight="1">
      <c r="A424" s="347" t="s">
        <v>49</v>
      </c>
      <c r="B424" s="31"/>
      <c r="C424" s="34"/>
      <c r="D424" s="35" t="s">
        <v>38</v>
      </c>
      <c r="E424" s="31" t="s">
        <v>50</v>
      </c>
      <c r="F424" s="31"/>
      <c r="G424" s="31"/>
      <c r="H424" s="41" t="s">
        <v>29</v>
      </c>
      <c r="I424" s="358"/>
      <c r="J424" s="358"/>
      <c r="K424" s="39" t="s">
        <v>34</v>
      </c>
      <c r="L424" s="40"/>
      <c r="M424" s="347" t="s">
        <v>49</v>
      </c>
      <c r="N424" s="31"/>
      <c r="O424" s="34"/>
      <c r="P424" s="35" t="s">
        <v>38</v>
      </c>
      <c r="Q424" s="31" t="s">
        <v>50</v>
      </c>
      <c r="R424" s="31"/>
      <c r="S424" s="31"/>
      <c r="T424" s="41" t="s">
        <v>29</v>
      </c>
      <c r="U424" s="358"/>
      <c r="V424" s="358"/>
      <c r="W424" s="39" t="s">
        <v>34</v>
      </c>
      <c r="X424" s="40"/>
    </row>
    <row r="425" spans="1:24" ht="18.75" customHeight="1">
      <c r="A425" s="33" t="s">
        <v>51</v>
      </c>
      <c r="B425" s="30" t="s">
        <v>29</v>
      </c>
      <c r="C425" s="34"/>
      <c r="D425" s="35" t="s">
        <v>38</v>
      </c>
      <c r="E425" s="31" t="s">
        <v>52</v>
      </c>
      <c r="F425" s="31"/>
      <c r="G425" s="31"/>
      <c r="H425" s="30" t="s">
        <v>29</v>
      </c>
      <c r="I425" s="358"/>
      <c r="J425" s="358"/>
      <c r="K425" s="39" t="s">
        <v>34</v>
      </c>
      <c r="L425" s="40"/>
      <c r="M425" s="33" t="s">
        <v>51</v>
      </c>
      <c r="N425" s="30" t="s">
        <v>29</v>
      </c>
      <c r="O425" s="34"/>
      <c r="P425" s="35" t="s">
        <v>38</v>
      </c>
      <c r="Q425" s="31" t="s">
        <v>52</v>
      </c>
      <c r="R425" s="31"/>
      <c r="S425" s="31"/>
      <c r="T425" s="30" t="s">
        <v>29</v>
      </c>
      <c r="U425" s="358"/>
      <c r="V425" s="358"/>
      <c r="W425" s="39" t="s">
        <v>34</v>
      </c>
      <c r="X425" s="40"/>
    </row>
    <row r="426" spans="1:24" ht="18.75" customHeight="1">
      <c r="A426" s="42" t="s">
        <v>53</v>
      </c>
      <c r="B426" s="30"/>
      <c r="C426" s="34" t="e">
        <f>#REF!</f>
        <v>#REF!</v>
      </c>
      <c r="D426" s="35" t="s">
        <v>47</v>
      </c>
      <c r="E426" s="31" t="s">
        <v>54</v>
      </c>
      <c r="F426" s="31"/>
      <c r="G426" s="31"/>
      <c r="H426" s="30" t="s">
        <v>29</v>
      </c>
      <c r="I426" s="358" t="e">
        <f>$F$8*C426/8/$L$1</f>
        <v>#REF!</v>
      </c>
      <c r="J426" s="358"/>
      <c r="K426" s="39" t="s">
        <v>34</v>
      </c>
      <c r="L426" s="40"/>
      <c r="M426" s="42" t="s">
        <v>53</v>
      </c>
      <c r="N426" s="30"/>
      <c r="O426" s="34" t="e">
        <f>#REF!</f>
        <v>#REF!</v>
      </c>
      <c r="P426" s="35" t="s">
        <v>47</v>
      </c>
      <c r="Q426" s="31" t="s">
        <v>54</v>
      </c>
      <c r="R426" s="31"/>
      <c r="S426" s="31"/>
      <c r="T426" s="30" t="s">
        <v>29</v>
      </c>
      <c r="U426" s="358" t="e">
        <f>$F$8*O426/8/$L$1</f>
        <v>#REF!</v>
      </c>
      <c r="V426" s="358"/>
      <c r="W426" s="39" t="s">
        <v>34</v>
      </c>
      <c r="X426" s="40"/>
    </row>
    <row r="427" spans="1:24" ht="18.75" customHeight="1">
      <c r="A427" s="33" t="s">
        <v>155</v>
      </c>
      <c r="B427" s="30" t="s">
        <v>29</v>
      </c>
      <c r="C427" s="34"/>
      <c r="D427" s="35" t="s">
        <v>47</v>
      </c>
      <c r="E427" s="31" t="s">
        <v>61</v>
      </c>
      <c r="F427" s="31"/>
      <c r="G427" s="31"/>
      <c r="H427" s="30" t="s">
        <v>29</v>
      </c>
      <c r="I427" s="360"/>
      <c r="J427" s="360"/>
      <c r="K427" s="39" t="s">
        <v>34</v>
      </c>
      <c r="L427" s="40"/>
      <c r="M427" s="33" t="s">
        <v>155</v>
      </c>
      <c r="N427" s="30" t="s">
        <v>29</v>
      </c>
      <c r="O427" s="34"/>
      <c r="P427" s="35" t="s">
        <v>47</v>
      </c>
      <c r="Q427" s="31" t="s">
        <v>61</v>
      </c>
      <c r="R427" s="31"/>
      <c r="S427" s="31"/>
      <c r="T427" s="30" t="s">
        <v>29</v>
      </c>
      <c r="U427" s="360"/>
      <c r="V427" s="360"/>
      <c r="W427" s="39" t="s">
        <v>34</v>
      </c>
      <c r="X427" s="40"/>
    </row>
    <row r="428" spans="1:24" ht="18.75" customHeight="1">
      <c r="A428" s="33" t="s">
        <v>57</v>
      </c>
      <c r="B428" s="30" t="s">
        <v>29</v>
      </c>
      <c r="C428" s="34"/>
      <c r="D428" s="35" t="s">
        <v>58</v>
      </c>
      <c r="E428" s="31" t="s">
        <v>59</v>
      </c>
      <c r="F428" s="31"/>
      <c r="G428" s="31"/>
      <c r="H428" s="30" t="s">
        <v>29</v>
      </c>
      <c r="I428" s="358"/>
      <c r="J428" s="358"/>
      <c r="K428" s="39" t="s">
        <v>34</v>
      </c>
      <c r="L428" s="40" t="e">
        <f>+IF(L419-I419&lt;0,0,L419-I419)+IF(L423-I423&lt;0,0,L423-I423)</f>
        <v>#REF!</v>
      </c>
      <c r="M428" s="33" t="s">
        <v>57</v>
      </c>
      <c r="N428" s="30" t="s">
        <v>29</v>
      </c>
      <c r="O428" s="34"/>
      <c r="P428" s="35" t="s">
        <v>58</v>
      </c>
      <c r="Q428" s="31" t="s">
        <v>59</v>
      </c>
      <c r="R428" s="31"/>
      <c r="S428" s="31"/>
      <c r="T428" s="30" t="s">
        <v>29</v>
      </c>
      <c r="U428" s="358"/>
      <c r="V428" s="358"/>
      <c r="W428" s="39" t="s">
        <v>34</v>
      </c>
      <c r="X428" s="40" t="e">
        <f>+IF(X419-U419&lt;0,0,X419-U419)+IF(X423-U423&lt;0,0,X423-U423)</f>
        <v>#REF!</v>
      </c>
    </row>
    <row r="429" spans="1:24" ht="18.75" customHeight="1">
      <c r="A429" s="43" t="s">
        <v>60</v>
      </c>
      <c r="B429" s="44"/>
      <c r="C429" s="34"/>
      <c r="D429" s="35" t="s">
        <v>38</v>
      </c>
      <c r="E429" s="31" t="s">
        <v>61</v>
      </c>
      <c r="F429" s="31"/>
      <c r="G429" s="31"/>
      <c r="H429" s="30" t="s">
        <v>29</v>
      </c>
      <c r="I429" s="358"/>
      <c r="J429" s="358"/>
      <c r="K429" s="39" t="s">
        <v>34</v>
      </c>
      <c r="L429" s="40"/>
      <c r="M429" s="43" t="s">
        <v>60</v>
      </c>
      <c r="N429" s="44"/>
      <c r="O429" s="34"/>
      <c r="P429" s="35" t="s">
        <v>38</v>
      </c>
      <c r="Q429" s="31" t="s">
        <v>61</v>
      </c>
      <c r="R429" s="31"/>
      <c r="S429" s="31"/>
      <c r="T429" s="30" t="s">
        <v>29</v>
      </c>
      <c r="U429" s="358"/>
      <c r="V429" s="358"/>
      <c r="W429" s="39" t="s">
        <v>34</v>
      </c>
      <c r="X429" s="40"/>
    </row>
    <row r="430" spans="1:24" ht="18.75" customHeight="1">
      <c r="A430" s="383" t="s">
        <v>62</v>
      </c>
      <c r="B430" s="359"/>
      <c r="C430" s="34"/>
      <c r="D430" s="35"/>
      <c r="E430" s="36"/>
      <c r="F430" s="36"/>
      <c r="G430" s="36"/>
      <c r="H430" s="30" t="s">
        <v>29</v>
      </c>
      <c r="I430" s="358" t="e">
        <f>#REF!</f>
        <v>#REF!</v>
      </c>
      <c r="J430" s="358"/>
      <c r="K430" s="39" t="s">
        <v>34</v>
      </c>
      <c r="L430" s="40"/>
      <c r="M430" s="383" t="s">
        <v>62</v>
      </c>
      <c r="N430" s="359"/>
      <c r="O430" s="34"/>
      <c r="P430" s="35"/>
      <c r="Q430" s="36"/>
      <c r="R430" s="36"/>
      <c r="S430" s="36"/>
      <c r="T430" s="30" t="s">
        <v>29</v>
      </c>
      <c r="U430" s="358" t="e">
        <f>#REF!</f>
        <v>#REF!</v>
      </c>
      <c r="V430" s="358"/>
      <c r="W430" s="39" t="s">
        <v>34</v>
      </c>
      <c r="X430" s="40"/>
    </row>
    <row r="431" spans="1:24" ht="18.75" customHeight="1">
      <c r="A431" s="33" t="s">
        <v>63</v>
      </c>
      <c r="B431" s="30" t="s">
        <v>29</v>
      </c>
      <c r="C431" s="34"/>
      <c r="D431" s="35"/>
      <c r="E431" s="36" t="s">
        <v>64</v>
      </c>
      <c r="F431" s="36"/>
      <c r="G431" s="36"/>
      <c r="H431" s="30" t="s">
        <v>29</v>
      </c>
      <c r="I431" s="358" t="e">
        <f>L428</f>
        <v>#REF!</v>
      </c>
      <c r="J431" s="358"/>
      <c r="K431" s="39" t="s">
        <v>34</v>
      </c>
      <c r="L431" s="40"/>
      <c r="M431" s="33" t="s">
        <v>63</v>
      </c>
      <c r="N431" s="30" t="s">
        <v>29</v>
      </c>
      <c r="O431" s="34"/>
      <c r="P431" s="35"/>
      <c r="Q431" s="36" t="s">
        <v>64</v>
      </c>
      <c r="R431" s="36"/>
      <c r="S431" s="36"/>
      <c r="T431" s="30" t="s">
        <v>29</v>
      </c>
      <c r="U431" s="358" t="e">
        <f>X428</f>
        <v>#REF!</v>
      </c>
      <c r="V431" s="358"/>
      <c r="W431" s="39" t="s">
        <v>34</v>
      </c>
      <c r="X431" s="40"/>
    </row>
    <row r="432" spans="1:24" ht="18.75" customHeight="1">
      <c r="A432" s="362" t="s">
        <v>65</v>
      </c>
      <c r="B432" s="363"/>
      <c r="C432" s="363"/>
      <c r="D432" s="363"/>
      <c r="E432" s="363"/>
      <c r="F432" s="363"/>
      <c r="G432" s="30" t="s">
        <v>29</v>
      </c>
      <c r="H432" s="364" t="e">
        <f>I419+I420+I421+I422+I423+I426+I430+I431+I424+I425+I427+I428+I429+C430</f>
        <v>#REF!</v>
      </c>
      <c r="I432" s="365"/>
      <c r="J432" s="365"/>
      <c r="K432" s="39" t="s">
        <v>34</v>
      </c>
      <c r="M432" s="362" t="s">
        <v>65</v>
      </c>
      <c r="N432" s="363"/>
      <c r="O432" s="363"/>
      <c r="P432" s="363"/>
      <c r="Q432" s="363"/>
      <c r="R432" s="363"/>
      <c r="S432" s="30" t="s">
        <v>29</v>
      </c>
      <c r="T432" s="364" t="e">
        <f>U419+U420+U421+U422+U423+U426+U430+U431+U424+U425+U427+U428+U429+O430</f>
        <v>#REF!</v>
      </c>
      <c r="U432" s="365"/>
      <c r="V432" s="365"/>
      <c r="W432" s="39" t="s">
        <v>34</v>
      </c>
    </row>
    <row r="433" spans="1:24" ht="18.75" customHeight="1">
      <c r="A433" s="45"/>
      <c r="B433" s="46"/>
      <c r="C433" s="46"/>
      <c r="D433" s="46"/>
      <c r="E433" s="46"/>
      <c r="F433" s="46"/>
      <c r="G433" s="46"/>
      <c r="H433" s="46"/>
      <c r="I433" s="46"/>
      <c r="J433" s="46"/>
      <c r="K433" s="47"/>
      <c r="M433" s="45"/>
      <c r="N433" s="46"/>
      <c r="O433" s="46"/>
      <c r="P433" s="46"/>
      <c r="Q433" s="46"/>
      <c r="R433" s="46"/>
      <c r="S433" s="46"/>
      <c r="T433" s="46"/>
      <c r="U433" s="46"/>
      <c r="V433" s="46"/>
      <c r="W433" s="47"/>
    </row>
    <row r="434" spans="1:24" ht="18.75" customHeight="1">
      <c r="A434" s="374" t="s">
        <v>66</v>
      </c>
      <c r="B434" s="375"/>
      <c r="C434" s="375"/>
      <c r="D434" s="375"/>
      <c r="E434" s="375"/>
      <c r="F434" s="375"/>
      <c r="G434" s="30"/>
      <c r="H434" s="30"/>
      <c r="I434" s="30"/>
      <c r="J434" s="30"/>
      <c r="K434" s="39"/>
      <c r="M434" s="374" t="s">
        <v>66</v>
      </c>
      <c r="N434" s="375"/>
      <c r="O434" s="375"/>
      <c r="P434" s="375"/>
      <c r="Q434" s="375"/>
      <c r="R434" s="375"/>
      <c r="S434" s="30"/>
      <c r="T434" s="30"/>
      <c r="U434" s="30"/>
      <c r="V434" s="30"/>
      <c r="W434" s="39"/>
    </row>
    <row r="435" spans="1:24" ht="18.75" customHeight="1">
      <c r="A435" s="368" t="s">
        <v>67</v>
      </c>
      <c r="B435" s="369"/>
      <c r="C435" s="369"/>
      <c r="D435" s="369"/>
      <c r="E435" s="369"/>
      <c r="F435" s="369"/>
      <c r="G435" s="30" t="s">
        <v>29</v>
      </c>
      <c r="H435" s="376" t="e">
        <f>IF(($L$1-(C419+C420+C421+C422))&gt;12,0,F416*8%)</f>
        <v>#REF!</v>
      </c>
      <c r="I435" s="376"/>
      <c r="J435" s="376"/>
      <c r="K435" s="39" t="s">
        <v>34</v>
      </c>
      <c r="M435" s="368" t="s">
        <v>67</v>
      </c>
      <c r="N435" s="369"/>
      <c r="O435" s="369"/>
      <c r="P435" s="369"/>
      <c r="Q435" s="369"/>
      <c r="R435" s="369"/>
      <c r="S435" s="30" t="s">
        <v>29</v>
      </c>
      <c r="T435" s="376" t="e">
        <f>IF(($L$1-(O419+O420+O421+O422))&gt;12,0,R416*8%)</f>
        <v>#REF!</v>
      </c>
      <c r="U435" s="376"/>
      <c r="V435" s="376"/>
      <c r="W435" s="39" t="s">
        <v>34</v>
      </c>
    </row>
    <row r="436" spans="1:24" ht="18.75" customHeight="1">
      <c r="A436" s="368" t="s">
        <v>68</v>
      </c>
      <c r="B436" s="369"/>
      <c r="C436" s="369"/>
      <c r="D436" s="369"/>
      <c r="E436" s="369"/>
      <c r="F436" s="369"/>
      <c r="G436" s="30" t="s">
        <v>29</v>
      </c>
      <c r="H436" s="370" t="e">
        <f>IF(($L$1-(C419+C420+C421+C422))&gt;12,0,F416*1.5%)</f>
        <v>#REF!</v>
      </c>
      <c r="I436" s="370"/>
      <c r="J436" s="370"/>
      <c r="K436" s="39" t="s">
        <v>34</v>
      </c>
      <c r="M436" s="368" t="s">
        <v>68</v>
      </c>
      <c r="N436" s="369"/>
      <c r="O436" s="369"/>
      <c r="P436" s="369"/>
      <c r="Q436" s="369"/>
      <c r="R436" s="369"/>
      <c r="S436" s="30" t="s">
        <v>29</v>
      </c>
      <c r="T436" s="370" t="e">
        <f>IF(($L$1-(O419+O420+O421+O422))&gt;12,0,R416*1.5%)</f>
        <v>#REF!</v>
      </c>
      <c r="U436" s="370"/>
      <c r="V436" s="370"/>
      <c r="W436" s="39" t="s">
        <v>34</v>
      </c>
    </row>
    <row r="437" spans="1:24" ht="18.75" customHeight="1">
      <c r="A437" s="368" t="s">
        <v>69</v>
      </c>
      <c r="B437" s="369"/>
      <c r="C437" s="369"/>
      <c r="D437" s="369"/>
      <c r="E437" s="369"/>
      <c r="F437" s="369"/>
      <c r="G437" s="30" t="s">
        <v>29</v>
      </c>
      <c r="H437" s="370" t="e">
        <f>IF(($L$1-(C419+C420+C421+C422))&gt;12,0,F416*1%)</f>
        <v>#REF!</v>
      </c>
      <c r="I437" s="370"/>
      <c r="J437" s="370"/>
      <c r="K437" s="39" t="s">
        <v>34</v>
      </c>
      <c r="M437" s="368" t="s">
        <v>69</v>
      </c>
      <c r="N437" s="369"/>
      <c r="O437" s="369"/>
      <c r="P437" s="369"/>
      <c r="Q437" s="369"/>
      <c r="R437" s="369"/>
      <c r="S437" s="30" t="s">
        <v>29</v>
      </c>
      <c r="T437" s="370" t="e">
        <f>IF(($L$1-(O419+O420+O421+O422))&gt;12,0,R416*1%)</f>
        <v>#REF!</v>
      </c>
      <c r="U437" s="370"/>
      <c r="V437" s="370"/>
      <c r="W437" s="39" t="s">
        <v>34</v>
      </c>
    </row>
    <row r="438" spans="1:24" ht="18.75" customHeight="1">
      <c r="A438" s="368" t="s">
        <v>70</v>
      </c>
      <c r="B438" s="369"/>
      <c r="C438" s="369"/>
      <c r="D438" s="369"/>
      <c r="E438" s="369"/>
      <c r="F438" s="369"/>
      <c r="G438" s="30" t="s">
        <v>29</v>
      </c>
      <c r="H438" s="370">
        <v>0</v>
      </c>
      <c r="I438" s="370"/>
      <c r="J438" s="370"/>
      <c r="K438" s="39" t="s">
        <v>34</v>
      </c>
      <c r="M438" s="368" t="s">
        <v>70</v>
      </c>
      <c r="N438" s="369"/>
      <c r="O438" s="369"/>
      <c r="P438" s="369"/>
      <c r="Q438" s="369"/>
      <c r="R438" s="369"/>
      <c r="S438" s="30" t="s">
        <v>29</v>
      </c>
      <c r="T438" s="370">
        <v>0</v>
      </c>
      <c r="U438" s="370"/>
      <c r="V438" s="370"/>
      <c r="W438" s="39" t="s">
        <v>34</v>
      </c>
    </row>
    <row r="439" spans="1:24" ht="18.75" customHeight="1">
      <c r="A439" s="371" t="s">
        <v>71</v>
      </c>
      <c r="B439" s="372"/>
      <c r="C439" s="372"/>
      <c r="D439" s="372"/>
      <c r="E439" s="372"/>
      <c r="F439" s="372"/>
      <c r="G439" s="30" t="s">
        <v>29</v>
      </c>
      <c r="H439" s="373" t="e">
        <f>SUM(H435:J438)</f>
        <v>#REF!</v>
      </c>
      <c r="I439" s="373"/>
      <c r="J439" s="373"/>
      <c r="K439" s="39" t="s">
        <v>34</v>
      </c>
      <c r="M439" s="371" t="s">
        <v>71</v>
      </c>
      <c r="N439" s="372"/>
      <c r="O439" s="372"/>
      <c r="P439" s="372"/>
      <c r="Q439" s="372"/>
      <c r="R439" s="372"/>
      <c r="S439" s="30" t="s">
        <v>29</v>
      </c>
      <c r="T439" s="373" t="e">
        <f>SUM(T435:V438)</f>
        <v>#REF!</v>
      </c>
      <c r="U439" s="373"/>
      <c r="V439" s="373"/>
      <c r="W439" s="39" t="s">
        <v>34</v>
      </c>
    </row>
    <row r="440" spans="1:24" ht="18.75" customHeight="1">
      <c r="A440" s="368" t="s">
        <v>72</v>
      </c>
      <c r="B440" s="369"/>
      <c r="C440" s="369"/>
      <c r="D440" s="369"/>
      <c r="E440" s="369"/>
      <c r="F440" s="369"/>
      <c r="G440" s="30" t="s">
        <v>29</v>
      </c>
      <c r="H440" s="381" t="e">
        <f>ROUND(H432-H439,-2)</f>
        <v>#REF!</v>
      </c>
      <c r="I440" s="381"/>
      <c r="J440" s="381"/>
      <c r="K440" s="39" t="s">
        <v>34</v>
      </c>
      <c r="M440" s="368" t="s">
        <v>72</v>
      </c>
      <c r="N440" s="369"/>
      <c r="O440" s="369"/>
      <c r="P440" s="369"/>
      <c r="Q440" s="369"/>
      <c r="R440" s="369"/>
      <c r="S440" s="30" t="s">
        <v>29</v>
      </c>
      <c r="T440" s="381" t="e">
        <f>ROUND(T432-T439,-2)</f>
        <v>#REF!</v>
      </c>
      <c r="U440" s="381"/>
      <c r="V440" s="381"/>
      <c r="W440" s="39" t="s">
        <v>34</v>
      </c>
    </row>
    <row r="441" spans="1:24" ht="18.75" customHeight="1">
      <c r="A441" s="48"/>
      <c r="B441" s="49"/>
      <c r="C441" s="49"/>
      <c r="D441" s="49"/>
      <c r="E441" s="49"/>
      <c r="F441" s="49"/>
      <c r="G441" s="49"/>
      <c r="H441" s="49"/>
      <c r="I441" s="49"/>
      <c r="J441" s="49"/>
      <c r="K441" s="50"/>
      <c r="M441" s="48"/>
      <c r="N441" s="49"/>
      <c r="O441" s="49"/>
      <c r="P441" s="49"/>
      <c r="Q441" s="49"/>
      <c r="R441" s="49"/>
      <c r="S441" s="49"/>
      <c r="T441" s="49"/>
      <c r="U441" s="49"/>
      <c r="V441" s="49"/>
      <c r="W441" s="50"/>
    </row>
    <row r="442" spans="1:24" ht="18.75" customHeight="1">
      <c r="A442" s="51"/>
      <c r="B442" s="30"/>
      <c r="C442" s="30"/>
      <c r="D442" s="30"/>
      <c r="E442" s="30"/>
      <c r="F442" s="30"/>
      <c r="G442" s="30"/>
      <c r="H442" s="30"/>
      <c r="I442" s="378" t="s">
        <v>73</v>
      </c>
      <c r="J442" s="378"/>
      <c r="K442" s="382"/>
      <c r="M442" s="51"/>
      <c r="N442" s="30"/>
      <c r="O442" s="30"/>
      <c r="P442" s="30"/>
      <c r="Q442" s="30"/>
      <c r="R442" s="30"/>
      <c r="S442" s="30"/>
      <c r="T442" s="30"/>
      <c r="U442" s="378" t="s">
        <v>73</v>
      </c>
      <c r="V442" s="378"/>
      <c r="W442" s="382"/>
    </row>
    <row r="443" spans="1:24" ht="18.75" customHeight="1">
      <c r="A443" s="51"/>
      <c r="B443" s="377"/>
      <c r="C443" s="378"/>
      <c r="D443" s="378"/>
      <c r="E443" s="378"/>
      <c r="F443" s="30"/>
      <c r="G443" s="30"/>
      <c r="H443" s="30"/>
      <c r="I443" s="30"/>
      <c r="J443" s="30"/>
      <c r="K443" s="32"/>
      <c r="M443" s="51"/>
      <c r="N443" s="377"/>
      <c r="O443" s="378"/>
      <c r="P443" s="378"/>
      <c r="Q443" s="378"/>
      <c r="R443" s="30"/>
      <c r="S443" s="30"/>
      <c r="T443" s="30"/>
      <c r="U443" s="30"/>
      <c r="V443" s="30"/>
      <c r="W443" s="32"/>
    </row>
    <row r="444" spans="1:24" ht="18.75" customHeight="1" thickBot="1">
      <c r="A444" s="53"/>
      <c r="B444" s="54"/>
      <c r="C444" s="54"/>
      <c r="D444" s="54"/>
      <c r="E444" s="54"/>
      <c r="F444" s="54"/>
      <c r="G444" s="54"/>
      <c r="H444" s="54"/>
      <c r="I444" s="379" t="s">
        <v>74</v>
      </c>
      <c r="J444" s="379"/>
      <c r="K444" s="380"/>
      <c r="M444" s="53"/>
      <c r="N444" s="54"/>
      <c r="O444" s="54"/>
      <c r="P444" s="54"/>
      <c r="Q444" s="54"/>
      <c r="R444" s="54"/>
      <c r="S444" s="54"/>
      <c r="T444" s="54"/>
      <c r="U444" s="379" t="s">
        <v>74</v>
      </c>
      <c r="V444" s="379"/>
      <c r="W444" s="380"/>
    </row>
    <row r="445" spans="1:24" ht="18.75" customHeight="1" thickTop="1" thickBot="1"/>
    <row r="446" spans="1:24" ht="18.75" customHeight="1" thickTop="1">
      <c r="A446" s="351" t="s">
        <v>160</v>
      </c>
      <c r="B446" s="352"/>
      <c r="C446" s="352"/>
      <c r="D446" s="352"/>
      <c r="E446" s="352"/>
      <c r="F446" s="352"/>
      <c r="G446" s="352"/>
      <c r="H446" s="352"/>
      <c r="I446" s="352"/>
      <c r="J446" s="352"/>
      <c r="K446" s="353"/>
      <c r="L446" s="26">
        <v>26</v>
      </c>
      <c r="M446" s="351" t="s">
        <v>160</v>
      </c>
      <c r="N446" s="352"/>
      <c r="O446" s="352"/>
      <c r="P446" s="352"/>
      <c r="Q446" s="352"/>
      <c r="R446" s="352"/>
      <c r="S446" s="352"/>
      <c r="T446" s="352"/>
      <c r="U446" s="352"/>
      <c r="V446" s="352"/>
      <c r="W446" s="353"/>
      <c r="X446" s="26">
        <v>26</v>
      </c>
    </row>
    <row r="447" spans="1:24" ht="18.75" customHeight="1">
      <c r="A447" s="27" t="s">
        <v>99</v>
      </c>
      <c r="B447" s="28"/>
      <c r="C447" s="28"/>
      <c r="D447" s="28"/>
      <c r="E447" s="28"/>
      <c r="F447" s="28"/>
      <c r="G447" s="28"/>
      <c r="H447" s="28"/>
      <c r="I447" s="28"/>
      <c r="J447" s="28"/>
      <c r="K447" s="29"/>
      <c r="M447" s="27" t="s">
        <v>100</v>
      </c>
      <c r="N447" s="28"/>
      <c r="O447" s="28"/>
      <c r="P447" s="28"/>
      <c r="Q447" s="28"/>
      <c r="R447" s="28"/>
      <c r="S447" s="28"/>
      <c r="T447" s="28"/>
      <c r="U447" s="28"/>
      <c r="V447" s="28"/>
      <c r="W447" s="29"/>
    </row>
    <row r="448" spans="1:24" ht="18.75" customHeight="1">
      <c r="A448" s="354" t="s">
        <v>27</v>
      </c>
      <c r="B448" s="355"/>
      <c r="C448" s="355"/>
      <c r="D448" s="355"/>
      <c r="E448" s="355"/>
      <c r="F448" s="355"/>
      <c r="G448" s="355"/>
      <c r="H448" s="355"/>
      <c r="I448" s="355"/>
      <c r="J448" s="355"/>
      <c r="K448" s="356"/>
      <c r="M448" s="354" t="s">
        <v>27</v>
      </c>
      <c r="N448" s="355"/>
      <c r="O448" s="355"/>
      <c r="P448" s="355"/>
      <c r="Q448" s="355"/>
      <c r="R448" s="355"/>
      <c r="S448" s="355"/>
      <c r="T448" s="355"/>
      <c r="U448" s="355"/>
      <c r="V448" s="355"/>
      <c r="W448" s="356"/>
    </row>
    <row r="449" spans="1:24" ht="18.75" customHeight="1">
      <c r="A449" s="347" t="s">
        <v>28</v>
      </c>
      <c r="B449" s="31"/>
      <c r="C449" s="31"/>
      <c r="D449" s="31"/>
      <c r="E449" s="30" t="s">
        <v>29</v>
      </c>
      <c r="F449" s="348">
        <f>'Bang TH nop'!B57</f>
        <v>0</v>
      </c>
      <c r="G449" s="31"/>
      <c r="H449" s="31"/>
      <c r="I449" s="31"/>
      <c r="J449" s="31"/>
      <c r="K449" s="350"/>
      <c r="M449" s="347" t="s">
        <v>28</v>
      </c>
      <c r="N449" s="31"/>
      <c r="O449" s="31"/>
      <c r="P449" s="31"/>
      <c r="Q449" s="30" t="s">
        <v>29</v>
      </c>
      <c r="R449" s="348">
        <f>'Bang TH nop'!B59</f>
        <v>0</v>
      </c>
      <c r="S449" s="31"/>
      <c r="T449" s="31"/>
      <c r="U449" s="31"/>
      <c r="V449" s="31"/>
      <c r="W449" s="350"/>
    </row>
    <row r="450" spans="1:24" ht="18.75" customHeight="1">
      <c r="A450" s="347" t="s">
        <v>30</v>
      </c>
      <c r="B450" s="31"/>
      <c r="C450" s="31"/>
      <c r="D450" s="31"/>
      <c r="E450" s="30" t="s">
        <v>29</v>
      </c>
      <c r="F450" s="348">
        <f>'Bang TH nop'!C57</f>
        <v>0</v>
      </c>
      <c r="G450" s="348"/>
      <c r="H450" s="348"/>
      <c r="I450" s="348"/>
      <c r="J450" s="348"/>
      <c r="K450" s="349"/>
      <c r="M450" s="347" t="s">
        <v>30</v>
      </c>
      <c r="N450" s="31"/>
      <c r="O450" s="31"/>
      <c r="P450" s="31"/>
      <c r="Q450" s="30" t="s">
        <v>29</v>
      </c>
      <c r="R450" s="348">
        <f>'Bang TH nop'!C59</f>
        <v>0</v>
      </c>
      <c r="S450" s="348"/>
      <c r="T450" s="348"/>
      <c r="U450" s="348"/>
      <c r="V450" s="348"/>
      <c r="W450" s="349"/>
    </row>
    <row r="451" spans="1:24" ht="18.75" customHeight="1">
      <c r="A451" s="347" t="s">
        <v>31</v>
      </c>
      <c r="B451" s="31"/>
      <c r="C451" s="31"/>
      <c r="D451" s="31"/>
      <c r="E451" s="30" t="s">
        <v>29</v>
      </c>
      <c r="F451" s="31" t="str">
        <f>+$L$2</f>
        <v xml:space="preserve">Tổ  </v>
      </c>
      <c r="G451" s="31"/>
      <c r="H451" s="31"/>
      <c r="I451" s="31"/>
      <c r="J451" s="31"/>
      <c r="K451" s="350"/>
      <c r="M451" s="347" t="s">
        <v>31</v>
      </c>
      <c r="N451" s="31"/>
      <c r="O451" s="31"/>
      <c r="P451" s="31"/>
      <c r="Q451" s="30" t="s">
        <v>29</v>
      </c>
      <c r="R451" s="31" t="str">
        <f>+$L$2</f>
        <v xml:space="preserve">Tổ  </v>
      </c>
      <c r="S451" s="31"/>
      <c r="T451" s="31"/>
      <c r="U451" s="31"/>
      <c r="V451" s="31"/>
      <c r="W451" s="350"/>
    </row>
    <row r="452" spans="1:24" ht="18.75" customHeight="1">
      <c r="A452" s="354" t="s">
        <v>32</v>
      </c>
      <c r="B452" s="355"/>
      <c r="C452" s="355"/>
      <c r="D452" s="355"/>
      <c r="E452" s="355"/>
      <c r="F452" s="355"/>
      <c r="G452" s="355"/>
      <c r="H452" s="355"/>
      <c r="I452" s="355"/>
      <c r="J452" s="355"/>
      <c r="K452" s="356"/>
      <c r="M452" s="354" t="s">
        <v>32</v>
      </c>
      <c r="N452" s="355"/>
      <c r="O452" s="355"/>
      <c r="P452" s="355"/>
      <c r="Q452" s="355"/>
      <c r="R452" s="355"/>
      <c r="S452" s="355"/>
      <c r="T452" s="355"/>
      <c r="U452" s="355"/>
      <c r="V452" s="355"/>
      <c r="W452" s="356"/>
    </row>
    <row r="453" spans="1:24" ht="18.75" customHeight="1">
      <c r="A453" s="347" t="s">
        <v>33</v>
      </c>
      <c r="B453" s="31"/>
      <c r="C453" s="31"/>
      <c r="D453" s="31"/>
      <c r="E453" s="30" t="s">
        <v>29</v>
      </c>
      <c r="F453" s="361">
        <f>VLOOKUP(F450,'Bang TH nop'!$C$9:$AP$266,29,0)</f>
        <v>0</v>
      </c>
      <c r="G453" s="361"/>
      <c r="H453" s="361"/>
      <c r="I453" s="361"/>
      <c r="J453" s="30" t="s">
        <v>34</v>
      </c>
      <c r="K453" s="32"/>
      <c r="M453" s="347" t="s">
        <v>33</v>
      </c>
      <c r="N453" s="31"/>
      <c r="O453" s="31"/>
      <c r="P453" s="31"/>
      <c r="Q453" s="30" t="s">
        <v>29</v>
      </c>
      <c r="R453" s="361">
        <f>VLOOKUP(R450,'Bang TH nop'!$C$9:$AP$266,29,0)</f>
        <v>0</v>
      </c>
      <c r="S453" s="361"/>
      <c r="T453" s="361"/>
      <c r="U453" s="361"/>
      <c r="V453" s="30" t="s">
        <v>34</v>
      </c>
      <c r="W453" s="32"/>
    </row>
    <row r="454" spans="1:24" ht="18.75" customHeight="1">
      <c r="A454" s="33" t="s">
        <v>35</v>
      </c>
      <c r="B454" s="30"/>
      <c r="C454" s="34"/>
      <c r="D454" s="35"/>
      <c r="E454" s="36"/>
      <c r="F454" s="36"/>
      <c r="G454" s="36"/>
      <c r="H454" s="30"/>
      <c r="I454" s="37" t="e">
        <f>#REF!</f>
        <v>#REF!</v>
      </c>
      <c r="J454" s="38"/>
      <c r="K454" s="39"/>
      <c r="M454" s="33" t="s">
        <v>35</v>
      </c>
      <c r="N454" s="30"/>
      <c r="O454" s="34"/>
      <c r="P454" s="35"/>
      <c r="Q454" s="36"/>
      <c r="R454" s="36"/>
      <c r="S454" s="36"/>
      <c r="T454" s="30"/>
      <c r="U454" s="37" t="e">
        <f>#REF!</f>
        <v>#REF!</v>
      </c>
      <c r="V454" s="38"/>
      <c r="W454" s="39"/>
    </row>
    <row r="455" spans="1:24" ht="18.75" customHeight="1">
      <c r="A455" s="33" t="s">
        <v>36</v>
      </c>
      <c r="B455" s="30"/>
      <c r="C455" s="34"/>
      <c r="D455" s="35"/>
      <c r="E455" s="36"/>
      <c r="F455" s="36"/>
      <c r="G455" s="36"/>
      <c r="H455" s="30"/>
      <c r="I455" s="37" t="e">
        <f>I456/C456/8</f>
        <v>#REF!</v>
      </c>
      <c r="J455" s="38"/>
      <c r="K455" s="39"/>
      <c r="M455" s="33" t="s">
        <v>36</v>
      </c>
      <c r="N455" s="30"/>
      <c r="O455" s="34"/>
      <c r="P455" s="35"/>
      <c r="Q455" s="36"/>
      <c r="R455" s="36"/>
      <c r="S455" s="36"/>
      <c r="T455" s="30"/>
      <c r="U455" s="37" t="e">
        <f>U456/O456/8</f>
        <v>#REF!</v>
      </c>
      <c r="V455" s="38"/>
      <c r="W455" s="39"/>
    </row>
    <row r="456" spans="1:24" ht="18.75" customHeight="1">
      <c r="A456" s="33" t="s">
        <v>37</v>
      </c>
      <c r="B456" s="30" t="s">
        <v>29</v>
      </c>
      <c r="C456" s="34" t="e">
        <f>#REF!</f>
        <v>#REF!</v>
      </c>
      <c r="D456" s="35" t="s">
        <v>38</v>
      </c>
      <c r="E456" s="359" t="s">
        <v>39</v>
      </c>
      <c r="F456" s="359"/>
      <c r="G456" s="359"/>
      <c r="H456" s="30" t="s">
        <v>29</v>
      </c>
      <c r="I456" s="360" t="e">
        <f>#REF!</f>
        <v>#REF!</v>
      </c>
      <c r="J456" s="360"/>
      <c r="K456" s="39" t="s">
        <v>34</v>
      </c>
      <c r="L456" s="40" t="e">
        <f>F453/L446*C456</f>
        <v>#REF!</v>
      </c>
      <c r="M456" s="33" t="s">
        <v>37</v>
      </c>
      <c r="N456" s="30" t="s">
        <v>29</v>
      </c>
      <c r="O456" s="34" t="e">
        <f>#REF!</f>
        <v>#REF!</v>
      </c>
      <c r="P456" s="35" t="s">
        <v>38</v>
      </c>
      <c r="Q456" s="359" t="s">
        <v>39</v>
      </c>
      <c r="R456" s="359"/>
      <c r="S456" s="359"/>
      <c r="T456" s="30" t="s">
        <v>29</v>
      </c>
      <c r="U456" s="360" t="e">
        <f>#REF!</f>
        <v>#REF!</v>
      </c>
      <c r="V456" s="360"/>
      <c r="W456" s="39" t="s">
        <v>34</v>
      </c>
      <c r="X456" s="40" t="e">
        <f>R453/X446*O456</f>
        <v>#REF!</v>
      </c>
    </row>
    <row r="457" spans="1:24" ht="18.75" customHeight="1">
      <c r="A457" s="33" t="s">
        <v>40</v>
      </c>
      <c r="B457" s="30" t="s">
        <v>29</v>
      </c>
      <c r="C457" s="34" t="e">
        <f>#REF!</f>
        <v>#REF!</v>
      </c>
      <c r="D457" s="35" t="s">
        <v>38</v>
      </c>
      <c r="E457" s="31" t="s">
        <v>41</v>
      </c>
      <c r="F457" s="31"/>
      <c r="G457" s="31"/>
      <c r="H457" s="30" t="s">
        <v>29</v>
      </c>
      <c r="I457" s="358" t="e">
        <f>$F$8/$L$1*C457</f>
        <v>#REF!</v>
      </c>
      <c r="J457" s="358"/>
      <c r="K457" s="39" t="s">
        <v>34</v>
      </c>
      <c r="L457" s="40"/>
      <c r="M457" s="33" t="s">
        <v>40</v>
      </c>
      <c r="N457" s="30" t="s">
        <v>29</v>
      </c>
      <c r="O457" s="34" t="e">
        <f>#REF!</f>
        <v>#REF!</v>
      </c>
      <c r="P457" s="35" t="s">
        <v>38</v>
      </c>
      <c r="Q457" s="31" t="s">
        <v>41</v>
      </c>
      <c r="R457" s="31"/>
      <c r="S457" s="31"/>
      <c r="T457" s="30" t="s">
        <v>29</v>
      </c>
      <c r="U457" s="358" t="e">
        <f>$F$8/$L$1*O457</f>
        <v>#REF!</v>
      </c>
      <c r="V457" s="358"/>
      <c r="W457" s="39" t="s">
        <v>34</v>
      </c>
      <c r="X457" s="40"/>
    </row>
    <row r="458" spans="1:24" ht="18.75" customHeight="1">
      <c r="A458" s="33" t="s">
        <v>42</v>
      </c>
      <c r="B458" s="30" t="s">
        <v>29</v>
      </c>
      <c r="C458" s="34" t="e">
        <f>#REF!</f>
        <v>#REF!</v>
      </c>
      <c r="D458" s="35" t="s">
        <v>38</v>
      </c>
      <c r="E458" s="357" t="s">
        <v>43</v>
      </c>
      <c r="F458" s="357"/>
      <c r="G458" s="357"/>
      <c r="H458" s="30" t="s">
        <v>29</v>
      </c>
      <c r="I458" s="358" t="e">
        <f>$F$8/$L$1*C458</f>
        <v>#REF!</v>
      </c>
      <c r="J458" s="358"/>
      <c r="K458" s="39" t="s">
        <v>34</v>
      </c>
      <c r="L458" s="40"/>
      <c r="M458" s="33" t="s">
        <v>42</v>
      </c>
      <c r="N458" s="30" t="s">
        <v>29</v>
      </c>
      <c r="O458" s="34" t="e">
        <f>#REF!</f>
        <v>#REF!</v>
      </c>
      <c r="P458" s="35" t="s">
        <v>38</v>
      </c>
      <c r="Q458" s="357" t="s">
        <v>43</v>
      </c>
      <c r="R458" s="357"/>
      <c r="S458" s="357"/>
      <c r="T458" s="30" t="s">
        <v>29</v>
      </c>
      <c r="U458" s="358" t="e">
        <f>$F$8/$L$1*O458</f>
        <v>#REF!</v>
      </c>
      <c r="V458" s="358"/>
      <c r="W458" s="39" t="s">
        <v>34</v>
      </c>
      <c r="X458" s="40"/>
    </row>
    <row r="459" spans="1:24" ht="18.75" customHeight="1">
      <c r="A459" s="33" t="s">
        <v>44</v>
      </c>
      <c r="B459" s="30" t="s">
        <v>29</v>
      </c>
      <c r="C459" s="34" t="e">
        <f>#REF!</f>
        <v>#REF!</v>
      </c>
      <c r="D459" s="35" t="s">
        <v>38</v>
      </c>
      <c r="E459" s="357" t="s">
        <v>45</v>
      </c>
      <c r="F459" s="357"/>
      <c r="G459" s="357"/>
      <c r="H459" s="30" t="s">
        <v>29</v>
      </c>
      <c r="I459" s="358" t="e">
        <f>$F$8/$L$1*C459</f>
        <v>#REF!</v>
      </c>
      <c r="J459" s="358"/>
      <c r="K459" s="39" t="s">
        <v>34</v>
      </c>
      <c r="L459" s="40"/>
      <c r="M459" s="33" t="s">
        <v>44</v>
      </c>
      <c r="N459" s="30" t="s">
        <v>29</v>
      </c>
      <c r="O459" s="34" t="e">
        <f>#REF!</f>
        <v>#REF!</v>
      </c>
      <c r="P459" s="35" t="s">
        <v>38</v>
      </c>
      <c r="Q459" s="357" t="s">
        <v>45</v>
      </c>
      <c r="R459" s="357"/>
      <c r="S459" s="357"/>
      <c r="T459" s="30" t="s">
        <v>29</v>
      </c>
      <c r="U459" s="358" t="e">
        <f>$F$8/$L$1*O459</f>
        <v>#REF!</v>
      </c>
      <c r="V459" s="358"/>
      <c r="W459" s="39" t="s">
        <v>34</v>
      </c>
      <c r="X459" s="40"/>
    </row>
    <row r="460" spans="1:24" ht="18.75" customHeight="1">
      <c r="A460" s="33" t="s">
        <v>46</v>
      </c>
      <c r="B460" s="30" t="s">
        <v>29</v>
      </c>
      <c r="C460" s="34" t="e">
        <f>#REF!</f>
        <v>#REF!</v>
      </c>
      <c r="D460" s="35" t="s">
        <v>47</v>
      </c>
      <c r="E460" s="31" t="s">
        <v>48</v>
      </c>
      <c r="F460" s="31"/>
      <c r="G460" s="31"/>
      <c r="H460" s="30" t="s">
        <v>29</v>
      </c>
      <c r="I460" s="358" t="e">
        <f>#REF!</f>
        <v>#REF!</v>
      </c>
      <c r="J460" s="358"/>
      <c r="K460" s="39" t="s">
        <v>34</v>
      </c>
      <c r="L460" s="40" t="e">
        <f>F453*C460/L446/8*1.5</f>
        <v>#REF!</v>
      </c>
      <c r="M460" s="33" t="s">
        <v>46</v>
      </c>
      <c r="N460" s="30" t="s">
        <v>29</v>
      </c>
      <c r="O460" s="34" t="e">
        <f>#REF!</f>
        <v>#REF!</v>
      </c>
      <c r="P460" s="35" t="s">
        <v>47</v>
      </c>
      <c r="Q460" s="31" t="s">
        <v>48</v>
      </c>
      <c r="R460" s="31"/>
      <c r="S460" s="31"/>
      <c r="T460" s="30" t="s">
        <v>29</v>
      </c>
      <c r="U460" s="358" t="e">
        <f>#REF!</f>
        <v>#REF!</v>
      </c>
      <c r="V460" s="358"/>
      <c r="W460" s="39" t="s">
        <v>34</v>
      </c>
      <c r="X460" s="40" t="e">
        <f>R453*O460/X446/8*1.5</f>
        <v>#REF!</v>
      </c>
    </row>
    <row r="461" spans="1:24" ht="18.75" customHeight="1">
      <c r="A461" s="347" t="s">
        <v>49</v>
      </c>
      <c r="B461" s="31"/>
      <c r="C461" s="34"/>
      <c r="D461" s="35" t="s">
        <v>38</v>
      </c>
      <c r="E461" s="31" t="s">
        <v>50</v>
      </c>
      <c r="F461" s="31"/>
      <c r="G461" s="31"/>
      <c r="H461" s="41" t="s">
        <v>29</v>
      </c>
      <c r="I461" s="358"/>
      <c r="J461" s="358"/>
      <c r="K461" s="39" t="s">
        <v>34</v>
      </c>
      <c r="L461" s="40"/>
      <c r="M461" s="347" t="s">
        <v>49</v>
      </c>
      <c r="N461" s="31"/>
      <c r="O461" s="34"/>
      <c r="P461" s="35" t="s">
        <v>38</v>
      </c>
      <c r="Q461" s="31" t="s">
        <v>50</v>
      </c>
      <c r="R461" s="31"/>
      <c r="S461" s="31"/>
      <c r="T461" s="41" t="s">
        <v>29</v>
      </c>
      <c r="U461" s="358"/>
      <c r="V461" s="358"/>
      <c r="W461" s="39" t="s">
        <v>34</v>
      </c>
      <c r="X461" s="40"/>
    </row>
    <row r="462" spans="1:24" ht="18.75" customHeight="1">
      <c r="A462" s="33" t="s">
        <v>51</v>
      </c>
      <c r="B462" s="30" t="s">
        <v>29</v>
      </c>
      <c r="C462" s="34"/>
      <c r="D462" s="35" t="s">
        <v>38</v>
      </c>
      <c r="E462" s="31" t="s">
        <v>52</v>
      </c>
      <c r="F462" s="31"/>
      <c r="G462" s="31"/>
      <c r="H462" s="30" t="s">
        <v>29</v>
      </c>
      <c r="I462" s="358"/>
      <c r="J462" s="358"/>
      <c r="K462" s="39" t="s">
        <v>34</v>
      </c>
      <c r="L462" s="40"/>
      <c r="M462" s="33" t="s">
        <v>51</v>
      </c>
      <c r="N462" s="30" t="s">
        <v>29</v>
      </c>
      <c r="O462" s="34"/>
      <c r="P462" s="35" t="s">
        <v>38</v>
      </c>
      <c r="Q462" s="31" t="s">
        <v>52</v>
      </c>
      <c r="R462" s="31"/>
      <c r="S462" s="31"/>
      <c r="T462" s="30" t="s">
        <v>29</v>
      </c>
      <c r="U462" s="358"/>
      <c r="V462" s="358"/>
      <c r="W462" s="39" t="s">
        <v>34</v>
      </c>
      <c r="X462" s="40"/>
    </row>
    <row r="463" spans="1:24" ht="18.75" customHeight="1">
      <c r="A463" s="42" t="s">
        <v>53</v>
      </c>
      <c r="B463" s="30"/>
      <c r="C463" s="34" t="e">
        <f>#REF!</f>
        <v>#REF!</v>
      </c>
      <c r="D463" s="35" t="s">
        <v>47</v>
      </c>
      <c r="E463" s="31" t="s">
        <v>54</v>
      </c>
      <c r="F463" s="31"/>
      <c r="G463" s="31"/>
      <c r="H463" s="30" t="s">
        <v>29</v>
      </c>
      <c r="I463" s="358" t="e">
        <f>$F$8*C463/8/$L$1</f>
        <v>#REF!</v>
      </c>
      <c r="J463" s="358"/>
      <c r="K463" s="39" t="s">
        <v>34</v>
      </c>
      <c r="L463" s="40"/>
      <c r="M463" s="42" t="s">
        <v>53</v>
      </c>
      <c r="N463" s="30"/>
      <c r="O463" s="34" t="e">
        <f>#REF!</f>
        <v>#REF!</v>
      </c>
      <c r="P463" s="35" t="s">
        <v>47</v>
      </c>
      <c r="Q463" s="31" t="s">
        <v>54</v>
      </c>
      <c r="R463" s="31"/>
      <c r="S463" s="31"/>
      <c r="T463" s="30" t="s">
        <v>29</v>
      </c>
      <c r="U463" s="358" t="e">
        <f>$F$8*O463/8/$L$1</f>
        <v>#REF!</v>
      </c>
      <c r="V463" s="358"/>
      <c r="W463" s="39" t="s">
        <v>34</v>
      </c>
      <c r="X463" s="40"/>
    </row>
    <row r="464" spans="1:24" ht="18.75" customHeight="1">
      <c r="A464" s="33" t="s">
        <v>155</v>
      </c>
      <c r="B464" s="30" t="s">
        <v>29</v>
      </c>
      <c r="C464" s="34"/>
      <c r="D464" s="35" t="s">
        <v>47</v>
      </c>
      <c r="E464" s="31" t="s">
        <v>61</v>
      </c>
      <c r="F464" s="31"/>
      <c r="G464" s="31"/>
      <c r="H464" s="30" t="s">
        <v>29</v>
      </c>
      <c r="I464" s="360"/>
      <c r="J464" s="360"/>
      <c r="K464" s="39" t="s">
        <v>34</v>
      </c>
      <c r="L464" s="40"/>
      <c r="M464" s="33" t="s">
        <v>155</v>
      </c>
      <c r="N464" s="30" t="s">
        <v>29</v>
      </c>
      <c r="O464" s="34"/>
      <c r="P464" s="35" t="s">
        <v>47</v>
      </c>
      <c r="Q464" s="31" t="s">
        <v>61</v>
      </c>
      <c r="R464" s="31"/>
      <c r="S464" s="31"/>
      <c r="T464" s="30" t="s">
        <v>29</v>
      </c>
      <c r="U464" s="360"/>
      <c r="V464" s="360"/>
      <c r="W464" s="39" t="s">
        <v>34</v>
      </c>
      <c r="X464" s="40"/>
    </row>
    <row r="465" spans="1:24" ht="18.75" customHeight="1">
      <c r="A465" s="33" t="s">
        <v>57</v>
      </c>
      <c r="B465" s="30" t="s">
        <v>29</v>
      </c>
      <c r="C465" s="34"/>
      <c r="D465" s="35" t="s">
        <v>58</v>
      </c>
      <c r="E465" s="31" t="s">
        <v>59</v>
      </c>
      <c r="F465" s="31"/>
      <c r="G465" s="31"/>
      <c r="H465" s="30" t="s">
        <v>29</v>
      </c>
      <c r="I465" s="358"/>
      <c r="J465" s="358"/>
      <c r="K465" s="39" t="s">
        <v>34</v>
      </c>
      <c r="L465" s="40" t="e">
        <f>+IF(L456-I456&lt;0,0,L456-I456)+IF(L460-I460&lt;0,0,L460-I460)</f>
        <v>#REF!</v>
      </c>
      <c r="M465" s="33" t="s">
        <v>57</v>
      </c>
      <c r="N465" s="30" t="s">
        <v>29</v>
      </c>
      <c r="O465" s="34"/>
      <c r="P465" s="35" t="s">
        <v>58</v>
      </c>
      <c r="Q465" s="31" t="s">
        <v>59</v>
      </c>
      <c r="R465" s="31"/>
      <c r="S465" s="31"/>
      <c r="T465" s="30" t="s">
        <v>29</v>
      </c>
      <c r="U465" s="358"/>
      <c r="V465" s="358"/>
      <c r="W465" s="39" t="s">
        <v>34</v>
      </c>
      <c r="X465" s="40" t="e">
        <f>+IF(X456-U456&lt;0,0,X456-U456)+IF(X460-U460&lt;0,0,X460-U460)</f>
        <v>#REF!</v>
      </c>
    </row>
    <row r="466" spans="1:24" ht="18.75" customHeight="1">
      <c r="A466" s="43" t="s">
        <v>152</v>
      </c>
      <c r="B466" s="44"/>
      <c r="C466" s="34"/>
      <c r="D466" s="35" t="s">
        <v>38</v>
      </c>
      <c r="E466" s="31" t="s">
        <v>153</v>
      </c>
      <c r="F466" s="31"/>
      <c r="G466" s="31"/>
      <c r="H466" s="30" t="s">
        <v>29</v>
      </c>
      <c r="I466" s="358"/>
      <c r="J466" s="358"/>
      <c r="K466" s="39" t="s">
        <v>34</v>
      </c>
      <c r="L466" s="40"/>
      <c r="M466" s="43" t="s">
        <v>152</v>
      </c>
      <c r="N466" s="44"/>
      <c r="O466" s="34"/>
      <c r="P466" s="35" t="s">
        <v>38</v>
      </c>
      <c r="Q466" s="31" t="s">
        <v>153</v>
      </c>
      <c r="R466" s="31"/>
      <c r="S466" s="31"/>
      <c r="T466" s="30" t="s">
        <v>29</v>
      </c>
      <c r="U466" s="358"/>
      <c r="V466" s="358"/>
      <c r="W466" s="39" t="s">
        <v>34</v>
      </c>
      <c r="X466" s="40"/>
    </row>
    <row r="467" spans="1:24" ht="18.75" customHeight="1">
      <c r="A467" s="366" t="s">
        <v>154</v>
      </c>
      <c r="B467" s="367"/>
      <c r="C467" s="34"/>
      <c r="D467" s="35"/>
      <c r="E467" s="36"/>
      <c r="F467" s="36"/>
      <c r="G467" s="36"/>
      <c r="H467" s="30" t="s">
        <v>29</v>
      </c>
      <c r="I467" s="358" t="e">
        <f>#REF!</f>
        <v>#REF!</v>
      </c>
      <c r="J467" s="358"/>
      <c r="K467" s="39" t="s">
        <v>34</v>
      </c>
      <c r="L467" s="40"/>
      <c r="M467" s="366" t="s">
        <v>154</v>
      </c>
      <c r="N467" s="367"/>
      <c r="O467" s="34"/>
      <c r="P467" s="35"/>
      <c r="Q467" s="36"/>
      <c r="R467" s="36"/>
      <c r="S467" s="36"/>
      <c r="T467" s="30" t="s">
        <v>29</v>
      </c>
      <c r="U467" s="358" t="e">
        <f>#REF!</f>
        <v>#REF!</v>
      </c>
      <c r="V467" s="358"/>
      <c r="W467" s="39" t="s">
        <v>34</v>
      </c>
      <c r="X467" s="40"/>
    </row>
    <row r="468" spans="1:24" ht="18.75" customHeight="1">
      <c r="A468" s="33" t="s">
        <v>63</v>
      </c>
      <c r="B468" s="30" t="s">
        <v>29</v>
      </c>
      <c r="C468" s="34"/>
      <c r="D468" s="35"/>
      <c r="E468" s="36" t="s">
        <v>64</v>
      </c>
      <c r="F468" s="36"/>
      <c r="G468" s="36"/>
      <c r="H468" s="30" t="s">
        <v>29</v>
      </c>
      <c r="I468" s="358" t="e">
        <f>L465</f>
        <v>#REF!</v>
      </c>
      <c r="J468" s="358"/>
      <c r="K468" s="39" t="s">
        <v>34</v>
      </c>
      <c r="L468" s="40"/>
      <c r="M468" s="33" t="s">
        <v>63</v>
      </c>
      <c r="N468" s="30" t="s">
        <v>29</v>
      </c>
      <c r="O468" s="34"/>
      <c r="P468" s="35"/>
      <c r="Q468" s="36" t="s">
        <v>64</v>
      </c>
      <c r="R468" s="36"/>
      <c r="S468" s="36"/>
      <c r="T468" s="30" t="s">
        <v>29</v>
      </c>
      <c r="U468" s="358" t="e">
        <f>X465</f>
        <v>#REF!</v>
      </c>
      <c r="V468" s="358"/>
      <c r="W468" s="39" t="s">
        <v>34</v>
      </c>
      <c r="X468" s="40"/>
    </row>
    <row r="469" spans="1:24" ht="18.75" customHeight="1">
      <c r="A469" s="362" t="s">
        <v>65</v>
      </c>
      <c r="B469" s="363"/>
      <c r="C469" s="363"/>
      <c r="D469" s="363"/>
      <c r="E469" s="363"/>
      <c r="F469" s="363"/>
      <c r="G469" s="30" t="s">
        <v>29</v>
      </c>
      <c r="H469" s="364" t="e">
        <f>I456+I457+I458+I459+I460+I463+I467+I468+I461+I462+I464+I465+I466+C467</f>
        <v>#REF!</v>
      </c>
      <c r="I469" s="365"/>
      <c r="J469" s="365"/>
      <c r="K469" s="39" t="s">
        <v>34</v>
      </c>
      <c r="M469" s="362" t="s">
        <v>65</v>
      </c>
      <c r="N469" s="363"/>
      <c r="O469" s="363"/>
      <c r="P469" s="363"/>
      <c r="Q469" s="363"/>
      <c r="R469" s="363"/>
      <c r="S469" s="30" t="s">
        <v>29</v>
      </c>
      <c r="T469" s="364" t="e">
        <f>U456+U457+U458+U459+U460+U463+U467+U468+U461+U462+U464+U465+U466+O467</f>
        <v>#REF!</v>
      </c>
      <c r="U469" s="365"/>
      <c r="V469" s="365"/>
      <c r="W469" s="39" t="s">
        <v>34</v>
      </c>
    </row>
    <row r="470" spans="1:24" ht="18.75" customHeight="1">
      <c r="A470" s="45"/>
      <c r="B470" s="46"/>
      <c r="C470" s="46"/>
      <c r="D470" s="46"/>
      <c r="E470" s="46"/>
      <c r="F470" s="46"/>
      <c r="G470" s="46"/>
      <c r="H470" s="46"/>
      <c r="I470" s="46"/>
      <c r="J470" s="46"/>
      <c r="K470" s="47"/>
      <c r="M470" s="45"/>
      <c r="N470" s="46"/>
      <c r="O470" s="46"/>
      <c r="P470" s="46"/>
      <c r="Q470" s="46"/>
      <c r="R470" s="46"/>
      <c r="S470" s="46"/>
      <c r="T470" s="46"/>
      <c r="U470" s="46"/>
      <c r="V470" s="46"/>
      <c r="W470" s="47"/>
    </row>
    <row r="471" spans="1:24" ht="18.75" customHeight="1">
      <c r="A471" s="374" t="s">
        <v>66</v>
      </c>
      <c r="B471" s="375"/>
      <c r="C471" s="375"/>
      <c r="D471" s="375"/>
      <c r="E471" s="375"/>
      <c r="F471" s="375"/>
      <c r="G471" s="30"/>
      <c r="H471" s="30"/>
      <c r="I471" s="30"/>
      <c r="J471" s="30"/>
      <c r="K471" s="39"/>
      <c r="M471" s="374" t="s">
        <v>66</v>
      </c>
      <c r="N471" s="375"/>
      <c r="O471" s="375"/>
      <c r="P471" s="375"/>
      <c r="Q471" s="375"/>
      <c r="R471" s="375"/>
      <c r="S471" s="30"/>
      <c r="T471" s="30"/>
      <c r="U471" s="30"/>
      <c r="V471" s="30"/>
      <c r="W471" s="39"/>
    </row>
    <row r="472" spans="1:24" ht="18.75" customHeight="1">
      <c r="A472" s="368" t="s">
        <v>67</v>
      </c>
      <c r="B472" s="369"/>
      <c r="C472" s="369"/>
      <c r="D472" s="369"/>
      <c r="E472" s="369"/>
      <c r="F472" s="369"/>
      <c r="G472" s="30" t="s">
        <v>29</v>
      </c>
      <c r="H472" s="376" t="e">
        <f>IF(($L$1-(C456+C457+C458+C459))&gt;12,0,F453*8%)</f>
        <v>#REF!</v>
      </c>
      <c r="I472" s="376"/>
      <c r="J472" s="376"/>
      <c r="K472" s="39" t="s">
        <v>34</v>
      </c>
      <c r="M472" s="368" t="s">
        <v>67</v>
      </c>
      <c r="N472" s="369"/>
      <c r="O472" s="369"/>
      <c r="P472" s="369"/>
      <c r="Q472" s="369"/>
      <c r="R472" s="369"/>
      <c r="S472" s="30" t="s">
        <v>29</v>
      </c>
      <c r="T472" s="376" t="e">
        <f>IF(($L$1-(O456+O457+O458+O459))&gt;12,0,R453*8%)</f>
        <v>#REF!</v>
      </c>
      <c r="U472" s="376"/>
      <c r="V472" s="376"/>
      <c r="W472" s="39" t="s">
        <v>34</v>
      </c>
    </row>
    <row r="473" spans="1:24" ht="18.75" customHeight="1">
      <c r="A473" s="368" t="s">
        <v>68</v>
      </c>
      <c r="B473" s="369"/>
      <c r="C473" s="369"/>
      <c r="D473" s="369"/>
      <c r="E473" s="369"/>
      <c r="F473" s="369"/>
      <c r="G473" s="30" t="s">
        <v>29</v>
      </c>
      <c r="H473" s="370" t="e">
        <f>IF(($L$1-(C456+C457+C458+C459))&gt;12,0,F453*1.5%)</f>
        <v>#REF!</v>
      </c>
      <c r="I473" s="370"/>
      <c r="J473" s="370"/>
      <c r="K473" s="39" t="s">
        <v>34</v>
      </c>
      <c r="M473" s="368" t="s">
        <v>68</v>
      </c>
      <c r="N473" s="369"/>
      <c r="O473" s="369"/>
      <c r="P473" s="369"/>
      <c r="Q473" s="369"/>
      <c r="R473" s="369"/>
      <c r="S473" s="30" t="s">
        <v>29</v>
      </c>
      <c r="T473" s="370" t="e">
        <f>IF(($L$1-(O456+O457+O458+O459))&gt;12,0,R453*1.5%)</f>
        <v>#REF!</v>
      </c>
      <c r="U473" s="370"/>
      <c r="V473" s="370"/>
      <c r="W473" s="39" t="s">
        <v>34</v>
      </c>
    </row>
    <row r="474" spans="1:24" ht="18.75" customHeight="1">
      <c r="A474" s="368" t="s">
        <v>69</v>
      </c>
      <c r="B474" s="369"/>
      <c r="C474" s="369"/>
      <c r="D474" s="369"/>
      <c r="E474" s="369"/>
      <c r="F474" s="369"/>
      <c r="G474" s="30" t="s">
        <v>29</v>
      </c>
      <c r="H474" s="370" t="e">
        <f>IF(($L$1-(C456+C457+C458+C459))&gt;12,0,F453*1%)</f>
        <v>#REF!</v>
      </c>
      <c r="I474" s="370"/>
      <c r="J474" s="370"/>
      <c r="K474" s="39" t="s">
        <v>34</v>
      </c>
      <c r="M474" s="368" t="s">
        <v>69</v>
      </c>
      <c r="N474" s="369"/>
      <c r="O474" s="369"/>
      <c r="P474" s="369"/>
      <c r="Q474" s="369"/>
      <c r="R474" s="369"/>
      <c r="S474" s="30" t="s">
        <v>29</v>
      </c>
      <c r="T474" s="370" t="e">
        <f>IF(($L$1-(O456+O457+O458+O459))&gt;12,0,R453*1%)</f>
        <v>#REF!</v>
      </c>
      <c r="U474" s="370"/>
      <c r="V474" s="370"/>
      <c r="W474" s="39" t="s">
        <v>34</v>
      </c>
    </row>
    <row r="475" spans="1:24" ht="18.75" customHeight="1">
      <c r="A475" s="368" t="s">
        <v>70</v>
      </c>
      <c r="B475" s="369"/>
      <c r="C475" s="369"/>
      <c r="D475" s="369"/>
      <c r="E475" s="369"/>
      <c r="F475" s="369"/>
      <c r="G475" s="30" t="s">
        <v>29</v>
      </c>
      <c r="H475" s="370">
        <v>0</v>
      </c>
      <c r="I475" s="370"/>
      <c r="J475" s="370"/>
      <c r="K475" s="39" t="s">
        <v>34</v>
      </c>
      <c r="M475" s="368" t="s">
        <v>70</v>
      </c>
      <c r="N475" s="369"/>
      <c r="O475" s="369"/>
      <c r="P475" s="369"/>
      <c r="Q475" s="369"/>
      <c r="R475" s="369"/>
      <c r="S475" s="30" t="s">
        <v>29</v>
      </c>
      <c r="T475" s="370">
        <v>0</v>
      </c>
      <c r="U475" s="370"/>
      <c r="V475" s="370"/>
      <c r="W475" s="39" t="s">
        <v>34</v>
      </c>
    </row>
    <row r="476" spans="1:24" ht="18.75" customHeight="1">
      <c r="A476" s="371" t="s">
        <v>71</v>
      </c>
      <c r="B476" s="372"/>
      <c r="C476" s="372"/>
      <c r="D476" s="372"/>
      <c r="E476" s="372"/>
      <c r="F476" s="372"/>
      <c r="G476" s="30" t="s">
        <v>29</v>
      </c>
      <c r="H476" s="373" t="e">
        <f>SUM(H472:J475)</f>
        <v>#REF!</v>
      </c>
      <c r="I476" s="373"/>
      <c r="J476" s="373"/>
      <c r="K476" s="39" t="s">
        <v>34</v>
      </c>
      <c r="M476" s="371" t="s">
        <v>71</v>
      </c>
      <c r="N476" s="372"/>
      <c r="O476" s="372"/>
      <c r="P476" s="372"/>
      <c r="Q476" s="372"/>
      <c r="R476" s="372"/>
      <c r="S476" s="30" t="s">
        <v>29</v>
      </c>
      <c r="T476" s="373" t="e">
        <f>SUM(T472:V475)</f>
        <v>#REF!</v>
      </c>
      <c r="U476" s="373"/>
      <c r="V476" s="373"/>
      <c r="W476" s="39" t="s">
        <v>34</v>
      </c>
    </row>
    <row r="477" spans="1:24" ht="18.75" customHeight="1">
      <c r="A477" s="368" t="s">
        <v>72</v>
      </c>
      <c r="B477" s="369"/>
      <c r="C477" s="369"/>
      <c r="D477" s="369"/>
      <c r="E477" s="369"/>
      <c r="F477" s="369"/>
      <c r="G477" s="30" t="s">
        <v>29</v>
      </c>
      <c r="H477" s="381" t="e">
        <f>ROUND(H469-H476,-2)</f>
        <v>#REF!</v>
      </c>
      <c r="I477" s="381"/>
      <c r="J477" s="381"/>
      <c r="K477" s="39" t="s">
        <v>34</v>
      </c>
      <c r="M477" s="368" t="s">
        <v>72</v>
      </c>
      <c r="N477" s="369"/>
      <c r="O477" s="369"/>
      <c r="P477" s="369"/>
      <c r="Q477" s="369"/>
      <c r="R477" s="369"/>
      <c r="S477" s="30" t="s">
        <v>29</v>
      </c>
      <c r="T477" s="381" t="e">
        <f>ROUND(T469-T476,-2)</f>
        <v>#REF!</v>
      </c>
      <c r="U477" s="381"/>
      <c r="V477" s="381"/>
      <c r="W477" s="39" t="s">
        <v>34</v>
      </c>
    </row>
    <row r="478" spans="1:24" ht="18.75" customHeight="1">
      <c r="A478" s="48"/>
      <c r="B478" s="49"/>
      <c r="C478" s="49"/>
      <c r="D478" s="49"/>
      <c r="E478" s="49"/>
      <c r="F478" s="49"/>
      <c r="G478" s="49"/>
      <c r="H478" s="49"/>
      <c r="I478" s="49"/>
      <c r="J478" s="49"/>
      <c r="K478" s="50"/>
      <c r="M478" s="48"/>
      <c r="N478" s="49"/>
      <c r="O478" s="49"/>
      <c r="P478" s="49"/>
      <c r="Q478" s="49"/>
      <c r="R478" s="49"/>
      <c r="S478" s="49"/>
      <c r="T478" s="49"/>
      <c r="U478" s="49"/>
      <c r="V478" s="49"/>
      <c r="W478" s="50"/>
    </row>
    <row r="479" spans="1:24" ht="18.75" customHeight="1">
      <c r="A479" s="51"/>
      <c r="B479" s="30"/>
      <c r="C479" s="30"/>
      <c r="D479" s="30"/>
      <c r="E479" s="30"/>
      <c r="F479" s="30"/>
      <c r="G479" s="30"/>
      <c r="H479" s="30"/>
      <c r="I479" s="378" t="s">
        <v>73</v>
      </c>
      <c r="J479" s="378"/>
      <c r="K479" s="382"/>
      <c r="M479" s="51"/>
      <c r="N479" s="30"/>
      <c r="O479" s="30"/>
      <c r="P479" s="30"/>
      <c r="Q479" s="30"/>
      <c r="R479" s="30"/>
      <c r="S479" s="30"/>
      <c r="T479" s="30"/>
      <c r="U479" s="378" t="s">
        <v>73</v>
      </c>
      <c r="V479" s="378"/>
      <c r="W479" s="382"/>
    </row>
    <row r="480" spans="1:24" ht="18.75" customHeight="1">
      <c r="A480" s="51"/>
      <c r="B480" s="377"/>
      <c r="C480" s="378"/>
      <c r="D480" s="378"/>
      <c r="E480" s="378"/>
      <c r="F480" s="30"/>
      <c r="G480" s="30"/>
      <c r="H480" s="30"/>
      <c r="I480" s="30"/>
      <c r="J480" s="30"/>
      <c r="K480" s="32"/>
      <c r="M480" s="51"/>
      <c r="N480" s="377"/>
      <c r="O480" s="378"/>
      <c r="P480" s="378"/>
      <c r="Q480" s="378"/>
      <c r="R480" s="30"/>
      <c r="S480" s="30"/>
      <c r="T480" s="30"/>
      <c r="U480" s="30"/>
      <c r="V480" s="30"/>
      <c r="W480" s="32"/>
    </row>
    <row r="481" spans="1:24" ht="18.75" customHeight="1" thickBot="1">
      <c r="A481" s="53"/>
      <c r="B481" s="54"/>
      <c r="C481" s="54"/>
      <c r="D481" s="54"/>
      <c r="E481" s="54"/>
      <c r="F481" s="54"/>
      <c r="G481" s="54"/>
      <c r="H481" s="54"/>
      <c r="I481" s="379" t="s">
        <v>74</v>
      </c>
      <c r="J481" s="379"/>
      <c r="K481" s="380"/>
      <c r="M481" s="53"/>
      <c r="N481" s="54"/>
      <c r="O481" s="54"/>
      <c r="P481" s="54"/>
      <c r="Q481" s="54"/>
      <c r="R481" s="54"/>
      <c r="S481" s="54"/>
      <c r="T481" s="54"/>
      <c r="U481" s="379" t="s">
        <v>74</v>
      </c>
      <c r="V481" s="379"/>
      <c r="W481" s="380"/>
    </row>
    <row r="482" spans="1:24" ht="18.75" customHeight="1" thickTop="1" thickBot="1"/>
    <row r="483" spans="1:24" ht="18.75" customHeight="1" thickTop="1">
      <c r="A483" s="351" t="s">
        <v>160</v>
      </c>
      <c r="B483" s="352"/>
      <c r="C483" s="352"/>
      <c r="D483" s="352"/>
      <c r="E483" s="352"/>
      <c r="F483" s="352"/>
      <c r="G483" s="352"/>
      <c r="H483" s="352"/>
      <c r="I483" s="352"/>
      <c r="J483" s="352"/>
      <c r="K483" s="353"/>
      <c r="L483" s="26">
        <v>26</v>
      </c>
      <c r="M483" s="351" t="s">
        <v>160</v>
      </c>
      <c r="N483" s="352"/>
      <c r="O483" s="352"/>
      <c r="P483" s="352"/>
      <c r="Q483" s="352"/>
      <c r="R483" s="352"/>
      <c r="S483" s="352"/>
      <c r="T483" s="352"/>
      <c r="U483" s="352"/>
      <c r="V483" s="352"/>
      <c r="W483" s="353"/>
      <c r="X483" s="26">
        <v>26</v>
      </c>
    </row>
    <row r="484" spans="1:24" ht="18.75" customHeight="1">
      <c r="A484" s="27" t="s">
        <v>101</v>
      </c>
      <c r="B484" s="28"/>
      <c r="C484" s="28"/>
      <c r="D484" s="28"/>
      <c r="E484" s="28"/>
      <c r="F484" s="28"/>
      <c r="G484" s="28"/>
      <c r="H484" s="28"/>
      <c r="I484" s="28"/>
      <c r="J484" s="28"/>
      <c r="K484" s="29"/>
      <c r="M484" s="27" t="s">
        <v>102</v>
      </c>
      <c r="N484" s="28"/>
      <c r="O484" s="28"/>
      <c r="P484" s="28"/>
      <c r="Q484" s="28"/>
      <c r="R484" s="28"/>
      <c r="S484" s="28"/>
      <c r="T484" s="28"/>
      <c r="U484" s="28"/>
      <c r="V484" s="28"/>
      <c r="W484" s="29"/>
    </row>
    <row r="485" spans="1:24" ht="18.75" customHeight="1">
      <c r="A485" s="354" t="s">
        <v>27</v>
      </c>
      <c r="B485" s="355"/>
      <c r="C485" s="355"/>
      <c r="D485" s="355"/>
      <c r="E485" s="355"/>
      <c r="F485" s="355"/>
      <c r="G485" s="355"/>
      <c r="H485" s="355"/>
      <c r="I485" s="355"/>
      <c r="J485" s="355"/>
      <c r="K485" s="356"/>
      <c r="M485" s="354" t="s">
        <v>27</v>
      </c>
      <c r="N485" s="355"/>
      <c r="O485" s="355"/>
      <c r="P485" s="355"/>
      <c r="Q485" s="355"/>
      <c r="R485" s="355"/>
      <c r="S485" s="355"/>
      <c r="T485" s="355"/>
      <c r="U485" s="355"/>
      <c r="V485" s="355"/>
      <c r="W485" s="356"/>
    </row>
    <row r="486" spans="1:24" ht="18.75" customHeight="1">
      <c r="A486" s="347" t="s">
        <v>28</v>
      </c>
      <c r="B486" s="31"/>
      <c r="C486" s="31"/>
      <c r="D486" s="31"/>
      <c r="E486" s="30" t="s">
        <v>29</v>
      </c>
      <c r="F486" s="348">
        <f>'Bang TH nop'!B61</f>
        <v>0</v>
      </c>
      <c r="G486" s="31"/>
      <c r="H486" s="31"/>
      <c r="I486" s="31"/>
      <c r="J486" s="31"/>
      <c r="K486" s="350"/>
      <c r="M486" s="347" t="s">
        <v>28</v>
      </c>
      <c r="N486" s="31"/>
      <c r="O486" s="31"/>
      <c r="P486" s="31"/>
      <c r="Q486" s="30" t="s">
        <v>29</v>
      </c>
      <c r="R486" s="348">
        <f>'Bang TH nop'!B63</f>
        <v>0</v>
      </c>
      <c r="S486" s="31"/>
      <c r="T486" s="31"/>
      <c r="U486" s="31"/>
      <c r="V486" s="31"/>
      <c r="W486" s="350"/>
    </row>
    <row r="487" spans="1:24" ht="18.75" customHeight="1">
      <c r="A487" s="347" t="s">
        <v>30</v>
      </c>
      <c r="B487" s="31"/>
      <c r="C487" s="31"/>
      <c r="D487" s="31"/>
      <c r="E487" s="30" t="s">
        <v>29</v>
      </c>
      <c r="F487" s="348">
        <f>'Bang TH nop'!C61</f>
        <v>0</v>
      </c>
      <c r="G487" s="348"/>
      <c r="H487" s="348"/>
      <c r="I487" s="348"/>
      <c r="J487" s="348"/>
      <c r="K487" s="349"/>
      <c r="M487" s="347" t="s">
        <v>30</v>
      </c>
      <c r="N487" s="31"/>
      <c r="O487" s="31"/>
      <c r="P487" s="31"/>
      <c r="Q487" s="30" t="s">
        <v>29</v>
      </c>
      <c r="R487" s="348">
        <f>'Bang TH nop'!C63</f>
        <v>0</v>
      </c>
      <c r="S487" s="348"/>
      <c r="T487" s="348"/>
      <c r="U487" s="348"/>
      <c r="V487" s="348"/>
      <c r="W487" s="349"/>
    </row>
    <row r="488" spans="1:24" ht="18.75" customHeight="1">
      <c r="A488" s="347" t="s">
        <v>31</v>
      </c>
      <c r="B488" s="31"/>
      <c r="C488" s="31"/>
      <c r="D488" s="31"/>
      <c r="E488" s="30" t="s">
        <v>29</v>
      </c>
      <c r="F488" s="31" t="str">
        <f>+$L$2</f>
        <v xml:space="preserve">Tổ  </v>
      </c>
      <c r="G488" s="31"/>
      <c r="H488" s="31"/>
      <c r="I488" s="31"/>
      <c r="J488" s="31"/>
      <c r="K488" s="350"/>
      <c r="M488" s="347" t="s">
        <v>31</v>
      </c>
      <c r="N488" s="31"/>
      <c r="O488" s="31"/>
      <c r="P488" s="31"/>
      <c r="Q488" s="30" t="s">
        <v>29</v>
      </c>
      <c r="R488" s="31" t="str">
        <f>+$L$2</f>
        <v xml:space="preserve">Tổ  </v>
      </c>
      <c r="S488" s="31"/>
      <c r="T488" s="31"/>
      <c r="U488" s="31"/>
      <c r="V488" s="31"/>
      <c r="W488" s="350"/>
    </row>
    <row r="489" spans="1:24" ht="18.75" customHeight="1">
      <c r="A489" s="354" t="s">
        <v>32</v>
      </c>
      <c r="B489" s="355"/>
      <c r="C489" s="355"/>
      <c r="D489" s="355"/>
      <c r="E489" s="355"/>
      <c r="F489" s="355"/>
      <c r="G489" s="355"/>
      <c r="H489" s="355"/>
      <c r="I489" s="355"/>
      <c r="J489" s="355"/>
      <c r="K489" s="356"/>
      <c r="M489" s="354" t="s">
        <v>32</v>
      </c>
      <c r="N489" s="355"/>
      <c r="O489" s="355"/>
      <c r="P489" s="355"/>
      <c r="Q489" s="355"/>
      <c r="R489" s="355"/>
      <c r="S489" s="355"/>
      <c r="T489" s="355"/>
      <c r="U489" s="355"/>
      <c r="V489" s="355"/>
      <c r="W489" s="356"/>
    </row>
    <row r="490" spans="1:24" ht="18.75" customHeight="1">
      <c r="A490" s="347" t="s">
        <v>33</v>
      </c>
      <c r="B490" s="31"/>
      <c r="C490" s="31"/>
      <c r="D490" s="31"/>
      <c r="E490" s="30" t="s">
        <v>29</v>
      </c>
      <c r="F490" s="361">
        <f>VLOOKUP(F487,'Bang TH nop'!$C$9:$AP$266,29,0)</f>
        <v>0</v>
      </c>
      <c r="G490" s="361"/>
      <c r="H490" s="361"/>
      <c r="I490" s="361"/>
      <c r="J490" s="30" t="s">
        <v>34</v>
      </c>
      <c r="K490" s="32"/>
      <c r="M490" s="347" t="s">
        <v>33</v>
      </c>
      <c r="N490" s="31"/>
      <c r="O490" s="31"/>
      <c r="P490" s="31"/>
      <c r="Q490" s="30" t="s">
        <v>29</v>
      </c>
      <c r="R490" s="361">
        <f>VLOOKUP(R487,'Bang TH nop'!$C$9:$AP$266,29,0)</f>
        <v>0</v>
      </c>
      <c r="S490" s="361"/>
      <c r="T490" s="361"/>
      <c r="U490" s="361"/>
      <c r="V490" s="30" t="s">
        <v>34</v>
      </c>
      <c r="W490" s="32"/>
    </row>
    <row r="491" spans="1:24" ht="18.75" customHeight="1">
      <c r="A491" s="33" t="s">
        <v>35</v>
      </c>
      <c r="B491" s="30"/>
      <c r="C491" s="34"/>
      <c r="D491" s="35"/>
      <c r="E491" s="36"/>
      <c r="F491" s="36"/>
      <c r="G491" s="36"/>
      <c r="H491" s="30"/>
      <c r="I491" s="37" t="e">
        <f>#REF!</f>
        <v>#REF!</v>
      </c>
      <c r="J491" s="38"/>
      <c r="K491" s="39"/>
      <c r="M491" s="33" t="s">
        <v>35</v>
      </c>
      <c r="N491" s="30"/>
      <c r="O491" s="34"/>
      <c r="P491" s="35"/>
      <c r="Q491" s="36"/>
      <c r="R491" s="36"/>
      <c r="S491" s="36"/>
      <c r="T491" s="30"/>
      <c r="U491" s="37" t="e">
        <f>#REF!</f>
        <v>#REF!</v>
      </c>
      <c r="V491" s="38"/>
      <c r="W491" s="39"/>
    </row>
    <row r="492" spans="1:24" ht="18.75" customHeight="1">
      <c r="A492" s="33" t="s">
        <v>36</v>
      </c>
      <c r="B492" s="30"/>
      <c r="C492" s="34"/>
      <c r="D492" s="35"/>
      <c r="E492" s="36"/>
      <c r="F492" s="36"/>
      <c r="G492" s="36"/>
      <c r="H492" s="30"/>
      <c r="I492" s="37" t="e">
        <f>I493/C493/8</f>
        <v>#REF!</v>
      </c>
      <c r="J492" s="38"/>
      <c r="K492" s="39"/>
      <c r="M492" s="33" t="s">
        <v>36</v>
      </c>
      <c r="N492" s="30"/>
      <c r="O492" s="34"/>
      <c r="P492" s="35"/>
      <c r="Q492" s="36"/>
      <c r="R492" s="36"/>
      <c r="S492" s="36"/>
      <c r="T492" s="30"/>
      <c r="U492" s="37" t="e">
        <f>U493/O493/8</f>
        <v>#REF!</v>
      </c>
      <c r="V492" s="38"/>
      <c r="W492" s="39"/>
    </row>
    <row r="493" spans="1:24" ht="18.75" customHeight="1">
      <c r="A493" s="33" t="s">
        <v>37</v>
      </c>
      <c r="B493" s="30" t="s">
        <v>29</v>
      </c>
      <c r="C493" s="34" t="e">
        <f>#REF!</f>
        <v>#REF!</v>
      </c>
      <c r="D493" s="35" t="s">
        <v>38</v>
      </c>
      <c r="E493" s="359" t="s">
        <v>39</v>
      </c>
      <c r="F493" s="359"/>
      <c r="G493" s="359"/>
      <c r="H493" s="30" t="s">
        <v>29</v>
      </c>
      <c r="I493" s="360" t="e">
        <f>#REF!</f>
        <v>#REF!</v>
      </c>
      <c r="J493" s="360"/>
      <c r="K493" s="39" t="s">
        <v>34</v>
      </c>
      <c r="L493" s="40" t="e">
        <f>F490/L483*C493</f>
        <v>#REF!</v>
      </c>
      <c r="M493" s="33" t="s">
        <v>37</v>
      </c>
      <c r="N493" s="30" t="s">
        <v>29</v>
      </c>
      <c r="O493" s="34" t="e">
        <f>#REF!</f>
        <v>#REF!</v>
      </c>
      <c r="P493" s="35" t="s">
        <v>38</v>
      </c>
      <c r="Q493" s="359" t="s">
        <v>39</v>
      </c>
      <c r="R493" s="359"/>
      <c r="S493" s="359"/>
      <c r="T493" s="30" t="s">
        <v>29</v>
      </c>
      <c r="U493" s="360" t="e">
        <f>#REF!</f>
        <v>#REF!</v>
      </c>
      <c r="V493" s="360"/>
      <c r="W493" s="39" t="s">
        <v>34</v>
      </c>
      <c r="X493" s="40" t="e">
        <f>R490/X483*O493</f>
        <v>#REF!</v>
      </c>
    </row>
    <row r="494" spans="1:24" ht="18.75" customHeight="1">
      <c r="A494" s="33" t="s">
        <v>40</v>
      </c>
      <c r="B494" s="30" t="s">
        <v>29</v>
      </c>
      <c r="C494" s="34" t="e">
        <f>#REF!</f>
        <v>#REF!</v>
      </c>
      <c r="D494" s="35" t="s">
        <v>38</v>
      </c>
      <c r="E494" s="31" t="s">
        <v>41</v>
      </c>
      <c r="F494" s="31"/>
      <c r="G494" s="31"/>
      <c r="H494" s="30" t="s">
        <v>29</v>
      </c>
      <c r="I494" s="358" t="e">
        <f>$F$8/$L$1*C494</f>
        <v>#REF!</v>
      </c>
      <c r="J494" s="358"/>
      <c r="K494" s="39" t="s">
        <v>34</v>
      </c>
      <c r="L494" s="40"/>
      <c r="M494" s="33" t="s">
        <v>40</v>
      </c>
      <c r="N494" s="30" t="s">
        <v>29</v>
      </c>
      <c r="O494" s="34" t="e">
        <f>#REF!</f>
        <v>#REF!</v>
      </c>
      <c r="P494" s="35" t="s">
        <v>38</v>
      </c>
      <c r="Q494" s="31" t="s">
        <v>41</v>
      </c>
      <c r="R494" s="31"/>
      <c r="S494" s="31"/>
      <c r="T494" s="30" t="s">
        <v>29</v>
      </c>
      <c r="U494" s="358" t="e">
        <f>$F$8/$L$1*O494</f>
        <v>#REF!</v>
      </c>
      <c r="V494" s="358"/>
      <c r="W494" s="39" t="s">
        <v>34</v>
      </c>
      <c r="X494" s="40"/>
    </row>
    <row r="495" spans="1:24" ht="18.75" customHeight="1">
      <c r="A495" s="33" t="s">
        <v>42</v>
      </c>
      <c r="B495" s="30" t="s">
        <v>29</v>
      </c>
      <c r="C495" s="34" t="e">
        <f>#REF!</f>
        <v>#REF!</v>
      </c>
      <c r="D495" s="35" t="s">
        <v>38</v>
      </c>
      <c r="E495" s="357" t="s">
        <v>43</v>
      </c>
      <c r="F495" s="357"/>
      <c r="G495" s="357"/>
      <c r="H495" s="30" t="s">
        <v>29</v>
      </c>
      <c r="I495" s="358" t="e">
        <f>$F$8/$L$1*C495</f>
        <v>#REF!</v>
      </c>
      <c r="J495" s="358"/>
      <c r="K495" s="39" t="s">
        <v>34</v>
      </c>
      <c r="L495" s="40"/>
      <c r="M495" s="33" t="s">
        <v>42</v>
      </c>
      <c r="N495" s="30" t="s">
        <v>29</v>
      </c>
      <c r="O495" s="34" t="e">
        <f>#REF!</f>
        <v>#REF!</v>
      </c>
      <c r="P495" s="35" t="s">
        <v>38</v>
      </c>
      <c r="Q495" s="357" t="s">
        <v>43</v>
      </c>
      <c r="R495" s="357"/>
      <c r="S495" s="357"/>
      <c r="T495" s="30" t="s">
        <v>29</v>
      </c>
      <c r="U495" s="358" t="e">
        <f>$F$8/$L$1*O495</f>
        <v>#REF!</v>
      </c>
      <c r="V495" s="358"/>
      <c r="W495" s="39" t="s">
        <v>34</v>
      </c>
      <c r="X495" s="40"/>
    </row>
    <row r="496" spans="1:24" ht="18.75" customHeight="1">
      <c r="A496" s="33" t="s">
        <v>44</v>
      </c>
      <c r="B496" s="30" t="s">
        <v>29</v>
      </c>
      <c r="C496" s="34" t="e">
        <f>#REF!</f>
        <v>#REF!</v>
      </c>
      <c r="D496" s="35" t="s">
        <v>38</v>
      </c>
      <c r="E496" s="357" t="s">
        <v>45</v>
      </c>
      <c r="F496" s="357"/>
      <c r="G496" s="357"/>
      <c r="H496" s="30" t="s">
        <v>29</v>
      </c>
      <c r="I496" s="358" t="e">
        <f>$F$8/$L$1*C496</f>
        <v>#REF!</v>
      </c>
      <c r="J496" s="358"/>
      <c r="K496" s="39" t="s">
        <v>34</v>
      </c>
      <c r="L496" s="40"/>
      <c r="M496" s="33" t="s">
        <v>44</v>
      </c>
      <c r="N496" s="30" t="s">
        <v>29</v>
      </c>
      <c r="O496" s="34" t="e">
        <f>#REF!</f>
        <v>#REF!</v>
      </c>
      <c r="P496" s="35" t="s">
        <v>38</v>
      </c>
      <c r="Q496" s="357" t="s">
        <v>45</v>
      </c>
      <c r="R496" s="357"/>
      <c r="S496" s="357"/>
      <c r="T496" s="30" t="s">
        <v>29</v>
      </c>
      <c r="U496" s="358" t="e">
        <f>$F$8/$L$1*O496</f>
        <v>#REF!</v>
      </c>
      <c r="V496" s="358"/>
      <c r="W496" s="39" t="s">
        <v>34</v>
      </c>
      <c r="X496" s="40"/>
    </row>
    <row r="497" spans="1:24" ht="18.75" customHeight="1">
      <c r="A497" s="33" t="s">
        <v>46</v>
      </c>
      <c r="B497" s="30" t="s">
        <v>29</v>
      </c>
      <c r="C497" s="34" t="e">
        <f>#REF!</f>
        <v>#REF!</v>
      </c>
      <c r="D497" s="35" t="s">
        <v>47</v>
      </c>
      <c r="E497" s="31" t="s">
        <v>48</v>
      </c>
      <c r="F497" s="31"/>
      <c r="G497" s="31"/>
      <c r="H497" s="30" t="s">
        <v>29</v>
      </c>
      <c r="I497" s="358" t="e">
        <f>#REF!</f>
        <v>#REF!</v>
      </c>
      <c r="J497" s="358"/>
      <c r="K497" s="39" t="s">
        <v>34</v>
      </c>
      <c r="L497" s="40" t="e">
        <f>F490*C497/L483/8*1.5</f>
        <v>#REF!</v>
      </c>
      <c r="M497" s="33" t="s">
        <v>46</v>
      </c>
      <c r="N497" s="30" t="s">
        <v>29</v>
      </c>
      <c r="O497" s="34" t="e">
        <f>#REF!</f>
        <v>#REF!</v>
      </c>
      <c r="P497" s="35" t="s">
        <v>47</v>
      </c>
      <c r="Q497" s="31" t="s">
        <v>48</v>
      </c>
      <c r="R497" s="31"/>
      <c r="S497" s="31"/>
      <c r="T497" s="30" t="s">
        <v>29</v>
      </c>
      <c r="U497" s="358" t="e">
        <f>#REF!</f>
        <v>#REF!</v>
      </c>
      <c r="V497" s="358"/>
      <c r="W497" s="39" t="s">
        <v>34</v>
      </c>
      <c r="X497" s="40" t="e">
        <f>R490*O497/X483/8*1.5</f>
        <v>#REF!</v>
      </c>
    </row>
    <row r="498" spans="1:24" ht="18.75" customHeight="1">
      <c r="A498" s="347" t="s">
        <v>49</v>
      </c>
      <c r="B498" s="31"/>
      <c r="C498" s="34"/>
      <c r="D498" s="35" t="s">
        <v>38</v>
      </c>
      <c r="E498" s="31" t="s">
        <v>50</v>
      </c>
      <c r="F498" s="31"/>
      <c r="G498" s="31"/>
      <c r="H498" s="41" t="s">
        <v>29</v>
      </c>
      <c r="I498" s="358"/>
      <c r="J498" s="358"/>
      <c r="K498" s="39" t="s">
        <v>34</v>
      </c>
      <c r="L498" s="40"/>
      <c r="M498" s="347" t="s">
        <v>49</v>
      </c>
      <c r="N498" s="31"/>
      <c r="O498" s="34"/>
      <c r="P498" s="35" t="s">
        <v>38</v>
      </c>
      <c r="Q498" s="31" t="s">
        <v>50</v>
      </c>
      <c r="R498" s="31"/>
      <c r="S498" s="31"/>
      <c r="T498" s="41" t="s">
        <v>29</v>
      </c>
      <c r="U498" s="358"/>
      <c r="V498" s="358"/>
      <c r="W498" s="39" t="s">
        <v>34</v>
      </c>
      <c r="X498" s="40"/>
    </row>
    <row r="499" spans="1:24" ht="18.75" customHeight="1">
      <c r="A499" s="33" t="s">
        <v>51</v>
      </c>
      <c r="B499" s="30" t="s">
        <v>29</v>
      </c>
      <c r="C499" s="34"/>
      <c r="D499" s="35" t="s">
        <v>38</v>
      </c>
      <c r="E499" s="31" t="s">
        <v>52</v>
      </c>
      <c r="F499" s="31"/>
      <c r="G499" s="31"/>
      <c r="H499" s="30" t="s">
        <v>29</v>
      </c>
      <c r="I499" s="358"/>
      <c r="J499" s="358"/>
      <c r="K499" s="39" t="s">
        <v>34</v>
      </c>
      <c r="L499" s="40"/>
      <c r="M499" s="33" t="s">
        <v>51</v>
      </c>
      <c r="N499" s="30" t="s">
        <v>29</v>
      </c>
      <c r="O499" s="34"/>
      <c r="P499" s="35" t="s">
        <v>38</v>
      </c>
      <c r="Q499" s="31" t="s">
        <v>52</v>
      </c>
      <c r="R499" s="31"/>
      <c r="S499" s="31"/>
      <c r="T499" s="30" t="s">
        <v>29</v>
      </c>
      <c r="U499" s="358"/>
      <c r="V499" s="358"/>
      <c r="W499" s="39" t="s">
        <v>34</v>
      </c>
      <c r="X499" s="40"/>
    </row>
    <row r="500" spans="1:24" ht="18.75" customHeight="1">
      <c r="A500" s="42" t="s">
        <v>53</v>
      </c>
      <c r="B500" s="30"/>
      <c r="C500" s="34" t="e">
        <f>#REF!</f>
        <v>#REF!</v>
      </c>
      <c r="D500" s="35" t="s">
        <v>47</v>
      </c>
      <c r="E500" s="31" t="s">
        <v>54</v>
      </c>
      <c r="F500" s="31"/>
      <c r="G500" s="31"/>
      <c r="H500" s="30" t="s">
        <v>29</v>
      </c>
      <c r="I500" s="358" t="e">
        <f>$F$8*C500/8/$L$1</f>
        <v>#REF!</v>
      </c>
      <c r="J500" s="358"/>
      <c r="K500" s="39" t="s">
        <v>34</v>
      </c>
      <c r="L500" s="40"/>
      <c r="M500" s="42" t="s">
        <v>53</v>
      </c>
      <c r="N500" s="30"/>
      <c r="O500" s="34" t="e">
        <f>#REF!</f>
        <v>#REF!</v>
      </c>
      <c r="P500" s="35" t="s">
        <v>47</v>
      </c>
      <c r="Q500" s="31" t="s">
        <v>54</v>
      </c>
      <c r="R500" s="31"/>
      <c r="S500" s="31"/>
      <c r="T500" s="30" t="s">
        <v>29</v>
      </c>
      <c r="U500" s="358" t="e">
        <f>$F$8*O500/8/$L$1</f>
        <v>#REF!</v>
      </c>
      <c r="V500" s="358"/>
      <c r="W500" s="39" t="s">
        <v>34</v>
      </c>
      <c r="X500" s="40"/>
    </row>
    <row r="501" spans="1:24" ht="18.75" customHeight="1">
      <c r="A501" s="33" t="s">
        <v>155</v>
      </c>
      <c r="B501" s="30" t="s">
        <v>29</v>
      </c>
      <c r="C501" s="34"/>
      <c r="D501" s="35" t="s">
        <v>47</v>
      </c>
      <c r="E501" s="31" t="s">
        <v>61</v>
      </c>
      <c r="F501" s="31"/>
      <c r="G501" s="31"/>
      <c r="H501" s="30" t="s">
        <v>29</v>
      </c>
      <c r="I501" s="360"/>
      <c r="J501" s="360"/>
      <c r="K501" s="39" t="s">
        <v>34</v>
      </c>
      <c r="L501" s="40"/>
      <c r="M501" s="33" t="s">
        <v>155</v>
      </c>
      <c r="N501" s="30" t="s">
        <v>29</v>
      </c>
      <c r="O501" s="34"/>
      <c r="P501" s="35" t="s">
        <v>47</v>
      </c>
      <c r="Q501" s="31" t="s">
        <v>61</v>
      </c>
      <c r="R501" s="31"/>
      <c r="S501" s="31"/>
      <c r="T501" s="30" t="s">
        <v>29</v>
      </c>
      <c r="U501" s="360"/>
      <c r="V501" s="360"/>
      <c r="W501" s="39" t="s">
        <v>34</v>
      </c>
      <c r="X501" s="40"/>
    </row>
    <row r="502" spans="1:24" ht="18.75" customHeight="1">
      <c r="A502" s="33" t="s">
        <v>57</v>
      </c>
      <c r="B502" s="30" t="s">
        <v>29</v>
      </c>
      <c r="C502" s="34"/>
      <c r="D502" s="35" t="s">
        <v>58</v>
      </c>
      <c r="E502" s="31" t="s">
        <v>59</v>
      </c>
      <c r="F502" s="31"/>
      <c r="G502" s="31"/>
      <c r="H502" s="30" t="s">
        <v>29</v>
      </c>
      <c r="I502" s="358"/>
      <c r="J502" s="358"/>
      <c r="K502" s="39" t="s">
        <v>34</v>
      </c>
      <c r="L502" s="40" t="e">
        <f>+IF(L493-I493&lt;0,0,L493-I493)+IF(L497-I497&lt;0,0,L497-I497)</f>
        <v>#REF!</v>
      </c>
      <c r="M502" s="33" t="s">
        <v>57</v>
      </c>
      <c r="N502" s="30" t="s">
        <v>29</v>
      </c>
      <c r="O502" s="34"/>
      <c r="P502" s="35" t="s">
        <v>58</v>
      </c>
      <c r="Q502" s="31" t="s">
        <v>59</v>
      </c>
      <c r="R502" s="31"/>
      <c r="S502" s="31"/>
      <c r="T502" s="30" t="s">
        <v>29</v>
      </c>
      <c r="U502" s="358"/>
      <c r="V502" s="358"/>
      <c r="W502" s="39" t="s">
        <v>34</v>
      </c>
      <c r="X502" s="40" t="e">
        <f>+IF(X493-U493&lt;0,0,X493-U493)+IF(X497-U497&lt;0,0,X497-U497)</f>
        <v>#REF!</v>
      </c>
    </row>
    <row r="503" spans="1:24" ht="18.75" customHeight="1">
      <c r="A503" s="43" t="s">
        <v>152</v>
      </c>
      <c r="B503" s="44"/>
      <c r="C503" s="34"/>
      <c r="D503" s="35" t="s">
        <v>38</v>
      </c>
      <c r="E503" s="31" t="s">
        <v>153</v>
      </c>
      <c r="F503" s="31"/>
      <c r="G503" s="31"/>
      <c r="H503" s="30" t="s">
        <v>29</v>
      </c>
      <c r="I503" s="358"/>
      <c r="J503" s="358"/>
      <c r="K503" s="39" t="s">
        <v>34</v>
      </c>
      <c r="L503" s="40"/>
      <c r="M503" s="43" t="s">
        <v>152</v>
      </c>
      <c r="N503" s="44"/>
      <c r="O503" s="34"/>
      <c r="P503" s="35" t="s">
        <v>38</v>
      </c>
      <c r="Q503" s="31" t="s">
        <v>153</v>
      </c>
      <c r="R503" s="31"/>
      <c r="S503" s="31"/>
      <c r="T503" s="30" t="s">
        <v>29</v>
      </c>
      <c r="U503" s="358"/>
      <c r="V503" s="358"/>
      <c r="W503" s="39" t="s">
        <v>34</v>
      </c>
      <c r="X503" s="40"/>
    </row>
    <row r="504" spans="1:24" ht="18.75" customHeight="1">
      <c r="A504" s="366" t="s">
        <v>154</v>
      </c>
      <c r="B504" s="367"/>
      <c r="C504" s="34"/>
      <c r="D504" s="35"/>
      <c r="E504" s="36"/>
      <c r="F504" s="36"/>
      <c r="G504" s="36"/>
      <c r="H504" s="30" t="s">
        <v>29</v>
      </c>
      <c r="I504" s="358" t="e">
        <f>#REF!</f>
        <v>#REF!</v>
      </c>
      <c r="J504" s="358"/>
      <c r="K504" s="39" t="s">
        <v>34</v>
      </c>
      <c r="L504" s="40"/>
      <c r="M504" s="366" t="s">
        <v>154</v>
      </c>
      <c r="N504" s="367"/>
      <c r="O504" s="34"/>
      <c r="P504" s="35"/>
      <c r="Q504" s="36"/>
      <c r="R504" s="36"/>
      <c r="S504" s="36"/>
      <c r="T504" s="30" t="s">
        <v>29</v>
      </c>
      <c r="U504" s="358" t="e">
        <f>#REF!</f>
        <v>#REF!</v>
      </c>
      <c r="V504" s="358"/>
      <c r="W504" s="39" t="s">
        <v>34</v>
      </c>
      <c r="X504" s="40"/>
    </row>
    <row r="505" spans="1:24" ht="18.75" customHeight="1">
      <c r="A505" s="33" t="s">
        <v>63</v>
      </c>
      <c r="B505" s="30" t="s">
        <v>29</v>
      </c>
      <c r="C505" s="34"/>
      <c r="D505" s="35"/>
      <c r="E505" s="36" t="s">
        <v>64</v>
      </c>
      <c r="F505" s="36"/>
      <c r="G505" s="36"/>
      <c r="H505" s="30" t="s">
        <v>29</v>
      </c>
      <c r="I505" s="358" t="e">
        <f>L502</f>
        <v>#REF!</v>
      </c>
      <c r="J505" s="358"/>
      <c r="K505" s="39" t="s">
        <v>34</v>
      </c>
      <c r="L505" s="40"/>
      <c r="M505" s="33" t="s">
        <v>63</v>
      </c>
      <c r="N505" s="30" t="s">
        <v>29</v>
      </c>
      <c r="O505" s="34"/>
      <c r="P505" s="35"/>
      <c r="Q505" s="36" t="s">
        <v>64</v>
      </c>
      <c r="R505" s="36"/>
      <c r="S505" s="36"/>
      <c r="T505" s="30" t="s">
        <v>29</v>
      </c>
      <c r="U505" s="358" t="e">
        <f>X502</f>
        <v>#REF!</v>
      </c>
      <c r="V505" s="358"/>
      <c r="W505" s="39" t="s">
        <v>34</v>
      </c>
      <c r="X505" s="40"/>
    </row>
    <row r="506" spans="1:24" ht="18.75" customHeight="1">
      <c r="A506" s="362" t="s">
        <v>65</v>
      </c>
      <c r="B506" s="363"/>
      <c r="C506" s="363"/>
      <c r="D506" s="363"/>
      <c r="E506" s="363"/>
      <c r="F506" s="363"/>
      <c r="G506" s="30" t="s">
        <v>29</v>
      </c>
      <c r="H506" s="364" t="e">
        <f>I493+I494+I495+I496+I497+I500+I504+I505+I498+I499+I501+I502+I503+C504</f>
        <v>#REF!</v>
      </c>
      <c r="I506" s="365"/>
      <c r="J506" s="365"/>
      <c r="K506" s="39" t="s">
        <v>34</v>
      </c>
      <c r="M506" s="362" t="s">
        <v>65</v>
      </c>
      <c r="N506" s="363"/>
      <c r="O506" s="363"/>
      <c r="P506" s="363"/>
      <c r="Q506" s="363"/>
      <c r="R506" s="363"/>
      <c r="S506" s="30" t="s">
        <v>29</v>
      </c>
      <c r="T506" s="364" t="e">
        <f>U493+U494+U495+U496+U497+U500+U504+U505+U498+U499+U501+U502+U503+O504</f>
        <v>#REF!</v>
      </c>
      <c r="U506" s="365"/>
      <c r="V506" s="365"/>
      <c r="W506" s="39" t="s">
        <v>34</v>
      </c>
    </row>
    <row r="507" spans="1:24" ht="18.75" customHeight="1">
      <c r="A507" s="45"/>
      <c r="B507" s="46"/>
      <c r="C507" s="46"/>
      <c r="D507" s="46"/>
      <c r="E507" s="46"/>
      <c r="F507" s="46"/>
      <c r="G507" s="46"/>
      <c r="H507" s="46"/>
      <c r="I507" s="46"/>
      <c r="J507" s="46"/>
      <c r="K507" s="47"/>
      <c r="M507" s="45"/>
      <c r="N507" s="46"/>
      <c r="O507" s="46"/>
      <c r="P507" s="46"/>
      <c r="Q507" s="46"/>
      <c r="R507" s="46"/>
      <c r="S507" s="46"/>
      <c r="T507" s="46"/>
      <c r="U507" s="46"/>
      <c r="V507" s="46"/>
      <c r="W507" s="47"/>
    </row>
    <row r="508" spans="1:24" ht="18.75" customHeight="1">
      <c r="A508" s="374" t="s">
        <v>66</v>
      </c>
      <c r="B508" s="375"/>
      <c r="C508" s="375"/>
      <c r="D508" s="375"/>
      <c r="E508" s="375"/>
      <c r="F508" s="375"/>
      <c r="G508" s="30"/>
      <c r="H508" s="30"/>
      <c r="I508" s="30"/>
      <c r="J508" s="30"/>
      <c r="K508" s="39"/>
      <c r="M508" s="374" t="s">
        <v>66</v>
      </c>
      <c r="N508" s="375"/>
      <c r="O508" s="375"/>
      <c r="P508" s="375"/>
      <c r="Q508" s="375"/>
      <c r="R508" s="375"/>
      <c r="S508" s="30"/>
      <c r="T508" s="30"/>
      <c r="U508" s="30"/>
      <c r="V508" s="30"/>
      <c r="W508" s="39"/>
    </row>
    <row r="509" spans="1:24" ht="18.75" customHeight="1">
      <c r="A509" s="368" t="s">
        <v>67</v>
      </c>
      <c r="B509" s="369"/>
      <c r="C509" s="369"/>
      <c r="D509" s="369"/>
      <c r="E509" s="369"/>
      <c r="F509" s="369"/>
      <c r="G509" s="30" t="s">
        <v>29</v>
      </c>
      <c r="H509" s="376" t="e">
        <f>IF(($L$1-(C493+C494+C495+C496))&gt;12,0,F490*8%)</f>
        <v>#REF!</v>
      </c>
      <c r="I509" s="376"/>
      <c r="J509" s="376"/>
      <c r="K509" s="39" t="s">
        <v>34</v>
      </c>
      <c r="M509" s="368" t="s">
        <v>67</v>
      </c>
      <c r="N509" s="369"/>
      <c r="O509" s="369"/>
      <c r="P509" s="369"/>
      <c r="Q509" s="369"/>
      <c r="R509" s="369"/>
      <c r="S509" s="30" t="s">
        <v>29</v>
      </c>
      <c r="T509" s="376" t="e">
        <f>IF(($L$1-(O493+O494+O495+O496))&gt;12,0,R490*8%)</f>
        <v>#REF!</v>
      </c>
      <c r="U509" s="376"/>
      <c r="V509" s="376"/>
      <c r="W509" s="39" t="s">
        <v>34</v>
      </c>
    </row>
    <row r="510" spans="1:24" ht="18.75" customHeight="1">
      <c r="A510" s="368" t="s">
        <v>68</v>
      </c>
      <c r="B510" s="369"/>
      <c r="C510" s="369"/>
      <c r="D510" s="369"/>
      <c r="E510" s="369"/>
      <c r="F510" s="369"/>
      <c r="G510" s="30" t="s">
        <v>29</v>
      </c>
      <c r="H510" s="370" t="e">
        <f>IF(($L$1-(C493+C494+C495+C496))&gt;12,0,F490*1.5%)</f>
        <v>#REF!</v>
      </c>
      <c r="I510" s="370"/>
      <c r="J510" s="370"/>
      <c r="K510" s="39" t="s">
        <v>34</v>
      </c>
      <c r="M510" s="368" t="s">
        <v>68</v>
      </c>
      <c r="N510" s="369"/>
      <c r="O510" s="369"/>
      <c r="P510" s="369"/>
      <c r="Q510" s="369"/>
      <c r="R510" s="369"/>
      <c r="S510" s="30" t="s">
        <v>29</v>
      </c>
      <c r="T510" s="370" t="e">
        <f>IF(($L$1-(O493+O494+O495+O496))&gt;12,0,R490*1.5%)</f>
        <v>#REF!</v>
      </c>
      <c r="U510" s="370"/>
      <c r="V510" s="370"/>
      <c r="W510" s="39" t="s">
        <v>34</v>
      </c>
    </row>
    <row r="511" spans="1:24" ht="18.75" customHeight="1">
      <c r="A511" s="368" t="s">
        <v>69</v>
      </c>
      <c r="B511" s="369"/>
      <c r="C511" s="369"/>
      <c r="D511" s="369"/>
      <c r="E511" s="369"/>
      <c r="F511" s="369"/>
      <c r="G511" s="30" t="s">
        <v>29</v>
      </c>
      <c r="H511" s="370" t="e">
        <f>IF(($L$1-(C493+C494+C495+C496))&gt;12,0,F490*1%)</f>
        <v>#REF!</v>
      </c>
      <c r="I511" s="370"/>
      <c r="J511" s="370"/>
      <c r="K511" s="39" t="s">
        <v>34</v>
      </c>
      <c r="M511" s="368" t="s">
        <v>69</v>
      </c>
      <c r="N511" s="369"/>
      <c r="O511" s="369"/>
      <c r="P511" s="369"/>
      <c r="Q511" s="369"/>
      <c r="R511" s="369"/>
      <c r="S511" s="30" t="s">
        <v>29</v>
      </c>
      <c r="T511" s="370" t="e">
        <f>IF(($L$1-(O493+O494+O495+O496))&gt;12,0,R490*1%)</f>
        <v>#REF!</v>
      </c>
      <c r="U511" s="370"/>
      <c r="V511" s="370"/>
      <c r="W511" s="39" t="s">
        <v>34</v>
      </c>
    </row>
    <row r="512" spans="1:24" ht="18.75" customHeight="1">
      <c r="A512" s="368" t="s">
        <v>70</v>
      </c>
      <c r="B512" s="369"/>
      <c r="C512" s="369"/>
      <c r="D512" s="369"/>
      <c r="E512" s="369"/>
      <c r="F512" s="369"/>
      <c r="G512" s="30" t="s">
        <v>29</v>
      </c>
      <c r="H512" s="370">
        <v>0</v>
      </c>
      <c r="I512" s="370"/>
      <c r="J512" s="370"/>
      <c r="K512" s="39" t="s">
        <v>34</v>
      </c>
      <c r="M512" s="368" t="s">
        <v>70</v>
      </c>
      <c r="N512" s="369"/>
      <c r="O512" s="369"/>
      <c r="P512" s="369"/>
      <c r="Q512" s="369"/>
      <c r="R512" s="369"/>
      <c r="S512" s="30" t="s">
        <v>29</v>
      </c>
      <c r="T512" s="370">
        <v>0</v>
      </c>
      <c r="U512" s="370"/>
      <c r="V512" s="370"/>
      <c r="W512" s="39" t="s">
        <v>34</v>
      </c>
    </row>
    <row r="513" spans="1:24" ht="18.75" customHeight="1">
      <c r="A513" s="371" t="s">
        <v>71</v>
      </c>
      <c r="B513" s="372"/>
      <c r="C513" s="372"/>
      <c r="D513" s="372"/>
      <c r="E513" s="372"/>
      <c r="F513" s="372"/>
      <c r="G513" s="30" t="s">
        <v>29</v>
      </c>
      <c r="H513" s="373" t="e">
        <f>SUM(H509:J512)</f>
        <v>#REF!</v>
      </c>
      <c r="I513" s="373"/>
      <c r="J513" s="373"/>
      <c r="K513" s="39" t="s">
        <v>34</v>
      </c>
      <c r="M513" s="371" t="s">
        <v>71</v>
      </c>
      <c r="N513" s="372"/>
      <c r="O513" s="372"/>
      <c r="P513" s="372"/>
      <c r="Q513" s="372"/>
      <c r="R513" s="372"/>
      <c r="S513" s="30" t="s">
        <v>29</v>
      </c>
      <c r="T513" s="373" t="e">
        <f>SUM(T509:V512)</f>
        <v>#REF!</v>
      </c>
      <c r="U513" s="373"/>
      <c r="V513" s="373"/>
      <c r="W513" s="39" t="s">
        <v>34</v>
      </c>
    </row>
    <row r="514" spans="1:24" ht="18.75" customHeight="1">
      <c r="A514" s="368" t="s">
        <v>72</v>
      </c>
      <c r="B514" s="369"/>
      <c r="C514" s="369"/>
      <c r="D514" s="369"/>
      <c r="E514" s="369"/>
      <c r="F514" s="369"/>
      <c r="G514" s="30" t="s">
        <v>29</v>
      </c>
      <c r="H514" s="381" t="e">
        <f>ROUND(H506-H513,-2)</f>
        <v>#REF!</v>
      </c>
      <c r="I514" s="381"/>
      <c r="J514" s="381"/>
      <c r="K514" s="39" t="s">
        <v>34</v>
      </c>
      <c r="M514" s="368" t="s">
        <v>72</v>
      </c>
      <c r="N514" s="369"/>
      <c r="O514" s="369"/>
      <c r="P514" s="369"/>
      <c r="Q514" s="369"/>
      <c r="R514" s="369"/>
      <c r="S514" s="30" t="s">
        <v>29</v>
      </c>
      <c r="T514" s="381" t="e">
        <f>ROUND(T506-T513,-2)</f>
        <v>#REF!</v>
      </c>
      <c r="U514" s="381"/>
      <c r="V514" s="381"/>
      <c r="W514" s="39" t="s">
        <v>34</v>
      </c>
    </row>
    <row r="515" spans="1:24" ht="18.75" customHeight="1">
      <c r="A515" s="48"/>
      <c r="B515" s="49"/>
      <c r="C515" s="49"/>
      <c r="D515" s="49"/>
      <c r="E515" s="49"/>
      <c r="F515" s="49"/>
      <c r="G515" s="49"/>
      <c r="H515" s="49"/>
      <c r="I515" s="49"/>
      <c r="J515" s="49"/>
      <c r="K515" s="50"/>
      <c r="M515" s="48"/>
      <c r="N515" s="49"/>
      <c r="O515" s="49"/>
      <c r="P515" s="49"/>
      <c r="Q515" s="49"/>
      <c r="R515" s="49"/>
      <c r="S515" s="49"/>
      <c r="T515" s="49"/>
      <c r="U515" s="49"/>
      <c r="V515" s="49"/>
      <c r="W515" s="50"/>
    </row>
    <row r="516" spans="1:24" ht="18.75" customHeight="1">
      <c r="A516" s="51"/>
      <c r="B516" s="30"/>
      <c r="C516" s="30"/>
      <c r="D516" s="30"/>
      <c r="E516" s="30"/>
      <c r="F516" s="30"/>
      <c r="G516" s="30"/>
      <c r="H516" s="30"/>
      <c r="I516" s="378" t="s">
        <v>73</v>
      </c>
      <c r="J516" s="378"/>
      <c r="K516" s="382"/>
      <c r="M516" s="51"/>
      <c r="N516" s="30"/>
      <c r="O516" s="30"/>
      <c r="P516" s="30"/>
      <c r="Q516" s="30"/>
      <c r="R516" s="30"/>
      <c r="S516" s="30"/>
      <c r="T516" s="30"/>
      <c r="U516" s="378" t="s">
        <v>73</v>
      </c>
      <c r="V516" s="378"/>
      <c r="W516" s="382"/>
    </row>
    <row r="517" spans="1:24" ht="18.75" customHeight="1">
      <c r="A517" s="51"/>
      <c r="B517" s="377"/>
      <c r="C517" s="378"/>
      <c r="D517" s="378"/>
      <c r="E517" s="378"/>
      <c r="F517" s="30"/>
      <c r="G517" s="30"/>
      <c r="H517" s="30"/>
      <c r="I517" s="30"/>
      <c r="J517" s="30"/>
      <c r="K517" s="32"/>
      <c r="M517" s="51"/>
      <c r="N517" s="377"/>
      <c r="O517" s="378"/>
      <c r="P517" s="378"/>
      <c r="Q517" s="378"/>
      <c r="R517" s="30"/>
      <c r="S517" s="30"/>
      <c r="T517" s="30"/>
      <c r="U517" s="30"/>
      <c r="V517" s="30"/>
      <c r="W517" s="32"/>
    </row>
    <row r="518" spans="1:24" ht="18.75" customHeight="1" thickBot="1">
      <c r="A518" s="53"/>
      <c r="B518" s="54"/>
      <c r="C518" s="54"/>
      <c r="D518" s="54"/>
      <c r="E518" s="54"/>
      <c r="F518" s="54"/>
      <c r="G518" s="54"/>
      <c r="H518" s="54"/>
      <c r="I518" s="379" t="s">
        <v>74</v>
      </c>
      <c r="J518" s="379"/>
      <c r="K518" s="380"/>
      <c r="M518" s="53"/>
      <c r="N518" s="54"/>
      <c r="O518" s="54"/>
      <c r="P518" s="54"/>
      <c r="Q518" s="54"/>
      <c r="R518" s="54"/>
      <c r="S518" s="54"/>
      <c r="T518" s="54"/>
      <c r="U518" s="379" t="s">
        <v>74</v>
      </c>
      <c r="V518" s="379"/>
      <c r="W518" s="380"/>
    </row>
    <row r="519" spans="1:24" ht="18.75" customHeight="1" thickTop="1" thickBot="1"/>
    <row r="520" spans="1:24" ht="18.75" customHeight="1" thickTop="1">
      <c r="A520" s="351" t="s">
        <v>160</v>
      </c>
      <c r="B520" s="352"/>
      <c r="C520" s="352"/>
      <c r="D520" s="352"/>
      <c r="E520" s="352"/>
      <c r="F520" s="352"/>
      <c r="G520" s="352"/>
      <c r="H520" s="352"/>
      <c r="I520" s="352"/>
      <c r="J520" s="352"/>
      <c r="K520" s="353"/>
      <c r="L520" s="26">
        <v>26</v>
      </c>
      <c r="M520" s="351" t="s">
        <v>160</v>
      </c>
      <c r="N520" s="352"/>
      <c r="O520" s="352"/>
      <c r="P520" s="352"/>
      <c r="Q520" s="352"/>
      <c r="R520" s="352"/>
      <c r="S520" s="352"/>
      <c r="T520" s="352"/>
      <c r="U520" s="352"/>
      <c r="V520" s="352"/>
      <c r="W520" s="353"/>
      <c r="X520" s="26">
        <v>26</v>
      </c>
    </row>
    <row r="521" spans="1:24" ht="18.75" customHeight="1">
      <c r="A521" s="27" t="s">
        <v>103</v>
      </c>
      <c r="B521" s="28"/>
      <c r="C521" s="28"/>
      <c r="D521" s="28"/>
      <c r="E521" s="28"/>
      <c r="F521" s="28"/>
      <c r="G521" s="28"/>
      <c r="H521" s="28"/>
      <c r="I521" s="28"/>
      <c r="J521" s="28"/>
      <c r="K521" s="29"/>
      <c r="M521" s="27" t="s">
        <v>104</v>
      </c>
      <c r="N521" s="28"/>
      <c r="O521" s="28"/>
      <c r="P521" s="28"/>
      <c r="Q521" s="28"/>
      <c r="R521" s="28"/>
      <c r="S521" s="28"/>
      <c r="T521" s="28"/>
      <c r="U521" s="28"/>
      <c r="V521" s="28"/>
      <c r="W521" s="29"/>
    </row>
    <row r="522" spans="1:24" ht="18.75" customHeight="1">
      <c r="A522" s="354" t="s">
        <v>27</v>
      </c>
      <c r="B522" s="355"/>
      <c r="C522" s="355"/>
      <c r="D522" s="355"/>
      <c r="E522" s="355"/>
      <c r="F522" s="355"/>
      <c r="G522" s="355"/>
      <c r="H522" s="355"/>
      <c r="I522" s="355"/>
      <c r="J522" s="355"/>
      <c r="K522" s="356"/>
      <c r="M522" s="354" t="s">
        <v>27</v>
      </c>
      <c r="N522" s="355"/>
      <c r="O522" s="355"/>
      <c r="P522" s="355"/>
      <c r="Q522" s="355"/>
      <c r="R522" s="355"/>
      <c r="S522" s="355"/>
      <c r="T522" s="355"/>
      <c r="U522" s="355"/>
      <c r="V522" s="355"/>
      <c r="W522" s="356"/>
    </row>
    <row r="523" spans="1:24" ht="18.75" customHeight="1">
      <c r="A523" s="347" t="s">
        <v>28</v>
      </c>
      <c r="B523" s="31"/>
      <c r="C523" s="31"/>
      <c r="D523" s="31"/>
      <c r="E523" s="30" t="s">
        <v>29</v>
      </c>
      <c r="F523" s="348">
        <f>'Bang TH nop'!B65</f>
        <v>0</v>
      </c>
      <c r="G523" s="31"/>
      <c r="H523" s="31"/>
      <c r="I523" s="31"/>
      <c r="J523" s="31"/>
      <c r="K523" s="350"/>
      <c r="M523" s="347" t="s">
        <v>28</v>
      </c>
      <c r="N523" s="31"/>
      <c r="O523" s="31"/>
      <c r="P523" s="31"/>
      <c r="Q523" s="30" t="s">
        <v>29</v>
      </c>
      <c r="R523" s="348">
        <f>'Bang TH nop'!B67</f>
        <v>0</v>
      </c>
      <c r="S523" s="31"/>
      <c r="T523" s="31"/>
      <c r="U523" s="31"/>
      <c r="V523" s="31"/>
      <c r="W523" s="350"/>
    </row>
    <row r="524" spans="1:24" ht="18.75" customHeight="1">
      <c r="A524" s="347" t="s">
        <v>30</v>
      </c>
      <c r="B524" s="31"/>
      <c r="C524" s="31"/>
      <c r="D524" s="31"/>
      <c r="E524" s="30" t="s">
        <v>29</v>
      </c>
      <c r="F524" s="348">
        <f>'Bang TH nop'!C65</f>
        <v>0</v>
      </c>
      <c r="G524" s="348"/>
      <c r="H524" s="348"/>
      <c r="I524" s="348"/>
      <c r="J524" s="348"/>
      <c r="K524" s="349"/>
      <c r="M524" s="347" t="s">
        <v>30</v>
      </c>
      <c r="N524" s="31"/>
      <c r="O524" s="31"/>
      <c r="P524" s="31"/>
      <c r="Q524" s="30" t="s">
        <v>29</v>
      </c>
      <c r="R524" s="348">
        <f>'Bang TH nop'!C67</f>
        <v>0</v>
      </c>
      <c r="S524" s="348"/>
      <c r="T524" s="348"/>
      <c r="U524" s="348"/>
      <c r="V524" s="348"/>
      <c r="W524" s="349"/>
    </row>
    <row r="525" spans="1:24" ht="18.75" customHeight="1">
      <c r="A525" s="347" t="s">
        <v>31</v>
      </c>
      <c r="B525" s="31"/>
      <c r="C525" s="31"/>
      <c r="D525" s="31"/>
      <c r="E525" s="30" t="s">
        <v>29</v>
      </c>
      <c r="F525" s="31" t="str">
        <f>+$L$2</f>
        <v xml:space="preserve">Tổ  </v>
      </c>
      <c r="G525" s="31"/>
      <c r="H525" s="31"/>
      <c r="I525" s="31"/>
      <c r="J525" s="31"/>
      <c r="K525" s="350"/>
      <c r="M525" s="347" t="s">
        <v>31</v>
      </c>
      <c r="N525" s="31"/>
      <c r="O525" s="31"/>
      <c r="P525" s="31"/>
      <c r="Q525" s="30" t="s">
        <v>29</v>
      </c>
      <c r="R525" s="31" t="str">
        <f>+$L$2</f>
        <v xml:space="preserve">Tổ  </v>
      </c>
      <c r="S525" s="31"/>
      <c r="T525" s="31"/>
      <c r="U525" s="31"/>
      <c r="V525" s="31"/>
      <c r="W525" s="350"/>
    </row>
    <row r="526" spans="1:24" ht="18.75" customHeight="1">
      <c r="A526" s="354" t="s">
        <v>32</v>
      </c>
      <c r="B526" s="355"/>
      <c r="C526" s="355"/>
      <c r="D526" s="355"/>
      <c r="E526" s="355"/>
      <c r="F526" s="355"/>
      <c r="G526" s="355"/>
      <c r="H526" s="355"/>
      <c r="I526" s="355"/>
      <c r="J526" s="355"/>
      <c r="K526" s="356"/>
      <c r="M526" s="354" t="s">
        <v>32</v>
      </c>
      <c r="N526" s="355"/>
      <c r="O526" s="355"/>
      <c r="P526" s="355"/>
      <c r="Q526" s="355"/>
      <c r="R526" s="355"/>
      <c r="S526" s="355"/>
      <c r="T526" s="355"/>
      <c r="U526" s="355"/>
      <c r="V526" s="355"/>
      <c r="W526" s="356"/>
    </row>
    <row r="527" spans="1:24" ht="18.75" customHeight="1">
      <c r="A527" s="347" t="s">
        <v>33</v>
      </c>
      <c r="B527" s="31"/>
      <c r="C527" s="31"/>
      <c r="D527" s="31"/>
      <c r="E527" s="30" t="s">
        <v>29</v>
      </c>
      <c r="F527" s="361">
        <f>VLOOKUP(F524,'Bang TH nop'!$C$9:$AP$266,29,0)</f>
        <v>0</v>
      </c>
      <c r="G527" s="361"/>
      <c r="H527" s="361"/>
      <c r="I527" s="361"/>
      <c r="J527" s="30" t="s">
        <v>34</v>
      </c>
      <c r="K527" s="32"/>
      <c r="M527" s="347" t="s">
        <v>33</v>
      </c>
      <c r="N527" s="31"/>
      <c r="O527" s="31"/>
      <c r="P527" s="31"/>
      <c r="Q527" s="30" t="s">
        <v>29</v>
      </c>
      <c r="R527" s="361">
        <f>VLOOKUP(R524,'Bang TH nop'!$C$9:$AP$266,29,0)</f>
        <v>0</v>
      </c>
      <c r="S527" s="361"/>
      <c r="T527" s="361"/>
      <c r="U527" s="361"/>
      <c r="V527" s="30" t="s">
        <v>34</v>
      </c>
      <c r="W527" s="32"/>
    </row>
    <row r="528" spans="1:24" ht="18.75" customHeight="1">
      <c r="A528" s="33" t="s">
        <v>35</v>
      </c>
      <c r="B528" s="30"/>
      <c r="C528" s="34"/>
      <c r="D528" s="35"/>
      <c r="E528" s="36"/>
      <c r="F528" s="36"/>
      <c r="G528" s="36"/>
      <c r="H528" s="30"/>
      <c r="I528" s="37" t="e">
        <f>#REF!</f>
        <v>#REF!</v>
      </c>
      <c r="J528" s="38"/>
      <c r="K528" s="39"/>
      <c r="M528" s="33" t="s">
        <v>35</v>
      </c>
      <c r="N528" s="30"/>
      <c r="O528" s="34"/>
      <c r="P528" s="35"/>
      <c r="Q528" s="36"/>
      <c r="R528" s="36"/>
      <c r="S528" s="36"/>
      <c r="T528" s="30"/>
      <c r="U528" s="37" t="e">
        <f>#REF!</f>
        <v>#REF!</v>
      </c>
      <c r="V528" s="38"/>
      <c r="W528" s="39"/>
    </row>
    <row r="529" spans="1:24" ht="18.75" customHeight="1">
      <c r="A529" s="33" t="s">
        <v>36</v>
      </c>
      <c r="B529" s="30"/>
      <c r="C529" s="34"/>
      <c r="D529" s="35"/>
      <c r="E529" s="36"/>
      <c r="F529" s="36"/>
      <c r="G529" s="36"/>
      <c r="H529" s="30"/>
      <c r="I529" s="37" t="e">
        <f>I530/C530/8</f>
        <v>#REF!</v>
      </c>
      <c r="J529" s="38"/>
      <c r="K529" s="39"/>
      <c r="M529" s="33" t="s">
        <v>36</v>
      </c>
      <c r="N529" s="30"/>
      <c r="O529" s="34"/>
      <c r="P529" s="35"/>
      <c r="Q529" s="36"/>
      <c r="R529" s="36"/>
      <c r="S529" s="36"/>
      <c r="T529" s="30"/>
      <c r="U529" s="37" t="e">
        <f>U530/O530/8</f>
        <v>#REF!</v>
      </c>
      <c r="V529" s="38"/>
      <c r="W529" s="39"/>
    </row>
    <row r="530" spans="1:24" ht="18.75" customHeight="1">
      <c r="A530" s="33" t="s">
        <v>37</v>
      </c>
      <c r="B530" s="30" t="s">
        <v>29</v>
      </c>
      <c r="C530" s="34" t="e">
        <f>#REF!</f>
        <v>#REF!</v>
      </c>
      <c r="D530" s="35" t="s">
        <v>38</v>
      </c>
      <c r="E530" s="359" t="s">
        <v>39</v>
      </c>
      <c r="F530" s="359"/>
      <c r="G530" s="359"/>
      <c r="H530" s="30" t="s">
        <v>29</v>
      </c>
      <c r="I530" s="360" t="e">
        <f>#REF!</f>
        <v>#REF!</v>
      </c>
      <c r="J530" s="360"/>
      <c r="K530" s="39" t="s">
        <v>34</v>
      </c>
      <c r="L530" s="40" t="e">
        <f>F527/L520*C530</f>
        <v>#REF!</v>
      </c>
      <c r="M530" s="33" t="s">
        <v>37</v>
      </c>
      <c r="N530" s="30" t="s">
        <v>29</v>
      </c>
      <c r="O530" s="34" t="e">
        <f>#REF!</f>
        <v>#REF!</v>
      </c>
      <c r="P530" s="35" t="s">
        <v>38</v>
      </c>
      <c r="Q530" s="359" t="s">
        <v>39</v>
      </c>
      <c r="R530" s="359"/>
      <c r="S530" s="359"/>
      <c r="T530" s="30" t="s">
        <v>29</v>
      </c>
      <c r="U530" s="360" t="e">
        <f>#REF!</f>
        <v>#REF!</v>
      </c>
      <c r="V530" s="360"/>
      <c r="W530" s="39" t="s">
        <v>34</v>
      </c>
      <c r="X530" s="40" t="e">
        <f>R527/X520*O530</f>
        <v>#REF!</v>
      </c>
    </row>
    <row r="531" spans="1:24" ht="18.75" customHeight="1">
      <c r="A531" s="33" t="s">
        <v>40</v>
      </c>
      <c r="B531" s="30" t="s">
        <v>29</v>
      </c>
      <c r="C531" s="34" t="e">
        <f>#REF!</f>
        <v>#REF!</v>
      </c>
      <c r="D531" s="35" t="s">
        <v>38</v>
      </c>
      <c r="E531" s="31" t="s">
        <v>41</v>
      </c>
      <c r="F531" s="31"/>
      <c r="G531" s="31"/>
      <c r="H531" s="30" t="s">
        <v>29</v>
      </c>
      <c r="I531" s="358" t="e">
        <f>$F$8/$L$1*C531</f>
        <v>#REF!</v>
      </c>
      <c r="J531" s="358"/>
      <c r="K531" s="39" t="s">
        <v>34</v>
      </c>
      <c r="L531" s="40"/>
      <c r="M531" s="33" t="s">
        <v>40</v>
      </c>
      <c r="N531" s="30" t="s">
        <v>29</v>
      </c>
      <c r="O531" s="34" t="e">
        <f>#REF!</f>
        <v>#REF!</v>
      </c>
      <c r="P531" s="35" t="s">
        <v>38</v>
      </c>
      <c r="Q531" s="31" t="s">
        <v>41</v>
      </c>
      <c r="R531" s="31"/>
      <c r="S531" s="31"/>
      <c r="T531" s="30" t="s">
        <v>29</v>
      </c>
      <c r="U531" s="358" t="e">
        <f>$F$8/$L$1*O531</f>
        <v>#REF!</v>
      </c>
      <c r="V531" s="358"/>
      <c r="W531" s="39" t="s">
        <v>34</v>
      </c>
      <c r="X531" s="40"/>
    </row>
    <row r="532" spans="1:24" ht="18.75" customHeight="1">
      <c r="A532" s="33" t="s">
        <v>42</v>
      </c>
      <c r="B532" s="30" t="s">
        <v>29</v>
      </c>
      <c r="C532" s="34" t="e">
        <f>#REF!</f>
        <v>#REF!</v>
      </c>
      <c r="D532" s="35" t="s">
        <v>38</v>
      </c>
      <c r="E532" s="357" t="s">
        <v>43</v>
      </c>
      <c r="F532" s="357"/>
      <c r="G532" s="357"/>
      <c r="H532" s="30" t="s">
        <v>29</v>
      </c>
      <c r="I532" s="358" t="e">
        <f>$F$8/$L$1*C532</f>
        <v>#REF!</v>
      </c>
      <c r="J532" s="358"/>
      <c r="K532" s="39" t="s">
        <v>34</v>
      </c>
      <c r="L532" s="40"/>
      <c r="M532" s="33" t="s">
        <v>42</v>
      </c>
      <c r="N532" s="30" t="s">
        <v>29</v>
      </c>
      <c r="O532" s="34" t="e">
        <f>#REF!</f>
        <v>#REF!</v>
      </c>
      <c r="P532" s="35" t="s">
        <v>38</v>
      </c>
      <c r="Q532" s="357" t="s">
        <v>43</v>
      </c>
      <c r="R532" s="357"/>
      <c r="S532" s="357"/>
      <c r="T532" s="30" t="s">
        <v>29</v>
      </c>
      <c r="U532" s="358" t="e">
        <f>$F$8/$L$1*O532</f>
        <v>#REF!</v>
      </c>
      <c r="V532" s="358"/>
      <c r="W532" s="39" t="s">
        <v>34</v>
      </c>
      <c r="X532" s="40"/>
    </row>
    <row r="533" spans="1:24" ht="18.75" customHeight="1">
      <c r="A533" s="33" t="s">
        <v>44</v>
      </c>
      <c r="B533" s="30" t="s">
        <v>29</v>
      </c>
      <c r="C533" s="34" t="e">
        <f>#REF!</f>
        <v>#REF!</v>
      </c>
      <c r="D533" s="35" t="s">
        <v>38</v>
      </c>
      <c r="E533" s="357" t="s">
        <v>45</v>
      </c>
      <c r="F533" s="357"/>
      <c r="G533" s="357"/>
      <c r="H533" s="30" t="s">
        <v>29</v>
      </c>
      <c r="I533" s="358" t="e">
        <f>$F$8/$L$1*C533</f>
        <v>#REF!</v>
      </c>
      <c r="J533" s="358"/>
      <c r="K533" s="39" t="s">
        <v>34</v>
      </c>
      <c r="L533" s="40"/>
      <c r="M533" s="33" t="s">
        <v>44</v>
      </c>
      <c r="N533" s="30" t="s">
        <v>29</v>
      </c>
      <c r="O533" s="34" t="e">
        <f>#REF!</f>
        <v>#REF!</v>
      </c>
      <c r="P533" s="35" t="s">
        <v>38</v>
      </c>
      <c r="Q533" s="357" t="s">
        <v>45</v>
      </c>
      <c r="R533" s="357"/>
      <c r="S533" s="357"/>
      <c r="T533" s="30" t="s">
        <v>29</v>
      </c>
      <c r="U533" s="358" t="e">
        <f>$F$8/$L$1*O533</f>
        <v>#REF!</v>
      </c>
      <c r="V533" s="358"/>
      <c r="W533" s="39" t="s">
        <v>34</v>
      </c>
      <c r="X533" s="40"/>
    </row>
    <row r="534" spans="1:24" ht="18.75" customHeight="1">
      <c r="A534" s="33" t="s">
        <v>46</v>
      </c>
      <c r="B534" s="30" t="s">
        <v>29</v>
      </c>
      <c r="C534" s="34" t="e">
        <f>#REF!</f>
        <v>#REF!</v>
      </c>
      <c r="D534" s="35" t="s">
        <v>47</v>
      </c>
      <c r="E534" s="31" t="s">
        <v>48</v>
      </c>
      <c r="F534" s="31"/>
      <c r="G534" s="31"/>
      <c r="H534" s="30" t="s">
        <v>29</v>
      </c>
      <c r="I534" s="358" t="e">
        <f>#REF!</f>
        <v>#REF!</v>
      </c>
      <c r="J534" s="358"/>
      <c r="K534" s="39" t="s">
        <v>34</v>
      </c>
      <c r="L534" s="40" t="e">
        <f>F527*C534/L520/8*1.5</f>
        <v>#REF!</v>
      </c>
      <c r="M534" s="33" t="s">
        <v>46</v>
      </c>
      <c r="N534" s="30" t="s">
        <v>29</v>
      </c>
      <c r="O534" s="34" t="e">
        <f>#REF!</f>
        <v>#REF!</v>
      </c>
      <c r="P534" s="35" t="s">
        <v>47</v>
      </c>
      <c r="Q534" s="31" t="s">
        <v>48</v>
      </c>
      <c r="R534" s="31"/>
      <c r="S534" s="31"/>
      <c r="T534" s="30" t="s">
        <v>29</v>
      </c>
      <c r="U534" s="358" t="e">
        <f>#REF!</f>
        <v>#REF!</v>
      </c>
      <c r="V534" s="358"/>
      <c r="W534" s="39" t="s">
        <v>34</v>
      </c>
      <c r="X534" s="40" t="e">
        <f>R527*O534/X520/8*1.5</f>
        <v>#REF!</v>
      </c>
    </row>
    <row r="535" spans="1:24" ht="18.75" customHeight="1">
      <c r="A535" s="347" t="s">
        <v>49</v>
      </c>
      <c r="B535" s="31"/>
      <c r="C535" s="34"/>
      <c r="D535" s="35" t="s">
        <v>38</v>
      </c>
      <c r="E535" s="31" t="s">
        <v>50</v>
      </c>
      <c r="F535" s="31"/>
      <c r="G535" s="31"/>
      <c r="H535" s="41" t="s">
        <v>29</v>
      </c>
      <c r="I535" s="358"/>
      <c r="J535" s="358"/>
      <c r="K535" s="39" t="s">
        <v>34</v>
      </c>
      <c r="L535" s="40"/>
      <c r="M535" s="347" t="s">
        <v>49</v>
      </c>
      <c r="N535" s="31"/>
      <c r="O535" s="34"/>
      <c r="P535" s="35" t="s">
        <v>38</v>
      </c>
      <c r="Q535" s="31" t="s">
        <v>50</v>
      </c>
      <c r="R535" s="31"/>
      <c r="S535" s="31"/>
      <c r="T535" s="41" t="s">
        <v>29</v>
      </c>
      <c r="U535" s="358"/>
      <c r="V535" s="358"/>
      <c r="W535" s="39" t="s">
        <v>34</v>
      </c>
      <c r="X535" s="40"/>
    </row>
    <row r="536" spans="1:24" ht="18.75" customHeight="1">
      <c r="A536" s="33" t="s">
        <v>51</v>
      </c>
      <c r="B536" s="30" t="s">
        <v>29</v>
      </c>
      <c r="C536" s="34"/>
      <c r="D536" s="35" t="s">
        <v>38</v>
      </c>
      <c r="E536" s="31" t="s">
        <v>52</v>
      </c>
      <c r="F536" s="31"/>
      <c r="G536" s="31"/>
      <c r="H536" s="30" t="s">
        <v>29</v>
      </c>
      <c r="I536" s="358"/>
      <c r="J536" s="358"/>
      <c r="K536" s="39" t="s">
        <v>34</v>
      </c>
      <c r="L536" s="40"/>
      <c r="M536" s="33" t="s">
        <v>51</v>
      </c>
      <c r="N536" s="30" t="s">
        <v>29</v>
      </c>
      <c r="O536" s="34"/>
      <c r="P536" s="35" t="s">
        <v>38</v>
      </c>
      <c r="Q536" s="31" t="s">
        <v>52</v>
      </c>
      <c r="R536" s="31"/>
      <c r="S536" s="31"/>
      <c r="T536" s="30" t="s">
        <v>29</v>
      </c>
      <c r="U536" s="358"/>
      <c r="V536" s="358"/>
      <c r="W536" s="39" t="s">
        <v>34</v>
      </c>
      <c r="X536" s="40"/>
    </row>
    <row r="537" spans="1:24" ht="18.75" customHeight="1">
      <c r="A537" s="42" t="s">
        <v>53</v>
      </c>
      <c r="B537" s="30"/>
      <c r="C537" s="34" t="e">
        <f>#REF!</f>
        <v>#REF!</v>
      </c>
      <c r="D537" s="35" t="s">
        <v>47</v>
      </c>
      <c r="E537" s="31" t="s">
        <v>54</v>
      </c>
      <c r="F537" s="31"/>
      <c r="G537" s="31"/>
      <c r="H537" s="30" t="s">
        <v>29</v>
      </c>
      <c r="I537" s="358" t="e">
        <f>$F$8*C537/8/$L$1</f>
        <v>#REF!</v>
      </c>
      <c r="J537" s="358"/>
      <c r="K537" s="39" t="s">
        <v>34</v>
      </c>
      <c r="L537" s="40"/>
      <c r="M537" s="42" t="s">
        <v>53</v>
      </c>
      <c r="N537" s="30"/>
      <c r="O537" s="34" t="e">
        <f>#REF!</f>
        <v>#REF!</v>
      </c>
      <c r="P537" s="35" t="s">
        <v>47</v>
      </c>
      <c r="Q537" s="31" t="s">
        <v>54</v>
      </c>
      <c r="R537" s="31"/>
      <c r="S537" s="31"/>
      <c r="T537" s="30" t="s">
        <v>29</v>
      </c>
      <c r="U537" s="358" t="e">
        <f>$F$8*O537/8/$L$1</f>
        <v>#REF!</v>
      </c>
      <c r="V537" s="358"/>
      <c r="W537" s="39" t="s">
        <v>34</v>
      </c>
      <c r="X537" s="40"/>
    </row>
    <row r="538" spans="1:24" ht="18.75" customHeight="1">
      <c r="A538" s="33" t="s">
        <v>155</v>
      </c>
      <c r="B538" s="30" t="s">
        <v>29</v>
      </c>
      <c r="C538" s="34"/>
      <c r="D538" s="35" t="s">
        <v>47</v>
      </c>
      <c r="E538" s="31" t="s">
        <v>61</v>
      </c>
      <c r="F538" s="31"/>
      <c r="G538" s="31"/>
      <c r="H538" s="30" t="s">
        <v>29</v>
      </c>
      <c r="I538" s="360"/>
      <c r="J538" s="360"/>
      <c r="K538" s="39" t="s">
        <v>34</v>
      </c>
      <c r="L538" s="40"/>
      <c r="M538" s="33" t="s">
        <v>155</v>
      </c>
      <c r="N538" s="30" t="s">
        <v>29</v>
      </c>
      <c r="O538" s="34"/>
      <c r="P538" s="35" t="s">
        <v>47</v>
      </c>
      <c r="Q538" s="31" t="s">
        <v>61</v>
      </c>
      <c r="R538" s="31"/>
      <c r="S538" s="31"/>
      <c r="T538" s="30" t="s">
        <v>29</v>
      </c>
      <c r="U538" s="360"/>
      <c r="V538" s="360"/>
      <c r="W538" s="39" t="s">
        <v>34</v>
      </c>
      <c r="X538" s="40"/>
    </row>
    <row r="539" spans="1:24" ht="18.75" customHeight="1">
      <c r="A539" s="33" t="s">
        <v>57</v>
      </c>
      <c r="B539" s="30" t="s">
        <v>29</v>
      </c>
      <c r="C539" s="34"/>
      <c r="D539" s="35" t="s">
        <v>58</v>
      </c>
      <c r="E539" s="31" t="s">
        <v>59</v>
      </c>
      <c r="F539" s="31"/>
      <c r="G539" s="31"/>
      <c r="H539" s="30" t="s">
        <v>29</v>
      </c>
      <c r="I539" s="358"/>
      <c r="J539" s="358"/>
      <c r="K539" s="39" t="s">
        <v>34</v>
      </c>
      <c r="L539" s="40" t="e">
        <f>+IF(L530-I530&lt;0,0,L530-I530)+IF(L534-I534&lt;0,0,L534-I534)</f>
        <v>#REF!</v>
      </c>
      <c r="M539" s="33" t="s">
        <v>57</v>
      </c>
      <c r="N539" s="30" t="s">
        <v>29</v>
      </c>
      <c r="O539" s="34"/>
      <c r="P539" s="35" t="s">
        <v>58</v>
      </c>
      <c r="Q539" s="31" t="s">
        <v>59</v>
      </c>
      <c r="R539" s="31"/>
      <c r="S539" s="31"/>
      <c r="T539" s="30" t="s">
        <v>29</v>
      </c>
      <c r="U539" s="358"/>
      <c r="V539" s="358"/>
      <c r="W539" s="39" t="s">
        <v>34</v>
      </c>
      <c r="X539" s="40" t="e">
        <f>+IF(X530-U530&lt;0,0,X530-U530)+IF(X534-U534&lt;0,0,X534-U534)</f>
        <v>#REF!</v>
      </c>
    </row>
    <row r="540" spans="1:24" ht="18.75" customHeight="1">
      <c r="A540" s="43" t="s">
        <v>152</v>
      </c>
      <c r="B540" s="44"/>
      <c r="C540" s="34"/>
      <c r="D540" s="35" t="s">
        <v>38</v>
      </c>
      <c r="E540" s="31" t="s">
        <v>153</v>
      </c>
      <c r="F540" s="31"/>
      <c r="G540" s="31"/>
      <c r="H540" s="30" t="s">
        <v>29</v>
      </c>
      <c r="I540" s="358"/>
      <c r="J540" s="358"/>
      <c r="K540" s="39" t="s">
        <v>34</v>
      </c>
      <c r="L540" s="40"/>
      <c r="M540" s="43" t="s">
        <v>152</v>
      </c>
      <c r="N540" s="44"/>
      <c r="O540" s="34"/>
      <c r="P540" s="35" t="s">
        <v>38</v>
      </c>
      <c r="Q540" s="31" t="s">
        <v>153</v>
      </c>
      <c r="R540" s="31"/>
      <c r="S540" s="31"/>
      <c r="T540" s="30" t="s">
        <v>29</v>
      </c>
      <c r="U540" s="358"/>
      <c r="V540" s="358"/>
      <c r="W540" s="39" t="s">
        <v>34</v>
      </c>
      <c r="X540" s="40"/>
    </row>
    <row r="541" spans="1:24" ht="18.75" customHeight="1">
      <c r="A541" s="366" t="s">
        <v>154</v>
      </c>
      <c r="B541" s="367"/>
      <c r="C541" s="34"/>
      <c r="D541" s="35"/>
      <c r="E541" s="36"/>
      <c r="F541" s="36"/>
      <c r="G541" s="36"/>
      <c r="H541" s="30" t="s">
        <v>29</v>
      </c>
      <c r="I541" s="358" t="e">
        <f>#REF!</f>
        <v>#REF!</v>
      </c>
      <c r="J541" s="358"/>
      <c r="K541" s="39" t="s">
        <v>34</v>
      </c>
      <c r="L541" s="40"/>
      <c r="M541" s="366" t="s">
        <v>154</v>
      </c>
      <c r="N541" s="367"/>
      <c r="O541" s="34"/>
      <c r="P541" s="35"/>
      <c r="Q541" s="36"/>
      <c r="R541" s="36"/>
      <c r="S541" s="36"/>
      <c r="T541" s="30" t="s">
        <v>29</v>
      </c>
      <c r="U541" s="358" t="e">
        <f>#REF!</f>
        <v>#REF!</v>
      </c>
      <c r="V541" s="358"/>
      <c r="W541" s="39" t="s">
        <v>34</v>
      </c>
      <c r="X541" s="40"/>
    </row>
    <row r="542" spans="1:24" ht="18.75" customHeight="1">
      <c r="A542" s="33" t="s">
        <v>63</v>
      </c>
      <c r="B542" s="30" t="s">
        <v>29</v>
      </c>
      <c r="C542" s="34"/>
      <c r="D542" s="35"/>
      <c r="E542" s="36" t="s">
        <v>64</v>
      </c>
      <c r="F542" s="36"/>
      <c r="G542" s="36"/>
      <c r="H542" s="30" t="s">
        <v>29</v>
      </c>
      <c r="I542" s="358" t="e">
        <f>L539</f>
        <v>#REF!</v>
      </c>
      <c r="J542" s="358"/>
      <c r="K542" s="39" t="s">
        <v>34</v>
      </c>
      <c r="L542" s="40"/>
      <c r="M542" s="33" t="s">
        <v>63</v>
      </c>
      <c r="N542" s="30" t="s">
        <v>29</v>
      </c>
      <c r="O542" s="34"/>
      <c r="P542" s="35"/>
      <c r="Q542" s="36" t="s">
        <v>64</v>
      </c>
      <c r="R542" s="36"/>
      <c r="S542" s="36"/>
      <c r="T542" s="30" t="s">
        <v>29</v>
      </c>
      <c r="U542" s="358" t="e">
        <f>X539</f>
        <v>#REF!</v>
      </c>
      <c r="V542" s="358"/>
      <c r="W542" s="39" t="s">
        <v>34</v>
      </c>
      <c r="X542" s="40"/>
    </row>
    <row r="543" spans="1:24" ht="18.75" customHeight="1">
      <c r="A543" s="362" t="s">
        <v>65</v>
      </c>
      <c r="B543" s="363"/>
      <c r="C543" s="363"/>
      <c r="D543" s="363"/>
      <c r="E543" s="363"/>
      <c r="F543" s="363"/>
      <c r="G543" s="30" t="s">
        <v>29</v>
      </c>
      <c r="H543" s="364" t="e">
        <f>I530+I531+I532+I533+I534+I537+I541+I542+I535+I536+I538+I539+I540+C541</f>
        <v>#REF!</v>
      </c>
      <c r="I543" s="365"/>
      <c r="J543" s="365"/>
      <c r="K543" s="39" t="s">
        <v>34</v>
      </c>
      <c r="M543" s="362" t="s">
        <v>65</v>
      </c>
      <c r="N543" s="363"/>
      <c r="O543" s="363"/>
      <c r="P543" s="363"/>
      <c r="Q543" s="363"/>
      <c r="R543" s="363"/>
      <c r="S543" s="30" t="s">
        <v>29</v>
      </c>
      <c r="T543" s="364" t="e">
        <f>U530+U531+U532+U533+U534+U537+U541+U542+U535+U536+U538+U539+U540+O541</f>
        <v>#REF!</v>
      </c>
      <c r="U543" s="365"/>
      <c r="V543" s="365"/>
      <c r="W543" s="39" t="s">
        <v>34</v>
      </c>
    </row>
    <row r="544" spans="1:24" ht="18.75" customHeight="1">
      <c r="A544" s="45"/>
      <c r="B544" s="46"/>
      <c r="C544" s="46"/>
      <c r="D544" s="46"/>
      <c r="E544" s="46"/>
      <c r="F544" s="46"/>
      <c r="G544" s="46"/>
      <c r="H544" s="46"/>
      <c r="I544" s="46"/>
      <c r="J544" s="46"/>
      <c r="K544" s="47"/>
      <c r="M544" s="45"/>
      <c r="N544" s="46"/>
      <c r="O544" s="46"/>
      <c r="P544" s="46"/>
      <c r="Q544" s="46"/>
      <c r="R544" s="46"/>
      <c r="S544" s="46"/>
      <c r="T544" s="46"/>
      <c r="U544" s="46"/>
      <c r="V544" s="46"/>
      <c r="W544" s="47"/>
    </row>
    <row r="545" spans="1:24" ht="18.75" customHeight="1">
      <c r="A545" s="374" t="s">
        <v>66</v>
      </c>
      <c r="B545" s="375"/>
      <c r="C545" s="375"/>
      <c r="D545" s="375"/>
      <c r="E545" s="375"/>
      <c r="F545" s="375"/>
      <c r="G545" s="30"/>
      <c r="H545" s="30"/>
      <c r="I545" s="30"/>
      <c r="J545" s="30"/>
      <c r="K545" s="39"/>
      <c r="M545" s="374" t="s">
        <v>66</v>
      </c>
      <c r="N545" s="375"/>
      <c r="O545" s="375"/>
      <c r="P545" s="375"/>
      <c r="Q545" s="375"/>
      <c r="R545" s="375"/>
      <c r="S545" s="30"/>
      <c r="T545" s="30"/>
      <c r="U545" s="30"/>
      <c r="V545" s="30"/>
      <c r="W545" s="39"/>
    </row>
    <row r="546" spans="1:24" ht="18.75" customHeight="1">
      <c r="A546" s="368" t="s">
        <v>67</v>
      </c>
      <c r="B546" s="369"/>
      <c r="C546" s="369"/>
      <c r="D546" s="369"/>
      <c r="E546" s="369"/>
      <c r="F546" s="369"/>
      <c r="G546" s="30" t="s">
        <v>29</v>
      </c>
      <c r="H546" s="376" t="e">
        <f>IF(($L$1-(C530+C531+C532+C533))&gt;12,0,F527*8%)</f>
        <v>#REF!</v>
      </c>
      <c r="I546" s="376"/>
      <c r="J546" s="376"/>
      <c r="K546" s="39" t="s">
        <v>34</v>
      </c>
      <c r="M546" s="368" t="s">
        <v>67</v>
      </c>
      <c r="N546" s="369"/>
      <c r="O546" s="369"/>
      <c r="P546" s="369"/>
      <c r="Q546" s="369"/>
      <c r="R546" s="369"/>
      <c r="S546" s="30" t="s">
        <v>29</v>
      </c>
      <c r="T546" s="376" t="e">
        <f>IF(($L$1-(O530+O531+O532+O533))&gt;12,0,R527*8%)</f>
        <v>#REF!</v>
      </c>
      <c r="U546" s="376"/>
      <c r="V546" s="376"/>
      <c r="W546" s="39" t="s">
        <v>34</v>
      </c>
    </row>
    <row r="547" spans="1:24" ht="18.75" customHeight="1">
      <c r="A547" s="368" t="s">
        <v>68</v>
      </c>
      <c r="B547" s="369"/>
      <c r="C547" s="369"/>
      <c r="D547" s="369"/>
      <c r="E547" s="369"/>
      <c r="F547" s="369"/>
      <c r="G547" s="30" t="s">
        <v>29</v>
      </c>
      <c r="H547" s="370" t="e">
        <f>IF(($L$1-(C530+C531+C532+C533))&gt;12,0,F527*1.5%)</f>
        <v>#REF!</v>
      </c>
      <c r="I547" s="370"/>
      <c r="J547" s="370"/>
      <c r="K547" s="39" t="s">
        <v>34</v>
      </c>
      <c r="M547" s="368" t="s">
        <v>68</v>
      </c>
      <c r="N547" s="369"/>
      <c r="O547" s="369"/>
      <c r="P547" s="369"/>
      <c r="Q547" s="369"/>
      <c r="R547" s="369"/>
      <c r="S547" s="30" t="s">
        <v>29</v>
      </c>
      <c r="T547" s="370" t="e">
        <f>IF(($L$1-(O530+O531+O532+O533))&gt;12,0,R527*1.5%)</f>
        <v>#REF!</v>
      </c>
      <c r="U547" s="370"/>
      <c r="V547" s="370"/>
      <c r="W547" s="39" t="s">
        <v>34</v>
      </c>
    </row>
    <row r="548" spans="1:24" ht="18.75" customHeight="1">
      <c r="A548" s="368" t="s">
        <v>69</v>
      </c>
      <c r="B548" s="369"/>
      <c r="C548" s="369"/>
      <c r="D548" s="369"/>
      <c r="E548" s="369"/>
      <c r="F548" s="369"/>
      <c r="G548" s="30" t="s">
        <v>29</v>
      </c>
      <c r="H548" s="370" t="e">
        <f>IF(($L$1-(C530+C531+C532+C533))&gt;12,0,F527*1%)</f>
        <v>#REF!</v>
      </c>
      <c r="I548" s="370"/>
      <c r="J548" s="370"/>
      <c r="K548" s="39" t="s">
        <v>34</v>
      </c>
      <c r="M548" s="368" t="s">
        <v>69</v>
      </c>
      <c r="N548" s="369"/>
      <c r="O548" s="369"/>
      <c r="P548" s="369"/>
      <c r="Q548" s="369"/>
      <c r="R548" s="369"/>
      <c r="S548" s="30" t="s">
        <v>29</v>
      </c>
      <c r="T548" s="370" t="e">
        <f>IF(($L$1-(O530+O531+O532+O533))&gt;12,0,R527*1%)</f>
        <v>#REF!</v>
      </c>
      <c r="U548" s="370"/>
      <c r="V548" s="370"/>
      <c r="W548" s="39" t="s">
        <v>34</v>
      </c>
    </row>
    <row r="549" spans="1:24" ht="18.75" customHeight="1">
      <c r="A549" s="368" t="s">
        <v>70</v>
      </c>
      <c r="B549" s="369"/>
      <c r="C549" s="369"/>
      <c r="D549" s="369"/>
      <c r="E549" s="369"/>
      <c r="F549" s="369"/>
      <c r="G549" s="30" t="s">
        <v>29</v>
      </c>
      <c r="H549" s="370">
        <v>0</v>
      </c>
      <c r="I549" s="370"/>
      <c r="J549" s="370"/>
      <c r="K549" s="39" t="s">
        <v>34</v>
      </c>
      <c r="M549" s="368" t="s">
        <v>70</v>
      </c>
      <c r="N549" s="369"/>
      <c r="O549" s="369"/>
      <c r="P549" s="369"/>
      <c r="Q549" s="369"/>
      <c r="R549" s="369"/>
      <c r="S549" s="30" t="s">
        <v>29</v>
      </c>
      <c r="T549" s="370">
        <v>0</v>
      </c>
      <c r="U549" s="370"/>
      <c r="V549" s="370"/>
      <c r="W549" s="39" t="s">
        <v>34</v>
      </c>
    </row>
    <row r="550" spans="1:24" ht="18.75" customHeight="1">
      <c r="A550" s="371" t="s">
        <v>71</v>
      </c>
      <c r="B550" s="372"/>
      <c r="C550" s="372"/>
      <c r="D550" s="372"/>
      <c r="E550" s="372"/>
      <c r="F550" s="372"/>
      <c r="G550" s="30" t="s">
        <v>29</v>
      </c>
      <c r="H550" s="373" t="e">
        <f>SUM(H546:J549)</f>
        <v>#REF!</v>
      </c>
      <c r="I550" s="373"/>
      <c r="J550" s="373"/>
      <c r="K550" s="39" t="s">
        <v>34</v>
      </c>
      <c r="M550" s="371" t="s">
        <v>71</v>
      </c>
      <c r="N550" s="372"/>
      <c r="O550" s="372"/>
      <c r="P550" s="372"/>
      <c r="Q550" s="372"/>
      <c r="R550" s="372"/>
      <c r="S550" s="30" t="s">
        <v>29</v>
      </c>
      <c r="T550" s="373" t="e">
        <f>SUM(T546:V549)</f>
        <v>#REF!</v>
      </c>
      <c r="U550" s="373"/>
      <c r="V550" s="373"/>
      <c r="W550" s="39" t="s">
        <v>34</v>
      </c>
    </row>
    <row r="551" spans="1:24" ht="18.75" customHeight="1">
      <c r="A551" s="368" t="s">
        <v>72</v>
      </c>
      <c r="B551" s="369"/>
      <c r="C551" s="369"/>
      <c r="D551" s="369"/>
      <c r="E551" s="369"/>
      <c r="F551" s="369"/>
      <c r="G551" s="30" t="s">
        <v>29</v>
      </c>
      <c r="H551" s="381" t="e">
        <f>ROUND(H543-H550,-2)</f>
        <v>#REF!</v>
      </c>
      <c r="I551" s="381"/>
      <c r="J551" s="381"/>
      <c r="K551" s="39" t="s">
        <v>34</v>
      </c>
      <c r="M551" s="368" t="s">
        <v>72</v>
      </c>
      <c r="N551" s="369"/>
      <c r="O551" s="369"/>
      <c r="P551" s="369"/>
      <c r="Q551" s="369"/>
      <c r="R551" s="369"/>
      <c r="S551" s="30" t="s">
        <v>29</v>
      </c>
      <c r="T551" s="381" t="e">
        <f>ROUND(T543-T550,-2)</f>
        <v>#REF!</v>
      </c>
      <c r="U551" s="381"/>
      <c r="V551" s="381"/>
      <c r="W551" s="39" t="s">
        <v>34</v>
      </c>
    </row>
    <row r="552" spans="1:24" ht="18.75" customHeight="1">
      <c r="A552" s="48"/>
      <c r="B552" s="49"/>
      <c r="C552" s="49"/>
      <c r="D552" s="49"/>
      <c r="E552" s="49"/>
      <c r="F552" s="49"/>
      <c r="G552" s="49"/>
      <c r="H552" s="49"/>
      <c r="I552" s="49"/>
      <c r="J552" s="49"/>
      <c r="K552" s="50"/>
      <c r="M552" s="48"/>
      <c r="N552" s="49"/>
      <c r="O552" s="49"/>
      <c r="P552" s="49"/>
      <c r="Q552" s="49"/>
      <c r="R552" s="49"/>
      <c r="S552" s="49"/>
      <c r="T552" s="49"/>
      <c r="U552" s="49"/>
      <c r="V552" s="49"/>
      <c r="W552" s="50"/>
    </row>
    <row r="553" spans="1:24" ht="18.75" customHeight="1">
      <c r="A553" s="51"/>
      <c r="B553" s="30"/>
      <c r="C553" s="30"/>
      <c r="D553" s="30"/>
      <c r="E553" s="30"/>
      <c r="F553" s="30"/>
      <c r="G553" s="30"/>
      <c r="H553" s="30"/>
      <c r="I553" s="378" t="s">
        <v>73</v>
      </c>
      <c r="J553" s="378"/>
      <c r="K553" s="382"/>
      <c r="M553" s="51"/>
      <c r="N553" s="30"/>
      <c r="O553" s="30"/>
      <c r="P553" s="30"/>
      <c r="Q553" s="30"/>
      <c r="R553" s="30"/>
      <c r="S553" s="30"/>
      <c r="T553" s="30"/>
      <c r="U553" s="378" t="s">
        <v>73</v>
      </c>
      <c r="V553" s="378"/>
      <c r="W553" s="382"/>
    </row>
    <row r="554" spans="1:24" ht="18.75" customHeight="1">
      <c r="A554" s="51"/>
      <c r="B554" s="377"/>
      <c r="C554" s="378"/>
      <c r="D554" s="378"/>
      <c r="E554" s="378"/>
      <c r="F554" s="30"/>
      <c r="G554" s="30"/>
      <c r="H554" s="30"/>
      <c r="I554" s="30"/>
      <c r="J554" s="30"/>
      <c r="K554" s="32"/>
      <c r="M554" s="51"/>
      <c r="N554" s="377"/>
      <c r="O554" s="378"/>
      <c r="P554" s="378"/>
      <c r="Q554" s="378"/>
      <c r="R554" s="30"/>
      <c r="S554" s="30"/>
      <c r="T554" s="30"/>
      <c r="U554" s="30"/>
      <c r="V554" s="30"/>
      <c r="W554" s="32"/>
    </row>
    <row r="555" spans="1:24" ht="18.75" customHeight="1" thickBot="1">
      <c r="A555" s="53"/>
      <c r="B555" s="54"/>
      <c r="C555" s="54"/>
      <c r="D555" s="54"/>
      <c r="E555" s="54"/>
      <c r="F555" s="54"/>
      <c r="G555" s="54"/>
      <c r="H555" s="54"/>
      <c r="I555" s="379" t="s">
        <v>74</v>
      </c>
      <c r="J555" s="379"/>
      <c r="K555" s="380"/>
      <c r="M555" s="53"/>
      <c r="N555" s="54"/>
      <c r="O555" s="54"/>
      <c r="P555" s="54"/>
      <c r="Q555" s="54"/>
      <c r="R555" s="54"/>
      <c r="S555" s="54"/>
      <c r="T555" s="54"/>
      <c r="U555" s="379" t="s">
        <v>74</v>
      </c>
      <c r="V555" s="379"/>
      <c r="W555" s="380"/>
    </row>
    <row r="556" spans="1:24" ht="18.75" customHeight="1" thickTop="1" thickBot="1"/>
    <row r="557" spans="1:24" ht="18.75" customHeight="1" thickTop="1">
      <c r="A557" s="351" t="s">
        <v>160</v>
      </c>
      <c r="B557" s="352"/>
      <c r="C557" s="352"/>
      <c r="D557" s="352"/>
      <c r="E557" s="352"/>
      <c r="F557" s="352"/>
      <c r="G557" s="352"/>
      <c r="H557" s="352"/>
      <c r="I557" s="352"/>
      <c r="J557" s="352"/>
      <c r="K557" s="353"/>
      <c r="L557" s="26">
        <v>26</v>
      </c>
      <c r="M557" s="351" t="s">
        <v>160</v>
      </c>
      <c r="N557" s="352"/>
      <c r="O557" s="352"/>
      <c r="P557" s="352"/>
      <c r="Q557" s="352"/>
      <c r="R557" s="352"/>
      <c r="S557" s="352"/>
      <c r="T557" s="352"/>
      <c r="U557" s="352"/>
      <c r="V557" s="352"/>
      <c r="W557" s="353"/>
      <c r="X557" s="26">
        <v>26</v>
      </c>
    </row>
    <row r="558" spans="1:24" ht="18.75" customHeight="1">
      <c r="A558" s="27" t="s">
        <v>105</v>
      </c>
      <c r="B558" s="28"/>
      <c r="C558" s="28"/>
      <c r="D558" s="28"/>
      <c r="E558" s="28"/>
      <c r="F558" s="28"/>
      <c r="G558" s="28"/>
      <c r="H558" s="28"/>
      <c r="I558" s="28"/>
      <c r="J558" s="28"/>
      <c r="K558" s="29"/>
      <c r="M558" s="27" t="s">
        <v>106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9"/>
    </row>
    <row r="559" spans="1:24" ht="18.75" customHeight="1">
      <c r="A559" s="354" t="s">
        <v>27</v>
      </c>
      <c r="B559" s="355"/>
      <c r="C559" s="355"/>
      <c r="D559" s="355"/>
      <c r="E559" s="355"/>
      <c r="F559" s="355"/>
      <c r="G559" s="355"/>
      <c r="H559" s="355"/>
      <c r="I559" s="355"/>
      <c r="J559" s="355"/>
      <c r="K559" s="356"/>
      <c r="M559" s="354" t="s">
        <v>27</v>
      </c>
      <c r="N559" s="355"/>
      <c r="O559" s="355"/>
      <c r="P559" s="355"/>
      <c r="Q559" s="355"/>
      <c r="R559" s="355"/>
      <c r="S559" s="355"/>
      <c r="T559" s="355"/>
      <c r="U559" s="355"/>
      <c r="V559" s="355"/>
      <c r="W559" s="356"/>
    </row>
    <row r="560" spans="1:24" ht="18.75" customHeight="1">
      <c r="A560" s="347" t="s">
        <v>28</v>
      </c>
      <c r="B560" s="31"/>
      <c r="C560" s="31"/>
      <c r="D560" s="31"/>
      <c r="E560" s="30" t="s">
        <v>29</v>
      </c>
      <c r="F560" s="348">
        <f>'Bang TH nop'!B69</f>
        <v>0</v>
      </c>
      <c r="G560" s="31"/>
      <c r="H560" s="31"/>
      <c r="I560" s="31"/>
      <c r="J560" s="31"/>
      <c r="K560" s="350"/>
      <c r="M560" s="347" t="s">
        <v>28</v>
      </c>
      <c r="N560" s="31"/>
      <c r="O560" s="31"/>
      <c r="P560" s="31"/>
      <c r="Q560" s="30" t="s">
        <v>29</v>
      </c>
      <c r="R560" s="348">
        <f>'Bang TH nop'!B71</f>
        <v>0</v>
      </c>
      <c r="S560" s="31"/>
      <c r="T560" s="31"/>
      <c r="U560" s="31"/>
      <c r="V560" s="31"/>
      <c r="W560" s="350"/>
    </row>
    <row r="561" spans="1:24" ht="18.75" customHeight="1">
      <c r="A561" s="347" t="s">
        <v>30</v>
      </c>
      <c r="B561" s="31"/>
      <c r="C561" s="31"/>
      <c r="D561" s="31"/>
      <c r="E561" s="30" t="s">
        <v>29</v>
      </c>
      <c r="F561" s="348">
        <f>'Bang TH nop'!C69</f>
        <v>0</v>
      </c>
      <c r="G561" s="348"/>
      <c r="H561" s="348"/>
      <c r="I561" s="348"/>
      <c r="J561" s="348"/>
      <c r="K561" s="349"/>
      <c r="M561" s="347" t="s">
        <v>30</v>
      </c>
      <c r="N561" s="31"/>
      <c r="O561" s="31"/>
      <c r="P561" s="31"/>
      <c r="Q561" s="30" t="s">
        <v>29</v>
      </c>
      <c r="R561" s="348">
        <f>'Bang TH nop'!C71</f>
        <v>0</v>
      </c>
      <c r="S561" s="348"/>
      <c r="T561" s="348"/>
      <c r="U561" s="348"/>
      <c r="V561" s="348"/>
      <c r="W561" s="349"/>
    </row>
    <row r="562" spans="1:24" ht="18.75" customHeight="1">
      <c r="A562" s="347" t="s">
        <v>31</v>
      </c>
      <c r="B562" s="31"/>
      <c r="C562" s="31"/>
      <c r="D562" s="31"/>
      <c r="E562" s="30" t="s">
        <v>29</v>
      </c>
      <c r="F562" s="31" t="str">
        <f>+$L$2</f>
        <v xml:space="preserve">Tổ  </v>
      </c>
      <c r="G562" s="31"/>
      <c r="H562" s="31"/>
      <c r="I562" s="31"/>
      <c r="J562" s="31"/>
      <c r="K562" s="350"/>
      <c r="M562" s="347" t="s">
        <v>31</v>
      </c>
      <c r="N562" s="31"/>
      <c r="O562" s="31"/>
      <c r="P562" s="31"/>
      <c r="Q562" s="30" t="s">
        <v>29</v>
      </c>
      <c r="R562" s="31" t="str">
        <f>+$L$2</f>
        <v xml:space="preserve">Tổ  </v>
      </c>
      <c r="S562" s="31"/>
      <c r="T562" s="31"/>
      <c r="U562" s="31"/>
      <c r="V562" s="31"/>
      <c r="W562" s="350"/>
    </row>
    <row r="563" spans="1:24" ht="18.75" customHeight="1">
      <c r="A563" s="354" t="s">
        <v>32</v>
      </c>
      <c r="B563" s="355"/>
      <c r="C563" s="355"/>
      <c r="D563" s="355"/>
      <c r="E563" s="355"/>
      <c r="F563" s="355"/>
      <c r="G563" s="355"/>
      <c r="H563" s="355"/>
      <c r="I563" s="355"/>
      <c r="J563" s="355"/>
      <c r="K563" s="356"/>
      <c r="M563" s="354" t="s">
        <v>32</v>
      </c>
      <c r="N563" s="355"/>
      <c r="O563" s="355"/>
      <c r="P563" s="355"/>
      <c r="Q563" s="355"/>
      <c r="R563" s="355"/>
      <c r="S563" s="355"/>
      <c r="T563" s="355"/>
      <c r="U563" s="355"/>
      <c r="V563" s="355"/>
      <c r="W563" s="356"/>
    </row>
    <row r="564" spans="1:24" ht="18.75" customHeight="1">
      <c r="A564" s="347" t="s">
        <v>33</v>
      </c>
      <c r="B564" s="31"/>
      <c r="C564" s="31"/>
      <c r="D564" s="31"/>
      <c r="E564" s="30" t="s">
        <v>29</v>
      </c>
      <c r="F564" s="361">
        <f>VLOOKUP(F561,'Bang TH nop'!$C$9:$AP$266,29,0)</f>
        <v>0</v>
      </c>
      <c r="G564" s="361"/>
      <c r="H564" s="361"/>
      <c r="I564" s="361"/>
      <c r="J564" s="30" t="s">
        <v>34</v>
      </c>
      <c r="K564" s="32"/>
      <c r="M564" s="347" t="s">
        <v>33</v>
      </c>
      <c r="N564" s="31"/>
      <c r="O564" s="31"/>
      <c r="P564" s="31"/>
      <c r="Q564" s="30" t="s">
        <v>29</v>
      </c>
      <c r="R564" s="361">
        <f>VLOOKUP(R561,'Bang TH nop'!$C$9:$AP$266,29,0)</f>
        <v>0</v>
      </c>
      <c r="S564" s="361"/>
      <c r="T564" s="361"/>
      <c r="U564" s="361"/>
      <c r="V564" s="30" t="s">
        <v>34</v>
      </c>
      <c r="W564" s="32"/>
    </row>
    <row r="565" spans="1:24" ht="18.75" customHeight="1">
      <c r="A565" s="33" t="s">
        <v>35</v>
      </c>
      <c r="B565" s="30"/>
      <c r="C565" s="34"/>
      <c r="D565" s="35"/>
      <c r="E565" s="36"/>
      <c r="F565" s="36"/>
      <c r="G565" s="36"/>
      <c r="H565" s="30"/>
      <c r="I565" s="37" t="e">
        <f>#REF!</f>
        <v>#REF!</v>
      </c>
      <c r="J565" s="38"/>
      <c r="K565" s="39"/>
      <c r="M565" s="33" t="s">
        <v>35</v>
      </c>
      <c r="N565" s="30"/>
      <c r="O565" s="34"/>
      <c r="P565" s="35"/>
      <c r="Q565" s="36"/>
      <c r="R565" s="36"/>
      <c r="S565" s="36"/>
      <c r="T565" s="30"/>
      <c r="U565" s="37" t="e">
        <f>#REF!</f>
        <v>#REF!</v>
      </c>
      <c r="V565" s="38"/>
      <c r="W565" s="39"/>
    </row>
    <row r="566" spans="1:24" ht="18.75" customHeight="1">
      <c r="A566" s="33" t="s">
        <v>36</v>
      </c>
      <c r="B566" s="30"/>
      <c r="C566" s="34"/>
      <c r="D566" s="35"/>
      <c r="E566" s="36"/>
      <c r="F566" s="36"/>
      <c r="G566" s="36"/>
      <c r="H566" s="30"/>
      <c r="I566" s="37" t="e">
        <f>I567/C567/8</f>
        <v>#REF!</v>
      </c>
      <c r="J566" s="38"/>
      <c r="K566" s="39"/>
      <c r="M566" s="33" t="s">
        <v>36</v>
      </c>
      <c r="N566" s="30"/>
      <c r="O566" s="34"/>
      <c r="P566" s="35"/>
      <c r="Q566" s="36"/>
      <c r="R566" s="36"/>
      <c r="S566" s="36"/>
      <c r="T566" s="30"/>
      <c r="U566" s="37" t="e">
        <f>U567/O567/8</f>
        <v>#REF!</v>
      </c>
      <c r="V566" s="38"/>
      <c r="W566" s="39"/>
    </row>
    <row r="567" spans="1:24" ht="18.75" customHeight="1">
      <c r="A567" s="33" t="s">
        <v>37</v>
      </c>
      <c r="B567" s="30" t="s">
        <v>29</v>
      </c>
      <c r="C567" s="34" t="e">
        <f>#REF!</f>
        <v>#REF!</v>
      </c>
      <c r="D567" s="35" t="s">
        <v>38</v>
      </c>
      <c r="E567" s="359" t="s">
        <v>39</v>
      </c>
      <c r="F567" s="359"/>
      <c r="G567" s="359"/>
      <c r="H567" s="30" t="s">
        <v>29</v>
      </c>
      <c r="I567" s="360" t="e">
        <f>#REF!</f>
        <v>#REF!</v>
      </c>
      <c r="J567" s="360"/>
      <c r="K567" s="39" t="s">
        <v>34</v>
      </c>
      <c r="L567" s="40" t="e">
        <f>F564/L557*C567</f>
        <v>#REF!</v>
      </c>
      <c r="M567" s="33" t="s">
        <v>37</v>
      </c>
      <c r="N567" s="30" t="s">
        <v>29</v>
      </c>
      <c r="O567" s="34" t="e">
        <f>#REF!</f>
        <v>#REF!</v>
      </c>
      <c r="P567" s="35" t="s">
        <v>38</v>
      </c>
      <c r="Q567" s="359" t="s">
        <v>39</v>
      </c>
      <c r="R567" s="359"/>
      <c r="S567" s="359"/>
      <c r="T567" s="30" t="s">
        <v>29</v>
      </c>
      <c r="U567" s="360" t="e">
        <f>#REF!</f>
        <v>#REF!</v>
      </c>
      <c r="V567" s="360"/>
      <c r="W567" s="39" t="s">
        <v>34</v>
      </c>
      <c r="X567" s="40" t="e">
        <f>R564/X557*O567</f>
        <v>#REF!</v>
      </c>
    </row>
    <row r="568" spans="1:24" ht="18.75" customHeight="1">
      <c r="A568" s="33" t="s">
        <v>40</v>
      </c>
      <c r="B568" s="30" t="s">
        <v>29</v>
      </c>
      <c r="C568" s="34" t="e">
        <f>#REF!</f>
        <v>#REF!</v>
      </c>
      <c r="D568" s="35" t="s">
        <v>38</v>
      </c>
      <c r="E568" s="31" t="s">
        <v>41</v>
      </c>
      <c r="F568" s="31"/>
      <c r="G568" s="31"/>
      <c r="H568" s="30" t="s">
        <v>29</v>
      </c>
      <c r="I568" s="358" t="e">
        <f>$F$8/$L$1*C568</f>
        <v>#REF!</v>
      </c>
      <c r="J568" s="358"/>
      <c r="K568" s="39" t="s">
        <v>34</v>
      </c>
      <c r="L568" s="40"/>
      <c r="M568" s="33" t="s">
        <v>40</v>
      </c>
      <c r="N568" s="30" t="s">
        <v>29</v>
      </c>
      <c r="O568" s="34" t="e">
        <f>#REF!</f>
        <v>#REF!</v>
      </c>
      <c r="P568" s="35" t="s">
        <v>38</v>
      </c>
      <c r="Q568" s="31" t="s">
        <v>41</v>
      </c>
      <c r="R568" s="31"/>
      <c r="S568" s="31"/>
      <c r="T568" s="30" t="s">
        <v>29</v>
      </c>
      <c r="U568" s="358" t="e">
        <f>$F$8/$L$1*O568</f>
        <v>#REF!</v>
      </c>
      <c r="V568" s="358"/>
      <c r="W568" s="39" t="s">
        <v>34</v>
      </c>
      <c r="X568" s="40"/>
    </row>
    <row r="569" spans="1:24" ht="18.75" customHeight="1">
      <c r="A569" s="33" t="s">
        <v>42</v>
      </c>
      <c r="B569" s="30" t="s">
        <v>29</v>
      </c>
      <c r="C569" s="34" t="e">
        <f>#REF!</f>
        <v>#REF!</v>
      </c>
      <c r="D569" s="35" t="s">
        <v>38</v>
      </c>
      <c r="E569" s="357" t="s">
        <v>43</v>
      </c>
      <c r="F569" s="357"/>
      <c r="G569" s="357"/>
      <c r="H569" s="30" t="s">
        <v>29</v>
      </c>
      <c r="I569" s="358" t="e">
        <f>$F$8/$L$1*C569</f>
        <v>#REF!</v>
      </c>
      <c r="J569" s="358"/>
      <c r="K569" s="39" t="s">
        <v>34</v>
      </c>
      <c r="L569" s="40"/>
      <c r="M569" s="33" t="s">
        <v>42</v>
      </c>
      <c r="N569" s="30" t="s">
        <v>29</v>
      </c>
      <c r="O569" s="34" t="e">
        <f>#REF!</f>
        <v>#REF!</v>
      </c>
      <c r="P569" s="35" t="s">
        <v>38</v>
      </c>
      <c r="Q569" s="357" t="s">
        <v>43</v>
      </c>
      <c r="R569" s="357"/>
      <c r="S569" s="357"/>
      <c r="T569" s="30" t="s">
        <v>29</v>
      </c>
      <c r="U569" s="358" t="e">
        <f>$F$8/$L$1*O569</f>
        <v>#REF!</v>
      </c>
      <c r="V569" s="358"/>
      <c r="W569" s="39" t="s">
        <v>34</v>
      </c>
      <c r="X569" s="40"/>
    </row>
    <row r="570" spans="1:24" ht="18.75" customHeight="1">
      <c r="A570" s="33" t="s">
        <v>44</v>
      </c>
      <c r="B570" s="30" t="s">
        <v>29</v>
      </c>
      <c r="C570" s="34" t="e">
        <f>#REF!</f>
        <v>#REF!</v>
      </c>
      <c r="D570" s="35" t="s">
        <v>38</v>
      </c>
      <c r="E570" s="357" t="s">
        <v>45</v>
      </c>
      <c r="F570" s="357"/>
      <c r="G570" s="357"/>
      <c r="H570" s="30" t="s">
        <v>29</v>
      </c>
      <c r="I570" s="358" t="e">
        <f>$F$8/$L$1*C570</f>
        <v>#REF!</v>
      </c>
      <c r="J570" s="358"/>
      <c r="K570" s="39" t="s">
        <v>34</v>
      </c>
      <c r="L570" s="40"/>
      <c r="M570" s="33" t="s">
        <v>44</v>
      </c>
      <c r="N570" s="30" t="s">
        <v>29</v>
      </c>
      <c r="O570" s="34" t="e">
        <f>#REF!</f>
        <v>#REF!</v>
      </c>
      <c r="P570" s="35" t="s">
        <v>38</v>
      </c>
      <c r="Q570" s="357" t="s">
        <v>45</v>
      </c>
      <c r="R570" s="357"/>
      <c r="S570" s="357"/>
      <c r="T570" s="30" t="s">
        <v>29</v>
      </c>
      <c r="U570" s="358" t="e">
        <f>$F$8/$L$1*O570</f>
        <v>#REF!</v>
      </c>
      <c r="V570" s="358"/>
      <c r="W570" s="39" t="s">
        <v>34</v>
      </c>
      <c r="X570" s="40"/>
    </row>
    <row r="571" spans="1:24" ht="18.75" customHeight="1">
      <c r="A571" s="33" t="s">
        <v>46</v>
      </c>
      <c r="B571" s="30" t="s">
        <v>29</v>
      </c>
      <c r="C571" s="34" t="e">
        <f>#REF!</f>
        <v>#REF!</v>
      </c>
      <c r="D571" s="35" t="s">
        <v>47</v>
      </c>
      <c r="E571" s="31" t="s">
        <v>48</v>
      </c>
      <c r="F571" s="31"/>
      <c r="G571" s="31"/>
      <c r="H571" s="30" t="s">
        <v>29</v>
      </c>
      <c r="I571" s="358" t="e">
        <f>#REF!</f>
        <v>#REF!</v>
      </c>
      <c r="J571" s="358"/>
      <c r="K571" s="39" t="s">
        <v>34</v>
      </c>
      <c r="L571" s="40" t="e">
        <f>F564*C571/L557/8*1.5</f>
        <v>#REF!</v>
      </c>
      <c r="M571" s="33" t="s">
        <v>46</v>
      </c>
      <c r="N571" s="30" t="s">
        <v>29</v>
      </c>
      <c r="O571" s="34" t="e">
        <f>#REF!</f>
        <v>#REF!</v>
      </c>
      <c r="P571" s="35" t="s">
        <v>47</v>
      </c>
      <c r="Q571" s="31" t="s">
        <v>48</v>
      </c>
      <c r="R571" s="31"/>
      <c r="S571" s="31"/>
      <c r="T571" s="30" t="s">
        <v>29</v>
      </c>
      <c r="U571" s="358" t="e">
        <f>#REF!</f>
        <v>#REF!</v>
      </c>
      <c r="V571" s="358"/>
      <c r="W571" s="39" t="s">
        <v>34</v>
      </c>
      <c r="X571" s="40" t="e">
        <f>R564*O571/X557/8*1.5</f>
        <v>#REF!</v>
      </c>
    </row>
    <row r="572" spans="1:24" ht="18.75" customHeight="1">
      <c r="A572" s="347" t="s">
        <v>49</v>
      </c>
      <c r="B572" s="31"/>
      <c r="C572" s="34"/>
      <c r="D572" s="35" t="s">
        <v>38</v>
      </c>
      <c r="E572" s="31" t="s">
        <v>50</v>
      </c>
      <c r="F572" s="31"/>
      <c r="G572" s="31"/>
      <c r="H572" s="41" t="s">
        <v>29</v>
      </c>
      <c r="I572" s="358"/>
      <c r="J572" s="358"/>
      <c r="K572" s="39" t="s">
        <v>34</v>
      </c>
      <c r="L572" s="40"/>
      <c r="M572" s="347" t="s">
        <v>49</v>
      </c>
      <c r="N572" s="31"/>
      <c r="O572" s="34"/>
      <c r="P572" s="35" t="s">
        <v>38</v>
      </c>
      <c r="Q572" s="31" t="s">
        <v>50</v>
      </c>
      <c r="R572" s="31"/>
      <c r="S572" s="31"/>
      <c r="T572" s="41" t="s">
        <v>29</v>
      </c>
      <c r="U572" s="358"/>
      <c r="V572" s="358"/>
      <c r="W572" s="39" t="s">
        <v>34</v>
      </c>
      <c r="X572" s="40"/>
    </row>
    <row r="573" spans="1:24" ht="18.75" customHeight="1">
      <c r="A573" s="33" t="s">
        <v>51</v>
      </c>
      <c r="B573" s="30" t="s">
        <v>29</v>
      </c>
      <c r="C573" s="34"/>
      <c r="D573" s="35" t="s">
        <v>38</v>
      </c>
      <c r="E573" s="31" t="s">
        <v>52</v>
      </c>
      <c r="F573" s="31"/>
      <c r="G573" s="31"/>
      <c r="H573" s="30" t="s">
        <v>29</v>
      </c>
      <c r="I573" s="358"/>
      <c r="J573" s="358"/>
      <c r="K573" s="39" t="s">
        <v>34</v>
      </c>
      <c r="L573" s="40"/>
      <c r="M573" s="33" t="s">
        <v>51</v>
      </c>
      <c r="N573" s="30" t="s">
        <v>29</v>
      </c>
      <c r="O573" s="34"/>
      <c r="P573" s="35" t="s">
        <v>38</v>
      </c>
      <c r="Q573" s="31" t="s">
        <v>52</v>
      </c>
      <c r="R573" s="31"/>
      <c r="S573" s="31"/>
      <c r="T573" s="30" t="s">
        <v>29</v>
      </c>
      <c r="U573" s="358"/>
      <c r="V573" s="358"/>
      <c r="W573" s="39" t="s">
        <v>34</v>
      </c>
      <c r="X573" s="40"/>
    </row>
    <row r="574" spans="1:24" ht="18.75" customHeight="1">
      <c r="A574" s="42" t="s">
        <v>53</v>
      </c>
      <c r="B574" s="30"/>
      <c r="C574" s="34" t="e">
        <f>#REF!</f>
        <v>#REF!</v>
      </c>
      <c r="D574" s="35" t="s">
        <v>47</v>
      </c>
      <c r="E574" s="31" t="s">
        <v>54</v>
      </c>
      <c r="F574" s="31"/>
      <c r="G574" s="31"/>
      <c r="H574" s="30" t="s">
        <v>29</v>
      </c>
      <c r="I574" s="358" t="e">
        <f>$F$8*C574/8/$L$1</f>
        <v>#REF!</v>
      </c>
      <c r="J574" s="358"/>
      <c r="K574" s="39" t="s">
        <v>34</v>
      </c>
      <c r="L574" s="40"/>
      <c r="M574" s="42" t="s">
        <v>53</v>
      </c>
      <c r="N574" s="30"/>
      <c r="O574" s="34" t="e">
        <f>#REF!</f>
        <v>#REF!</v>
      </c>
      <c r="P574" s="35" t="s">
        <v>47</v>
      </c>
      <c r="Q574" s="31" t="s">
        <v>54</v>
      </c>
      <c r="R574" s="31"/>
      <c r="S574" s="31"/>
      <c r="T574" s="30" t="s">
        <v>29</v>
      </c>
      <c r="U574" s="358" t="e">
        <f>$F$8*O574/8/$L$1</f>
        <v>#REF!</v>
      </c>
      <c r="V574" s="358"/>
      <c r="W574" s="39" t="s">
        <v>34</v>
      </c>
      <c r="X574" s="40"/>
    </row>
    <row r="575" spans="1:24" ht="18.75" customHeight="1">
      <c r="A575" s="33" t="s">
        <v>155</v>
      </c>
      <c r="B575" s="30" t="s">
        <v>29</v>
      </c>
      <c r="C575" s="34"/>
      <c r="D575" s="35" t="s">
        <v>47</v>
      </c>
      <c r="E575" s="31" t="s">
        <v>61</v>
      </c>
      <c r="F575" s="31"/>
      <c r="G575" s="31"/>
      <c r="H575" s="30" t="s">
        <v>29</v>
      </c>
      <c r="I575" s="360"/>
      <c r="J575" s="360"/>
      <c r="K575" s="39" t="s">
        <v>34</v>
      </c>
      <c r="L575" s="40"/>
      <c r="M575" s="33" t="s">
        <v>155</v>
      </c>
      <c r="N575" s="30" t="s">
        <v>29</v>
      </c>
      <c r="O575" s="34"/>
      <c r="P575" s="35" t="s">
        <v>47</v>
      </c>
      <c r="Q575" s="31" t="s">
        <v>61</v>
      </c>
      <c r="R575" s="31"/>
      <c r="S575" s="31"/>
      <c r="T575" s="30" t="s">
        <v>29</v>
      </c>
      <c r="U575" s="360"/>
      <c r="V575" s="360"/>
      <c r="W575" s="39" t="s">
        <v>34</v>
      </c>
      <c r="X575" s="40"/>
    </row>
    <row r="576" spans="1:24" ht="18.75" customHeight="1">
      <c r="A576" s="33" t="s">
        <v>57</v>
      </c>
      <c r="B576" s="30" t="s">
        <v>29</v>
      </c>
      <c r="C576" s="34"/>
      <c r="D576" s="35" t="s">
        <v>58</v>
      </c>
      <c r="E576" s="31" t="s">
        <v>59</v>
      </c>
      <c r="F576" s="31"/>
      <c r="G576" s="31"/>
      <c r="H576" s="30" t="s">
        <v>29</v>
      </c>
      <c r="I576" s="358"/>
      <c r="J576" s="358"/>
      <c r="K576" s="39" t="s">
        <v>34</v>
      </c>
      <c r="L576" s="40" t="e">
        <f>+IF(L567-I567&lt;0,0,L567-I567)+IF(L571-I571&lt;0,0,L571-I571)</f>
        <v>#REF!</v>
      </c>
      <c r="M576" s="33" t="s">
        <v>57</v>
      </c>
      <c r="N576" s="30" t="s">
        <v>29</v>
      </c>
      <c r="O576" s="34"/>
      <c r="P576" s="35" t="s">
        <v>58</v>
      </c>
      <c r="Q576" s="31" t="s">
        <v>59</v>
      </c>
      <c r="R576" s="31"/>
      <c r="S576" s="31"/>
      <c r="T576" s="30" t="s">
        <v>29</v>
      </c>
      <c r="U576" s="358"/>
      <c r="V576" s="358"/>
      <c r="W576" s="39" t="s">
        <v>34</v>
      </c>
      <c r="X576" s="40" t="e">
        <f>+IF(X567-U567&lt;0,0,X567-U567)+IF(X571-U571&lt;0,0,X571-U571)</f>
        <v>#REF!</v>
      </c>
    </row>
    <row r="577" spans="1:24" ht="18.75" customHeight="1">
      <c r="A577" s="43" t="s">
        <v>152</v>
      </c>
      <c r="B577" s="44"/>
      <c r="C577" s="34"/>
      <c r="D577" s="35" t="s">
        <v>38</v>
      </c>
      <c r="E577" s="31" t="s">
        <v>153</v>
      </c>
      <c r="F577" s="31"/>
      <c r="G577" s="31"/>
      <c r="H577" s="30" t="s">
        <v>29</v>
      </c>
      <c r="I577" s="358"/>
      <c r="J577" s="358"/>
      <c r="K577" s="39" t="s">
        <v>34</v>
      </c>
      <c r="L577" s="40"/>
      <c r="M577" s="43" t="s">
        <v>152</v>
      </c>
      <c r="N577" s="44"/>
      <c r="O577" s="34"/>
      <c r="P577" s="35" t="s">
        <v>38</v>
      </c>
      <c r="Q577" s="31" t="s">
        <v>153</v>
      </c>
      <c r="R577" s="31"/>
      <c r="S577" s="31"/>
      <c r="T577" s="30" t="s">
        <v>29</v>
      </c>
      <c r="U577" s="358"/>
      <c r="V577" s="358"/>
      <c r="W577" s="39" t="s">
        <v>34</v>
      </c>
      <c r="X577" s="40"/>
    </row>
    <row r="578" spans="1:24" ht="18.75" customHeight="1">
      <c r="A578" s="366" t="s">
        <v>154</v>
      </c>
      <c r="B578" s="367"/>
      <c r="C578" s="34"/>
      <c r="D578" s="35"/>
      <c r="E578" s="36"/>
      <c r="F578" s="36"/>
      <c r="G578" s="36"/>
      <c r="H578" s="30" t="s">
        <v>29</v>
      </c>
      <c r="I578" s="358" t="e">
        <f>#REF!</f>
        <v>#REF!</v>
      </c>
      <c r="J578" s="358"/>
      <c r="K578" s="39" t="s">
        <v>34</v>
      </c>
      <c r="L578" s="40"/>
      <c r="M578" s="366" t="s">
        <v>154</v>
      </c>
      <c r="N578" s="367"/>
      <c r="O578" s="34"/>
      <c r="P578" s="35"/>
      <c r="Q578" s="36"/>
      <c r="R578" s="36"/>
      <c r="S578" s="36"/>
      <c r="T578" s="30" t="s">
        <v>29</v>
      </c>
      <c r="U578" s="358" t="e">
        <f>#REF!</f>
        <v>#REF!</v>
      </c>
      <c r="V578" s="358"/>
      <c r="W578" s="39" t="s">
        <v>34</v>
      </c>
      <c r="X578" s="40"/>
    </row>
    <row r="579" spans="1:24" ht="18.75" customHeight="1">
      <c r="A579" s="33" t="s">
        <v>63</v>
      </c>
      <c r="B579" s="30" t="s">
        <v>29</v>
      </c>
      <c r="C579" s="34"/>
      <c r="D579" s="35"/>
      <c r="E579" s="36" t="s">
        <v>64</v>
      </c>
      <c r="F579" s="36"/>
      <c r="G579" s="36"/>
      <c r="H579" s="30" t="s">
        <v>29</v>
      </c>
      <c r="I579" s="358" t="e">
        <f>L576</f>
        <v>#REF!</v>
      </c>
      <c r="J579" s="358"/>
      <c r="K579" s="39" t="s">
        <v>34</v>
      </c>
      <c r="L579" s="40"/>
      <c r="M579" s="33" t="s">
        <v>63</v>
      </c>
      <c r="N579" s="30" t="s">
        <v>29</v>
      </c>
      <c r="O579" s="34"/>
      <c r="P579" s="35"/>
      <c r="Q579" s="36" t="s">
        <v>64</v>
      </c>
      <c r="R579" s="36"/>
      <c r="S579" s="36"/>
      <c r="T579" s="30" t="s">
        <v>29</v>
      </c>
      <c r="U579" s="358" t="e">
        <f>X576</f>
        <v>#REF!</v>
      </c>
      <c r="V579" s="358"/>
      <c r="W579" s="39" t="s">
        <v>34</v>
      </c>
      <c r="X579" s="40"/>
    </row>
    <row r="580" spans="1:24" ht="18.75" customHeight="1">
      <c r="A580" s="362" t="s">
        <v>65</v>
      </c>
      <c r="B580" s="363"/>
      <c r="C580" s="363"/>
      <c r="D580" s="363"/>
      <c r="E580" s="363"/>
      <c r="F580" s="363"/>
      <c r="G580" s="30" t="s">
        <v>29</v>
      </c>
      <c r="H580" s="364" t="e">
        <f>I567+I568+I569+I570+I571+I574+I578+I579+I572+I573+I575+I576+I577+C578</f>
        <v>#REF!</v>
      </c>
      <c r="I580" s="365"/>
      <c r="J580" s="365"/>
      <c r="K580" s="39" t="s">
        <v>34</v>
      </c>
      <c r="M580" s="362" t="s">
        <v>65</v>
      </c>
      <c r="N580" s="363"/>
      <c r="O580" s="363"/>
      <c r="P580" s="363"/>
      <c r="Q580" s="363"/>
      <c r="R580" s="363"/>
      <c r="S580" s="30" t="s">
        <v>29</v>
      </c>
      <c r="T580" s="364" t="e">
        <f>U567+U568+U569+U570+U571+U574+U578+U579+U572+U573+U575+U576+U577+O578</f>
        <v>#REF!</v>
      </c>
      <c r="U580" s="365"/>
      <c r="V580" s="365"/>
      <c r="W580" s="39" t="s">
        <v>34</v>
      </c>
    </row>
    <row r="581" spans="1:24" ht="18.75" customHeight="1">
      <c r="A581" s="45"/>
      <c r="B581" s="46"/>
      <c r="C581" s="46"/>
      <c r="D581" s="46"/>
      <c r="E581" s="46"/>
      <c r="F581" s="46"/>
      <c r="G581" s="46"/>
      <c r="H581" s="46"/>
      <c r="I581" s="46"/>
      <c r="J581" s="46"/>
      <c r="K581" s="47"/>
      <c r="M581" s="45"/>
      <c r="N581" s="46"/>
      <c r="O581" s="46"/>
      <c r="P581" s="46"/>
      <c r="Q581" s="46"/>
      <c r="R581" s="46"/>
      <c r="S581" s="46"/>
      <c r="T581" s="46"/>
      <c r="U581" s="46"/>
      <c r="V581" s="46"/>
      <c r="W581" s="47"/>
    </row>
    <row r="582" spans="1:24" ht="18.75" customHeight="1">
      <c r="A582" s="374" t="s">
        <v>66</v>
      </c>
      <c r="B582" s="375"/>
      <c r="C582" s="375"/>
      <c r="D582" s="375"/>
      <c r="E582" s="375"/>
      <c r="F582" s="375"/>
      <c r="G582" s="30"/>
      <c r="H582" s="30"/>
      <c r="I582" s="30"/>
      <c r="J582" s="30"/>
      <c r="K582" s="39"/>
      <c r="M582" s="374" t="s">
        <v>66</v>
      </c>
      <c r="N582" s="375"/>
      <c r="O582" s="375"/>
      <c r="P582" s="375"/>
      <c r="Q582" s="375"/>
      <c r="R582" s="375"/>
      <c r="S582" s="30"/>
      <c r="T582" s="30"/>
      <c r="U582" s="30"/>
      <c r="V582" s="30"/>
      <c r="W582" s="39"/>
    </row>
    <row r="583" spans="1:24" ht="18.75" customHeight="1">
      <c r="A583" s="368" t="s">
        <v>67</v>
      </c>
      <c r="B583" s="369"/>
      <c r="C583" s="369"/>
      <c r="D583" s="369"/>
      <c r="E583" s="369"/>
      <c r="F583" s="369"/>
      <c r="G583" s="30" t="s">
        <v>29</v>
      </c>
      <c r="H583" s="376" t="e">
        <f>IF(($L$1-(C567+C568+C569+C570))&gt;12,0,F564*8%)</f>
        <v>#REF!</v>
      </c>
      <c r="I583" s="376"/>
      <c r="J583" s="376"/>
      <c r="K583" s="39" t="s">
        <v>34</v>
      </c>
      <c r="M583" s="368" t="s">
        <v>67</v>
      </c>
      <c r="N583" s="369"/>
      <c r="O583" s="369"/>
      <c r="P583" s="369"/>
      <c r="Q583" s="369"/>
      <c r="R583" s="369"/>
      <c r="S583" s="30" t="s">
        <v>29</v>
      </c>
      <c r="T583" s="376" t="e">
        <f>IF(($L$1-(O567+O568+O569+O570))&gt;12,0,R564*8%)</f>
        <v>#REF!</v>
      </c>
      <c r="U583" s="376"/>
      <c r="V583" s="376"/>
      <c r="W583" s="39" t="s">
        <v>34</v>
      </c>
    </row>
    <row r="584" spans="1:24" ht="18.75" customHeight="1">
      <c r="A584" s="368" t="s">
        <v>68</v>
      </c>
      <c r="B584" s="369"/>
      <c r="C584" s="369"/>
      <c r="D584" s="369"/>
      <c r="E584" s="369"/>
      <c r="F584" s="369"/>
      <c r="G584" s="30" t="s">
        <v>29</v>
      </c>
      <c r="H584" s="370" t="e">
        <f>IF(($L$1-(C567+C568+C569+C570))&gt;12,0,F564*1.5%)</f>
        <v>#REF!</v>
      </c>
      <c r="I584" s="370"/>
      <c r="J584" s="370"/>
      <c r="K584" s="39" t="s">
        <v>34</v>
      </c>
      <c r="M584" s="368" t="s">
        <v>68</v>
      </c>
      <c r="N584" s="369"/>
      <c r="O584" s="369"/>
      <c r="P584" s="369"/>
      <c r="Q584" s="369"/>
      <c r="R584" s="369"/>
      <c r="S584" s="30" t="s">
        <v>29</v>
      </c>
      <c r="T584" s="370" t="e">
        <f>IF(($L$1-(O567+O568+O569+O570))&gt;12,0,R564*1.5%)</f>
        <v>#REF!</v>
      </c>
      <c r="U584" s="370"/>
      <c r="V584" s="370"/>
      <c r="W584" s="39" t="s">
        <v>34</v>
      </c>
    </row>
    <row r="585" spans="1:24" ht="18.75" customHeight="1">
      <c r="A585" s="368" t="s">
        <v>69</v>
      </c>
      <c r="B585" s="369"/>
      <c r="C585" s="369"/>
      <c r="D585" s="369"/>
      <c r="E585" s="369"/>
      <c r="F585" s="369"/>
      <c r="G585" s="30" t="s">
        <v>29</v>
      </c>
      <c r="H585" s="370" t="e">
        <f>IF(($L$1-(C567+C568+C569+C570))&gt;12,0,F564*1%)</f>
        <v>#REF!</v>
      </c>
      <c r="I585" s="370"/>
      <c r="J585" s="370"/>
      <c r="K585" s="39" t="s">
        <v>34</v>
      </c>
      <c r="M585" s="368" t="s">
        <v>69</v>
      </c>
      <c r="N585" s="369"/>
      <c r="O585" s="369"/>
      <c r="P585" s="369"/>
      <c r="Q585" s="369"/>
      <c r="R585" s="369"/>
      <c r="S585" s="30" t="s">
        <v>29</v>
      </c>
      <c r="T585" s="370" t="e">
        <f>IF(($L$1-(O567+O568+O569+O570))&gt;12,0,R564*1%)</f>
        <v>#REF!</v>
      </c>
      <c r="U585" s="370"/>
      <c r="V585" s="370"/>
      <c r="W585" s="39" t="s">
        <v>34</v>
      </c>
    </row>
    <row r="586" spans="1:24" ht="18.75" customHeight="1">
      <c r="A586" s="368" t="s">
        <v>70</v>
      </c>
      <c r="B586" s="369"/>
      <c r="C586" s="369"/>
      <c r="D586" s="369"/>
      <c r="E586" s="369"/>
      <c r="F586" s="369"/>
      <c r="G586" s="30" t="s">
        <v>29</v>
      </c>
      <c r="H586" s="370">
        <v>0</v>
      </c>
      <c r="I586" s="370"/>
      <c r="J586" s="370"/>
      <c r="K586" s="39" t="s">
        <v>34</v>
      </c>
      <c r="M586" s="368" t="s">
        <v>70</v>
      </c>
      <c r="N586" s="369"/>
      <c r="O586" s="369"/>
      <c r="P586" s="369"/>
      <c r="Q586" s="369"/>
      <c r="R586" s="369"/>
      <c r="S586" s="30" t="s">
        <v>29</v>
      </c>
      <c r="T586" s="370">
        <v>0</v>
      </c>
      <c r="U586" s="370"/>
      <c r="V586" s="370"/>
      <c r="W586" s="39" t="s">
        <v>34</v>
      </c>
    </row>
    <row r="587" spans="1:24" ht="18.75" customHeight="1">
      <c r="A587" s="371" t="s">
        <v>71</v>
      </c>
      <c r="B587" s="372"/>
      <c r="C587" s="372"/>
      <c r="D587" s="372"/>
      <c r="E587" s="372"/>
      <c r="F587" s="372"/>
      <c r="G587" s="30" t="s">
        <v>29</v>
      </c>
      <c r="H587" s="373" t="e">
        <f>SUM(H583:J586)</f>
        <v>#REF!</v>
      </c>
      <c r="I587" s="373"/>
      <c r="J587" s="373"/>
      <c r="K587" s="39" t="s">
        <v>34</v>
      </c>
      <c r="M587" s="371" t="s">
        <v>71</v>
      </c>
      <c r="N587" s="372"/>
      <c r="O587" s="372"/>
      <c r="P587" s="372"/>
      <c r="Q587" s="372"/>
      <c r="R587" s="372"/>
      <c r="S587" s="30" t="s">
        <v>29</v>
      </c>
      <c r="T587" s="373" t="e">
        <f>SUM(T583:V586)</f>
        <v>#REF!</v>
      </c>
      <c r="U587" s="373"/>
      <c r="V587" s="373"/>
      <c r="W587" s="39" t="s">
        <v>34</v>
      </c>
    </row>
    <row r="588" spans="1:24" ht="18.75" customHeight="1">
      <c r="A588" s="368" t="s">
        <v>72</v>
      </c>
      <c r="B588" s="369"/>
      <c r="C588" s="369"/>
      <c r="D588" s="369"/>
      <c r="E588" s="369"/>
      <c r="F588" s="369"/>
      <c r="G588" s="30" t="s">
        <v>29</v>
      </c>
      <c r="H588" s="381" t="e">
        <f>ROUND(H580-H587,-2)</f>
        <v>#REF!</v>
      </c>
      <c r="I588" s="381"/>
      <c r="J588" s="381"/>
      <c r="K588" s="39" t="s">
        <v>34</v>
      </c>
      <c r="M588" s="368" t="s">
        <v>72</v>
      </c>
      <c r="N588" s="369"/>
      <c r="O588" s="369"/>
      <c r="P588" s="369"/>
      <c r="Q588" s="369"/>
      <c r="R588" s="369"/>
      <c r="S588" s="30" t="s">
        <v>29</v>
      </c>
      <c r="T588" s="381" t="e">
        <f>ROUND(T580-T587,-2)</f>
        <v>#REF!</v>
      </c>
      <c r="U588" s="381"/>
      <c r="V588" s="381"/>
      <c r="W588" s="39" t="s">
        <v>34</v>
      </c>
    </row>
    <row r="589" spans="1:24" ht="18.75" customHeight="1">
      <c r="A589" s="48"/>
      <c r="B589" s="49"/>
      <c r="C589" s="49"/>
      <c r="D589" s="49"/>
      <c r="E589" s="49"/>
      <c r="F589" s="49"/>
      <c r="G589" s="49"/>
      <c r="H589" s="49"/>
      <c r="I589" s="49"/>
      <c r="J589" s="49"/>
      <c r="K589" s="50"/>
      <c r="M589" s="48"/>
      <c r="N589" s="49"/>
      <c r="O589" s="49"/>
      <c r="P589" s="49"/>
      <c r="Q589" s="49"/>
      <c r="R589" s="49"/>
      <c r="S589" s="49"/>
      <c r="T589" s="49"/>
      <c r="U589" s="49"/>
      <c r="V589" s="49"/>
      <c r="W589" s="50"/>
    </row>
    <row r="590" spans="1:24" ht="18.75" customHeight="1">
      <c r="A590" s="51"/>
      <c r="B590" s="30"/>
      <c r="C590" s="30"/>
      <c r="D590" s="30"/>
      <c r="E590" s="30"/>
      <c r="F590" s="30"/>
      <c r="G590" s="30"/>
      <c r="H590" s="30"/>
      <c r="I590" s="378" t="s">
        <v>73</v>
      </c>
      <c r="J590" s="378"/>
      <c r="K590" s="382"/>
      <c r="M590" s="51"/>
      <c r="N590" s="30"/>
      <c r="O590" s="30"/>
      <c r="P590" s="30"/>
      <c r="Q590" s="30"/>
      <c r="R590" s="30"/>
      <c r="S590" s="30"/>
      <c r="T590" s="30"/>
      <c r="U590" s="378" t="s">
        <v>73</v>
      </c>
      <c r="V590" s="378"/>
      <c r="W590" s="382"/>
    </row>
    <row r="591" spans="1:24" ht="18.75" customHeight="1">
      <c r="A591" s="51"/>
      <c r="B591" s="377"/>
      <c r="C591" s="378"/>
      <c r="D591" s="378"/>
      <c r="E591" s="378"/>
      <c r="F591" s="30"/>
      <c r="G591" s="30"/>
      <c r="H591" s="30"/>
      <c r="I591" s="30"/>
      <c r="J591" s="30"/>
      <c r="K591" s="32"/>
      <c r="M591" s="51"/>
      <c r="N591" s="377"/>
      <c r="O591" s="378"/>
      <c r="P591" s="378"/>
      <c r="Q591" s="378"/>
      <c r="R591" s="30"/>
      <c r="S591" s="30"/>
      <c r="T591" s="30"/>
      <c r="U591" s="30"/>
      <c r="V591" s="30"/>
      <c r="W591" s="32"/>
    </row>
    <row r="592" spans="1:24" ht="18.75" customHeight="1" thickBot="1">
      <c r="A592" s="53"/>
      <c r="B592" s="54"/>
      <c r="C592" s="54"/>
      <c r="D592" s="54"/>
      <c r="E592" s="54"/>
      <c r="F592" s="54"/>
      <c r="G592" s="54"/>
      <c r="H592" s="54"/>
      <c r="I592" s="379" t="s">
        <v>74</v>
      </c>
      <c r="J592" s="379"/>
      <c r="K592" s="380"/>
      <c r="M592" s="53"/>
      <c r="N592" s="54"/>
      <c r="O592" s="54"/>
      <c r="P592" s="54"/>
      <c r="Q592" s="54"/>
      <c r="R592" s="54"/>
      <c r="S592" s="54"/>
      <c r="T592" s="54"/>
      <c r="U592" s="379" t="s">
        <v>74</v>
      </c>
      <c r="V592" s="379"/>
      <c r="W592" s="380"/>
    </row>
    <row r="593" spans="1:24" ht="18.75" customHeight="1" thickTop="1" thickBot="1"/>
    <row r="594" spans="1:24" ht="18.75" customHeight="1" thickTop="1">
      <c r="A594" s="351" t="s">
        <v>160</v>
      </c>
      <c r="B594" s="352"/>
      <c r="C594" s="352"/>
      <c r="D594" s="352"/>
      <c r="E594" s="352"/>
      <c r="F594" s="352"/>
      <c r="G594" s="352"/>
      <c r="H594" s="352"/>
      <c r="I594" s="352"/>
      <c r="J594" s="352"/>
      <c r="K594" s="353"/>
      <c r="L594" s="26">
        <v>26</v>
      </c>
      <c r="M594" s="351" t="s">
        <v>160</v>
      </c>
      <c r="N594" s="352"/>
      <c r="O594" s="352"/>
      <c r="P594" s="352"/>
      <c r="Q594" s="352"/>
      <c r="R594" s="352"/>
      <c r="S594" s="352"/>
      <c r="T594" s="352"/>
      <c r="U594" s="352"/>
      <c r="V594" s="352"/>
      <c r="W594" s="353"/>
      <c r="X594" s="26">
        <v>26</v>
      </c>
    </row>
    <row r="595" spans="1:24" ht="18.75" customHeight="1">
      <c r="A595" s="27" t="s">
        <v>107</v>
      </c>
      <c r="B595" s="28"/>
      <c r="C595" s="28"/>
      <c r="D595" s="28"/>
      <c r="E595" s="28"/>
      <c r="F595" s="28"/>
      <c r="G595" s="28"/>
      <c r="H595" s="28"/>
      <c r="I595" s="28"/>
      <c r="J595" s="28"/>
      <c r="K595" s="29"/>
      <c r="M595" s="27" t="s">
        <v>108</v>
      </c>
      <c r="N595" s="28"/>
      <c r="O595" s="28"/>
      <c r="P595" s="28"/>
      <c r="Q595" s="28"/>
      <c r="R595" s="28"/>
      <c r="S595" s="28"/>
      <c r="T595" s="28"/>
      <c r="U595" s="28"/>
      <c r="V595" s="28"/>
      <c r="W595" s="29"/>
    </row>
    <row r="596" spans="1:24" ht="18.75" customHeight="1">
      <c r="A596" s="354" t="s">
        <v>27</v>
      </c>
      <c r="B596" s="355"/>
      <c r="C596" s="355"/>
      <c r="D596" s="355"/>
      <c r="E596" s="355"/>
      <c r="F596" s="355"/>
      <c r="G596" s="355"/>
      <c r="H596" s="355"/>
      <c r="I596" s="355"/>
      <c r="J596" s="355"/>
      <c r="K596" s="356"/>
      <c r="M596" s="354" t="s">
        <v>27</v>
      </c>
      <c r="N596" s="355"/>
      <c r="O596" s="355"/>
      <c r="P596" s="355"/>
      <c r="Q596" s="355"/>
      <c r="R596" s="355"/>
      <c r="S596" s="355"/>
      <c r="T596" s="355"/>
      <c r="U596" s="355"/>
      <c r="V596" s="355"/>
      <c r="W596" s="356"/>
    </row>
    <row r="597" spans="1:24" ht="18.75" customHeight="1">
      <c r="A597" s="347" t="s">
        <v>28</v>
      </c>
      <c r="B597" s="31"/>
      <c r="C597" s="31"/>
      <c r="D597" s="31"/>
      <c r="E597" s="30" t="s">
        <v>29</v>
      </c>
      <c r="F597" s="348">
        <f>'Bang TH nop'!B73</f>
        <v>0</v>
      </c>
      <c r="G597" s="31"/>
      <c r="H597" s="31"/>
      <c r="I597" s="31"/>
      <c r="J597" s="31"/>
      <c r="K597" s="350"/>
      <c r="M597" s="347" t="s">
        <v>28</v>
      </c>
      <c r="N597" s="31"/>
      <c r="O597" s="31"/>
      <c r="P597" s="31"/>
      <c r="Q597" s="30" t="s">
        <v>29</v>
      </c>
      <c r="R597" s="348">
        <f>'Bang TH nop'!B75</f>
        <v>0</v>
      </c>
      <c r="S597" s="31"/>
      <c r="T597" s="31"/>
      <c r="U597" s="31"/>
      <c r="V597" s="31"/>
      <c r="W597" s="350"/>
    </row>
    <row r="598" spans="1:24" ht="18.75" customHeight="1">
      <c r="A598" s="347" t="s">
        <v>30</v>
      </c>
      <c r="B598" s="31"/>
      <c r="C598" s="31"/>
      <c r="D598" s="31"/>
      <c r="E598" s="30" t="s">
        <v>29</v>
      </c>
      <c r="F598" s="348">
        <f>'Bang TH nop'!C73</f>
        <v>0</v>
      </c>
      <c r="G598" s="348"/>
      <c r="H598" s="348"/>
      <c r="I598" s="348"/>
      <c r="J598" s="348"/>
      <c r="K598" s="349"/>
      <c r="M598" s="347" t="s">
        <v>30</v>
      </c>
      <c r="N598" s="31"/>
      <c r="O598" s="31"/>
      <c r="P598" s="31"/>
      <c r="Q598" s="30" t="s">
        <v>29</v>
      </c>
      <c r="R598" s="348">
        <f>'Bang TH nop'!C75</f>
        <v>0</v>
      </c>
      <c r="S598" s="348"/>
      <c r="T598" s="348"/>
      <c r="U598" s="348"/>
      <c r="V598" s="348"/>
      <c r="W598" s="349"/>
    </row>
    <row r="599" spans="1:24" ht="18.75" customHeight="1">
      <c r="A599" s="347" t="s">
        <v>31</v>
      </c>
      <c r="B599" s="31"/>
      <c r="C599" s="31"/>
      <c r="D599" s="31"/>
      <c r="E599" s="30" t="s">
        <v>29</v>
      </c>
      <c r="F599" s="31" t="str">
        <f>+$L$2</f>
        <v xml:space="preserve">Tổ  </v>
      </c>
      <c r="G599" s="31"/>
      <c r="H599" s="31"/>
      <c r="I599" s="31"/>
      <c r="J599" s="31"/>
      <c r="K599" s="350"/>
      <c r="M599" s="347" t="s">
        <v>31</v>
      </c>
      <c r="N599" s="31"/>
      <c r="O599" s="31"/>
      <c r="P599" s="31"/>
      <c r="Q599" s="30" t="s">
        <v>29</v>
      </c>
      <c r="R599" s="31" t="str">
        <f>+$L$2</f>
        <v xml:space="preserve">Tổ  </v>
      </c>
      <c r="S599" s="31"/>
      <c r="T599" s="31"/>
      <c r="U599" s="31"/>
      <c r="V599" s="31"/>
      <c r="W599" s="350"/>
    </row>
    <row r="600" spans="1:24" ht="18.75" customHeight="1">
      <c r="A600" s="354" t="s">
        <v>32</v>
      </c>
      <c r="B600" s="355"/>
      <c r="C600" s="355"/>
      <c r="D600" s="355"/>
      <c r="E600" s="355"/>
      <c r="F600" s="355"/>
      <c r="G600" s="355"/>
      <c r="H600" s="355"/>
      <c r="I600" s="355"/>
      <c r="J600" s="355"/>
      <c r="K600" s="356"/>
      <c r="M600" s="354" t="s">
        <v>32</v>
      </c>
      <c r="N600" s="355"/>
      <c r="O600" s="355"/>
      <c r="P600" s="355"/>
      <c r="Q600" s="355"/>
      <c r="R600" s="355"/>
      <c r="S600" s="355"/>
      <c r="T600" s="355"/>
      <c r="U600" s="355"/>
      <c r="V600" s="355"/>
      <c r="W600" s="356"/>
    </row>
    <row r="601" spans="1:24" ht="18.75" customHeight="1">
      <c r="A601" s="347" t="s">
        <v>33</v>
      </c>
      <c r="B601" s="31"/>
      <c r="C601" s="31"/>
      <c r="D601" s="31"/>
      <c r="E601" s="30" t="s">
        <v>29</v>
      </c>
      <c r="F601" s="361">
        <f>VLOOKUP(F598,'Bang TH nop'!$C$9:$AP$266,29,0)</f>
        <v>0</v>
      </c>
      <c r="G601" s="361"/>
      <c r="H601" s="361"/>
      <c r="I601" s="361"/>
      <c r="J601" s="30" t="s">
        <v>34</v>
      </c>
      <c r="K601" s="32"/>
      <c r="M601" s="347" t="s">
        <v>33</v>
      </c>
      <c r="N601" s="31"/>
      <c r="O601" s="31"/>
      <c r="P601" s="31"/>
      <c r="Q601" s="30" t="s">
        <v>29</v>
      </c>
      <c r="R601" s="361">
        <f>VLOOKUP(R598,'Bang TH nop'!$C$9:$AP$266,29,0)</f>
        <v>0</v>
      </c>
      <c r="S601" s="361"/>
      <c r="T601" s="361"/>
      <c r="U601" s="361"/>
      <c r="V601" s="30" t="s">
        <v>34</v>
      </c>
      <c r="W601" s="32"/>
    </row>
    <row r="602" spans="1:24" ht="18.75" customHeight="1">
      <c r="A602" s="33" t="s">
        <v>35</v>
      </c>
      <c r="B602" s="30"/>
      <c r="C602" s="34"/>
      <c r="D602" s="35"/>
      <c r="E602" s="36"/>
      <c r="F602" s="36"/>
      <c r="G602" s="36"/>
      <c r="H602" s="30"/>
      <c r="I602" s="37" t="e">
        <f>#REF!</f>
        <v>#REF!</v>
      </c>
      <c r="J602" s="38"/>
      <c r="K602" s="39"/>
      <c r="M602" s="33" t="s">
        <v>35</v>
      </c>
      <c r="N602" s="30"/>
      <c r="O602" s="34"/>
      <c r="P602" s="35"/>
      <c r="Q602" s="36"/>
      <c r="R602" s="36"/>
      <c r="S602" s="36"/>
      <c r="T602" s="30"/>
      <c r="U602" s="37" t="e">
        <f>#REF!</f>
        <v>#REF!</v>
      </c>
      <c r="V602" s="38"/>
      <c r="W602" s="39"/>
    </row>
    <row r="603" spans="1:24" ht="18.75" customHeight="1">
      <c r="A603" s="33" t="s">
        <v>36</v>
      </c>
      <c r="B603" s="30"/>
      <c r="C603" s="34"/>
      <c r="D603" s="35"/>
      <c r="E603" s="36"/>
      <c r="F603" s="36"/>
      <c r="G603" s="36"/>
      <c r="H603" s="30"/>
      <c r="I603" s="37" t="e">
        <f>I604/C604/8</f>
        <v>#REF!</v>
      </c>
      <c r="J603" s="38"/>
      <c r="K603" s="39"/>
      <c r="M603" s="33" t="s">
        <v>36</v>
      </c>
      <c r="N603" s="30"/>
      <c r="O603" s="34"/>
      <c r="P603" s="35"/>
      <c r="Q603" s="36"/>
      <c r="R603" s="36"/>
      <c r="S603" s="36"/>
      <c r="T603" s="30"/>
      <c r="U603" s="37" t="e">
        <f>U604/O604/8</f>
        <v>#REF!</v>
      </c>
      <c r="V603" s="38"/>
      <c r="W603" s="39"/>
    </row>
    <row r="604" spans="1:24" ht="18.75" customHeight="1">
      <c r="A604" s="33" t="s">
        <v>37</v>
      </c>
      <c r="B604" s="30" t="s">
        <v>29</v>
      </c>
      <c r="C604" s="34" t="e">
        <f>#REF!</f>
        <v>#REF!</v>
      </c>
      <c r="D604" s="35" t="s">
        <v>38</v>
      </c>
      <c r="E604" s="359" t="s">
        <v>39</v>
      </c>
      <c r="F604" s="359"/>
      <c r="G604" s="359"/>
      <c r="H604" s="30" t="s">
        <v>29</v>
      </c>
      <c r="I604" s="360" t="e">
        <f>#REF!</f>
        <v>#REF!</v>
      </c>
      <c r="J604" s="360"/>
      <c r="K604" s="39" t="s">
        <v>34</v>
      </c>
      <c r="L604" s="40" t="e">
        <f>F601/L594*C604</f>
        <v>#REF!</v>
      </c>
      <c r="M604" s="33" t="s">
        <v>37</v>
      </c>
      <c r="N604" s="30" t="s">
        <v>29</v>
      </c>
      <c r="O604" s="34" t="e">
        <f>#REF!</f>
        <v>#REF!</v>
      </c>
      <c r="P604" s="35" t="s">
        <v>38</v>
      </c>
      <c r="Q604" s="359" t="s">
        <v>39</v>
      </c>
      <c r="R604" s="359"/>
      <c r="S604" s="359"/>
      <c r="T604" s="30" t="s">
        <v>29</v>
      </c>
      <c r="U604" s="360" t="e">
        <f>#REF!</f>
        <v>#REF!</v>
      </c>
      <c r="V604" s="360"/>
      <c r="W604" s="39" t="s">
        <v>34</v>
      </c>
      <c r="X604" s="40" t="e">
        <f>R601/X594*O604</f>
        <v>#REF!</v>
      </c>
    </row>
    <row r="605" spans="1:24" ht="18.75" customHeight="1">
      <c r="A605" s="33" t="s">
        <v>40</v>
      </c>
      <c r="B605" s="30" t="s">
        <v>29</v>
      </c>
      <c r="C605" s="34" t="e">
        <f>#REF!</f>
        <v>#REF!</v>
      </c>
      <c r="D605" s="35" t="s">
        <v>38</v>
      </c>
      <c r="E605" s="31" t="s">
        <v>41</v>
      </c>
      <c r="F605" s="31"/>
      <c r="G605" s="31"/>
      <c r="H605" s="30" t="s">
        <v>29</v>
      </c>
      <c r="I605" s="358" t="e">
        <f>$F$8/$L$1*C605</f>
        <v>#REF!</v>
      </c>
      <c r="J605" s="358"/>
      <c r="K605" s="39" t="s">
        <v>34</v>
      </c>
      <c r="L605" s="40"/>
      <c r="M605" s="33" t="s">
        <v>40</v>
      </c>
      <c r="N605" s="30" t="s">
        <v>29</v>
      </c>
      <c r="O605" s="34" t="e">
        <f>#REF!</f>
        <v>#REF!</v>
      </c>
      <c r="P605" s="35" t="s">
        <v>38</v>
      </c>
      <c r="Q605" s="31" t="s">
        <v>41</v>
      </c>
      <c r="R605" s="31"/>
      <c r="S605" s="31"/>
      <c r="T605" s="30" t="s">
        <v>29</v>
      </c>
      <c r="U605" s="358" t="e">
        <f>$F$8/$L$1*O605</f>
        <v>#REF!</v>
      </c>
      <c r="V605" s="358"/>
      <c r="W605" s="39" t="s">
        <v>34</v>
      </c>
      <c r="X605" s="40"/>
    </row>
    <row r="606" spans="1:24" ht="18.75" customHeight="1">
      <c r="A606" s="33" t="s">
        <v>42</v>
      </c>
      <c r="B606" s="30" t="s">
        <v>29</v>
      </c>
      <c r="C606" s="34" t="e">
        <f>#REF!</f>
        <v>#REF!</v>
      </c>
      <c r="D606" s="35" t="s">
        <v>38</v>
      </c>
      <c r="E606" s="357" t="s">
        <v>43</v>
      </c>
      <c r="F606" s="357"/>
      <c r="G606" s="357"/>
      <c r="H606" s="30" t="s">
        <v>29</v>
      </c>
      <c r="I606" s="358" t="e">
        <f>$F$8/$L$1*C606</f>
        <v>#REF!</v>
      </c>
      <c r="J606" s="358"/>
      <c r="K606" s="39" t="s">
        <v>34</v>
      </c>
      <c r="L606" s="40"/>
      <c r="M606" s="33" t="s">
        <v>42</v>
      </c>
      <c r="N606" s="30" t="s">
        <v>29</v>
      </c>
      <c r="O606" s="34" t="e">
        <f>#REF!</f>
        <v>#REF!</v>
      </c>
      <c r="P606" s="35" t="s">
        <v>38</v>
      </c>
      <c r="Q606" s="357" t="s">
        <v>43</v>
      </c>
      <c r="R606" s="357"/>
      <c r="S606" s="357"/>
      <c r="T606" s="30" t="s">
        <v>29</v>
      </c>
      <c r="U606" s="358" t="e">
        <f>$F$8/$L$1*O606</f>
        <v>#REF!</v>
      </c>
      <c r="V606" s="358"/>
      <c r="W606" s="39" t="s">
        <v>34</v>
      </c>
      <c r="X606" s="40"/>
    </row>
    <row r="607" spans="1:24" ht="18.75" customHeight="1">
      <c r="A607" s="33" t="s">
        <v>44</v>
      </c>
      <c r="B607" s="30" t="s">
        <v>29</v>
      </c>
      <c r="C607" s="34" t="e">
        <f>#REF!</f>
        <v>#REF!</v>
      </c>
      <c r="D607" s="35" t="s">
        <v>38</v>
      </c>
      <c r="E607" s="357" t="s">
        <v>45</v>
      </c>
      <c r="F607" s="357"/>
      <c r="G607" s="357"/>
      <c r="H607" s="30" t="s">
        <v>29</v>
      </c>
      <c r="I607" s="358" t="e">
        <f>$F$8/$L$1*C607</f>
        <v>#REF!</v>
      </c>
      <c r="J607" s="358"/>
      <c r="K607" s="39" t="s">
        <v>34</v>
      </c>
      <c r="L607" s="40"/>
      <c r="M607" s="33" t="s">
        <v>44</v>
      </c>
      <c r="N607" s="30" t="s">
        <v>29</v>
      </c>
      <c r="O607" s="34" t="e">
        <f>#REF!</f>
        <v>#REF!</v>
      </c>
      <c r="P607" s="35" t="s">
        <v>38</v>
      </c>
      <c r="Q607" s="357" t="s">
        <v>45</v>
      </c>
      <c r="R607" s="357"/>
      <c r="S607" s="357"/>
      <c r="T607" s="30" t="s">
        <v>29</v>
      </c>
      <c r="U607" s="358" t="e">
        <f>$F$8/$L$1*O607</f>
        <v>#REF!</v>
      </c>
      <c r="V607" s="358"/>
      <c r="W607" s="39" t="s">
        <v>34</v>
      </c>
      <c r="X607" s="40"/>
    </row>
    <row r="608" spans="1:24" ht="18.75" customHeight="1">
      <c r="A608" s="33" t="s">
        <v>46</v>
      </c>
      <c r="B608" s="30" t="s">
        <v>29</v>
      </c>
      <c r="C608" s="34" t="e">
        <f>#REF!</f>
        <v>#REF!</v>
      </c>
      <c r="D608" s="35" t="s">
        <v>47</v>
      </c>
      <c r="E608" s="31" t="s">
        <v>48</v>
      </c>
      <c r="F608" s="31"/>
      <c r="G608" s="31"/>
      <c r="H608" s="30" t="s">
        <v>29</v>
      </c>
      <c r="I608" s="358" t="e">
        <f>#REF!</f>
        <v>#REF!</v>
      </c>
      <c r="J608" s="358"/>
      <c r="K608" s="39" t="s">
        <v>34</v>
      </c>
      <c r="L608" s="40" t="e">
        <f>F601*C608/L594/8*1.5</f>
        <v>#REF!</v>
      </c>
      <c r="M608" s="33" t="s">
        <v>46</v>
      </c>
      <c r="N608" s="30" t="s">
        <v>29</v>
      </c>
      <c r="O608" s="34" t="e">
        <f>#REF!</f>
        <v>#REF!</v>
      </c>
      <c r="P608" s="35" t="s">
        <v>47</v>
      </c>
      <c r="Q608" s="31" t="s">
        <v>48</v>
      </c>
      <c r="R608" s="31"/>
      <c r="S608" s="31"/>
      <c r="T608" s="30" t="s">
        <v>29</v>
      </c>
      <c r="U608" s="358" t="e">
        <f>#REF!</f>
        <v>#REF!</v>
      </c>
      <c r="V608" s="358"/>
      <c r="W608" s="39" t="s">
        <v>34</v>
      </c>
      <c r="X608" s="40" t="e">
        <f>R601*O608/X594/8*1.5</f>
        <v>#REF!</v>
      </c>
    </row>
    <row r="609" spans="1:24" ht="18.75" customHeight="1">
      <c r="A609" s="347" t="s">
        <v>49</v>
      </c>
      <c r="B609" s="31"/>
      <c r="C609" s="34"/>
      <c r="D609" s="35" t="s">
        <v>38</v>
      </c>
      <c r="E609" s="31" t="s">
        <v>50</v>
      </c>
      <c r="F609" s="31"/>
      <c r="G609" s="31"/>
      <c r="H609" s="41" t="s">
        <v>29</v>
      </c>
      <c r="I609" s="358"/>
      <c r="J609" s="358"/>
      <c r="K609" s="39" t="s">
        <v>34</v>
      </c>
      <c r="L609" s="40"/>
      <c r="M609" s="347" t="s">
        <v>49</v>
      </c>
      <c r="N609" s="31"/>
      <c r="O609" s="34"/>
      <c r="P609" s="35" t="s">
        <v>38</v>
      </c>
      <c r="Q609" s="31" t="s">
        <v>50</v>
      </c>
      <c r="R609" s="31"/>
      <c r="S609" s="31"/>
      <c r="T609" s="41" t="s">
        <v>29</v>
      </c>
      <c r="U609" s="358"/>
      <c r="V609" s="358"/>
      <c r="W609" s="39" t="s">
        <v>34</v>
      </c>
      <c r="X609" s="40"/>
    </row>
    <row r="610" spans="1:24" ht="18.75" customHeight="1">
      <c r="A610" s="33" t="s">
        <v>51</v>
      </c>
      <c r="B610" s="30" t="s">
        <v>29</v>
      </c>
      <c r="C610" s="34"/>
      <c r="D610" s="35" t="s">
        <v>38</v>
      </c>
      <c r="E610" s="31" t="s">
        <v>52</v>
      </c>
      <c r="F610" s="31"/>
      <c r="G610" s="31"/>
      <c r="H610" s="30" t="s">
        <v>29</v>
      </c>
      <c r="I610" s="358"/>
      <c r="J610" s="358"/>
      <c r="K610" s="39" t="s">
        <v>34</v>
      </c>
      <c r="L610" s="40"/>
      <c r="M610" s="33" t="s">
        <v>51</v>
      </c>
      <c r="N610" s="30" t="s">
        <v>29</v>
      </c>
      <c r="O610" s="34"/>
      <c r="P610" s="35" t="s">
        <v>38</v>
      </c>
      <c r="Q610" s="31" t="s">
        <v>52</v>
      </c>
      <c r="R610" s="31"/>
      <c r="S610" s="31"/>
      <c r="T610" s="30" t="s">
        <v>29</v>
      </c>
      <c r="U610" s="358"/>
      <c r="V610" s="358"/>
      <c r="W610" s="39" t="s">
        <v>34</v>
      </c>
      <c r="X610" s="40"/>
    </row>
    <row r="611" spans="1:24" ht="18.75" customHeight="1">
      <c r="A611" s="42" t="s">
        <v>53</v>
      </c>
      <c r="B611" s="30"/>
      <c r="C611" s="34" t="e">
        <f>#REF!</f>
        <v>#REF!</v>
      </c>
      <c r="D611" s="35" t="s">
        <v>47</v>
      </c>
      <c r="E611" s="31" t="s">
        <v>54</v>
      </c>
      <c r="F611" s="31"/>
      <c r="G611" s="31"/>
      <c r="H611" s="30" t="s">
        <v>29</v>
      </c>
      <c r="I611" s="358" t="e">
        <f>$F$8*C611/8/$L$1</f>
        <v>#REF!</v>
      </c>
      <c r="J611" s="358"/>
      <c r="K611" s="39" t="s">
        <v>34</v>
      </c>
      <c r="L611" s="40"/>
      <c r="M611" s="42" t="s">
        <v>53</v>
      </c>
      <c r="N611" s="30"/>
      <c r="O611" s="34" t="e">
        <f>#REF!</f>
        <v>#REF!</v>
      </c>
      <c r="P611" s="35" t="s">
        <v>47</v>
      </c>
      <c r="Q611" s="31" t="s">
        <v>54</v>
      </c>
      <c r="R611" s="31"/>
      <c r="S611" s="31"/>
      <c r="T611" s="30" t="s">
        <v>29</v>
      </c>
      <c r="U611" s="358" t="e">
        <f>$F$8*O611/8/$L$1</f>
        <v>#REF!</v>
      </c>
      <c r="V611" s="358"/>
      <c r="W611" s="39" t="s">
        <v>34</v>
      </c>
      <c r="X611" s="40"/>
    </row>
    <row r="612" spans="1:24" ht="18.75" customHeight="1">
      <c r="A612" s="33" t="s">
        <v>155</v>
      </c>
      <c r="B612" s="30" t="s">
        <v>29</v>
      </c>
      <c r="C612" s="34"/>
      <c r="D612" s="35" t="s">
        <v>47</v>
      </c>
      <c r="E612" s="31" t="s">
        <v>61</v>
      </c>
      <c r="F612" s="31"/>
      <c r="G612" s="31"/>
      <c r="H612" s="30" t="s">
        <v>29</v>
      </c>
      <c r="I612" s="360"/>
      <c r="J612" s="360"/>
      <c r="K612" s="39" t="s">
        <v>34</v>
      </c>
      <c r="L612" s="40"/>
      <c r="M612" s="33" t="s">
        <v>155</v>
      </c>
      <c r="N612" s="30" t="s">
        <v>29</v>
      </c>
      <c r="O612" s="34"/>
      <c r="P612" s="35" t="s">
        <v>47</v>
      </c>
      <c r="Q612" s="31" t="s">
        <v>61</v>
      </c>
      <c r="R612" s="31"/>
      <c r="S612" s="31"/>
      <c r="T612" s="30" t="s">
        <v>29</v>
      </c>
      <c r="U612" s="360"/>
      <c r="V612" s="360"/>
      <c r="W612" s="39" t="s">
        <v>34</v>
      </c>
      <c r="X612" s="40"/>
    </row>
    <row r="613" spans="1:24" ht="18.75" customHeight="1">
      <c r="A613" s="33" t="s">
        <v>57</v>
      </c>
      <c r="B613" s="30" t="s">
        <v>29</v>
      </c>
      <c r="C613" s="34"/>
      <c r="D613" s="35" t="s">
        <v>58</v>
      </c>
      <c r="E613" s="31" t="s">
        <v>59</v>
      </c>
      <c r="F613" s="31"/>
      <c r="G613" s="31"/>
      <c r="H613" s="30" t="s">
        <v>29</v>
      </c>
      <c r="I613" s="358"/>
      <c r="J613" s="358"/>
      <c r="K613" s="39" t="s">
        <v>34</v>
      </c>
      <c r="L613" s="40" t="e">
        <f>+IF(L604-I604&lt;0,0,L604-I604)+IF(L608-I608&lt;0,0,L608-I608)</f>
        <v>#REF!</v>
      </c>
      <c r="M613" s="33" t="s">
        <v>57</v>
      </c>
      <c r="N613" s="30" t="s">
        <v>29</v>
      </c>
      <c r="O613" s="34"/>
      <c r="P613" s="35" t="s">
        <v>58</v>
      </c>
      <c r="Q613" s="31" t="s">
        <v>59</v>
      </c>
      <c r="R613" s="31"/>
      <c r="S613" s="31"/>
      <c r="T613" s="30" t="s">
        <v>29</v>
      </c>
      <c r="U613" s="358"/>
      <c r="V613" s="358"/>
      <c r="W613" s="39" t="s">
        <v>34</v>
      </c>
      <c r="X613" s="40" t="e">
        <f>+IF(X604-U604&lt;0,0,X604-U604)+IF(X608-U608&lt;0,0,X608-U608)</f>
        <v>#REF!</v>
      </c>
    </row>
    <row r="614" spans="1:24" ht="18.75" customHeight="1">
      <c r="A614" s="43" t="s">
        <v>152</v>
      </c>
      <c r="B614" s="44"/>
      <c r="C614" s="34"/>
      <c r="D614" s="35" t="s">
        <v>38</v>
      </c>
      <c r="E614" s="31" t="s">
        <v>153</v>
      </c>
      <c r="F614" s="31"/>
      <c r="G614" s="31"/>
      <c r="H614" s="30" t="s">
        <v>29</v>
      </c>
      <c r="I614" s="358"/>
      <c r="J614" s="358"/>
      <c r="K614" s="39" t="s">
        <v>34</v>
      </c>
      <c r="L614" s="40"/>
      <c r="M614" s="43" t="s">
        <v>152</v>
      </c>
      <c r="N614" s="44"/>
      <c r="O614" s="34"/>
      <c r="P614" s="35" t="s">
        <v>38</v>
      </c>
      <c r="Q614" s="31" t="s">
        <v>153</v>
      </c>
      <c r="R614" s="31"/>
      <c r="S614" s="31"/>
      <c r="T614" s="30" t="s">
        <v>29</v>
      </c>
      <c r="U614" s="358"/>
      <c r="V614" s="358"/>
      <c r="W614" s="39" t="s">
        <v>34</v>
      </c>
      <c r="X614" s="40"/>
    </row>
    <row r="615" spans="1:24" ht="18.75" customHeight="1">
      <c r="A615" s="366" t="s">
        <v>154</v>
      </c>
      <c r="B615" s="367"/>
      <c r="C615" s="34"/>
      <c r="D615" s="35"/>
      <c r="E615" s="36"/>
      <c r="F615" s="36"/>
      <c r="G615" s="36"/>
      <c r="H615" s="30" t="s">
        <v>29</v>
      </c>
      <c r="I615" s="358" t="e">
        <f>#REF!</f>
        <v>#REF!</v>
      </c>
      <c r="J615" s="358"/>
      <c r="K615" s="39" t="s">
        <v>34</v>
      </c>
      <c r="L615" s="40"/>
      <c r="M615" s="366" t="s">
        <v>154</v>
      </c>
      <c r="N615" s="367"/>
      <c r="O615" s="34"/>
      <c r="P615" s="35"/>
      <c r="Q615" s="36"/>
      <c r="R615" s="36"/>
      <c r="S615" s="36"/>
      <c r="T615" s="30" t="s">
        <v>29</v>
      </c>
      <c r="U615" s="358" t="e">
        <f>#REF!</f>
        <v>#REF!</v>
      </c>
      <c r="V615" s="358"/>
      <c r="W615" s="39" t="s">
        <v>34</v>
      </c>
      <c r="X615" s="40"/>
    </row>
    <row r="616" spans="1:24" ht="18.75" customHeight="1">
      <c r="A616" s="33" t="s">
        <v>63</v>
      </c>
      <c r="B616" s="30" t="s">
        <v>29</v>
      </c>
      <c r="C616" s="34"/>
      <c r="D616" s="35"/>
      <c r="E616" s="36" t="s">
        <v>64</v>
      </c>
      <c r="F616" s="36"/>
      <c r="G616" s="36"/>
      <c r="H616" s="30" t="s">
        <v>29</v>
      </c>
      <c r="I616" s="358" t="e">
        <f>L613</f>
        <v>#REF!</v>
      </c>
      <c r="J616" s="358"/>
      <c r="K616" s="39" t="s">
        <v>34</v>
      </c>
      <c r="L616" s="40"/>
      <c r="M616" s="33" t="s">
        <v>63</v>
      </c>
      <c r="N616" s="30" t="s">
        <v>29</v>
      </c>
      <c r="O616" s="34"/>
      <c r="P616" s="35"/>
      <c r="Q616" s="36" t="s">
        <v>64</v>
      </c>
      <c r="R616" s="36"/>
      <c r="S616" s="36"/>
      <c r="T616" s="30" t="s">
        <v>29</v>
      </c>
      <c r="U616" s="358" t="e">
        <f>X613</f>
        <v>#REF!</v>
      </c>
      <c r="V616" s="358"/>
      <c r="W616" s="39" t="s">
        <v>34</v>
      </c>
      <c r="X616" s="40"/>
    </row>
    <row r="617" spans="1:24" ht="18.75" customHeight="1">
      <c r="A617" s="362" t="s">
        <v>65</v>
      </c>
      <c r="B617" s="363"/>
      <c r="C617" s="363"/>
      <c r="D617" s="363"/>
      <c r="E617" s="363"/>
      <c r="F617" s="363"/>
      <c r="G617" s="30" t="s">
        <v>29</v>
      </c>
      <c r="H617" s="364" t="e">
        <f>I604+I605+I606+I607+I608+I611+I615+I616+I609+I610+I612+I613+I614+C615</f>
        <v>#REF!</v>
      </c>
      <c r="I617" s="365"/>
      <c r="J617" s="365"/>
      <c r="K617" s="39" t="s">
        <v>34</v>
      </c>
      <c r="M617" s="362" t="s">
        <v>65</v>
      </c>
      <c r="N617" s="363"/>
      <c r="O617" s="363"/>
      <c r="P617" s="363"/>
      <c r="Q617" s="363"/>
      <c r="R617" s="363"/>
      <c r="S617" s="30" t="s">
        <v>29</v>
      </c>
      <c r="T617" s="364" t="e">
        <f>U604+U605+U606+U607+U608+U611+U615+U616+U609+U610+U612+U613+U614+O615</f>
        <v>#REF!</v>
      </c>
      <c r="U617" s="365"/>
      <c r="V617" s="365"/>
      <c r="W617" s="39" t="s">
        <v>34</v>
      </c>
    </row>
    <row r="618" spans="1:24" ht="18.75" customHeight="1">
      <c r="A618" s="45"/>
      <c r="B618" s="46"/>
      <c r="C618" s="46"/>
      <c r="D618" s="46"/>
      <c r="E618" s="46"/>
      <c r="F618" s="46"/>
      <c r="G618" s="46"/>
      <c r="H618" s="46"/>
      <c r="I618" s="46"/>
      <c r="J618" s="46"/>
      <c r="K618" s="47"/>
      <c r="M618" s="45"/>
      <c r="N618" s="46"/>
      <c r="O618" s="46"/>
      <c r="P618" s="46"/>
      <c r="Q618" s="46"/>
      <c r="R618" s="46"/>
      <c r="S618" s="46"/>
      <c r="T618" s="46"/>
      <c r="U618" s="46"/>
      <c r="V618" s="46"/>
      <c r="W618" s="47"/>
    </row>
    <row r="619" spans="1:24" ht="18.75" customHeight="1">
      <c r="A619" s="374" t="s">
        <v>66</v>
      </c>
      <c r="B619" s="375"/>
      <c r="C619" s="375"/>
      <c r="D619" s="375"/>
      <c r="E619" s="375"/>
      <c r="F619" s="375"/>
      <c r="G619" s="30"/>
      <c r="H619" s="30"/>
      <c r="I619" s="30"/>
      <c r="J619" s="30"/>
      <c r="K619" s="39"/>
      <c r="M619" s="374" t="s">
        <v>66</v>
      </c>
      <c r="N619" s="375"/>
      <c r="O619" s="375"/>
      <c r="P619" s="375"/>
      <c r="Q619" s="375"/>
      <c r="R619" s="375"/>
      <c r="S619" s="30"/>
      <c r="T619" s="30"/>
      <c r="U619" s="30"/>
      <c r="V619" s="30"/>
      <c r="W619" s="39"/>
    </row>
    <row r="620" spans="1:24" ht="18.75" customHeight="1">
      <c r="A620" s="368" t="s">
        <v>67</v>
      </c>
      <c r="B620" s="369"/>
      <c r="C620" s="369"/>
      <c r="D620" s="369"/>
      <c r="E620" s="369"/>
      <c r="F620" s="369"/>
      <c r="G620" s="30" t="s">
        <v>29</v>
      </c>
      <c r="H620" s="376" t="e">
        <f>IF(($L$1-(C604+C605+C606+C607))&gt;12,0,F601*8%)</f>
        <v>#REF!</v>
      </c>
      <c r="I620" s="376"/>
      <c r="J620" s="376"/>
      <c r="K620" s="39" t="s">
        <v>34</v>
      </c>
      <c r="M620" s="368" t="s">
        <v>67</v>
      </c>
      <c r="N620" s="369"/>
      <c r="O620" s="369"/>
      <c r="P620" s="369"/>
      <c r="Q620" s="369"/>
      <c r="R620" s="369"/>
      <c r="S620" s="30" t="s">
        <v>29</v>
      </c>
      <c r="T620" s="376" t="e">
        <f>IF(($L$1-(O604+O605+O606+O607))&gt;12,0,R601*8%)</f>
        <v>#REF!</v>
      </c>
      <c r="U620" s="376"/>
      <c r="V620" s="376"/>
      <c r="W620" s="39" t="s">
        <v>34</v>
      </c>
    </row>
    <row r="621" spans="1:24" ht="18.75" customHeight="1">
      <c r="A621" s="368" t="s">
        <v>68</v>
      </c>
      <c r="B621" s="369"/>
      <c r="C621" s="369"/>
      <c r="D621" s="369"/>
      <c r="E621" s="369"/>
      <c r="F621" s="369"/>
      <c r="G621" s="30" t="s">
        <v>29</v>
      </c>
      <c r="H621" s="370" t="e">
        <f>IF(($L$1-(C604+C605+C606+C607))&gt;12,0,F601*1.5%)</f>
        <v>#REF!</v>
      </c>
      <c r="I621" s="370"/>
      <c r="J621" s="370"/>
      <c r="K621" s="39" t="s">
        <v>34</v>
      </c>
      <c r="M621" s="368" t="s">
        <v>68</v>
      </c>
      <c r="N621" s="369"/>
      <c r="O621" s="369"/>
      <c r="P621" s="369"/>
      <c r="Q621" s="369"/>
      <c r="R621" s="369"/>
      <c r="S621" s="30" t="s">
        <v>29</v>
      </c>
      <c r="T621" s="370" t="e">
        <f>IF(($L$1-(O604+O605+O606+O607))&gt;12,0,R601*1.5%)</f>
        <v>#REF!</v>
      </c>
      <c r="U621" s="370"/>
      <c r="V621" s="370"/>
      <c r="W621" s="39" t="s">
        <v>34</v>
      </c>
    </row>
    <row r="622" spans="1:24" ht="18.75" customHeight="1">
      <c r="A622" s="368" t="s">
        <v>69</v>
      </c>
      <c r="B622" s="369"/>
      <c r="C622" s="369"/>
      <c r="D622" s="369"/>
      <c r="E622" s="369"/>
      <c r="F622" s="369"/>
      <c r="G622" s="30" t="s">
        <v>29</v>
      </c>
      <c r="H622" s="370" t="e">
        <f>IF(($L$1-(C604+C605+C606+C607))&gt;12,0,F601*1%)</f>
        <v>#REF!</v>
      </c>
      <c r="I622" s="370"/>
      <c r="J622" s="370"/>
      <c r="K622" s="39" t="s">
        <v>34</v>
      </c>
      <c r="M622" s="368" t="s">
        <v>69</v>
      </c>
      <c r="N622" s="369"/>
      <c r="O622" s="369"/>
      <c r="P622" s="369"/>
      <c r="Q622" s="369"/>
      <c r="R622" s="369"/>
      <c r="S622" s="30" t="s">
        <v>29</v>
      </c>
      <c r="T622" s="370" t="e">
        <f>IF(($L$1-(O604+O605+O606+O607))&gt;12,0,R601*1%)</f>
        <v>#REF!</v>
      </c>
      <c r="U622" s="370"/>
      <c r="V622" s="370"/>
      <c r="W622" s="39" t="s">
        <v>34</v>
      </c>
    </row>
    <row r="623" spans="1:24" ht="18.75" customHeight="1">
      <c r="A623" s="368" t="s">
        <v>70</v>
      </c>
      <c r="B623" s="369"/>
      <c r="C623" s="369"/>
      <c r="D623" s="369"/>
      <c r="E623" s="369"/>
      <c r="F623" s="369"/>
      <c r="G623" s="30" t="s">
        <v>29</v>
      </c>
      <c r="H623" s="370">
        <v>0</v>
      </c>
      <c r="I623" s="370"/>
      <c r="J623" s="370"/>
      <c r="K623" s="39" t="s">
        <v>34</v>
      </c>
      <c r="M623" s="368" t="s">
        <v>70</v>
      </c>
      <c r="N623" s="369"/>
      <c r="O623" s="369"/>
      <c r="P623" s="369"/>
      <c r="Q623" s="369"/>
      <c r="R623" s="369"/>
      <c r="S623" s="30" t="s">
        <v>29</v>
      </c>
      <c r="T623" s="370">
        <v>0</v>
      </c>
      <c r="U623" s="370"/>
      <c r="V623" s="370"/>
      <c r="W623" s="39" t="s">
        <v>34</v>
      </c>
    </row>
    <row r="624" spans="1:24" ht="18.75" customHeight="1">
      <c r="A624" s="371" t="s">
        <v>71</v>
      </c>
      <c r="B624" s="372"/>
      <c r="C624" s="372"/>
      <c r="D624" s="372"/>
      <c r="E624" s="372"/>
      <c r="F624" s="372"/>
      <c r="G624" s="30" t="s">
        <v>29</v>
      </c>
      <c r="H624" s="373" t="e">
        <f>SUM(H620:J623)</f>
        <v>#REF!</v>
      </c>
      <c r="I624" s="373"/>
      <c r="J624" s="373"/>
      <c r="K624" s="39" t="s">
        <v>34</v>
      </c>
      <c r="M624" s="371" t="s">
        <v>71</v>
      </c>
      <c r="N624" s="372"/>
      <c r="O624" s="372"/>
      <c r="P624" s="372"/>
      <c r="Q624" s="372"/>
      <c r="R624" s="372"/>
      <c r="S624" s="30" t="s">
        <v>29</v>
      </c>
      <c r="T624" s="373" t="e">
        <f>SUM(T620:V623)</f>
        <v>#REF!</v>
      </c>
      <c r="U624" s="373"/>
      <c r="V624" s="373"/>
      <c r="W624" s="39" t="s">
        <v>34</v>
      </c>
    </row>
    <row r="625" spans="1:24" ht="18.75" customHeight="1">
      <c r="A625" s="368" t="s">
        <v>72</v>
      </c>
      <c r="B625" s="369"/>
      <c r="C625" s="369"/>
      <c r="D625" s="369"/>
      <c r="E625" s="369"/>
      <c r="F625" s="369"/>
      <c r="G625" s="30" t="s">
        <v>29</v>
      </c>
      <c r="H625" s="384" t="e">
        <f>ROUND(H617-H624,-2)</f>
        <v>#REF!</v>
      </c>
      <c r="I625" s="384"/>
      <c r="J625" s="384"/>
      <c r="K625" s="39" t="s">
        <v>34</v>
      </c>
      <c r="M625" s="368" t="s">
        <v>72</v>
      </c>
      <c r="N625" s="369"/>
      <c r="O625" s="369"/>
      <c r="P625" s="369"/>
      <c r="Q625" s="369"/>
      <c r="R625" s="369"/>
      <c r="S625" s="30" t="s">
        <v>29</v>
      </c>
      <c r="T625" s="381" t="e">
        <f>ROUND(T617-T624,-2)</f>
        <v>#REF!</v>
      </c>
      <c r="U625" s="381"/>
      <c r="V625" s="381"/>
      <c r="W625" s="39" t="s">
        <v>34</v>
      </c>
    </row>
    <row r="626" spans="1:24" ht="18.75" customHeight="1">
      <c r="A626" s="48"/>
      <c r="B626" s="49"/>
      <c r="C626" s="49"/>
      <c r="D626" s="49"/>
      <c r="E626" s="49"/>
      <c r="F626" s="49"/>
      <c r="G626" s="49"/>
      <c r="H626" s="49"/>
      <c r="I626" s="49"/>
      <c r="J626" s="49"/>
      <c r="K626" s="50"/>
      <c r="M626" s="48"/>
      <c r="N626" s="49"/>
      <c r="O626" s="49"/>
      <c r="P626" s="49"/>
      <c r="Q626" s="49"/>
      <c r="R626" s="49"/>
      <c r="S626" s="49"/>
      <c r="T626" s="49"/>
      <c r="U626" s="49"/>
      <c r="V626" s="49"/>
      <c r="W626" s="50"/>
    </row>
    <row r="627" spans="1:24" ht="18.75" customHeight="1">
      <c r="A627" s="51"/>
      <c r="B627" s="30"/>
      <c r="C627" s="30"/>
      <c r="D627" s="30"/>
      <c r="E627" s="30"/>
      <c r="F627" s="30"/>
      <c r="G627" s="30"/>
      <c r="H627" s="30"/>
      <c r="I627" s="378" t="s">
        <v>73</v>
      </c>
      <c r="J627" s="378"/>
      <c r="K627" s="382"/>
      <c r="M627" s="51"/>
      <c r="N627" s="30"/>
      <c r="O627" s="30"/>
      <c r="P627" s="30"/>
      <c r="Q627" s="30"/>
      <c r="R627" s="30"/>
      <c r="S627" s="30"/>
      <c r="T627" s="30"/>
      <c r="U627" s="378" t="s">
        <v>73</v>
      </c>
      <c r="V627" s="378"/>
      <c r="W627" s="382"/>
    </row>
    <row r="628" spans="1:24" ht="18.75" customHeight="1">
      <c r="A628" s="51"/>
      <c r="B628" s="377"/>
      <c r="C628" s="378"/>
      <c r="D628" s="378"/>
      <c r="E628" s="378"/>
      <c r="F628" s="30"/>
      <c r="G628" s="30"/>
      <c r="H628" s="30"/>
      <c r="I628" s="30"/>
      <c r="J628" s="30"/>
      <c r="K628" s="32"/>
      <c r="M628" s="51"/>
      <c r="N628" s="377"/>
      <c r="O628" s="378"/>
      <c r="P628" s="378"/>
      <c r="Q628" s="378"/>
      <c r="R628" s="30"/>
      <c r="S628" s="30"/>
      <c r="T628" s="30"/>
      <c r="U628" s="30"/>
      <c r="V628" s="30"/>
      <c r="W628" s="32"/>
    </row>
    <row r="629" spans="1:24" ht="18.75" customHeight="1" thickBot="1">
      <c r="A629" s="53"/>
      <c r="B629" s="54"/>
      <c r="C629" s="54"/>
      <c r="D629" s="54"/>
      <c r="E629" s="54"/>
      <c r="F629" s="54"/>
      <c r="G629" s="54"/>
      <c r="H629" s="54"/>
      <c r="I629" s="379" t="s">
        <v>74</v>
      </c>
      <c r="J629" s="379"/>
      <c r="K629" s="380"/>
      <c r="M629" s="53"/>
      <c r="N629" s="54"/>
      <c r="O629" s="54"/>
      <c r="P629" s="54"/>
      <c r="Q629" s="54"/>
      <c r="R629" s="54"/>
      <c r="S629" s="54"/>
      <c r="T629" s="54"/>
      <c r="U629" s="379" t="s">
        <v>74</v>
      </c>
      <c r="V629" s="379"/>
      <c r="W629" s="380"/>
    </row>
    <row r="630" spans="1:24" ht="18.75" customHeight="1" thickTop="1" thickBot="1"/>
    <row r="631" spans="1:24" ht="18.75" customHeight="1" thickTop="1">
      <c r="A631" s="351" t="s">
        <v>160</v>
      </c>
      <c r="B631" s="352"/>
      <c r="C631" s="352"/>
      <c r="D631" s="352"/>
      <c r="E631" s="352"/>
      <c r="F631" s="352"/>
      <c r="G631" s="352"/>
      <c r="H631" s="352"/>
      <c r="I631" s="352"/>
      <c r="J631" s="352"/>
      <c r="K631" s="353"/>
      <c r="L631" s="26">
        <v>26</v>
      </c>
      <c r="M631" s="351" t="s">
        <v>160</v>
      </c>
      <c r="N631" s="352"/>
      <c r="O631" s="352"/>
      <c r="P631" s="352"/>
      <c r="Q631" s="352"/>
      <c r="R631" s="352"/>
      <c r="S631" s="352"/>
      <c r="T631" s="352"/>
      <c r="U631" s="352"/>
      <c r="V631" s="352"/>
      <c r="W631" s="353"/>
      <c r="X631" s="26">
        <v>26</v>
      </c>
    </row>
    <row r="632" spans="1:24" ht="18.75" customHeight="1">
      <c r="A632" s="27" t="s">
        <v>109</v>
      </c>
      <c r="B632" s="28"/>
      <c r="C632" s="28"/>
      <c r="D632" s="28"/>
      <c r="E632" s="28"/>
      <c r="F632" s="28"/>
      <c r="G632" s="28"/>
      <c r="H632" s="28"/>
      <c r="I632" s="28"/>
      <c r="J632" s="28"/>
      <c r="K632" s="29"/>
      <c r="M632" s="27" t="s">
        <v>110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9"/>
    </row>
    <row r="633" spans="1:24" ht="18.75" customHeight="1">
      <c r="A633" s="354" t="s">
        <v>27</v>
      </c>
      <c r="B633" s="355"/>
      <c r="C633" s="355"/>
      <c r="D633" s="355"/>
      <c r="E633" s="355"/>
      <c r="F633" s="355"/>
      <c r="G633" s="355"/>
      <c r="H633" s="355"/>
      <c r="I633" s="355"/>
      <c r="J633" s="355"/>
      <c r="K633" s="356"/>
      <c r="M633" s="354" t="s">
        <v>27</v>
      </c>
      <c r="N633" s="355"/>
      <c r="O633" s="355"/>
      <c r="P633" s="355"/>
      <c r="Q633" s="355"/>
      <c r="R633" s="355"/>
      <c r="S633" s="355"/>
      <c r="T633" s="355"/>
      <c r="U633" s="355"/>
      <c r="V633" s="355"/>
      <c r="W633" s="356"/>
    </row>
    <row r="634" spans="1:24" ht="18.75" customHeight="1">
      <c r="A634" s="347" t="s">
        <v>28</v>
      </c>
      <c r="B634" s="31"/>
      <c r="C634" s="31"/>
      <c r="D634" s="31"/>
      <c r="E634" s="30" t="s">
        <v>29</v>
      </c>
      <c r="F634" s="348">
        <f>'Bang TH nop'!B77</f>
        <v>0</v>
      </c>
      <c r="G634" s="31"/>
      <c r="H634" s="31"/>
      <c r="I634" s="31"/>
      <c r="J634" s="31"/>
      <c r="K634" s="350"/>
      <c r="M634" s="347" t="s">
        <v>28</v>
      </c>
      <c r="N634" s="31"/>
      <c r="O634" s="31"/>
      <c r="P634" s="31"/>
      <c r="Q634" s="30" t="s">
        <v>29</v>
      </c>
      <c r="R634" s="348">
        <f>'Bang TH nop'!B79</f>
        <v>0</v>
      </c>
      <c r="S634" s="31"/>
      <c r="T634" s="31"/>
      <c r="U634" s="31"/>
      <c r="V634" s="31"/>
      <c r="W634" s="350"/>
    </row>
    <row r="635" spans="1:24" ht="18.75" customHeight="1">
      <c r="A635" s="347" t="s">
        <v>30</v>
      </c>
      <c r="B635" s="31"/>
      <c r="C635" s="31"/>
      <c r="D635" s="31"/>
      <c r="E635" s="30" t="s">
        <v>29</v>
      </c>
      <c r="F635" s="348">
        <f>'Bang TH nop'!C77</f>
        <v>0</v>
      </c>
      <c r="G635" s="348"/>
      <c r="H635" s="348"/>
      <c r="I635" s="348"/>
      <c r="J635" s="348"/>
      <c r="K635" s="349"/>
      <c r="M635" s="347" t="s">
        <v>30</v>
      </c>
      <c r="N635" s="31"/>
      <c r="O635" s="31"/>
      <c r="P635" s="31"/>
      <c r="Q635" s="30" t="s">
        <v>29</v>
      </c>
      <c r="R635" s="348">
        <f>'Bang TH nop'!C79</f>
        <v>0</v>
      </c>
      <c r="S635" s="348"/>
      <c r="T635" s="348"/>
      <c r="U635" s="348"/>
      <c r="V635" s="348"/>
      <c r="W635" s="349"/>
    </row>
    <row r="636" spans="1:24" ht="18.75" customHeight="1">
      <c r="A636" s="347" t="s">
        <v>31</v>
      </c>
      <c r="B636" s="31"/>
      <c r="C636" s="31"/>
      <c r="D636" s="31"/>
      <c r="E636" s="30" t="s">
        <v>29</v>
      </c>
      <c r="F636" s="31" t="str">
        <f>+$L$2</f>
        <v xml:space="preserve">Tổ  </v>
      </c>
      <c r="G636" s="31"/>
      <c r="H636" s="31"/>
      <c r="I636" s="31"/>
      <c r="J636" s="31"/>
      <c r="K636" s="350"/>
      <c r="M636" s="347" t="s">
        <v>31</v>
      </c>
      <c r="N636" s="31"/>
      <c r="O636" s="31"/>
      <c r="P636" s="31"/>
      <c r="Q636" s="30" t="s">
        <v>29</v>
      </c>
      <c r="R636" s="31" t="str">
        <f>+$L$2</f>
        <v xml:space="preserve">Tổ  </v>
      </c>
      <c r="S636" s="31"/>
      <c r="T636" s="31"/>
      <c r="U636" s="31"/>
      <c r="V636" s="31"/>
      <c r="W636" s="350"/>
    </row>
    <row r="637" spans="1:24" ht="18.75" customHeight="1">
      <c r="A637" s="354" t="s">
        <v>32</v>
      </c>
      <c r="B637" s="355"/>
      <c r="C637" s="355"/>
      <c r="D637" s="355"/>
      <c r="E637" s="355"/>
      <c r="F637" s="355"/>
      <c r="G637" s="355"/>
      <c r="H637" s="355"/>
      <c r="I637" s="355"/>
      <c r="J637" s="355"/>
      <c r="K637" s="356"/>
      <c r="M637" s="354" t="s">
        <v>32</v>
      </c>
      <c r="N637" s="355"/>
      <c r="O637" s="355"/>
      <c r="P637" s="355"/>
      <c r="Q637" s="355"/>
      <c r="R637" s="355"/>
      <c r="S637" s="355"/>
      <c r="T637" s="355"/>
      <c r="U637" s="355"/>
      <c r="V637" s="355"/>
      <c r="W637" s="356"/>
    </row>
    <row r="638" spans="1:24" ht="18.75" customHeight="1">
      <c r="A638" s="347" t="s">
        <v>33</v>
      </c>
      <c r="B638" s="31"/>
      <c r="C638" s="31"/>
      <c r="D638" s="31"/>
      <c r="E638" s="30" t="s">
        <v>29</v>
      </c>
      <c r="F638" s="361">
        <f>VLOOKUP(F635,'Bang TH nop'!$C$9:$AP$266,29,0)</f>
        <v>0</v>
      </c>
      <c r="G638" s="361"/>
      <c r="H638" s="361"/>
      <c r="I638" s="361"/>
      <c r="J638" s="30" t="s">
        <v>34</v>
      </c>
      <c r="K638" s="32"/>
      <c r="M638" s="347" t="s">
        <v>33</v>
      </c>
      <c r="N638" s="31"/>
      <c r="O638" s="31"/>
      <c r="P638" s="31"/>
      <c r="Q638" s="30" t="s">
        <v>29</v>
      </c>
      <c r="R638" s="361">
        <f>VLOOKUP(R635,'Bang TH nop'!$C$9:$AP$266,29,0)</f>
        <v>0</v>
      </c>
      <c r="S638" s="361"/>
      <c r="T638" s="361"/>
      <c r="U638" s="361"/>
      <c r="V638" s="30" t="s">
        <v>34</v>
      </c>
      <c r="W638" s="32"/>
    </row>
    <row r="639" spans="1:24" ht="18.75" customHeight="1">
      <c r="A639" s="33" t="s">
        <v>35</v>
      </c>
      <c r="B639" s="30"/>
      <c r="C639" s="34"/>
      <c r="D639" s="35"/>
      <c r="E639" s="36"/>
      <c r="F639" s="36"/>
      <c r="G639" s="36"/>
      <c r="H639" s="30"/>
      <c r="I639" s="37" t="e">
        <f>#REF!</f>
        <v>#REF!</v>
      </c>
      <c r="J639" s="38"/>
      <c r="K639" s="39"/>
      <c r="M639" s="33" t="s">
        <v>35</v>
      </c>
      <c r="N639" s="30"/>
      <c r="O639" s="34"/>
      <c r="P639" s="35"/>
      <c r="Q639" s="36"/>
      <c r="R639" s="36"/>
      <c r="S639" s="36"/>
      <c r="T639" s="30"/>
      <c r="U639" s="37" t="e">
        <f>#REF!</f>
        <v>#REF!</v>
      </c>
      <c r="V639" s="38"/>
      <c r="W639" s="39"/>
    </row>
    <row r="640" spans="1:24" ht="18.75" customHeight="1">
      <c r="A640" s="33" t="s">
        <v>36</v>
      </c>
      <c r="B640" s="30"/>
      <c r="C640" s="34"/>
      <c r="D640" s="35"/>
      <c r="E640" s="36"/>
      <c r="F640" s="36"/>
      <c r="G640" s="36"/>
      <c r="H640" s="30"/>
      <c r="I640" s="37" t="e">
        <f>I641/C641/8</f>
        <v>#REF!</v>
      </c>
      <c r="J640" s="38"/>
      <c r="K640" s="39"/>
      <c r="M640" s="33" t="s">
        <v>36</v>
      </c>
      <c r="N640" s="30"/>
      <c r="O640" s="34"/>
      <c r="P640" s="35"/>
      <c r="Q640" s="36"/>
      <c r="R640" s="36"/>
      <c r="S640" s="36"/>
      <c r="T640" s="30"/>
      <c r="U640" s="37" t="e">
        <f>U641/O641/8</f>
        <v>#REF!</v>
      </c>
      <c r="V640" s="38"/>
      <c r="W640" s="39"/>
    </row>
    <row r="641" spans="1:24" ht="18.75" customHeight="1">
      <c r="A641" s="33" t="s">
        <v>37</v>
      </c>
      <c r="B641" s="30" t="s">
        <v>29</v>
      </c>
      <c r="C641" s="34" t="e">
        <f>#REF!</f>
        <v>#REF!</v>
      </c>
      <c r="D641" s="35" t="s">
        <v>38</v>
      </c>
      <c r="E641" s="359" t="s">
        <v>39</v>
      </c>
      <c r="F641" s="359"/>
      <c r="G641" s="359"/>
      <c r="H641" s="30" t="s">
        <v>29</v>
      </c>
      <c r="I641" s="360" t="e">
        <f>#REF!</f>
        <v>#REF!</v>
      </c>
      <c r="J641" s="360"/>
      <c r="K641" s="39" t="s">
        <v>34</v>
      </c>
      <c r="L641" s="40" t="e">
        <f>F638/L631*C641</f>
        <v>#REF!</v>
      </c>
      <c r="M641" s="33" t="s">
        <v>37</v>
      </c>
      <c r="N641" s="30" t="s">
        <v>29</v>
      </c>
      <c r="O641" s="34" t="e">
        <f>#REF!</f>
        <v>#REF!</v>
      </c>
      <c r="P641" s="35" t="s">
        <v>38</v>
      </c>
      <c r="Q641" s="359" t="s">
        <v>39</v>
      </c>
      <c r="R641" s="359"/>
      <c r="S641" s="359"/>
      <c r="T641" s="30" t="s">
        <v>29</v>
      </c>
      <c r="U641" s="360" t="e">
        <f>#REF!</f>
        <v>#REF!</v>
      </c>
      <c r="V641" s="360"/>
      <c r="W641" s="39" t="s">
        <v>34</v>
      </c>
      <c r="X641" s="40" t="e">
        <f>R638/X631*O641</f>
        <v>#REF!</v>
      </c>
    </row>
    <row r="642" spans="1:24" ht="18.75" customHeight="1">
      <c r="A642" s="33" t="s">
        <v>40</v>
      </c>
      <c r="B642" s="30" t="s">
        <v>29</v>
      </c>
      <c r="C642" s="34" t="e">
        <f>#REF!</f>
        <v>#REF!</v>
      </c>
      <c r="D642" s="35" t="s">
        <v>38</v>
      </c>
      <c r="E642" s="31" t="s">
        <v>41</v>
      </c>
      <c r="F642" s="31"/>
      <c r="G642" s="31"/>
      <c r="H642" s="30" t="s">
        <v>29</v>
      </c>
      <c r="I642" s="358" t="e">
        <f>$F$8/$L$1*C642</f>
        <v>#REF!</v>
      </c>
      <c r="J642" s="358"/>
      <c r="K642" s="39" t="s">
        <v>34</v>
      </c>
      <c r="L642" s="40"/>
      <c r="M642" s="33" t="s">
        <v>40</v>
      </c>
      <c r="N642" s="30" t="s">
        <v>29</v>
      </c>
      <c r="O642" s="34" t="e">
        <f>#REF!</f>
        <v>#REF!</v>
      </c>
      <c r="P642" s="35" t="s">
        <v>38</v>
      </c>
      <c r="Q642" s="31" t="s">
        <v>41</v>
      </c>
      <c r="R642" s="31"/>
      <c r="S642" s="31"/>
      <c r="T642" s="30" t="s">
        <v>29</v>
      </c>
      <c r="U642" s="358" t="e">
        <f>$F$8/$L$1*O642</f>
        <v>#REF!</v>
      </c>
      <c r="V642" s="358"/>
      <c r="W642" s="39" t="s">
        <v>34</v>
      </c>
      <c r="X642" s="40"/>
    </row>
    <row r="643" spans="1:24" ht="18.75" customHeight="1">
      <c r="A643" s="33" t="s">
        <v>42</v>
      </c>
      <c r="B643" s="30" t="s">
        <v>29</v>
      </c>
      <c r="C643" s="34" t="e">
        <f>#REF!</f>
        <v>#REF!</v>
      </c>
      <c r="D643" s="35" t="s">
        <v>38</v>
      </c>
      <c r="E643" s="357" t="s">
        <v>43</v>
      </c>
      <c r="F643" s="357"/>
      <c r="G643" s="357"/>
      <c r="H643" s="30" t="s">
        <v>29</v>
      </c>
      <c r="I643" s="358" t="e">
        <f>$F$8/$L$1*C643</f>
        <v>#REF!</v>
      </c>
      <c r="J643" s="358"/>
      <c r="K643" s="39" t="s">
        <v>34</v>
      </c>
      <c r="L643" s="40"/>
      <c r="M643" s="33" t="s">
        <v>42</v>
      </c>
      <c r="N643" s="30" t="s">
        <v>29</v>
      </c>
      <c r="O643" s="34" t="e">
        <f>#REF!</f>
        <v>#REF!</v>
      </c>
      <c r="P643" s="35" t="s">
        <v>38</v>
      </c>
      <c r="Q643" s="357" t="s">
        <v>43</v>
      </c>
      <c r="R643" s="357"/>
      <c r="S643" s="357"/>
      <c r="T643" s="30" t="s">
        <v>29</v>
      </c>
      <c r="U643" s="358" t="e">
        <f>$F$8/$L$1*O643</f>
        <v>#REF!</v>
      </c>
      <c r="V643" s="358"/>
      <c r="W643" s="39" t="s">
        <v>34</v>
      </c>
      <c r="X643" s="40"/>
    </row>
    <row r="644" spans="1:24" ht="18.75" customHeight="1">
      <c r="A644" s="33" t="s">
        <v>44</v>
      </c>
      <c r="B644" s="30" t="s">
        <v>29</v>
      </c>
      <c r="C644" s="34" t="e">
        <f>#REF!</f>
        <v>#REF!</v>
      </c>
      <c r="D644" s="35" t="s">
        <v>38</v>
      </c>
      <c r="E644" s="357" t="s">
        <v>45</v>
      </c>
      <c r="F644" s="357"/>
      <c r="G644" s="357"/>
      <c r="H644" s="30" t="s">
        <v>29</v>
      </c>
      <c r="I644" s="358" t="e">
        <f>$F$8/$L$1*C644</f>
        <v>#REF!</v>
      </c>
      <c r="J644" s="358"/>
      <c r="K644" s="39" t="s">
        <v>34</v>
      </c>
      <c r="L644" s="40"/>
      <c r="M644" s="33" t="s">
        <v>44</v>
      </c>
      <c r="N644" s="30" t="s">
        <v>29</v>
      </c>
      <c r="O644" s="34" t="e">
        <f>#REF!</f>
        <v>#REF!</v>
      </c>
      <c r="P644" s="35" t="s">
        <v>38</v>
      </c>
      <c r="Q644" s="357" t="s">
        <v>45</v>
      </c>
      <c r="R644" s="357"/>
      <c r="S644" s="357"/>
      <c r="T644" s="30" t="s">
        <v>29</v>
      </c>
      <c r="U644" s="358" t="e">
        <f>$F$8/$L$1*O644</f>
        <v>#REF!</v>
      </c>
      <c r="V644" s="358"/>
      <c r="W644" s="39" t="s">
        <v>34</v>
      </c>
      <c r="X644" s="40"/>
    </row>
    <row r="645" spans="1:24" ht="18.75" customHeight="1">
      <c r="A645" s="33" t="s">
        <v>46</v>
      </c>
      <c r="B645" s="30" t="s">
        <v>29</v>
      </c>
      <c r="C645" s="34" t="e">
        <f>#REF!</f>
        <v>#REF!</v>
      </c>
      <c r="D645" s="35" t="s">
        <v>47</v>
      </c>
      <c r="E645" s="31" t="s">
        <v>48</v>
      </c>
      <c r="F645" s="31"/>
      <c r="G645" s="31"/>
      <c r="H645" s="30" t="s">
        <v>29</v>
      </c>
      <c r="I645" s="358" t="e">
        <f>#REF!</f>
        <v>#REF!</v>
      </c>
      <c r="J645" s="358"/>
      <c r="K645" s="39" t="s">
        <v>34</v>
      </c>
      <c r="L645" s="40" t="e">
        <f>F638*C645/L631/8*1.5</f>
        <v>#REF!</v>
      </c>
      <c r="M645" s="33" t="s">
        <v>46</v>
      </c>
      <c r="N645" s="30" t="s">
        <v>29</v>
      </c>
      <c r="O645" s="34" t="e">
        <f>#REF!</f>
        <v>#REF!</v>
      </c>
      <c r="P645" s="35" t="s">
        <v>47</v>
      </c>
      <c r="Q645" s="31" t="s">
        <v>48</v>
      </c>
      <c r="R645" s="31"/>
      <c r="S645" s="31"/>
      <c r="T645" s="30" t="s">
        <v>29</v>
      </c>
      <c r="U645" s="358" t="e">
        <f>#REF!</f>
        <v>#REF!</v>
      </c>
      <c r="V645" s="358"/>
      <c r="W645" s="39" t="s">
        <v>34</v>
      </c>
      <c r="X645" s="40" t="e">
        <f>R638*O645/X631/8*1.5</f>
        <v>#REF!</v>
      </c>
    </row>
    <row r="646" spans="1:24" ht="18.75" customHeight="1">
      <c r="A646" s="347" t="s">
        <v>49</v>
      </c>
      <c r="B646" s="31"/>
      <c r="C646" s="34"/>
      <c r="D646" s="35" t="s">
        <v>38</v>
      </c>
      <c r="E646" s="31" t="s">
        <v>50</v>
      </c>
      <c r="F646" s="31"/>
      <c r="G646" s="31"/>
      <c r="H646" s="41" t="s">
        <v>29</v>
      </c>
      <c r="I646" s="358"/>
      <c r="J646" s="358"/>
      <c r="K646" s="39" t="s">
        <v>34</v>
      </c>
      <c r="L646" s="40"/>
      <c r="M646" s="347" t="s">
        <v>49</v>
      </c>
      <c r="N646" s="31"/>
      <c r="O646" s="34"/>
      <c r="P646" s="35" t="s">
        <v>38</v>
      </c>
      <c r="Q646" s="31" t="s">
        <v>50</v>
      </c>
      <c r="R646" s="31"/>
      <c r="S646" s="31"/>
      <c r="T646" s="41" t="s">
        <v>29</v>
      </c>
      <c r="U646" s="358"/>
      <c r="V646" s="358"/>
      <c r="W646" s="39" t="s">
        <v>34</v>
      </c>
      <c r="X646" s="40"/>
    </row>
    <row r="647" spans="1:24" ht="18.75" customHeight="1">
      <c r="A647" s="33" t="s">
        <v>51</v>
      </c>
      <c r="B647" s="30" t="s">
        <v>29</v>
      </c>
      <c r="C647" s="34"/>
      <c r="D647" s="35" t="s">
        <v>38</v>
      </c>
      <c r="E647" s="31" t="s">
        <v>52</v>
      </c>
      <c r="F647" s="31"/>
      <c r="G647" s="31"/>
      <c r="H647" s="30" t="s">
        <v>29</v>
      </c>
      <c r="I647" s="358"/>
      <c r="J647" s="358"/>
      <c r="K647" s="39" t="s">
        <v>34</v>
      </c>
      <c r="L647" s="40"/>
      <c r="M647" s="33" t="s">
        <v>51</v>
      </c>
      <c r="N647" s="30" t="s">
        <v>29</v>
      </c>
      <c r="O647" s="34"/>
      <c r="P647" s="35" t="s">
        <v>38</v>
      </c>
      <c r="Q647" s="31" t="s">
        <v>52</v>
      </c>
      <c r="R647" s="31"/>
      <c r="S647" s="31"/>
      <c r="T647" s="30" t="s">
        <v>29</v>
      </c>
      <c r="U647" s="358"/>
      <c r="V647" s="358"/>
      <c r="W647" s="39" t="s">
        <v>34</v>
      </c>
      <c r="X647" s="40"/>
    </row>
    <row r="648" spans="1:24" ht="18.75" customHeight="1">
      <c r="A648" s="42" t="s">
        <v>53</v>
      </c>
      <c r="B648" s="30"/>
      <c r="C648" s="34" t="e">
        <f>#REF!</f>
        <v>#REF!</v>
      </c>
      <c r="D648" s="35" t="s">
        <v>47</v>
      </c>
      <c r="E648" s="31" t="s">
        <v>54</v>
      </c>
      <c r="F648" s="31"/>
      <c r="G648" s="31"/>
      <c r="H648" s="30" t="s">
        <v>29</v>
      </c>
      <c r="I648" s="358" t="e">
        <f>$F$8*C648/8/$L$1</f>
        <v>#REF!</v>
      </c>
      <c r="J648" s="358"/>
      <c r="K648" s="39" t="s">
        <v>34</v>
      </c>
      <c r="L648" s="40"/>
      <c r="M648" s="42" t="s">
        <v>53</v>
      </c>
      <c r="N648" s="30"/>
      <c r="O648" s="34" t="e">
        <f>#REF!</f>
        <v>#REF!</v>
      </c>
      <c r="P648" s="35" t="s">
        <v>47</v>
      </c>
      <c r="Q648" s="31" t="s">
        <v>54</v>
      </c>
      <c r="R648" s="31"/>
      <c r="S648" s="31"/>
      <c r="T648" s="30" t="s">
        <v>29</v>
      </c>
      <c r="U648" s="358" t="e">
        <f>$F$8*O648/8/$L$1</f>
        <v>#REF!</v>
      </c>
      <c r="V648" s="358"/>
      <c r="W648" s="39" t="s">
        <v>34</v>
      </c>
      <c r="X648" s="40"/>
    </row>
    <row r="649" spans="1:24" ht="18.75" customHeight="1">
      <c r="A649" s="33" t="s">
        <v>155</v>
      </c>
      <c r="B649" s="30" t="s">
        <v>29</v>
      </c>
      <c r="C649" s="34"/>
      <c r="D649" s="35" t="s">
        <v>47</v>
      </c>
      <c r="E649" s="31" t="s">
        <v>61</v>
      </c>
      <c r="F649" s="31"/>
      <c r="G649" s="31"/>
      <c r="H649" s="30" t="s">
        <v>29</v>
      </c>
      <c r="I649" s="360"/>
      <c r="J649" s="360"/>
      <c r="K649" s="39" t="s">
        <v>34</v>
      </c>
      <c r="L649" s="40"/>
      <c r="M649" s="33" t="s">
        <v>155</v>
      </c>
      <c r="N649" s="30" t="s">
        <v>29</v>
      </c>
      <c r="O649" s="34"/>
      <c r="P649" s="35" t="s">
        <v>47</v>
      </c>
      <c r="Q649" s="31" t="s">
        <v>61</v>
      </c>
      <c r="R649" s="31"/>
      <c r="S649" s="31"/>
      <c r="T649" s="30" t="s">
        <v>29</v>
      </c>
      <c r="U649" s="360"/>
      <c r="V649" s="360"/>
      <c r="W649" s="39" t="s">
        <v>34</v>
      </c>
      <c r="X649" s="40"/>
    </row>
    <row r="650" spans="1:24" ht="18.75" customHeight="1">
      <c r="A650" s="33" t="s">
        <v>57</v>
      </c>
      <c r="B650" s="30" t="s">
        <v>29</v>
      </c>
      <c r="C650" s="34"/>
      <c r="D650" s="35" t="s">
        <v>58</v>
      </c>
      <c r="E650" s="31" t="s">
        <v>59</v>
      </c>
      <c r="F650" s="31"/>
      <c r="G650" s="31"/>
      <c r="H650" s="30" t="s">
        <v>29</v>
      </c>
      <c r="I650" s="358"/>
      <c r="J650" s="358"/>
      <c r="K650" s="39" t="s">
        <v>34</v>
      </c>
      <c r="L650" s="40" t="e">
        <f>+IF(L641-I641&lt;0,0,L641-I641)+IF(L645-I645&lt;0,0,L645-I645)</f>
        <v>#REF!</v>
      </c>
      <c r="M650" s="33" t="s">
        <v>57</v>
      </c>
      <c r="N650" s="30" t="s">
        <v>29</v>
      </c>
      <c r="O650" s="34"/>
      <c r="P650" s="35" t="s">
        <v>58</v>
      </c>
      <c r="Q650" s="31" t="s">
        <v>59</v>
      </c>
      <c r="R650" s="31"/>
      <c r="S650" s="31"/>
      <c r="T650" s="30" t="s">
        <v>29</v>
      </c>
      <c r="U650" s="358"/>
      <c r="V650" s="358"/>
      <c r="W650" s="39" t="s">
        <v>34</v>
      </c>
      <c r="X650" s="40" t="e">
        <f>+IF(X641-U641&lt;0,0,X641-U641)+IF(X645-U645&lt;0,0,X645-U645)</f>
        <v>#REF!</v>
      </c>
    </row>
    <row r="651" spans="1:24" ht="18.75" customHeight="1">
      <c r="A651" s="43" t="s">
        <v>152</v>
      </c>
      <c r="B651" s="44"/>
      <c r="C651" s="34"/>
      <c r="D651" s="35" t="s">
        <v>38</v>
      </c>
      <c r="E651" s="31" t="s">
        <v>153</v>
      </c>
      <c r="F651" s="31"/>
      <c r="G651" s="31"/>
      <c r="H651" s="30" t="s">
        <v>29</v>
      </c>
      <c r="I651" s="358"/>
      <c r="J651" s="358"/>
      <c r="K651" s="39" t="s">
        <v>34</v>
      </c>
      <c r="L651" s="40"/>
      <c r="M651" s="43" t="s">
        <v>152</v>
      </c>
      <c r="N651" s="44"/>
      <c r="O651" s="34"/>
      <c r="P651" s="35" t="s">
        <v>38</v>
      </c>
      <c r="Q651" s="31" t="s">
        <v>153</v>
      </c>
      <c r="R651" s="31"/>
      <c r="S651" s="31"/>
      <c r="T651" s="30" t="s">
        <v>29</v>
      </c>
      <c r="U651" s="358"/>
      <c r="V651" s="358"/>
      <c r="W651" s="39" t="s">
        <v>34</v>
      </c>
      <c r="X651" s="40"/>
    </row>
    <row r="652" spans="1:24" ht="18.75" customHeight="1">
      <c r="A652" s="366" t="s">
        <v>154</v>
      </c>
      <c r="B652" s="367"/>
      <c r="C652" s="34"/>
      <c r="D652" s="35"/>
      <c r="E652" s="36"/>
      <c r="F652" s="36"/>
      <c r="G652" s="36"/>
      <c r="H652" s="30" t="s">
        <v>29</v>
      </c>
      <c r="I652" s="358" t="e">
        <f>#REF!</f>
        <v>#REF!</v>
      </c>
      <c r="J652" s="358"/>
      <c r="K652" s="39" t="s">
        <v>34</v>
      </c>
      <c r="L652" s="40"/>
      <c r="M652" s="366" t="s">
        <v>154</v>
      </c>
      <c r="N652" s="367"/>
      <c r="O652" s="34"/>
      <c r="P652" s="35"/>
      <c r="Q652" s="36"/>
      <c r="R652" s="36"/>
      <c r="S652" s="36"/>
      <c r="T652" s="30" t="s">
        <v>29</v>
      </c>
      <c r="U652" s="358" t="e">
        <f>#REF!</f>
        <v>#REF!</v>
      </c>
      <c r="V652" s="358"/>
      <c r="W652" s="39" t="s">
        <v>34</v>
      </c>
      <c r="X652" s="40"/>
    </row>
    <row r="653" spans="1:24" ht="18.75" customHeight="1">
      <c r="A653" s="33" t="s">
        <v>63</v>
      </c>
      <c r="B653" s="30" t="s">
        <v>29</v>
      </c>
      <c r="C653" s="34"/>
      <c r="D653" s="35"/>
      <c r="E653" s="36" t="s">
        <v>64</v>
      </c>
      <c r="F653" s="36"/>
      <c r="G653" s="36"/>
      <c r="H653" s="30" t="s">
        <v>29</v>
      </c>
      <c r="I653" s="358" t="e">
        <f>L650</f>
        <v>#REF!</v>
      </c>
      <c r="J653" s="358"/>
      <c r="K653" s="39" t="s">
        <v>34</v>
      </c>
      <c r="L653" s="40"/>
      <c r="M653" s="33" t="s">
        <v>63</v>
      </c>
      <c r="N653" s="30" t="s">
        <v>29</v>
      </c>
      <c r="O653" s="34"/>
      <c r="P653" s="35"/>
      <c r="Q653" s="36" t="s">
        <v>64</v>
      </c>
      <c r="R653" s="36"/>
      <c r="S653" s="36"/>
      <c r="T653" s="30" t="s">
        <v>29</v>
      </c>
      <c r="U653" s="358" t="e">
        <f>X650</f>
        <v>#REF!</v>
      </c>
      <c r="V653" s="358"/>
      <c r="W653" s="39" t="s">
        <v>34</v>
      </c>
      <c r="X653" s="40"/>
    </row>
    <row r="654" spans="1:24" ht="18.75" customHeight="1">
      <c r="A654" s="362" t="s">
        <v>65</v>
      </c>
      <c r="B654" s="363"/>
      <c r="C654" s="363"/>
      <c r="D654" s="363"/>
      <c r="E654" s="363"/>
      <c r="F654" s="363"/>
      <c r="G654" s="30" t="s">
        <v>29</v>
      </c>
      <c r="H654" s="364" t="e">
        <f>I641+I642+I643+I644+I645+I648+I652+I653+I646+I647+I649+I650+I651+C652</f>
        <v>#REF!</v>
      </c>
      <c r="I654" s="365"/>
      <c r="J654" s="365"/>
      <c r="K654" s="39" t="s">
        <v>34</v>
      </c>
      <c r="M654" s="362" t="s">
        <v>65</v>
      </c>
      <c r="N654" s="363"/>
      <c r="O654" s="363"/>
      <c r="P654" s="363"/>
      <c r="Q654" s="363"/>
      <c r="R654" s="363"/>
      <c r="S654" s="30" t="s">
        <v>29</v>
      </c>
      <c r="T654" s="364" t="e">
        <f>U641+U642+U643+U644+U645+U648+U652+U653+U646+U647+U649+U650+U651+O652</f>
        <v>#REF!</v>
      </c>
      <c r="U654" s="365"/>
      <c r="V654" s="365"/>
      <c r="W654" s="39" t="s">
        <v>34</v>
      </c>
    </row>
    <row r="655" spans="1:24" ht="18.75" customHeight="1">
      <c r="A655" s="45"/>
      <c r="B655" s="46"/>
      <c r="C655" s="46"/>
      <c r="D655" s="46"/>
      <c r="E655" s="46"/>
      <c r="F655" s="46"/>
      <c r="G655" s="46"/>
      <c r="H655" s="46"/>
      <c r="I655" s="46"/>
      <c r="J655" s="46"/>
      <c r="K655" s="47"/>
      <c r="M655" s="45"/>
      <c r="N655" s="46"/>
      <c r="O655" s="46"/>
      <c r="P655" s="46"/>
      <c r="Q655" s="46"/>
      <c r="R655" s="46"/>
      <c r="S655" s="46"/>
      <c r="T655" s="46"/>
      <c r="U655" s="46"/>
      <c r="V655" s="46"/>
      <c r="W655" s="47"/>
    </row>
    <row r="656" spans="1:24" ht="18.75" customHeight="1">
      <c r="A656" s="374" t="s">
        <v>66</v>
      </c>
      <c r="B656" s="375"/>
      <c r="C656" s="375"/>
      <c r="D656" s="375"/>
      <c r="E656" s="375"/>
      <c r="F656" s="375"/>
      <c r="G656" s="30"/>
      <c r="H656" s="30"/>
      <c r="I656" s="30"/>
      <c r="J656" s="30"/>
      <c r="K656" s="39"/>
      <c r="M656" s="374" t="s">
        <v>66</v>
      </c>
      <c r="N656" s="375"/>
      <c r="O656" s="375"/>
      <c r="P656" s="375"/>
      <c r="Q656" s="375"/>
      <c r="R656" s="375"/>
      <c r="S656" s="30"/>
      <c r="T656" s="30"/>
      <c r="U656" s="30"/>
      <c r="V656" s="30"/>
      <c r="W656" s="39"/>
    </row>
    <row r="657" spans="1:24" ht="18.75" customHeight="1">
      <c r="A657" s="368" t="s">
        <v>67</v>
      </c>
      <c r="B657" s="369"/>
      <c r="C657" s="369"/>
      <c r="D657" s="369"/>
      <c r="E657" s="369"/>
      <c r="F657" s="369"/>
      <c r="G657" s="30" t="s">
        <v>29</v>
      </c>
      <c r="H657" s="376" t="e">
        <f>IF(($L$1-(C641+C642+C643+C644))&gt;12,0,F638*8%)</f>
        <v>#REF!</v>
      </c>
      <c r="I657" s="376"/>
      <c r="J657" s="376"/>
      <c r="K657" s="39" t="s">
        <v>34</v>
      </c>
      <c r="M657" s="368" t="s">
        <v>67</v>
      </c>
      <c r="N657" s="369"/>
      <c r="O657" s="369"/>
      <c r="P657" s="369"/>
      <c r="Q657" s="369"/>
      <c r="R657" s="369"/>
      <c r="S657" s="30" t="s">
        <v>29</v>
      </c>
      <c r="T657" s="376" t="e">
        <f>IF(($L$1-(O641+O642+O643+O644))&gt;12,0,R638*8%)</f>
        <v>#REF!</v>
      </c>
      <c r="U657" s="376"/>
      <c r="V657" s="376"/>
      <c r="W657" s="39" t="s">
        <v>34</v>
      </c>
    </row>
    <row r="658" spans="1:24" ht="18.75" customHeight="1">
      <c r="A658" s="368" t="s">
        <v>68</v>
      </c>
      <c r="B658" s="369"/>
      <c r="C658" s="369"/>
      <c r="D658" s="369"/>
      <c r="E658" s="369"/>
      <c r="F658" s="369"/>
      <c r="G658" s="30" t="s">
        <v>29</v>
      </c>
      <c r="H658" s="370" t="e">
        <f>IF(($L$1-(C641+C642+C643+C644))&gt;12,0,F638*1.5%)</f>
        <v>#REF!</v>
      </c>
      <c r="I658" s="370"/>
      <c r="J658" s="370"/>
      <c r="K658" s="39" t="s">
        <v>34</v>
      </c>
      <c r="M658" s="368" t="s">
        <v>68</v>
      </c>
      <c r="N658" s="369"/>
      <c r="O658" s="369"/>
      <c r="P658" s="369"/>
      <c r="Q658" s="369"/>
      <c r="R658" s="369"/>
      <c r="S658" s="30" t="s">
        <v>29</v>
      </c>
      <c r="T658" s="370" t="e">
        <f>IF(($L$1-(O641+O642+O643+O644))&gt;12,0,R638*1.5%)</f>
        <v>#REF!</v>
      </c>
      <c r="U658" s="370"/>
      <c r="V658" s="370"/>
      <c r="W658" s="39" t="s">
        <v>34</v>
      </c>
    </row>
    <row r="659" spans="1:24" ht="18.75" customHeight="1">
      <c r="A659" s="368" t="s">
        <v>69</v>
      </c>
      <c r="B659" s="369"/>
      <c r="C659" s="369"/>
      <c r="D659" s="369"/>
      <c r="E659" s="369"/>
      <c r="F659" s="369"/>
      <c r="G659" s="30" t="s">
        <v>29</v>
      </c>
      <c r="H659" s="370" t="e">
        <f>IF(($L$1-(C641+C642+C643+C644))&gt;12,0,F638*1%)</f>
        <v>#REF!</v>
      </c>
      <c r="I659" s="370"/>
      <c r="J659" s="370"/>
      <c r="K659" s="39" t="s">
        <v>34</v>
      </c>
      <c r="M659" s="368" t="s">
        <v>69</v>
      </c>
      <c r="N659" s="369"/>
      <c r="O659" s="369"/>
      <c r="P659" s="369"/>
      <c r="Q659" s="369"/>
      <c r="R659" s="369"/>
      <c r="S659" s="30" t="s">
        <v>29</v>
      </c>
      <c r="T659" s="370" t="e">
        <f>IF(($L$1-(O641+O642+O643+O644))&gt;12,0,R638*1%)</f>
        <v>#REF!</v>
      </c>
      <c r="U659" s="370"/>
      <c r="V659" s="370"/>
      <c r="W659" s="39" t="s">
        <v>34</v>
      </c>
    </row>
    <row r="660" spans="1:24" ht="18.75" customHeight="1">
      <c r="A660" s="368" t="s">
        <v>70</v>
      </c>
      <c r="B660" s="369"/>
      <c r="C660" s="369"/>
      <c r="D660" s="369"/>
      <c r="E660" s="369"/>
      <c r="F660" s="369"/>
      <c r="G660" s="30" t="s">
        <v>29</v>
      </c>
      <c r="H660" s="370">
        <v>0</v>
      </c>
      <c r="I660" s="370"/>
      <c r="J660" s="370"/>
      <c r="K660" s="39" t="s">
        <v>34</v>
      </c>
      <c r="M660" s="368" t="s">
        <v>70</v>
      </c>
      <c r="N660" s="369"/>
      <c r="O660" s="369"/>
      <c r="P660" s="369"/>
      <c r="Q660" s="369"/>
      <c r="R660" s="369"/>
      <c r="S660" s="30" t="s">
        <v>29</v>
      </c>
      <c r="T660" s="370">
        <v>0</v>
      </c>
      <c r="U660" s="370"/>
      <c r="V660" s="370"/>
      <c r="W660" s="39" t="s">
        <v>34</v>
      </c>
    </row>
    <row r="661" spans="1:24" ht="18.75" customHeight="1">
      <c r="A661" s="371" t="s">
        <v>71</v>
      </c>
      <c r="B661" s="372"/>
      <c r="C661" s="372"/>
      <c r="D661" s="372"/>
      <c r="E661" s="372"/>
      <c r="F661" s="372"/>
      <c r="G661" s="30" t="s">
        <v>29</v>
      </c>
      <c r="H661" s="373" t="e">
        <f>SUM(H657:J660)</f>
        <v>#REF!</v>
      </c>
      <c r="I661" s="373"/>
      <c r="J661" s="373"/>
      <c r="K661" s="39" t="s">
        <v>34</v>
      </c>
      <c r="M661" s="371" t="s">
        <v>71</v>
      </c>
      <c r="N661" s="372"/>
      <c r="O661" s="372"/>
      <c r="P661" s="372"/>
      <c r="Q661" s="372"/>
      <c r="R661" s="372"/>
      <c r="S661" s="30" t="s">
        <v>29</v>
      </c>
      <c r="T661" s="373" t="e">
        <f>SUM(T657:V660)</f>
        <v>#REF!</v>
      </c>
      <c r="U661" s="373"/>
      <c r="V661" s="373"/>
      <c r="W661" s="39" t="s">
        <v>34</v>
      </c>
    </row>
    <row r="662" spans="1:24" ht="18.75" customHeight="1">
      <c r="A662" s="368" t="s">
        <v>72</v>
      </c>
      <c r="B662" s="369"/>
      <c r="C662" s="369"/>
      <c r="D662" s="369"/>
      <c r="E662" s="369"/>
      <c r="F662" s="369"/>
      <c r="G662" s="30" t="s">
        <v>29</v>
      </c>
      <c r="H662" s="381" t="e">
        <f>ROUND(H654-H661,-2)</f>
        <v>#REF!</v>
      </c>
      <c r="I662" s="381"/>
      <c r="J662" s="381"/>
      <c r="K662" s="39" t="s">
        <v>34</v>
      </c>
      <c r="M662" s="368" t="s">
        <v>72</v>
      </c>
      <c r="N662" s="369"/>
      <c r="O662" s="369"/>
      <c r="P662" s="369"/>
      <c r="Q662" s="369"/>
      <c r="R662" s="369"/>
      <c r="S662" s="30" t="s">
        <v>29</v>
      </c>
      <c r="T662" s="381" t="e">
        <f>ROUND(T654-T661,-2)</f>
        <v>#REF!</v>
      </c>
      <c r="U662" s="381"/>
      <c r="V662" s="381"/>
      <c r="W662" s="39" t="s">
        <v>34</v>
      </c>
    </row>
    <row r="663" spans="1:24" ht="18.75" customHeight="1">
      <c r="A663" s="48"/>
      <c r="B663" s="49"/>
      <c r="C663" s="49"/>
      <c r="D663" s="49"/>
      <c r="E663" s="49"/>
      <c r="F663" s="49"/>
      <c r="G663" s="49"/>
      <c r="H663" s="49"/>
      <c r="I663" s="49"/>
      <c r="J663" s="49"/>
      <c r="K663" s="50"/>
      <c r="M663" s="48"/>
      <c r="N663" s="49"/>
      <c r="O663" s="49"/>
      <c r="P663" s="49"/>
      <c r="Q663" s="49"/>
      <c r="R663" s="49"/>
      <c r="S663" s="49"/>
      <c r="T663" s="49"/>
      <c r="U663" s="49"/>
      <c r="V663" s="49"/>
      <c r="W663" s="50"/>
    </row>
    <row r="664" spans="1:24" ht="18.75" customHeight="1">
      <c r="A664" s="51"/>
      <c r="B664" s="30"/>
      <c r="C664" s="30"/>
      <c r="D664" s="30"/>
      <c r="E664" s="30"/>
      <c r="F664" s="30"/>
      <c r="G664" s="30"/>
      <c r="H664" s="30"/>
      <c r="I664" s="378" t="s">
        <v>73</v>
      </c>
      <c r="J664" s="378"/>
      <c r="K664" s="382"/>
      <c r="M664" s="51"/>
      <c r="N664" s="30"/>
      <c r="O664" s="30"/>
      <c r="P664" s="30"/>
      <c r="Q664" s="30"/>
      <c r="R664" s="30"/>
      <c r="S664" s="30"/>
      <c r="T664" s="30"/>
      <c r="U664" s="378" t="s">
        <v>73</v>
      </c>
      <c r="V664" s="378"/>
      <c r="W664" s="382"/>
    </row>
    <row r="665" spans="1:24" ht="18.75" customHeight="1">
      <c r="A665" s="51"/>
      <c r="B665" s="377"/>
      <c r="C665" s="378"/>
      <c r="D665" s="378"/>
      <c r="E665" s="378"/>
      <c r="F665" s="30"/>
      <c r="G665" s="30"/>
      <c r="H665" s="30"/>
      <c r="I665" s="30"/>
      <c r="J665" s="30"/>
      <c r="K665" s="32"/>
      <c r="M665" s="51"/>
      <c r="N665" s="377"/>
      <c r="O665" s="378"/>
      <c r="P665" s="378"/>
      <c r="Q665" s="378"/>
      <c r="R665" s="30"/>
      <c r="S665" s="30"/>
      <c r="T665" s="30"/>
      <c r="U665" s="30"/>
      <c r="V665" s="30"/>
      <c r="W665" s="32"/>
    </row>
    <row r="666" spans="1:24" ht="18.75" customHeight="1" thickBot="1">
      <c r="A666" s="53"/>
      <c r="B666" s="54"/>
      <c r="C666" s="54"/>
      <c r="D666" s="54"/>
      <c r="E666" s="54"/>
      <c r="F666" s="54"/>
      <c r="G666" s="54"/>
      <c r="H666" s="54"/>
      <c r="I666" s="379" t="s">
        <v>74</v>
      </c>
      <c r="J666" s="379"/>
      <c r="K666" s="380"/>
      <c r="M666" s="53"/>
      <c r="N666" s="54"/>
      <c r="O666" s="54"/>
      <c r="P666" s="54"/>
      <c r="Q666" s="54"/>
      <c r="R666" s="54"/>
      <c r="S666" s="54"/>
      <c r="T666" s="54"/>
      <c r="U666" s="379" t="s">
        <v>74</v>
      </c>
      <c r="V666" s="379"/>
      <c r="W666" s="380"/>
    </row>
    <row r="667" spans="1:24" ht="18.75" customHeight="1" thickTop="1" thickBot="1"/>
    <row r="668" spans="1:24" ht="18.75" customHeight="1" thickTop="1">
      <c r="A668" s="351" t="s">
        <v>160</v>
      </c>
      <c r="B668" s="352"/>
      <c r="C668" s="352"/>
      <c r="D668" s="352"/>
      <c r="E668" s="352"/>
      <c r="F668" s="352"/>
      <c r="G668" s="352"/>
      <c r="H668" s="352"/>
      <c r="I668" s="352"/>
      <c r="J668" s="352"/>
      <c r="K668" s="353"/>
      <c r="L668" s="26">
        <v>26</v>
      </c>
      <c r="M668" s="351" t="s">
        <v>160</v>
      </c>
      <c r="N668" s="352"/>
      <c r="O668" s="352"/>
      <c r="P668" s="352"/>
      <c r="Q668" s="352"/>
      <c r="R668" s="352"/>
      <c r="S668" s="352"/>
      <c r="T668" s="352"/>
      <c r="U668" s="352"/>
      <c r="V668" s="352"/>
      <c r="W668" s="353"/>
      <c r="X668" s="26">
        <v>26</v>
      </c>
    </row>
    <row r="669" spans="1:24" ht="18.75" customHeight="1">
      <c r="A669" s="27" t="s">
        <v>111</v>
      </c>
      <c r="B669" s="28"/>
      <c r="C669" s="28"/>
      <c r="D669" s="28"/>
      <c r="E669" s="28"/>
      <c r="F669" s="28"/>
      <c r="G669" s="28"/>
      <c r="H669" s="28"/>
      <c r="I669" s="28"/>
      <c r="J669" s="28"/>
      <c r="K669" s="29"/>
      <c r="M669" s="27" t="s">
        <v>112</v>
      </c>
      <c r="N669" s="28"/>
      <c r="O669" s="28"/>
      <c r="P669" s="28"/>
      <c r="Q669" s="28"/>
      <c r="R669" s="28"/>
      <c r="S669" s="28"/>
      <c r="T669" s="28"/>
      <c r="U669" s="28"/>
      <c r="V669" s="28"/>
      <c r="W669" s="29"/>
    </row>
    <row r="670" spans="1:24" ht="18.75" customHeight="1">
      <c r="A670" s="354" t="s">
        <v>27</v>
      </c>
      <c r="B670" s="355"/>
      <c r="C670" s="355"/>
      <c r="D670" s="355"/>
      <c r="E670" s="355"/>
      <c r="F670" s="355"/>
      <c r="G670" s="355"/>
      <c r="H670" s="355"/>
      <c r="I670" s="355"/>
      <c r="J670" s="355"/>
      <c r="K670" s="356"/>
      <c r="M670" s="354" t="s">
        <v>27</v>
      </c>
      <c r="N670" s="355"/>
      <c r="O670" s="355"/>
      <c r="P670" s="355"/>
      <c r="Q670" s="355"/>
      <c r="R670" s="355"/>
      <c r="S670" s="355"/>
      <c r="T670" s="355"/>
      <c r="U670" s="355"/>
      <c r="V670" s="355"/>
      <c r="W670" s="356"/>
    </row>
    <row r="671" spans="1:24" ht="18.75" customHeight="1">
      <c r="A671" s="347" t="s">
        <v>28</v>
      </c>
      <c r="B671" s="31"/>
      <c r="C671" s="31"/>
      <c r="D671" s="31"/>
      <c r="E671" s="30" t="s">
        <v>29</v>
      </c>
      <c r="F671" s="348">
        <f>'Bang TH nop'!B81</f>
        <v>0</v>
      </c>
      <c r="G671" s="31"/>
      <c r="H671" s="31"/>
      <c r="I671" s="31"/>
      <c r="J671" s="31"/>
      <c r="K671" s="350"/>
      <c r="M671" s="347" t="s">
        <v>28</v>
      </c>
      <c r="N671" s="31"/>
      <c r="O671" s="31"/>
      <c r="P671" s="31"/>
      <c r="Q671" s="30" t="s">
        <v>29</v>
      </c>
      <c r="R671" s="348">
        <f>'Bang TH nop'!B83</f>
        <v>0</v>
      </c>
      <c r="S671" s="31"/>
      <c r="T671" s="31"/>
      <c r="U671" s="31"/>
      <c r="V671" s="31"/>
      <c r="W671" s="350"/>
    </row>
    <row r="672" spans="1:24" ht="18.75" customHeight="1">
      <c r="A672" s="347" t="s">
        <v>30</v>
      </c>
      <c r="B672" s="31"/>
      <c r="C672" s="31"/>
      <c r="D672" s="31"/>
      <c r="E672" s="30" t="s">
        <v>29</v>
      </c>
      <c r="F672" s="348">
        <f>'Bang TH nop'!C81</f>
        <v>0</v>
      </c>
      <c r="G672" s="348"/>
      <c r="H672" s="348"/>
      <c r="I672" s="348"/>
      <c r="J672" s="348"/>
      <c r="K672" s="349"/>
      <c r="M672" s="347" t="s">
        <v>30</v>
      </c>
      <c r="N672" s="31"/>
      <c r="O672" s="31"/>
      <c r="P672" s="31"/>
      <c r="Q672" s="30" t="s">
        <v>29</v>
      </c>
      <c r="R672" s="348">
        <f>'Bang TH nop'!C83</f>
        <v>0</v>
      </c>
      <c r="S672" s="348"/>
      <c r="T672" s="348"/>
      <c r="U672" s="348"/>
      <c r="V672" s="348"/>
      <c r="W672" s="349"/>
    </row>
    <row r="673" spans="1:24" ht="18.75" customHeight="1">
      <c r="A673" s="347" t="s">
        <v>31</v>
      </c>
      <c r="B673" s="31"/>
      <c r="C673" s="31"/>
      <c r="D673" s="31"/>
      <c r="E673" s="30" t="s">
        <v>29</v>
      </c>
      <c r="F673" s="31" t="str">
        <f>+$L$2</f>
        <v xml:space="preserve">Tổ  </v>
      </c>
      <c r="G673" s="31"/>
      <c r="H673" s="31"/>
      <c r="I673" s="31"/>
      <c r="J673" s="31"/>
      <c r="K673" s="350"/>
      <c r="M673" s="347" t="s">
        <v>31</v>
      </c>
      <c r="N673" s="31"/>
      <c r="O673" s="31"/>
      <c r="P673" s="31"/>
      <c r="Q673" s="30" t="s">
        <v>29</v>
      </c>
      <c r="R673" s="31" t="str">
        <f>+$L$2</f>
        <v xml:space="preserve">Tổ  </v>
      </c>
      <c r="S673" s="31"/>
      <c r="T673" s="31"/>
      <c r="U673" s="31"/>
      <c r="V673" s="31"/>
      <c r="W673" s="350"/>
    </row>
    <row r="674" spans="1:24" ht="18.75" customHeight="1">
      <c r="A674" s="354" t="s">
        <v>32</v>
      </c>
      <c r="B674" s="355"/>
      <c r="C674" s="355"/>
      <c r="D674" s="355"/>
      <c r="E674" s="355"/>
      <c r="F674" s="355"/>
      <c r="G674" s="355"/>
      <c r="H674" s="355"/>
      <c r="I674" s="355"/>
      <c r="J674" s="355"/>
      <c r="K674" s="356"/>
      <c r="M674" s="354" t="s">
        <v>32</v>
      </c>
      <c r="N674" s="355"/>
      <c r="O674" s="355"/>
      <c r="P674" s="355"/>
      <c r="Q674" s="355"/>
      <c r="R674" s="355"/>
      <c r="S674" s="355"/>
      <c r="T674" s="355"/>
      <c r="U674" s="355"/>
      <c r="V674" s="355"/>
      <c r="W674" s="356"/>
    </row>
    <row r="675" spans="1:24" ht="18.75" customHeight="1">
      <c r="A675" s="347" t="s">
        <v>33</v>
      </c>
      <c r="B675" s="31"/>
      <c r="C675" s="31"/>
      <c r="D675" s="31"/>
      <c r="E675" s="30" t="s">
        <v>29</v>
      </c>
      <c r="F675" s="361">
        <f>VLOOKUP(F672,'Bang TH nop'!$C$9:$AP$266,29,0)</f>
        <v>0</v>
      </c>
      <c r="G675" s="361"/>
      <c r="H675" s="361"/>
      <c r="I675" s="361"/>
      <c r="J675" s="30" t="s">
        <v>34</v>
      </c>
      <c r="K675" s="32"/>
      <c r="M675" s="347" t="s">
        <v>33</v>
      </c>
      <c r="N675" s="31"/>
      <c r="O675" s="31"/>
      <c r="P675" s="31"/>
      <c r="Q675" s="30" t="s">
        <v>29</v>
      </c>
      <c r="R675" s="361">
        <f>VLOOKUP(R672,'Bang TH nop'!$C$9:$AP$266,29,0)</f>
        <v>0</v>
      </c>
      <c r="S675" s="361"/>
      <c r="T675" s="361"/>
      <c r="U675" s="361"/>
      <c r="V675" s="30" t="s">
        <v>34</v>
      </c>
      <c r="W675" s="32"/>
    </row>
    <row r="676" spans="1:24" ht="18.75" customHeight="1">
      <c r="A676" s="33" t="s">
        <v>35</v>
      </c>
      <c r="B676" s="30"/>
      <c r="C676" s="34"/>
      <c r="D676" s="35"/>
      <c r="E676" s="36"/>
      <c r="F676" s="36"/>
      <c r="G676" s="36"/>
      <c r="H676" s="30"/>
      <c r="I676" s="37" t="e">
        <f>#REF!</f>
        <v>#REF!</v>
      </c>
      <c r="J676" s="38"/>
      <c r="K676" s="39"/>
      <c r="M676" s="33" t="s">
        <v>35</v>
      </c>
      <c r="N676" s="30"/>
      <c r="O676" s="34"/>
      <c r="P676" s="35"/>
      <c r="Q676" s="36"/>
      <c r="R676" s="36"/>
      <c r="S676" s="36"/>
      <c r="T676" s="30"/>
      <c r="U676" s="37" t="e">
        <f>#REF!</f>
        <v>#REF!</v>
      </c>
      <c r="V676" s="38"/>
      <c r="W676" s="39"/>
    </row>
    <row r="677" spans="1:24" ht="18.75" customHeight="1">
      <c r="A677" s="33" t="s">
        <v>36</v>
      </c>
      <c r="B677" s="30"/>
      <c r="C677" s="34"/>
      <c r="D677" s="35"/>
      <c r="E677" s="36"/>
      <c r="F677" s="36"/>
      <c r="G677" s="36"/>
      <c r="H677" s="30"/>
      <c r="I677" s="37" t="e">
        <f>I678/C678/8</f>
        <v>#REF!</v>
      </c>
      <c r="J677" s="38"/>
      <c r="K677" s="39"/>
      <c r="M677" s="33" t="s">
        <v>36</v>
      </c>
      <c r="N677" s="30"/>
      <c r="O677" s="34"/>
      <c r="P677" s="35"/>
      <c r="Q677" s="36"/>
      <c r="R677" s="36"/>
      <c r="S677" s="36"/>
      <c r="T677" s="30"/>
      <c r="U677" s="37" t="e">
        <f>U678/O678/8</f>
        <v>#REF!</v>
      </c>
      <c r="V677" s="38"/>
      <c r="W677" s="39"/>
    </row>
    <row r="678" spans="1:24" ht="18.75" customHeight="1">
      <c r="A678" s="33" t="s">
        <v>37</v>
      </c>
      <c r="B678" s="30" t="s">
        <v>29</v>
      </c>
      <c r="C678" s="34" t="e">
        <f>#REF!</f>
        <v>#REF!</v>
      </c>
      <c r="D678" s="35" t="s">
        <v>38</v>
      </c>
      <c r="E678" s="359" t="s">
        <v>39</v>
      </c>
      <c r="F678" s="359"/>
      <c r="G678" s="359"/>
      <c r="H678" s="30" t="s">
        <v>29</v>
      </c>
      <c r="I678" s="360" t="e">
        <f>#REF!</f>
        <v>#REF!</v>
      </c>
      <c r="J678" s="360"/>
      <c r="K678" s="39" t="s">
        <v>34</v>
      </c>
      <c r="L678" s="40" t="e">
        <f>F675/L668*C678</f>
        <v>#REF!</v>
      </c>
      <c r="M678" s="33" t="s">
        <v>37</v>
      </c>
      <c r="N678" s="30" t="s">
        <v>29</v>
      </c>
      <c r="O678" s="34" t="e">
        <f>#REF!</f>
        <v>#REF!</v>
      </c>
      <c r="P678" s="35" t="s">
        <v>38</v>
      </c>
      <c r="Q678" s="359" t="s">
        <v>39</v>
      </c>
      <c r="R678" s="359"/>
      <c r="S678" s="359"/>
      <c r="T678" s="30" t="s">
        <v>29</v>
      </c>
      <c r="U678" s="360" t="e">
        <f>#REF!</f>
        <v>#REF!</v>
      </c>
      <c r="V678" s="360"/>
      <c r="W678" s="39" t="s">
        <v>34</v>
      </c>
      <c r="X678" s="40" t="e">
        <f>R675/X668*O678</f>
        <v>#REF!</v>
      </c>
    </row>
    <row r="679" spans="1:24" ht="18.75" customHeight="1">
      <c r="A679" s="33" t="s">
        <v>40</v>
      </c>
      <c r="B679" s="30" t="s">
        <v>29</v>
      </c>
      <c r="C679" s="34" t="e">
        <f>#REF!</f>
        <v>#REF!</v>
      </c>
      <c r="D679" s="35" t="s">
        <v>38</v>
      </c>
      <c r="E679" s="31" t="s">
        <v>41</v>
      </c>
      <c r="F679" s="31"/>
      <c r="G679" s="31"/>
      <c r="H679" s="30" t="s">
        <v>29</v>
      </c>
      <c r="I679" s="358" t="e">
        <f>$F$8/$L$1*C679</f>
        <v>#REF!</v>
      </c>
      <c r="J679" s="358"/>
      <c r="K679" s="39" t="s">
        <v>34</v>
      </c>
      <c r="L679" s="40"/>
      <c r="M679" s="33" t="s">
        <v>40</v>
      </c>
      <c r="N679" s="30" t="s">
        <v>29</v>
      </c>
      <c r="O679" s="34" t="e">
        <f>#REF!</f>
        <v>#REF!</v>
      </c>
      <c r="P679" s="35" t="s">
        <v>38</v>
      </c>
      <c r="Q679" s="31" t="s">
        <v>41</v>
      </c>
      <c r="R679" s="31"/>
      <c r="S679" s="31"/>
      <c r="T679" s="30" t="s">
        <v>29</v>
      </c>
      <c r="U679" s="358" t="e">
        <f>$F$8/$L$1*O679</f>
        <v>#REF!</v>
      </c>
      <c r="V679" s="358"/>
      <c r="W679" s="39" t="s">
        <v>34</v>
      </c>
      <c r="X679" s="40"/>
    </row>
    <row r="680" spans="1:24" ht="18.75" customHeight="1">
      <c r="A680" s="33" t="s">
        <v>42</v>
      </c>
      <c r="B680" s="30" t="s">
        <v>29</v>
      </c>
      <c r="C680" s="34" t="e">
        <f>#REF!</f>
        <v>#REF!</v>
      </c>
      <c r="D680" s="35" t="s">
        <v>38</v>
      </c>
      <c r="E680" s="357" t="s">
        <v>43</v>
      </c>
      <c r="F680" s="357"/>
      <c r="G680" s="357"/>
      <c r="H680" s="30" t="s">
        <v>29</v>
      </c>
      <c r="I680" s="358" t="e">
        <f>$F$8/$L$1*C680</f>
        <v>#REF!</v>
      </c>
      <c r="J680" s="358"/>
      <c r="K680" s="39" t="s">
        <v>34</v>
      </c>
      <c r="L680" s="40"/>
      <c r="M680" s="33" t="s">
        <v>42</v>
      </c>
      <c r="N680" s="30" t="s">
        <v>29</v>
      </c>
      <c r="O680" s="34" t="e">
        <f>#REF!</f>
        <v>#REF!</v>
      </c>
      <c r="P680" s="35" t="s">
        <v>38</v>
      </c>
      <c r="Q680" s="357" t="s">
        <v>43</v>
      </c>
      <c r="R680" s="357"/>
      <c r="S680" s="357"/>
      <c r="T680" s="30" t="s">
        <v>29</v>
      </c>
      <c r="U680" s="358" t="e">
        <f>$F$8/$L$1*O680</f>
        <v>#REF!</v>
      </c>
      <c r="V680" s="358"/>
      <c r="W680" s="39" t="s">
        <v>34</v>
      </c>
      <c r="X680" s="40"/>
    </row>
    <row r="681" spans="1:24" ht="18.75" customHeight="1">
      <c r="A681" s="33" t="s">
        <v>44</v>
      </c>
      <c r="B681" s="30" t="s">
        <v>29</v>
      </c>
      <c r="C681" s="34" t="e">
        <f>#REF!</f>
        <v>#REF!</v>
      </c>
      <c r="D681" s="35" t="s">
        <v>38</v>
      </c>
      <c r="E681" s="357" t="s">
        <v>45</v>
      </c>
      <c r="F681" s="357"/>
      <c r="G681" s="357"/>
      <c r="H681" s="30" t="s">
        <v>29</v>
      </c>
      <c r="I681" s="358" t="e">
        <f>$F$8/$L$1*C681</f>
        <v>#REF!</v>
      </c>
      <c r="J681" s="358"/>
      <c r="K681" s="39" t="s">
        <v>34</v>
      </c>
      <c r="L681" s="40"/>
      <c r="M681" s="33" t="s">
        <v>44</v>
      </c>
      <c r="N681" s="30" t="s">
        <v>29</v>
      </c>
      <c r="O681" s="34" t="e">
        <f>#REF!</f>
        <v>#REF!</v>
      </c>
      <c r="P681" s="35" t="s">
        <v>38</v>
      </c>
      <c r="Q681" s="357" t="s">
        <v>45</v>
      </c>
      <c r="R681" s="357"/>
      <c r="S681" s="357"/>
      <c r="T681" s="30" t="s">
        <v>29</v>
      </c>
      <c r="U681" s="358" t="e">
        <f>$F$8/$L$1*O681</f>
        <v>#REF!</v>
      </c>
      <c r="V681" s="358"/>
      <c r="W681" s="39" t="s">
        <v>34</v>
      </c>
      <c r="X681" s="40"/>
    </row>
    <row r="682" spans="1:24" ht="18.75" customHeight="1">
      <c r="A682" s="33" t="s">
        <v>46</v>
      </c>
      <c r="B682" s="30" t="s">
        <v>29</v>
      </c>
      <c r="C682" s="34" t="e">
        <f>#REF!</f>
        <v>#REF!</v>
      </c>
      <c r="D682" s="35" t="s">
        <v>47</v>
      </c>
      <c r="E682" s="31" t="s">
        <v>48</v>
      </c>
      <c r="F682" s="31"/>
      <c r="G682" s="31"/>
      <c r="H682" s="30" t="s">
        <v>29</v>
      </c>
      <c r="I682" s="358" t="e">
        <f>#REF!</f>
        <v>#REF!</v>
      </c>
      <c r="J682" s="358"/>
      <c r="K682" s="39" t="s">
        <v>34</v>
      </c>
      <c r="L682" s="40" t="e">
        <f>F675*C682/L668/8*1.5</f>
        <v>#REF!</v>
      </c>
      <c r="M682" s="33" t="s">
        <v>46</v>
      </c>
      <c r="N682" s="30" t="s">
        <v>29</v>
      </c>
      <c r="O682" s="34" t="e">
        <f>#REF!</f>
        <v>#REF!</v>
      </c>
      <c r="P682" s="35" t="s">
        <v>47</v>
      </c>
      <c r="Q682" s="31" t="s">
        <v>48</v>
      </c>
      <c r="R682" s="31"/>
      <c r="S682" s="31"/>
      <c r="T682" s="30" t="s">
        <v>29</v>
      </c>
      <c r="U682" s="358" t="e">
        <f>#REF!</f>
        <v>#REF!</v>
      </c>
      <c r="V682" s="358"/>
      <c r="W682" s="39" t="s">
        <v>34</v>
      </c>
      <c r="X682" s="40" t="e">
        <f>R675*O682/X668/8*1.5</f>
        <v>#REF!</v>
      </c>
    </row>
    <row r="683" spans="1:24" ht="18.75" customHeight="1">
      <c r="A683" s="347" t="s">
        <v>49</v>
      </c>
      <c r="B683" s="31"/>
      <c r="C683" s="34"/>
      <c r="D683" s="35" t="s">
        <v>38</v>
      </c>
      <c r="E683" s="31" t="s">
        <v>50</v>
      </c>
      <c r="F683" s="31"/>
      <c r="G683" s="31"/>
      <c r="H683" s="41" t="s">
        <v>29</v>
      </c>
      <c r="I683" s="358"/>
      <c r="J683" s="358"/>
      <c r="K683" s="39" t="s">
        <v>34</v>
      </c>
      <c r="L683" s="40"/>
      <c r="M683" s="347" t="s">
        <v>49</v>
      </c>
      <c r="N683" s="31"/>
      <c r="O683" s="34"/>
      <c r="P683" s="35" t="s">
        <v>38</v>
      </c>
      <c r="Q683" s="31" t="s">
        <v>50</v>
      </c>
      <c r="R683" s="31"/>
      <c r="S683" s="31"/>
      <c r="T683" s="41" t="s">
        <v>29</v>
      </c>
      <c r="U683" s="358"/>
      <c r="V683" s="358"/>
      <c r="W683" s="39" t="s">
        <v>34</v>
      </c>
      <c r="X683" s="40"/>
    </row>
    <row r="684" spans="1:24" ht="18.75" customHeight="1">
      <c r="A684" s="33" t="s">
        <v>51</v>
      </c>
      <c r="B684" s="30" t="s">
        <v>29</v>
      </c>
      <c r="C684" s="34"/>
      <c r="D684" s="35" t="s">
        <v>38</v>
      </c>
      <c r="E684" s="31" t="s">
        <v>52</v>
      </c>
      <c r="F684" s="31"/>
      <c r="G684" s="31"/>
      <c r="H684" s="30" t="s">
        <v>29</v>
      </c>
      <c r="I684" s="358"/>
      <c r="J684" s="358"/>
      <c r="K684" s="39" t="s">
        <v>34</v>
      </c>
      <c r="L684" s="40"/>
      <c r="M684" s="33" t="s">
        <v>51</v>
      </c>
      <c r="N684" s="30" t="s">
        <v>29</v>
      </c>
      <c r="O684" s="34"/>
      <c r="P684" s="35" t="s">
        <v>38</v>
      </c>
      <c r="Q684" s="31" t="s">
        <v>52</v>
      </c>
      <c r="R684" s="31"/>
      <c r="S684" s="31"/>
      <c r="T684" s="30" t="s">
        <v>29</v>
      </c>
      <c r="U684" s="358"/>
      <c r="V684" s="358"/>
      <c r="W684" s="39" t="s">
        <v>34</v>
      </c>
      <c r="X684" s="40"/>
    </row>
    <row r="685" spans="1:24" ht="18.75" customHeight="1">
      <c r="A685" s="42" t="s">
        <v>53</v>
      </c>
      <c r="B685" s="30"/>
      <c r="C685" s="34" t="e">
        <f>#REF!</f>
        <v>#REF!</v>
      </c>
      <c r="D685" s="35" t="s">
        <v>47</v>
      </c>
      <c r="E685" s="31" t="s">
        <v>54</v>
      </c>
      <c r="F685" s="31"/>
      <c r="G685" s="31"/>
      <c r="H685" s="30" t="s">
        <v>29</v>
      </c>
      <c r="I685" s="358" t="e">
        <f>$F$8*C685/8/$L$1</f>
        <v>#REF!</v>
      </c>
      <c r="J685" s="358"/>
      <c r="K685" s="39" t="s">
        <v>34</v>
      </c>
      <c r="L685" s="40"/>
      <c r="M685" s="42" t="s">
        <v>53</v>
      </c>
      <c r="N685" s="30"/>
      <c r="O685" s="34" t="e">
        <f>#REF!</f>
        <v>#REF!</v>
      </c>
      <c r="P685" s="35" t="s">
        <v>47</v>
      </c>
      <c r="Q685" s="31" t="s">
        <v>54</v>
      </c>
      <c r="R685" s="31"/>
      <c r="S685" s="31"/>
      <c r="T685" s="30" t="s">
        <v>29</v>
      </c>
      <c r="U685" s="358" t="e">
        <f>$F$8*O685/8/$L$1</f>
        <v>#REF!</v>
      </c>
      <c r="V685" s="358"/>
      <c r="W685" s="39" t="s">
        <v>34</v>
      </c>
      <c r="X685" s="40"/>
    </row>
    <row r="686" spans="1:24" ht="18.75" customHeight="1">
      <c r="A686" s="33" t="s">
        <v>155</v>
      </c>
      <c r="B686" s="30" t="s">
        <v>29</v>
      </c>
      <c r="C686" s="34"/>
      <c r="D686" s="35" t="s">
        <v>47</v>
      </c>
      <c r="E686" s="31" t="s">
        <v>61</v>
      </c>
      <c r="F686" s="31"/>
      <c r="G686" s="31"/>
      <c r="H686" s="30" t="s">
        <v>29</v>
      </c>
      <c r="I686" s="360"/>
      <c r="J686" s="360"/>
      <c r="K686" s="39" t="s">
        <v>34</v>
      </c>
      <c r="L686" s="40"/>
      <c r="M686" s="33" t="s">
        <v>155</v>
      </c>
      <c r="N686" s="30" t="s">
        <v>29</v>
      </c>
      <c r="O686" s="34"/>
      <c r="P686" s="35" t="s">
        <v>47</v>
      </c>
      <c r="Q686" s="31" t="s">
        <v>61</v>
      </c>
      <c r="R686" s="31"/>
      <c r="S686" s="31"/>
      <c r="T686" s="30" t="s">
        <v>29</v>
      </c>
      <c r="U686" s="360"/>
      <c r="V686" s="360"/>
      <c r="W686" s="39" t="s">
        <v>34</v>
      </c>
      <c r="X686" s="40"/>
    </row>
    <row r="687" spans="1:24" ht="18.75" customHeight="1">
      <c r="A687" s="33" t="s">
        <v>57</v>
      </c>
      <c r="B687" s="30" t="s">
        <v>29</v>
      </c>
      <c r="C687" s="34"/>
      <c r="D687" s="35" t="s">
        <v>58</v>
      </c>
      <c r="E687" s="31" t="s">
        <v>59</v>
      </c>
      <c r="F687" s="31"/>
      <c r="G687" s="31"/>
      <c r="H687" s="30" t="s">
        <v>29</v>
      </c>
      <c r="I687" s="358"/>
      <c r="J687" s="358"/>
      <c r="K687" s="39" t="s">
        <v>34</v>
      </c>
      <c r="L687" s="40" t="e">
        <f>+IF(L678-I678&lt;0,0,L678-I678)+IF(L682-I682&lt;0,0,L682-I682)</f>
        <v>#REF!</v>
      </c>
      <c r="M687" s="33" t="s">
        <v>57</v>
      </c>
      <c r="N687" s="30" t="s">
        <v>29</v>
      </c>
      <c r="O687" s="34"/>
      <c r="P687" s="35" t="s">
        <v>58</v>
      </c>
      <c r="Q687" s="31" t="s">
        <v>59</v>
      </c>
      <c r="R687" s="31"/>
      <c r="S687" s="31"/>
      <c r="T687" s="30" t="s">
        <v>29</v>
      </c>
      <c r="U687" s="358"/>
      <c r="V687" s="358"/>
      <c r="W687" s="39" t="s">
        <v>34</v>
      </c>
      <c r="X687" s="40" t="e">
        <f>+IF(X678-U678&lt;0,0,X678-U678)+IF(X682-U682&lt;0,0,X682-U682)</f>
        <v>#REF!</v>
      </c>
    </row>
    <row r="688" spans="1:24" ht="18.75" customHeight="1">
      <c r="A688" s="43" t="s">
        <v>152</v>
      </c>
      <c r="B688" s="44"/>
      <c r="C688" s="34"/>
      <c r="D688" s="35" t="s">
        <v>38</v>
      </c>
      <c r="E688" s="31" t="s">
        <v>153</v>
      </c>
      <c r="F688" s="31"/>
      <c r="G688" s="31"/>
      <c r="H688" s="30" t="s">
        <v>29</v>
      </c>
      <c r="I688" s="358"/>
      <c r="J688" s="358"/>
      <c r="K688" s="39" t="s">
        <v>34</v>
      </c>
      <c r="L688" s="40"/>
      <c r="M688" s="43" t="s">
        <v>152</v>
      </c>
      <c r="N688" s="44"/>
      <c r="O688" s="34"/>
      <c r="P688" s="35" t="s">
        <v>38</v>
      </c>
      <c r="Q688" s="31" t="s">
        <v>153</v>
      </c>
      <c r="R688" s="31"/>
      <c r="S688" s="31"/>
      <c r="T688" s="30" t="s">
        <v>29</v>
      </c>
      <c r="U688" s="358"/>
      <c r="V688" s="358"/>
      <c r="W688" s="39" t="s">
        <v>34</v>
      </c>
      <c r="X688" s="40"/>
    </row>
    <row r="689" spans="1:24" ht="18.75" customHeight="1">
      <c r="A689" s="366" t="s">
        <v>154</v>
      </c>
      <c r="B689" s="367"/>
      <c r="C689" s="34"/>
      <c r="D689" s="35"/>
      <c r="E689" s="36"/>
      <c r="F689" s="36"/>
      <c r="G689" s="36"/>
      <c r="H689" s="30" t="s">
        <v>29</v>
      </c>
      <c r="I689" s="358" t="e">
        <f>#REF!</f>
        <v>#REF!</v>
      </c>
      <c r="J689" s="358"/>
      <c r="K689" s="39" t="s">
        <v>34</v>
      </c>
      <c r="L689" s="40"/>
      <c r="M689" s="366" t="s">
        <v>154</v>
      </c>
      <c r="N689" s="367"/>
      <c r="O689" s="34"/>
      <c r="P689" s="35"/>
      <c r="Q689" s="36"/>
      <c r="R689" s="36"/>
      <c r="S689" s="36"/>
      <c r="T689" s="30" t="s">
        <v>29</v>
      </c>
      <c r="U689" s="358" t="e">
        <f>#REF!</f>
        <v>#REF!</v>
      </c>
      <c r="V689" s="358"/>
      <c r="W689" s="39" t="s">
        <v>34</v>
      </c>
      <c r="X689" s="40"/>
    </row>
    <row r="690" spans="1:24" ht="18.75" customHeight="1">
      <c r="A690" s="33" t="s">
        <v>63</v>
      </c>
      <c r="B690" s="30" t="s">
        <v>29</v>
      </c>
      <c r="C690" s="34"/>
      <c r="D690" s="35"/>
      <c r="E690" s="36" t="s">
        <v>64</v>
      </c>
      <c r="F690" s="36"/>
      <c r="G690" s="36"/>
      <c r="H690" s="30" t="s">
        <v>29</v>
      </c>
      <c r="I690" s="358" t="e">
        <f>L687</f>
        <v>#REF!</v>
      </c>
      <c r="J690" s="358"/>
      <c r="K690" s="39" t="s">
        <v>34</v>
      </c>
      <c r="L690" s="40"/>
      <c r="M690" s="33" t="s">
        <v>63</v>
      </c>
      <c r="N690" s="30" t="s">
        <v>29</v>
      </c>
      <c r="O690" s="34"/>
      <c r="P690" s="35"/>
      <c r="Q690" s="36" t="s">
        <v>64</v>
      </c>
      <c r="R690" s="36"/>
      <c r="S690" s="36"/>
      <c r="T690" s="30" t="s">
        <v>29</v>
      </c>
      <c r="U690" s="358" t="e">
        <f>X687</f>
        <v>#REF!</v>
      </c>
      <c r="V690" s="358"/>
      <c r="W690" s="39" t="s">
        <v>34</v>
      </c>
      <c r="X690" s="40"/>
    </row>
    <row r="691" spans="1:24" ht="18.75" customHeight="1">
      <c r="A691" s="362" t="s">
        <v>65</v>
      </c>
      <c r="B691" s="363"/>
      <c r="C691" s="363"/>
      <c r="D691" s="363"/>
      <c r="E691" s="363"/>
      <c r="F691" s="363"/>
      <c r="G691" s="30" t="s">
        <v>29</v>
      </c>
      <c r="H691" s="364" t="e">
        <f>I678+I679+I680+I681+I682+I685+I689+I690+I683+I684+I686+I687+I688+C689</f>
        <v>#REF!</v>
      </c>
      <c r="I691" s="365"/>
      <c r="J691" s="365"/>
      <c r="K691" s="39" t="s">
        <v>34</v>
      </c>
      <c r="M691" s="362" t="s">
        <v>65</v>
      </c>
      <c r="N691" s="363"/>
      <c r="O691" s="363"/>
      <c r="P691" s="363"/>
      <c r="Q691" s="363"/>
      <c r="R691" s="363"/>
      <c r="S691" s="30" t="s">
        <v>29</v>
      </c>
      <c r="T691" s="364" t="e">
        <f>U678+U679+U680+U681+U682+U685+U689+U690+U683+U684+U686+U687+U688+O689</f>
        <v>#REF!</v>
      </c>
      <c r="U691" s="365"/>
      <c r="V691" s="365"/>
      <c r="W691" s="39" t="s">
        <v>34</v>
      </c>
    </row>
    <row r="692" spans="1:24" ht="18.75" customHeight="1">
      <c r="A692" s="45"/>
      <c r="B692" s="46"/>
      <c r="C692" s="46"/>
      <c r="D692" s="46"/>
      <c r="E692" s="46"/>
      <c r="F692" s="46"/>
      <c r="G692" s="46"/>
      <c r="H692" s="46"/>
      <c r="I692" s="46"/>
      <c r="J692" s="46"/>
      <c r="K692" s="47"/>
      <c r="M692" s="45"/>
      <c r="N692" s="46"/>
      <c r="O692" s="46"/>
      <c r="P692" s="46"/>
      <c r="Q692" s="46"/>
      <c r="R692" s="46"/>
      <c r="S692" s="46"/>
      <c r="T692" s="46"/>
      <c r="U692" s="46"/>
      <c r="V692" s="46"/>
      <c r="W692" s="47"/>
    </row>
    <row r="693" spans="1:24" ht="18.75" customHeight="1">
      <c r="A693" s="374" t="s">
        <v>66</v>
      </c>
      <c r="B693" s="375"/>
      <c r="C693" s="375"/>
      <c r="D693" s="375"/>
      <c r="E693" s="375"/>
      <c r="F693" s="375"/>
      <c r="G693" s="30"/>
      <c r="H693" s="30"/>
      <c r="I693" s="30"/>
      <c r="J693" s="30"/>
      <c r="K693" s="39"/>
      <c r="M693" s="374" t="s">
        <v>66</v>
      </c>
      <c r="N693" s="375"/>
      <c r="O693" s="375"/>
      <c r="P693" s="375"/>
      <c r="Q693" s="375"/>
      <c r="R693" s="375"/>
      <c r="S693" s="30"/>
      <c r="T693" s="30"/>
      <c r="U693" s="30"/>
      <c r="V693" s="30"/>
      <c r="W693" s="39"/>
    </row>
    <row r="694" spans="1:24" ht="18.75" customHeight="1">
      <c r="A694" s="368" t="s">
        <v>67</v>
      </c>
      <c r="B694" s="369"/>
      <c r="C694" s="369"/>
      <c r="D694" s="369"/>
      <c r="E694" s="369"/>
      <c r="F694" s="369"/>
      <c r="G694" s="30" t="s">
        <v>29</v>
      </c>
      <c r="H694" s="376" t="e">
        <f>IF(($L$1-(C678+C679+C680+C681))&gt;12,0,F675*8%)</f>
        <v>#REF!</v>
      </c>
      <c r="I694" s="376"/>
      <c r="J694" s="376"/>
      <c r="K694" s="39" t="s">
        <v>34</v>
      </c>
      <c r="M694" s="368" t="s">
        <v>67</v>
      </c>
      <c r="N694" s="369"/>
      <c r="O694" s="369"/>
      <c r="P694" s="369"/>
      <c r="Q694" s="369"/>
      <c r="R694" s="369"/>
      <c r="S694" s="30" t="s">
        <v>29</v>
      </c>
      <c r="T694" s="376" t="e">
        <f>IF(($L$1-(O678+O679+O680+O681))&gt;12,0,R675*8%)</f>
        <v>#REF!</v>
      </c>
      <c r="U694" s="376"/>
      <c r="V694" s="376"/>
      <c r="W694" s="39" t="s">
        <v>34</v>
      </c>
    </row>
    <row r="695" spans="1:24" ht="18.75" customHeight="1">
      <c r="A695" s="368" t="s">
        <v>68</v>
      </c>
      <c r="B695" s="369"/>
      <c r="C695" s="369"/>
      <c r="D695" s="369"/>
      <c r="E695" s="369"/>
      <c r="F695" s="369"/>
      <c r="G695" s="30" t="s">
        <v>29</v>
      </c>
      <c r="H695" s="370" t="e">
        <f>IF(($L$1-(C678+C679+C680+C681))&gt;12,0,F675*1.5%)</f>
        <v>#REF!</v>
      </c>
      <c r="I695" s="370"/>
      <c r="J695" s="370"/>
      <c r="K695" s="39" t="s">
        <v>34</v>
      </c>
      <c r="M695" s="368" t="s">
        <v>68</v>
      </c>
      <c r="N695" s="369"/>
      <c r="O695" s="369"/>
      <c r="P695" s="369"/>
      <c r="Q695" s="369"/>
      <c r="R695" s="369"/>
      <c r="S695" s="30" t="s">
        <v>29</v>
      </c>
      <c r="T695" s="370" t="e">
        <f>IF(($L$1-(O678+O679+O680+O681))&gt;12,0,R675*1.5%)</f>
        <v>#REF!</v>
      </c>
      <c r="U695" s="370"/>
      <c r="V695" s="370"/>
      <c r="W695" s="39" t="s">
        <v>34</v>
      </c>
    </row>
    <row r="696" spans="1:24" ht="18.75" customHeight="1">
      <c r="A696" s="368" t="s">
        <v>69</v>
      </c>
      <c r="B696" s="369"/>
      <c r="C696" s="369"/>
      <c r="D696" s="369"/>
      <c r="E696" s="369"/>
      <c r="F696" s="369"/>
      <c r="G696" s="30" t="s">
        <v>29</v>
      </c>
      <c r="H696" s="370" t="e">
        <f>IF(($L$1-(C678+C679+C680+C681))&gt;12,0,F675*1%)</f>
        <v>#REF!</v>
      </c>
      <c r="I696" s="370"/>
      <c r="J696" s="370"/>
      <c r="K696" s="39" t="s">
        <v>34</v>
      </c>
      <c r="M696" s="368" t="s">
        <v>69</v>
      </c>
      <c r="N696" s="369"/>
      <c r="O696" s="369"/>
      <c r="P696" s="369"/>
      <c r="Q696" s="369"/>
      <c r="R696" s="369"/>
      <c r="S696" s="30" t="s">
        <v>29</v>
      </c>
      <c r="T696" s="370" t="e">
        <f>IF(($L$1-(O678+O679+O680+O681))&gt;12,0,R675*1%)</f>
        <v>#REF!</v>
      </c>
      <c r="U696" s="370"/>
      <c r="V696" s="370"/>
      <c r="W696" s="39" t="s">
        <v>34</v>
      </c>
    </row>
    <row r="697" spans="1:24" ht="18.75" customHeight="1">
      <c r="A697" s="368" t="s">
        <v>70</v>
      </c>
      <c r="B697" s="369"/>
      <c r="C697" s="369"/>
      <c r="D697" s="369"/>
      <c r="E697" s="369"/>
      <c r="F697" s="369"/>
      <c r="G697" s="30" t="s">
        <v>29</v>
      </c>
      <c r="H697" s="370">
        <v>0</v>
      </c>
      <c r="I697" s="370"/>
      <c r="J697" s="370"/>
      <c r="K697" s="39" t="s">
        <v>34</v>
      </c>
      <c r="M697" s="368" t="s">
        <v>70</v>
      </c>
      <c r="N697" s="369"/>
      <c r="O697" s="369"/>
      <c r="P697" s="369"/>
      <c r="Q697" s="369"/>
      <c r="R697" s="369"/>
      <c r="S697" s="30" t="s">
        <v>29</v>
      </c>
      <c r="T697" s="370">
        <v>0</v>
      </c>
      <c r="U697" s="370"/>
      <c r="V697" s="370"/>
      <c r="W697" s="39" t="s">
        <v>34</v>
      </c>
    </row>
    <row r="698" spans="1:24" ht="18.75" customHeight="1">
      <c r="A698" s="371" t="s">
        <v>71</v>
      </c>
      <c r="B698" s="372"/>
      <c r="C698" s="372"/>
      <c r="D698" s="372"/>
      <c r="E698" s="372"/>
      <c r="F698" s="372"/>
      <c r="G698" s="30" t="s">
        <v>29</v>
      </c>
      <c r="H698" s="373" t="e">
        <f>SUM(H694:J697)</f>
        <v>#REF!</v>
      </c>
      <c r="I698" s="373"/>
      <c r="J698" s="373"/>
      <c r="K698" s="39" t="s">
        <v>34</v>
      </c>
      <c r="M698" s="371" t="s">
        <v>71</v>
      </c>
      <c r="N698" s="372"/>
      <c r="O698" s="372"/>
      <c r="P698" s="372"/>
      <c r="Q698" s="372"/>
      <c r="R698" s="372"/>
      <c r="S698" s="30" t="s">
        <v>29</v>
      </c>
      <c r="T698" s="373" t="e">
        <f>SUM(T694:V697)</f>
        <v>#REF!</v>
      </c>
      <c r="U698" s="373"/>
      <c r="V698" s="373"/>
      <c r="W698" s="39" t="s">
        <v>34</v>
      </c>
    </row>
    <row r="699" spans="1:24" ht="18.75" customHeight="1">
      <c r="A699" s="368" t="s">
        <v>72</v>
      </c>
      <c r="B699" s="369"/>
      <c r="C699" s="369"/>
      <c r="D699" s="369"/>
      <c r="E699" s="369"/>
      <c r="F699" s="369"/>
      <c r="G699" s="30" t="s">
        <v>29</v>
      </c>
      <c r="H699" s="381" t="e">
        <f>ROUND(H691-H698,-2)</f>
        <v>#REF!</v>
      </c>
      <c r="I699" s="381"/>
      <c r="J699" s="381"/>
      <c r="K699" s="39" t="s">
        <v>34</v>
      </c>
      <c r="M699" s="368" t="s">
        <v>72</v>
      </c>
      <c r="N699" s="369"/>
      <c r="O699" s="369"/>
      <c r="P699" s="369"/>
      <c r="Q699" s="369"/>
      <c r="R699" s="369"/>
      <c r="S699" s="30" t="s">
        <v>29</v>
      </c>
      <c r="T699" s="381" t="e">
        <f>ROUND(T691-T698,-2)</f>
        <v>#REF!</v>
      </c>
      <c r="U699" s="381"/>
      <c r="V699" s="381"/>
      <c r="W699" s="39" t="s">
        <v>34</v>
      </c>
    </row>
    <row r="700" spans="1:24" ht="18.75" customHeight="1">
      <c r="A700" s="48"/>
      <c r="B700" s="49"/>
      <c r="C700" s="49"/>
      <c r="D700" s="49"/>
      <c r="E700" s="49"/>
      <c r="F700" s="49"/>
      <c r="G700" s="49"/>
      <c r="H700" s="49"/>
      <c r="I700" s="49"/>
      <c r="J700" s="49"/>
      <c r="K700" s="50"/>
      <c r="M700" s="48"/>
      <c r="N700" s="49"/>
      <c r="O700" s="49"/>
      <c r="P700" s="49"/>
      <c r="Q700" s="49"/>
      <c r="R700" s="49"/>
      <c r="S700" s="49"/>
      <c r="T700" s="49"/>
      <c r="U700" s="49"/>
      <c r="V700" s="49"/>
      <c r="W700" s="50"/>
    </row>
    <row r="701" spans="1:24" ht="18.75" customHeight="1">
      <c r="A701" s="51"/>
      <c r="B701" s="30"/>
      <c r="C701" s="30"/>
      <c r="D701" s="30"/>
      <c r="E701" s="30"/>
      <c r="F701" s="30"/>
      <c r="G701" s="30"/>
      <c r="H701" s="30"/>
      <c r="I701" s="378" t="s">
        <v>73</v>
      </c>
      <c r="J701" s="378"/>
      <c r="K701" s="382"/>
      <c r="M701" s="51"/>
      <c r="N701" s="30"/>
      <c r="O701" s="30"/>
      <c r="P701" s="30"/>
      <c r="Q701" s="30"/>
      <c r="R701" s="30"/>
      <c r="S701" s="30"/>
      <c r="T701" s="30"/>
      <c r="U701" s="378" t="s">
        <v>73</v>
      </c>
      <c r="V701" s="378"/>
      <c r="W701" s="382"/>
    </row>
    <row r="702" spans="1:24" ht="18.75" customHeight="1">
      <c r="A702" s="51"/>
      <c r="B702" s="377"/>
      <c r="C702" s="378"/>
      <c r="D702" s="378"/>
      <c r="E702" s="378"/>
      <c r="F702" s="30"/>
      <c r="G702" s="30"/>
      <c r="H702" s="30"/>
      <c r="I702" s="30"/>
      <c r="J702" s="30"/>
      <c r="K702" s="32"/>
      <c r="M702" s="51"/>
      <c r="N702" s="377"/>
      <c r="O702" s="378"/>
      <c r="P702" s="378"/>
      <c r="Q702" s="378"/>
      <c r="R702" s="30"/>
      <c r="S702" s="30"/>
      <c r="T702" s="30"/>
      <c r="U702" s="30"/>
      <c r="V702" s="30"/>
      <c r="W702" s="32"/>
    </row>
    <row r="703" spans="1:24" ht="18.75" customHeight="1" thickBot="1">
      <c r="A703" s="53"/>
      <c r="B703" s="54"/>
      <c r="C703" s="54"/>
      <c r="D703" s="54"/>
      <c r="E703" s="54"/>
      <c r="F703" s="54"/>
      <c r="G703" s="54"/>
      <c r="H703" s="54"/>
      <c r="I703" s="379" t="s">
        <v>74</v>
      </c>
      <c r="J703" s="379"/>
      <c r="K703" s="380"/>
      <c r="M703" s="53"/>
      <c r="N703" s="54"/>
      <c r="O703" s="54"/>
      <c r="P703" s="54"/>
      <c r="Q703" s="54"/>
      <c r="R703" s="54"/>
      <c r="S703" s="54"/>
      <c r="T703" s="54"/>
      <c r="U703" s="379" t="s">
        <v>74</v>
      </c>
      <c r="V703" s="379"/>
      <c r="W703" s="380"/>
    </row>
    <row r="704" spans="1:24" ht="18.75" customHeight="1" thickTop="1" thickBot="1"/>
    <row r="705" spans="1:24" ht="18.75" customHeight="1" thickTop="1">
      <c r="A705" s="351" t="s">
        <v>160</v>
      </c>
      <c r="B705" s="352"/>
      <c r="C705" s="352"/>
      <c r="D705" s="352"/>
      <c r="E705" s="352"/>
      <c r="F705" s="352"/>
      <c r="G705" s="352"/>
      <c r="H705" s="352"/>
      <c r="I705" s="352"/>
      <c r="J705" s="352"/>
      <c r="K705" s="353"/>
      <c r="L705" s="26">
        <v>26</v>
      </c>
      <c r="M705" s="351" t="s">
        <v>160</v>
      </c>
      <c r="N705" s="352"/>
      <c r="O705" s="352"/>
      <c r="P705" s="352"/>
      <c r="Q705" s="352"/>
      <c r="R705" s="352"/>
      <c r="S705" s="352"/>
      <c r="T705" s="352"/>
      <c r="U705" s="352"/>
      <c r="V705" s="352"/>
      <c r="W705" s="353"/>
      <c r="X705" s="26">
        <v>26</v>
      </c>
    </row>
    <row r="706" spans="1:24" ht="18.75" customHeight="1">
      <c r="A706" s="27" t="s">
        <v>113</v>
      </c>
      <c r="B706" s="28"/>
      <c r="C706" s="28"/>
      <c r="D706" s="28"/>
      <c r="E706" s="28"/>
      <c r="F706" s="28"/>
      <c r="G706" s="28"/>
      <c r="H706" s="28"/>
      <c r="I706" s="28"/>
      <c r="J706" s="28"/>
      <c r="K706" s="29"/>
      <c r="M706" s="27" t="s">
        <v>114</v>
      </c>
      <c r="N706" s="28"/>
      <c r="O706" s="28"/>
      <c r="P706" s="28"/>
      <c r="Q706" s="28"/>
      <c r="R706" s="28"/>
      <c r="S706" s="28"/>
      <c r="T706" s="28"/>
      <c r="U706" s="28"/>
      <c r="V706" s="28"/>
      <c r="W706" s="29"/>
    </row>
    <row r="707" spans="1:24" ht="18.75" customHeight="1">
      <c r="A707" s="354" t="s">
        <v>27</v>
      </c>
      <c r="B707" s="355"/>
      <c r="C707" s="355"/>
      <c r="D707" s="355"/>
      <c r="E707" s="355"/>
      <c r="F707" s="355"/>
      <c r="G707" s="355"/>
      <c r="H707" s="355"/>
      <c r="I707" s="355"/>
      <c r="J707" s="355"/>
      <c r="K707" s="356"/>
      <c r="M707" s="354" t="s">
        <v>27</v>
      </c>
      <c r="N707" s="355"/>
      <c r="O707" s="355"/>
      <c r="P707" s="355"/>
      <c r="Q707" s="355"/>
      <c r="R707" s="355"/>
      <c r="S707" s="355"/>
      <c r="T707" s="355"/>
      <c r="U707" s="355"/>
      <c r="V707" s="355"/>
      <c r="W707" s="356"/>
    </row>
    <row r="708" spans="1:24" ht="18.75" customHeight="1">
      <c r="A708" s="347" t="s">
        <v>28</v>
      </c>
      <c r="B708" s="31"/>
      <c r="C708" s="31"/>
      <c r="D708" s="31"/>
      <c r="E708" s="30" t="s">
        <v>29</v>
      </c>
      <c r="F708" s="348">
        <f>'Bang TH nop'!B85</f>
        <v>0</v>
      </c>
      <c r="G708" s="31"/>
      <c r="H708" s="31"/>
      <c r="I708" s="31"/>
      <c r="J708" s="31"/>
      <c r="K708" s="350"/>
      <c r="M708" s="347" t="s">
        <v>28</v>
      </c>
      <c r="N708" s="31"/>
      <c r="O708" s="31"/>
      <c r="P708" s="31"/>
      <c r="Q708" s="30" t="s">
        <v>29</v>
      </c>
      <c r="R708" s="348">
        <f>'Bang TH nop'!B87</f>
        <v>0</v>
      </c>
      <c r="S708" s="31"/>
      <c r="T708" s="31"/>
      <c r="U708" s="31"/>
      <c r="V708" s="31"/>
      <c r="W708" s="350"/>
    </row>
    <row r="709" spans="1:24" ht="18.75" customHeight="1">
      <c r="A709" s="347" t="s">
        <v>30</v>
      </c>
      <c r="B709" s="31"/>
      <c r="C709" s="31"/>
      <c r="D709" s="31"/>
      <c r="E709" s="30" t="s">
        <v>29</v>
      </c>
      <c r="F709" s="348">
        <f>'Bang TH nop'!C85</f>
        <v>0</v>
      </c>
      <c r="G709" s="348"/>
      <c r="H709" s="348"/>
      <c r="I709" s="348"/>
      <c r="J709" s="348"/>
      <c r="K709" s="349"/>
      <c r="M709" s="347" t="s">
        <v>30</v>
      </c>
      <c r="N709" s="31"/>
      <c r="O709" s="31"/>
      <c r="P709" s="31"/>
      <c r="Q709" s="30" t="s">
        <v>29</v>
      </c>
      <c r="R709" s="348">
        <f>'Bang TH nop'!C87</f>
        <v>0</v>
      </c>
      <c r="S709" s="348"/>
      <c r="T709" s="348"/>
      <c r="U709" s="348"/>
      <c r="V709" s="348"/>
      <c r="W709" s="349"/>
    </row>
    <row r="710" spans="1:24" ht="18.75" customHeight="1">
      <c r="A710" s="347" t="s">
        <v>31</v>
      </c>
      <c r="B710" s="31"/>
      <c r="C710" s="31"/>
      <c r="D710" s="31"/>
      <c r="E710" s="30" t="s">
        <v>29</v>
      </c>
      <c r="F710" s="31" t="str">
        <f>+$L$2</f>
        <v xml:space="preserve">Tổ  </v>
      </c>
      <c r="G710" s="31"/>
      <c r="H710" s="31"/>
      <c r="I710" s="31"/>
      <c r="J710" s="31"/>
      <c r="K710" s="350"/>
      <c r="M710" s="347" t="s">
        <v>31</v>
      </c>
      <c r="N710" s="31"/>
      <c r="O710" s="31"/>
      <c r="P710" s="31"/>
      <c r="Q710" s="30" t="s">
        <v>29</v>
      </c>
      <c r="R710" s="31" t="str">
        <f>+$L$2</f>
        <v xml:space="preserve">Tổ  </v>
      </c>
      <c r="S710" s="31"/>
      <c r="T710" s="31"/>
      <c r="U710" s="31"/>
      <c r="V710" s="31"/>
      <c r="W710" s="350"/>
    </row>
    <row r="711" spans="1:24" ht="18.75" customHeight="1">
      <c r="A711" s="354" t="s">
        <v>32</v>
      </c>
      <c r="B711" s="355"/>
      <c r="C711" s="355"/>
      <c r="D711" s="355"/>
      <c r="E711" s="355"/>
      <c r="F711" s="355"/>
      <c r="G711" s="355"/>
      <c r="H711" s="355"/>
      <c r="I711" s="355"/>
      <c r="J711" s="355"/>
      <c r="K711" s="356"/>
      <c r="M711" s="354" t="s">
        <v>32</v>
      </c>
      <c r="N711" s="355"/>
      <c r="O711" s="355"/>
      <c r="P711" s="355"/>
      <c r="Q711" s="355"/>
      <c r="R711" s="355"/>
      <c r="S711" s="355"/>
      <c r="T711" s="355"/>
      <c r="U711" s="355"/>
      <c r="V711" s="355"/>
      <c r="W711" s="356"/>
    </row>
    <row r="712" spans="1:24" ht="18.75" customHeight="1">
      <c r="A712" s="347" t="s">
        <v>33</v>
      </c>
      <c r="B712" s="31"/>
      <c r="C712" s="31"/>
      <c r="D712" s="31"/>
      <c r="E712" s="30" t="s">
        <v>29</v>
      </c>
      <c r="F712" s="361">
        <f>VLOOKUP(F709,'Bang TH nop'!$C$9:$AP$266,29,0)</f>
        <v>0</v>
      </c>
      <c r="G712" s="361"/>
      <c r="H712" s="361"/>
      <c r="I712" s="361"/>
      <c r="J712" s="30" t="s">
        <v>34</v>
      </c>
      <c r="K712" s="32"/>
      <c r="M712" s="347" t="s">
        <v>33</v>
      </c>
      <c r="N712" s="31"/>
      <c r="O712" s="31"/>
      <c r="P712" s="31"/>
      <c r="Q712" s="30" t="s">
        <v>29</v>
      </c>
      <c r="R712" s="361">
        <f>VLOOKUP(R709,'Bang TH nop'!$C$9:$AP$266,29,0)</f>
        <v>0</v>
      </c>
      <c r="S712" s="361"/>
      <c r="T712" s="361"/>
      <c r="U712" s="361"/>
      <c r="V712" s="30" t="s">
        <v>34</v>
      </c>
      <c r="W712" s="32"/>
    </row>
    <row r="713" spans="1:24" ht="18.75" customHeight="1">
      <c r="A713" s="33" t="s">
        <v>35</v>
      </c>
      <c r="B713" s="30"/>
      <c r="C713" s="34"/>
      <c r="D713" s="35"/>
      <c r="E713" s="36"/>
      <c r="F713" s="36"/>
      <c r="G713" s="36"/>
      <c r="H713" s="30"/>
      <c r="I713" s="37" t="e">
        <f>#REF!</f>
        <v>#REF!</v>
      </c>
      <c r="J713" s="38"/>
      <c r="K713" s="39"/>
      <c r="M713" s="33" t="s">
        <v>35</v>
      </c>
      <c r="N713" s="30"/>
      <c r="O713" s="34"/>
      <c r="P713" s="35"/>
      <c r="Q713" s="36"/>
      <c r="R713" s="36"/>
      <c r="S713" s="36"/>
      <c r="T713" s="30"/>
      <c r="U713" s="37" t="e">
        <f>#REF!</f>
        <v>#REF!</v>
      </c>
      <c r="V713" s="38"/>
      <c r="W713" s="39"/>
    </row>
    <row r="714" spans="1:24" ht="18.75" customHeight="1">
      <c r="A714" s="33" t="s">
        <v>36</v>
      </c>
      <c r="B714" s="30"/>
      <c r="C714" s="34"/>
      <c r="D714" s="35"/>
      <c r="E714" s="36"/>
      <c r="F714" s="36"/>
      <c r="G714" s="36"/>
      <c r="H714" s="30"/>
      <c r="I714" s="37" t="e">
        <f>I715/C715/8</f>
        <v>#REF!</v>
      </c>
      <c r="J714" s="38"/>
      <c r="K714" s="39"/>
      <c r="M714" s="33" t="s">
        <v>36</v>
      </c>
      <c r="N714" s="30"/>
      <c r="O714" s="34"/>
      <c r="P714" s="35"/>
      <c r="Q714" s="36"/>
      <c r="R714" s="36"/>
      <c r="S714" s="36"/>
      <c r="T714" s="30"/>
      <c r="U714" s="37" t="e">
        <f>U715/O715/8</f>
        <v>#REF!</v>
      </c>
      <c r="V714" s="38"/>
      <c r="W714" s="39"/>
    </row>
    <row r="715" spans="1:24" ht="18.75" customHeight="1">
      <c r="A715" s="33" t="s">
        <v>37</v>
      </c>
      <c r="B715" s="30" t="s">
        <v>29</v>
      </c>
      <c r="C715" s="34" t="e">
        <f>#REF!</f>
        <v>#REF!</v>
      </c>
      <c r="D715" s="35" t="s">
        <v>38</v>
      </c>
      <c r="E715" s="359" t="s">
        <v>39</v>
      </c>
      <c r="F715" s="359"/>
      <c r="G715" s="359"/>
      <c r="H715" s="30" t="s">
        <v>29</v>
      </c>
      <c r="I715" s="360" t="e">
        <f>#REF!</f>
        <v>#REF!</v>
      </c>
      <c r="J715" s="360"/>
      <c r="K715" s="39" t="s">
        <v>34</v>
      </c>
      <c r="L715" s="40" t="e">
        <f>F712/L705*C715</f>
        <v>#REF!</v>
      </c>
      <c r="M715" s="33" t="s">
        <v>37</v>
      </c>
      <c r="N715" s="30" t="s">
        <v>29</v>
      </c>
      <c r="O715" s="34" t="e">
        <f>#REF!</f>
        <v>#REF!</v>
      </c>
      <c r="P715" s="35" t="s">
        <v>38</v>
      </c>
      <c r="Q715" s="359" t="s">
        <v>39</v>
      </c>
      <c r="R715" s="359"/>
      <c r="S715" s="359"/>
      <c r="T715" s="30" t="s">
        <v>29</v>
      </c>
      <c r="U715" s="360" t="e">
        <f>#REF!</f>
        <v>#REF!</v>
      </c>
      <c r="V715" s="360"/>
      <c r="W715" s="39" t="s">
        <v>34</v>
      </c>
      <c r="X715" s="40" t="e">
        <f>R712/X705*O715</f>
        <v>#REF!</v>
      </c>
    </row>
    <row r="716" spans="1:24" ht="18.75" customHeight="1">
      <c r="A716" s="33" t="s">
        <v>40</v>
      </c>
      <c r="B716" s="30" t="s">
        <v>29</v>
      </c>
      <c r="C716" s="34" t="e">
        <f>#REF!</f>
        <v>#REF!</v>
      </c>
      <c r="D716" s="35" t="s">
        <v>38</v>
      </c>
      <c r="E716" s="31" t="s">
        <v>41</v>
      </c>
      <c r="F716" s="31"/>
      <c r="G716" s="31"/>
      <c r="H716" s="30" t="s">
        <v>29</v>
      </c>
      <c r="I716" s="358" t="e">
        <f>$F$8/$L$1*C716</f>
        <v>#REF!</v>
      </c>
      <c r="J716" s="358"/>
      <c r="K716" s="39" t="s">
        <v>34</v>
      </c>
      <c r="L716" s="40"/>
      <c r="M716" s="33" t="s">
        <v>40</v>
      </c>
      <c r="N716" s="30" t="s">
        <v>29</v>
      </c>
      <c r="O716" s="34" t="e">
        <f>#REF!</f>
        <v>#REF!</v>
      </c>
      <c r="P716" s="35" t="s">
        <v>38</v>
      </c>
      <c r="Q716" s="31" t="s">
        <v>41</v>
      </c>
      <c r="R716" s="31"/>
      <c r="S716" s="31"/>
      <c r="T716" s="30" t="s">
        <v>29</v>
      </c>
      <c r="U716" s="358" t="e">
        <f>$F$8/$L$1*O716</f>
        <v>#REF!</v>
      </c>
      <c r="V716" s="358"/>
      <c r="W716" s="39" t="s">
        <v>34</v>
      </c>
      <c r="X716" s="40"/>
    </row>
    <row r="717" spans="1:24" ht="18.75" customHeight="1">
      <c r="A717" s="33" t="s">
        <v>42</v>
      </c>
      <c r="B717" s="30" t="s">
        <v>29</v>
      </c>
      <c r="C717" s="34" t="e">
        <f>#REF!</f>
        <v>#REF!</v>
      </c>
      <c r="D717" s="35" t="s">
        <v>38</v>
      </c>
      <c r="E717" s="357" t="s">
        <v>43</v>
      </c>
      <c r="F717" s="357"/>
      <c r="G717" s="357"/>
      <c r="H717" s="30" t="s">
        <v>29</v>
      </c>
      <c r="I717" s="358" t="e">
        <f>$F$8/$L$1*C717</f>
        <v>#REF!</v>
      </c>
      <c r="J717" s="358"/>
      <c r="K717" s="39" t="s">
        <v>34</v>
      </c>
      <c r="L717" s="40"/>
      <c r="M717" s="33" t="s">
        <v>42</v>
      </c>
      <c r="N717" s="30" t="s">
        <v>29</v>
      </c>
      <c r="O717" s="34" t="e">
        <f>#REF!</f>
        <v>#REF!</v>
      </c>
      <c r="P717" s="35" t="s">
        <v>38</v>
      </c>
      <c r="Q717" s="357" t="s">
        <v>43</v>
      </c>
      <c r="R717" s="357"/>
      <c r="S717" s="357"/>
      <c r="T717" s="30" t="s">
        <v>29</v>
      </c>
      <c r="U717" s="358" t="e">
        <f>$F$8/$L$1*O717</f>
        <v>#REF!</v>
      </c>
      <c r="V717" s="358"/>
      <c r="W717" s="39" t="s">
        <v>34</v>
      </c>
      <c r="X717" s="40"/>
    </row>
    <row r="718" spans="1:24" ht="18.75" customHeight="1">
      <c r="A718" s="33" t="s">
        <v>44</v>
      </c>
      <c r="B718" s="30" t="s">
        <v>29</v>
      </c>
      <c r="C718" s="34" t="e">
        <f>#REF!</f>
        <v>#REF!</v>
      </c>
      <c r="D718" s="35" t="s">
        <v>38</v>
      </c>
      <c r="E718" s="357" t="s">
        <v>45</v>
      </c>
      <c r="F718" s="357"/>
      <c r="G718" s="357"/>
      <c r="H718" s="30" t="s">
        <v>29</v>
      </c>
      <c r="I718" s="358" t="e">
        <f>$F$8/$L$1*C718</f>
        <v>#REF!</v>
      </c>
      <c r="J718" s="358"/>
      <c r="K718" s="39" t="s">
        <v>34</v>
      </c>
      <c r="L718" s="40"/>
      <c r="M718" s="33" t="s">
        <v>44</v>
      </c>
      <c r="N718" s="30" t="s">
        <v>29</v>
      </c>
      <c r="O718" s="34" t="e">
        <f>#REF!</f>
        <v>#REF!</v>
      </c>
      <c r="P718" s="35" t="s">
        <v>38</v>
      </c>
      <c r="Q718" s="357" t="s">
        <v>45</v>
      </c>
      <c r="R718" s="357"/>
      <c r="S718" s="357"/>
      <c r="T718" s="30" t="s">
        <v>29</v>
      </c>
      <c r="U718" s="358" t="e">
        <f>$F$8/$L$1*O718</f>
        <v>#REF!</v>
      </c>
      <c r="V718" s="358"/>
      <c r="W718" s="39" t="s">
        <v>34</v>
      </c>
      <c r="X718" s="40"/>
    </row>
    <row r="719" spans="1:24" ht="18.75" customHeight="1">
      <c r="A719" s="33" t="s">
        <v>46</v>
      </c>
      <c r="B719" s="30" t="s">
        <v>29</v>
      </c>
      <c r="C719" s="34" t="e">
        <f>#REF!</f>
        <v>#REF!</v>
      </c>
      <c r="D719" s="35" t="s">
        <v>47</v>
      </c>
      <c r="E719" s="31" t="s">
        <v>48</v>
      </c>
      <c r="F719" s="31"/>
      <c r="G719" s="31"/>
      <c r="H719" s="30" t="s">
        <v>29</v>
      </c>
      <c r="I719" s="358" t="e">
        <f>#REF!</f>
        <v>#REF!</v>
      </c>
      <c r="J719" s="358"/>
      <c r="K719" s="39" t="s">
        <v>34</v>
      </c>
      <c r="L719" s="40" t="e">
        <f>F712*C719/L705/8*1.5</f>
        <v>#REF!</v>
      </c>
      <c r="M719" s="33" t="s">
        <v>46</v>
      </c>
      <c r="N719" s="30" t="s">
        <v>29</v>
      </c>
      <c r="O719" s="34" t="e">
        <f>#REF!</f>
        <v>#REF!</v>
      </c>
      <c r="P719" s="35" t="s">
        <v>47</v>
      </c>
      <c r="Q719" s="31" t="s">
        <v>48</v>
      </c>
      <c r="R719" s="31"/>
      <c r="S719" s="31"/>
      <c r="T719" s="30" t="s">
        <v>29</v>
      </c>
      <c r="U719" s="358" t="e">
        <f>#REF!</f>
        <v>#REF!</v>
      </c>
      <c r="V719" s="358"/>
      <c r="W719" s="39" t="s">
        <v>34</v>
      </c>
      <c r="X719" s="40" t="e">
        <f>R712*O719/X705/8*1.5</f>
        <v>#REF!</v>
      </c>
    </row>
    <row r="720" spans="1:24" ht="18.75" customHeight="1">
      <c r="A720" s="347" t="s">
        <v>49</v>
      </c>
      <c r="B720" s="31"/>
      <c r="C720" s="34"/>
      <c r="D720" s="35" t="s">
        <v>38</v>
      </c>
      <c r="E720" s="31" t="s">
        <v>50</v>
      </c>
      <c r="F720" s="31"/>
      <c r="G720" s="31"/>
      <c r="H720" s="41" t="s">
        <v>29</v>
      </c>
      <c r="I720" s="358"/>
      <c r="J720" s="358"/>
      <c r="K720" s="39" t="s">
        <v>34</v>
      </c>
      <c r="L720" s="40"/>
      <c r="M720" s="347" t="s">
        <v>49</v>
      </c>
      <c r="N720" s="31"/>
      <c r="O720" s="34"/>
      <c r="P720" s="35" t="s">
        <v>38</v>
      </c>
      <c r="Q720" s="31" t="s">
        <v>50</v>
      </c>
      <c r="R720" s="31"/>
      <c r="S720" s="31"/>
      <c r="T720" s="41" t="s">
        <v>29</v>
      </c>
      <c r="U720" s="358"/>
      <c r="V720" s="358"/>
      <c r="W720" s="39" t="s">
        <v>34</v>
      </c>
      <c r="X720" s="40"/>
    </row>
    <row r="721" spans="1:24" ht="18.75" customHeight="1">
      <c r="A721" s="33" t="s">
        <v>51</v>
      </c>
      <c r="B721" s="30" t="s">
        <v>29</v>
      </c>
      <c r="C721" s="34"/>
      <c r="D721" s="35" t="s">
        <v>38</v>
      </c>
      <c r="E721" s="31" t="s">
        <v>52</v>
      </c>
      <c r="F721" s="31"/>
      <c r="G721" s="31"/>
      <c r="H721" s="30" t="s">
        <v>29</v>
      </c>
      <c r="I721" s="358"/>
      <c r="J721" s="358"/>
      <c r="K721" s="39" t="s">
        <v>34</v>
      </c>
      <c r="L721" s="40"/>
      <c r="M721" s="33" t="s">
        <v>51</v>
      </c>
      <c r="N721" s="30" t="s">
        <v>29</v>
      </c>
      <c r="O721" s="34"/>
      <c r="P721" s="35" t="s">
        <v>38</v>
      </c>
      <c r="Q721" s="31" t="s">
        <v>52</v>
      </c>
      <c r="R721" s="31"/>
      <c r="S721" s="31"/>
      <c r="T721" s="30" t="s">
        <v>29</v>
      </c>
      <c r="U721" s="358"/>
      <c r="V721" s="358"/>
      <c r="W721" s="39" t="s">
        <v>34</v>
      </c>
      <c r="X721" s="40"/>
    </row>
    <row r="722" spans="1:24" ht="18.75" customHeight="1">
      <c r="A722" s="42" t="s">
        <v>53</v>
      </c>
      <c r="B722" s="30"/>
      <c r="C722" s="34" t="e">
        <f>#REF!</f>
        <v>#REF!</v>
      </c>
      <c r="D722" s="35" t="s">
        <v>47</v>
      </c>
      <c r="E722" s="31" t="s">
        <v>54</v>
      </c>
      <c r="F722" s="31"/>
      <c r="G722" s="31"/>
      <c r="H722" s="30" t="s">
        <v>29</v>
      </c>
      <c r="I722" s="358" t="e">
        <f>$F$8*C722/8/$L$1</f>
        <v>#REF!</v>
      </c>
      <c r="J722" s="358"/>
      <c r="K722" s="39" t="s">
        <v>34</v>
      </c>
      <c r="L722" s="40"/>
      <c r="M722" s="42" t="s">
        <v>53</v>
      </c>
      <c r="N722" s="30"/>
      <c r="O722" s="34" t="e">
        <f>#REF!</f>
        <v>#REF!</v>
      </c>
      <c r="P722" s="35" t="s">
        <v>47</v>
      </c>
      <c r="Q722" s="31" t="s">
        <v>54</v>
      </c>
      <c r="R722" s="31"/>
      <c r="S722" s="31"/>
      <c r="T722" s="30" t="s">
        <v>29</v>
      </c>
      <c r="U722" s="358" t="e">
        <f>$F$8*O722/8/$L$1</f>
        <v>#REF!</v>
      </c>
      <c r="V722" s="358"/>
      <c r="W722" s="39" t="s">
        <v>34</v>
      </c>
      <c r="X722" s="40"/>
    </row>
    <row r="723" spans="1:24" ht="18.75" customHeight="1">
      <c r="A723" s="33" t="s">
        <v>55</v>
      </c>
      <c r="B723" s="30" t="s">
        <v>29</v>
      </c>
      <c r="C723" s="34"/>
      <c r="D723" s="35" t="s">
        <v>47</v>
      </c>
      <c r="E723" s="31" t="s">
        <v>56</v>
      </c>
      <c r="F723" s="31"/>
      <c r="G723" s="31"/>
      <c r="H723" s="30" t="s">
        <v>29</v>
      </c>
      <c r="I723" s="360"/>
      <c r="J723" s="360"/>
      <c r="K723" s="39" t="s">
        <v>34</v>
      </c>
      <c r="L723" s="40"/>
      <c r="M723" s="33" t="s">
        <v>55</v>
      </c>
      <c r="N723" s="30" t="s">
        <v>29</v>
      </c>
      <c r="O723" s="34"/>
      <c r="P723" s="35" t="s">
        <v>47</v>
      </c>
      <c r="Q723" s="31" t="s">
        <v>56</v>
      </c>
      <c r="R723" s="31"/>
      <c r="S723" s="31"/>
      <c r="T723" s="30" t="s">
        <v>29</v>
      </c>
      <c r="U723" s="360"/>
      <c r="V723" s="360"/>
      <c r="W723" s="39" t="s">
        <v>34</v>
      </c>
      <c r="X723" s="40"/>
    </row>
    <row r="724" spans="1:24" ht="18.75" customHeight="1">
      <c r="A724" s="33" t="s">
        <v>57</v>
      </c>
      <c r="B724" s="30" t="s">
        <v>29</v>
      </c>
      <c r="C724" s="34"/>
      <c r="D724" s="35" t="s">
        <v>58</v>
      </c>
      <c r="E724" s="31" t="s">
        <v>59</v>
      </c>
      <c r="F724" s="31"/>
      <c r="G724" s="31"/>
      <c r="H724" s="30" t="s">
        <v>29</v>
      </c>
      <c r="I724" s="358"/>
      <c r="J724" s="358"/>
      <c r="K724" s="39" t="s">
        <v>34</v>
      </c>
      <c r="L724" s="40" t="e">
        <f>+IF(L715-I715&lt;0,0,L715-I715)+IF(L719-I719&lt;0,0,L719-I719)</f>
        <v>#REF!</v>
      </c>
      <c r="M724" s="33" t="s">
        <v>57</v>
      </c>
      <c r="N724" s="30" t="s">
        <v>29</v>
      </c>
      <c r="O724" s="34"/>
      <c r="P724" s="35" t="s">
        <v>58</v>
      </c>
      <c r="Q724" s="31" t="s">
        <v>59</v>
      </c>
      <c r="R724" s="31"/>
      <c r="S724" s="31"/>
      <c r="T724" s="30" t="s">
        <v>29</v>
      </c>
      <c r="U724" s="358"/>
      <c r="V724" s="358"/>
      <c r="W724" s="39" t="s">
        <v>34</v>
      </c>
      <c r="X724" s="40" t="e">
        <f>+IF(X715-U715&lt;0,0,X715-U715)+IF(X719-U719&lt;0,0,X719-U719)</f>
        <v>#REF!</v>
      </c>
    </row>
    <row r="725" spans="1:24" ht="18.75" customHeight="1">
      <c r="A725" s="43" t="s">
        <v>60</v>
      </c>
      <c r="B725" s="44"/>
      <c r="C725" s="34"/>
      <c r="D725" s="35" t="s">
        <v>38</v>
      </c>
      <c r="E725" s="31" t="s">
        <v>61</v>
      </c>
      <c r="F725" s="31"/>
      <c r="G725" s="31"/>
      <c r="H725" s="30" t="s">
        <v>29</v>
      </c>
      <c r="I725" s="358"/>
      <c r="J725" s="358"/>
      <c r="K725" s="39" t="s">
        <v>34</v>
      </c>
      <c r="L725" s="40"/>
      <c r="M725" s="43" t="s">
        <v>60</v>
      </c>
      <c r="N725" s="44"/>
      <c r="O725" s="34"/>
      <c r="P725" s="35" t="s">
        <v>38</v>
      </c>
      <c r="Q725" s="31" t="s">
        <v>61</v>
      </c>
      <c r="R725" s="31"/>
      <c r="S725" s="31"/>
      <c r="T725" s="30" t="s">
        <v>29</v>
      </c>
      <c r="U725" s="358"/>
      <c r="V725" s="358"/>
      <c r="W725" s="39" t="s">
        <v>34</v>
      </c>
      <c r="X725" s="40"/>
    </row>
    <row r="726" spans="1:24" ht="18.75" customHeight="1">
      <c r="A726" s="383" t="s">
        <v>62</v>
      </c>
      <c r="B726" s="359"/>
      <c r="C726" s="34"/>
      <c r="D726" s="35"/>
      <c r="E726" s="36"/>
      <c r="F726" s="36"/>
      <c r="G726" s="36"/>
      <c r="H726" s="30" t="s">
        <v>29</v>
      </c>
      <c r="I726" s="358" t="e">
        <f>#REF!</f>
        <v>#REF!</v>
      </c>
      <c r="J726" s="358"/>
      <c r="K726" s="39" t="s">
        <v>34</v>
      </c>
      <c r="L726" s="40"/>
      <c r="M726" s="383" t="s">
        <v>62</v>
      </c>
      <c r="N726" s="359"/>
      <c r="O726" s="34"/>
      <c r="P726" s="35"/>
      <c r="Q726" s="36"/>
      <c r="R726" s="36"/>
      <c r="S726" s="36"/>
      <c r="T726" s="30" t="s">
        <v>29</v>
      </c>
      <c r="U726" s="358" t="e">
        <f>#REF!</f>
        <v>#REF!</v>
      </c>
      <c r="V726" s="358"/>
      <c r="W726" s="39" t="s">
        <v>34</v>
      </c>
      <c r="X726" s="40"/>
    </row>
    <row r="727" spans="1:24" ht="18.75" customHeight="1">
      <c r="A727" s="33" t="s">
        <v>63</v>
      </c>
      <c r="B727" s="30" t="s">
        <v>29</v>
      </c>
      <c r="C727" s="34"/>
      <c r="D727" s="35"/>
      <c r="E727" s="36" t="s">
        <v>64</v>
      </c>
      <c r="F727" s="36"/>
      <c r="G727" s="36"/>
      <c r="H727" s="30" t="s">
        <v>29</v>
      </c>
      <c r="I727" s="358" t="e">
        <f>L724</f>
        <v>#REF!</v>
      </c>
      <c r="J727" s="358"/>
      <c r="K727" s="39" t="s">
        <v>34</v>
      </c>
      <c r="L727" s="40"/>
      <c r="M727" s="33" t="s">
        <v>63</v>
      </c>
      <c r="N727" s="30" t="s">
        <v>29</v>
      </c>
      <c r="O727" s="34"/>
      <c r="P727" s="35"/>
      <c r="Q727" s="36" t="s">
        <v>64</v>
      </c>
      <c r="R727" s="36"/>
      <c r="S727" s="36"/>
      <c r="T727" s="30" t="s">
        <v>29</v>
      </c>
      <c r="U727" s="358" t="e">
        <f>X724</f>
        <v>#REF!</v>
      </c>
      <c r="V727" s="358"/>
      <c r="W727" s="39" t="s">
        <v>34</v>
      </c>
      <c r="X727" s="40"/>
    </row>
    <row r="728" spans="1:24" ht="18.75" customHeight="1">
      <c r="A728" s="362" t="s">
        <v>65</v>
      </c>
      <c r="B728" s="363"/>
      <c r="C728" s="363"/>
      <c r="D728" s="363"/>
      <c r="E728" s="363"/>
      <c r="F728" s="363"/>
      <c r="G728" s="30" t="s">
        <v>29</v>
      </c>
      <c r="H728" s="364" t="e">
        <f>I715+I716+I717+I718+I719+I722+I726+I727+I720+I721+I723+I724+I725+C726</f>
        <v>#REF!</v>
      </c>
      <c r="I728" s="365"/>
      <c r="J728" s="365"/>
      <c r="K728" s="39" t="s">
        <v>34</v>
      </c>
      <c r="M728" s="362" t="s">
        <v>65</v>
      </c>
      <c r="N728" s="363"/>
      <c r="O728" s="363"/>
      <c r="P728" s="363"/>
      <c r="Q728" s="363"/>
      <c r="R728" s="363"/>
      <c r="S728" s="30" t="s">
        <v>29</v>
      </c>
      <c r="T728" s="364" t="e">
        <f>U715+U716+U717+U718+U719+U722+U726+U727+U720+U721+U723+U724+U725+O726</f>
        <v>#REF!</v>
      </c>
      <c r="U728" s="365"/>
      <c r="V728" s="365"/>
      <c r="W728" s="39" t="s">
        <v>34</v>
      </c>
    </row>
    <row r="729" spans="1:24" ht="18.75" customHeight="1">
      <c r="A729" s="45"/>
      <c r="B729" s="46"/>
      <c r="C729" s="46"/>
      <c r="D729" s="46"/>
      <c r="E729" s="46"/>
      <c r="F729" s="46"/>
      <c r="G729" s="46"/>
      <c r="H729" s="46"/>
      <c r="I729" s="46"/>
      <c r="J729" s="46"/>
      <c r="K729" s="47"/>
      <c r="M729" s="45"/>
      <c r="N729" s="46"/>
      <c r="O729" s="46"/>
      <c r="P729" s="46"/>
      <c r="Q729" s="46"/>
      <c r="R729" s="46"/>
      <c r="S729" s="46"/>
      <c r="T729" s="46"/>
      <c r="U729" s="46"/>
      <c r="V729" s="46"/>
      <c r="W729" s="47"/>
    </row>
    <row r="730" spans="1:24" ht="18.75" customHeight="1">
      <c r="A730" s="374" t="s">
        <v>66</v>
      </c>
      <c r="B730" s="375"/>
      <c r="C730" s="375"/>
      <c r="D730" s="375"/>
      <c r="E730" s="375"/>
      <c r="F730" s="375"/>
      <c r="G730" s="30"/>
      <c r="H730" s="30"/>
      <c r="I730" s="30"/>
      <c r="J730" s="30"/>
      <c r="K730" s="39"/>
      <c r="M730" s="374" t="s">
        <v>66</v>
      </c>
      <c r="N730" s="375"/>
      <c r="O730" s="375"/>
      <c r="P730" s="375"/>
      <c r="Q730" s="375"/>
      <c r="R730" s="375"/>
      <c r="S730" s="30"/>
      <c r="T730" s="30"/>
      <c r="U730" s="30"/>
      <c r="V730" s="30"/>
      <c r="W730" s="39"/>
    </row>
    <row r="731" spans="1:24" ht="18.75" customHeight="1">
      <c r="A731" s="368" t="s">
        <v>67</v>
      </c>
      <c r="B731" s="369"/>
      <c r="C731" s="369"/>
      <c r="D731" s="369"/>
      <c r="E731" s="369"/>
      <c r="F731" s="369"/>
      <c r="G731" s="30" t="s">
        <v>29</v>
      </c>
      <c r="H731" s="376" t="e">
        <f>IF(($L$1-(C715+C716+C717+C718))&gt;12,0,F712*8%)</f>
        <v>#REF!</v>
      </c>
      <c r="I731" s="376"/>
      <c r="J731" s="376"/>
      <c r="K731" s="39" t="s">
        <v>34</v>
      </c>
      <c r="M731" s="368" t="s">
        <v>67</v>
      </c>
      <c r="N731" s="369"/>
      <c r="O731" s="369"/>
      <c r="P731" s="369"/>
      <c r="Q731" s="369"/>
      <c r="R731" s="369"/>
      <c r="S731" s="30" t="s">
        <v>29</v>
      </c>
      <c r="T731" s="376" t="e">
        <f>IF(($L$1-(O715+O716+O717+O718))&gt;12,0,R712*8%)</f>
        <v>#REF!</v>
      </c>
      <c r="U731" s="376"/>
      <c r="V731" s="376"/>
      <c r="W731" s="39" t="s">
        <v>34</v>
      </c>
    </row>
    <row r="732" spans="1:24" ht="18.75" customHeight="1">
      <c r="A732" s="368" t="s">
        <v>68</v>
      </c>
      <c r="B732" s="369"/>
      <c r="C732" s="369"/>
      <c r="D732" s="369"/>
      <c r="E732" s="369"/>
      <c r="F732" s="369"/>
      <c r="G732" s="30" t="s">
        <v>29</v>
      </c>
      <c r="H732" s="370" t="e">
        <f>IF(($L$1-(C715+C716+C717+C718))&gt;12,0,F712*1.5%)</f>
        <v>#REF!</v>
      </c>
      <c r="I732" s="370"/>
      <c r="J732" s="370"/>
      <c r="K732" s="39" t="s">
        <v>34</v>
      </c>
      <c r="M732" s="368" t="s">
        <v>68</v>
      </c>
      <c r="N732" s="369"/>
      <c r="O732" s="369"/>
      <c r="P732" s="369"/>
      <c r="Q732" s="369"/>
      <c r="R732" s="369"/>
      <c r="S732" s="30" t="s">
        <v>29</v>
      </c>
      <c r="T732" s="370" t="e">
        <f>IF(($L$1-(O715+O716+O717+O718))&gt;12,0,R712*1.5%)</f>
        <v>#REF!</v>
      </c>
      <c r="U732" s="370"/>
      <c r="V732" s="370"/>
      <c r="W732" s="39" t="s">
        <v>34</v>
      </c>
    </row>
    <row r="733" spans="1:24" ht="18.75" customHeight="1">
      <c r="A733" s="368" t="s">
        <v>69</v>
      </c>
      <c r="B733" s="369"/>
      <c r="C733" s="369"/>
      <c r="D733" s="369"/>
      <c r="E733" s="369"/>
      <c r="F733" s="369"/>
      <c r="G733" s="30" t="s">
        <v>29</v>
      </c>
      <c r="H733" s="370" t="e">
        <f>IF(($L$1-(C715+C716+C717+C718))&gt;12,0,F712*1%)</f>
        <v>#REF!</v>
      </c>
      <c r="I733" s="370"/>
      <c r="J733" s="370"/>
      <c r="K733" s="39" t="s">
        <v>34</v>
      </c>
      <c r="M733" s="368" t="s">
        <v>69</v>
      </c>
      <c r="N733" s="369"/>
      <c r="O733" s="369"/>
      <c r="P733" s="369"/>
      <c r="Q733" s="369"/>
      <c r="R733" s="369"/>
      <c r="S733" s="30" t="s">
        <v>29</v>
      </c>
      <c r="T733" s="370" t="e">
        <f>IF(($L$1-(O715+O716+O717+O718))&gt;12,0,R712*1%)</f>
        <v>#REF!</v>
      </c>
      <c r="U733" s="370"/>
      <c r="V733" s="370"/>
      <c r="W733" s="39" t="s">
        <v>34</v>
      </c>
    </row>
    <row r="734" spans="1:24" ht="18.75" customHeight="1">
      <c r="A734" s="368" t="s">
        <v>70</v>
      </c>
      <c r="B734" s="369"/>
      <c r="C734" s="369"/>
      <c r="D734" s="369"/>
      <c r="E734" s="369"/>
      <c r="F734" s="369"/>
      <c r="G734" s="30" t="s">
        <v>29</v>
      </c>
      <c r="H734" s="370">
        <v>0</v>
      </c>
      <c r="I734" s="370"/>
      <c r="J734" s="370"/>
      <c r="K734" s="39" t="s">
        <v>34</v>
      </c>
      <c r="M734" s="368" t="s">
        <v>70</v>
      </c>
      <c r="N734" s="369"/>
      <c r="O734" s="369"/>
      <c r="P734" s="369"/>
      <c r="Q734" s="369"/>
      <c r="R734" s="369"/>
      <c r="S734" s="30" t="s">
        <v>29</v>
      </c>
      <c r="T734" s="370">
        <v>0</v>
      </c>
      <c r="U734" s="370"/>
      <c r="V734" s="370"/>
      <c r="W734" s="39" t="s">
        <v>34</v>
      </c>
    </row>
    <row r="735" spans="1:24" ht="18.75" customHeight="1">
      <c r="A735" s="371" t="s">
        <v>71</v>
      </c>
      <c r="B735" s="372"/>
      <c r="C735" s="372"/>
      <c r="D735" s="372"/>
      <c r="E735" s="372"/>
      <c r="F735" s="372"/>
      <c r="G735" s="30" t="s">
        <v>29</v>
      </c>
      <c r="H735" s="373" t="e">
        <f>SUM(H731:J734)</f>
        <v>#REF!</v>
      </c>
      <c r="I735" s="373"/>
      <c r="J735" s="373"/>
      <c r="K735" s="39" t="s">
        <v>34</v>
      </c>
      <c r="M735" s="371" t="s">
        <v>71</v>
      </c>
      <c r="N735" s="372"/>
      <c r="O735" s="372"/>
      <c r="P735" s="372"/>
      <c r="Q735" s="372"/>
      <c r="R735" s="372"/>
      <c r="S735" s="30" t="s">
        <v>29</v>
      </c>
      <c r="T735" s="373" t="e">
        <f>SUM(T731:V734)</f>
        <v>#REF!</v>
      </c>
      <c r="U735" s="373"/>
      <c r="V735" s="373"/>
      <c r="W735" s="39" t="s">
        <v>34</v>
      </c>
    </row>
    <row r="736" spans="1:24" ht="18.75" customHeight="1">
      <c r="A736" s="368" t="s">
        <v>72</v>
      </c>
      <c r="B736" s="369"/>
      <c r="C736" s="369"/>
      <c r="D736" s="369"/>
      <c r="E736" s="369"/>
      <c r="F736" s="369"/>
      <c r="G736" s="30" t="s">
        <v>29</v>
      </c>
      <c r="H736" s="381" t="e">
        <f>ROUND(H728-H735,-2)</f>
        <v>#REF!</v>
      </c>
      <c r="I736" s="381"/>
      <c r="J736" s="381"/>
      <c r="K736" s="39" t="s">
        <v>34</v>
      </c>
      <c r="M736" s="368" t="s">
        <v>72</v>
      </c>
      <c r="N736" s="369"/>
      <c r="O736" s="369"/>
      <c r="P736" s="369"/>
      <c r="Q736" s="369"/>
      <c r="R736" s="369"/>
      <c r="S736" s="30" t="s">
        <v>29</v>
      </c>
      <c r="T736" s="381" t="e">
        <f>ROUND(T728-T735,-2)</f>
        <v>#REF!</v>
      </c>
      <c r="U736" s="381"/>
      <c r="V736" s="381"/>
      <c r="W736" s="39" t="s">
        <v>34</v>
      </c>
    </row>
    <row r="737" spans="1:24" ht="18.75" customHeight="1">
      <c r="A737" s="48"/>
      <c r="B737" s="49"/>
      <c r="C737" s="49"/>
      <c r="D737" s="49"/>
      <c r="E737" s="49"/>
      <c r="F737" s="49"/>
      <c r="G737" s="49"/>
      <c r="H737" s="49"/>
      <c r="I737" s="49"/>
      <c r="J737" s="49"/>
      <c r="K737" s="50"/>
      <c r="M737" s="48"/>
      <c r="N737" s="49"/>
      <c r="O737" s="49"/>
      <c r="P737" s="49"/>
      <c r="Q737" s="49"/>
      <c r="R737" s="49"/>
      <c r="S737" s="49"/>
      <c r="T737" s="49"/>
      <c r="U737" s="49"/>
      <c r="V737" s="49"/>
      <c r="W737" s="50"/>
    </row>
    <row r="738" spans="1:24" ht="18.75" customHeight="1">
      <c r="A738" s="51"/>
      <c r="B738" s="30"/>
      <c r="C738" s="30"/>
      <c r="D738" s="30"/>
      <c r="E738" s="30"/>
      <c r="F738" s="30"/>
      <c r="G738" s="30"/>
      <c r="H738" s="30"/>
      <c r="I738" s="378" t="s">
        <v>73</v>
      </c>
      <c r="J738" s="378"/>
      <c r="K738" s="382"/>
      <c r="M738" s="51"/>
      <c r="N738" s="30"/>
      <c r="O738" s="30"/>
      <c r="P738" s="30"/>
      <c r="Q738" s="30"/>
      <c r="R738" s="30"/>
      <c r="S738" s="30"/>
      <c r="T738" s="30"/>
      <c r="U738" s="378" t="s">
        <v>73</v>
      </c>
      <c r="V738" s="378"/>
      <c r="W738" s="382"/>
    </row>
    <row r="739" spans="1:24" ht="18.75" customHeight="1">
      <c r="A739" s="51"/>
      <c r="B739" s="377"/>
      <c r="C739" s="378"/>
      <c r="D739" s="378"/>
      <c r="E739" s="378"/>
      <c r="F739" s="30"/>
      <c r="G739" s="30"/>
      <c r="H739" s="30"/>
      <c r="I739" s="30"/>
      <c r="J739" s="30"/>
      <c r="K739" s="32"/>
      <c r="M739" s="51"/>
      <c r="N739" s="377"/>
      <c r="O739" s="378"/>
      <c r="P739" s="378"/>
      <c r="Q739" s="378"/>
      <c r="R739" s="30"/>
      <c r="S739" s="30"/>
      <c r="T739" s="30"/>
      <c r="U739" s="30"/>
      <c r="V739" s="30"/>
      <c r="W739" s="32"/>
    </row>
    <row r="740" spans="1:24" ht="18.75" customHeight="1" thickBot="1">
      <c r="A740" s="53"/>
      <c r="B740" s="54"/>
      <c r="C740" s="54"/>
      <c r="D740" s="54"/>
      <c r="E740" s="54"/>
      <c r="F740" s="54"/>
      <c r="G740" s="54"/>
      <c r="H740" s="54"/>
      <c r="I740" s="379" t="s">
        <v>74</v>
      </c>
      <c r="J740" s="379"/>
      <c r="K740" s="380"/>
      <c r="M740" s="53"/>
      <c r="N740" s="54"/>
      <c r="O740" s="54"/>
      <c r="P740" s="54"/>
      <c r="Q740" s="54"/>
      <c r="R740" s="54"/>
      <c r="S740" s="54"/>
      <c r="T740" s="54"/>
      <c r="U740" s="379" t="s">
        <v>74</v>
      </c>
      <c r="V740" s="379"/>
      <c r="W740" s="380"/>
    </row>
    <row r="741" spans="1:24" ht="18.75" customHeight="1" thickTop="1" thickBot="1"/>
    <row r="742" spans="1:24" ht="18.75" customHeight="1" thickTop="1">
      <c r="A742" s="351" t="s">
        <v>160</v>
      </c>
      <c r="B742" s="352"/>
      <c r="C742" s="352"/>
      <c r="D742" s="352"/>
      <c r="E742" s="352"/>
      <c r="F742" s="352"/>
      <c r="G742" s="352"/>
      <c r="H742" s="352"/>
      <c r="I742" s="352"/>
      <c r="J742" s="352"/>
      <c r="K742" s="353"/>
      <c r="L742" s="26">
        <v>25</v>
      </c>
      <c r="M742" s="351" t="s">
        <v>160</v>
      </c>
      <c r="N742" s="352"/>
      <c r="O742" s="352"/>
      <c r="P742" s="352"/>
      <c r="Q742" s="352"/>
      <c r="R742" s="352"/>
      <c r="S742" s="352"/>
      <c r="T742" s="352"/>
      <c r="U742" s="352"/>
      <c r="V742" s="352"/>
      <c r="W742" s="353"/>
      <c r="X742" s="26">
        <v>25</v>
      </c>
    </row>
    <row r="743" spans="1:24" ht="18.75" customHeight="1">
      <c r="A743" s="27" t="s">
        <v>115</v>
      </c>
      <c r="B743" s="28"/>
      <c r="C743" s="28"/>
      <c r="D743" s="28"/>
      <c r="E743" s="28"/>
      <c r="F743" s="28"/>
      <c r="G743" s="28"/>
      <c r="H743" s="28"/>
      <c r="I743" s="28"/>
      <c r="J743" s="28"/>
      <c r="K743" s="29"/>
      <c r="M743" s="27" t="s">
        <v>116</v>
      </c>
      <c r="N743" s="28"/>
      <c r="O743" s="28"/>
      <c r="P743" s="28"/>
      <c r="Q743" s="28"/>
      <c r="R743" s="28"/>
      <c r="S743" s="28"/>
      <c r="T743" s="28"/>
      <c r="U743" s="28"/>
      <c r="V743" s="28"/>
      <c r="W743" s="29"/>
    </row>
    <row r="744" spans="1:24" ht="18.75" customHeight="1">
      <c r="A744" s="354" t="s">
        <v>27</v>
      </c>
      <c r="B744" s="355"/>
      <c r="C744" s="355"/>
      <c r="D744" s="355"/>
      <c r="E744" s="355"/>
      <c r="F744" s="355"/>
      <c r="G744" s="355"/>
      <c r="H744" s="355"/>
      <c r="I744" s="355"/>
      <c r="J744" s="355"/>
      <c r="K744" s="356"/>
      <c r="M744" s="354" t="s">
        <v>27</v>
      </c>
      <c r="N744" s="355"/>
      <c r="O744" s="355"/>
      <c r="P744" s="355"/>
      <c r="Q744" s="355"/>
      <c r="R744" s="355"/>
      <c r="S744" s="355"/>
      <c r="T744" s="355"/>
      <c r="U744" s="355"/>
      <c r="V744" s="355"/>
      <c r="W744" s="356"/>
    </row>
    <row r="745" spans="1:24" ht="18.75" customHeight="1">
      <c r="A745" s="347" t="s">
        <v>28</v>
      </c>
      <c r="B745" s="31"/>
      <c r="C745" s="31"/>
      <c r="D745" s="31"/>
      <c r="E745" s="30" t="s">
        <v>29</v>
      </c>
      <c r="F745" s="348">
        <f>'Bang TH nop'!B89</f>
        <v>0</v>
      </c>
      <c r="G745" s="31"/>
      <c r="H745" s="31"/>
      <c r="I745" s="31"/>
      <c r="J745" s="31"/>
      <c r="K745" s="350"/>
      <c r="M745" s="347" t="s">
        <v>28</v>
      </c>
      <c r="N745" s="31"/>
      <c r="O745" s="31"/>
      <c r="P745" s="31"/>
      <c r="Q745" s="30" t="s">
        <v>29</v>
      </c>
      <c r="R745" s="348">
        <f>'Bang TH nop'!B91</f>
        <v>0</v>
      </c>
      <c r="S745" s="31"/>
      <c r="T745" s="31"/>
      <c r="U745" s="31"/>
      <c r="V745" s="31"/>
      <c r="W745" s="350"/>
    </row>
    <row r="746" spans="1:24" ht="18.75" customHeight="1">
      <c r="A746" s="347" t="s">
        <v>30</v>
      </c>
      <c r="B746" s="31"/>
      <c r="C746" s="31"/>
      <c r="D746" s="31"/>
      <c r="E746" s="30" t="s">
        <v>29</v>
      </c>
      <c r="F746" s="348">
        <f>'Bang TH nop'!C89</f>
        <v>0</v>
      </c>
      <c r="G746" s="348"/>
      <c r="H746" s="348"/>
      <c r="I746" s="348"/>
      <c r="J746" s="348"/>
      <c r="K746" s="349"/>
      <c r="M746" s="347" t="s">
        <v>30</v>
      </c>
      <c r="N746" s="31"/>
      <c r="O746" s="31"/>
      <c r="P746" s="31"/>
      <c r="Q746" s="30" t="s">
        <v>29</v>
      </c>
      <c r="R746" s="348">
        <f>'Bang TH nop'!C91</f>
        <v>0</v>
      </c>
      <c r="S746" s="348"/>
      <c r="T746" s="348"/>
      <c r="U746" s="348"/>
      <c r="V746" s="348"/>
      <c r="W746" s="349"/>
    </row>
    <row r="747" spans="1:24" ht="18.75" customHeight="1">
      <c r="A747" s="347" t="s">
        <v>31</v>
      </c>
      <c r="B747" s="31"/>
      <c r="C747" s="31"/>
      <c r="D747" s="31"/>
      <c r="E747" s="30" t="s">
        <v>29</v>
      </c>
      <c r="F747" s="31" t="str">
        <f>+$L$2</f>
        <v xml:space="preserve">Tổ  </v>
      </c>
      <c r="G747" s="31"/>
      <c r="H747" s="31"/>
      <c r="I747" s="31"/>
      <c r="J747" s="31"/>
      <c r="K747" s="350"/>
      <c r="M747" s="347" t="s">
        <v>31</v>
      </c>
      <c r="N747" s="31"/>
      <c r="O747" s="31"/>
      <c r="P747" s="31"/>
      <c r="Q747" s="30" t="s">
        <v>29</v>
      </c>
      <c r="R747" s="31" t="str">
        <f>+$L$2</f>
        <v xml:space="preserve">Tổ  </v>
      </c>
      <c r="S747" s="31"/>
      <c r="T747" s="31"/>
      <c r="U747" s="31"/>
      <c r="V747" s="31"/>
      <c r="W747" s="350"/>
    </row>
    <row r="748" spans="1:24" ht="18.75" customHeight="1">
      <c r="A748" s="354" t="s">
        <v>32</v>
      </c>
      <c r="B748" s="355"/>
      <c r="C748" s="355"/>
      <c r="D748" s="355"/>
      <c r="E748" s="355"/>
      <c r="F748" s="355"/>
      <c r="G748" s="355"/>
      <c r="H748" s="355"/>
      <c r="I748" s="355"/>
      <c r="J748" s="355"/>
      <c r="K748" s="356"/>
      <c r="M748" s="354" t="s">
        <v>32</v>
      </c>
      <c r="N748" s="355"/>
      <c r="O748" s="355"/>
      <c r="P748" s="355"/>
      <c r="Q748" s="355"/>
      <c r="R748" s="355"/>
      <c r="S748" s="355"/>
      <c r="T748" s="355"/>
      <c r="U748" s="355"/>
      <c r="V748" s="355"/>
      <c r="W748" s="356"/>
    </row>
    <row r="749" spans="1:24" ht="18.75" customHeight="1">
      <c r="A749" s="347" t="s">
        <v>33</v>
      </c>
      <c r="B749" s="31"/>
      <c r="C749" s="31"/>
      <c r="D749" s="31"/>
      <c r="E749" s="30" t="s">
        <v>29</v>
      </c>
      <c r="F749" s="361">
        <f>VLOOKUP(F746,'Bang TH nop'!$C$9:$AP$266,29,0)</f>
        <v>0</v>
      </c>
      <c r="G749" s="361"/>
      <c r="H749" s="361"/>
      <c r="I749" s="361"/>
      <c r="J749" s="30" t="s">
        <v>34</v>
      </c>
      <c r="K749" s="32"/>
      <c r="M749" s="347" t="s">
        <v>33</v>
      </c>
      <c r="N749" s="31"/>
      <c r="O749" s="31"/>
      <c r="P749" s="31"/>
      <c r="Q749" s="30" t="s">
        <v>29</v>
      </c>
      <c r="R749" s="361">
        <f>VLOOKUP(R746,'Bang TH nop'!$C$9:$AP$266,29,0)</f>
        <v>0</v>
      </c>
      <c r="S749" s="361"/>
      <c r="T749" s="361"/>
      <c r="U749" s="361"/>
      <c r="V749" s="30" t="s">
        <v>34</v>
      </c>
      <c r="W749" s="32"/>
    </row>
    <row r="750" spans="1:24" ht="18.75" customHeight="1">
      <c r="A750" s="33" t="s">
        <v>35</v>
      </c>
      <c r="B750" s="30"/>
      <c r="C750" s="34"/>
      <c r="D750" s="35"/>
      <c r="E750" s="36"/>
      <c r="F750" s="36"/>
      <c r="G750" s="36"/>
      <c r="H750" s="30"/>
      <c r="I750" s="37" t="e">
        <f>#REF!</f>
        <v>#REF!</v>
      </c>
      <c r="J750" s="38"/>
      <c r="K750" s="39"/>
      <c r="M750" s="33" t="s">
        <v>35</v>
      </c>
      <c r="N750" s="30"/>
      <c r="O750" s="34"/>
      <c r="P750" s="35"/>
      <c r="Q750" s="36"/>
      <c r="R750" s="36"/>
      <c r="S750" s="36"/>
      <c r="T750" s="30"/>
      <c r="U750" s="37" t="e">
        <f>#REF!</f>
        <v>#REF!</v>
      </c>
      <c r="V750" s="38"/>
      <c r="W750" s="39"/>
    </row>
    <row r="751" spans="1:24" ht="18.75" customHeight="1">
      <c r="A751" s="33" t="s">
        <v>36</v>
      </c>
      <c r="B751" s="30"/>
      <c r="C751" s="34"/>
      <c r="D751" s="35"/>
      <c r="E751" s="36"/>
      <c r="F751" s="36"/>
      <c r="G751" s="36"/>
      <c r="H751" s="30"/>
      <c r="I751" s="37" t="e">
        <f>I752/C752/8</f>
        <v>#REF!</v>
      </c>
      <c r="J751" s="38"/>
      <c r="K751" s="39"/>
      <c r="M751" s="33" t="s">
        <v>36</v>
      </c>
      <c r="N751" s="30"/>
      <c r="O751" s="34"/>
      <c r="P751" s="35"/>
      <c r="Q751" s="36"/>
      <c r="R751" s="36"/>
      <c r="S751" s="36"/>
      <c r="T751" s="30"/>
      <c r="U751" s="37" t="e">
        <f>U752/O752/8</f>
        <v>#REF!</v>
      </c>
      <c r="V751" s="38"/>
      <c r="W751" s="39"/>
    </row>
    <row r="752" spans="1:24" ht="18.75" customHeight="1">
      <c r="A752" s="33" t="s">
        <v>37</v>
      </c>
      <c r="B752" s="30" t="s">
        <v>29</v>
      </c>
      <c r="C752" s="34" t="e">
        <f>#REF!</f>
        <v>#REF!</v>
      </c>
      <c r="D752" s="35" t="s">
        <v>38</v>
      </c>
      <c r="E752" s="359" t="s">
        <v>39</v>
      </c>
      <c r="F752" s="359"/>
      <c r="G752" s="359"/>
      <c r="H752" s="30" t="s">
        <v>29</v>
      </c>
      <c r="I752" s="360" t="e">
        <f>#REF!</f>
        <v>#REF!</v>
      </c>
      <c r="J752" s="360"/>
      <c r="K752" s="39" t="s">
        <v>34</v>
      </c>
      <c r="L752" s="40" t="e">
        <f>F749/L742*C752</f>
        <v>#REF!</v>
      </c>
      <c r="M752" s="33" t="s">
        <v>37</v>
      </c>
      <c r="N752" s="30" t="s">
        <v>29</v>
      </c>
      <c r="O752" s="34" t="e">
        <f>#REF!</f>
        <v>#REF!</v>
      </c>
      <c r="P752" s="35" t="s">
        <v>38</v>
      </c>
      <c r="Q752" s="359" t="s">
        <v>39</v>
      </c>
      <c r="R752" s="359"/>
      <c r="S752" s="359"/>
      <c r="T752" s="30" t="s">
        <v>29</v>
      </c>
      <c r="U752" s="360" t="e">
        <f>#REF!</f>
        <v>#REF!</v>
      </c>
      <c r="V752" s="360"/>
      <c r="W752" s="39" t="s">
        <v>34</v>
      </c>
      <c r="X752" s="40" t="e">
        <f>R749/X742*O752</f>
        <v>#REF!</v>
      </c>
    </row>
    <row r="753" spans="1:24" ht="18.75" customHeight="1">
      <c r="A753" s="33" t="s">
        <v>40</v>
      </c>
      <c r="B753" s="30" t="s">
        <v>29</v>
      </c>
      <c r="C753" s="34" t="e">
        <f>#REF!</f>
        <v>#REF!</v>
      </c>
      <c r="D753" s="35" t="s">
        <v>38</v>
      </c>
      <c r="E753" s="31" t="s">
        <v>41</v>
      </c>
      <c r="F753" s="31"/>
      <c r="G753" s="31"/>
      <c r="H753" s="30" t="s">
        <v>29</v>
      </c>
      <c r="I753" s="358" t="e">
        <f>$F$8/$L$1*C753</f>
        <v>#REF!</v>
      </c>
      <c r="J753" s="358"/>
      <c r="K753" s="39" t="s">
        <v>34</v>
      </c>
      <c r="L753" s="40"/>
      <c r="M753" s="33" t="s">
        <v>40</v>
      </c>
      <c r="N753" s="30" t="s">
        <v>29</v>
      </c>
      <c r="O753" s="34" t="e">
        <f>#REF!</f>
        <v>#REF!</v>
      </c>
      <c r="P753" s="35" t="s">
        <v>38</v>
      </c>
      <c r="Q753" s="31" t="s">
        <v>41</v>
      </c>
      <c r="R753" s="31"/>
      <c r="S753" s="31"/>
      <c r="T753" s="30" t="s">
        <v>29</v>
      </c>
      <c r="U753" s="358" t="e">
        <f>$F$8/$L$1*O753</f>
        <v>#REF!</v>
      </c>
      <c r="V753" s="358"/>
      <c r="W753" s="39" t="s">
        <v>34</v>
      </c>
      <c r="X753" s="40"/>
    </row>
    <row r="754" spans="1:24" ht="18.75" customHeight="1">
      <c r="A754" s="33" t="s">
        <v>42</v>
      </c>
      <c r="B754" s="30" t="s">
        <v>29</v>
      </c>
      <c r="C754" s="34" t="e">
        <f>#REF!</f>
        <v>#REF!</v>
      </c>
      <c r="D754" s="35" t="s">
        <v>38</v>
      </c>
      <c r="E754" s="357" t="s">
        <v>43</v>
      </c>
      <c r="F754" s="357"/>
      <c r="G754" s="357"/>
      <c r="H754" s="30" t="s">
        <v>29</v>
      </c>
      <c r="I754" s="358" t="e">
        <f>$F$8/$L$1*C754</f>
        <v>#REF!</v>
      </c>
      <c r="J754" s="358"/>
      <c r="K754" s="39" t="s">
        <v>34</v>
      </c>
      <c r="L754" s="40"/>
      <c r="M754" s="33" t="s">
        <v>42</v>
      </c>
      <c r="N754" s="30" t="s">
        <v>29</v>
      </c>
      <c r="O754" s="34" t="e">
        <f>#REF!</f>
        <v>#REF!</v>
      </c>
      <c r="P754" s="35" t="s">
        <v>38</v>
      </c>
      <c r="Q754" s="357" t="s">
        <v>43</v>
      </c>
      <c r="R754" s="357"/>
      <c r="S754" s="357"/>
      <c r="T754" s="30" t="s">
        <v>29</v>
      </c>
      <c r="U754" s="358" t="e">
        <f>$F$8/$L$1*O754</f>
        <v>#REF!</v>
      </c>
      <c r="V754" s="358"/>
      <c r="W754" s="39" t="s">
        <v>34</v>
      </c>
      <c r="X754" s="40"/>
    </row>
    <row r="755" spans="1:24" ht="18.75" customHeight="1">
      <c r="A755" s="33" t="s">
        <v>44</v>
      </c>
      <c r="B755" s="30" t="s">
        <v>29</v>
      </c>
      <c r="C755" s="34" t="e">
        <f>#REF!</f>
        <v>#REF!</v>
      </c>
      <c r="D755" s="35" t="s">
        <v>38</v>
      </c>
      <c r="E755" s="357" t="s">
        <v>45</v>
      </c>
      <c r="F755" s="357"/>
      <c r="G755" s="357"/>
      <c r="H755" s="30" t="s">
        <v>29</v>
      </c>
      <c r="I755" s="358" t="e">
        <f>$F$8/$L$1*C755</f>
        <v>#REF!</v>
      </c>
      <c r="J755" s="358"/>
      <c r="K755" s="39" t="s">
        <v>34</v>
      </c>
      <c r="L755" s="40"/>
      <c r="M755" s="33" t="s">
        <v>44</v>
      </c>
      <c r="N755" s="30" t="s">
        <v>29</v>
      </c>
      <c r="O755" s="34" t="e">
        <f>#REF!</f>
        <v>#REF!</v>
      </c>
      <c r="P755" s="35" t="s">
        <v>38</v>
      </c>
      <c r="Q755" s="357" t="s">
        <v>45</v>
      </c>
      <c r="R755" s="357"/>
      <c r="S755" s="357"/>
      <c r="T755" s="30" t="s">
        <v>29</v>
      </c>
      <c r="U755" s="358" t="e">
        <f>$F$8/$L$1*O755</f>
        <v>#REF!</v>
      </c>
      <c r="V755" s="358"/>
      <c r="W755" s="39" t="s">
        <v>34</v>
      </c>
      <c r="X755" s="40"/>
    </row>
    <row r="756" spans="1:24" ht="18.75" customHeight="1">
      <c r="A756" s="33" t="s">
        <v>46</v>
      </c>
      <c r="B756" s="30" t="s">
        <v>29</v>
      </c>
      <c r="C756" s="34" t="e">
        <f>#REF!</f>
        <v>#REF!</v>
      </c>
      <c r="D756" s="35" t="s">
        <v>47</v>
      </c>
      <c r="E756" s="31" t="s">
        <v>48</v>
      </c>
      <c r="F756" s="31"/>
      <c r="G756" s="31"/>
      <c r="H756" s="30" t="s">
        <v>29</v>
      </c>
      <c r="I756" s="358" t="e">
        <f>#REF!</f>
        <v>#REF!</v>
      </c>
      <c r="J756" s="358"/>
      <c r="K756" s="39" t="s">
        <v>34</v>
      </c>
      <c r="L756" s="40" t="e">
        <f>F749*C756/L742/8*1.5</f>
        <v>#REF!</v>
      </c>
      <c r="M756" s="33" t="s">
        <v>46</v>
      </c>
      <c r="N756" s="30" t="s">
        <v>29</v>
      </c>
      <c r="O756" s="34" t="e">
        <f>#REF!</f>
        <v>#REF!</v>
      </c>
      <c r="P756" s="35" t="s">
        <v>47</v>
      </c>
      <c r="Q756" s="31" t="s">
        <v>48</v>
      </c>
      <c r="R756" s="31"/>
      <c r="S756" s="31"/>
      <c r="T756" s="30" t="s">
        <v>29</v>
      </c>
      <c r="U756" s="358" t="e">
        <f>#REF!</f>
        <v>#REF!</v>
      </c>
      <c r="V756" s="358"/>
      <c r="W756" s="39" t="s">
        <v>34</v>
      </c>
      <c r="X756" s="40" t="e">
        <f>R749*O756/X742/8*1.5</f>
        <v>#REF!</v>
      </c>
    </row>
    <row r="757" spans="1:24" ht="18.75" customHeight="1">
      <c r="A757" s="347" t="s">
        <v>49</v>
      </c>
      <c r="B757" s="31"/>
      <c r="C757" s="34"/>
      <c r="D757" s="35" t="s">
        <v>38</v>
      </c>
      <c r="E757" s="31" t="s">
        <v>50</v>
      </c>
      <c r="F757" s="31"/>
      <c r="G757" s="31"/>
      <c r="H757" s="41" t="s">
        <v>29</v>
      </c>
      <c r="I757" s="358"/>
      <c r="J757" s="358"/>
      <c r="K757" s="39" t="s">
        <v>34</v>
      </c>
      <c r="L757" s="40"/>
      <c r="M757" s="347" t="s">
        <v>49</v>
      </c>
      <c r="N757" s="31"/>
      <c r="O757" s="34"/>
      <c r="P757" s="35" t="s">
        <v>38</v>
      </c>
      <c r="Q757" s="31" t="s">
        <v>50</v>
      </c>
      <c r="R757" s="31"/>
      <c r="S757" s="31"/>
      <c r="T757" s="41" t="s">
        <v>29</v>
      </c>
      <c r="U757" s="358"/>
      <c r="V757" s="358"/>
      <c r="W757" s="39" t="s">
        <v>34</v>
      </c>
      <c r="X757" s="40"/>
    </row>
    <row r="758" spans="1:24" ht="18.75" customHeight="1">
      <c r="A758" s="33" t="s">
        <v>51</v>
      </c>
      <c r="B758" s="30" t="s">
        <v>29</v>
      </c>
      <c r="C758" s="34"/>
      <c r="D758" s="35" t="s">
        <v>38</v>
      </c>
      <c r="E758" s="31" t="s">
        <v>52</v>
      </c>
      <c r="F758" s="31"/>
      <c r="G758" s="31"/>
      <c r="H758" s="30" t="s">
        <v>29</v>
      </c>
      <c r="I758" s="358"/>
      <c r="J758" s="358"/>
      <c r="K758" s="39" t="s">
        <v>34</v>
      </c>
      <c r="L758" s="40"/>
      <c r="M758" s="33" t="s">
        <v>51</v>
      </c>
      <c r="N758" s="30" t="s">
        <v>29</v>
      </c>
      <c r="O758" s="34"/>
      <c r="P758" s="35" t="s">
        <v>38</v>
      </c>
      <c r="Q758" s="31" t="s">
        <v>52</v>
      </c>
      <c r="R758" s="31"/>
      <c r="S758" s="31"/>
      <c r="T758" s="30" t="s">
        <v>29</v>
      </c>
      <c r="U758" s="358"/>
      <c r="V758" s="358"/>
      <c r="W758" s="39" t="s">
        <v>34</v>
      </c>
      <c r="X758" s="40"/>
    </row>
    <row r="759" spans="1:24" ht="18.75" customHeight="1">
      <c r="A759" s="42" t="s">
        <v>53</v>
      </c>
      <c r="B759" s="30"/>
      <c r="C759" s="34" t="e">
        <f>#REF!</f>
        <v>#REF!</v>
      </c>
      <c r="D759" s="35" t="s">
        <v>47</v>
      </c>
      <c r="E759" s="31" t="s">
        <v>54</v>
      </c>
      <c r="F759" s="31"/>
      <c r="G759" s="31"/>
      <c r="H759" s="30" t="s">
        <v>29</v>
      </c>
      <c r="I759" s="358" t="e">
        <f>$F$8*C759/8/$L$1</f>
        <v>#REF!</v>
      </c>
      <c r="J759" s="358"/>
      <c r="K759" s="39" t="s">
        <v>34</v>
      </c>
      <c r="L759" s="40"/>
      <c r="M759" s="42" t="s">
        <v>53</v>
      </c>
      <c r="N759" s="30"/>
      <c r="O759" s="34" t="e">
        <f>#REF!</f>
        <v>#REF!</v>
      </c>
      <c r="P759" s="35" t="s">
        <v>47</v>
      </c>
      <c r="Q759" s="31" t="s">
        <v>54</v>
      </c>
      <c r="R759" s="31"/>
      <c r="S759" s="31"/>
      <c r="T759" s="30" t="s">
        <v>29</v>
      </c>
      <c r="U759" s="358" t="e">
        <f>$F$8*O759/8/$L$1</f>
        <v>#REF!</v>
      </c>
      <c r="V759" s="358"/>
      <c r="W759" s="39" t="s">
        <v>34</v>
      </c>
      <c r="X759" s="40"/>
    </row>
    <row r="760" spans="1:24" ht="18.75" customHeight="1">
      <c r="A760" s="33" t="s">
        <v>55</v>
      </c>
      <c r="B760" s="30" t="s">
        <v>29</v>
      </c>
      <c r="C760" s="34"/>
      <c r="D760" s="35" t="s">
        <v>47</v>
      </c>
      <c r="E760" s="31" t="s">
        <v>56</v>
      </c>
      <c r="F760" s="31"/>
      <c r="G760" s="31"/>
      <c r="H760" s="30" t="s">
        <v>29</v>
      </c>
      <c r="I760" s="360"/>
      <c r="J760" s="360"/>
      <c r="K760" s="39" t="s">
        <v>34</v>
      </c>
      <c r="L760" s="40"/>
      <c r="M760" s="33" t="s">
        <v>55</v>
      </c>
      <c r="N760" s="30" t="s">
        <v>29</v>
      </c>
      <c r="O760" s="34"/>
      <c r="P760" s="35" t="s">
        <v>47</v>
      </c>
      <c r="Q760" s="31" t="s">
        <v>56</v>
      </c>
      <c r="R760" s="31"/>
      <c r="S760" s="31"/>
      <c r="T760" s="30" t="s">
        <v>29</v>
      </c>
      <c r="U760" s="360"/>
      <c r="V760" s="360"/>
      <c r="W760" s="39" t="s">
        <v>34</v>
      </c>
      <c r="X760" s="40"/>
    </row>
    <row r="761" spans="1:24" ht="18.75" customHeight="1">
      <c r="A761" s="33" t="s">
        <v>57</v>
      </c>
      <c r="B761" s="30" t="s">
        <v>29</v>
      </c>
      <c r="C761" s="34"/>
      <c r="D761" s="35" t="s">
        <v>58</v>
      </c>
      <c r="E761" s="31" t="s">
        <v>59</v>
      </c>
      <c r="F761" s="31"/>
      <c r="G761" s="31"/>
      <c r="H761" s="30" t="s">
        <v>29</v>
      </c>
      <c r="I761" s="358"/>
      <c r="J761" s="358"/>
      <c r="K761" s="39" t="s">
        <v>34</v>
      </c>
      <c r="L761" s="40" t="e">
        <f>+IF(L752-I752&lt;0,0,L752-I752)+IF(L756-I756&lt;0,0,L756-I756)</f>
        <v>#REF!</v>
      </c>
      <c r="M761" s="33" t="s">
        <v>57</v>
      </c>
      <c r="N761" s="30" t="s">
        <v>29</v>
      </c>
      <c r="O761" s="34"/>
      <c r="P761" s="35" t="s">
        <v>58</v>
      </c>
      <c r="Q761" s="31" t="s">
        <v>59</v>
      </c>
      <c r="R761" s="31"/>
      <c r="S761" s="31"/>
      <c r="T761" s="30" t="s">
        <v>29</v>
      </c>
      <c r="U761" s="358"/>
      <c r="V761" s="358"/>
      <c r="W761" s="39" t="s">
        <v>34</v>
      </c>
      <c r="X761" s="40" t="e">
        <f>+IF(X752-U752&lt;0,0,X752-U752)+IF(X756-U756&lt;0,0,X756-U756)</f>
        <v>#REF!</v>
      </c>
    </row>
    <row r="762" spans="1:24" ht="18.75" customHeight="1">
      <c r="A762" s="43" t="s">
        <v>60</v>
      </c>
      <c r="B762" s="44"/>
      <c r="C762" s="34"/>
      <c r="D762" s="35" t="s">
        <v>38</v>
      </c>
      <c r="E762" s="31" t="s">
        <v>61</v>
      </c>
      <c r="F762" s="31"/>
      <c r="G762" s="31"/>
      <c r="H762" s="30" t="s">
        <v>29</v>
      </c>
      <c r="I762" s="358"/>
      <c r="J762" s="358"/>
      <c r="K762" s="39" t="s">
        <v>34</v>
      </c>
      <c r="L762" s="40"/>
      <c r="M762" s="43" t="s">
        <v>60</v>
      </c>
      <c r="N762" s="44"/>
      <c r="O762" s="34"/>
      <c r="P762" s="35" t="s">
        <v>38</v>
      </c>
      <c r="Q762" s="31" t="s">
        <v>61</v>
      </c>
      <c r="R762" s="31"/>
      <c r="S762" s="31"/>
      <c r="T762" s="30" t="s">
        <v>29</v>
      </c>
      <c r="U762" s="358"/>
      <c r="V762" s="358"/>
      <c r="W762" s="39" t="s">
        <v>34</v>
      </c>
      <c r="X762" s="40"/>
    </row>
    <row r="763" spans="1:24" ht="18.75" customHeight="1">
      <c r="A763" s="383" t="s">
        <v>62</v>
      </c>
      <c r="B763" s="359"/>
      <c r="C763" s="34"/>
      <c r="D763" s="35"/>
      <c r="E763" s="36"/>
      <c r="F763" s="36"/>
      <c r="G763" s="36"/>
      <c r="H763" s="30" t="s">
        <v>29</v>
      </c>
      <c r="I763" s="358" t="e">
        <f>#REF!</f>
        <v>#REF!</v>
      </c>
      <c r="J763" s="358"/>
      <c r="K763" s="39" t="s">
        <v>34</v>
      </c>
      <c r="L763" s="40"/>
      <c r="M763" s="383" t="s">
        <v>62</v>
      </c>
      <c r="N763" s="359"/>
      <c r="O763" s="34"/>
      <c r="P763" s="35"/>
      <c r="Q763" s="36"/>
      <c r="R763" s="36"/>
      <c r="S763" s="36"/>
      <c r="T763" s="30" t="s">
        <v>29</v>
      </c>
      <c r="U763" s="358" t="e">
        <f>#REF!</f>
        <v>#REF!</v>
      </c>
      <c r="V763" s="358"/>
      <c r="W763" s="39" t="s">
        <v>34</v>
      </c>
      <c r="X763" s="40"/>
    </row>
    <row r="764" spans="1:24" ht="18.75" customHeight="1">
      <c r="A764" s="33" t="s">
        <v>63</v>
      </c>
      <c r="B764" s="30" t="s">
        <v>29</v>
      </c>
      <c r="C764" s="34"/>
      <c r="D764" s="35"/>
      <c r="E764" s="36" t="s">
        <v>64</v>
      </c>
      <c r="F764" s="36"/>
      <c r="G764" s="36"/>
      <c r="H764" s="30" t="s">
        <v>29</v>
      </c>
      <c r="I764" s="358" t="e">
        <f>L761</f>
        <v>#REF!</v>
      </c>
      <c r="J764" s="358"/>
      <c r="K764" s="39" t="s">
        <v>34</v>
      </c>
      <c r="L764" s="40"/>
      <c r="M764" s="33" t="s">
        <v>63</v>
      </c>
      <c r="N764" s="30" t="s">
        <v>29</v>
      </c>
      <c r="O764" s="34"/>
      <c r="P764" s="35"/>
      <c r="Q764" s="36" t="s">
        <v>64</v>
      </c>
      <c r="R764" s="36"/>
      <c r="S764" s="36"/>
      <c r="T764" s="30" t="s">
        <v>29</v>
      </c>
      <c r="U764" s="358" t="e">
        <f>X761</f>
        <v>#REF!</v>
      </c>
      <c r="V764" s="358"/>
      <c r="W764" s="39" t="s">
        <v>34</v>
      </c>
      <c r="X764" s="40"/>
    </row>
    <row r="765" spans="1:24" ht="18.75" customHeight="1">
      <c r="A765" s="362" t="s">
        <v>65</v>
      </c>
      <c r="B765" s="363"/>
      <c r="C765" s="363"/>
      <c r="D765" s="363"/>
      <c r="E765" s="363"/>
      <c r="F765" s="363"/>
      <c r="G765" s="30" t="s">
        <v>29</v>
      </c>
      <c r="H765" s="364" t="e">
        <f>I752+I753+I754+I755+I756+I759+I763+I764+I757+I758+I760+I761+I762+C763</f>
        <v>#REF!</v>
      </c>
      <c r="I765" s="365"/>
      <c r="J765" s="365"/>
      <c r="K765" s="39" t="s">
        <v>34</v>
      </c>
      <c r="M765" s="362" t="s">
        <v>65</v>
      </c>
      <c r="N765" s="363"/>
      <c r="O765" s="363"/>
      <c r="P765" s="363"/>
      <c r="Q765" s="363"/>
      <c r="R765" s="363"/>
      <c r="S765" s="30" t="s">
        <v>29</v>
      </c>
      <c r="T765" s="364" t="e">
        <f>U752+U753+U754+U755+U756+U759+U763+U764+U757+U758+U760+U761+U762+O763</f>
        <v>#REF!</v>
      </c>
      <c r="U765" s="365"/>
      <c r="V765" s="365"/>
      <c r="W765" s="39" t="s">
        <v>34</v>
      </c>
    </row>
    <row r="766" spans="1:24" ht="18.75" customHeight="1">
      <c r="A766" s="45"/>
      <c r="B766" s="46"/>
      <c r="C766" s="46"/>
      <c r="D766" s="46"/>
      <c r="E766" s="46"/>
      <c r="F766" s="46"/>
      <c r="G766" s="46"/>
      <c r="H766" s="46"/>
      <c r="I766" s="46"/>
      <c r="J766" s="46"/>
      <c r="K766" s="47"/>
      <c r="M766" s="45"/>
      <c r="N766" s="46"/>
      <c r="O766" s="46"/>
      <c r="P766" s="46"/>
      <c r="Q766" s="46"/>
      <c r="R766" s="46"/>
      <c r="S766" s="46"/>
      <c r="T766" s="46"/>
      <c r="U766" s="46"/>
      <c r="V766" s="46"/>
      <c r="W766" s="47"/>
    </row>
    <row r="767" spans="1:24" ht="18.75" customHeight="1">
      <c r="A767" s="374" t="s">
        <v>66</v>
      </c>
      <c r="B767" s="375"/>
      <c r="C767" s="375"/>
      <c r="D767" s="375"/>
      <c r="E767" s="375"/>
      <c r="F767" s="375"/>
      <c r="G767" s="30"/>
      <c r="H767" s="30"/>
      <c r="I767" s="30"/>
      <c r="J767" s="30"/>
      <c r="K767" s="39"/>
      <c r="M767" s="374" t="s">
        <v>66</v>
      </c>
      <c r="N767" s="375"/>
      <c r="O767" s="375"/>
      <c r="P767" s="375"/>
      <c r="Q767" s="375"/>
      <c r="R767" s="375"/>
      <c r="S767" s="30"/>
      <c r="T767" s="30"/>
      <c r="U767" s="30"/>
      <c r="V767" s="30"/>
      <c r="W767" s="39"/>
    </row>
    <row r="768" spans="1:24" ht="18.75" customHeight="1">
      <c r="A768" s="368" t="s">
        <v>67</v>
      </c>
      <c r="B768" s="369"/>
      <c r="C768" s="369"/>
      <c r="D768" s="369"/>
      <c r="E768" s="369"/>
      <c r="F768" s="369"/>
      <c r="G768" s="30" t="s">
        <v>29</v>
      </c>
      <c r="H768" s="376" t="e">
        <f>IF(($L$1-(C752+C753+C754+C755))&gt;12,0,F749*8%)</f>
        <v>#REF!</v>
      </c>
      <c r="I768" s="376"/>
      <c r="J768" s="376"/>
      <c r="K768" s="39" t="s">
        <v>34</v>
      </c>
      <c r="M768" s="368" t="s">
        <v>67</v>
      </c>
      <c r="N768" s="369"/>
      <c r="O768" s="369"/>
      <c r="P768" s="369"/>
      <c r="Q768" s="369"/>
      <c r="R768" s="369"/>
      <c r="S768" s="30" t="s">
        <v>29</v>
      </c>
      <c r="T768" s="376" t="e">
        <f>IF(($L$1-(O752+O753+O754+O755))&gt;12,0,R749*8%)</f>
        <v>#REF!</v>
      </c>
      <c r="U768" s="376"/>
      <c r="V768" s="376"/>
      <c r="W768" s="39" t="s">
        <v>34</v>
      </c>
    </row>
    <row r="769" spans="1:24" ht="18.75" customHeight="1">
      <c r="A769" s="368" t="s">
        <v>68</v>
      </c>
      <c r="B769" s="369"/>
      <c r="C769" s="369"/>
      <c r="D769" s="369"/>
      <c r="E769" s="369"/>
      <c r="F769" s="369"/>
      <c r="G769" s="30" t="s">
        <v>29</v>
      </c>
      <c r="H769" s="370" t="e">
        <f>IF(($L$1-(C752+C753+C754+C755))&gt;12,0,F749*1.5%)</f>
        <v>#REF!</v>
      </c>
      <c r="I769" s="370"/>
      <c r="J769" s="370"/>
      <c r="K769" s="39" t="s">
        <v>34</v>
      </c>
      <c r="M769" s="368" t="s">
        <v>68</v>
      </c>
      <c r="N769" s="369"/>
      <c r="O769" s="369"/>
      <c r="P769" s="369"/>
      <c r="Q769" s="369"/>
      <c r="R769" s="369"/>
      <c r="S769" s="30" t="s">
        <v>29</v>
      </c>
      <c r="T769" s="370" t="e">
        <f>IF(($L$1-(O752+O753+O754+O755))&gt;12,0,R749*1.5%)</f>
        <v>#REF!</v>
      </c>
      <c r="U769" s="370"/>
      <c r="V769" s="370"/>
      <c r="W769" s="39" t="s">
        <v>34</v>
      </c>
    </row>
    <row r="770" spans="1:24" ht="18.75" customHeight="1">
      <c r="A770" s="368" t="s">
        <v>69</v>
      </c>
      <c r="B770" s="369"/>
      <c r="C770" s="369"/>
      <c r="D770" s="369"/>
      <c r="E770" s="369"/>
      <c r="F770" s="369"/>
      <c r="G770" s="30" t="s">
        <v>29</v>
      </c>
      <c r="H770" s="370" t="e">
        <f>IF(($L$1-(C752+C753+C754+C755))&gt;12,0,F749*1%)</f>
        <v>#REF!</v>
      </c>
      <c r="I770" s="370"/>
      <c r="J770" s="370"/>
      <c r="K770" s="39" t="s">
        <v>34</v>
      </c>
      <c r="M770" s="368" t="s">
        <v>69</v>
      </c>
      <c r="N770" s="369"/>
      <c r="O770" s="369"/>
      <c r="P770" s="369"/>
      <c r="Q770" s="369"/>
      <c r="R770" s="369"/>
      <c r="S770" s="30" t="s">
        <v>29</v>
      </c>
      <c r="T770" s="370" t="e">
        <f>IF(($L$1-(O752+O753+O754+O755))&gt;12,0,R749*1%)</f>
        <v>#REF!</v>
      </c>
      <c r="U770" s="370"/>
      <c r="V770" s="370"/>
      <c r="W770" s="39" t="s">
        <v>34</v>
      </c>
    </row>
    <row r="771" spans="1:24" ht="18.75" customHeight="1">
      <c r="A771" s="368" t="s">
        <v>70</v>
      </c>
      <c r="B771" s="369"/>
      <c r="C771" s="369"/>
      <c r="D771" s="369"/>
      <c r="E771" s="369"/>
      <c r="F771" s="369"/>
      <c r="G771" s="30" t="s">
        <v>29</v>
      </c>
      <c r="H771" s="370">
        <v>0</v>
      </c>
      <c r="I771" s="370"/>
      <c r="J771" s="370"/>
      <c r="K771" s="39" t="s">
        <v>34</v>
      </c>
      <c r="M771" s="368" t="s">
        <v>70</v>
      </c>
      <c r="N771" s="369"/>
      <c r="O771" s="369"/>
      <c r="P771" s="369"/>
      <c r="Q771" s="369"/>
      <c r="R771" s="369"/>
      <c r="S771" s="30" t="s">
        <v>29</v>
      </c>
      <c r="T771" s="370">
        <v>0</v>
      </c>
      <c r="U771" s="370"/>
      <c r="V771" s="370"/>
      <c r="W771" s="39" t="s">
        <v>34</v>
      </c>
    </row>
    <row r="772" spans="1:24" ht="18.75" customHeight="1">
      <c r="A772" s="371" t="s">
        <v>71</v>
      </c>
      <c r="B772" s="372"/>
      <c r="C772" s="372"/>
      <c r="D772" s="372"/>
      <c r="E772" s="372"/>
      <c r="F772" s="372"/>
      <c r="G772" s="30" t="s">
        <v>29</v>
      </c>
      <c r="H772" s="373" t="e">
        <f>SUM(H768:J771)</f>
        <v>#REF!</v>
      </c>
      <c r="I772" s="373"/>
      <c r="J772" s="373"/>
      <c r="K772" s="39" t="s">
        <v>34</v>
      </c>
      <c r="M772" s="371" t="s">
        <v>71</v>
      </c>
      <c r="N772" s="372"/>
      <c r="O772" s="372"/>
      <c r="P772" s="372"/>
      <c r="Q772" s="372"/>
      <c r="R772" s="372"/>
      <c r="S772" s="30" t="s">
        <v>29</v>
      </c>
      <c r="T772" s="373" t="e">
        <f>SUM(T768:V771)</f>
        <v>#REF!</v>
      </c>
      <c r="U772" s="373"/>
      <c r="V772" s="373"/>
      <c r="W772" s="39" t="s">
        <v>34</v>
      </c>
    </row>
    <row r="773" spans="1:24" ht="18.75" customHeight="1">
      <c r="A773" s="368" t="s">
        <v>72</v>
      </c>
      <c r="B773" s="369"/>
      <c r="C773" s="369"/>
      <c r="D773" s="369"/>
      <c r="E773" s="369"/>
      <c r="F773" s="369"/>
      <c r="G773" s="30" t="s">
        <v>29</v>
      </c>
      <c r="H773" s="381" t="e">
        <f>ROUND(H765-H772,-2)</f>
        <v>#REF!</v>
      </c>
      <c r="I773" s="381"/>
      <c r="J773" s="381"/>
      <c r="K773" s="39" t="s">
        <v>34</v>
      </c>
      <c r="M773" s="368" t="s">
        <v>72</v>
      </c>
      <c r="N773" s="369"/>
      <c r="O773" s="369"/>
      <c r="P773" s="369"/>
      <c r="Q773" s="369"/>
      <c r="R773" s="369"/>
      <c r="S773" s="30" t="s">
        <v>29</v>
      </c>
      <c r="T773" s="381" t="e">
        <f>ROUND(T765-T772,-2)</f>
        <v>#REF!</v>
      </c>
      <c r="U773" s="381"/>
      <c r="V773" s="381"/>
      <c r="W773" s="39" t="s">
        <v>34</v>
      </c>
    </row>
    <row r="774" spans="1:24" ht="18.75" customHeight="1">
      <c r="A774" s="48"/>
      <c r="B774" s="49"/>
      <c r="C774" s="49"/>
      <c r="D774" s="49"/>
      <c r="E774" s="49"/>
      <c r="F774" s="49"/>
      <c r="G774" s="49"/>
      <c r="H774" s="49"/>
      <c r="I774" s="49"/>
      <c r="J774" s="49"/>
      <c r="K774" s="50"/>
      <c r="M774" s="48"/>
      <c r="N774" s="49"/>
      <c r="O774" s="49"/>
      <c r="P774" s="49"/>
      <c r="Q774" s="49"/>
      <c r="R774" s="49"/>
      <c r="S774" s="49"/>
      <c r="T774" s="49"/>
      <c r="U774" s="49"/>
      <c r="V774" s="49"/>
      <c r="W774" s="50"/>
    </row>
    <row r="775" spans="1:24" ht="18.75" customHeight="1">
      <c r="A775" s="51"/>
      <c r="B775" s="30"/>
      <c r="C775" s="30"/>
      <c r="D775" s="30"/>
      <c r="E775" s="30"/>
      <c r="F775" s="30"/>
      <c r="G775" s="30"/>
      <c r="H775" s="30"/>
      <c r="I775" s="378" t="s">
        <v>73</v>
      </c>
      <c r="J775" s="378"/>
      <c r="K775" s="382"/>
      <c r="M775" s="51"/>
      <c r="N775" s="30"/>
      <c r="O775" s="30"/>
      <c r="P775" s="30"/>
      <c r="Q775" s="30"/>
      <c r="R775" s="30"/>
      <c r="S775" s="30"/>
      <c r="T775" s="30"/>
      <c r="U775" s="378" t="s">
        <v>73</v>
      </c>
      <c r="V775" s="378"/>
      <c r="W775" s="382"/>
    </row>
    <row r="776" spans="1:24" ht="18.75" customHeight="1">
      <c r="A776" s="51"/>
      <c r="B776" s="377"/>
      <c r="C776" s="378"/>
      <c r="D776" s="378"/>
      <c r="E776" s="378"/>
      <c r="F776" s="30"/>
      <c r="G776" s="30"/>
      <c r="H776" s="30"/>
      <c r="I776" s="30"/>
      <c r="J776" s="30"/>
      <c r="K776" s="32"/>
      <c r="M776" s="51"/>
      <c r="N776" s="377"/>
      <c r="O776" s="378"/>
      <c r="P776" s="378"/>
      <c r="Q776" s="378"/>
      <c r="R776" s="30"/>
      <c r="S776" s="30"/>
      <c r="T776" s="30"/>
      <c r="U776" s="30"/>
      <c r="V776" s="30"/>
      <c r="W776" s="32"/>
    </row>
    <row r="777" spans="1:24" ht="18.75" customHeight="1" thickBot="1">
      <c r="A777" s="53"/>
      <c r="B777" s="54"/>
      <c r="C777" s="54"/>
      <c r="D777" s="54"/>
      <c r="E777" s="54"/>
      <c r="F777" s="54"/>
      <c r="G777" s="54"/>
      <c r="H777" s="54"/>
      <c r="I777" s="379" t="s">
        <v>74</v>
      </c>
      <c r="J777" s="379"/>
      <c r="K777" s="380"/>
      <c r="M777" s="53"/>
      <c r="N777" s="54"/>
      <c r="O777" s="54"/>
      <c r="P777" s="54"/>
      <c r="Q777" s="54"/>
      <c r="R777" s="54"/>
      <c r="S777" s="54"/>
      <c r="T777" s="54"/>
      <c r="U777" s="379" t="s">
        <v>74</v>
      </c>
      <c r="V777" s="379"/>
      <c r="W777" s="380"/>
    </row>
    <row r="778" spans="1:24" ht="18.75" customHeight="1" thickTop="1" thickBot="1"/>
    <row r="779" spans="1:24" ht="18.75" customHeight="1" thickTop="1">
      <c r="A779" s="351" t="s">
        <v>160</v>
      </c>
      <c r="B779" s="352"/>
      <c r="C779" s="352"/>
      <c r="D779" s="352"/>
      <c r="E779" s="352"/>
      <c r="F779" s="352"/>
      <c r="G779" s="352"/>
      <c r="H779" s="352"/>
      <c r="I779" s="352"/>
      <c r="J779" s="352"/>
      <c r="K779" s="353"/>
      <c r="L779" s="26">
        <v>25</v>
      </c>
      <c r="M779" s="351" t="s">
        <v>160</v>
      </c>
      <c r="N779" s="352"/>
      <c r="O779" s="352"/>
      <c r="P779" s="352"/>
      <c r="Q779" s="352"/>
      <c r="R779" s="352"/>
      <c r="S779" s="352"/>
      <c r="T779" s="352"/>
      <c r="U779" s="352"/>
      <c r="V779" s="352"/>
      <c r="W779" s="353"/>
      <c r="X779" s="26">
        <v>25</v>
      </c>
    </row>
    <row r="780" spans="1:24" ht="18.75" customHeight="1">
      <c r="A780" s="27" t="s">
        <v>117</v>
      </c>
      <c r="B780" s="28"/>
      <c r="C780" s="28"/>
      <c r="D780" s="28"/>
      <c r="E780" s="28"/>
      <c r="F780" s="28"/>
      <c r="G780" s="28"/>
      <c r="H780" s="28"/>
      <c r="I780" s="28"/>
      <c r="J780" s="28"/>
      <c r="K780" s="29"/>
      <c r="M780" s="27" t="s">
        <v>118</v>
      </c>
      <c r="N780" s="28"/>
      <c r="O780" s="28"/>
      <c r="P780" s="28"/>
      <c r="Q780" s="28"/>
      <c r="R780" s="28"/>
      <c r="S780" s="28"/>
      <c r="T780" s="28"/>
      <c r="U780" s="28"/>
      <c r="V780" s="28"/>
      <c r="W780" s="29"/>
    </row>
    <row r="781" spans="1:24" ht="18.75" customHeight="1">
      <c r="A781" s="354" t="s">
        <v>27</v>
      </c>
      <c r="B781" s="355"/>
      <c r="C781" s="355"/>
      <c r="D781" s="355"/>
      <c r="E781" s="355"/>
      <c r="F781" s="355"/>
      <c r="G781" s="355"/>
      <c r="H781" s="355"/>
      <c r="I781" s="355"/>
      <c r="J781" s="355"/>
      <c r="K781" s="356"/>
      <c r="M781" s="354" t="s">
        <v>27</v>
      </c>
      <c r="N781" s="355"/>
      <c r="O781" s="355"/>
      <c r="P781" s="355"/>
      <c r="Q781" s="355"/>
      <c r="R781" s="355"/>
      <c r="S781" s="355"/>
      <c r="T781" s="355"/>
      <c r="U781" s="355"/>
      <c r="V781" s="355"/>
      <c r="W781" s="356"/>
    </row>
    <row r="782" spans="1:24" ht="18.75" customHeight="1">
      <c r="A782" s="347" t="s">
        <v>28</v>
      </c>
      <c r="B782" s="31"/>
      <c r="C782" s="31"/>
      <c r="D782" s="31"/>
      <c r="E782" s="30" t="s">
        <v>29</v>
      </c>
      <c r="F782" s="348">
        <f>'Bang TH nop'!B93</f>
        <v>0</v>
      </c>
      <c r="G782" s="31"/>
      <c r="H782" s="31"/>
      <c r="I782" s="31"/>
      <c r="J782" s="31"/>
      <c r="K782" s="350"/>
      <c r="M782" s="347" t="s">
        <v>28</v>
      </c>
      <c r="N782" s="31"/>
      <c r="O782" s="31"/>
      <c r="P782" s="31"/>
      <c r="Q782" s="30" t="s">
        <v>29</v>
      </c>
      <c r="R782" s="348">
        <f>'Bang TH nop'!B95</f>
        <v>0</v>
      </c>
      <c r="S782" s="31"/>
      <c r="T782" s="31"/>
      <c r="U782" s="31"/>
      <c r="V782" s="31"/>
      <c r="W782" s="350"/>
    </row>
    <row r="783" spans="1:24" ht="18.75" customHeight="1">
      <c r="A783" s="347" t="s">
        <v>30</v>
      </c>
      <c r="B783" s="31"/>
      <c r="C783" s="31"/>
      <c r="D783" s="31"/>
      <c r="E783" s="30" t="s">
        <v>29</v>
      </c>
      <c r="F783" s="348">
        <f>'Bang TH nop'!C93</f>
        <v>0</v>
      </c>
      <c r="G783" s="348"/>
      <c r="H783" s="348"/>
      <c r="I783" s="348"/>
      <c r="J783" s="348"/>
      <c r="K783" s="349"/>
      <c r="M783" s="347" t="s">
        <v>30</v>
      </c>
      <c r="N783" s="31"/>
      <c r="O783" s="31"/>
      <c r="P783" s="31"/>
      <c r="Q783" s="30" t="s">
        <v>29</v>
      </c>
      <c r="R783" s="348">
        <f>'Bang TH nop'!C95</f>
        <v>0</v>
      </c>
      <c r="S783" s="348"/>
      <c r="T783" s="348"/>
      <c r="U783" s="348"/>
      <c r="V783" s="348"/>
      <c r="W783" s="349"/>
    </row>
    <row r="784" spans="1:24" ht="18.75" customHeight="1">
      <c r="A784" s="347" t="s">
        <v>31</v>
      </c>
      <c r="B784" s="31"/>
      <c r="C784" s="31"/>
      <c r="D784" s="31"/>
      <c r="E784" s="30" t="s">
        <v>29</v>
      </c>
      <c r="F784" s="31" t="str">
        <f>+$L$2</f>
        <v xml:space="preserve">Tổ  </v>
      </c>
      <c r="G784" s="31"/>
      <c r="H784" s="31"/>
      <c r="I784" s="31"/>
      <c r="J784" s="31"/>
      <c r="K784" s="350"/>
      <c r="M784" s="347" t="s">
        <v>31</v>
      </c>
      <c r="N784" s="31"/>
      <c r="O784" s="31"/>
      <c r="P784" s="31"/>
      <c r="Q784" s="30" t="s">
        <v>29</v>
      </c>
      <c r="R784" s="31" t="str">
        <f>+$L$2</f>
        <v xml:space="preserve">Tổ  </v>
      </c>
      <c r="S784" s="31"/>
      <c r="T784" s="31"/>
      <c r="U784" s="31"/>
      <c r="V784" s="31"/>
      <c r="W784" s="350"/>
    </row>
    <row r="785" spans="1:24" ht="18.75" customHeight="1">
      <c r="A785" s="354" t="s">
        <v>32</v>
      </c>
      <c r="B785" s="355"/>
      <c r="C785" s="355"/>
      <c r="D785" s="355"/>
      <c r="E785" s="355"/>
      <c r="F785" s="355"/>
      <c r="G785" s="355"/>
      <c r="H785" s="355"/>
      <c r="I785" s="355"/>
      <c r="J785" s="355"/>
      <c r="K785" s="356"/>
      <c r="M785" s="354" t="s">
        <v>32</v>
      </c>
      <c r="N785" s="355"/>
      <c r="O785" s="355"/>
      <c r="P785" s="355"/>
      <c r="Q785" s="355"/>
      <c r="R785" s="355"/>
      <c r="S785" s="355"/>
      <c r="T785" s="355"/>
      <c r="U785" s="355"/>
      <c r="V785" s="355"/>
      <c r="W785" s="356"/>
    </row>
    <row r="786" spans="1:24" ht="18.75" customHeight="1">
      <c r="A786" s="347" t="s">
        <v>33</v>
      </c>
      <c r="B786" s="31"/>
      <c r="C786" s="31"/>
      <c r="D786" s="31"/>
      <c r="E786" s="30" t="s">
        <v>29</v>
      </c>
      <c r="F786" s="361">
        <f>VLOOKUP(F783,'Bang TH nop'!$C$9:$AP$266,29,0)</f>
        <v>0</v>
      </c>
      <c r="G786" s="361"/>
      <c r="H786" s="361"/>
      <c r="I786" s="361"/>
      <c r="J786" s="30" t="s">
        <v>34</v>
      </c>
      <c r="K786" s="32"/>
      <c r="M786" s="347" t="s">
        <v>33</v>
      </c>
      <c r="N786" s="31"/>
      <c r="O786" s="31"/>
      <c r="P786" s="31"/>
      <c r="Q786" s="30" t="s">
        <v>29</v>
      </c>
      <c r="R786" s="361">
        <f>VLOOKUP(R783,'Bang TH nop'!$C$9:$AP$266,29,0)</f>
        <v>0</v>
      </c>
      <c r="S786" s="361"/>
      <c r="T786" s="361"/>
      <c r="U786" s="361"/>
      <c r="V786" s="30" t="s">
        <v>34</v>
      </c>
      <c r="W786" s="32"/>
    </row>
    <row r="787" spans="1:24" ht="18.75" customHeight="1">
      <c r="A787" s="33" t="s">
        <v>35</v>
      </c>
      <c r="B787" s="30"/>
      <c r="C787" s="34"/>
      <c r="D787" s="35"/>
      <c r="E787" s="36"/>
      <c r="F787" s="36"/>
      <c r="G787" s="36"/>
      <c r="H787" s="30"/>
      <c r="I787" s="37" t="e">
        <f>#REF!</f>
        <v>#REF!</v>
      </c>
      <c r="J787" s="38"/>
      <c r="K787" s="39"/>
      <c r="M787" s="33" t="s">
        <v>35</v>
      </c>
      <c r="N787" s="30"/>
      <c r="O787" s="34"/>
      <c r="P787" s="35"/>
      <c r="Q787" s="36"/>
      <c r="R787" s="36"/>
      <c r="S787" s="36"/>
      <c r="T787" s="30"/>
      <c r="U787" s="37" t="e">
        <f>#REF!</f>
        <v>#REF!</v>
      </c>
      <c r="V787" s="38"/>
      <c r="W787" s="39"/>
    </row>
    <row r="788" spans="1:24" ht="18.75" customHeight="1">
      <c r="A788" s="33" t="s">
        <v>36</v>
      </c>
      <c r="B788" s="30"/>
      <c r="C788" s="34"/>
      <c r="D788" s="35"/>
      <c r="E788" s="36"/>
      <c r="F788" s="36"/>
      <c r="G788" s="36"/>
      <c r="H788" s="30"/>
      <c r="I788" s="37" t="e">
        <f>I789/C789/8</f>
        <v>#REF!</v>
      </c>
      <c r="J788" s="38"/>
      <c r="K788" s="39"/>
      <c r="M788" s="33" t="s">
        <v>36</v>
      </c>
      <c r="N788" s="30"/>
      <c r="O788" s="34"/>
      <c r="P788" s="35"/>
      <c r="Q788" s="36"/>
      <c r="R788" s="36"/>
      <c r="S788" s="36"/>
      <c r="T788" s="30"/>
      <c r="U788" s="37" t="e">
        <f>U789/O789/8</f>
        <v>#REF!</v>
      </c>
      <c r="V788" s="38"/>
      <c r="W788" s="39"/>
    </row>
    <row r="789" spans="1:24" ht="18.75" customHeight="1">
      <c r="A789" s="33" t="s">
        <v>37</v>
      </c>
      <c r="B789" s="30" t="s">
        <v>29</v>
      </c>
      <c r="C789" s="34" t="e">
        <f>#REF!</f>
        <v>#REF!</v>
      </c>
      <c r="D789" s="35" t="s">
        <v>38</v>
      </c>
      <c r="E789" s="359" t="s">
        <v>39</v>
      </c>
      <c r="F789" s="359"/>
      <c r="G789" s="359"/>
      <c r="H789" s="30" t="s">
        <v>29</v>
      </c>
      <c r="I789" s="360" t="e">
        <f>#REF!</f>
        <v>#REF!</v>
      </c>
      <c r="J789" s="360"/>
      <c r="K789" s="39" t="s">
        <v>34</v>
      </c>
      <c r="L789" s="40" t="e">
        <f>F786/L779*C789</f>
        <v>#REF!</v>
      </c>
      <c r="M789" s="33" t="s">
        <v>37</v>
      </c>
      <c r="N789" s="30" t="s">
        <v>29</v>
      </c>
      <c r="O789" s="34" t="e">
        <f>#REF!</f>
        <v>#REF!</v>
      </c>
      <c r="P789" s="35" t="s">
        <v>38</v>
      </c>
      <c r="Q789" s="359" t="s">
        <v>39</v>
      </c>
      <c r="R789" s="359"/>
      <c r="S789" s="359"/>
      <c r="T789" s="30" t="s">
        <v>29</v>
      </c>
      <c r="U789" s="360" t="e">
        <f>U787*680/((O789-O796)*8+O796*7+O793)*((O789-O796)*8+O796*7)</f>
        <v>#REF!</v>
      </c>
      <c r="V789" s="360"/>
      <c r="W789" s="39" t="s">
        <v>34</v>
      </c>
      <c r="X789" s="40" t="e">
        <f>R786/X779*O789</f>
        <v>#REF!</v>
      </c>
    </row>
    <row r="790" spans="1:24" ht="18.75" customHeight="1">
      <c r="A790" s="33" t="s">
        <v>40</v>
      </c>
      <c r="B790" s="30" t="s">
        <v>29</v>
      </c>
      <c r="C790" s="34" t="e">
        <f>#REF!</f>
        <v>#REF!</v>
      </c>
      <c r="D790" s="35" t="s">
        <v>38</v>
      </c>
      <c r="E790" s="31" t="s">
        <v>41</v>
      </c>
      <c r="F790" s="31"/>
      <c r="G790" s="31"/>
      <c r="H790" s="30" t="s">
        <v>29</v>
      </c>
      <c r="I790" s="358" t="e">
        <f>$F$8/$L$1*C790</f>
        <v>#REF!</v>
      </c>
      <c r="J790" s="358"/>
      <c r="K790" s="39" t="s">
        <v>34</v>
      </c>
      <c r="L790" s="40"/>
      <c r="M790" s="33" t="s">
        <v>40</v>
      </c>
      <c r="N790" s="30" t="s">
        <v>29</v>
      </c>
      <c r="O790" s="34" t="e">
        <f>#REF!</f>
        <v>#REF!</v>
      </c>
      <c r="P790" s="35" t="s">
        <v>38</v>
      </c>
      <c r="Q790" s="31" t="s">
        <v>41</v>
      </c>
      <c r="R790" s="31"/>
      <c r="S790" s="31"/>
      <c r="T790" s="30" t="s">
        <v>29</v>
      </c>
      <c r="U790" s="358" t="e">
        <f>$F$8/$L$1*O790</f>
        <v>#REF!</v>
      </c>
      <c r="V790" s="358"/>
      <c r="W790" s="39" t="s">
        <v>34</v>
      </c>
      <c r="X790" s="40"/>
    </row>
    <row r="791" spans="1:24" ht="18.75" customHeight="1">
      <c r="A791" s="33" t="s">
        <v>42</v>
      </c>
      <c r="B791" s="30" t="s">
        <v>29</v>
      </c>
      <c r="C791" s="34" t="e">
        <f>#REF!</f>
        <v>#REF!</v>
      </c>
      <c r="D791" s="35" t="s">
        <v>38</v>
      </c>
      <c r="E791" s="357" t="s">
        <v>43</v>
      </c>
      <c r="F791" s="357"/>
      <c r="G791" s="357"/>
      <c r="H791" s="30" t="s">
        <v>29</v>
      </c>
      <c r="I791" s="358" t="e">
        <f>$F$8/$L$1*C791</f>
        <v>#REF!</v>
      </c>
      <c r="J791" s="358"/>
      <c r="K791" s="39" t="s">
        <v>34</v>
      </c>
      <c r="L791" s="40"/>
      <c r="M791" s="33" t="s">
        <v>42</v>
      </c>
      <c r="N791" s="30" t="s">
        <v>29</v>
      </c>
      <c r="O791" s="34" t="e">
        <f>#REF!</f>
        <v>#REF!</v>
      </c>
      <c r="P791" s="35" t="s">
        <v>38</v>
      </c>
      <c r="Q791" s="357" t="s">
        <v>43</v>
      </c>
      <c r="R791" s="357"/>
      <c r="S791" s="357"/>
      <c r="T791" s="30" t="s">
        <v>29</v>
      </c>
      <c r="U791" s="358" t="e">
        <f>$F$8/$L$1*O791</f>
        <v>#REF!</v>
      </c>
      <c r="V791" s="358"/>
      <c r="W791" s="39" t="s">
        <v>34</v>
      </c>
      <c r="X791" s="40"/>
    </row>
    <row r="792" spans="1:24" ht="18.75" customHeight="1">
      <c r="A792" s="33" t="s">
        <v>44</v>
      </c>
      <c r="B792" s="30" t="s">
        <v>29</v>
      </c>
      <c r="C792" s="34" t="e">
        <f>#REF!</f>
        <v>#REF!</v>
      </c>
      <c r="D792" s="35" t="s">
        <v>38</v>
      </c>
      <c r="E792" s="357" t="s">
        <v>45</v>
      </c>
      <c r="F792" s="357"/>
      <c r="G792" s="357"/>
      <c r="H792" s="30" t="s">
        <v>29</v>
      </c>
      <c r="I792" s="358" t="e">
        <f>$F$8/$L$1*C792</f>
        <v>#REF!</v>
      </c>
      <c r="J792" s="358"/>
      <c r="K792" s="39" t="s">
        <v>34</v>
      </c>
      <c r="L792" s="40"/>
      <c r="M792" s="33" t="s">
        <v>44</v>
      </c>
      <c r="N792" s="30" t="s">
        <v>29</v>
      </c>
      <c r="O792" s="34" t="e">
        <f>#REF!</f>
        <v>#REF!</v>
      </c>
      <c r="P792" s="35" t="s">
        <v>38</v>
      </c>
      <c r="Q792" s="357" t="s">
        <v>45</v>
      </c>
      <c r="R792" s="357"/>
      <c r="S792" s="357"/>
      <c r="T792" s="30" t="s">
        <v>29</v>
      </c>
      <c r="U792" s="358" t="e">
        <f>$F$8/$L$1*O792</f>
        <v>#REF!</v>
      </c>
      <c r="V792" s="358"/>
      <c r="W792" s="39" t="s">
        <v>34</v>
      </c>
      <c r="X792" s="40"/>
    </row>
    <row r="793" spans="1:24" ht="18.75" customHeight="1">
      <c r="A793" s="33" t="s">
        <v>46</v>
      </c>
      <c r="B793" s="30" t="s">
        <v>29</v>
      </c>
      <c r="C793" s="34" t="e">
        <f>#REF!</f>
        <v>#REF!</v>
      </c>
      <c r="D793" s="35" t="s">
        <v>47</v>
      </c>
      <c r="E793" s="31" t="s">
        <v>48</v>
      </c>
      <c r="F793" s="31"/>
      <c r="G793" s="31"/>
      <c r="H793" s="30" t="s">
        <v>29</v>
      </c>
      <c r="I793" s="358" t="e">
        <f>#REF!</f>
        <v>#REF!</v>
      </c>
      <c r="J793" s="358"/>
      <c r="K793" s="39" t="s">
        <v>34</v>
      </c>
      <c r="L793" s="40" t="e">
        <f>F786*C793/L779/8*1.5</f>
        <v>#REF!</v>
      </c>
      <c r="M793" s="33" t="s">
        <v>46</v>
      </c>
      <c r="N793" s="30" t="s">
        <v>29</v>
      </c>
      <c r="O793" s="34" t="e">
        <f>#REF!</f>
        <v>#REF!</v>
      </c>
      <c r="P793" s="35" t="s">
        <v>47</v>
      </c>
      <c r="Q793" s="31" t="s">
        <v>48</v>
      </c>
      <c r="R793" s="31"/>
      <c r="S793" s="31"/>
      <c r="T793" s="30" t="s">
        <v>29</v>
      </c>
      <c r="U793" s="358" t="e">
        <f>U789/O789/8*O793</f>
        <v>#REF!</v>
      </c>
      <c r="V793" s="358"/>
      <c r="W793" s="39" t="s">
        <v>34</v>
      </c>
      <c r="X793" s="40" t="e">
        <f>R786*O793/X779/8*1.5</f>
        <v>#REF!</v>
      </c>
    </row>
    <row r="794" spans="1:24" ht="18.75" customHeight="1">
      <c r="A794" s="347" t="s">
        <v>49</v>
      </c>
      <c r="B794" s="31"/>
      <c r="C794" s="34"/>
      <c r="D794" s="35" t="s">
        <v>38</v>
      </c>
      <c r="E794" s="31" t="s">
        <v>50</v>
      </c>
      <c r="F794" s="31"/>
      <c r="G794" s="31"/>
      <c r="H794" s="41" t="s">
        <v>29</v>
      </c>
      <c r="I794" s="358"/>
      <c r="J794" s="358"/>
      <c r="K794" s="39" t="s">
        <v>34</v>
      </c>
      <c r="L794" s="40"/>
      <c r="M794" s="347" t="s">
        <v>49</v>
      </c>
      <c r="N794" s="31"/>
      <c r="O794" s="34"/>
      <c r="P794" s="35" t="s">
        <v>38</v>
      </c>
      <c r="Q794" s="31" t="s">
        <v>50</v>
      </c>
      <c r="R794" s="31"/>
      <c r="S794" s="31"/>
      <c r="T794" s="41" t="s">
        <v>29</v>
      </c>
      <c r="U794" s="358"/>
      <c r="V794" s="358"/>
      <c r="W794" s="39" t="s">
        <v>34</v>
      </c>
      <c r="X794" s="40"/>
    </row>
    <row r="795" spans="1:24" ht="18.75" customHeight="1">
      <c r="A795" s="33" t="s">
        <v>51</v>
      </c>
      <c r="B795" s="30" t="s">
        <v>29</v>
      </c>
      <c r="C795" s="34"/>
      <c r="D795" s="35" t="s">
        <v>38</v>
      </c>
      <c r="E795" s="31" t="s">
        <v>52</v>
      </c>
      <c r="F795" s="31"/>
      <c r="G795" s="31"/>
      <c r="H795" s="30" t="s">
        <v>29</v>
      </c>
      <c r="I795" s="358"/>
      <c r="J795" s="358"/>
      <c r="K795" s="39" t="s">
        <v>34</v>
      </c>
      <c r="L795" s="40"/>
      <c r="M795" s="33" t="s">
        <v>51</v>
      </c>
      <c r="N795" s="30" t="s">
        <v>29</v>
      </c>
      <c r="O795" s="34"/>
      <c r="P795" s="35" t="s">
        <v>38</v>
      </c>
      <c r="Q795" s="31" t="s">
        <v>52</v>
      </c>
      <c r="R795" s="31"/>
      <c r="S795" s="31"/>
      <c r="T795" s="30" t="s">
        <v>29</v>
      </c>
      <c r="U795" s="358"/>
      <c r="V795" s="358"/>
      <c r="W795" s="39" t="s">
        <v>34</v>
      </c>
      <c r="X795" s="40"/>
    </row>
    <row r="796" spans="1:24" ht="18.75" customHeight="1">
      <c r="A796" s="42" t="s">
        <v>53</v>
      </c>
      <c r="B796" s="30"/>
      <c r="C796" s="34" t="e">
        <f>#REF!</f>
        <v>#REF!</v>
      </c>
      <c r="D796" s="35" t="s">
        <v>47</v>
      </c>
      <c r="E796" s="31" t="s">
        <v>54</v>
      </c>
      <c r="F796" s="31"/>
      <c r="G796" s="31"/>
      <c r="H796" s="30" t="s">
        <v>29</v>
      </c>
      <c r="I796" s="358" t="e">
        <f>$F$8*C796/8/$L$1</f>
        <v>#REF!</v>
      </c>
      <c r="J796" s="358"/>
      <c r="K796" s="39" t="s">
        <v>34</v>
      </c>
      <c r="L796" s="40"/>
      <c r="M796" s="42" t="s">
        <v>53</v>
      </c>
      <c r="N796" s="30"/>
      <c r="O796" s="34" t="e">
        <f>#REF!</f>
        <v>#REF!</v>
      </c>
      <c r="P796" s="35" t="s">
        <v>47</v>
      </c>
      <c r="Q796" s="31" t="s">
        <v>54</v>
      </c>
      <c r="R796" s="31"/>
      <c r="S796" s="31"/>
      <c r="T796" s="30" t="s">
        <v>29</v>
      </c>
      <c r="U796" s="358" t="e">
        <f>$F$8*O796/8/$L$1</f>
        <v>#REF!</v>
      </c>
      <c r="V796" s="358"/>
      <c r="W796" s="39" t="s">
        <v>34</v>
      </c>
      <c r="X796" s="40"/>
    </row>
    <row r="797" spans="1:24" ht="18.75" customHeight="1">
      <c r="A797" s="33" t="s">
        <v>55</v>
      </c>
      <c r="B797" s="30" t="s">
        <v>29</v>
      </c>
      <c r="C797" s="34"/>
      <c r="D797" s="35" t="s">
        <v>47</v>
      </c>
      <c r="E797" s="31" t="s">
        <v>56</v>
      </c>
      <c r="F797" s="31"/>
      <c r="G797" s="31"/>
      <c r="H797" s="30" t="s">
        <v>29</v>
      </c>
      <c r="I797" s="360"/>
      <c r="J797" s="360"/>
      <c r="K797" s="39" t="s">
        <v>34</v>
      </c>
      <c r="L797" s="40"/>
      <c r="M797" s="33" t="s">
        <v>55</v>
      </c>
      <c r="N797" s="30" t="s">
        <v>29</v>
      </c>
      <c r="O797" s="34"/>
      <c r="P797" s="35" t="s">
        <v>47</v>
      </c>
      <c r="Q797" s="31" t="s">
        <v>56</v>
      </c>
      <c r="R797" s="31"/>
      <c r="S797" s="31"/>
      <c r="T797" s="30" t="s">
        <v>29</v>
      </c>
      <c r="U797" s="360"/>
      <c r="V797" s="360"/>
      <c r="W797" s="39" t="s">
        <v>34</v>
      </c>
      <c r="X797" s="40"/>
    </row>
    <row r="798" spans="1:24" ht="18.75" customHeight="1">
      <c r="A798" s="33" t="s">
        <v>57</v>
      </c>
      <c r="B798" s="30" t="s">
        <v>29</v>
      </c>
      <c r="C798" s="34"/>
      <c r="D798" s="35" t="s">
        <v>58</v>
      </c>
      <c r="E798" s="31" t="s">
        <v>59</v>
      </c>
      <c r="F798" s="31"/>
      <c r="G798" s="31"/>
      <c r="H798" s="30" t="s">
        <v>29</v>
      </c>
      <c r="I798" s="358"/>
      <c r="J798" s="358"/>
      <c r="K798" s="39" t="s">
        <v>34</v>
      </c>
      <c r="L798" s="40" t="e">
        <f>+IF(L789-I789&lt;0,0,L789-I789)+IF(L793-I793&lt;0,0,L793-I793)</f>
        <v>#REF!</v>
      </c>
      <c r="M798" s="33" t="s">
        <v>57</v>
      </c>
      <c r="N798" s="30" t="s">
        <v>29</v>
      </c>
      <c r="O798" s="34"/>
      <c r="P798" s="35" t="s">
        <v>58</v>
      </c>
      <c r="Q798" s="31" t="s">
        <v>59</v>
      </c>
      <c r="R798" s="31"/>
      <c r="S798" s="31"/>
      <c r="T798" s="30" t="s">
        <v>29</v>
      </c>
      <c r="U798" s="358"/>
      <c r="V798" s="358"/>
      <c r="W798" s="39" t="s">
        <v>34</v>
      </c>
      <c r="X798" s="40" t="e">
        <f>+IF(X789-U789&lt;0,0,X789-U789)+IF(X793-U793&lt;0,0,X793-U793)</f>
        <v>#REF!</v>
      </c>
    </row>
    <row r="799" spans="1:24" ht="18.75" customHeight="1">
      <c r="A799" s="43" t="s">
        <v>60</v>
      </c>
      <c r="B799" s="44"/>
      <c r="C799" s="34"/>
      <c r="D799" s="35" t="s">
        <v>38</v>
      </c>
      <c r="E799" s="31" t="s">
        <v>61</v>
      </c>
      <c r="F799" s="31"/>
      <c r="G799" s="31"/>
      <c r="H799" s="30" t="s">
        <v>29</v>
      </c>
      <c r="I799" s="358"/>
      <c r="J799" s="358"/>
      <c r="K799" s="39" t="s">
        <v>34</v>
      </c>
      <c r="L799" s="40"/>
      <c r="M799" s="43" t="s">
        <v>60</v>
      </c>
      <c r="N799" s="44"/>
      <c r="O799" s="34"/>
      <c r="P799" s="35" t="s">
        <v>38</v>
      </c>
      <c r="Q799" s="31" t="s">
        <v>61</v>
      </c>
      <c r="R799" s="31"/>
      <c r="S799" s="31"/>
      <c r="T799" s="30" t="s">
        <v>29</v>
      </c>
      <c r="U799" s="358"/>
      <c r="V799" s="358"/>
      <c r="W799" s="39" t="s">
        <v>34</v>
      </c>
      <c r="X799" s="40"/>
    </row>
    <row r="800" spans="1:24" ht="18.75" customHeight="1">
      <c r="A800" s="383" t="s">
        <v>62</v>
      </c>
      <c r="B800" s="359"/>
      <c r="C800" s="34"/>
      <c r="D800" s="35"/>
      <c r="E800" s="36"/>
      <c r="F800" s="36"/>
      <c r="G800" s="36"/>
      <c r="H800" s="30" t="s">
        <v>29</v>
      </c>
      <c r="I800" s="358" t="e">
        <f>#REF!</f>
        <v>#REF!</v>
      </c>
      <c r="J800" s="358"/>
      <c r="K800" s="39" t="s">
        <v>34</v>
      </c>
      <c r="L800" s="40"/>
      <c r="M800" s="383" t="s">
        <v>62</v>
      </c>
      <c r="N800" s="359"/>
      <c r="O800" s="34"/>
      <c r="P800" s="35"/>
      <c r="Q800" s="36"/>
      <c r="R800" s="36"/>
      <c r="S800" s="36"/>
      <c r="T800" s="30" t="s">
        <v>29</v>
      </c>
      <c r="U800" s="358" t="e">
        <f>#REF!</f>
        <v>#REF!</v>
      </c>
      <c r="V800" s="358"/>
      <c r="W800" s="39" t="s">
        <v>34</v>
      </c>
      <c r="X800" s="40"/>
    </row>
    <row r="801" spans="1:24" ht="18.75" customHeight="1">
      <c r="A801" s="33" t="s">
        <v>63</v>
      </c>
      <c r="B801" s="30" t="s">
        <v>29</v>
      </c>
      <c r="C801" s="34"/>
      <c r="D801" s="35"/>
      <c r="E801" s="36" t="s">
        <v>64</v>
      </c>
      <c r="F801" s="36"/>
      <c r="G801" s="36"/>
      <c r="H801" s="30" t="s">
        <v>29</v>
      </c>
      <c r="I801" s="358" t="e">
        <f>L798</f>
        <v>#REF!</v>
      </c>
      <c r="J801" s="358"/>
      <c r="K801" s="39" t="s">
        <v>34</v>
      </c>
      <c r="L801" s="40"/>
      <c r="M801" s="33" t="s">
        <v>63</v>
      </c>
      <c r="N801" s="30" t="s">
        <v>29</v>
      </c>
      <c r="O801" s="34"/>
      <c r="P801" s="35"/>
      <c r="Q801" s="36" t="s">
        <v>64</v>
      </c>
      <c r="R801" s="36"/>
      <c r="S801" s="36"/>
      <c r="T801" s="30" t="s">
        <v>29</v>
      </c>
      <c r="U801" s="358" t="e">
        <f>X798</f>
        <v>#REF!</v>
      </c>
      <c r="V801" s="358"/>
      <c r="W801" s="39" t="s">
        <v>34</v>
      </c>
      <c r="X801" s="40"/>
    </row>
    <row r="802" spans="1:24" ht="18.75" customHeight="1">
      <c r="A802" s="362" t="s">
        <v>65</v>
      </c>
      <c r="B802" s="363"/>
      <c r="C802" s="363"/>
      <c r="D802" s="363"/>
      <c r="E802" s="363"/>
      <c r="F802" s="363"/>
      <c r="G802" s="30" t="s">
        <v>29</v>
      </c>
      <c r="H802" s="364" t="e">
        <f>I789+I790+I791+I792+I793+I796+I800+I801+I794+I795+I797+I798+I799+C800</f>
        <v>#REF!</v>
      </c>
      <c r="I802" s="365"/>
      <c r="J802" s="365"/>
      <c r="K802" s="39" t="s">
        <v>34</v>
      </c>
      <c r="M802" s="362" t="s">
        <v>65</v>
      </c>
      <c r="N802" s="363"/>
      <c r="O802" s="363"/>
      <c r="P802" s="363"/>
      <c r="Q802" s="363"/>
      <c r="R802" s="363"/>
      <c r="S802" s="30" t="s">
        <v>29</v>
      </c>
      <c r="T802" s="364" t="e">
        <f>U789+U790+U791+U792+U793+U796+U800+U801+U794+U795+U797+U798+U799+O800</f>
        <v>#REF!</v>
      </c>
      <c r="U802" s="365"/>
      <c r="V802" s="365"/>
      <c r="W802" s="39" t="s">
        <v>34</v>
      </c>
    </row>
    <row r="803" spans="1:24" ht="18.75" customHeight="1">
      <c r="A803" s="45"/>
      <c r="B803" s="46"/>
      <c r="C803" s="46"/>
      <c r="D803" s="46"/>
      <c r="E803" s="46"/>
      <c r="F803" s="46"/>
      <c r="G803" s="46"/>
      <c r="H803" s="46"/>
      <c r="I803" s="46"/>
      <c r="J803" s="46"/>
      <c r="K803" s="47"/>
      <c r="M803" s="45"/>
      <c r="N803" s="46"/>
      <c r="O803" s="46"/>
      <c r="P803" s="46"/>
      <c r="Q803" s="46"/>
      <c r="R803" s="46"/>
      <c r="S803" s="46"/>
      <c r="T803" s="46"/>
      <c r="U803" s="46"/>
      <c r="V803" s="46"/>
      <c r="W803" s="47"/>
    </row>
    <row r="804" spans="1:24" ht="18.75" customHeight="1">
      <c r="A804" s="374" t="s">
        <v>66</v>
      </c>
      <c r="B804" s="375"/>
      <c r="C804" s="375"/>
      <c r="D804" s="375"/>
      <c r="E804" s="375"/>
      <c r="F804" s="375"/>
      <c r="G804" s="30"/>
      <c r="H804" s="30"/>
      <c r="I804" s="30"/>
      <c r="J804" s="30"/>
      <c r="K804" s="39"/>
      <c r="M804" s="374" t="s">
        <v>66</v>
      </c>
      <c r="N804" s="375"/>
      <c r="O804" s="375"/>
      <c r="P804" s="375"/>
      <c r="Q804" s="375"/>
      <c r="R804" s="375"/>
      <c r="S804" s="30"/>
      <c r="T804" s="30"/>
      <c r="U804" s="30"/>
      <c r="V804" s="30"/>
      <c r="W804" s="39"/>
    </row>
    <row r="805" spans="1:24" ht="18.75" customHeight="1">
      <c r="A805" s="368" t="s">
        <v>67</v>
      </c>
      <c r="B805" s="369"/>
      <c r="C805" s="369"/>
      <c r="D805" s="369"/>
      <c r="E805" s="369"/>
      <c r="F805" s="369"/>
      <c r="G805" s="30" t="s">
        <v>29</v>
      </c>
      <c r="H805" s="376" t="e">
        <f>IF(($L$1-(C789+C790+C791+C792))&gt;12,0,F786*8%)</f>
        <v>#REF!</v>
      </c>
      <c r="I805" s="376"/>
      <c r="J805" s="376"/>
      <c r="K805" s="39" t="s">
        <v>34</v>
      </c>
      <c r="M805" s="368" t="s">
        <v>67</v>
      </c>
      <c r="N805" s="369"/>
      <c r="O805" s="369"/>
      <c r="P805" s="369"/>
      <c r="Q805" s="369"/>
      <c r="R805" s="369"/>
      <c r="S805" s="30" t="s">
        <v>29</v>
      </c>
      <c r="T805" s="376" t="e">
        <f>IF(($L$1-(O789+O790+O791+O792))&gt;12,0,R786*8%)</f>
        <v>#REF!</v>
      </c>
      <c r="U805" s="376"/>
      <c r="V805" s="376"/>
      <c r="W805" s="39" t="s">
        <v>34</v>
      </c>
    </row>
    <row r="806" spans="1:24" ht="18.75" customHeight="1">
      <c r="A806" s="368" t="s">
        <v>68</v>
      </c>
      <c r="B806" s="369"/>
      <c r="C806" s="369"/>
      <c r="D806" s="369"/>
      <c r="E806" s="369"/>
      <c r="F806" s="369"/>
      <c r="G806" s="30" t="s">
        <v>29</v>
      </c>
      <c r="H806" s="370" t="e">
        <f>IF(($L$1-(C789+C790+C791+C792))&gt;12,0,F786*1.5%)</f>
        <v>#REF!</v>
      </c>
      <c r="I806" s="370"/>
      <c r="J806" s="370"/>
      <c r="K806" s="39" t="s">
        <v>34</v>
      </c>
      <c r="M806" s="368" t="s">
        <v>68</v>
      </c>
      <c r="N806" s="369"/>
      <c r="O806" s="369"/>
      <c r="P806" s="369"/>
      <c r="Q806" s="369"/>
      <c r="R806" s="369"/>
      <c r="S806" s="30" t="s">
        <v>29</v>
      </c>
      <c r="T806" s="370" t="e">
        <f>IF(($L$1-(O789+O790+O791+O792))&gt;12,0,R786*1.5%)</f>
        <v>#REF!</v>
      </c>
      <c r="U806" s="370"/>
      <c r="V806" s="370"/>
      <c r="W806" s="39" t="s">
        <v>34</v>
      </c>
    </row>
    <row r="807" spans="1:24" ht="18.75" customHeight="1">
      <c r="A807" s="368" t="s">
        <v>69</v>
      </c>
      <c r="B807" s="369"/>
      <c r="C807" s="369"/>
      <c r="D807" s="369"/>
      <c r="E807" s="369"/>
      <c r="F807" s="369"/>
      <c r="G807" s="30" t="s">
        <v>29</v>
      </c>
      <c r="H807" s="370" t="e">
        <f>IF(($L$1-(C789+C790+C791+C792))&gt;12,0,F786*1%)</f>
        <v>#REF!</v>
      </c>
      <c r="I807" s="370"/>
      <c r="J807" s="370"/>
      <c r="K807" s="39" t="s">
        <v>34</v>
      </c>
      <c r="M807" s="368" t="s">
        <v>69</v>
      </c>
      <c r="N807" s="369"/>
      <c r="O807" s="369"/>
      <c r="P807" s="369"/>
      <c r="Q807" s="369"/>
      <c r="R807" s="369"/>
      <c r="S807" s="30" t="s">
        <v>29</v>
      </c>
      <c r="T807" s="370" t="e">
        <f>IF(($L$1-(O789+O790+O791+O792))&gt;12,0,R786*1%)</f>
        <v>#REF!</v>
      </c>
      <c r="U807" s="370"/>
      <c r="V807" s="370"/>
      <c r="W807" s="39" t="s">
        <v>34</v>
      </c>
    </row>
    <row r="808" spans="1:24" ht="18.75" customHeight="1">
      <c r="A808" s="368" t="s">
        <v>70</v>
      </c>
      <c r="B808" s="369"/>
      <c r="C808" s="369"/>
      <c r="D808" s="369"/>
      <c r="E808" s="369"/>
      <c r="F808" s="369"/>
      <c r="G808" s="30" t="s">
        <v>29</v>
      </c>
      <c r="H808" s="370">
        <v>0</v>
      </c>
      <c r="I808" s="370"/>
      <c r="J808" s="370"/>
      <c r="K808" s="39" t="s">
        <v>34</v>
      </c>
      <c r="M808" s="368" t="s">
        <v>70</v>
      </c>
      <c r="N808" s="369"/>
      <c r="O808" s="369"/>
      <c r="P808" s="369"/>
      <c r="Q808" s="369"/>
      <c r="R808" s="369"/>
      <c r="S808" s="30" t="s">
        <v>29</v>
      </c>
      <c r="T808" s="370">
        <v>0</v>
      </c>
      <c r="U808" s="370"/>
      <c r="V808" s="370"/>
      <c r="W808" s="39" t="s">
        <v>34</v>
      </c>
    </row>
    <row r="809" spans="1:24" ht="18.75" customHeight="1">
      <c r="A809" s="371" t="s">
        <v>71</v>
      </c>
      <c r="B809" s="372"/>
      <c r="C809" s="372"/>
      <c r="D809" s="372"/>
      <c r="E809" s="372"/>
      <c r="F809" s="372"/>
      <c r="G809" s="30" t="s">
        <v>29</v>
      </c>
      <c r="H809" s="373" t="e">
        <f>SUM(H805:J808)</f>
        <v>#REF!</v>
      </c>
      <c r="I809" s="373"/>
      <c r="J809" s="373"/>
      <c r="K809" s="39" t="s">
        <v>34</v>
      </c>
      <c r="M809" s="371" t="s">
        <v>71</v>
      </c>
      <c r="N809" s="372"/>
      <c r="O809" s="372"/>
      <c r="P809" s="372"/>
      <c r="Q809" s="372"/>
      <c r="R809" s="372"/>
      <c r="S809" s="30" t="s">
        <v>29</v>
      </c>
      <c r="T809" s="373" t="e">
        <f>SUM(T805:V808)</f>
        <v>#REF!</v>
      </c>
      <c r="U809" s="373"/>
      <c r="V809" s="373"/>
      <c r="W809" s="39" t="s">
        <v>34</v>
      </c>
    </row>
    <row r="810" spans="1:24" ht="18.75" customHeight="1">
      <c r="A810" s="368" t="s">
        <v>72</v>
      </c>
      <c r="B810" s="369"/>
      <c r="C810" s="369"/>
      <c r="D810" s="369"/>
      <c r="E810" s="369"/>
      <c r="F810" s="369"/>
      <c r="G810" s="30" t="s">
        <v>29</v>
      </c>
      <c r="H810" s="381" t="e">
        <f>ROUND(H802-H809,-2)</f>
        <v>#REF!</v>
      </c>
      <c r="I810" s="381"/>
      <c r="J810" s="381"/>
      <c r="K810" s="39" t="s">
        <v>34</v>
      </c>
      <c r="M810" s="368" t="s">
        <v>72</v>
      </c>
      <c r="N810" s="369"/>
      <c r="O810" s="369"/>
      <c r="P810" s="369"/>
      <c r="Q810" s="369"/>
      <c r="R810" s="369"/>
      <c r="S810" s="30" t="s">
        <v>29</v>
      </c>
      <c r="T810" s="381" t="e">
        <f>ROUND(T802-T809,-2)</f>
        <v>#REF!</v>
      </c>
      <c r="U810" s="381"/>
      <c r="V810" s="381"/>
      <c r="W810" s="39" t="s">
        <v>34</v>
      </c>
    </row>
    <row r="811" spans="1:24" ht="18.75" customHeight="1">
      <c r="A811" s="48"/>
      <c r="B811" s="49"/>
      <c r="C811" s="49"/>
      <c r="D811" s="49"/>
      <c r="E811" s="49"/>
      <c r="F811" s="49"/>
      <c r="G811" s="49"/>
      <c r="H811" s="49"/>
      <c r="I811" s="49"/>
      <c r="J811" s="49"/>
      <c r="K811" s="50"/>
      <c r="M811" s="48"/>
      <c r="N811" s="49"/>
      <c r="O811" s="49"/>
      <c r="P811" s="49"/>
      <c r="Q811" s="49"/>
      <c r="R811" s="49"/>
      <c r="S811" s="49"/>
      <c r="T811" s="49"/>
      <c r="U811" s="49"/>
      <c r="V811" s="49"/>
      <c r="W811" s="50"/>
    </row>
    <row r="812" spans="1:24" ht="18.75" customHeight="1">
      <c r="A812" s="51"/>
      <c r="B812" s="30"/>
      <c r="C812" s="30"/>
      <c r="D812" s="30"/>
      <c r="E812" s="30"/>
      <c r="F812" s="30"/>
      <c r="G812" s="30"/>
      <c r="H812" s="30"/>
      <c r="I812" s="378" t="s">
        <v>73</v>
      </c>
      <c r="J812" s="378"/>
      <c r="K812" s="382"/>
      <c r="M812" s="51"/>
      <c r="N812" s="30"/>
      <c r="O812" s="30"/>
      <c r="P812" s="30"/>
      <c r="Q812" s="30"/>
      <c r="R812" s="30"/>
      <c r="S812" s="30"/>
      <c r="T812" s="30"/>
      <c r="U812" s="378" t="s">
        <v>73</v>
      </c>
      <c r="V812" s="378"/>
      <c r="W812" s="382"/>
    </row>
    <row r="813" spans="1:24" ht="18.75" customHeight="1">
      <c r="A813" s="51"/>
      <c r="B813" s="377"/>
      <c r="C813" s="378"/>
      <c r="D813" s="378"/>
      <c r="E813" s="378"/>
      <c r="F813" s="30"/>
      <c r="G813" s="30"/>
      <c r="H813" s="30"/>
      <c r="I813" s="30"/>
      <c r="J813" s="30"/>
      <c r="K813" s="32"/>
      <c r="M813" s="51"/>
      <c r="N813" s="377"/>
      <c r="O813" s="378"/>
      <c r="P813" s="378"/>
      <c r="Q813" s="378"/>
      <c r="R813" s="30"/>
      <c r="S813" s="30"/>
      <c r="T813" s="30"/>
      <c r="U813" s="30"/>
      <c r="V813" s="30"/>
      <c r="W813" s="32"/>
    </row>
    <row r="814" spans="1:24" ht="18.75" customHeight="1" thickBot="1">
      <c r="A814" s="53"/>
      <c r="B814" s="54"/>
      <c r="C814" s="54"/>
      <c r="D814" s="54"/>
      <c r="E814" s="54"/>
      <c r="F814" s="54"/>
      <c r="G814" s="54"/>
      <c r="H814" s="54"/>
      <c r="I814" s="379" t="s">
        <v>74</v>
      </c>
      <c r="J814" s="379"/>
      <c r="K814" s="380"/>
      <c r="M814" s="53"/>
      <c r="N814" s="54"/>
      <c r="O814" s="54"/>
      <c r="P814" s="54"/>
      <c r="Q814" s="54"/>
      <c r="R814" s="54"/>
      <c r="S814" s="54"/>
      <c r="T814" s="54"/>
      <c r="U814" s="379" t="s">
        <v>74</v>
      </c>
      <c r="V814" s="379"/>
      <c r="W814" s="380"/>
    </row>
    <row r="815" spans="1:24" ht="18.75" customHeight="1" thickTop="1" thickBot="1"/>
    <row r="816" spans="1:24" ht="18.75" customHeight="1" thickTop="1">
      <c r="A816" s="351" t="s">
        <v>160</v>
      </c>
      <c r="B816" s="352"/>
      <c r="C816" s="352"/>
      <c r="D816" s="352"/>
      <c r="E816" s="352"/>
      <c r="F816" s="352"/>
      <c r="G816" s="352"/>
      <c r="H816" s="352"/>
      <c r="I816" s="352"/>
      <c r="J816" s="352"/>
      <c r="K816" s="353"/>
      <c r="L816" s="26">
        <v>25</v>
      </c>
      <c r="M816" s="351" t="s">
        <v>160</v>
      </c>
      <c r="N816" s="352"/>
      <c r="O816" s="352"/>
      <c r="P816" s="352"/>
      <c r="Q816" s="352"/>
      <c r="R816" s="352"/>
      <c r="S816" s="352"/>
      <c r="T816" s="352"/>
      <c r="U816" s="352"/>
      <c r="V816" s="352"/>
      <c r="W816" s="353"/>
      <c r="X816" s="26">
        <v>25</v>
      </c>
    </row>
    <row r="817" spans="1:24" ht="18.75" customHeight="1">
      <c r="A817" s="27" t="s">
        <v>119</v>
      </c>
      <c r="B817" s="28"/>
      <c r="C817" s="28"/>
      <c r="D817" s="28"/>
      <c r="E817" s="28"/>
      <c r="F817" s="28"/>
      <c r="G817" s="28"/>
      <c r="H817" s="28"/>
      <c r="I817" s="28"/>
      <c r="J817" s="28"/>
      <c r="K817" s="29"/>
      <c r="M817" s="27" t="s">
        <v>120</v>
      </c>
      <c r="N817" s="28"/>
      <c r="O817" s="28"/>
      <c r="P817" s="28"/>
      <c r="Q817" s="28"/>
      <c r="R817" s="28"/>
      <c r="S817" s="28"/>
      <c r="T817" s="28"/>
      <c r="U817" s="28"/>
      <c r="V817" s="28"/>
      <c r="W817" s="29"/>
    </row>
    <row r="818" spans="1:24" ht="18.75" customHeight="1">
      <c r="A818" s="354" t="s">
        <v>27</v>
      </c>
      <c r="B818" s="355"/>
      <c r="C818" s="355"/>
      <c r="D818" s="355"/>
      <c r="E818" s="355"/>
      <c r="F818" s="355"/>
      <c r="G818" s="355"/>
      <c r="H818" s="355"/>
      <c r="I818" s="355"/>
      <c r="J818" s="355"/>
      <c r="K818" s="356"/>
      <c r="M818" s="354" t="s">
        <v>27</v>
      </c>
      <c r="N818" s="355"/>
      <c r="O818" s="355"/>
      <c r="P818" s="355"/>
      <c r="Q818" s="355"/>
      <c r="R818" s="355"/>
      <c r="S818" s="355"/>
      <c r="T818" s="355"/>
      <c r="U818" s="355"/>
      <c r="V818" s="355"/>
      <c r="W818" s="356"/>
    </row>
    <row r="819" spans="1:24" ht="18.75" customHeight="1">
      <c r="A819" s="347" t="s">
        <v>28</v>
      </c>
      <c r="B819" s="31"/>
      <c r="C819" s="31"/>
      <c r="D819" s="31"/>
      <c r="E819" s="30" t="s">
        <v>29</v>
      </c>
      <c r="F819" s="348">
        <f>'Bang TH nop'!B97</f>
        <v>0</v>
      </c>
      <c r="G819" s="31"/>
      <c r="H819" s="31"/>
      <c r="I819" s="31"/>
      <c r="J819" s="31"/>
      <c r="K819" s="350"/>
      <c r="M819" s="347" t="s">
        <v>28</v>
      </c>
      <c r="N819" s="31"/>
      <c r="O819" s="31"/>
      <c r="P819" s="31"/>
      <c r="Q819" s="30" t="s">
        <v>29</v>
      </c>
      <c r="R819" s="348">
        <f>'Bang TH nop'!B99</f>
        <v>0</v>
      </c>
      <c r="S819" s="31"/>
      <c r="T819" s="31"/>
      <c r="U819" s="31"/>
      <c r="V819" s="31"/>
      <c r="W819" s="350"/>
    </row>
    <row r="820" spans="1:24" ht="18.75" customHeight="1">
      <c r="A820" s="347" t="s">
        <v>30</v>
      </c>
      <c r="B820" s="31"/>
      <c r="C820" s="31"/>
      <c r="D820" s="31"/>
      <c r="E820" s="30" t="s">
        <v>29</v>
      </c>
      <c r="F820" s="348">
        <f>'Bang TH nop'!C97</f>
        <v>0</v>
      </c>
      <c r="G820" s="348"/>
      <c r="H820" s="348"/>
      <c r="I820" s="348"/>
      <c r="J820" s="348"/>
      <c r="K820" s="349"/>
      <c r="M820" s="347" t="s">
        <v>30</v>
      </c>
      <c r="N820" s="31"/>
      <c r="O820" s="31"/>
      <c r="P820" s="31"/>
      <c r="Q820" s="30" t="s">
        <v>29</v>
      </c>
      <c r="R820" s="348">
        <f>'Bang TH nop'!C99</f>
        <v>0</v>
      </c>
      <c r="S820" s="348"/>
      <c r="T820" s="348"/>
      <c r="U820" s="348"/>
      <c r="V820" s="348"/>
      <c r="W820" s="349"/>
    </row>
    <row r="821" spans="1:24" ht="18.75" customHeight="1">
      <c r="A821" s="347" t="s">
        <v>31</v>
      </c>
      <c r="B821" s="31"/>
      <c r="C821" s="31"/>
      <c r="D821" s="31"/>
      <c r="E821" s="30" t="s">
        <v>29</v>
      </c>
      <c r="F821" s="31" t="str">
        <f>+$L$2</f>
        <v xml:space="preserve">Tổ  </v>
      </c>
      <c r="G821" s="31"/>
      <c r="H821" s="31"/>
      <c r="I821" s="31"/>
      <c r="J821" s="31"/>
      <c r="K821" s="350"/>
      <c r="M821" s="347" t="s">
        <v>31</v>
      </c>
      <c r="N821" s="31"/>
      <c r="O821" s="31"/>
      <c r="P821" s="31"/>
      <c r="Q821" s="30" t="s">
        <v>29</v>
      </c>
      <c r="R821" s="31" t="str">
        <f>+$L$2</f>
        <v xml:space="preserve">Tổ  </v>
      </c>
      <c r="S821" s="31"/>
      <c r="T821" s="31"/>
      <c r="U821" s="31"/>
      <c r="V821" s="31"/>
      <c r="W821" s="350"/>
    </row>
    <row r="822" spans="1:24" ht="18.75" customHeight="1">
      <c r="A822" s="354" t="s">
        <v>32</v>
      </c>
      <c r="B822" s="355"/>
      <c r="C822" s="355"/>
      <c r="D822" s="355"/>
      <c r="E822" s="355"/>
      <c r="F822" s="355"/>
      <c r="G822" s="355"/>
      <c r="H822" s="355"/>
      <c r="I822" s="355"/>
      <c r="J822" s="355"/>
      <c r="K822" s="356"/>
      <c r="M822" s="354" t="s">
        <v>32</v>
      </c>
      <c r="N822" s="355"/>
      <c r="O822" s="355"/>
      <c r="P822" s="355"/>
      <c r="Q822" s="355"/>
      <c r="R822" s="355"/>
      <c r="S822" s="355"/>
      <c r="T822" s="355"/>
      <c r="U822" s="355"/>
      <c r="V822" s="355"/>
      <c r="W822" s="356"/>
    </row>
    <row r="823" spans="1:24" ht="18.75" customHeight="1">
      <c r="A823" s="347" t="s">
        <v>33</v>
      </c>
      <c r="B823" s="31"/>
      <c r="C823" s="31"/>
      <c r="D823" s="31"/>
      <c r="E823" s="30" t="s">
        <v>29</v>
      </c>
      <c r="F823" s="361">
        <f>VLOOKUP(F820,'Bang TH nop'!$C$9:$AP$266,29,0)</f>
        <v>0</v>
      </c>
      <c r="G823" s="361"/>
      <c r="H823" s="361"/>
      <c r="I823" s="361"/>
      <c r="J823" s="30" t="s">
        <v>34</v>
      </c>
      <c r="K823" s="32"/>
      <c r="M823" s="347" t="s">
        <v>33</v>
      </c>
      <c r="N823" s="31"/>
      <c r="O823" s="31"/>
      <c r="P823" s="31"/>
      <c r="Q823" s="30" t="s">
        <v>29</v>
      </c>
      <c r="R823" s="361">
        <f>VLOOKUP(R820,'Bang TH nop'!$C$9:$AP$266,29,0)</f>
        <v>0</v>
      </c>
      <c r="S823" s="361"/>
      <c r="T823" s="361"/>
      <c r="U823" s="361"/>
      <c r="V823" s="30" t="s">
        <v>34</v>
      </c>
      <c r="W823" s="32"/>
    </row>
    <row r="824" spans="1:24" ht="18.75" customHeight="1">
      <c r="A824" s="33" t="s">
        <v>35</v>
      </c>
      <c r="B824" s="30"/>
      <c r="C824" s="34"/>
      <c r="D824" s="35"/>
      <c r="E824" s="36"/>
      <c r="F824" s="36"/>
      <c r="G824" s="36"/>
      <c r="H824" s="30"/>
      <c r="I824" s="37" t="e">
        <f>#REF!</f>
        <v>#REF!</v>
      </c>
      <c r="J824" s="38"/>
      <c r="K824" s="39"/>
      <c r="M824" s="33" t="s">
        <v>35</v>
      </c>
      <c r="N824" s="30"/>
      <c r="O824" s="34"/>
      <c r="P824" s="35"/>
      <c r="Q824" s="36"/>
      <c r="R824" s="36"/>
      <c r="S824" s="36"/>
      <c r="T824" s="30"/>
      <c r="U824" s="37" t="e">
        <f>#REF!</f>
        <v>#REF!</v>
      </c>
      <c r="V824" s="38"/>
      <c r="W824" s="39"/>
    </row>
    <row r="825" spans="1:24" ht="18.75" customHeight="1">
      <c r="A825" s="33" t="s">
        <v>36</v>
      </c>
      <c r="B825" s="30"/>
      <c r="C825" s="34"/>
      <c r="D825" s="35"/>
      <c r="E825" s="36"/>
      <c r="F825" s="36"/>
      <c r="G825" s="36"/>
      <c r="H825" s="30"/>
      <c r="I825" s="37" t="e">
        <f>I826/C826/8</f>
        <v>#REF!</v>
      </c>
      <c r="J825" s="38"/>
      <c r="K825" s="39"/>
      <c r="M825" s="33" t="s">
        <v>36</v>
      </c>
      <c r="N825" s="30"/>
      <c r="O825" s="34"/>
      <c r="P825" s="35"/>
      <c r="Q825" s="36"/>
      <c r="R825" s="36"/>
      <c r="S825" s="36"/>
      <c r="T825" s="30"/>
      <c r="U825" s="37" t="e">
        <f>U826/O826/8</f>
        <v>#REF!</v>
      </c>
      <c r="V825" s="38"/>
      <c r="W825" s="39"/>
    </row>
    <row r="826" spans="1:24" ht="18.75" customHeight="1">
      <c r="A826" s="33" t="s">
        <v>37</v>
      </c>
      <c r="B826" s="30" t="s">
        <v>29</v>
      </c>
      <c r="C826" s="34" t="e">
        <f>#REF!</f>
        <v>#REF!</v>
      </c>
      <c r="D826" s="35" t="s">
        <v>38</v>
      </c>
      <c r="E826" s="359" t="s">
        <v>39</v>
      </c>
      <c r="F826" s="359"/>
      <c r="G826" s="359"/>
      <c r="H826" s="30" t="s">
        <v>29</v>
      </c>
      <c r="I826" s="360" t="e">
        <f>I824*680/((C826-C833)*8+C833*7+C830)*((C826-C833)*8+C833*7)</f>
        <v>#REF!</v>
      </c>
      <c r="J826" s="360"/>
      <c r="K826" s="39" t="s">
        <v>34</v>
      </c>
      <c r="L826" s="40" t="e">
        <f>F823/L816*C826</f>
        <v>#REF!</v>
      </c>
      <c r="M826" s="33" t="s">
        <v>37</v>
      </c>
      <c r="N826" s="30" t="s">
        <v>29</v>
      </c>
      <c r="O826" s="34" t="e">
        <f>#REF!</f>
        <v>#REF!</v>
      </c>
      <c r="P826" s="35" t="s">
        <v>38</v>
      </c>
      <c r="Q826" s="359" t="s">
        <v>39</v>
      </c>
      <c r="R826" s="359"/>
      <c r="S826" s="359"/>
      <c r="T826" s="30" t="s">
        <v>29</v>
      </c>
      <c r="U826" s="360" t="e">
        <f>U824*680/((O826-O833)*8+O833*7+O830)*((O826-O833)*8+O833*7)</f>
        <v>#REF!</v>
      </c>
      <c r="V826" s="360"/>
      <c r="W826" s="39" t="s">
        <v>34</v>
      </c>
      <c r="X826" s="40" t="e">
        <f>R823/X816*O826</f>
        <v>#REF!</v>
      </c>
    </row>
    <row r="827" spans="1:24" ht="18.75" customHeight="1">
      <c r="A827" s="33" t="s">
        <v>40</v>
      </c>
      <c r="B827" s="30" t="s">
        <v>29</v>
      </c>
      <c r="C827" s="34" t="e">
        <f>#REF!</f>
        <v>#REF!</v>
      </c>
      <c r="D827" s="35" t="s">
        <v>38</v>
      </c>
      <c r="E827" s="31" t="s">
        <v>41</v>
      </c>
      <c r="F827" s="31"/>
      <c r="G827" s="31"/>
      <c r="H827" s="30" t="s">
        <v>29</v>
      </c>
      <c r="I827" s="358" t="e">
        <f>$F$8/$L$1*C827</f>
        <v>#REF!</v>
      </c>
      <c r="J827" s="358"/>
      <c r="K827" s="39" t="s">
        <v>34</v>
      </c>
      <c r="L827" s="40"/>
      <c r="M827" s="33" t="s">
        <v>40</v>
      </c>
      <c r="N827" s="30" t="s">
        <v>29</v>
      </c>
      <c r="O827" s="34" t="e">
        <f>#REF!</f>
        <v>#REF!</v>
      </c>
      <c r="P827" s="35" t="s">
        <v>38</v>
      </c>
      <c r="Q827" s="31" t="s">
        <v>41</v>
      </c>
      <c r="R827" s="31"/>
      <c r="S827" s="31"/>
      <c r="T827" s="30" t="s">
        <v>29</v>
      </c>
      <c r="U827" s="358" t="e">
        <f>$F$8/$L$1*O827</f>
        <v>#REF!</v>
      </c>
      <c r="V827" s="358"/>
      <c r="W827" s="39" t="s">
        <v>34</v>
      </c>
      <c r="X827" s="40"/>
    </row>
    <row r="828" spans="1:24" ht="18.75" customHeight="1">
      <c r="A828" s="33" t="s">
        <v>42</v>
      </c>
      <c r="B828" s="30" t="s">
        <v>29</v>
      </c>
      <c r="C828" s="34" t="e">
        <f>#REF!</f>
        <v>#REF!</v>
      </c>
      <c r="D828" s="35" t="s">
        <v>38</v>
      </c>
      <c r="E828" s="357" t="s">
        <v>43</v>
      </c>
      <c r="F828" s="357"/>
      <c r="G828" s="357"/>
      <c r="H828" s="30" t="s">
        <v>29</v>
      </c>
      <c r="I828" s="358" t="e">
        <f>$F$8/$L$1*C828</f>
        <v>#REF!</v>
      </c>
      <c r="J828" s="358"/>
      <c r="K828" s="39" t="s">
        <v>34</v>
      </c>
      <c r="L828" s="40"/>
      <c r="M828" s="33" t="s">
        <v>42</v>
      </c>
      <c r="N828" s="30" t="s">
        <v>29</v>
      </c>
      <c r="O828" s="34" t="e">
        <f>#REF!</f>
        <v>#REF!</v>
      </c>
      <c r="P828" s="35" t="s">
        <v>38</v>
      </c>
      <c r="Q828" s="357" t="s">
        <v>43</v>
      </c>
      <c r="R828" s="357"/>
      <c r="S828" s="357"/>
      <c r="T828" s="30" t="s">
        <v>29</v>
      </c>
      <c r="U828" s="358" t="e">
        <f>$F$8/$L$1*O828</f>
        <v>#REF!</v>
      </c>
      <c r="V828" s="358"/>
      <c r="W828" s="39" t="s">
        <v>34</v>
      </c>
      <c r="X828" s="40"/>
    </row>
    <row r="829" spans="1:24" ht="18.75" customHeight="1">
      <c r="A829" s="33" t="s">
        <v>44</v>
      </c>
      <c r="B829" s="30" t="s">
        <v>29</v>
      </c>
      <c r="C829" s="34" t="e">
        <f>#REF!</f>
        <v>#REF!</v>
      </c>
      <c r="D829" s="35" t="s">
        <v>38</v>
      </c>
      <c r="E829" s="357" t="s">
        <v>45</v>
      </c>
      <c r="F829" s="357"/>
      <c r="G829" s="357"/>
      <c r="H829" s="30" t="s">
        <v>29</v>
      </c>
      <c r="I829" s="358" t="e">
        <f>$F$8/$L$1*C829</f>
        <v>#REF!</v>
      </c>
      <c r="J829" s="358"/>
      <c r="K829" s="39" t="s">
        <v>34</v>
      </c>
      <c r="L829" s="40"/>
      <c r="M829" s="33" t="s">
        <v>44</v>
      </c>
      <c r="N829" s="30" t="s">
        <v>29</v>
      </c>
      <c r="O829" s="34" t="e">
        <f>#REF!</f>
        <v>#REF!</v>
      </c>
      <c r="P829" s="35" t="s">
        <v>38</v>
      </c>
      <c r="Q829" s="357" t="s">
        <v>45</v>
      </c>
      <c r="R829" s="357"/>
      <c r="S829" s="357"/>
      <c r="T829" s="30" t="s">
        <v>29</v>
      </c>
      <c r="U829" s="358" t="e">
        <f>$F$8/$L$1*O829</f>
        <v>#REF!</v>
      </c>
      <c r="V829" s="358"/>
      <c r="W829" s="39" t="s">
        <v>34</v>
      </c>
      <c r="X829" s="40"/>
    </row>
    <row r="830" spans="1:24" ht="18.75" customHeight="1">
      <c r="A830" s="33" t="s">
        <v>46</v>
      </c>
      <c r="B830" s="30" t="s">
        <v>29</v>
      </c>
      <c r="C830" s="34" t="e">
        <f>#REF!</f>
        <v>#REF!</v>
      </c>
      <c r="D830" s="35" t="s">
        <v>47</v>
      </c>
      <c r="E830" s="31" t="s">
        <v>48</v>
      </c>
      <c r="F830" s="31"/>
      <c r="G830" s="31"/>
      <c r="H830" s="30" t="s">
        <v>29</v>
      </c>
      <c r="I830" s="358" t="e">
        <f>I826/C826/8*C830</f>
        <v>#REF!</v>
      </c>
      <c r="J830" s="358"/>
      <c r="K830" s="39" t="s">
        <v>34</v>
      </c>
      <c r="L830" s="40" t="e">
        <f>F823*C830/L816/8*1.5</f>
        <v>#REF!</v>
      </c>
      <c r="M830" s="33" t="s">
        <v>46</v>
      </c>
      <c r="N830" s="30" t="s">
        <v>29</v>
      </c>
      <c r="O830" s="34" t="e">
        <f>#REF!</f>
        <v>#REF!</v>
      </c>
      <c r="P830" s="35" t="s">
        <v>47</v>
      </c>
      <c r="Q830" s="31" t="s">
        <v>48</v>
      </c>
      <c r="R830" s="31"/>
      <c r="S830" s="31"/>
      <c r="T830" s="30" t="s">
        <v>29</v>
      </c>
      <c r="U830" s="358" t="e">
        <f>U826/O826/8*O830</f>
        <v>#REF!</v>
      </c>
      <c r="V830" s="358"/>
      <c r="W830" s="39" t="s">
        <v>34</v>
      </c>
      <c r="X830" s="40" t="e">
        <f>R823*O830/X816/8*1.5</f>
        <v>#REF!</v>
      </c>
    </row>
    <row r="831" spans="1:24" ht="18.75" customHeight="1">
      <c r="A831" s="347" t="s">
        <v>49</v>
      </c>
      <c r="B831" s="31"/>
      <c r="C831" s="34"/>
      <c r="D831" s="35" t="s">
        <v>38</v>
      </c>
      <c r="E831" s="31" t="s">
        <v>50</v>
      </c>
      <c r="F831" s="31"/>
      <c r="G831" s="31"/>
      <c r="H831" s="41" t="s">
        <v>29</v>
      </c>
      <c r="I831" s="358"/>
      <c r="J831" s="358"/>
      <c r="K831" s="39" t="s">
        <v>34</v>
      </c>
      <c r="L831" s="40"/>
      <c r="M831" s="347" t="s">
        <v>49</v>
      </c>
      <c r="N831" s="31"/>
      <c r="O831" s="34"/>
      <c r="P831" s="35" t="s">
        <v>38</v>
      </c>
      <c r="Q831" s="31" t="s">
        <v>50</v>
      </c>
      <c r="R831" s="31"/>
      <c r="S831" s="31"/>
      <c r="T831" s="41" t="s">
        <v>29</v>
      </c>
      <c r="U831" s="358"/>
      <c r="V831" s="358"/>
      <c r="W831" s="39" t="s">
        <v>34</v>
      </c>
      <c r="X831" s="40"/>
    </row>
    <row r="832" spans="1:24" ht="18.75" customHeight="1">
      <c r="A832" s="33" t="s">
        <v>51</v>
      </c>
      <c r="B832" s="30" t="s">
        <v>29</v>
      </c>
      <c r="C832" s="34"/>
      <c r="D832" s="35" t="s">
        <v>38</v>
      </c>
      <c r="E832" s="31" t="s">
        <v>52</v>
      </c>
      <c r="F832" s="31"/>
      <c r="G832" s="31"/>
      <c r="H832" s="30" t="s">
        <v>29</v>
      </c>
      <c r="I832" s="358"/>
      <c r="J832" s="358"/>
      <c r="K832" s="39" t="s">
        <v>34</v>
      </c>
      <c r="L832" s="40"/>
      <c r="M832" s="33" t="s">
        <v>51</v>
      </c>
      <c r="N832" s="30" t="s">
        <v>29</v>
      </c>
      <c r="O832" s="34"/>
      <c r="P832" s="35" t="s">
        <v>38</v>
      </c>
      <c r="Q832" s="31" t="s">
        <v>52</v>
      </c>
      <c r="R832" s="31"/>
      <c r="S832" s="31"/>
      <c r="T832" s="30" t="s">
        <v>29</v>
      </c>
      <c r="U832" s="358"/>
      <c r="V832" s="358"/>
      <c r="W832" s="39" t="s">
        <v>34</v>
      </c>
      <c r="X832" s="40"/>
    </row>
    <row r="833" spans="1:24" ht="18.75" customHeight="1">
      <c r="A833" s="42" t="s">
        <v>53</v>
      </c>
      <c r="B833" s="30"/>
      <c r="C833" s="34" t="e">
        <f>#REF!</f>
        <v>#REF!</v>
      </c>
      <c r="D833" s="35" t="s">
        <v>47</v>
      </c>
      <c r="E833" s="31" t="s">
        <v>54</v>
      </c>
      <c r="F833" s="31"/>
      <c r="G833" s="31"/>
      <c r="H833" s="30" t="s">
        <v>29</v>
      </c>
      <c r="I833" s="358" t="e">
        <f>$F$8*C833/8/$L$1</f>
        <v>#REF!</v>
      </c>
      <c r="J833" s="358"/>
      <c r="K833" s="39" t="s">
        <v>34</v>
      </c>
      <c r="L833" s="40"/>
      <c r="M833" s="42" t="s">
        <v>53</v>
      </c>
      <c r="N833" s="30"/>
      <c r="O833" s="34" t="e">
        <f>#REF!</f>
        <v>#REF!</v>
      </c>
      <c r="P833" s="35" t="s">
        <v>47</v>
      </c>
      <c r="Q833" s="31" t="s">
        <v>54</v>
      </c>
      <c r="R833" s="31"/>
      <c r="S833" s="31"/>
      <c r="T833" s="30" t="s">
        <v>29</v>
      </c>
      <c r="U833" s="358" t="e">
        <f>$F$8*O833/8/$L$1</f>
        <v>#REF!</v>
      </c>
      <c r="V833" s="358"/>
      <c r="W833" s="39" t="s">
        <v>34</v>
      </c>
      <c r="X833" s="40"/>
    </row>
    <row r="834" spans="1:24" ht="18.75" customHeight="1">
      <c r="A834" s="33" t="s">
        <v>55</v>
      </c>
      <c r="B834" s="30" t="s">
        <v>29</v>
      </c>
      <c r="C834" s="34"/>
      <c r="D834" s="35" t="s">
        <v>47</v>
      </c>
      <c r="E834" s="31" t="s">
        <v>56</v>
      </c>
      <c r="F834" s="31"/>
      <c r="G834" s="31"/>
      <c r="H834" s="30" t="s">
        <v>29</v>
      </c>
      <c r="I834" s="360"/>
      <c r="J834" s="360"/>
      <c r="K834" s="39" t="s">
        <v>34</v>
      </c>
      <c r="L834" s="40"/>
      <c r="M834" s="33" t="s">
        <v>55</v>
      </c>
      <c r="N834" s="30" t="s">
        <v>29</v>
      </c>
      <c r="O834" s="34"/>
      <c r="P834" s="35" t="s">
        <v>47</v>
      </c>
      <c r="Q834" s="31" t="s">
        <v>56</v>
      </c>
      <c r="R834" s="31"/>
      <c r="S834" s="31"/>
      <c r="T834" s="30" t="s">
        <v>29</v>
      </c>
      <c r="U834" s="360"/>
      <c r="V834" s="360"/>
      <c r="W834" s="39" t="s">
        <v>34</v>
      </c>
      <c r="X834" s="40"/>
    </row>
    <row r="835" spans="1:24" ht="18.75" customHeight="1">
      <c r="A835" s="33" t="s">
        <v>57</v>
      </c>
      <c r="B835" s="30" t="s">
        <v>29</v>
      </c>
      <c r="C835" s="34"/>
      <c r="D835" s="35" t="s">
        <v>58</v>
      </c>
      <c r="E835" s="31" t="s">
        <v>59</v>
      </c>
      <c r="F835" s="31"/>
      <c r="G835" s="31"/>
      <c r="H835" s="30" t="s">
        <v>29</v>
      </c>
      <c r="I835" s="358"/>
      <c r="J835" s="358"/>
      <c r="K835" s="39" t="s">
        <v>34</v>
      </c>
      <c r="L835" s="40" t="e">
        <f>+IF(L826-I826&lt;0,0,L826-I826)+IF(L830-I830&lt;0,0,L830-I830)</f>
        <v>#REF!</v>
      </c>
      <c r="M835" s="33" t="s">
        <v>57</v>
      </c>
      <c r="N835" s="30" t="s">
        <v>29</v>
      </c>
      <c r="O835" s="34"/>
      <c r="P835" s="35" t="s">
        <v>58</v>
      </c>
      <c r="Q835" s="31" t="s">
        <v>59</v>
      </c>
      <c r="R835" s="31"/>
      <c r="S835" s="31"/>
      <c r="T835" s="30" t="s">
        <v>29</v>
      </c>
      <c r="U835" s="358"/>
      <c r="V835" s="358"/>
      <c r="W835" s="39" t="s">
        <v>34</v>
      </c>
      <c r="X835" s="40" t="e">
        <f>+IF(X826-U826&lt;0,0,X826-U826)+IF(X830-U830&lt;0,0,X830-U830)</f>
        <v>#REF!</v>
      </c>
    </row>
    <row r="836" spans="1:24" ht="18.75" customHeight="1">
      <c r="A836" s="43" t="s">
        <v>60</v>
      </c>
      <c r="B836" s="44"/>
      <c r="C836" s="34"/>
      <c r="D836" s="35" t="s">
        <v>38</v>
      </c>
      <c r="E836" s="31" t="s">
        <v>61</v>
      </c>
      <c r="F836" s="31"/>
      <c r="G836" s="31"/>
      <c r="H836" s="30" t="s">
        <v>29</v>
      </c>
      <c r="I836" s="358"/>
      <c r="J836" s="358"/>
      <c r="K836" s="39" t="s">
        <v>34</v>
      </c>
      <c r="L836" s="40"/>
      <c r="M836" s="43" t="s">
        <v>60</v>
      </c>
      <c r="N836" s="44"/>
      <c r="O836" s="34"/>
      <c r="P836" s="35" t="s">
        <v>38</v>
      </c>
      <c r="Q836" s="31" t="s">
        <v>61</v>
      </c>
      <c r="R836" s="31"/>
      <c r="S836" s="31"/>
      <c r="T836" s="30" t="s">
        <v>29</v>
      </c>
      <c r="U836" s="358"/>
      <c r="V836" s="358"/>
      <c r="W836" s="39" t="s">
        <v>34</v>
      </c>
      <c r="X836" s="40"/>
    </row>
    <row r="837" spans="1:24" ht="18.75" customHeight="1">
      <c r="A837" s="383" t="s">
        <v>62</v>
      </c>
      <c r="B837" s="359"/>
      <c r="C837" s="34"/>
      <c r="D837" s="35"/>
      <c r="E837" s="36"/>
      <c r="F837" s="36"/>
      <c r="G837" s="36"/>
      <c r="H837" s="30" t="s">
        <v>29</v>
      </c>
      <c r="I837" s="358" t="e">
        <f>#REF!</f>
        <v>#REF!</v>
      </c>
      <c r="J837" s="358"/>
      <c r="K837" s="39" t="s">
        <v>34</v>
      </c>
      <c r="L837" s="40"/>
      <c r="M837" s="383" t="s">
        <v>62</v>
      </c>
      <c r="N837" s="359"/>
      <c r="O837" s="34"/>
      <c r="P837" s="35"/>
      <c r="Q837" s="36"/>
      <c r="R837" s="36"/>
      <c r="S837" s="36"/>
      <c r="T837" s="30" t="s">
        <v>29</v>
      </c>
      <c r="U837" s="358" t="e">
        <f>#REF!</f>
        <v>#REF!</v>
      </c>
      <c r="V837" s="358"/>
      <c r="W837" s="39" t="s">
        <v>34</v>
      </c>
      <c r="X837" s="40"/>
    </row>
    <row r="838" spans="1:24" ht="18.75" customHeight="1">
      <c r="A838" s="33" t="s">
        <v>63</v>
      </c>
      <c r="B838" s="30" t="s">
        <v>29</v>
      </c>
      <c r="C838" s="34"/>
      <c r="D838" s="35"/>
      <c r="E838" s="36" t="s">
        <v>64</v>
      </c>
      <c r="F838" s="36"/>
      <c r="G838" s="36"/>
      <c r="H838" s="30" t="s">
        <v>29</v>
      </c>
      <c r="I838" s="358" t="e">
        <f>L835</f>
        <v>#REF!</v>
      </c>
      <c r="J838" s="358"/>
      <c r="K838" s="39" t="s">
        <v>34</v>
      </c>
      <c r="L838" s="40"/>
      <c r="M838" s="33" t="s">
        <v>63</v>
      </c>
      <c r="N838" s="30" t="s">
        <v>29</v>
      </c>
      <c r="O838" s="34"/>
      <c r="P838" s="35"/>
      <c r="Q838" s="36" t="s">
        <v>64</v>
      </c>
      <c r="R838" s="36"/>
      <c r="S838" s="36"/>
      <c r="T838" s="30" t="s">
        <v>29</v>
      </c>
      <c r="U838" s="358" t="e">
        <f>X835</f>
        <v>#REF!</v>
      </c>
      <c r="V838" s="358"/>
      <c r="W838" s="39" t="s">
        <v>34</v>
      </c>
      <c r="X838" s="40"/>
    </row>
    <row r="839" spans="1:24" ht="18.75" customHeight="1">
      <c r="A839" s="362" t="s">
        <v>65</v>
      </c>
      <c r="B839" s="363"/>
      <c r="C839" s="363"/>
      <c r="D839" s="363"/>
      <c r="E839" s="363"/>
      <c r="F839" s="363"/>
      <c r="G839" s="30" t="s">
        <v>29</v>
      </c>
      <c r="H839" s="364" t="e">
        <f>I826+I827+I828+I829+I830+I833+I837+I838+I831+I832+I834+I835+I836+C837</f>
        <v>#REF!</v>
      </c>
      <c r="I839" s="365"/>
      <c r="J839" s="365"/>
      <c r="K839" s="39" t="s">
        <v>34</v>
      </c>
      <c r="M839" s="362" t="s">
        <v>65</v>
      </c>
      <c r="N839" s="363"/>
      <c r="O839" s="363"/>
      <c r="P839" s="363"/>
      <c r="Q839" s="363"/>
      <c r="R839" s="363"/>
      <c r="S839" s="30" t="s">
        <v>29</v>
      </c>
      <c r="T839" s="364" t="e">
        <f>U826+U827+U828+U829+U830+U833+U837+U838+U831+U832+U834+U835+U836+O837</f>
        <v>#REF!</v>
      </c>
      <c r="U839" s="365"/>
      <c r="V839" s="365"/>
      <c r="W839" s="39" t="s">
        <v>34</v>
      </c>
    </row>
    <row r="840" spans="1:24" ht="18.75" customHeight="1">
      <c r="A840" s="45"/>
      <c r="B840" s="46"/>
      <c r="C840" s="46"/>
      <c r="D840" s="46"/>
      <c r="E840" s="46"/>
      <c r="F840" s="46"/>
      <c r="G840" s="46"/>
      <c r="H840" s="46"/>
      <c r="I840" s="46"/>
      <c r="J840" s="46"/>
      <c r="K840" s="47"/>
      <c r="M840" s="45"/>
      <c r="N840" s="46"/>
      <c r="O840" s="46"/>
      <c r="P840" s="46"/>
      <c r="Q840" s="46"/>
      <c r="R840" s="46"/>
      <c r="S840" s="46"/>
      <c r="T840" s="46"/>
      <c r="U840" s="46"/>
      <c r="V840" s="46"/>
      <c r="W840" s="47"/>
    </row>
    <row r="841" spans="1:24" ht="18.75" customHeight="1">
      <c r="A841" s="374" t="s">
        <v>66</v>
      </c>
      <c r="B841" s="375"/>
      <c r="C841" s="375"/>
      <c r="D841" s="375"/>
      <c r="E841" s="375"/>
      <c r="F841" s="375"/>
      <c r="G841" s="30"/>
      <c r="H841" s="30"/>
      <c r="I841" s="30"/>
      <c r="J841" s="30"/>
      <c r="K841" s="39"/>
      <c r="M841" s="374" t="s">
        <v>66</v>
      </c>
      <c r="N841" s="375"/>
      <c r="O841" s="375"/>
      <c r="P841" s="375"/>
      <c r="Q841" s="375"/>
      <c r="R841" s="375"/>
      <c r="S841" s="30"/>
      <c r="T841" s="30"/>
      <c r="U841" s="30"/>
      <c r="V841" s="30"/>
      <c r="W841" s="39"/>
    </row>
    <row r="842" spans="1:24" ht="18.75" customHeight="1">
      <c r="A842" s="368" t="s">
        <v>67</v>
      </c>
      <c r="B842" s="369"/>
      <c r="C842" s="369"/>
      <c r="D842" s="369"/>
      <c r="E842" s="369"/>
      <c r="F842" s="369"/>
      <c r="G842" s="30" t="s">
        <v>29</v>
      </c>
      <c r="H842" s="376" t="e">
        <f>IF(($L$1-(C826+C827+C828+C829))&gt;12,0,F823*8%)</f>
        <v>#REF!</v>
      </c>
      <c r="I842" s="376"/>
      <c r="J842" s="376"/>
      <c r="K842" s="39" t="s">
        <v>34</v>
      </c>
      <c r="M842" s="368" t="s">
        <v>67</v>
      </c>
      <c r="N842" s="369"/>
      <c r="O842" s="369"/>
      <c r="P842" s="369"/>
      <c r="Q842" s="369"/>
      <c r="R842" s="369"/>
      <c r="S842" s="30" t="s">
        <v>29</v>
      </c>
      <c r="T842" s="376" t="e">
        <f>IF(($L$1-(O826+O827+O828+O829))&gt;12,0,R823*8%)</f>
        <v>#REF!</v>
      </c>
      <c r="U842" s="376"/>
      <c r="V842" s="376"/>
      <c r="W842" s="39" t="s">
        <v>34</v>
      </c>
    </row>
    <row r="843" spans="1:24" ht="18.75" customHeight="1">
      <c r="A843" s="368" t="s">
        <v>68</v>
      </c>
      <c r="B843" s="369"/>
      <c r="C843" s="369"/>
      <c r="D843" s="369"/>
      <c r="E843" s="369"/>
      <c r="F843" s="369"/>
      <c r="G843" s="30" t="s">
        <v>29</v>
      </c>
      <c r="H843" s="370" t="e">
        <f>IF(($L$1-(C826+C827+C828+C829))&gt;12,0,F823*1.5%)</f>
        <v>#REF!</v>
      </c>
      <c r="I843" s="370"/>
      <c r="J843" s="370"/>
      <c r="K843" s="39" t="s">
        <v>34</v>
      </c>
      <c r="M843" s="368" t="s">
        <v>68</v>
      </c>
      <c r="N843" s="369"/>
      <c r="O843" s="369"/>
      <c r="P843" s="369"/>
      <c r="Q843" s="369"/>
      <c r="R843" s="369"/>
      <c r="S843" s="30" t="s">
        <v>29</v>
      </c>
      <c r="T843" s="370" t="e">
        <f>IF(($L$1-(O826+O827+O828+O829))&gt;12,0,R823*1.5%)</f>
        <v>#REF!</v>
      </c>
      <c r="U843" s="370"/>
      <c r="V843" s="370"/>
      <c r="W843" s="39" t="s">
        <v>34</v>
      </c>
    </row>
    <row r="844" spans="1:24" ht="18.75" customHeight="1">
      <c r="A844" s="368" t="s">
        <v>69</v>
      </c>
      <c r="B844" s="369"/>
      <c r="C844" s="369"/>
      <c r="D844" s="369"/>
      <c r="E844" s="369"/>
      <c r="F844" s="369"/>
      <c r="G844" s="30" t="s">
        <v>29</v>
      </c>
      <c r="H844" s="370" t="e">
        <f>IF(($L$1-(C826+C827+C828+C829))&gt;12,0,F823*1%)</f>
        <v>#REF!</v>
      </c>
      <c r="I844" s="370"/>
      <c r="J844" s="370"/>
      <c r="K844" s="39" t="s">
        <v>34</v>
      </c>
      <c r="M844" s="368" t="s">
        <v>69</v>
      </c>
      <c r="N844" s="369"/>
      <c r="O844" s="369"/>
      <c r="P844" s="369"/>
      <c r="Q844" s="369"/>
      <c r="R844" s="369"/>
      <c r="S844" s="30" t="s">
        <v>29</v>
      </c>
      <c r="T844" s="370" t="e">
        <f>IF(($L$1-(O826+O827+O828+O829))&gt;12,0,R823*1%)</f>
        <v>#REF!</v>
      </c>
      <c r="U844" s="370"/>
      <c r="V844" s="370"/>
      <c r="W844" s="39" t="s">
        <v>34</v>
      </c>
    </row>
    <row r="845" spans="1:24" ht="18.75" customHeight="1">
      <c r="A845" s="368" t="s">
        <v>70</v>
      </c>
      <c r="B845" s="369"/>
      <c r="C845" s="369"/>
      <c r="D845" s="369"/>
      <c r="E845" s="369"/>
      <c r="F845" s="369"/>
      <c r="G845" s="30" t="s">
        <v>29</v>
      </c>
      <c r="H845" s="370">
        <v>0</v>
      </c>
      <c r="I845" s="370"/>
      <c r="J845" s="370"/>
      <c r="K845" s="39" t="s">
        <v>34</v>
      </c>
      <c r="M845" s="368" t="s">
        <v>70</v>
      </c>
      <c r="N845" s="369"/>
      <c r="O845" s="369"/>
      <c r="P845" s="369"/>
      <c r="Q845" s="369"/>
      <c r="R845" s="369"/>
      <c r="S845" s="30" t="s">
        <v>29</v>
      </c>
      <c r="T845" s="370">
        <v>0</v>
      </c>
      <c r="U845" s="370"/>
      <c r="V845" s="370"/>
      <c r="W845" s="39" t="s">
        <v>34</v>
      </c>
    </row>
    <row r="846" spans="1:24" ht="18.75" customHeight="1">
      <c r="A846" s="371" t="s">
        <v>71</v>
      </c>
      <c r="B846" s="372"/>
      <c r="C846" s="372"/>
      <c r="D846" s="372"/>
      <c r="E846" s="372"/>
      <c r="F846" s="372"/>
      <c r="G846" s="30" t="s">
        <v>29</v>
      </c>
      <c r="H846" s="373" t="e">
        <f>SUM(H842:J845)</f>
        <v>#REF!</v>
      </c>
      <c r="I846" s="373"/>
      <c r="J846" s="373"/>
      <c r="K846" s="39" t="s">
        <v>34</v>
      </c>
      <c r="M846" s="371" t="s">
        <v>71</v>
      </c>
      <c r="N846" s="372"/>
      <c r="O846" s="372"/>
      <c r="P846" s="372"/>
      <c r="Q846" s="372"/>
      <c r="R846" s="372"/>
      <c r="S846" s="30" t="s">
        <v>29</v>
      </c>
      <c r="T846" s="373" t="e">
        <f>SUM(T842:V845)</f>
        <v>#REF!</v>
      </c>
      <c r="U846" s="373"/>
      <c r="V846" s="373"/>
      <c r="W846" s="39" t="s">
        <v>34</v>
      </c>
    </row>
    <row r="847" spans="1:24" ht="18.75" customHeight="1">
      <c r="A847" s="368" t="s">
        <v>72</v>
      </c>
      <c r="B847" s="369"/>
      <c r="C847" s="369"/>
      <c r="D847" s="369"/>
      <c r="E847" s="369"/>
      <c r="F847" s="369"/>
      <c r="G847" s="30" t="s">
        <v>29</v>
      </c>
      <c r="H847" s="381" t="e">
        <f>ROUND(H839-H846,-2)</f>
        <v>#REF!</v>
      </c>
      <c r="I847" s="381"/>
      <c r="J847" s="381"/>
      <c r="K847" s="39" t="s">
        <v>34</v>
      </c>
      <c r="M847" s="368" t="s">
        <v>72</v>
      </c>
      <c r="N847" s="369"/>
      <c r="O847" s="369"/>
      <c r="P847" s="369"/>
      <c r="Q847" s="369"/>
      <c r="R847" s="369"/>
      <c r="S847" s="30" t="s">
        <v>29</v>
      </c>
      <c r="T847" s="381" t="e">
        <f>ROUND(T839-T846,-2)</f>
        <v>#REF!</v>
      </c>
      <c r="U847" s="381"/>
      <c r="V847" s="381"/>
      <c r="W847" s="39" t="s">
        <v>34</v>
      </c>
    </row>
    <row r="848" spans="1:24" ht="18.75" customHeight="1">
      <c r="A848" s="48"/>
      <c r="B848" s="49"/>
      <c r="C848" s="49"/>
      <c r="D848" s="49"/>
      <c r="E848" s="49"/>
      <c r="F848" s="49"/>
      <c r="G848" s="49"/>
      <c r="H848" s="49"/>
      <c r="I848" s="49"/>
      <c r="J848" s="49"/>
      <c r="K848" s="50"/>
      <c r="M848" s="48"/>
      <c r="N848" s="49"/>
      <c r="O848" s="49"/>
      <c r="P848" s="49"/>
      <c r="Q848" s="49"/>
      <c r="R848" s="49"/>
      <c r="S848" s="49"/>
      <c r="T848" s="49"/>
      <c r="U848" s="49"/>
      <c r="V848" s="49"/>
      <c r="W848" s="50"/>
    </row>
    <row r="849" spans="1:24" ht="18.75" customHeight="1">
      <c r="A849" s="51"/>
      <c r="B849" s="30"/>
      <c r="C849" s="30"/>
      <c r="D849" s="30"/>
      <c r="E849" s="30"/>
      <c r="F849" s="30"/>
      <c r="G849" s="30"/>
      <c r="H849" s="30"/>
      <c r="I849" s="378" t="s">
        <v>73</v>
      </c>
      <c r="J849" s="378"/>
      <c r="K849" s="382"/>
      <c r="M849" s="51"/>
      <c r="N849" s="30"/>
      <c r="O849" s="30"/>
      <c r="P849" s="30"/>
      <c r="Q849" s="30"/>
      <c r="R849" s="30"/>
      <c r="S849" s="30"/>
      <c r="T849" s="30"/>
      <c r="U849" s="378" t="s">
        <v>73</v>
      </c>
      <c r="V849" s="378"/>
      <c r="W849" s="382"/>
    </row>
    <row r="850" spans="1:24" ht="18.75" customHeight="1">
      <c r="A850" s="51"/>
      <c r="B850" s="377"/>
      <c r="C850" s="378"/>
      <c r="D850" s="378"/>
      <c r="E850" s="378"/>
      <c r="F850" s="30"/>
      <c r="G850" s="30"/>
      <c r="H850" s="30"/>
      <c r="I850" s="30"/>
      <c r="J850" s="30"/>
      <c r="K850" s="32"/>
      <c r="M850" s="51"/>
      <c r="N850" s="377"/>
      <c r="O850" s="378"/>
      <c r="P850" s="378"/>
      <c r="Q850" s="378"/>
      <c r="R850" s="30"/>
      <c r="S850" s="30"/>
      <c r="T850" s="30"/>
      <c r="U850" s="30"/>
      <c r="V850" s="30"/>
      <c r="W850" s="32"/>
    </row>
    <row r="851" spans="1:24" ht="18.75" customHeight="1" thickBot="1">
      <c r="A851" s="53"/>
      <c r="B851" s="54"/>
      <c r="C851" s="54"/>
      <c r="D851" s="54"/>
      <c r="E851" s="54"/>
      <c r="F851" s="54"/>
      <c r="G851" s="54"/>
      <c r="H851" s="54"/>
      <c r="I851" s="379" t="s">
        <v>74</v>
      </c>
      <c r="J851" s="379"/>
      <c r="K851" s="380"/>
      <c r="M851" s="53"/>
      <c r="N851" s="54"/>
      <c r="O851" s="54"/>
      <c r="P851" s="54"/>
      <c r="Q851" s="54"/>
      <c r="R851" s="54"/>
      <c r="S851" s="54"/>
      <c r="T851" s="54"/>
      <c r="U851" s="379" t="s">
        <v>74</v>
      </c>
      <c r="V851" s="379"/>
      <c r="W851" s="380"/>
    </row>
    <row r="852" spans="1:24" ht="18.75" customHeight="1" thickTop="1" thickBot="1"/>
    <row r="853" spans="1:24" ht="18.75" customHeight="1" thickTop="1">
      <c r="A853" s="351" t="s">
        <v>160</v>
      </c>
      <c r="B853" s="352"/>
      <c r="C853" s="352"/>
      <c r="D853" s="352"/>
      <c r="E853" s="352"/>
      <c r="F853" s="352"/>
      <c r="G853" s="352"/>
      <c r="H853" s="352"/>
      <c r="I853" s="352"/>
      <c r="J853" s="352"/>
      <c r="K853" s="353"/>
      <c r="L853" s="26">
        <v>24</v>
      </c>
      <c r="M853" s="351" t="s">
        <v>160</v>
      </c>
      <c r="N853" s="352"/>
      <c r="O853" s="352"/>
      <c r="P853" s="352"/>
      <c r="Q853" s="352"/>
      <c r="R853" s="352"/>
      <c r="S853" s="352"/>
      <c r="T853" s="352"/>
      <c r="U853" s="352"/>
      <c r="V853" s="352"/>
      <c r="W853" s="353"/>
      <c r="X853" s="26">
        <v>24</v>
      </c>
    </row>
    <row r="854" spans="1:24" ht="18.75" customHeight="1">
      <c r="A854" s="27" t="s">
        <v>121</v>
      </c>
      <c r="B854" s="28"/>
      <c r="C854" s="28"/>
      <c r="D854" s="28"/>
      <c r="E854" s="28"/>
      <c r="F854" s="28"/>
      <c r="G854" s="28"/>
      <c r="H854" s="28"/>
      <c r="I854" s="28"/>
      <c r="J854" s="28"/>
      <c r="K854" s="29"/>
      <c r="M854" s="27" t="s">
        <v>122</v>
      </c>
      <c r="N854" s="28"/>
      <c r="O854" s="28"/>
      <c r="P854" s="28"/>
      <c r="Q854" s="28"/>
      <c r="R854" s="28"/>
      <c r="S854" s="28"/>
      <c r="T854" s="28"/>
      <c r="U854" s="28"/>
      <c r="V854" s="28"/>
      <c r="W854" s="29"/>
    </row>
    <row r="855" spans="1:24" ht="18.75" customHeight="1">
      <c r="A855" s="354" t="s">
        <v>27</v>
      </c>
      <c r="B855" s="355"/>
      <c r="C855" s="355"/>
      <c r="D855" s="355"/>
      <c r="E855" s="355"/>
      <c r="F855" s="355"/>
      <c r="G855" s="355"/>
      <c r="H855" s="355"/>
      <c r="I855" s="355"/>
      <c r="J855" s="355"/>
      <c r="K855" s="356"/>
      <c r="M855" s="354" t="s">
        <v>27</v>
      </c>
      <c r="N855" s="355"/>
      <c r="O855" s="355"/>
      <c r="P855" s="355"/>
      <c r="Q855" s="355"/>
      <c r="R855" s="355"/>
      <c r="S855" s="355"/>
      <c r="T855" s="355"/>
      <c r="U855" s="355"/>
      <c r="V855" s="355"/>
      <c r="W855" s="356"/>
    </row>
    <row r="856" spans="1:24" ht="18.75" customHeight="1">
      <c r="A856" s="347" t="s">
        <v>28</v>
      </c>
      <c r="B856" s="31"/>
      <c r="C856" s="31"/>
      <c r="D856" s="31"/>
      <c r="E856" s="30" t="s">
        <v>29</v>
      </c>
      <c r="F856" s="348">
        <f>'Bang TH nop'!B101</f>
        <v>0</v>
      </c>
      <c r="G856" s="31"/>
      <c r="H856" s="31"/>
      <c r="I856" s="31"/>
      <c r="J856" s="31"/>
      <c r="K856" s="350"/>
      <c r="M856" s="347" t="s">
        <v>28</v>
      </c>
      <c r="N856" s="31"/>
      <c r="O856" s="31"/>
      <c r="P856" s="31"/>
      <c r="Q856" s="30" t="s">
        <v>29</v>
      </c>
      <c r="R856" s="31"/>
      <c r="S856" s="31"/>
      <c r="T856" s="31"/>
      <c r="U856" s="31"/>
      <c r="V856" s="31"/>
      <c r="W856" s="350"/>
    </row>
    <row r="857" spans="1:24" ht="18.75" customHeight="1">
      <c r="A857" s="347" t="s">
        <v>30</v>
      </c>
      <c r="B857" s="31"/>
      <c r="C857" s="31"/>
      <c r="D857" s="31"/>
      <c r="E857" s="30" t="s">
        <v>29</v>
      </c>
      <c r="F857" s="348">
        <f>'Bang TH nop'!C101</f>
        <v>0</v>
      </c>
      <c r="G857" s="348"/>
      <c r="H857" s="348"/>
      <c r="I857" s="348"/>
      <c r="J857" s="348"/>
      <c r="K857" s="349"/>
      <c r="M857" s="347" t="s">
        <v>30</v>
      </c>
      <c r="N857" s="31"/>
      <c r="O857" s="31"/>
      <c r="P857" s="31"/>
      <c r="Q857" s="30" t="s">
        <v>29</v>
      </c>
      <c r="R857" s="348"/>
      <c r="S857" s="348"/>
      <c r="T857" s="348"/>
      <c r="U857" s="348"/>
      <c r="V857" s="348"/>
      <c r="W857" s="349"/>
    </row>
    <row r="858" spans="1:24" ht="18.75" customHeight="1">
      <c r="A858" s="347" t="s">
        <v>31</v>
      </c>
      <c r="B858" s="31"/>
      <c r="C858" s="31"/>
      <c r="D858" s="31"/>
      <c r="E858" s="30" t="s">
        <v>29</v>
      </c>
      <c r="F858" s="31" t="str">
        <f>+$L$2</f>
        <v xml:space="preserve">Tổ  </v>
      </c>
      <c r="G858" s="31"/>
      <c r="H858" s="31"/>
      <c r="I858" s="31"/>
      <c r="J858" s="31"/>
      <c r="K858" s="350"/>
      <c r="M858" s="347" t="s">
        <v>31</v>
      </c>
      <c r="N858" s="31"/>
      <c r="O858" s="31"/>
      <c r="P858" s="31"/>
      <c r="Q858" s="30" t="s">
        <v>29</v>
      </c>
      <c r="R858" s="31" t="str">
        <f>+$L$2</f>
        <v xml:space="preserve">Tổ  </v>
      </c>
      <c r="S858" s="31"/>
      <c r="T858" s="31"/>
      <c r="U858" s="31"/>
      <c r="V858" s="31"/>
      <c r="W858" s="350"/>
    </row>
    <row r="859" spans="1:24" ht="18.75" customHeight="1">
      <c r="A859" s="354" t="s">
        <v>32</v>
      </c>
      <c r="B859" s="355"/>
      <c r="C859" s="355"/>
      <c r="D859" s="355"/>
      <c r="E859" s="355"/>
      <c r="F859" s="355"/>
      <c r="G859" s="355"/>
      <c r="H859" s="355"/>
      <c r="I859" s="355"/>
      <c r="J859" s="355"/>
      <c r="K859" s="356"/>
      <c r="M859" s="354" t="s">
        <v>32</v>
      </c>
      <c r="N859" s="355"/>
      <c r="O859" s="355"/>
      <c r="P859" s="355"/>
      <c r="Q859" s="355"/>
      <c r="R859" s="355"/>
      <c r="S859" s="355"/>
      <c r="T859" s="355"/>
      <c r="U859" s="355"/>
      <c r="V859" s="355"/>
      <c r="W859" s="356"/>
    </row>
    <row r="860" spans="1:24" ht="18.75" customHeight="1">
      <c r="A860" s="347" t="s">
        <v>33</v>
      </c>
      <c r="B860" s="31"/>
      <c r="C860" s="31"/>
      <c r="D860" s="31"/>
      <c r="E860" s="30" t="s">
        <v>29</v>
      </c>
      <c r="F860" s="361">
        <f>VLOOKUP(F857,'Bang TH nop'!$C$9:$AP$266,29,0)</f>
        <v>0</v>
      </c>
      <c r="G860" s="361"/>
      <c r="H860" s="361"/>
      <c r="I860" s="361"/>
      <c r="J860" s="30" t="s">
        <v>34</v>
      </c>
      <c r="K860" s="32"/>
      <c r="M860" s="347" t="s">
        <v>33</v>
      </c>
      <c r="N860" s="31"/>
      <c r="O860" s="31"/>
      <c r="P860" s="31"/>
      <c r="Q860" s="30" t="s">
        <v>29</v>
      </c>
      <c r="R860" s="361">
        <f>VLOOKUP(R857,'Bang TH nop'!$C$9:$AP$266,29,0)</f>
        <v>0</v>
      </c>
      <c r="S860" s="361"/>
      <c r="T860" s="361"/>
      <c r="U860" s="361"/>
      <c r="V860" s="30" t="s">
        <v>34</v>
      </c>
      <c r="W860" s="32"/>
    </row>
    <row r="861" spans="1:24" ht="18.75" customHeight="1">
      <c r="A861" s="33" t="s">
        <v>35</v>
      </c>
      <c r="B861" s="30"/>
      <c r="C861" s="34"/>
      <c r="D861" s="35"/>
      <c r="E861" s="36"/>
      <c r="F861" s="36"/>
      <c r="G861" s="36"/>
      <c r="H861" s="30"/>
      <c r="I861" s="37" t="e">
        <f>#REF!</f>
        <v>#REF!</v>
      </c>
      <c r="J861" s="38"/>
      <c r="K861" s="39"/>
      <c r="M861" s="33" t="s">
        <v>35</v>
      </c>
      <c r="N861" s="30"/>
      <c r="O861" s="34"/>
      <c r="P861" s="35"/>
      <c r="Q861" s="36"/>
      <c r="R861" s="36"/>
      <c r="S861" s="36"/>
      <c r="T861" s="30"/>
      <c r="U861" s="37"/>
      <c r="V861" s="38"/>
      <c r="W861" s="39"/>
    </row>
    <row r="862" spans="1:24" ht="18.75" customHeight="1">
      <c r="A862" s="33" t="s">
        <v>36</v>
      </c>
      <c r="B862" s="30"/>
      <c r="C862" s="34"/>
      <c r="D862" s="35"/>
      <c r="E862" s="36"/>
      <c r="F862" s="36"/>
      <c r="G862" s="36"/>
      <c r="H862" s="30"/>
      <c r="I862" s="37" t="e">
        <f>I863/C863/8</f>
        <v>#REF!</v>
      </c>
      <c r="J862" s="38"/>
      <c r="K862" s="39"/>
      <c r="M862" s="33" t="s">
        <v>36</v>
      </c>
      <c r="N862" s="30"/>
      <c r="O862" s="34"/>
      <c r="P862" s="35"/>
      <c r="Q862" s="36"/>
      <c r="R862" s="36"/>
      <c r="S862" s="36"/>
      <c r="T862" s="30"/>
      <c r="U862" s="37" t="e">
        <f>U863/O863/8</f>
        <v>#DIV/0!</v>
      </c>
      <c r="V862" s="38"/>
      <c r="W862" s="39"/>
    </row>
    <row r="863" spans="1:24" ht="18.75" customHeight="1">
      <c r="A863" s="33" t="s">
        <v>37</v>
      </c>
      <c r="B863" s="30" t="s">
        <v>29</v>
      </c>
      <c r="C863" s="34" t="e">
        <f>#REF!</f>
        <v>#REF!</v>
      </c>
      <c r="D863" s="35" t="s">
        <v>38</v>
      </c>
      <c r="E863" s="359" t="s">
        <v>39</v>
      </c>
      <c r="F863" s="359"/>
      <c r="G863" s="359"/>
      <c r="H863" s="30" t="s">
        <v>29</v>
      </c>
      <c r="I863" s="360" t="e">
        <f>I861*680/((C863-C870)*8+C870*7+C867)*((C863-C870)*8+C870*7)</f>
        <v>#REF!</v>
      </c>
      <c r="J863" s="360"/>
      <c r="K863" s="39" t="s">
        <v>34</v>
      </c>
      <c r="L863" s="40" t="e">
        <f>F860/L853*C863</f>
        <v>#REF!</v>
      </c>
      <c r="M863" s="33" t="s">
        <v>37</v>
      </c>
      <c r="N863" s="30" t="s">
        <v>29</v>
      </c>
      <c r="O863" s="34"/>
      <c r="P863" s="35" t="s">
        <v>38</v>
      </c>
      <c r="Q863" s="359" t="s">
        <v>39</v>
      </c>
      <c r="R863" s="359"/>
      <c r="S863" s="359"/>
      <c r="T863" s="30" t="s">
        <v>29</v>
      </c>
      <c r="U863" s="360" t="e">
        <f>U861*680/((O863-O870)*8+O870*7+O867)*((O863-O870)*8+O870*7)</f>
        <v>#DIV/0!</v>
      </c>
      <c r="V863" s="360"/>
      <c r="W863" s="39" t="s">
        <v>34</v>
      </c>
      <c r="X863" s="40">
        <f>R860/X853*O863</f>
        <v>0</v>
      </c>
    </row>
    <row r="864" spans="1:24" ht="18.75" customHeight="1">
      <c r="A864" s="33" t="s">
        <v>40</v>
      </c>
      <c r="B864" s="30" t="s">
        <v>29</v>
      </c>
      <c r="C864" s="34" t="e">
        <f>#REF!</f>
        <v>#REF!</v>
      </c>
      <c r="D864" s="35" t="s">
        <v>38</v>
      </c>
      <c r="E864" s="31" t="s">
        <v>41</v>
      </c>
      <c r="F864" s="31"/>
      <c r="G864" s="31"/>
      <c r="H864" s="30" t="s">
        <v>29</v>
      </c>
      <c r="I864" s="358" t="e">
        <f>$F$8/$L$1*C864</f>
        <v>#REF!</v>
      </c>
      <c r="J864" s="358"/>
      <c r="K864" s="39" t="s">
        <v>34</v>
      </c>
      <c r="L864" s="40"/>
      <c r="M864" s="33" t="s">
        <v>40</v>
      </c>
      <c r="N864" s="30" t="s">
        <v>29</v>
      </c>
      <c r="O864" s="34"/>
      <c r="P864" s="35" t="s">
        <v>38</v>
      </c>
      <c r="Q864" s="31" t="s">
        <v>41</v>
      </c>
      <c r="R864" s="31"/>
      <c r="S864" s="31"/>
      <c r="T864" s="30" t="s">
        <v>29</v>
      </c>
      <c r="U864" s="358">
        <f>$F$8/$L$1*O864</f>
        <v>0</v>
      </c>
      <c r="V864" s="358"/>
      <c r="W864" s="39" t="s">
        <v>34</v>
      </c>
      <c r="X864" s="40"/>
    </row>
    <row r="865" spans="1:24" ht="18.75" customHeight="1">
      <c r="A865" s="33" t="s">
        <v>42</v>
      </c>
      <c r="B865" s="30" t="s">
        <v>29</v>
      </c>
      <c r="C865" s="34" t="e">
        <f>#REF!</f>
        <v>#REF!</v>
      </c>
      <c r="D865" s="35" t="s">
        <v>38</v>
      </c>
      <c r="E865" s="357" t="s">
        <v>43</v>
      </c>
      <c r="F865" s="357"/>
      <c r="G865" s="357"/>
      <c r="H865" s="30" t="s">
        <v>29</v>
      </c>
      <c r="I865" s="358" t="e">
        <f>$F$8/$L$1*C865</f>
        <v>#REF!</v>
      </c>
      <c r="J865" s="358"/>
      <c r="K865" s="39" t="s">
        <v>34</v>
      </c>
      <c r="L865" s="40"/>
      <c r="M865" s="33" t="s">
        <v>42</v>
      </c>
      <c r="N865" s="30" t="s">
        <v>29</v>
      </c>
      <c r="O865" s="34"/>
      <c r="P865" s="35" t="s">
        <v>38</v>
      </c>
      <c r="Q865" s="357" t="s">
        <v>43</v>
      </c>
      <c r="R865" s="357"/>
      <c r="S865" s="357"/>
      <c r="T865" s="30" t="s">
        <v>29</v>
      </c>
      <c r="U865" s="358">
        <f>$F$8/$L$1*O865</f>
        <v>0</v>
      </c>
      <c r="V865" s="358"/>
      <c r="W865" s="39" t="s">
        <v>34</v>
      </c>
      <c r="X865" s="40"/>
    </row>
    <row r="866" spans="1:24" ht="18.75" customHeight="1">
      <c r="A866" s="33" t="s">
        <v>44</v>
      </c>
      <c r="B866" s="30" t="s">
        <v>29</v>
      </c>
      <c r="C866" s="34" t="e">
        <f>#REF!</f>
        <v>#REF!</v>
      </c>
      <c r="D866" s="35" t="s">
        <v>38</v>
      </c>
      <c r="E866" s="357" t="s">
        <v>45</v>
      </c>
      <c r="F866" s="357"/>
      <c r="G866" s="357"/>
      <c r="H866" s="30" t="s">
        <v>29</v>
      </c>
      <c r="I866" s="358" t="e">
        <f>$F$8/$L$1*C866</f>
        <v>#REF!</v>
      </c>
      <c r="J866" s="358"/>
      <c r="K866" s="39" t="s">
        <v>34</v>
      </c>
      <c r="L866" s="40"/>
      <c r="M866" s="33" t="s">
        <v>44</v>
      </c>
      <c r="N866" s="30" t="s">
        <v>29</v>
      </c>
      <c r="O866" s="34"/>
      <c r="P866" s="35" t="s">
        <v>38</v>
      </c>
      <c r="Q866" s="357" t="s">
        <v>45</v>
      </c>
      <c r="R866" s="357"/>
      <c r="S866" s="357"/>
      <c r="T866" s="30" t="s">
        <v>29</v>
      </c>
      <c r="U866" s="358">
        <f>$F$8/$L$1*O866</f>
        <v>0</v>
      </c>
      <c r="V866" s="358"/>
      <c r="W866" s="39" t="s">
        <v>34</v>
      </c>
      <c r="X866" s="40"/>
    </row>
    <row r="867" spans="1:24" ht="18.75" customHeight="1">
      <c r="A867" s="33" t="s">
        <v>46</v>
      </c>
      <c r="B867" s="30" t="s">
        <v>29</v>
      </c>
      <c r="C867" s="34" t="e">
        <f>#REF!</f>
        <v>#REF!</v>
      </c>
      <c r="D867" s="35" t="s">
        <v>47</v>
      </c>
      <c r="E867" s="31" t="s">
        <v>48</v>
      </c>
      <c r="F867" s="31"/>
      <c r="G867" s="31"/>
      <c r="H867" s="30" t="s">
        <v>29</v>
      </c>
      <c r="I867" s="358" t="e">
        <f>I863/C863/8*C867</f>
        <v>#REF!</v>
      </c>
      <c r="J867" s="358"/>
      <c r="K867" s="39" t="s">
        <v>34</v>
      </c>
      <c r="L867" s="40" t="e">
        <f>F860*C867/L853/8*1.5</f>
        <v>#REF!</v>
      </c>
      <c r="M867" s="33" t="s">
        <v>46</v>
      </c>
      <c r="N867" s="30" t="s">
        <v>29</v>
      </c>
      <c r="O867" s="34"/>
      <c r="P867" s="35" t="s">
        <v>47</v>
      </c>
      <c r="Q867" s="31" t="s">
        <v>48</v>
      </c>
      <c r="R867" s="31"/>
      <c r="S867" s="31"/>
      <c r="T867" s="30" t="s">
        <v>29</v>
      </c>
      <c r="U867" s="358" t="e">
        <f>U863/O863/8*O867</f>
        <v>#DIV/0!</v>
      </c>
      <c r="V867" s="358"/>
      <c r="W867" s="39" t="s">
        <v>34</v>
      </c>
      <c r="X867" s="40">
        <f>R860*O867/X853/8*1.5</f>
        <v>0</v>
      </c>
    </row>
    <row r="868" spans="1:24" ht="18.75" customHeight="1">
      <c r="A868" s="347" t="s">
        <v>49</v>
      </c>
      <c r="B868" s="31"/>
      <c r="C868" s="34"/>
      <c r="D868" s="35" t="s">
        <v>38</v>
      </c>
      <c r="E868" s="31" t="s">
        <v>50</v>
      </c>
      <c r="F868" s="31"/>
      <c r="G868" s="31"/>
      <c r="H868" s="41" t="s">
        <v>29</v>
      </c>
      <c r="I868" s="358"/>
      <c r="J868" s="358"/>
      <c r="K868" s="39" t="s">
        <v>34</v>
      </c>
      <c r="L868" s="40"/>
      <c r="M868" s="347" t="s">
        <v>49</v>
      </c>
      <c r="N868" s="31"/>
      <c r="O868" s="34"/>
      <c r="P868" s="35" t="s">
        <v>38</v>
      </c>
      <c r="Q868" s="31" t="s">
        <v>50</v>
      </c>
      <c r="R868" s="31"/>
      <c r="S868" s="31"/>
      <c r="T868" s="41" t="s">
        <v>29</v>
      </c>
      <c r="U868" s="358"/>
      <c r="V868" s="358"/>
      <c r="W868" s="39" t="s">
        <v>34</v>
      </c>
      <c r="X868" s="40"/>
    </row>
    <row r="869" spans="1:24" ht="18.75" customHeight="1">
      <c r="A869" s="33" t="s">
        <v>51</v>
      </c>
      <c r="B869" s="30" t="s">
        <v>29</v>
      </c>
      <c r="C869" s="34"/>
      <c r="D869" s="35" t="s">
        <v>38</v>
      </c>
      <c r="E869" s="31" t="s">
        <v>52</v>
      </c>
      <c r="F869" s="31"/>
      <c r="G869" s="31"/>
      <c r="H869" s="30" t="s">
        <v>29</v>
      </c>
      <c r="I869" s="358"/>
      <c r="J869" s="358"/>
      <c r="K869" s="39" t="s">
        <v>34</v>
      </c>
      <c r="L869" s="40"/>
      <c r="M869" s="33" t="s">
        <v>51</v>
      </c>
      <c r="N869" s="30" t="s">
        <v>29</v>
      </c>
      <c r="O869" s="34"/>
      <c r="P869" s="35" t="s">
        <v>38</v>
      </c>
      <c r="Q869" s="31" t="s">
        <v>52</v>
      </c>
      <c r="R869" s="31"/>
      <c r="S869" s="31"/>
      <c r="T869" s="30" t="s">
        <v>29</v>
      </c>
      <c r="U869" s="358"/>
      <c r="V869" s="358"/>
      <c r="W869" s="39" t="s">
        <v>34</v>
      </c>
      <c r="X869" s="40"/>
    </row>
    <row r="870" spans="1:24" ht="18.75" customHeight="1">
      <c r="A870" s="42" t="s">
        <v>53</v>
      </c>
      <c r="B870" s="30"/>
      <c r="C870" s="34" t="e">
        <f>#REF!</f>
        <v>#REF!</v>
      </c>
      <c r="D870" s="35" t="s">
        <v>47</v>
      </c>
      <c r="E870" s="31" t="s">
        <v>54</v>
      </c>
      <c r="F870" s="31"/>
      <c r="G870" s="31"/>
      <c r="H870" s="30" t="s">
        <v>29</v>
      </c>
      <c r="I870" s="358" t="e">
        <f>$F$8*C870/8/$L$1</f>
        <v>#REF!</v>
      </c>
      <c r="J870" s="358"/>
      <c r="K870" s="39" t="s">
        <v>34</v>
      </c>
      <c r="L870" s="40"/>
      <c r="M870" s="42" t="s">
        <v>53</v>
      </c>
      <c r="N870" s="30"/>
      <c r="O870" s="34"/>
      <c r="P870" s="35" t="s">
        <v>47</v>
      </c>
      <c r="Q870" s="31" t="s">
        <v>54</v>
      </c>
      <c r="R870" s="31"/>
      <c r="S870" s="31"/>
      <c r="T870" s="30" t="s">
        <v>29</v>
      </c>
      <c r="U870" s="358">
        <f>$F$8*O870/8/$L$1</f>
        <v>0</v>
      </c>
      <c r="V870" s="358"/>
      <c r="W870" s="39" t="s">
        <v>34</v>
      </c>
      <c r="X870" s="40"/>
    </row>
    <row r="871" spans="1:24" ht="18.75" customHeight="1">
      <c r="A871" s="33" t="s">
        <v>55</v>
      </c>
      <c r="B871" s="30" t="s">
        <v>29</v>
      </c>
      <c r="C871" s="34"/>
      <c r="D871" s="35" t="s">
        <v>47</v>
      </c>
      <c r="E871" s="31" t="s">
        <v>56</v>
      </c>
      <c r="F871" s="31"/>
      <c r="G871" s="31"/>
      <c r="H871" s="30" t="s">
        <v>29</v>
      </c>
      <c r="I871" s="360"/>
      <c r="J871" s="360"/>
      <c r="K871" s="39" t="s">
        <v>34</v>
      </c>
      <c r="L871" s="40"/>
      <c r="M871" s="33" t="s">
        <v>55</v>
      </c>
      <c r="N871" s="30" t="s">
        <v>29</v>
      </c>
      <c r="O871" s="34"/>
      <c r="P871" s="35" t="s">
        <v>47</v>
      </c>
      <c r="Q871" s="31" t="s">
        <v>56</v>
      </c>
      <c r="R871" s="31"/>
      <c r="S871" s="31"/>
      <c r="T871" s="30" t="s">
        <v>29</v>
      </c>
      <c r="U871" s="360"/>
      <c r="V871" s="360"/>
      <c r="W871" s="39" t="s">
        <v>34</v>
      </c>
      <c r="X871" s="40"/>
    </row>
    <row r="872" spans="1:24" ht="18.75" customHeight="1">
      <c r="A872" s="33" t="s">
        <v>57</v>
      </c>
      <c r="B872" s="30" t="s">
        <v>29</v>
      </c>
      <c r="C872" s="34"/>
      <c r="D872" s="35" t="s">
        <v>58</v>
      </c>
      <c r="E872" s="31" t="s">
        <v>59</v>
      </c>
      <c r="F872" s="31"/>
      <c r="G872" s="31"/>
      <c r="H872" s="30" t="s">
        <v>29</v>
      </c>
      <c r="I872" s="358"/>
      <c r="J872" s="358"/>
      <c r="K872" s="39" t="s">
        <v>34</v>
      </c>
      <c r="L872" s="40" t="e">
        <f>+IF(L863-I863&lt;0,0,L863-I863)+IF(L867-I867&lt;0,0,L867-I867)</f>
        <v>#REF!</v>
      </c>
      <c r="M872" s="33" t="s">
        <v>57</v>
      </c>
      <c r="N872" s="30" t="s">
        <v>29</v>
      </c>
      <c r="O872" s="34"/>
      <c r="P872" s="35" t="s">
        <v>58</v>
      </c>
      <c r="Q872" s="31" t="s">
        <v>59</v>
      </c>
      <c r="R872" s="31"/>
      <c r="S872" s="31"/>
      <c r="T872" s="30" t="s">
        <v>29</v>
      </c>
      <c r="U872" s="358"/>
      <c r="V872" s="358"/>
      <c r="W872" s="39" t="s">
        <v>34</v>
      </c>
      <c r="X872" s="40" t="e">
        <f>+IF(X863-U863&lt;0,0,X863-U863)+IF(X867-U867&lt;0,0,X867-U867)</f>
        <v>#DIV/0!</v>
      </c>
    </row>
    <row r="873" spans="1:24" ht="18.75" customHeight="1">
      <c r="A873" s="43" t="s">
        <v>60</v>
      </c>
      <c r="B873" s="44"/>
      <c r="C873" s="34"/>
      <c r="D873" s="35" t="s">
        <v>38</v>
      </c>
      <c r="E873" s="31" t="s">
        <v>61</v>
      </c>
      <c r="F873" s="31"/>
      <c r="G873" s="31"/>
      <c r="H873" s="30" t="s">
        <v>29</v>
      </c>
      <c r="I873" s="358"/>
      <c r="J873" s="358"/>
      <c r="K873" s="39" t="s">
        <v>34</v>
      </c>
      <c r="L873" s="40"/>
      <c r="M873" s="43" t="s">
        <v>60</v>
      </c>
      <c r="N873" s="44"/>
      <c r="O873" s="34"/>
      <c r="P873" s="35" t="s">
        <v>38</v>
      </c>
      <c r="Q873" s="31" t="s">
        <v>61</v>
      </c>
      <c r="R873" s="31"/>
      <c r="S873" s="31"/>
      <c r="T873" s="30" t="s">
        <v>29</v>
      </c>
      <c r="U873" s="358"/>
      <c r="V873" s="358"/>
      <c r="W873" s="39" t="s">
        <v>34</v>
      </c>
      <c r="X873" s="40"/>
    </row>
    <row r="874" spans="1:24" ht="18.75" customHeight="1">
      <c r="A874" s="383" t="s">
        <v>62</v>
      </c>
      <c r="B874" s="359"/>
      <c r="C874" s="34"/>
      <c r="D874" s="35"/>
      <c r="E874" s="36"/>
      <c r="F874" s="36"/>
      <c r="G874" s="36"/>
      <c r="H874" s="30" t="s">
        <v>29</v>
      </c>
      <c r="I874" s="358" t="e">
        <f>#REF!</f>
        <v>#REF!</v>
      </c>
      <c r="J874" s="358"/>
      <c r="K874" s="39" t="s">
        <v>34</v>
      </c>
      <c r="L874" s="40"/>
      <c r="M874" s="383" t="s">
        <v>62</v>
      </c>
      <c r="N874" s="359"/>
      <c r="O874" s="34"/>
      <c r="P874" s="35"/>
      <c r="Q874" s="36"/>
      <c r="R874" s="36"/>
      <c r="S874" s="36"/>
      <c r="T874" s="30" t="s">
        <v>29</v>
      </c>
      <c r="U874" s="358"/>
      <c r="V874" s="358"/>
      <c r="W874" s="39" t="s">
        <v>34</v>
      </c>
      <c r="X874" s="40"/>
    </row>
    <row r="875" spans="1:24" ht="18.75" customHeight="1">
      <c r="A875" s="33" t="s">
        <v>63</v>
      </c>
      <c r="B875" s="30" t="s">
        <v>29</v>
      </c>
      <c r="C875" s="34"/>
      <c r="D875" s="35"/>
      <c r="E875" s="36" t="s">
        <v>64</v>
      </c>
      <c r="F875" s="36"/>
      <c r="G875" s="36"/>
      <c r="H875" s="30" t="s">
        <v>29</v>
      </c>
      <c r="I875" s="358" t="e">
        <f>L872</f>
        <v>#REF!</v>
      </c>
      <c r="J875" s="358"/>
      <c r="K875" s="39" t="s">
        <v>34</v>
      </c>
      <c r="L875" s="40"/>
      <c r="M875" s="33" t="s">
        <v>63</v>
      </c>
      <c r="N875" s="30" t="s">
        <v>29</v>
      </c>
      <c r="O875" s="34"/>
      <c r="P875" s="35"/>
      <c r="Q875" s="36" t="s">
        <v>64</v>
      </c>
      <c r="R875" s="36"/>
      <c r="S875" s="36"/>
      <c r="T875" s="30" t="s">
        <v>29</v>
      </c>
      <c r="U875" s="358" t="e">
        <f>X872</f>
        <v>#DIV/0!</v>
      </c>
      <c r="V875" s="358"/>
      <c r="W875" s="39" t="s">
        <v>34</v>
      </c>
      <c r="X875" s="40"/>
    </row>
    <row r="876" spans="1:24" ht="18.75" customHeight="1">
      <c r="A876" s="362" t="s">
        <v>65</v>
      </c>
      <c r="B876" s="363"/>
      <c r="C876" s="363"/>
      <c r="D876" s="363"/>
      <c r="E876" s="363"/>
      <c r="F876" s="363"/>
      <c r="G876" s="30" t="s">
        <v>29</v>
      </c>
      <c r="H876" s="364" t="e">
        <f>I863+I864+I865+I866+I867+I870+I874+I875+I868+I869+I871+I872+I873+C874</f>
        <v>#REF!</v>
      </c>
      <c r="I876" s="365"/>
      <c r="J876" s="365"/>
      <c r="K876" s="39" t="s">
        <v>34</v>
      </c>
      <c r="M876" s="362" t="s">
        <v>65</v>
      </c>
      <c r="N876" s="363"/>
      <c r="O876" s="363"/>
      <c r="P876" s="363"/>
      <c r="Q876" s="363"/>
      <c r="R876" s="363"/>
      <c r="S876" s="30" t="s">
        <v>29</v>
      </c>
      <c r="T876" s="364" t="e">
        <f>U863+U864+U865+U866+U867+U870+U874+U875+U868+U869+U871+U872+U873+O874</f>
        <v>#DIV/0!</v>
      </c>
      <c r="U876" s="365"/>
      <c r="V876" s="365"/>
      <c r="W876" s="39" t="s">
        <v>34</v>
      </c>
    </row>
    <row r="877" spans="1:24" ht="18.75" customHeight="1">
      <c r="A877" s="45"/>
      <c r="B877" s="46"/>
      <c r="C877" s="46"/>
      <c r="D877" s="46"/>
      <c r="E877" s="46"/>
      <c r="F877" s="46"/>
      <c r="G877" s="46"/>
      <c r="H877" s="46"/>
      <c r="I877" s="46"/>
      <c r="J877" s="46"/>
      <c r="K877" s="47"/>
      <c r="M877" s="45"/>
      <c r="N877" s="46"/>
      <c r="O877" s="46"/>
      <c r="P877" s="46"/>
      <c r="Q877" s="46"/>
      <c r="R877" s="46"/>
      <c r="S877" s="46"/>
      <c r="T877" s="46"/>
      <c r="U877" s="46"/>
      <c r="V877" s="46"/>
      <c r="W877" s="47"/>
    </row>
    <row r="878" spans="1:24" ht="18.75" customHeight="1">
      <c r="A878" s="374" t="s">
        <v>66</v>
      </c>
      <c r="B878" s="375"/>
      <c r="C878" s="375"/>
      <c r="D878" s="375"/>
      <c r="E878" s="375"/>
      <c r="F878" s="375"/>
      <c r="G878" s="30"/>
      <c r="H878" s="30"/>
      <c r="I878" s="30"/>
      <c r="J878" s="30"/>
      <c r="K878" s="39"/>
      <c r="M878" s="374" t="s">
        <v>66</v>
      </c>
      <c r="N878" s="375"/>
      <c r="O878" s="375"/>
      <c r="P878" s="375"/>
      <c r="Q878" s="375"/>
      <c r="R878" s="375"/>
      <c r="S878" s="30"/>
      <c r="T878" s="30"/>
      <c r="U878" s="30"/>
      <c r="V878" s="30"/>
      <c r="W878" s="39"/>
    </row>
    <row r="879" spans="1:24" ht="18.75" customHeight="1">
      <c r="A879" s="368" t="s">
        <v>67</v>
      </c>
      <c r="B879" s="369"/>
      <c r="C879" s="369"/>
      <c r="D879" s="369"/>
      <c r="E879" s="369"/>
      <c r="F879" s="369"/>
      <c r="G879" s="30" t="s">
        <v>29</v>
      </c>
      <c r="H879" s="376" t="e">
        <f>IF(($L$1-(C863+C864+C865+C866))&gt;12,0,F860*8%)</f>
        <v>#REF!</v>
      </c>
      <c r="I879" s="376"/>
      <c r="J879" s="376"/>
      <c r="K879" s="39" t="s">
        <v>34</v>
      </c>
      <c r="M879" s="368" t="s">
        <v>67</v>
      </c>
      <c r="N879" s="369"/>
      <c r="O879" s="369"/>
      <c r="P879" s="369"/>
      <c r="Q879" s="369"/>
      <c r="R879" s="369"/>
      <c r="S879" s="30" t="s">
        <v>29</v>
      </c>
      <c r="T879" s="376">
        <f>IF(($L$1-(O863+O864+O865+O866))&gt;12,0,R860*8%)</f>
        <v>0</v>
      </c>
      <c r="U879" s="376"/>
      <c r="V879" s="376"/>
      <c r="W879" s="39" t="s">
        <v>34</v>
      </c>
    </row>
    <row r="880" spans="1:24" ht="18.75" customHeight="1">
      <c r="A880" s="368" t="s">
        <v>68</v>
      </c>
      <c r="B880" s="369"/>
      <c r="C880" s="369"/>
      <c r="D880" s="369"/>
      <c r="E880" s="369"/>
      <c r="F880" s="369"/>
      <c r="G880" s="30" t="s">
        <v>29</v>
      </c>
      <c r="H880" s="370" t="e">
        <f>IF(($L$1-(C863+C864+C865+C866))&gt;12,0,F860*1.5%)</f>
        <v>#REF!</v>
      </c>
      <c r="I880" s="370"/>
      <c r="J880" s="370"/>
      <c r="K880" s="39" t="s">
        <v>34</v>
      </c>
      <c r="M880" s="368" t="s">
        <v>68</v>
      </c>
      <c r="N880" s="369"/>
      <c r="O880" s="369"/>
      <c r="P880" s="369"/>
      <c r="Q880" s="369"/>
      <c r="R880" s="369"/>
      <c r="S880" s="30" t="s">
        <v>29</v>
      </c>
      <c r="T880" s="370">
        <f>IF(($L$1-(O863+O864+O865+O866))&gt;12,0,R860*1.5%)</f>
        <v>0</v>
      </c>
      <c r="U880" s="370"/>
      <c r="V880" s="370"/>
      <c r="W880" s="39" t="s">
        <v>34</v>
      </c>
    </row>
    <row r="881" spans="1:24" ht="18.75" customHeight="1">
      <c r="A881" s="368" t="s">
        <v>69</v>
      </c>
      <c r="B881" s="369"/>
      <c r="C881" s="369"/>
      <c r="D881" s="369"/>
      <c r="E881" s="369"/>
      <c r="F881" s="369"/>
      <c r="G881" s="30" t="s">
        <v>29</v>
      </c>
      <c r="H881" s="370" t="e">
        <f>IF(($L$1-(C863+C864+C865+C866))&gt;12,0,F860*1%)</f>
        <v>#REF!</v>
      </c>
      <c r="I881" s="370"/>
      <c r="J881" s="370"/>
      <c r="K881" s="39" t="s">
        <v>34</v>
      </c>
      <c r="M881" s="368" t="s">
        <v>69</v>
      </c>
      <c r="N881" s="369"/>
      <c r="O881" s="369"/>
      <c r="P881" s="369"/>
      <c r="Q881" s="369"/>
      <c r="R881" s="369"/>
      <c r="S881" s="30" t="s">
        <v>29</v>
      </c>
      <c r="T881" s="370">
        <f>IF(($L$1-(O863+O864+O865+O866))&gt;12,0,R860*1%)</f>
        <v>0</v>
      </c>
      <c r="U881" s="370"/>
      <c r="V881" s="370"/>
      <c r="W881" s="39" t="s">
        <v>34</v>
      </c>
    </row>
    <row r="882" spans="1:24" ht="18.75" customHeight="1">
      <c r="A882" s="368" t="s">
        <v>70</v>
      </c>
      <c r="B882" s="369"/>
      <c r="C882" s="369"/>
      <c r="D882" s="369"/>
      <c r="E882" s="369"/>
      <c r="F882" s="369"/>
      <c r="G882" s="30" t="s">
        <v>29</v>
      </c>
      <c r="H882" s="370">
        <v>0</v>
      </c>
      <c r="I882" s="370"/>
      <c r="J882" s="370"/>
      <c r="K882" s="39" t="s">
        <v>34</v>
      </c>
      <c r="M882" s="368" t="s">
        <v>70</v>
      </c>
      <c r="N882" s="369"/>
      <c r="O882" s="369"/>
      <c r="P882" s="369"/>
      <c r="Q882" s="369"/>
      <c r="R882" s="369"/>
      <c r="S882" s="30" t="s">
        <v>29</v>
      </c>
      <c r="T882" s="370">
        <v>0</v>
      </c>
      <c r="U882" s="370"/>
      <c r="V882" s="370"/>
      <c r="W882" s="39" t="s">
        <v>34</v>
      </c>
    </row>
    <row r="883" spans="1:24" ht="18.75" customHeight="1">
      <c r="A883" s="371" t="s">
        <v>71</v>
      </c>
      <c r="B883" s="372"/>
      <c r="C883" s="372"/>
      <c r="D883" s="372"/>
      <c r="E883" s="372"/>
      <c r="F883" s="372"/>
      <c r="G883" s="30" t="s">
        <v>29</v>
      </c>
      <c r="H883" s="373" t="e">
        <f>SUM(H879:J882)</f>
        <v>#REF!</v>
      </c>
      <c r="I883" s="373"/>
      <c r="J883" s="373"/>
      <c r="K883" s="39" t="s">
        <v>34</v>
      </c>
      <c r="M883" s="371" t="s">
        <v>71</v>
      </c>
      <c r="N883" s="372"/>
      <c r="O883" s="372"/>
      <c r="P883" s="372"/>
      <c r="Q883" s="372"/>
      <c r="R883" s="372"/>
      <c r="S883" s="30" t="s">
        <v>29</v>
      </c>
      <c r="T883" s="373">
        <f>SUM(T879:V882)</f>
        <v>0</v>
      </c>
      <c r="U883" s="373"/>
      <c r="V883" s="373"/>
      <c r="W883" s="39" t="s">
        <v>34</v>
      </c>
    </row>
    <row r="884" spans="1:24" ht="18.75" customHeight="1">
      <c r="A884" s="368" t="s">
        <v>72</v>
      </c>
      <c r="B884" s="369"/>
      <c r="C884" s="369"/>
      <c r="D884" s="369"/>
      <c r="E884" s="369"/>
      <c r="F884" s="369"/>
      <c r="G884" s="30" t="s">
        <v>29</v>
      </c>
      <c r="H884" s="381" t="e">
        <f>ROUND(H876-H883,-2)</f>
        <v>#REF!</v>
      </c>
      <c r="I884" s="381"/>
      <c r="J884" s="381"/>
      <c r="K884" s="39" t="s">
        <v>34</v>
      </c>
      <c r="M884" s="368" t="s">
        <v>72</v>
      </c>
      <c r="N884" s="369"/>
      <c r="O884" s="369"/>
      <c r="P884" s="369"/>
      <c r="Q884" s="369"/>
      <c r="R884" s="369"/>
      <c r="S884" s="30" t="s">
        <v>29</v>
      </c>
      <c r="T884" s="381" t="e">
        <f>ROUND(T876-T883,-2)</f>
        <v>#DIV/0!</v>
      </c>
      <c r="U884" s="381"/>
      <c r="V884" s="381"/>
      <c r="W884" s="39" t="s">
        <v>34</v>
      </c>
    </row>
    <row r="885" spans="1:24" ht="18.75" customHeight="1">
      <c r="A885" s="48"/>
      <c r="B885" s="49"/>
      <c r="C885" s="49"/>
      <c r="D885" s="49"/>
      <c r="E885" s="49"/>
      <c r="F885" s="49"/>
      <c r="G885" s="49"/>
      <c r="H885" s="49"/>
      <c r="I885" s="49"/>
      <c r="J885" s="49"/>
      <c r="K885" s="50"/>
      <c r="M885" s="48"/>
      <c r="N885" s="49"/>
      <c r="O885" s="49"/>
      <c r="P885" s="49"/>
      <c r="Q885" s="49"/>
      <c r="R885" s="49"/>
      <c r="S885" s="49"/>
      <c r="T885" s="49"/>
      <c r="U885" s="49"/>
      <c r="V885" s="49"/>
      <c r="W885" s="50"/>
    </row>
    <row r="886" spans="1:24" ht="18.75" customHeight="1">
      <c r="A886" s="51"/>
      <c r="B886" s="30"/>
      <c r="C886" s="30"/>
      <c r="D886" s="30"/>
      <c r="E886" s="30"/>
      <c r="F886" s="30"/>
      <c r="G886" s="30"/>
      <c r="H886" s="30"/>
      <c r="I886" s="378" t="s">
        <v>73</v>
      </c>
      <c r="J886" s="378"/>
      <c r="K886" s="382"/>
      <c r="M886" s="51"/>
      <c r="N886" s="30"/>
      <c r="O886" s="30"/>
      <c r="P886" s="30"/>
      <c r="Q886" s="30"/>
      <c r="R886" s="30"/>
      <c r="S886" s="30"/>
      <c r="T886" s="30"/>
      <c r="U886" s="378" t="s">
        <v>73</v>
      </c>
      <c r="V886" s="378"/>
      <c r="W886" s="382"/>
    </row>
    <row r="887" spans="1:24" ht="18.75" customHeight="1">
      <c r="A887" s="51"/>
      <c r="B887" s="377"/>
      <c r="C887" s="378"/>
      <c r="D887" s="378"/>
      <c r="E887" s="378"/>
      <c r="F887" s="30"/>
      <c r="G887" s="30"/>
      <c r="H887" s="30"/>
      <c r="I887" s="30"/>
      <c r="J887" s="30"/>
      <c r="K887" s="32"/>
      <c r="M887" s="51"/>
      <c r="N887" s="377"/>
      <c r="O887" s="378"/>
      <c r="P887" s="378"/>
      <c r="Q887" s="378"/>
      <c r="R887" s="30"/>
      <c r="S887" s="30"/>
      <c r="T887" s="30"/>
      <c r="U887" s="30"/>
      <c r="V887" s="30"/>
      <c r="W887" s="32"/>
    </row>
    <row r="888" spans="1:24" ht="18.75" customHeight="1" thickBot="1">
      <c r="A888" s="53"/>
      <c r="B888" s="54"/>
      <c r="C888" s="54"/>
      <c r="D888" s="54"/>
      <c r="E888" s="54"/>
      <c r="F888" s="54"/>
      <c r="G888" s="54"/>
      <c r="H888" s="54"/>
      <c r="I888" s="379" t="s">
        <v>74</v>
      </c>
      <c r="J888" s="379"/>
      <c r="K888" s="380"/>
      <c r="M888" s="53"/>
      <c r="N888" s="54"/>
      <c r="O888" s="54"/>
      <c r="P888" s="54"/>
      <c r="Q888" s="54"/>
      <c r="R888" s="54"/>
      <c r="S888" s="54"/>
      <c r="T888" s="54"/>
      <c r="U888" s="379" t="s">
        <v>74</v>
      </c>
      <c r="V888" s="379"/>
      <c r="W888" s="380"/>
    </row>
    <row r="889" spans="1:24" ht="18.75" customHeight="1" thickTop="1" thickBot="1"/>
    <row r="890" spans="1:24" ht="18.75" customHeight="1" thickTop="1">
      <c r="A890" s="351" t="s">
        <v>7</v>
      </c>
      <c r="B890" s="352"/>
      <c r="C890" s="352"/>
      <c r="D890" s="352"/>
      <c r="E890" s="352"/>
      <c r="F890" s="352"/>
      <c r="G890" s="352"/>
      <c r="H890" s="352"/>
      <c r="I890" s="352"/>
      <c r="J890" s="352"/>
      <c r="K890" s="353"/>
      <c r="L890" s="26">
        <v>24</v>
      </c>
      <c r="M890" s="351" t="s">
        <v>7</v>
      </c>
      <c r="N890" s="352"/>
      <c r="O890" s="352"/>
      <c r="P890" s="352"/>
      <c r="Q890" s="352"/>
      <c r="R890" s="352"/>
      <c r="S890" s="352"/>
      <c r="T890" s="352"/>
      <c r="U890" s="352"/>
      <c r="V890" s="352"/>
      <c r="W890" s="353"/>
      <c r="X890" s="26">
        <v>24</v>
      </c>
    </row>
    <row r="891" spans="1:24" ht="18.75" customHeight="1">
      <c r="A891" s="27" t="s">
        <v>123</v>
      </c>
      <c r="B891" s="28"/>
      <c r="C891" s="28"/>
      <c r="D891" s="28"/>
      <c r="E891" s="28"/>
      <c r="F891" s="28"/>
      <c r="G891" s="28"/>
      <c r="H891" s="28"/>
      <c r="I891" s="28"/>
      <c r="J891" s="28"/>
      <c r="K891" s="29"/>
      <c r="M891" s="27" t="s">
        <v>124</v>
      </c>
      <c r="N891" s="28"/>
      <c r="O891" s="28"/>
      <c r="P891" s="28"/>
      <c r="Q891" s="28"/>
      <c r="R891" s="28"/>
      <c r="S891" s="28"/>
      <c r="T891" s="28"/>
      <c r="U891" s="28"/>
      <c r="V891" s="28"/>
      <c r="W891" s="29"/>
    </row>
    <row r="892" spans="1:24" ht="18.75" customHeight="1">
      <c r="A892" s="354" t="s">
        <v>27</v>
      </c>
      <c r="B892" s="355"/>
      <c r="C892" s="355"/>
      <c r="D892" s="355"/>
      <c r="E892" s="355"/>
      <c r="F892" s="355"/>
      <c r="G892" s="355"/>
      <c r="H892" s="355"/>
      <c r="I892" s="355"/>
      <c r="J892" s="355"/>
      <c r="K892" s="356"/>
      <c r="M892" s="354" t="s">
        <v>27</v>
      </c>
      <c r="N892" s="355"/>
      <c r="O892" s="355"/>
      <c r="P892" s="355"/>
      <c r="Q892" s="355"/>
      <c r="R892" s="355"/>
      <c r="S892" s="355"/>
      <c r="T892" s="355"/>
      <c r="U892" s="355"/>
      <c r="V892" s="355"/>
      <c r="W892" s="356"/>
    </row>
    <row r="893" spans="1:24" ht="18.75" customHeight="1">
      <c r="A893" s="347" t="s">
        <v>28</v>
      </c>
      <c r="B893" s="31"/>
      <c r="C893" s="31"/>
      <c r="D893" s="31"/>
      <c r="E893" s="30" t="s">
        <v>29</v>
      </c>
      <c r="F893" s="31"/>
      <c r="G893" s="31"/>
      <c r="H893" s="31"/>
      <c r="I893" s="31"/>
      <c r="J893" s="31"/>
      <c r="K893" s="350"/>
      <c r="M893" s="347" t="s">
        <v>28</v>
      </c>
      <c r="N893" s="31"/>
      <c r="O893" s="31"/>
      <c r="P893" s="31"/>
      <c r="Q893" s="30" t="s">
        <v>29</v>
      </c>
      <c r="R893" s="31"/>
      <c r="S893" s="31"/>
      <c r="T893" s="31"/>
      <c r="U893" s="31"/>
      <c r="V893" s="31"/>
      <c r="W893" s="350"/>
    </row>
    <row r="894" spans="1:24" ht="18.75" customHeight="1">
      <c r="A894" s="347" t="s">
        <v>30</v>
      </c>
      <c r="B894" s="31"/>
      <c r="C894" s="31"/>
      <c r="D894" s="31"/>
      <c r="E894" s="30" t="s">
        <v>29</v>
      </c>
      <c r="F894" s="348"/>
      <c r="G894" s="348"/>
      <c r="H894" s="348"/>
      <c r="I894" s="348"/>
      <c r="J894" s="348"/>
      <c r="K894" s="349"/>
      <c r="M894" s="347" t="s">
        <v>30</v>
      </c>
      <c r="N894" s="31"/>
      <c r="O894" s="31"/>
      <c r="P894" s="31"/>
      <c r="Q894" s="30" t="s">
        <v>29</v>
      </c>
      <c r="R894" s="348"/>
      <c r="S894" s="348"/>
      <c r="T894" s="348"/>
      <c r="U894" s="348"/>
      <c r="V894" s="348"/>
      <c r="W894" s="349"/>
    </row>
    <row r="895" spans="1:24" ht="18.75" customHeight="1">
      <c r="A895" s="347" t="s">
        <v>31</v>
      </c>
      <c r="B895" s="31"/>
      <c r="C895" s="31"/>
      <c r="D895" s="31"/>
      <c r="E895" s="30" t="s">
        <v>29</v>
      </c>
      <c r="F895" s="31" t="str">
        <f>+$L$2</f>
        <v xml:space="preserve">Tổ  </v>
      </c>
      <c r="G895" s="31"/>
      <c r="H895" s="31"/>
      <c r="I895" s="31"/>
      <c r="J895" s="31"/>
      <c r="K895" s="350"/>
      <c r="M895" s="347" t="s">
        <v>31</v>
      </c>
      <c r="N895" s="31"/>
      <c r="O895" s="31"/>
      <c r="P895" s="31"/>
      <c r="Q895" s="30" t="s">
        <v>29</v>
      </c>
      <c r="R895" s="31" t="str">
        <f>+$L$2</f>
        <v xml:space="preserve">Tổ  </v>
      </c>
      <c r="S895" s="31"/>
      <c r="T895" s="31"/>
      <c r="U895" s="31"/>
      <c r="V895" s="31"/>
      <c r="W895" s="350"/>
    </row>
    <row r="896" spans="1:24" ht="18.75" customHeight="1">
      <c r="A896" s="354" t="s">
        <v>32</v>
      </c>
      <c r="B896" s="355"/>
      <c r="C896" s="355"/>
      <c r="D896" s="355"/>
      <c r="E896" s="355"/>
      <c r="F896" s="355"/>
      <c r="G896" s="355"/>
      <c r="H896" s="355"/>
      <c r="I896" s="355"/>
      <c r="J896" s="355"/>
      <c r="K896" s="356"/>
      <c r="M896" s="354" t="s">
        <v>32</v>
      </c>
      <c r="N896" s="355"/>
      <c r="O896" s="355"/>
      <c r="P896" s="355"/>
      <c r="Q896" s="355"/>
      <c r="R896" s="355"/>
      <c r="S896" s="355"/>
      <c r="T896" s="355"/>
      <c r="U896" s="355"/>
      <c r="V896" s="355"/>
      <c r="W896" s="356"/>
    </row>
    <row r="897" spans="1:24" ht="18.75" customHeight="1">
      <c r="A897" s="347" t="s">
        <v>33</v>
      </c>
      <c r="B897" s="31"/>
      <c r="C897" s="31"/>
      <c r="D897" s="31"/>
      <c r="E897" s="30" t="s">
        <v>29</v>
      </c>
      <c r="F897" s="361">
        <f>VLOOKUP(F894,'Bang TH nop'!$C$9:$AP$266,29,0)</f>
        <v>0</v>
      </c>
      <c r="G897" s="361"/>
      <c r="H897" s="361"/>
      <c r="I897" s="361"/>
      <c r="J897" s="30" t="s">
        <v>34</v>
      </c>
      <c r="K897" s="32"/>
      <c r="M897" s="347" t="s">
        <v>33</v>
      </c>
      <c r="N897" s="31"/>
      <c r="O897" s="31"/>
      <c r="P897" s="31"/>
      <c r="Q897" s="30" t="s">
        <v>29</v>
      </c>
      <c r="R897" s="361">
        <f>VLOOKUP(R894,'Bang TH nop'!$C$9:$AP$266,29,0)</f>
        <v>0</v>
      </c>
      <c r="S897" s="361"/>
      <c r="T897" s="361"/>
      <c r="U897" s="361"/>
      <c r="V897" s="30" t="s">
        <v>34</v>
      </c>
      <c r="W897" s="32"/>
    </row>
    <row r="898" spans="1:24" ht="18.75" customHeight="1">
      <c r="A898" s="33" t="s">
        <v>35</v>
      </c>
      <c r="B898" s="30"/>
      <c r="C898" s="34"/>
      <c r="D898" s="35"/>
      <c r="E898" s="36"/>
      <c r="F898" s="36"/>
      <c r="G898" s="36"/>
      <c r="H898" s="30"/>
      <c r="I898" s="37"/>
      <c r="J898" s="38"/>
      <c r="K898" s="39"/>
      <c r="M898" s="33" t="s">
        <v>35</v>
      </c>
      <c r="N898" s="30"/>
      <c r="O898" s="34"/>
      <c r="P898" s="35"/>
      <c r="Q898" s="36"/>
      <c r="R898" s="36"/>
      <c r="S898" s="36"/>
      <c r="T898" s="30"/>
      <c r="U898" s="37"/>
      <c r="V898" s="38"/>
      <c r="W898" s="39"/>
    </row>
    <row r="899" spans="1:24" ht="18.75" customHeight="1">
      <c r="A899" s="33" t="s">
        <v>36</v>
      </c>
      <c r="B899" s="30"/>
      <c r="C899" s="34"/>
      <c r="D899" s="35"/>
      <c r="E899" s="36"/>
      <c r="F899" s="36"/>
      <c r="G899" s="36"/>
      <c r="H899" s="30"/>
      <c r="I899" s="37" t="e">
        <f>I900/C900/8</f>
        <v>#DIV/0!</v>
      </c>
      <c r="J899" s="38"/>
      <c r="K899" s="39"/>
      <c r="M899" s="33" t="s">
        <v>36</v>
      </c>
      <c r="N899" s="30"/>
      <c r="O899" s="34"/>
      <c r="P899" s="35"/>
      <c r="Q899" s="36"/>
      <c r="R899" s="36"/>
      <c r="S899" s="36"/>
      <c r="T899" s="30"/>
      <c r="U899" s="37" t="e">
        <f>U900/O900/8</f>
        <v>#DIV/0!</v>
      </c>
      <c r="V899" s="38"/>
      <c r="W899" s="39"/>
    </row>
    <row r="900" spans="1:24" ht="18.75" customHeight="1">
      <c r="A900" s="33" t="s">
        <v>37</v>
      </c>
      <c r="B900" s="30" t="s">
        <v>29</v>
      </c>
      <c r="C900" s="34"/>
      <c r="D900" s="35" t="s">
        <v>38</v>
      </c>
      <c r="E900" s="359" t="s">
        <v>39</v>
      </c>
      <c r="F900" s="359"/>
      <c r="G900" s="359"/>
      <c r="H900" s="30" t="s">
        <v>29</v>
      </c>
      <c r="I900" s="360" t="e">
        <f>I898*680/((C900-C907)*8+C907*7+C904)*((C900-C907)*8+C907*7)</f>
        <v>#DIV/0!</v>
      </c>
      <c r="J900" s="360"/>
      <c r="K900" s="39" t="s">
        <v>34</v>
      </c>
      <c r="L900" s="40">
        <f>F897/L890*C900</f>
        <v>0</v>
      </c>
      <c r="M900" s="33" t="s">
        <v>37</v>
      </c>
      <c r="N900" s="30" t="s">
        <v>29</v>
      </c>
      <c r="O900" s="34"/>
      <c r="P900" s="35" t="s">
        <v>38</v>
      </c>
      <c r="Q900" s="359" t="s">
        <v>39</v>
      </c>
      <c r="R900" s="359"/>
      <c r="S900" s="359"/>
      <c r="T900" s="30" t="s">
        <v>29</v>
      </c>
      <c r="U900" s="360" t="e">
        <f>U898*680/((O900-O907)*8+O907*7+O904)*((O900-O907)*8+O907*7)</f>
        <v>#DIV/0!</v>
      </c>
      <c r="V900" s="360"/>
      <c r="W900" s="39" t="s">
        <v>34</v>
      </c>
      <c r="X900" s="40">
        <f>R897/X890*O900</f>
        <v>0</v>
      </c>
    </row>
    <row r="901" spans="1:24" ht="18.75" customHeight="1">
      <c r="A901" s="33" t="s">
        <v>40</v>
      </c>
      <c r="B901" s="30" t="s">
        <v>29</v>
      </c>
      <c r="C901" s="34"/>
      <c r="D901" s="35" t="s">
        <v>38</v>
      </c>
      <c r="E901" s="31" t="s">
        <v>41</v>
      </c>
      <c r="F901" s="31"/>
      <c r="G901" s="31"/>
      <c r="H901" s="30" t="s">
        <v>29</v>
      </c>
      <c r="I901" s="358">
        <f>$F$8/$L$1*C901</f>
        <v>0</v>
      </c>
      <c r="J901" s="358"/>
      <c r="K901" s="39" t="s">
        <v>34</v>
      </c>
      <c r="L901" s="40"/>
      <c r="M901" s="33" t="s">
        <v>40</v>
      </c>
      <c r="N901" s="30" t="s">
        <v>29</v>
      </c>
      <c r="O901" s="34"/>
      <c r="P901" s="35" t="s">
        <v>38</v>
      </c>
      <c r="Q901" s="31" t="s">
        <v>41</v>
      </c>
      <c r="R901" s="31"/>
      <c r="S901" s="31"/>
      <c r="T901" s="30" t="s">
        <v>29</v>
      </c>
      <c r="U901" s="358">
        <f>$F$8/$L$1*O901</f>
        <v>0</v>
      </c>
      <c r="V901" s="358"/>
      <c r="W901" s="39" t="s">
        <v>34</v>
      </c>
      <c r="X901" s="40"/>
    </row>
    <row r="902" spans="1:24" ht="18.75" customHeight="1">
      <c r="A902" s="33" t="s">
        <v>42</v>
      </c>
      <c r="B902" s="30" t="s">
        <v>29</v>
      </c>
      <c r="C902" s="34"/>
      <c r="D902" s="35" t="s">
        <v>38</v>
      </c>
      <c r="E902" s="357" t="s">
        <v>43</v>
      </c>
      <c r="F902" s="357"/>
      <c r="G902" s="357"/>
      <c r="H902" s="30" t="s">
        <v>29</v>
      </c>
      <c r="I902" s="358">
        <f>$F$8/$L$1*C902</f>
        <v>0</v>
      </c>
      <c r="J902" s="358"/>
      <c r="K902" s="39" t="s">
        <v>34</v>
      </c>
      <c r="L902" s="40"/>
      <c r="M902" s="33" t="s">
        <v>42</v>
      </c>
      <c r="N902" s="30" t="s">
        <v>29</v>
      </c>
      <c r="O902" s="34"/>
      <c r="P902" s="35" t="s">
        <v>38</v>
      </c>
      <c r="Q902" s="357" t="s">
        <v>43</v>
      </c>
      <c r="R902" s="357"/>
      <c r="S902" s="357"/>
      <c r="T902" s="30" t="s">
        <v>29</v>
      </c>
      <c r="U902" s="358">
        <f>$F$8/$L$1*O902</f>
        <v>0</v>
      </c>
      <c r="V902" s="358"/>
      <c r="W902" s="39" t="s">
        <v>34</v>
      </c>
      <c r="X902" s="40"/>
    </row>
    <row r="903" spans="1:24" ht="18.75" customHeight="1">
      <c r="A903" s="33" t="s">
        <v>44</v>
      </c>
      <c r="B903" s="30" t="s">
        <v>29</v>
      </c>
      <c r="C903" s="34"/>
      <c r="D903" s="35" t="s">
        <v>38</v>
      </c>
      <c r="E903" s="357" t="s">
        <v>45</v>
      </c>
      <c r="F903" s="357"/>
      <c r="G903" s="357"/>
      <c r="H903" s="30" t="s">
        <v>29</v>
      </c>
      <c r="I903" s="358">
        <f>$F$8/$L$1*C903</f>
        <v>0</v>
      </c>
      <c r="J903" s="358"/>
      <c r="K903" s="39" t="s">
        <v>34</v>
      </c>
      <c r="L903" s="40"/>
      <c r="M903" s="33" t="s">
        <v>44</v>
      </c>
      <c r="N903" s="30" t="s">
        <v>29</v>
      </c>
      <c r="O903" s="34"/>
      <c r="P903" s="35" t="s">
        <v>38</v>
      </c>
      <c r="Q903" s="357" t="s">
        <v>45</v>
      </c>
      <c r="R903" s="357"/>
      <c r="S903" s="357"/>
      <c r="T903" s="30" t="s">
        <v>29</v>
      </c>
      <c r="U903" s="358">
        <f>$F$8/$L$1*O903</f>
        <v>0</v>
      </c>
      <c r="V903" s="358"/>
      <c r="W903" s="39" t="s">
        <v>34</v>
      </c>
      <c r="X903" s="40"/>
    </row>
    <row r="904" spans="1:24" ht="18.75" customHeight="1">
      <c r="A904" s="33" t="s">
        <v>46</v>
      </c>
      <c r="B904" s="30" t="s">
        <v>29</v>
      </c>
      <c r="C904" s="34"/>
      <c r="D904" s="35" t="s">
        <v>47</v>
      </c>
      <c r="E904" s="31" t="s">
        <v>48</v>
      </c>
      <c r="F904" s="31"/>
      <c r="G904" s="31"/>
      <c r="H904" s="30" t="s">
        <v>29</v>
      </c>
      <c r="I904" s="358" t="e">
        <f>I900/C900/8*C904</f>
        <v>#DIV/0!</v>
      </c>
      <c r="J904" s="358"/>
      <c r="K904" s="39" t="s">
        <v>34</v>
      </c>
      <c r="L904" s="40">
        <f>F897*C904/L890/8*1.5</f>
        <v>0</v>
      </c>
      <c r="M904" s="33" t="s">
        <v>46</v>
      </c>
      <c r="N904" s="30" t="s">
        <v>29</v>
      </c>
      <c r="O904" s="34"/>
      <c r="P904" s="35" t="s">
        <v>47</v>
      </c>
      <c r="Q904" s="31" t="s">
        <v>48</v>
      </c>
      <c r="R904" s="31"/>
      <c r="S904" s="31"/>
      <c r="T904" s="30" t="s">
        <v>29</v>
      </c>
      <c r="U904" s="358" t="e">
        <f>U900/O900/8*O904</f>
        <v>#DIV/0!</v>
      </c>
      <c r="V904" s="358"/>
      <c r="W904" s="39" t="s">
        <v>34</v>
      </c>
      <c r="X904" s="40">
        <f>R897*O904/X890/8*1.5</f>
        <v>0</v>
      </c>
    </row>
    <row r="905" spans="1:24" ht="18.75" customHeight="1">
      <c r="A905" s="347" t="s">
        <v>49</v>
      </c>
      <c r="B905" s="31"/>
      <c r="C905" s="34"/>
      <c r="D905" s="35" t="s">
        <v>38</v>
      </c>
      <c r="E905" s="31" t="s">
        <v>50</v>
      </c>
      <c r="F905" s="31"/>
      <c r="G905" s="31"/>
      <c r="H905" s="41" t="s">
        <v>29</v>
      </c>
      <c r="I905" s="358"/>
      <c r="J905" s="358"/>
      <c r="K905" s="39" t="s">
        <v>34</v>
      </c>
      <c r="L905" s="40"/>
      <c r="M905" s="347" t="s">
        <v>49</v>
      </c>
      <c r="N905" s="31"/>
      <c r="O905" s="34"/>
      <c r="P905" s="35" t="s">
        <v>38</v>
      </c>
      <c r="Q905" s="31" t="s">
        <v>50</v>
      </c>
      <c r="R905" s="31"/>
      <c r="S905" s="31"/>
      <c r="T905" s="41" t="s">
        <v>29</v>
      </c>
      <c r="U905" s="358"/>
      <c r="V905" s="358"/>
      <c r="W905" s="39" t="s">
        <v>34</v>
      </c>
      <c r="X905" s="40"/>
    </row>
    <row r="906" spans="1:24" ht="18.75" customHeight="1">
      <c r="A906" s="33" t="s">
        <v>51</v>
      </c>
      <c r="B906" s="30" t="s">
        <v>29</v>
      </c>
      <c r="C906" s="34"/>
      <c r="D906" s="35" t="s">
        <v>38</v>
      </c>
      <c r="E906" s="31" t="s">
        <v>52</v>
      </c>
      <c r="F906" s="31"/>
      <c r="G906" s="31"/>
      <c r="H906" s="30" t="s">
        <v>29</v>
      </c>
      <c r="I906" s="358"/>
      <c r="J906" s="358"/>
      <c r="K906" s="39" t="s">
        <v>34</v>
      </c>
      <c r="L906" s="40"/>
      <c r="M906" s="33" t="s">
        <v>51</v>
      </c>
      <c r="N906" s="30" t="s">
        <v>29</v>
      </c>
      <c r="O906" s="34"/>
      <c r="P906" s="35" t="s">
        <v>38</v>
      </c>
      <c r="Q906" s="31" t="s">
        <v>52</v>
      </c>
      <c r="R906" s="31"/>
      <c r="S906" s="31"/>
      <c r="T906" s="30" t="s">
        <v>29</v>
      </c>
      <c r="U906" s="358"/>
      <c r="V906" s="358"/>
      <c r="W906" s="39" t="s">
        <v>34</v>
      </c>
      <c r="X906" s="40"/>
    </row>
    <row r="907" spans="1:24" ht="18.75" customHeight="1">
      <c r="A907" s="42" t="s">
        <v>53</v>
      </c>
      <c r="B907" s="30"/>
      <c r="C907" s="34"/>
      <c r="D907" s="35" t="s">
        <v>47</v>
      </c>
      <c r="E907" s="31" t="s">
        <v>54</v>
      </c>
      <c r="F907" s="31"/>
      <c r="G907" s="31"/>
      <c r="H907" s="30" t="s">
        <v>29</v>
      </c>
      <c r="I907" s="358">
        <f>$F$8*C907/8/$L$1</f>
        <v>0</v>
      </c>
      <c r="J907" s="358"/>
      <c r="K907" s="39" t="s">
        <v>34</v>
      </c>
      <c r="L907" s="40"/>
      <c r="M907" s="42" t="s">
        <v>53</v>
      </c>
      <c r="N907" s="30"/>
      <c r="O907" s="34"/>
      <c r="P907" s="35" t="s">
        <v>47</v>
      </c>
      <c r="Q907" s="31" t="s">
        <v>54</v>
      </c>
      <c r="R907" s="31"/>
      <c r="S907" s="31"/>
      <c r="T907" s="30" t="s">
        <v>29</v>
      </c>
      <c r="U907" s="358">
        <f>$F$8*O907/8/$L$1</f>
        <v>0</v>
      </c>
      <c r="V907" s="358"/>
      <c r="W907" s="39" t="s">
        <v>34</v>
      </c>
      <c r="X907" s="40"/>
    </row>
    <row r="908" spans="1:24" ht="18.75" customHeight="1">
      <c r="A908" s="33" t="s">
        <v>55</v>
      </c>
      <c r="B908" s="30" t="s">
        <v>29</v>
      </c>
      <c r="C908" s="34"/>
      <c r="D908" s="35" t="s">
        <v>47</v>
      </c>
      <c r="E908" s="31" t="s">
        <v>56</v>
      </c>
      <c r="F908" s="31"/>
      <c r="G908" s="31"/>
      <c r="H908" s="30" t="s">
        <v>29</v>
      </c>
      <c r="I908" s="360"/>
      <c r="J908" s="360"/>
      <c r="K908" s="39" t="s">
        <v>34</v>
      </c>
      <c r="L908" s="40"/>
      <c r="M908" s="33" t="s">
        <v>55</v>
      </c>
      <c r="N908" s="30" t="s">
        <v>29</v>
      </c>
      <c r="O908" s="34"/>
      <c r="P908" s="35" t="s">
        <v>47</v>
      </c>
      <c r="Q908" s="31" t="s">
        <v>56</v>
      </c>
      <c r="R908" s="31"/>
      <c r="S908" s="31"/>
      <c r="T908" s="30" t="s">
        <v>29</v>
      </c>
      <c r="U908" s="360"/>
      <c r="V908" s="360"/>
      <c r="W908" s="39" t="s">
        <v>34</v>
      </c>
      <c r="X908" s="40"/>
    </row>
    <row r="909" spans="1:24" ht="18.75" customHeight="1">
      <c r="A909" s="33" t="s">
        <v>57</v>
      </c>
      <c r="B909" s="30" t="s">
        <v>29</v>
      </c>
      <c r="C909" s="34"/>
      <c r="D909" s="35" t="s">
        <v>58</v>
      </c>
      <c r="E909" s="31" t="s">
        <v>59</v>
      </c>
      <c r="F909" s="31"/>
      <c r="G909" s="31"/>
      <c r="H909" s="30" t="s">
        <v>29</v>
      </c>
      <c r="I909" s="358"/>
      <c r="J909" s="358"/>
      <c r="K909" s="39" t="s">
        <v>34</v>
      </c>
      <c r="L909" s="40" t="e">
        <f>+IF(L900-I900&lt;0,0,L900-I900)+IF(L904-I904&lt;0,0,L904-I904)</f>
        <v>#DIV/0!</v>
      </c>
      <c r="M909" s="33" t="s">
        <v>57</v>
      </c>
      <c r="N909" s="30" t="s">
        <v>29</v>
      </c>
      <c r="O909" s="34"/>
      <c r="P909" s="35" t="s">
        <v>58</v>
      </c>
      <c r="Q909" s="31" t="s">
        <v>59</v>
      </c>
      <c r="R909" s="31"/>
      <c r="S909" s="31"/>
      <c r="T909" s="30" t="s">
        <v>29</v>
      </c>
      <c r="U909" s="358"/>
      <c r="V909" s="358"/>
      <c r="W909" s="39" t="s">
        <v>34</v>
      </c>
      <c r="X909" s="40" t="e">
        <f>+IF(X900-U900&lt;0,0,X900-U900)+IF(X904-U904&lt;0,0,X904-U904)</f>
        <v>#DIV/0!</v>
      </c>
    </row>
    <row r="910" spans="1:24" ht="18.75" customHeight="1">
      <c r="A910" s="43" t="s">
        <v>60</v>
      </c>
      <c r="B910" s="44"/>
      <c r="C910" s="34"/>
      <c r="D910" s="35" t="s">
        <v>38</v>
      </c>
      <c r="E910" s="31" t="s">
        <v>61</v>
      </c>
      <c r="F910" s="31"/>
      <c r="G910" s="31"/>
      <c r="H910" s="30" t="s">
        <v>29</v>
      </c>
      <c r="I910" s="358"/>
      <c r="J910" s="358"/>
      <c r="K910" s="39" t="s">
        <v>34</v>
      </c>
      <c r="L910" s="40"/>
      <c r="M910" s="43" t="s">
        <v>60</v>
      </c>
      <c r="N910" s="44"/>
      <c r="O910" s="34"/>
      <c r="P910" s="35" t="s">
        <v>38</v>
      </c>
      <c r="Q910" s="31" t="s">
        <v>61</v>
      </c>
      <c r="R910" s="31"/>
      <c r="S910" s="31"/>
      <c r="T910" s="30" t="s">
        <v>29</v>
      </c>
      <c r="U910" s="358"/>
      <c r="V910" s="358"/>
      <c r="W910" s="39" t="s">
        <v>34</v>
      </c>
      <c r="X910" s="40"/>
    </row>
    <row r="911" spans="1:24" ht="18.75" customHeight="1">
      <c r="A911" s="383" t="s">
        <v>62</v>
      </c>
      <c r="B911" s="359"/>
      <c r="C911" s="34"/>
      <c r="D911" s="35"/>
      <c r="E911" s="36"/>
      <c r="F911" s="36"/>
      <c r="G911" s="36"/>
      <c r="H911" s="30" t="s">
        <v>29</v>
      </c>
      <c r="I911" s="358"/>
      <c r="J911" s="358"/>
      <c r="K911" s="39" t="s">
        <v>34</v>
      </c>
      <c r="L911" s="40"/>
      <c r="M911" s="383" t="s">
        <v>62</v>
      </c>
      <c r="N911" s="359"/>
      <c r="O911" s="34"/>
      <c r="P911" s="35"/>
      <c r="Q911" s="36"/>
      <c r="R911" s="36"/>
      <c r="S911" s="36"/>
      <c r="T911" s="30" t="s">
        <v>29</v>
      </c>
      <c r="U911" s="358"/>
      <c r="V911" s="358"/>
      <c r="W911" s="39" t="s">
        <v>34</v>
      </c>
      <c r="X911" s="40"/>
    </row>
    <row r="912" spans="1:24" ht="18.75" customHeight="1">
      <c r="A912" s="33" t="s">
        <v>63</v>
      </c>
      <c r="B912" s="30" t="s">
        <v>29</v>
      </c>
      <c r="C912" s="34"/>
      <c r="D912" s="35"/>
      <c r="E912" s="36" t="s">
        <v>64</v>
      </c>
      <c r="F912" s="36"/>
      <c r="G912" s="36"/>
      <c r="H912" s="30" t="s">
        <v>29</v>
      </c>
      <c r="I912" s="358" t="e">
        <f>L909</f>
        <v>#DIV/0!</v>
      </c>
      <c r="J912" s="358"/>
      <c r="K912" s="39" t="s">
        <v>34</v>
      </c>
      <c r="L912" s="40"/>
      <c r="M912" s="33" t="s">
        <v>63</v>
      </c>
      <c r="N912" s="30" t="s">
        <v>29</v>
      </c>
      <c r="O912" s="34"/>
      <c r="P912" s="35"/>
      <c r="Q912" s="36" t="s">
        <v>64</v>
      </c>
      <c r="R912" s="36"/>
      <c r="S912" s="36"/>
      <c r="T912" s="30" t="s">
        <v>29</v>
      </c>
      <c r="U912" s="358" t="e">
        <f>X909</f>
        <v>#DIV/0!</v>
      </c>
      <c r="V912" s="358"/>
      <c r="W912" s="39" t="s">
        <v>34</v>
      </c>
      <c r="X912" s="40"/>
    </row>
    <row r="913" spans="1:24" ht="18.75" customHeight="1">
      <c r="A913" s="362" t="s">
        <v>65</v>
      </c>
      <c r="B913" s="363"/>
      <c r="C913" s="363"/>
      <c r="D913" s="363"/>
      <c r="E913" s="363"/>
      <c r="F913" s="363"/>
      <c r="G913" s="30" t="s">
        <v>29</v>
      </c>
      <c r="H913" s="364" t="e">
        <f>I900+I901+I902+I903+I904+I907+I911+I912+I905+I906+I908+I909+I910+C911</f>
        <v>#DIV/0!</v>
      </c>
      <c r="I913" s="365"/>
      <c r="J913" s="365"/>
      <c r="K913" s="39" t="s">
        <v>34</v>
      </c>
      <c r="M913" s="362" t="s">
        <v>65</v>
      </c>
      <c r="N913" s="363"/>
      <c r="O913" s="363"/>
      <c r="P913" s="363"/>
      <c r="Q913" s="363"/>
      <c r="R913" s="363"/>
      <c r="S913" s="30" t="s">
        <v>29</v>
      </c>
      <c r="T913" s="364" t="e">
        <f>U900+U901+U902+U903+U904+U907+U911+U912+U905+U906+U908+U909+U910+O911</f>
        <v>#DIV/0!</v>
      </c>
      <c r="U913" s="365"/>
      <c r="V913" s="365"/>
      <c r="W913" s="39" t="s">
        <v>34</v>
      </c>
    </row>
    <row r="914" spans="1:24" ht="18.75" customHeight="1">
      <c r="A914" s="45"/>
      <c r="B914" s="46"/>
      <c r="C914" s="46"/>
      <c r="D914" s="46"/>
      <c r="E914" s="46"/>
      <c r="F914" s="46"/>
      <c r="G914" s="46"/>
      <c r="H914" s="46"/>
      <c r="I914" s="46"/>
      <c r="J914" s="46"/>
      <c r="K914" s="47"/>
      <c r="M914" s="45"/>
      <c r="N914" s="46"/>
      <c r="O914" s="46"/>
      <c r="P914" s="46"/>
      <c r="Q914" s="46"/>
      <c r="R914" s="46"/>
      <c r="S914" s="46"/>
      <c r="T914" s="46"/>
      <c r="U914" s="46"/>
      <c r="V914" s="46"/>
      <c r="W914" s="47"/>
    </row>
    <row r="915" spans="1:24" ht="18.75" customHeight="1">
      <c r="A915" s="374" t="s">
        <v>66</v>
      </c>
      <c r="B915" s="375"/>
      <c r="C915" s="375"/>
      <c r="D915" s="375"/>
      <c r="E915" s="375"/>
      <c r="F915" s="375"/>
      <c r="G915" s="30"/>
      <c r="H915" s="30"/>
      <c r="I915" s="30"/>
      <c r="J915" s="30"/>
      <c r="K915" s="39"/>
      <c r="M915" s="374" t="s">
        <v>66</v>
      </c>
      <c r="N915" s="375"/>
      <c r="O915" s="375"/>
      <c r="P915" s="375"/>
      <c r="Q915" s="375"/>
      <c r="R915" s="375"/>
      <c r="S915" s="30"/>
      <c r="T915" s="30"/>
      <c r="U915" s="30"/>
      <c r="V915" s="30"/>
      <c r="W915" s="39"/>
    </row>
    <row r="916" spans="1:24" ht="18.75" customHeight="1">
      <c r="A916" s="368" t="s">
        <v>67</v>
      </c>
      <c r="B916" s="369"/>
      <c r="C916" s="369"/>
      <c r="D916" s="369"/>
      <c r="E916" s="369"/>
      <c r="F916" s="369"/>
      <c r="G916" s="30" t="s">
        <v>29</v>
      </c>
      <c r="H916" s="376">
        <f>IF(($L$1-(C900+C901+C902+C903))&gt;12,0,F897*8%)</f>
        <v>0</v>
      </c>
      <c r="I916" s="376"/>
      <c r="J916" s="376"/>
      <c r="K916" s="39" t="s">
        <v>34</v>
      </c>
      <c r="M916" s="368" t="s">
        <v>67</v>
      </c>
      <c r="N916" s="369"/>
      <c r="O916" s="369"/>
      <c r="P916" s="369"/>
      <c r="Q916" s="369"/>
      <c r="R916" s="369"/>
      <c r="S916" s="30" t="s">
        <v>29</v>
      </c>
      <c r="T916" s="376">
        <f>IF(($L$1-(O900+O901+O902+O903))&gt;12,0,R897*8%)</f>
        <v>0</v>
      </c>
      <c r="U916" s="376"/>
      <c r="V916" s="376"/>
      <c r="W916" s="39" t="s">
        <v>34</v>
      </c>
    </row>
    <row r="917" spans="1:24" ht="18.75" customHeight="1">
      <c r="A917" s="368" t="s">
        <v>68</v>
      </c>
      <c r="B917" s="369"/>
      <c r="C917" s="369"/>
      <c r="D917" s="369"/>
      <c r="E917" s="369"/>
      <c r="F917" s="369"/>
      <c r="G917" s="30" t="s">
        <v>29</v>
      </c>
      <c r="H917" s="370">
        <f>IF(($L$1-(C900+C901+C902+C903))&gt;12,0,F897*1.5%)</f>
        <v>0</v>
      </c>
      <c r="I917" s="370"/>
      <c r="J917" s="370"/>
      <c r="K917" s="39" t="s">
        <v>34</v>
      </c>
      <c r="M917" s="368" t="s">
        <v>68</v>
      </c>
      <c r="N917" s="369"/>
      <c r="O917" s="369"/>
      <c r="P917" s="369"/>
      <c r="Q917" s="369"/>
      <c r="R917" s="369"/>
      <c r="S917" s="30" t="s">
        <v>29</v>
      </c>
      <c r="T917" s="370">
        <f>IF(($L$1-(O900+O901+O902+O903))&gt;12,0,R897*1.5%)</f>
        <v>0</v>
      </c>
      <c r="U917" s="370"/>
      <c r="V917" s="370"/>
      <c r="W917" s="39" t="s">
        <v>34</v>
      </c>
    </row>
    <row r="918" spans="1:24" ht="18.75" customHeight="1">
      <c r="A918" s="368" t="s">
        <v>69</v>
      </c>
      <c r="B918" s="369"/>
      <c r="C918" s="369"/>
      <c r="D918" s="369"/>
      <c r="E918" s="369"/>
      <c r="F918" s="369"/>
      <c r="G918" s="30" t="s">
        <v>29</v>
      </c>
      <c r="H918" s="370">
        <f>IF(($L$1-(C900+C901+C902+C903))&gt;12,0,F897*1%)</f>
        <v>0</v>
      </c>
      <c r="I918" s="370"/>
      <c r="J918" s="370"/>
      <c r="K918" s="39" t="s">
        <v>34</v>
      </c>
      <c r="M918" s="368" t="s">
        <v>69</v>
      </c>
      <c r="N918" s="369"/>
      <c r="O918" s="369"/>
      <c r="P918" s="369"/>
      <c r="Q918" s="369"/>
      <c r="R918" s="369"/>
      <c r="S918" s="30" t="s">
        <v>29</v>
      </c>
      <c r="T918" s="370">
        <f>IF(($L$1-(O900+O901+O902+O903))&gt;12,0,R897*1%)</f>
        <v>0</v>
      </c>
      <c r="U918" s="370"/>
      <c r="V918" s="370"/>
      <c r="W918" s="39" t="s">
        <v>34</v>
      </c>
    </row>
    <row r="919" spans="1:24" ht="18.75" customHeight="1">
      <c r="A919" s="368" t="s">
        <v>70</v>
      </c>
      <c r="B919" s="369"/>
      <c r="C919" s="369"/>
      <c r="D919" s="369"/>
      <c r="E919" s="369"/>
      <c r="F919" s="369"/>
      <c r="G919" s="30" t="s">
        <v>29</v>
      </c>
      <c r="H919" s="370">
        <v>0</v>
      </c>
      <c r="I919" s="370"/>
      <c r="J919" s="370"/>
      <c r="K919" s="39" t="s">
        <v>34</v>
      </c>
      <c r="M919" s="368" t="s">
        <v>70</v>
      </c>
      <c r="N919" s="369"/>
      <c r="O919" s="369"/>
      <c r="P919" s="369"/>
      <c r="Q919" s="369"/>
      <c r="R919" s="369"/>
      <c r="S919" s="30" t="s">
        <v>29</v>
      </c>
      <c r="T919" s="370">
        <v>0</v>
      </c>
      <c r="U919" s="370"/>
      <c r="V919" s="370"/>
      <c r="W919" s="39" t="s">
        <v>34</v>
      </c>
    </row>
    <row r="920" spans="1:24" ht="18.75" customHeight="1">
      <c r="A920" s="371" t="s">
        <v>71</v>
      </c>
      <c r="B920" s="372"/>
      <c r="C920" s="372"/>
      <c r="D920" s="372"/>
      <c r="E920" s="372"/>
      <c r="F920" s="372"/>
      <c r="G920" s="30" t="s">
        <v>29</v>
      </c>
      <c r="H920" s="373">
        <f>SUM(H916:J919)</f>
        <v>0</v>
      </c>
      <c r="I920" s="373"/>
      <c r="J920" s="373"/>
      <c r="K920" s="39" t="s">
        <v>34</v>
      </c>
      <c r="M920" s="371" t="s">
        <v>71</v>
      </c>
      <c r="N920" s="372"/>
      <c r="O920" s="372"/>
      <c r="P920" s="372"/>
      <c r="Q920" s="372"/>
      <c r="R920" s="372"/>
      <c r="S920" s="30" t="s">
        <v>29</v>
      </c>
      <c r="T920" s="373">
        <f>SUM(T916:V919)</f>
        <v>0</v>
      </c>
      <c r="U920" s="373"/>
      <c r="V920" s="373"/>
      <c r="W920" s="39" t="s">
        <v>34</v>
      </c>
    </row>
    <row r="921" spans="1:24" ht="18.75" customHeight="1">
      <c r="A921" s="368" t="s">
        <v>72</v>
      </c>
      <c r="B921" s="369"/>
      <c r="C921" s="369"/>
      <c r="D921" s="369"/>
      <c r="E921" s="369"/>
      <c r="F921" s="369"/>
      <c r="G921" s="30" t="s">
        <v>29</v>
      </c>
      <c r="H921" s="381" t="e">
        <f>ROUND(H913-H920,-2)</f>
        <v>#DIV/0!</v>
      </c>
      <c r="I921" s="381"/>
      <c r="J921" s="381"/>
      <c r="K921" s="39" t="s">
        <v>34</v>
      </c>
      <c r="M921" s="368" t="s">
        <v>72</v>
      </c>
      <c r="N921" s="369"/>
      <c r="O921" s="369"/>
      <c r="P921" s="369"/>
      <c r="Q921" s="369"/>
      <c r="R921" s="369"/>
      <c r="S921" s="30" t="s">
        <v>29</v>
      </c>
      <c r="T921" s="381" t="e">
        <f>ROUND(T913-T920,-2)</f>
        <v>#DIV/0!</v>
      </c>
      <c r="U921" s="381"/>
      <c r="V921" s="381"/>
      <c r="W921" s="39" t="s">
        <v>34</v>
      </c>
    </row>
    <row r="922" spans="1:24" ht="18.75" customHeight="1">
      <c r="A922" s="48"/>
      <c r="B922" s="49"/>
      <c r="C922" s="49"/>
      <c r="D922" s="49"/>
      <c r="E922" s="49"/>
      <c r="F922" s="49"/>
      <c r="G922" s="49"/>
      <c r="H922" s="49"/>
      <c r="I922" s="49"/>
      <c r="J922" s="49"/>
      <c r="K922" s="50"/>
      <c r="M922" s="48"/>
      <c r="N922" s="49"/>
      <c r="O922" s="49"/>
      <c r="P922" s="49"/>
      <c r="Q922" s="49"/>
      <c r="R922" s="49"/>
      <c r="S922" s="49"/>
      <c r="T922" s="49"/>
      <c r="U922" s="49"/>
      <c r="V922" s="49"/>
      <c r="W922" s="50"/>
    </row>
    <row r="923" spans="1:24" ht="18.75" customHeight="1">
      <c r="A923" s="51"/>
      <c r="B923" s="30"/>
      <c r="C923" s="30"/>
      <c r="D923" s="30"/>
      <c r="E923" s="30"/>
      <c r="F923" s="30"/>
      <c r="G923" s="30"/>
      <c r="H923" s="30"/>
      <c r="I923" s="378" t="s">
        <v>73</v>
      </c>
      <c r="J923" s="378"/>
      <c r="K923" s="382"/>
      <c r="M923" s="51"/>
      <c r="N923" s="30"/>
      <c r="O923" s="30"/>
      <c r="P923" s="30"/>
      <c r="Q923" s="30"/>
      <c r="R923" s="30"/>
      <c r="S923" s="30"/>
      <c r="T923" s="30"/>
      <c r="U923" s="378" t="s">
        <v>73</v>
      </c>
      <c r="V923" s="378"/>
      <c r="W923" s="382"/>
    </row>
    <row r="924" spans="1:24" ht="18.75" customHeight="1">
      <c r="A924" s="51"/>
      <c r="B924" s="377"/>
      <c r="C924" s="378"/>
      <c r="D924" s="378"/>
      <c r="E924" s="378"/>
      <c r="F924" s="30"/>
      <c r="G924" s="30"/>
      <c r="H924" s="30"/>
      <c r="I924" s="30"/>
      <c r="J924" s="30"/>
      <c r="K924" s="32"/>
      <c r="M924" s="51"/>
      <c r="N924" s="377"/>
      <c r="O924" s="378"/>
      <c r="P924" s="378"/>
      <c r="Q924" s="378"/>
      <c r="R924" s="30"/>
      <c r="S924" s="30"/>
      <c r="T924" s="30"/>
      <c r="U924" s="30"/>
      <c r="V924" s="30"/>
      <c r="W924" s="32"/>
    </row>
    <row r="925" spans="1:24" ht="18.75" customHeight="1" thickBot="1">
      <c r="A925" s="53"/>
      <c r="B925" s="54"/>
      <c r="C925" s="54"/>
      <c r="D925" s="54"/>
      <c r="E925" s="54"/>
      <c r="F925" s="54"/>
      <c r="G925" s="54"/>
      <c r="H925" s="54"/>
      <c r="I925" s="379" t="s">
        <v>74</v>
      </c>
      <c r="J925" s="379"/>
      <c r="K925" s="380"/>
      <c r="M925" s="53"/>
      <c r="N925" s="54"/>
      <c r="O925" s="54"/>
      <c r="P925" s="54"/>
      <c r="Q925" s="54"/>
      <c r="R925" s="54"/>
      <c r="S925" s="54"/>
      <c r="T925" s="54"/>
      <c r="U925" s="379" t="s">
        <v>74</v>
      </c>
      <c r="V925" s="379"/>
      <c r="W925" s="380"/>
    </row>
    <row r="926" spans="1:24" ht="18.75" customHeight="1" thickTop="1" thickBot="1"/>
    <row r="927" spans="1:24" ht="18.75" customHeight="1" thickTop="1">
      <c r="A927" s="351" t="s">
        <v>7</v>
      </c>
      <c r="B927" s="352"/>
      <c r="C927" s="352"/>
      <c r="D927" s="352"/>
      <c r="E927" s="352"/>
      <c r="F927" s="352"/>
      <c r="G927" s="352"/>
      <c r="H927" s="352"/>
      <c r="I927" s="352"/>
      <c r="J927" s="352"/>
      <c r="K927" s="353"/>
      <c r="L927" s="26">
        <v>24</v>
      </c>
      <c r="M927" s="351" t="s">
        <v>7</v>
      </c>
      <c r="N927" s="352"/>
      <c r="O927" s="352"/>
      <c r="P927" s="352"/>
      <c r="Q927" s="352"/>
      <c r="R927" s="352"/>
      <c r="S927" s="352"/>
      <c r="T927" s="352"/>
      <c r="U927" s="352"/>
      <c r="V927" s="352"/>
      <c r="W927" s="353"/>
      <c r="X927" s="26">
        <v>24</v>
      </c>
    </row>
    <row r="928" spans="1:24" ht="18.75" customHeight="1">
      <c r="A928" s="27" t="s">
        <v>125</v>
      </c>
      <c r="B928" s="28"/>
      <c r="C928" s="28"/>
      <c r="D928" s="28"/>
      <c r="E928" s="28"/>
      <c r="F928" s="28"/>
      <c r="G928" s="28"/>
      <c r="H928" s="28"/>
      <c r="I928" s="28"/>
      <c r="J928" s="28"/>
      <c r="K928" s="29"/>
      <c r="M928" s="27" t="s">
        <v>126</v>
      </c>
      <c r="N928" s="28"/>
      <c r="O928" s="28"/>
      <c r="P928" s="28"/>
      <c r="Q928" s="28"/>
      <c r="R928" s="28"/>
      <c r="S928" s="28"/>
      <c r="T928" s="28"/>
      <c r="U928" s="28"/>
      <c r="V928" s="28"/>
      <c r="W928" s="29"/>
    </row>
    <row r="929" spans="1:24" ht="18.75" customHeight="1">
      <c r="A929" s="354" t="s">
        <v>27</v>
      </c>
      <c r="B929" s="355"/>
      <c r="C929" s="355"/>
      <c r="D929" s="355"/>
      <c r="E929" s="355"/>
      <c r="F929" s="355"/>
      <c r="G929" s="355"/>
      <c r="H929" s="355"/>
      <c r="I929" s="355"/>
      <c r="J929" s="355"/>
      <c r="K929" s="356"/>
      <c r="M929" s="354" t="s">
        <v>27</v>
      </c>
      <c r="N929" s="355"/>
      <c r="O929" s="355"/>
      <c r="P929" s="355"/>
      <c r="Q929" s="355"/>
      <c r="R929" s="355"/>
      <c r="S929" s="355"/>
      <c r="T929" s="355"/>
      <c r="U929" s="355"/>
      <c r="V929" s="355"/>
      <c r="W929" s="356"/>
    </row>
    <row r="930" spans="1:24" ht="18.75" customHeight="1">
      <c r="A930" s="347" t="s">
        <v>28</v>
      </c>
      <c r="B930" s="31"/>
      <c r="C930" s="31"/>
      <c r="D930" s="31"/>
      <c r="E930" s="30" t="s">
        <v>29</v>
      </c>
      <c r="F930" s="31"/>
      <c r="G930" s="31"/>
      <c r="H930" s="31"/>
      <c r="I930" s="31"/>
      <c r="J930" s="31"/>
      <c r="K930" s="350"/>
      <c r="M930" s="347" t="s">
        <v>28</v>
      </c>
      <c r="N930" s="31"/>
      <c r="O930" s="31"/>
      <c r="P930" s="31"/>
      <c r="Q930" s="30" t="s">
        <v>29</v>
      </c>
      <c r="R930" s="31"/>
      <c r="S930" s="31"/>
      <c r="T930" s="31"/>
      <c r="U930" s="31"/>
      <c r="V930" s="31"/>
      <c r="W930" s="350"/>
    </row>
    <row r="931" spans="1:24" ht="18.75" customHeight="1">
      <c r="A931" s="347" t="s">
        <v>30</v>
      </c>
      <c r="B931" s="31"/>
      <c r="C931" s="31"/>
      <c r="D931" s="31"/>
      <c r="E931" s="30" t="s">
        <v>29</v>
      </c>
      <c r="F931" s="348"/>
      <c r="G931" s="348"/>
      <c r="H931" s="348"/>
      <c r="I931" s="348"/>
      <c r="J931" s="348"/>
      <c r="K931" s="349"/>
      <c r="M931" s="347" t="s">
        <v>30</v>
      </c>
      <c r="N931" s="31"/>
      <c r="O931" s="31"/>
      <c r="P931" s="31"/>
      <c r="Q931" s="30" t="s">
        <v>29</v>
      </c>
      <c r="R931" s="348"/>
      <c r="S931" s="348"/>
      <c r="T931" s="348"/>
      <c r="U931" s="348"/>
      <c r="V931" s="348"/>
      <c r="W931" s="349"/>
    </row>
    <row r="932" spans="1:24" ht="18.75" customHeight="1">
      <c r="A932" s="347" t="s">
        <v>31</v>
      </c>
      <c r="B932" s="31"/>
      <c r="C932" s="31"/>
      <c r="D932" s="31"/>
      <c r="E932" s="30" t="s">
        <v>29</v>
      </c>
      <c r="F932" s="31" t="str">
        <f>+$L$2</f>
        <v xml:space="preserve">Tổ  </v>
      </c>
      <c r="G932" s="31"/>
      <c r="H932" s="31"/>
      <c r="I932" s="31"/>
      <c r="J932" s="31"/>
      <c r="K932" s="350"/>
      <c r="M932" s="347" t="s">
        <v>31</v>
      </c>
      <c r="N932" s="31"/>
      <c r="O932" s="31"/>
      <c r="P932" s="31"/>
      <c r="Q932" s="30" t="s">
        <v>29</v>
      </c>
      <c r="R932" s="31" t="str">
        <f>+$L$2</f>
        <v xml:space="preserve">Tổ  </v>
      </c>
      <c r="S932" s="31"/>
      <c r="T932" s="31"/>
      <c r="U932" s="31"/>
      <c r="V932" s="31"/>
      <c r="W932" s="350"/>
    </row>
    <row r="933" spans="1:24" ht="18.75" customHeight="1">
      <c r="A933" s="354" t="s">
        <v>32</v>
      </c>
      <c r="B933" s="355"/>
      <c r="C933" s="355"/>
      <c r="D933" s="355"/>
      <c r="E933" s="355"/>
      <c r="F933" s="355"/>
      <c r="G933" s="355"/>
      <c r="H933" s="355"/>
      <c r="I933" s="355"/>
      <c r="J933" s="355"/>
      <c r="K933" s="356"/>
      <c r="M933" s="354" t="s">
        <v>32</v>
      </c>
      <c r="N933" s="355"/>
      <c r="O933" s="355"/>
      <c r="P933" s="355"/>
      <c r="Q933" s="355"/>
      <c r="R933" s="355"/>
      <c r="S933" s="355"/>
      <c r="T933" s="355"/>
      <c r="U933" s="355"/>
      <c r="V933" s="355"/>
      <c r="W933" s="356"/>
    </row>
    <row r="934" spans="1:24" ht="18.75" customHeight="1">
      <c r="A934" s="347" t="s">
        <v>33</v>
      </c>
      <c r="B934" s="31"/>
      <c r="C934" s="31"/>
      <c r="D934" s="31"/>
      <c r="E934" s="30" t="s">
        <v>29</v>
      </c>
      <c r="F934" s="361" t="e">
        <f>VLOOKUP(F931,'Bang TH nop'!$C$9:$AP$266,44,0)</f>
        <v>#REF!</v>
      </c>
      <c r="G934" s="361"/>
      <c r="H934" s="361"/>
      <c r="I934" s="361"/>
      <c r="J934" s="30" t="s">
        <v>34</v>
      </c>
      <c r="K934" s="32"/>
      <c r="M934" s="347" t="s">
        <v>33</v>
      </c>
      <c r="N934" s="31"/>
      <c r="O934" s="31"/>
      <c r="P934" s="31"/>
      <c r="Q934" s="30" t="s">
        <v>29</v>
      </c>
      <c r="R934" s="361" t="e">
        <f>VLOOKUP(R931,'Bang TH nop'!$C$9:$AP$266,44,0)</f>
        <v>#REF!</v>
      </c>
      <c r="S934" s="361"/>
      <c r="T934" s="361"/>
      <c r="U934" s="361"/>
      <c r="V934" s="30" t="s">
        <v>34</v>
      </c>
      <c r="W934" s="32"/>
    </row>
    <row r="935" spans="1:24" ht="18.75" customHeight="1">
      <c r="A935" s="33" t="s">
        <v>35</v>
      </c>
      <c r="B935" s="30"/>
      <c r="C935" s="34"/>
      <c r="D935" s="35"/>
      <c r="E935" s="36"/>
      <c r="F935" s="36"/>
      <c r="G935" s="36"/>
      <c r="H935" s="30"/>
      <c r="I935" s="37"/>
      <c r="J935" s="38"/>
      <c r="K935" s="39"/>
      <c r="M935" s="33" t="s">
        <v>35</v>
      </c>
      <c r="N935" s="30"/>
      <c r="O935" s="34"/>
      <c r="P935" s="35"/>
      <c r="Q935" s="36"/>
      <c r="R935" s="36"/>
      <c r="S935" s="36"/>
      <c r="T935" s="30"/>
      <c r="U935" s="37"/>
      <c r="V935" s="38"/>
      <c r="W935" s="39"/>
    </row>
    <row r="936" spans="1:24" ht="18.75" customHeight="1">
      <c r="A936" s="33" t="s">
        <v>36</v>
      </c>
      <c r="B936" s="30"/>
      <c r="C936" s="34"/>
      <c r="D936" s="35"/>
      <c r="E936" s="36"/>
      <c r="F936" s="36"/>
      <c r="G936" s="36"/>
      <c r="H936" s="30"/>
      <c r="I936" s="37" t="e">
        <f>I937/C937/8</f>
        <v>#DIV/0!</v>
      </c>
      <c r="J936" s="38"/>
      <c r="K936" s="39"/>
      <c r="M936" s="33" t="s">
        <v>36</v>
      </c>
      <c r="N936" s="30"/>
      <c r="O936" s="34"/>
      <c r="P936" s="35"/>
      <c r="Q936" s="36"/>
      <c r="R936" s="36"/>
      <c r="S936" s="36"/>
      <c r="T936" s="30"/>
      <c r="U936" s="37" t="e">
        <f>U937/O937/8</f>
        <v>#DIV/0!</v>
      </c>
      <c r="V936" s="38"/>
      <c r="W936" s="39"/>
    </row>
    <row r="937" spans="1:24" ht="18.75" customHeight="1">
      <c r="A937" s="33" t="s">
        <v>37</v>
      </c>
      <c r="B937" s="30" t="s">
        <v>29</v>
      </c>
      <c r="C937" s="34"/>
      <c r="D937" s="35" t="s">
        <v>38</v>
      </c>
      <c r="E937" s="359" t="s">
        <v>39</v>
      </c>
      <c r="F937" s="359"/>
      <c r="G937" s="359"/>
      <c r="H937" s="30" t="s">
        <v>29</v>
      </c>
      <c r="I937" s="360" t="e">
        <f>I935*680/((C937-C944)*8+C944*7+C941)*((C937-C944)*8+C944*7)</f>
        <v>#DIV/0!</v>
      </c>
      <c r="J937" s="360"/>
      <c r="K937" s="39" t="s">
        <v>34</v>
      </c>
      <c r="L937" s="40" t="e">
        <f>F934/L927*C937</f>
        <v>#REF!</v>
      </c>
      <c r="M937" s="33" t="s">
        <v>37</v>
      </c>
      <c r="N937" s="30" t="s">
        <v>29</v>
      </c>
      <c r="O937" s="34"/>
      <c r="P937" s="35" t="s">
        <v>38</v>
      </c>
      <c r="Q937" s="359" t="s">
        <v>39</v>
      </c>
      <c r="R937" s="359"/>
      <c r="S937" s="359"/>
      <c r="T937" s="30" t="s">
        <v>29</v>
      </c>
      <c r="U937" s="360" t="e">
        <f>U935*680/((O937-O944)*8+O944*7+O941)*((O937-O944)*8+O944*7)</f>
        <v>#DIV/0!</v>
      </c>
      <c r="V937" s="360"/>
      <c r="W937" s="39" t="s">
        <v>34</v>
      </c>
      <c r="X937" s="40" t="e">
        <f>R934/X927*O937</f>
        <v>#REF!</v>
      </c>
    </row>
    <row r="938" spans="1:24" ht="18.75" customHeight="1">
      <c r="A938" s="33" t="s">
        <v>40</v>
      </c>
      <c r="B938" s="30" t="s">
        <v>29</v>
      </c>
      <c r="C938" s="34"/>
      <c r="D938" s="35" t="s">
        <v>38</v>
      </c>
      <c r="E938" s="31" t="s">
        <v>41</v>
      </c>
      <c r="F938" s="31"/>
      <c r="G938" s="31"/>
      <c r="H938" s="30" t="s">
        <v>29</v>
      </c>
      <c r="I938" s="358">
        <f>$F$8/$L$1*C938</f>
        <v>0</v>
      </c>
      <c r="J938" s="358"/>
      <c r="K938" s="39" t="s">
        <v>34</v>
      </c>
      <c r="L938" s="40"/>
      <c r="M938" s="33" t="s">
        <v>40</v>
      </c>
      <c r="N938" s="30" t="s">
        <v>29</v>
      </c>
      <c r="O938" s="34"/>
      <c r="P938" s="35" t="s">
        <v>38</v>
      </c>
      <c r="Q938" s="31" t="s">
        <v>41</v>
      </c>
      <c r="R938" s="31"/>
      <c r="S938" s="31"/>
      <c r="T938" s="30" t="s">
        <v>29</v>
      </c>
      <c r="U938" s="358">
        <f>$F$8/$L$1*O938</f>
        <v>0</v>
      </c>
      <c r="V938" s="358"/>
      <c r="W938" s="39" t="s">
        <v>34</v>
      </c>
      <c r="X938" s="40"/>
    </row>
    <row r="939" spans="1:24" ht="18.75" customHeight="1">
      <c r="A939" s="33" t="s">
        <v>42</v>
      </c>
      <c r="B939" s="30" t="s">
        <v>29</v>
      </c>
      <c r="C939" s="34"/>
      <c r="D939" s="35" t="s">
        <v>38</v>
      </c>
      <c r="E939" s="357" t="s">
        <v>43</v>
      </c>
      <c r="F939" s="357"/>
      <c r="G939" s="357"/>
      <c r="H939" s="30" t="s">
        <v>29</v>
      </c>
      <c r="I939" s="358">
        <f>$F$8/$L$1*C939</f>
        <v>0</v>
      </c>
      <c r="J939" s="358"/>
      <c r="K939" s="39" t="s">
        <v>34</v>
      </c>
      <c r="L939" s="40"/>
      <c r="M939" s="33" t="s">
        <v>42</v>
      </c>
      <c r="N939" s="30" t="s">
        <v>29</v>
      </c>
      <c r="O939" s="34"/>
      <c r="P939" s="35" t="s">
        <v>38</v>
      </c>
      <c r="Q939" s="357" t="s">
        <v>43</v>
      </c>
      <c r="R939" s="357"/>
      <c r="S939" s="357"/>
      <c r="T939" s="30" t="s">
        <v>29</v>
      </c>
      <c r="U939" s="358">
        <f>$F$8/$L$1*O939</f>
        <v>0</v>
      </c>
      <c r="V939" s="358"/>
      <c r="W939" s="39" t="s">
        <v>34</v>
      </c>
      <c r="X939" s="40"/>
    </row>
    <row r="940" spans="1:24" ht="18.75" customHeight="1">
      <c r="A940" s="33" t="s">
        <v>44</v>
      </c>
      <c r="B940" s="30" t="s">
        <v>29</v>
      </c>
      <c r="C940" s="34"/>
      <c r="D940" s="35" t="s">
        <v>38</v>
      </c>
      <c r="E940" s="357" t="s">
        <v>45</v>
      </c>
      <c r="F940" s="357"/>
      <c r="G940" s="357"/>
      <c r="H940" s="30" t="s">
        <v>29</v>
      </c>
      <c r="I940" s="358">
        <f>$F$8/$L$1*C940</f>
        <v>0</v>
      </c>
      <c r="J940" s="358"/>
      <c r="K940" s="39" t="s">
        <v>34</v>
      </c>
      <c r="L940" s="40"/>
      <c r="M940" s="33" t="s">
        <v>44</v>
      </c>
      <c r="N940" s="30" t="s">
        <v>29</v>
      </c>
      <c r="O940" s="34"/>
      <c r="P940" s="35" t="s">
        <v>38</v>
      </c>
      <c r="Q940" s="357" t="s">
        <v>45</v>
      </c>
      <c r="R940" s="357"/>
      <c r="S940" s="357"/>
      <c r="T940" s="30" t="s">
        <v>29</v>
      </c>
      <c r="U940" s="358">
        <f>$F$8/$L$1*O940</f>
        <v>0</v>
      </c>
      <c r="V940" s="358"/>
      <c r="W940" s="39" t="s">
        <v>34</v>
      </c>
      <c r="X940" s="40"/>
    </row>
    <row r="941" spans="1:24" ht="18.75" customHeight="1">
      <c r="A941" s="33" t="s">
        <v>46</v>
      </c>
      <c r="B941" s="30" t="s">
        <v>29</v>
      </c>
      <c r="C941" s="34"/>
      <c r="D941" s="35" t="s">
        <v>47</v>
      </c>
      <c r="E941" s="31" t="s">
        <v>48</v>
      </c>
      <c r="F941" s="31"/>
      <c r="G941" s="31"/>
      <c r="H941" s="30" t="s">
        <v>29</v>
      </c>
      <c r="I941" s="358" t="e">
        <f>I937/C937/8*C941</f>
        <v>#DIV/0!</v>
      </c>
      <c r="J941" s="358"/>
      <c r="K941" s="39" t="s">
        <v>34</v>
      </c>
      <c r="L941" s="40" t="e">
        <f>F934*C941/L927/8*1.5</f>
        <v>#REF!</v>
      </c>
      <c r="M941" s="33" t="s">
        <v>46</v>
      </c>
      <c r="N941" s="30" t="s">
        <v>29</v>
      </c>
      <c r="O941" s="34"/>
      <c r="P941" s="35" t="s">
        <v>47</v>
      </c>
      <c r="Q941" s="31" t="s">
        <v>48</v>
      </c>
      <c r="R941" s="31"/>
      <c r="S941" s="31"/>
      <c r="T941" s="30" t="s">
        <v>29</v>
      </c>
      <c r="U941" s="358" t="e">
        <f>U937/O937/8*O941</f>
        <v>#DIV/0!</v>
      </c>
      <c r="V941" s="358"/>
      <c r="W941" s="39" t="s">
        <v>34</v>
      </c>
      <c r="X941" s="40" t="e">
        <f>R934*O941/X927/8*1.5</f>
        <v>#REF!</v>
      </c>
    </row>
    <row r="942" spans="1:24" ht="18.75" customHeight="1">
      <c r="A942" s="347" t="s">
        <v>49</v>
      </c>
      <c r="B942" s="31"/>
      <c r="C942" s="34"/>
      <c r="D942" s="35" t="s">
        <v>38</v>
      </c>
      <c r="E942" s="31" t="s">
        <v>50</v>
      </c>
      <c r="F942" s="31"/>
      <c r="G942" s="31"/>
      <c r="H942" s="41" t="s">
        <v>29</v>
      </c>
      <c r="I942" s="358"/>
      <c r="J942" s="358"/>
      <c r="K942" s="39" t="s">
        <v>34</v>
      </c>
      <c r="L942" s="40"/>
      <c r="M942" s="347" t="s">
        <v>49</v>
      </c>
      <c r="N942" s="31"/>
      <c r="O942" s="34"/>
      <c r="P942" s="35" t="s">
        <v>38</v>
      </c>
      <c r="Q942" s="31" t="s">
        <v>50</v>
      </c>
      <c r="R942" s="31"/>
      <c r="S942" s="31"/>
      <c r="T942" s="41" t="s">
        <v>29</v>
      </c>
      <c r="U942" s="358"/>
      <c r="V942" s="358"/>
      <c r="W942" s="39" t="s">
        <v>34</v>
      </c>
      <c r="X942" s="40"/>
    </row>
    <row r="943" spans="1:24" ht="18.75" customHeight="1">
      <c r="A943" s="33" t="s">
        <v>51</v>
      </c>
      <c r="B943" s="30" t="s">
        <v>29</v>
      </c>
      <c r="C943" s="34"/>
      <c r="D943" s="35" t="s">
        <v>38</v>
      </c>
      <c r="E943" s="31" t="s">
        <v>52</v>
      </c>
      <c r="F943" s="31"/>
      <c r="G943" s="31"/>
      <c r="H943" s="30" t="s">
        <v>29</v>
      </c>
      <c r="I943" s="358"/>
      <c r="J943" s="358"/>
      <c r="K943" s="39" t="s">
        <v>34</v>
      </c>
      <c r="L943" s="40"/>
      <c r="M943" s="33" t="s">
        <v>51</v>
      </c>
      <c r="N943" s="30" t="s">
        <v>29</v>
      </c>
      <c r="O943" s="34"/>
      <c r="P943" s="35" t="s">
        <v>38</v>
      </c>
      <c r="Q943" s="31" t="s">
        <v>52</v>
      </c>
      <c r="R943" s="31"/>
      <c r="S943" s="31"/>
      <c r="T943" s="30" t="s">
        <v>29</v>
      </c>
      <c r="U943" s="358"/>
      <c r="V943" s="358"/>
      <c r="W943" s="39" t="s">
        <v>34</v>
      </c>
      <c r="X943" s="40"/>
    </row>
    <row r="944" spans="1:24" ht="18.75" customHeight="1">
      <c r="A944" s="42" t="s">
        <v>53</v>
      </c>
      <c r="B944" s="30"/>
      <c r="C944" s="34"/>
      <c r="D944" s="35" t="s">
        <v>47</v>
      </c>
      <c r="E944" s="31" t="s">
        <v>54</v>
      </c>
      <c r="F944" s="31"/>
      <c r="G944" s="31"/>
      <c r="H944" s="30" t="s">
        <v>29</v>
      </c>
      <c r="I944" s="358">
        <f>$F$8*C944/8/$L$1</f>
        <v>0</v>
      </c>
      <c r="J944" s="358"/>
      <c r="K944" s="39" t="s">
        <v>34</v>
      </c>
      <c r="L944" s="40"/>
      <c r="M944" s="42" t="s">
        <v>53</v>
      </c>
      <c r="N944" s="30"/>
      <c r="O944" s="34"/>
      <c r="P944" s="35" t="s">
        <v>47</v>
      </c>
      <c r="Q944" s="31" t="s">
        <v>54</v>
      </c>
      <c r="R944" s="31"/>
      <c r="S944" s="31"/>
      <c r="T944" s="30" t="s">
        <v>29</v>
      </c>
      <c r="U944" s="358">
        <f>$F$8*O944/8/$L$1</f>
        <v>0</v>
      </c>
      <c r="V944" s="358"/>
      <c r="W944" s="39" t="s">
        <v>34</v>
      </c>
      <c r="X944" s="40"/>
    </row>
    <row r="945" spans="1:24" ht="18.75" customHeight="1">
      <c r="A945" s="33" t="s">
        <v>55</v>
      </c>
      <c r="B945" s="30" t="s">
        <v>29</v>
      </c>
      <c r="C945" s="34"/>
      <c r="D945" s="35" t="s">
        <v>47</v>
      </c>
      <c r="E945" s="31" t="s">
        <v>56</v>
      </c>
      <c r="F945" s="31"/>
      <c r="G945" s="31"/>
      <c r="H945" s="30" t="s">
        <v>29</v>
      </c>
      <c r="I945" s="360"/>
      <c r="J945" s="360"/>
      <c r="K945" s="39" t="s">
        <v>34</v>
      </c>
      <c r="L945" s="40"/>
      <c r="M945" s="33" t="s">
        <v>55</v>
      </c>
      <c r="N945" s="30" t="s">
        <v>29</v>
      </c>
      <c r="O945" s="34"/>
      <c r="P945" s="35" t="s">
        <v>47</v>
      </c>
      <c r="Q945" s="31" t="s">
        <v>56</v>
      </c>
      <c r="R945" s="31"/>
      <c r="S945" s="31"/>
      <c r="T945" s="30" t="s">
        <v>29</v>
      </c>
      <c r="U945" s="360"/>
      <c r="V945" s="360"/>
      <c r="W945" s="39" t="s">
        <v>34</v>
      </c>
      <c r="X945" s="40"/>
    </row>
    <row r="946" spans="1:24" ht="18.75" customHeight="1">
      <c r="A946" s="33" t="s">
        <v>57</v>
      </c>
      <c r="B946" s="30" t="s">
        <v>29</v>
      </c>
      <c r="C946" s="34"/>
      <c r="D946" s="35" t="s">
        <v>58</v>
      </c>
      <c r="E946" s="31" t="s">
        <v>59</v>
      </c>
      <c r="F946" s="31"/>
      <c r="G946" s="31"/>
      <c r="H946" s="30" t="s">
        <v>29</v>
      </c>
      <c r="I946" s="358"/>
      <c r="J946" s="358"/>
      <c r="K946" s="39" t="s">
        <v>34</v>
      </c>
      <c r="L946" s="40" t="e">
        <f>+IF(L937-I937&lt;0,0,L937-I937)+IF(L941-I941&lt;0,0,L941-I941)</f>
        <v>#REF!</v>
      </c>
      <c r="M946" s="33" t="s">
        <v>57</v>
      </c>
      <c r="N946" s="30" t="s">
        <v>29</v>
      </c>
      <c r="O946" s="34"/>
      <c r="P946" s="35" t="s">
        <v>58</v>
      </c>
      <c r="Q946" s="31" t="s">
        <v>59</v>
      </c>
      <c r="R946" s="31"/>
      <c r="S946" s="31"/>
      <c r="T946" s="30" t="s">
        <v>29</v>
      </c>
      <c r="U946" s="358"/>
      <c r="V946" s="358"/>
      <c r="W946" s="39" t="s">
        <v>34</v>
      </c>
      <c r="X946" s="40" t="e">
        <f>+IF(X937-U937&lt;0,0,X937-U937)+IF(X941-U941&lt;0,0,X941-U941)</f>
        <v>#REF!</v>
      </c>
    </row>
    <row r="947" spans="1:24" ht="18.75" customHeight="1">
      <c r="A947" s="43" t="s">
        <v>60</v>
      </c>
      <c r="B947" s="44"/>
      <c r="C947" s="34"/>
      <c r="D947" s="35" t="s">
        <v>38</v>
      </c>
      <c r="E947" s="31" t="s">
        <v>61</v>
      </c>
      <c r="F947" s="31"/>
      <c r="G947" s="31"/>
      <c r="H947" s="30" t="s">
        <v>29</v>
      </c>
      <c r="I947" s="358"/>
      <c r="J947" s="358"/>
      <c r="K947" s="39" t="s">
        <v>34</v>
      </c>
      <c r="L947" s="40"/>
      <c r="M947" s="43" t="s">
        <v>60</v>
      </c>
      <c r="N947" s="44"/>
      <c r="O947" s="34"/>
      <c r="P947" s="35" t="s">
        <v>38</v>
      </c>
      <c r="Q947" s="31" t="s">
        <v>61</v>
      </c>
      <c r="R947" s="31"/>
      <c r="S947" s="31"/>
      <c r="T947" s="30" t="s">
        <v>29</v>
      </c>
      <c r="U947" s="358"/>
      <c r="V947" s="358"/>
      <c r="W947" s="39" t="s">
        <v>34</v>
      </c>
      <c r="X947" s="40"/>
    </row>
    <row r="948" spans="1:24" ht="18.75" customHeight="1">
      <c r="A948" s="383" t="s">
        <v>62</v>
      </c>
      <c r="B948" s="359"/>
      <c r="C948" s="34"/>
      <c r="D948" s="35"/>
      <c r="E948" s="36"/>
      <c r="F948" s="36"/>
      <c r="G948" s="36"/>
      <c r="H948" s="30" t="s">
        <v>29</v>
      </c>
      <c r="I948" s="358"/>
      <c r="J948" s="358"/>
      <c r="K948" s="39" t="s">
        <v>34</v>
      </c>
      <c r="L948" s="40"/>
      <c r="M948" s="383" t="s">
        <v>62</v>
      </c>
      <c r="N948" s="359"/>
      <c r="O948" s="34"/>
      <c r="P948" s="35"/>
      <c r="Q948" s="36"/>
      <c r="R948" s="36"/>
      <c r="S948" s="36"/>
      <c r="T948" s="30" t="s">
        <v>29</v>
      </c>
      <c r="U948" s="358"/>
      <c r="V948" s="358"/>
      <c r="W948" s="39" t="s">
        <v>34</v>
      </c>
      <c r="X948" s="40"/>
    </row>
    <row r="949" spans="1:24" ht="18.75" customHeight="1">
      <c r="A949" s="33" t="s">
        <v>63</v>
      </c>
      <c r="B949" s="30" t="s">
        <v>29</v>
      </c>
      <c r="C949" s="34"/>
      <c r="D949" s="35"/>
      <c r="E949" s="36" t="s">
        <v>64</v>
      </c>
      <c r="F949" s="36"/>
      <c r="G949" s="36"/>
      <c r="H949" s="30" t="s">
        <v>29</v>
      </c>
      <c r="I949" s="358" t="e">
        <f>L946</f>
        <v>#REF!</v>
      </c>
      <c r="J949" s="358"/>
      <c r="K949" s="39" t="s">
        <v>34</v>
      </c>
      <c r="L949" s="40"/>
      <c r="M949" s="33" t="s">
        <v>63</v>
      </c>
      <c r="N949" s="30" t="s">
        <v>29</v>
      </c>
      <c r="O949" s="34"/>
      <c r="P949" s="35"/>
      <c r="Q949" s="36" t="s">
        <v>64</v>
      </c>
      <c r="R949" s="36"/>
      <c r="S949" s="36"/>
      <c r="T949" s="30" t="s">
        <v>29</v>
      </c>
      <c r="U949" s="358" t="e">
        <f>X946</f>
        <v>#REF!</v>
      </c>
      <c r="V949" s="358"/>
      <c r="W949" s="39" t="s">
        <v>34</v>
      </c>
      <c r="X949" s="40"/>
    </row>
    <row r="950" spans="1:24" ht="18.75" customHeight="1">
      <c r="A950" s="362" t="s">
        <v>65</v>
      </c>
      <c r="B950" s="363"/>
      <c r="C950" s="363"/>
      <c r="D950" s="363"/>
      <c r="E950" s="363"/>
      <c r="F950" s="363"/>
      <c r="G950" s="30" t="s">
        <v>29</v>
      </c>
      <c r="H950" s="365" t="e">
        <f>I937+I938+I939+I940+I941+I944+I948+I949</f>
        <v>#DIV/0!</v>
      </c>
      <c r="I950" s="365"/>
      <c r="J950" s="365"/>
      <c r="K950" s="39" t="s">
        <v>34</v>
      </c>
      <c r="M950" s="362" t="s">
        <v>65</v>
      </c>
      <c r="N950" s="363"/>
      <c r="O950" s="363"/>
      <c r="P950" s="363"/>
      <c r="Q950" s="363"/>
      <c r="R950" s="363"/>
      <c r="S950" s="30" t="s">
        <v>29</v>
      </c>
      <c r="T950" s="365" t="e">
        <f>U937+U938+U939+U940+U941+U944+U948+U949</f>
        <v>#DIV/0!</v>
      </c>
      <c r="U950" s="365"/>
      <c r="V950" s="365"/>
      <c r="W950" s="39" t="s">
        <v>34</v>
      </c>
    </row>
    <row r="951" spans="1:24" ht="18.75" customHeight="1">
      <c r="A951" s="45"/>
      <c r="B951" s="46"/>
      <c r="C951" s="46"/>
      <c r="D951" s="46"/>
      <c r="E951" s="46"/>
      <c r="F951" s="46"/>
      <c r="G951" s="46"/>
      <c r="H951" s="46"/>
      <c r="I951" s="46"/>
      <c r="J951" s="46"/>
      <c r="K951" s="47"/>
      <c r="M951" s="45"/>
      <c r="N951" s="46"/>
      <c r="O951" s="46"/>
      <c r="P951" s="46"/>
      <c r="Q951" s="46"/>
      <c r="R951" s="46"/>
      <c r="S951" s="46"/>
      <c r="T951" s="46"/>
      <c r="U951" s="46"/>
      <c r="V951" s="46"/>
      <c r="W951" s="47"/>
    </row>
    <row r="952" spans="1:24" ht="18.75" customHeight="1">
      <c r="A952" s="374" t="s">
        <v>66</v>
      </c>
      <c r="B952" s="375"/>
      <c r="C952" s="375"/>
      <c r="D952" s="375"/>
      <c r="E952" s="375"/>
      <c r="F952" s="375"/>
      <c r="G952" s="30"/>
      <c r="H952" s="30"/>
      <c r="I952" s="30"/>
      <c r="J952" s="30"/>
      <c r="K952" s="39"/>
      <c r="M952" s="374" t="s">
        <v>66</v>
      </c>
      <c r="N952" s="375"/>
      <c r="O952" s="375"/>
      <c r="P952" s="375"/>
      <c r="Q952" s="375"/>
      <c r="R952" s="375"/>
      <c r="S952" s="30"/>
      <c r="T952" s="30"/>
      <c r="U952" s="30"/>
      <c r="V952" s="30"/>
      <c r="W952" s="39"/>
    </row>
    <row r="953" spans="1:24" ht="18.75" customHeight="1">
      <c r="A953" s="368" t="s">
        <v>67</v>
      </c>
      <c r="B953" s="369"/>
      <c r="C953" s="369"/>
      <c r="D953" s="369"/>
      <c r="E953" s="369"/>
      <c r="F953" s="369"/>
      <c r="G953" s="30" t="s">
        <v>29</v>
      </c>
      <c r="H953" s="376">
        <f>IF(($L$1-(C937+C938+C939+C940))&gt;12,0,F934*8%)</f>
        <v>0</v>
      </c>
      <c r="I953" s="376"/>
      <c r="J953" s="376"/>
      <c r="K953" s="39" t="s">
        <v>34</v>
      </c>
      <c r="M953" s="368" t="s">
        <v>67</v>
      </c>
      <c r="N953" s="369"/>
      <c r="O953" s="369"/>
      <c r="P953" s="369"/>
      <c r="Q953" s="369"/>
      <c r="R953" s="369"/>
      <c r="S953" s="30" t="s">
        <v>29</v>
      </c>
      <c r="T953" s="376">
        <f>IF(($L$1-(O937+O938+O939+O940))&gt;12,0,R934*8%)</f>
        <v>0</v>
      </c>
      <c r="U953" s="376"/>
      <c r="V953" s="376"/>
      <c r="W953" s="39" t="s">
        <v>34</v>
      </c>
    </row>
    <row r="954" spans="1:24" ht="18.75" customHeight="1">
      <c r="A954" s="368" t="s">
        <v>68</v>
      </c>
      <c r="B954" s="369"/>
      <c r="C954" s="369"/>
      <c r="D954" s="369"/>
      <c r="E954" s="369"/>
      <c r="F954" s="369"/>
      <c r="G954" s="30" t="s">
        <v>29</v>
      </c>
      <c r="H954" s="370">
        <f>IF(($L$1-(C937+C938+C939+C940))&gt;12,0,F934*1.5%)</f>
        <v>0</v>
      </c>
      <c r="I954" s="370"/>
      <c r="J954" s="370"/>
      <c r="K954" s="39" t="s">
        <v>34</v>
      </c>
      <c r="M954" s="368" t="s">
        <v>68</v>
      </c>
      <c r="N954" s="369"/>
      <c r="O954" s="369"/>
      <c r="P954" s="369"/>
      <c r="Q954" s="369"/>
      <c r="R954" s="369"/>
      <c r="S954" s="30" t="s">
        <v>29</v>
      </c>
      <c r="T954" s="370">
        <f>IF(($L$1-(O937+O938+O939+O940))&gt;12,0,R934*1.5%)</f>
        <v>0</v>
      </c>
      <c r="U954" s="370"/>
      <c r="V954" s="370"/>
      <c r="W954" s="39" t="s">
        <v>34</v>
      </c>
    </row>
    <row r="955" spans="1:24" ht="18.75" customHeight="1">
      <c r="A955" s="368" t="s">
        <v>69</v>
      </c>
      <c r="B955" s="369"/>
      <c r="C955" s="369"/>
      <c r="D955" s="369"/>
      <c r="E955" s="369"/>
      <c r="F955" s="369"/>
      <c r="G955" s="30" t="s">
        <v>29</v>
      </c>
      <c r="H955" s="370">
        <f>IF(($L$1-(C937+C938+C939+C940))&gt;12,0,F934*1%)</f>
        <v>0</v>
      </c>
      <c r="I955" s="370"/>
      <c r="J955" s="370"/>
      <c r="K955" s="39" t="s">
        <v>34</v>
      </c>
      <c r="M955" s="368" t="s">
        <v>69</v>
      </c>
      <c r="N955" s="369"/>
      <c r="O955" s="369"/>
      <c r="P955" s="369"/>
      <c r="Q955" s="369"/>
      <c r="R955" s="369"/>
      <c r="S955" s="30" t="s">
        <v>29</v>
      </c>
      <c r="T955" s="370">
        <f>IF(($L$1-(O937+O938+O939+O940))&gt;12,0,R934*1%)</f>
        <v>0</v>
      </c>
      <c r="U955" s="370"/>
      <c r="V955" s="370"/>
      <c r="W955" s="39" t="s">
        <v>34</v>
      </c>
    </row>
    <row r="956" spans="1:24" ht="18.75" customHeight="1">
      <c r="A956" s="368" t="s">
        <v>70</v>
      </c>
      <c r="B956" s="369"/>
      <c r="C956" s="369"/>
      <c r="D956" s="369"/>
      <c r="E956" s="369"/>
      <c r="F956" s="369"/>
      <c r="G956" s="30" t="s">
        <v>29</v>
      </c>
      <c r="H956" s="370">
        <v>0</v>
      </c>
      <c r="I956" s="370"/>
      <c r="J956" s="370"/>
      <c r="K956" s="39" t="s">
        <v>34</v>
      </c>
      <c r="M956" s="368" t="s">
        <v>70</v>
      </c>
      <c r="N956" s="369"/>
      <c r="O956" s="369"/>
      <c r="P956" s="369"/>
      <c r="Q956" s="369"/>
      <c r="R956" s="369"/>
      <c r="S956" s="30" t="s">
        <v>29</v>
      </c>
      <c r="T956" s="370">
        <v>0</v>
      </c>
      <c r="U956" s="370"/>
      <c r="V956" s="370"/>
      <c r="W956" s="39" t="s">
        <v>34</v>
      </c>
    </row>
    <row r="957" spans="1:24" ht="18.75" customHeight="1">
      <c r="A957" s="371" t="s">
        <v>71</v>
      </c>
      <c r="B957" s="372"/>
      <c r="C957" s="372"/>
      <c r="D957" s="372"/>
      <c r="E957" s="372"/>
      <c r="F957" s="372"/>
      <c r="G957" s="30" t="s">
        <v>29</v>
      </c>
      <c r="H957" s="373">
        <f>SUM(H953:J956)</f>
        <v>0</v>
      </c>
      <c r="I957" s="373"/>
      <c r="J957" s="373"/>
      <c r="K957" s="39" t="s">
        <v>34</v>
      </c>
      <c r="M957" s="371" t="s">
        <v>71</v>
      </c>
      <c r="N957" s="372"/>
      <c r="O957" s="372"/>
      <c r="P957" s="372"/>
      <c r="Q957" s="372"/>
      <c r="R957" s="372"/>
      <c r="S957" s="30" t="s">
        <v>29</v>
      </c>
      <c r="T957" s="373">
        <f>SUM(T953:V956)</f>
        <v>0</v>
      </c>
      <c r="U957" s="373"/>
      <c r="V957" s="373"/>
      <c r="W957" s="39" t="s">
        <v>34</v>
      </c>
    </row>
    <row r="958" spans="1:24" ht="18.75" customHeight="1">
      <c r="A958" s="368" t="s">
        <v>72</v>
      </c>
      <c r="B958" s="369"/>
      <c r="C958" s="369"/>
      <c r="D958" s="369"/>
      <c r="E958" s="369"/>
      <c r="F958" s="369"/>
      <c r="G958" s="30" t="s">
        <v>29</v>
      </c>
      <c r="H958" s="381" t="e">
        <f>ROUND(H950-H957,-2)</f>
        <v>#DIV/0!</v>
      </c>
      <c r="I958" s="381"/>
      <c r="J958" s="381"/>
      <c r="K958" s="39" t="s">
        <v>34</v>
      </c>
      <c r="M958" s="368" t="s">
        <v>72</v>
      </c>
      <c r="N958" s="369"/>
      <c r="O958" s="369"/>
      <c r="P958" s="369"/>
      <c r="Q958" s="369"/>
      <c r="R958" s="369"/>
      <c r="S958" s="30" t="s">
        <v>29</v>
      </c>
      <c r="T958" s="381" t="e">
        <f>ROUND(T950-T957,-2)</f>
        <v>#DIV/0!</v>
      </c>
      <c r="U958" s="381"/>
      <c r="V958" s="381"/>
      <c r="W958" s="39" t="s">
        <v>34</v>
      </c>
    </row>
    <row r="959" spans="1:24" ht="18.75" customHeight="1">
      <c r="A959" s="48"/>
      <c r="B959" s="49"/>
      <c r="C959" s="49"/>
      <c r="D959" s="49"/>
      <c r="E959" s="49"/>
      <c r="F959" s="49"/>
      <c r="G959" s="49"/>
      <c r="H959" s="49"/>
      <c r="I959" s="49"/>
      <c r="J959" s="49"/>
      <c r="K959" s="50"/>
      <c r="M959" s="48"/>
      <c r="N959" s="49"/>
      <c r="O959" s="49"/>
      <c r="P959" s="49"/>
      <c r="Q959" s="49"/>
      <c r="R959" s="49"/>
      <c r="S959" s="49"/>
      <c r="T959" s="49"/>
      <c r="U959" s="49"/>
      <c r="V959" s="49"/>
      <c r="W959" s="50"/>
    </row>
    <row r="960" spans="1:24" ht="18.75" customHeight="1">
      <c r="A960" s="51"/>
      <c r="B960" s="30"/>
      <c r="C960" s="30"/>
      <c r="D960" s="30"/>
      <c r="E960" s="30"/>
      <c r="F960" s="30"/>
      <c r="G960" s="30"/>
      <c r="H960" s="30"/>
      <c r="I960" s="378" t="s">
        <v>73</v>
      </c>
      <c r="J960" s="378"/>
      <c r="K960" s="382"/>
      <c r="M960" s="51"/>
      <c r="N960" s="30"/>
      <c r="O960" s="30"/>
      <c r="P960" s="30"/>
      <c r="Q960" s="30"/>
      <c r="R960" s="30"/>
      <c r="S960" s="30"/>
      <c r="T960" s="30"/>
      <c r="U960" s="378" t="s">
        <v>73</v>
      </c>
      <c r="V960" s="378"/>
      <c r="W960" s="382"/>
    </row>
    <row r="961" spans="1:24" ht="18.75" customHeight="1">
      <c r="A961" s="51"/>
      <c r="B961" s="377"/>
      <c r="C961" s="378"/>
      <c r="D961" s="378"/>
      <c r="E961" s="378"/>
      <c r="F961" s="30"/>
      <c r="G961" s="30"/>
      <c r="H961" s="30"/>
      <c r="I961" s="30"/>
      <c r="J961" s="30"/>
      <c r="K961" s="32"/>
      <c r="M961" s="51"/>
      <c r="N961" s="377"/>
      <c r="O961" s="378"/>
      <c r="P961" s="378"/>
      <c r="Q961" s="378"/>
      <c r="R961" s="30"/>
      <c r="S961" s="30"/>
      <c r="T961" s="30"/>
      <c r="U961" s="30"/>
      <c r="V961" s="30"/>
      <c r="W961" s="32"/>
    </row>
    <row r="962" spans="1:24" ht="18.75" customHeight="1" thickBot="1">
      <c r="A962" s="53"/>
      <c r="B962" s="54"/>
      <c r="C962" s="54"/>
      <c r="D962" s="54"/>
      <c r="E962" s="54"/>
      <c r="F962" s="54"/>
      <c r="G962" s="54"/>
      <c r="H962" s="54"/>
      <c r="I962" s="379" t="s">
        <v>74</v>
      </c>
      <c r="J962" s="379"/>
      <c r="K962" s="380"/>
      <c r="M962" s="53"/>
      <c r="N962" s="54"/>
      <c r="O962" s="54"/>
      <c r="P962" s="54"/>
      <c r="Q962" s="54"/>
      <c r="R962" s="54"/>
      <c r="S962" s="54"/>
      <c r="T962" s="54"/>
      <c r="U962" s="379" t="s">
        <v>74</v>
      </c>
      <c r="V962" s="379"/>
      <c r="W962" s="380"/>
    </row>
    <row r="963" spans="1:24" ht="18.75" customHeight="1" thickTop="1" thickBot="1"/>
    <row r="964" spans="1:24" ht="18.75" customHeight="1" thickTop="1">
      <c r="A964" s="351" t="s">
        <v>7</v>
      </c>
      <c r="B964" s="352"/>
      <c r="C964" s="352"/>
      <c r="D964" s="352"/>
      <c r="E964" s="352"/>
      <c r="F964" s="352"/>
      <c r="G964" s="352"/>
      <c r="H964" s="352"/>
      <c r="I964" s="352"/>
      <c r="J964" s="352"/>
      <c r="K964" s="353"/>
      <c r="L964" s="26">
        <v>24</v>
      </c>
      <c r="M964" s="351" t="s">
        <v>7</v>
      </c>
      <c r="N964" s="352"/>
      <c r="O964" s="352"/>
      <c r="P964" s="352"/>
      <c r="Q964" s="352"/>
      <c r="R964" s="352"/>
      <c r="S964" s="352"/>
      <c r="T964" s="352"/>
      <c r="U964" s="352"/>
      <c r="V964" s="352"/>
      <c r="W964" s="353"/>
      <c r="X964" s="26">
        <v>24</v>
      </c>
    </row>
    <row r="965" spans="1:24" ht="18.75" customHeight="1">
      <c r="A965" s="27" t="s">
        <v>127</v>
      </c>
      <c r="B965" s="28"/>
      <c r="C965" s="28"/>
      <c r="D965" s="28"/>
      <c r="E965" s="28"/>
      <c r="F965" s="28"/>
      <c r="G965" s="28"/>
      <c r="H965" s="28"/>
      <c r="I965" s="28"/>
      <c r="J965" s="28"/>
      <c r="K965" s="29"/>
      <c r="M965" s="27" t="s">
        <v>128</v>
      </c>
      <c r="N965" s="28"/>
      <c r="O965" s="28"/>
      <c r="P965" s="28"/>
      <c r="Q965" s="28"/>
      <c r="R965" s="28"/>
      <c r="S965" s="28"/>
      <c r="T965" s="28"/>
      <c r="U965" s="28"/>
      <c r="V965" s="28"/>
      <c r="W965" s="29"/>
    </row>
    <row r="966" spans="1:24" ht="18.75" customHeight="1">
      <c r="A966" s="354" t="s">
        <v>27</v>
      </c>
      <c r="B966" s="355"/>
      <c r="C966" s="355"/>
      <c r="D966" s="355"/>
      <c r="E966" s="355"/>
      <c r="F966" s="355"/>
      <c r="G966" s="355"/>
      <c r="H966" s="355"/>
      <c r="I966" s="355"/>
      <c r="J966" s="355"/>
      <c r="K966" s="356"/>
      <c r="M966" s="354" t="s">
        <v>27</v>
      </c>
      <c r="N966" s="355"/>
      <c r="O966" s="355"/>
      <c r="P966" s="355"/>
      <c r="Q966" s="355"/>
      <c r="R966" s="355"/>
      <c r="S966" s="355"/>
      <c r="T966" s="355"/>
      <c r="U966" s="355"/>
      <c r="V966" s="355"/>
      <c r="W966" s="356"/>
    </row>
    <row r="967" spans="1:24" ht="18.75" customHeight="1">
      <c r="A967" s="347" t="s">
        <v>28</v>
      </c>
      <c r="B967" s="31"/>
      <c r="C967" s="31"/>
      <c r="D967" s="31"/>
      <c r="E967" s="30" t="s">
        <v>29</v>
      </c>
      <c r="F967" s="31"/>
      <c r="G967" s="31"/>
      <c r="H967" s="31"/>
      <c r="I967" s="31"/>
      <c r="J967" s="31"/>
      <c r="K967" s="350"/>
      <c r="M967" s="347" t="s">
        <v>28</v>
      </c>
      <c r="N967" s="31"/>
      <c r="O967" s="31"/>
      <c r="P967" s="31"/>
      <c r="Q967" s="30" t="s">
        <v>29</v>
      </c>
      <c r="R967" s="31"/>
      <c r="S967" s="31"/>
      <c r="T967" s="31"/>
      <c r="U967" s="31"/>
      <c r="V967" s="31"/>
      <c r="W967" s="350"/>
    </row>
    <row r="968" spans="1:24" ht="18.75" customHeight="1">
      <c r="A968" s="347" t="s">
        <v>30</v>
      </c>
      <c r="B968" s="31"/>
      <c r="C968" s="31"/>
      <c r="D968" s="31"/>
      <c r="E968" s="30" t="s">
        <v>29</v>
      </c>
      <c r="F968" s="348"/>
      <c r="G968" s="348"/>
      <c r="H968" s="348"/>
      <c r="I968" s="348"/>
      <c r="J968" s="348"/>
      <c r="K968" s="349"/>
      <c r="M968" s="347" t="s">
        <v>30</v>
      </c>
      <c r="N968" s="31"/>
      <c r="O968" s="31"/>
      <c r="P968" s="31"/>
      <c r="Q968" s="30" t="s">
        <v>29</v>
      </c>
      <c r="R968" s="348"/>
      <c r="S968" s="348"/>
      <c r="T968" s="348"/>
      <c r="U968" s="348"/>
      <c r="V968" s="348"/>
      <c r="W968" s="349"/>
    </row>
    <row r="969" spans="1:24" ht="18.75" customHeight="1">
      <c r="A969" s="347" t="s">
        <v>31</v>
      </c>
      <c r="B969" s="31"/>
      <c r="C969" s="31"/>
      <c r="D969" s="31"/>
      <c r="E969" s="30" t="s">
        <v>29</v>
      </c>
      <c r="F969" s="31" t="str">
        <f>+$L$2</f>
        <v xml:space="preserve">Tổ  </v>
      </c>
      <c r="G969" s="31"/>
      <c r="H969" s="31"/>
      <c r="I969" s="31"/>
      <c r="J969" s="31"/>
      <c r="K969" s="350"/>
      <c r="M969" s="347" t="s">
        <v>31</v>
      </c>
      <c r="N969" s="31"/>
      <c r="O969" s="31"/>
      <c r="P969" s="31"/>
      <c r="Q969" s="30" t="s">
        <v>29</v>
      </c>
      <c r="R969" s="31" t="s">
        <v>139</v>
      </c>
      <c r="S969" s="31"/>
      <c r="T969" s="31"/>
      <c r="U969" s="31"/>
      <c r="V969" s="31"/>
      <c r="W969" s="350"/>
    </row>
    <row r="970" spans="1:24" ht="18.75" customHeight="1">
      <c r="A970" s="354" t="s">
        <v>32</v>
      </c>
      <c r="B970" s="355"/>
      <c r="C970" s="355"/>
      <c r="D970" s="355"/>
      <c r="E970" s="355"/>
      <c r="F970" s="355"/>
      <c r="G970" s="355"/>
      <c r="H970" s="355"/>
      <c r="I970" s="355"/>
      <c r="J970" s="355"/>
      <c r="K970" s="356"/>
      <c r="M970" s="354" t="s">
        <v>32</v>
      </c>
      <c r="N970" s="355"/>
      <c r="O970" s="355"/>
      <c r="P970" s="355"/>
      <c r="Q970" s="355"/>
      <c r="R970" s="355"/>
      <c r="S970" s="355"/>
      <c r="T970" s="355"/>
      <c r="U970" s="355"/>
      <c r="V970" s="355"/>
      <c r="W970" s="356"/>
    </row>
    <row r="971" spans="1:24" ht="18.75" customHeight="1">
      <c r="A971" s="347" t="s">
        <v>33</v>
      </c>
      <c r="B971" s="31"/>
      <c r="C971" s="31"/>
      <c r="D971" s="31"/>
      <c r="E971" s="30" t="s">
        <v>29</v>
      </c>
      <c r="F971" s="361">
        <v>2915400</v>
      </c>
      <c r="G971" s="361"/>
      <c r="H971" s="361"/>
      <c r="I971" s="361"/>
      <c r="J971" s="30" t="s">
        <v>34</v>
      </c>
      <c r="K971" s="32"/>
      <c r="M971" s="347" t="s">
        <v>33</v>
      </c>
      <c r="N971" s="31"/>
      <c r="O971" s="31"/>
      <c r="P971" s="31"/>
      <c r="Q971" s="30" t="s">
        <v>29</v>
      </c>
      <c r="R971" s="361">
        <v>2915400</v>
      </c>
      <c r="S971" s="361"/>
      <c r="T971" s="361"/>
      <c r="U971" s="361"/>
      <c r="V971" s="30" t="s">
        <v>34</v>
      </c>
      <c r="W971" s="32"/>
    </row>
    <row r="972" spans="1:24" ht="18.75" customHeight="1">
      <c r="A972" s="33" t="s">
        <v>35</v>
      </c>
      <c r="B972" s="30"/>
      <c r="C972" s="34"/>
      <c r="D972" s="35"/>
      <c r="E972" s="36"/>
      <c r="F972" s="36"/>
      <c r="G972" s="36"/>
      <c r="H972" s="30"/>
      <c r="I972" s="37"/>
      <c r="J972" s="38"/>
      <c r="K972" s="39"/>
      <c r="M972" s="33" t="s">
        <v>35</v>
      </c>
      <c r="N972" s="30"/>
      <c r="O972" s="34"/>
      <c r="P972" s="35"/>
      <c r="Q972" s="36"/>
      <c r="R972" s="36"/>
      <c r="S972" s="36"/>
      <c r="T972" s="30"/>
      <c r="U972" s="37"/>
      <c r="V972" s="38"/>
      <c r="W972" s="39"/>
    </row>
    <row r="973" spans="1:24" ht="18.75" customHeight="1">
      <c r="A973" s="33" t="s">
        <v>36</v>
      </c>
      <c r="B973" s="30"/>
      <c r="C973" s="34"/>
      <c r="D973" s="35"/>
      <c r="E973" s="36"/>
      <c r="F973" s="36"/>
      <c r="G973" s="36"/>
      <c r="H973" s="30"/>
      <c r="I973" s="37" t="e">
        <f>I974/C974/8</f>
        <v>#DIV/0!</v>
      </c>
      <c r="J973" s="38"/>
      <c r="K973" s="39"/>
      <c r="M973" s="33" t="s">
        <v>36</v>
      </c>
      <c r="N973" s="30"/>
      <c r="O973" s="34"/>
      <c r="P973" s="35"/>
      <c r="Q973" s="36"/>
      <c r="R973" s="36"/>
      <c r="S973" s="36"/>
      <c r="T973" s="30"/>
      <c r="U973" s="37" t="e">
        <f>U974/O974/8</f>
        <v>#DIV/0!</v>
      </c>
      <c r="V973" s="38"/>
      <c r="W973" s="39"/>
    </row>
    <row r="974" spans="1:24" ht="18.75" customHeight="1">
      <c r="A974" s="33" t="s">
        <v>37</v>
      </c>
      <c r="B974" s="30" t="s">
        <v>29</v>
      </c>
      <c r="C974" s="34"/>
      <c r="D974" s="35" t="s">
        <v>38</v>
      </c>
      <c r="E974" s="359" t="s">
        <v>39</v>
      </c>
      <c r="F974" s="359"/>
      <c r="G974" s="359"/>
      <c r="H974" s="30" t="s">
        <v>29</v>
      </c>
      <c r="I974" s="360" t="e">
        <f>I972*680/((C974-C981)*8+C981*7+C978)*((C974-C981)*8+C981*7)</f>
        <v>#DIV/0!</v>
      </c>
      <c r="J974" s="360"/>
      <c r="K974" s="39" t="s">
        <v>34</v>
      </c>
      <c r="L974" s="40">
        <f>F971/L964*C974</f>
        <v>0</v>
      </c>
      <c r="M974" s="33" t="s">
        <v>37</v>
      </c>
      <c r="N974" s="30" t="s">
        <v>29</v>
      </c>
      <c r="O974" s="34"/>
      <c r="P974" s="35" t="s">
        <v>38</v>
      </c>
      <c r="Q974" s="359" t="s">
        <v>39</v>
      </c>
      <c r="R974" s="359"/>
      <c r="S974" s="359"/>
      <c r="T974" s="30" t="s">
        <v>29</v>
      </c>
      <c r="U974" s="360" t="e">
        <f>U972*680/((O974-O981)*8+O981*7+O978)*((O974-O981)*8+O981*7)</f>
        <v>#DIV/0!</v>
      </c>
      <c r="V974" s="360"/>
      <c r="W974" s="39" t="s">
        <v>34</v>
      </c>
      <c r="X974" s="40">
        <f>R971/X964*O974</f>
        <v>0</v>
      </c>
    </row>
    <row r="975" spans="1:24" ht="18.75" customHeight="1">
      <c r="A975" s="33" t="s">
        <v>40</v>
      </c>
      <c r="B975" s="30" t="s">
        <v>29</v>
      </c>
      <c r="C975" s="34"/>
      <c r="D975" s="35" t="s">
        <v>38</v>
      </c>
      <c r="E975" s="31" t="s">
        <v>41</v>
      </c>
      <c r="F975" s="31"/>
      <c r="G975" s="31"/>
      <c r="H975" s="30" t="s">
        <v>29</v>
      </c>
      <c r="I975" s="358">
        <f>$F$8/$L$1*C975</f>
        <v>0</v>
      </c>
      <c r="J975" s="358"/>
      <c r="K975" s="39" t="s">
        <v>34</v>
      </c>
      <c r="L975" s="40"/>
      <c r="M975" s="33" t="s">
        <v>40</v>
      </c>
      <c r="N975" s="30" t="s">
        <v>29</v>
      </c>
      <c r="O975" s="34"/>
      <c r="P975" s="35" t="s">
        <v>38</v>
      </c>
      <c r="Q975" s="31" t="s">
        <v>41</v>
      </c>
      <c r="R975" s="31"/>
      <c r="S975" s="31"/>
      <c r="T975" s="30" t="s">
        <v>29</v>
      </c>
      <c r="U975" s="358">
        <f>$F$8/$L$1*O975</f>
        <v>0</v>
      </c>
      <c r="V975" s="358"/>
      <c r="W975" s="39" t="s">
        <v>34</v>
      </c>
      <c r="X975" s="40"/>
    </row>
    <row r="976" spans="1:24" ht="18.75" customHeight="1">
      <c r="A976" s="33" t="s">
        <v>42</v>
      </c>
      <c r="B976" s="30" t="s">
        <v>29</v>
      </c>
      <c r="C976" s="34"/>
      <c r="D976" s="35" t="s">
        <v>38</v>
      </c>
      <c r="E976" s="357" t="s">
        <v>43</v>
      </c>
      <c r="F976" s="357"/>
      <c r="G976" s="357"/>
      <c r="H976" s="30" t="s">
        <v>29</v>
      </c>
      <c r="I976" s="358">
        <f>$F$8/$L$1*C976</f>
        <v>0</v>
      </c>
      <c r="J976" s="358"/>
      <c r="K976" s="39" t="s">
        <v>34</v>
      </c>
      <c r="L976" s="40"/>
      <c r="M976" s="33" t="s">
        <v>42</v>
      </c>
      <c r="N976" s="30" t="s">
        <v>29</v>
      </c>
      <c r="O976" s="34"/>
      <c r="P976" s="35" t="s">
        <v>38</v>
      </c>
      <c r="Q976" s="357" t="s">
        <v>43</v>
      </c>
      <c r="R976" s="357"/>
      <c r="S976" s="357"/>
      <c r="T976" s="30" t="s">
        <v>29</v>
      </c>
      <c r="U976" s="358">
        <f>$F$8/$L$1*O976</f>
        <v>0</v>
      </c>
      <c r="V976" s="358"/>
      <c r="W976" s="39" t="s">
        <v>34</v>
      </c>
      <c r="X976" s="40"/>
    </row>
    <row r="977" spans="1:24" ht="18.75" customHeight="1">
      <c r="A977" s="33" t="s">
        <v>44</v>
      </c>
      <c r="B977" s="30" t="s">
        <v>29</v>
      </c>
      <c r="C977" s="34"/>
      <c r="D977" s="35" t="s">
        <v>38</v>
      </c>
      <c r="E977" s="357" t="s">
        <v>45</v>
      </c>
      <c r="F977" s="357"/>
      <c r="G977" s="357"/>
      <c r="H977" s="30" t="s">
        <v>29</v>
      </c>
      <c r="I977" s="358">
        <f>$F$8/$L$1*C977</f>
        <v>0</v>
      </c>
      <c r="J977" s="358"/>
      <c r="K977" s="39" t="s">
        <v>34</v>
      </c>
      <c r="L977" s="40"/>
      <c r="M977" s="33" t="s">
        <v>44</v>
      </c>
      <c r="N977" s="30" t="s">
        <v>29</v>
      </c>
      <c r="O977" s="34"/>
      <c r="P977" s="35" t="s">
        <v>38</v>
      </c>
      <c r="Q977" s="357" t="s">
        <v>45</v>
      </c>
      <c r="R977" s="357"/>
      <c r="S977" s="357"/>
      <c r="T977" s="30" t="s">
        <v>29</v>
      </c>
      <c r="U977" s="358">
        <f>$F$8/$L$1*O977</f>
        <v>0</v>
      </c>
      <c r="V977" s="358"/>
      <c r="W977" s="39" t="s">
        <v>34</v>
      </c>
      <c r="X977" s="40"/>
    </row>
    <row r="978" spans="1:24" ht="18.75" customHeight="1">
      <c r="A978" s="33" t="s">
        <v>46</v>
      </c>
      <c r="B978" s="30" t="s">
        <v>29</v>
      </c>
      <c r="C978" s="34"/>
      <c r="D978" s="35" t="s">
        <v>47</v>
      </c>
      <c r="E978" s="31" t="s">
        <v>48</v>
      </c>
      <c r="F978" s="31"/>
      <c r="G978" s="31"/>
      <c r="H978" s="30" t="s">
        <v>29</v>
      </c>
      <c r="I978" s="358" t="e">
        <f>I974/C974/8*C978</f>
        <v>#DIV/0!</v>
      </c>
      <c r="J978" s="358"/>
      <c r="K978" s="39" t="s">
        <v>34</v>
      </c>
      <c r="L978" s="40">
        <f>F971*C978/L964/8*1.5</f>
        <v>0</v>
      </c>
      <c r="M978" s="33" t="s">
        <v>46</v>
      </c>
      <c r="N978" s="30" t="s">
        <v>29</v>
      </c>
      <c r="O978" s="34"/>
      <c r="P978" s="35" t="s">
        <v>47</v>
      </c>
      <c r="Q978" s="31" t="s">
        <v>48</v>
      </c>
      <c r="R978" s="31"/>
      <c r="S978" s="31"/>
      <c r="T978" s="30" t="s">
        <v>29</v>
      </c>
      <c r="U978" s="358" t="e">
        <f>U974/O974/8*O978</f>
        <v>#DIV/0!</v>
      </c>
      <c r="V978" s="358"/>
      <c r="W978" s="39" t="s">
        <v>34</v>
      </c>
      <c r="X978" s="40">
        <f>R971*O978/X964/8*1.5</f>
        <v>0</v>
      </c>
    </row>
    <row r="979" spans="1:24" ht="18.75" customHeight="1">
      <c r="A979" s="347" t="s">
        <v>49</v>
      </c>
      <c r="B979" s="31"/>
      <c r="C979" s="34"/>
      <c r="D979" s="35" t="s">
        <v>38</v>
      </c>
      <c r="E979" s="31" t="s">
        <v>50</v>
      </c>
      <c r="F979" s="31"/>
      <c r="G979" s="31"/>
      <c r="H979" s="41" t="s">
        <v>29</v>
      </c>
      <c r="I979" s="358"/>
      <c r="J979" s="358"/>
      <c r="K979" s="39" t="s">
        <v>34</v>
      </c>
      <c r="L979" s="40"/>
      <c r="M979" s="347" t="s">
        <v>49</v>
      </c>
      <c r="N979" s="31"/>
      <c r="O979" s="34"/>
      <c r="P979" s="35" t="s">
        <v>38</v>
      </c>
      <c r="Q979" s="31" t="s">
        <v>50</v>
      </c>
      <c r="R979" s="31"/>
      <c r="S979" s="31"/>
      <c r="T979" s="41" t="s">
        <v>29</v>
      </c>
      <c r="U979" s="358"/>
      <c r="V979" s="358"/>
      <c r="W979" s="39" t="s">
        <v>34</v>
      </c>
      <c r="X979" s="40"/>
    </row>
    <row r="980" spans="1:24" ht="18.75" customHeight="1">
      <c r="A980" s="33" t="s">
        <v>51</v>
      </c>
      <c r="B980" s="30" t="s">
        <v>29</v>
      </c>
      <c r="C980" s="34"/>
      <c r="D980" s="35" t="s">
        <v>38</v>
      </c>
      <c r="E980" s="31" t="s">
        <v>52</v>
      </c>
      <c r="F980" s="31"/>
      <c r="G980" s="31"/>
      <c r="H980" s="30" t="s">
        <v>29</v>
      </c>
      <c r="I980" s="358"/>
      <c r="J980" s="358"/>
      <c r="K980" s="39" t="s">
        <v>34</v>
      </c>
      <c r="L980" s="40"/>
      <c r="M980" s="33" t="s">
        <v>51</v>
      </c>
      <c r="N980" s="30" t="s">
        <v>29</v>
      </c>
      <c r="O980" s="34"/>
      <c r="P980" s="35" t="s">
        <v>38</v>
      </c>
      <c r="Q980" s="31" t="s">
        <v>52</v>
      </c>
      <c r="R980" s="31"/>
      <c r="S980" s="31"/>
      <c r="T980" s="30" t="s">
        <v>29</v>
      </c>
      <c r="U980" s="358"/>
      <c r="V980" s="358"/>
      <c r="W980" s="39" t="s">
        <v>34</v>
      </c>
      <c r="X980" s="40"/>
    </row>
    <row r="981" spans="1:24" ht="18.75" customHeight="1">
      <c r="A981" s="42" t="s">
        <v>53</v>
      </c>
      <c r="B981" s="30"/>
      <c r="C981" s="34"/>
      <c r="D981" s="35" t="s">
        <v>47</v>
      </c>
      <c r="E981" s="31" t="s">
        <v>54</v>
      </c>
      <c r="F981" s="31"/>
      <c r="G981" s="31"/>
      <c r="H981" s="30" t="s">
        <v>29</v>
      </c>
      <c r="I981" s="358">
        <f>$F$8*C981/8/$L$1</f>
        <v>0</v>
      </c>
      <c r="J981" s="358"/>
      <c r="K981" s="39" t="s">
        <v>34</v>
      </c>
      <c r="L981" s="40"/>
      <c r="M981" s="42" t="s">
        <v>53</v>
      </c>
      <c r="N981" s="30"/>
      <c r="O981" s="34"/>
      <c r="P981" s="35" t="s">
        <v>47</v>
      </c>
      <c r="Q981" s="31" t="s">
        <v>54</v>
      </c>
      <c r="R981" s="31"/>
      <c r="S981" s="31"/>
      <c r="T981" s="30" t="s">
        <v>29</v>
      </c>
      <c r="U981" s="358">
        <f>$F$8*O981/8/$L$1</f>
        <v>0</v>
      </c>
      <c r="V981" s="358"/>
      <c r="W981" s="39" t="s">
        <v>34</v>
      </c>
      <c r="X981" s="40"/>
    </row>
    <row r="982" spans="1:24" ht="18.75" customHeight="1">
      <c r="A982" s="33" t="s">
        <v>55</v>
      </c>
      <c r="B982" s="30" t="s">
        <v>29</v>
      </c>
      <c r="C982" s="34"/>
      <c r="D982" s="35" t="s">
        <v>47</v>
      </c>
      <c r="E982" s="31" t="s">
        <v>56</v>
      </c>
      <c r="F982" s="31"/>
      <c r="G982" s="31"/>
      <c r="H982" s="30" t="s">
        <v>29</v>
      </c>
      <c r="I982" s="360"/>
      <c r="J982" s="360"/>
      <c r="K982" s="39" t="s">
        <v>34</v>
      </c>
      <c r="L982" s="40"/>
      <c r="M982" s="33" t="s">
        <v>55</v>
      </c>
      <c r="N982" s="30" t="s">
        <v>29</v>
      </c>
      <c r="O982" s="34"/>
      <c r="P982" s="35" t="s">
        <v>47</v>
      </c>
      <c r="Q982" s="31" t="s">
        <v>56</v>
      </c>
      <c r="R982" s="31"/>
      <c r="S982" s="31"/>
      <c r="T982" s="30" t="s">
        <v>29</v>
      </c>
      <c r="U982" s="360"/>
      <c r="V982" s="360"/>
      <c r="W982" s="39" t="s">
        <v>34</v>
      </c>
      <c r="X982" s="40"/>
    </row>
    <row r="983" spans="1:24" ht="18.75" customHeight="1">
      <c r="A983" s="33" t="s">
        <v>57</v>
      </c>
      <c r="B983" s="30" t="s">
        <v>29</v>
      </c>
      <c r="C983" s="34"/>
      <c r="D983" s="35" t="s">
        <v>58</v>
      </c>
      <c r="E983" s="31" t="s">
        <v>59</v>
      </c>
      <c r="F983" s="31"/>
      <c r="G983" s="31"/>
      <c r="H983" s="30" t="s">
        <v>29</v>
      </c>
      <c r="I983" s="358"/>
      <c r="J983" s="358"/>
      <c r="K983" s="39" t="s">
        <v>34</v>
      </c>
      <c r="L983" s="40" t="e">
        <f>+IF(L974-I974&lt;0,0,L974-I974)+IF(L978-I978&lt;0,0,L978-I978)</f>
        <v>#DIV/0!</v>
      </c>
      <c r="M983" s="33" t="s">
        <v>57</v>
      </c>
      <c r="N983" s="30" t="s">
        <v>29</v>
      </c>
      <c r="O983" s="34"/>
      <c r="P983" s="35" t="s">
        <v>58</v>
      </c>
      <c r="Q983" s="31" t="s">
        <v>59</v>
      </c>
      <c r="R983" s="31"/>
      <c r="S983" s="31"/>
      <c r="T983" s="30" t="s">
        <v>29</v>
      </c>
      <c r="U983" s="358"/>
      <c r="V983" s="358"/>
      <c r="W983" s="39" t="s">
        <v>34</v>
      </c>
      <c r="X983" s="40" t="e">
        <f>+IF(X974-U974&lt;0,0,X974-U974)+IF(X978-U978&lt;0,0,X978-U978)</f>
        <v>#DIV/0!</v>
      </c>
    </row>
    <row r="984" spans="1:24" ht="18.75" customHeight="1">
      <c r="A984" s="43" t="s">
        <v>60</v>
      </c>
      <c r="B984" s="44"/>
      <c r="C984" s="34"/>
      <c r="D984" s="35" t="s">
        <v>38</v>
      </c>
      <c r="E984" s="31" t="s">
        <v>61</v>
      </c>
      <c r="F984" s="31"/>
      <c r="G984" s="31"/>
      <c r="H984" s="30" t="s">
        <v>29</v>
      </c>
      <c r="I984" s="358"/>
      <c r="J984" s="358"/>
      <c r="K984" s="39" t="s">
        <v>34</v>
      </c>
      <c r="L984" s="40"/>
      <c r="M984" s="43" t="s">
        <v>60</v>
      </c>
      <c r="N984" s="44"/>
      <c r="O984" s="34"/>
      <c r="P984" s="35" t="s">
        <v>38</v>
      </c>
      <c r="Q984" s="31" t="s">
        <v>61</v>
      </c>
      <c r="R984" s="31"/>
      <c r="S984" s="31"/>
      <c r="T984" s="30" t="s">
        <v>29</v>
      </c>
      <c r="U984" s="358"/>
      <c r="V984" s="358"/>
      <c r="W984" s="39" t="s">
        <v>34</v>
      </c>
      <c r="X984" s="40"/>
    </row>
    <row r="985" spans="1:24" ht="18.75" customHeight="1">
      <c r="A985" s="383" t="s">
        <v>62</v>
      </c>
      <c r="B985" s="359"/>
      <c r="C985" s="34"/>
      <c r="D985" s="35"/>
      <c r="E985" s="36"/>
      <c r="F985" s="36"/>
      <c r="G985" s="36"/>
      <c r="H985" s="30" t="s">
        <v>29</v>
      </c>
      <c r="I985" s="358"/>
      <c r="J985" s="358"/>
      <c r="K985" s="39" t="s">
        <v>34</v>
      </c>
      <c r="L985" s="40"/>
      <c r="M985" s="383" t="s">
        <v>62</v>
      </c>
      <c r="N985" s="359"/>
      <c r="O985" s="34"/>
      <c r="P985" s="35"/>
      <c r="Q985" s="36"/>
      <c r="R985" s="36"/>
      <c r="S985" s="36"/>
      <c r="T985" s="30" t="s">
        <v>29</v>
      </c>
      <c r="U985" s="358"/>
      <c r="V985" s="358"/>
      <c r="W985" s="39" t="s">
        <v>34</v>
      </c>
      <c r="X985" s="40"/>
    </row>
    <row r="986" spans="1:24" ht="18.75" customHeight="1">
      <c r="A986" s="33" t="s">
        <v>63</v>
      </c>
      <c r="B986" s="30" t="s">
        <v>29</v>
      </c>
      <c r="C986" s="34"/>
      <c r="D986" s="35"/>
      <c r="E986" s="36" t="s">
        <v>64</v>
      </c>
      <c r="F986" s="36"/>
      <c r="G986" s="36"/>
      <c r="H986" s="30" t="s">
        <v>29</v>
      </c>
      <c r="I986" s="358" t="e">
        <f>L983</f>
        <v>#DIV/0!</v>
      </c>
      <c r="J986" s="358"/>
      <c r="K986" s="39" t="s">
        <v>34</v>
      </c>
      <c r="L986" s="40"/>
      <c r="M986" s="33" t="s">
        <v>63</v>
      </c>
      <c r="N986" s="30" t="s">
        <v>29</v>
      </c>
      <c r="O986" s="34"/>
      <c r="P986" s="35"/>
      <c r="Q986" s="36" t="s">
        <v>64</v>
      </c>
      <c r="R986" s="36"/>
      <c r="S986" s="36"/>
      <c r="T986" s="30" t="s">
        <v>29</v>
      </c>
      <c r="U986" s="358" t="e">
        <f>X983</f>
        <v>#DIV/0!</v>
      </c>
      <c r="V986" s="358"/>
      <c r="W986" s="39" t="s">
        <v>34</v>
      </c>
      <c r="X986" s="40"/>
    </row>
    <row r="987" spans="1:24" ht="18.75" customHeight="1">
      <c r="A987" s="362" t="s">
        <v>65</v>
      </c>
      <c r="B987" s="363"/>
      <c r="C987" s="363"/>
      <c r="D987" s="363"/>
      <c r="E987" s="363"/>
      <c r="F987" s="363"/>
      <c r="G987" s="30" t="s">
        <v>29</v>
      </c>
      <c r="H987" s="365" t="e">
        <f>I974+I975+I976+I977+I978+I981+I985+I986</f>
        <v>#DIV/0!</v>
      </c>
      <c r="I987" s="365"/>
      <c r="J987" s="365"/>
      <c r="K987" s="39" t="s">
        <v>34</v>
      </c>
      <c r="M987" s="362" t="s">
        <v>65</v>
      </c>
      <c r="N987" s="363"/>
      <c r="O987" s="363"/>
      <c r="P987" s="363"/>
      <c r="Q987" s="363"/>
      <c r="R987" s="363"/>
      <c r="S987" s="30" t="s">
        <v>29</v>
      </c>
      <c r="T987" s="365" t="e">
        <f>U974+U975+U976+U977+U978+U981+U985+U986</f>
        <v>#DIV/0!</v>
      </c>
      <c r="U987" s="365"/>
      <c r="V987" s="365"/>
      <c r="W987" s="39" t="s">
        <v>34</v>
      </c>
    </row>
    <row r="988" spans="1:24" ht="18.75" customHeight="1">
      <c r="A988" s="45"/>
      <c r="B988" s="46"/>
      <c r="C988" s="46"/>
      <c r="D988" s="46"/>
      <c r="E988" s="46"/>
      <c r="F988" s="46"/>
      <c r="G988" s="46"/>
      <c r="H988" s="46"/>
      <c r="I988" s="46"/>
      <c r="J988" s="46"/>
      <c r="K988" s="47"/>
      <c r="M988" s="45"/>
      <c r="N988" s="46"/>
      <c r="O988" s="46"/>
      <c r="P988" s="46"/>
      <c r="Q988" s="46"/>
      <c r="R988" s="46"/>
      <c r="S988" s="46"/>
      <c r="T988" s="46"/>
      <c r="U988" s="46"/>
      <c r="V988" s="46"/>
      <c r="W988" s="47"/>
    </row>
    <row r="989" spans="1:24" ht="18.75" customHeight="1">
      <c r="A989" s="374" t="s">
        <v>66</v>
      </c>
      <c r="B989" s="375"/>
      <c r="C989" s="375"/>
      <c r="D989" s="375"/>
      <c r="E989" s="375"/>
      <c r="F989" s="375"/>
      <c r="G989" s="30"/>
      <c r="H989" s="30"/>
      <c r="I989" s="30"/>
      <c r="J989" s="30"/>
      <c r="K989" s="39"/>
      <c r="M989" s="374" t="s">
        <v>66</v>
      </c>
      <c r="N989" s="375"/>
      <c r="O989" s="375"/>
      <c r="P989" s="375"/>
      <c r="Q989" s="375"/>
      <c r="R989" s="375"/>
      <c r="S989" s="30"/>
      <c r="T989" s="30"/>
      <c r="U989" s="30"/>
      <c r="V989" s="30"/>
      <c r="W989" s="39"/>
    </row>
    <row r="990" spans="1:24" ht="18.75" customHeight="1">
      <c r="A990" s="368" t="s">
        <v>67</v>
      </c>
      <c r="B990" s="369"/>
      <c r="C990" s="369"/>
      <c r="D990" s="369"/>
      <c r="E990" s="369"/>
      <c r="F990" s="369"/>
      <c r="G990" s="30" t="s">
        <v>29</v>
      </c>
      <c r="H990" s="376">
        <f>IF(($L$1-(C974+C975+C976+C977))&gt;12,0,F971*8%)</f>
        <v>0</v>
      </c>
      <c r="I990" s="376"/>
      <c r="J990" s="376"/>
      <c r="K990" s="39" t="s">
        <v>34</v>
      </c>
      <c r="M990" s="368" t="s">
        <v>67</v>
      </c>
      <c r="N990" s="369"/>
      <c r="O990" s="369"/>
      <c r="P990" s="369"/>
      <c r="Q990" s="369"/>
      <c r="R990" s="369"/>
      <c r="S990" s="30" t="s">
        <v>29</v>
      </c>
      <c r="T990" s="376">
        <f>IF(($L$1-(O974+O975+O976+O977))&gt;12,0,R971*8%)</f>
        <v>0</v>
      </c>
      <c r="U990" s="376"/>
      <c r="V990" s="376"/>
      <c r="W990" s="39" t="s">
        <v>34</v>
      </c>
    </row>
    <row r="991" spans="1:24" ht="18.75" customHeight="1">
      <c r="A991" s="368" t="s">
        <v>68</v>
      </c>
      <c r="B991" s="369"/>
      <c r="C991" s="369"/>
      <c r="D991" s="369"/>
      <c r="E991" s="369"/>
      <c r="F991" s="369"/>
      <c r="G991" s="30" t="s">
        <v>29</v>
      </c>
      <c r="H991" s="370">
        <f>IF(($L$1-(C974+C975+C976+C977))&gt;12,0,F971*1.5%)</f>
        <v>0</v>
      </c>
      <c r="I991" s="370"/>
      <c r="J991" s="370"/>
      <c r="K991" s="39" t="s">
        <v>34</v>
      </c>
      <c r="M991" s="368" t="s">
        <v>68</v>
      </c>
      <c r="N991" s="369"/>
      <c r="O991" s="369"/>
      <c r="P991" s="369"/>
      <c r="Q991" s="369"/>
      <c r="R991" s="369"/>
      <c r="S991" s="30" t="s">
        <v>29</v>
      </c>
      <c r="T991" s="370">
        <f>IF(($L$1-(O974+O975+O976+O977))&gt;12,0,R971*1.5%)</f>
        <v>0</v>
      </c>
      <c r="U991" s="370"/>
      <c r="V991" s="370"/>
      <c r="W991" s="39" t="s">
        <v>34</v>
      </c>
    </row>
    <row r="992" spans="1:24" ht="18.75" customHeight="1">
      <c r="A992" s="368" t="s">
        <v>69</v>
      </c>
      <c r="B992" s="369"/>
      <c r="C992" s="369"/>
      <c r="D992" s="369"/>
      <c r="E992" s="369"/>
      <c r="F992" s="369"/>
      <c r="G992" s="30" t="s">
        <v>29</v>
      </c>
      <c r="H992" s="370">
        <f>IF(($L$1-(C974+C975+C976+C977))&gt;12,0,F971*1%)</f>
        <v>0</v>
      </c>
      <c r="I992" s="370"/>
      <c r="J992" s="370"/>
      <c r="K992" s="39" t="s">
        <v>34</v>
      </c>
      <c r="M992" s="368" t="s">
        <v>69</v>
      </c>
      <c r="N992" s="369"/>
      <c r="O992" s="369"/>
      <c r="P992" s="369"/>
      <c r="Q992" s="369"/>
      <c r="R992" s="369"/>
      <c r="S992" s="30" t="s">
        <v>29</v>
      </c>
      <c r="T992" s="370">
        <f>IF(($L$1-(O974+O975+O976+O977))&gt;12,0,R971*1%)</f>
        <v>0</v>
      </c>
      <c r="U992" s="370"/>
      <c r="V992" s="370"/>
      <c r="W992" s="39" t="s">
        <v>34</v>
      </c>
    </row>
    <row r="993" spans="1:24" ht="18.75" customHeight="1">
      <c r="A993" s="368" t="s">
        <v>70</v>
      </c>
      <c r="B993" s="369"/>
      <c r="C993" s="369"/>
      <c r="D993" s="369"/>
      <c r="E993" s="369"/>
      <c r="F993" s="369"/>
      <c r="G993" s="30" t="s">
        <v>29</v>
      </c>
      <c r="H993" s="370">
        <v>0</v>
      </c>
      <c r="I993" s="370"/>
      <c r="J993" s="370"/>
      <c r="K993" s="39" t="s">
        <v>34</v>
      </c>
      <c r="M993" s="368" t="s">
        <v>70</v>
      </c>
      <c r="N993" s="369"/>
      <c r="O993" s="369"/>
      <c r="P993" s="369"/>
      <c r="Q993" s="369"/>
      <c r="R993" s="369"/>
      <c r="S993" s="30" t="s">
        <v>29</v>
      </c>
      <c r="T993" s="370">
        <v>0</v>
      </c>
      <c r="U993" s="370"/>
      <c r="V993" s="370"/>
      <c r="W993" s="39" t="s">
        <v>34</v>
      </c>
    </row>
    <row r="994" spans="1:24" ht="18.75" customHeight="1">
      <c r="A994" s="371" t="s">
        <v>71</v>
      </c>
      <c r="B994" s="372"/>
      <c r="C994" s="372"/>
      <c r="D994" s="372"/>
      <c r="E994" s="372"/>
      <c r="F994" s="372"/>
      <c r="G994" s="30" t="s">
        <v>29</v>
      </c>
      <c r="H994" s="373">
        <f>SUM(H990:J993)</f>
        <v>0</v>
      </c>
      <c r="I994" s="373"/>
      <c r="J994" s="373"/>
      <c r="K994" s="39" t="s">
        <v>34</v>
      </c>
      <c r="M994" s="371" t="s">
        <v>71</v>
      </c>
      <c r="N994" s="372"/>
      <c r="O994" s="372"/>
      <c r="P994" s="372"/>
      <c r="Q994" s="372"/>
      <c r="R994" s="372"/>
      <c r="S994" s="30" t="s">
        <v>29</v>
      </c>
      <c r="T994" s="373">
        <f>SUM(T990:V993)</f>
        <v>0</v>
      </c>
      <c r="U994" s="373"/>
      <c r="V994" s="373"/>
      <c r="W994" s="39" t="s">
        <v>34</v>
      </c>
    </row>
    <row r="995" spans="1:24" ht="18.75" customHeight="1">
      <c r="A995" s="368" t="s">
        <v>72</v>
      </c>
      <c r="B995" s="369"/>
      <c r="C995" s="369"/>
      <c r="D995" s="369"/>
      <c r="E995" s="369"/>
      <c r="F995" s="369"/>
      <c r="G995" s="30" t="s">
        <v>29</v>
      </c>
      <c r="H995" s="381" t="e">
        <f>ROUND(H987-H994,-2)</f>
        <v>#DIV/0!</v>
      </c>
      <c r="I995" s="381"/>
      <c r="J995" s="381"/>
      <c r="K995" s="39" t="s">
        <v>34</v>
      </c>
      <c r="M995" s="368" t="s">
        <v>72</v>
      </c>
      <c r="N995" s="369"/>
      <c r="O995" s="369"/>
      <c r="P995" s="369"/>
      <c r="Q995" s="369"/>
      <c r="R995" s="369"/>
      <c r="S995" s="30" t="s">
        <v>29</v>
      </c>
      <c r="T995" s="381" t="e">
        <f>ROUND(T987-T994,-2)</f>
        <v>#DIV/0!</v>
      </c>
      <c r="U995" s="381"/>
      <c r="V995" s="381"/>
      <c r="W995" s="39" t="s">
        <v>34</v>
      </c>
    </row>
    <row r="996" spans="1:24" ht="18.75" customHeight="1">
      <c r="A996" s="48"/>
      <c r="B996" s="49"/>
      <c r="C996" s="49"/>
      <c r="D996" s="49"/>
      <c r="E996" s="49"/>
      <c r="F996" s="49"/>
      <c r="G996" s="49"/>
      <c r="H996" s="49"/>
      <c r="I996" s="49"/>
      <c r="J996" s="49"/>
      <c r="K996" s="50"/>
      <c r="M996" s="48"/>
      <c r="N996" s="49"/>
      <c r="O996" s="49"/>
      <c r="P996" s="49"/>
      <c r="Q996" s="49"/>
      <c r="R996" s="49"/>
      <c r="S996" s="49"/>
      <c r="T996" s="49"/>
      <c r="U996" s="49"/>
      <c r="V996" s="49"/>
      <c r="W996" s="50"/>
    </row>
    <row r="997" spans="1:24" ht="18.75" customHeight="1">
      <c r="A997" s="51"/>
      <c r="B997" s="30"/>
      <c r="C997" s="30"/>
      <c r="D997" s="30"/>
      <c r="E997" s="30"/>
      <c r="F997" s="30"/>
      <c r="G997" s="30"/>
      <c r="H997" s="30"/>
      <c r="I997" s="378" t="s">
        <v>73</v>
      </c>
      <c r="J997" s="378"/>
      <c r="K997" s="382"/>
      <c r="M997" s="51"/>
      <c r="N997" s="30"/>
      <c r="O997" s="30"/>
      <c r="P997" s="30"/>
      <c r="Q997" s="30"/>
      <c r="R997" s="30"/>
      <c r="S997" s="30"/>
      <c r="T997" s="30"/>
      <c r="U997" s="378" t="s">
        <v>73</v>
      </c>
      <c r="V997" s="378"/>
      <c r="W997" s="382"/>
    </row>
    <row r="998" spans="1:24" ht="18.75" customHeight="1">
      <c r="A998" s="51"/>
      <c r="B998" s="377"/>
      <c r="C998" s="378"/>
      <c r="D998" s="378"/>
      <c r="E998" s="378"/>
      <c r="F998" s="30"/>
      <c r="G998" s="30"/>
      <c r="H998" s="30"/>
      <c r="I998" s="30"/>
      <c r="J998" s="30"/>
      <c r="K998" s="32"/>
      <c r="M998" s="51"/>
      <c r="N998" s="377"/>
      <c r="O998" s="378"/>
      <c r="P998" s="378"/>
      <c r="Q998" s="378"/>
      <c r="R998" s="30"/>
      <c r="S998" s="30"/>
      <c r="T998" s="30"/>
      <c r="U998" s="30"/>
      <c r="V998" s="30"/>
      <c r="W998" s="32"/>
    </row>
    <row r="999" spans="1:24" ht="18.75" customHeight="1" thickBot="1">
      <c r="A999" s="53"/>
      <c r="B999" s="54"/>
      <c r="C999" s="54"/>
      <c r="D999" s="54"/>
      <c r="E999" s="54"/>
      <c r="F999" s="54"/>
      <c r="G999" s="54"/>
      <c r="H999" s="54"/>
      <c r="I999" s="379" t="s">
        <v>74</v>
      </c>
      <c r="J999" s="379"/>
      <c r="K999" s="380"/>
      <c r="M999" s="53"/>
      <c r="N999" s="54"/>
      <c r="O999" s="54"/>
      <c r="P999" s="54"/>
      <c r="Q999" s="54"/>
      <c r="R999" s="54"/>
      <c r="S999" s="54"/>
      <c r="T999" s="54"/>
      <c r="U999" s="379" t="s">
        <v>74</v>
      </c>
      <c r="V999" s="379"/>
      <c r="W999" s="380"/>
    </row>
    <row r="1000" spans="1:24" ht="18.75" customHeight="1" thickTop="1" thickBot="1"/>
    <row r="1001" spans="1:24" ht="18.75" customHeight="1" thickTop="1">
      <c r="A1001" s="351" t="s">
        <v>7</v>
      </c>
      <c r="B1001" s="352"/>
      <c r="C1001" s="352"/>
      <c r="D1001" s="352"/>
      <c r="E1001" s="352"/>
      <c r="F1001" s="352"/>
      <c r="G1001" s="352"/>
      <c r="H1001" s="352"/>
      <c r="I1001" s="352"/>
      <c r="J1001" s="352"/>
      <c r="K1001" s="353"/>
      <c r="L1001" s="26">
        <v>24</v>
      </c>
      <c r="M1001" s="351" t="s">
        <v>7</v>
      </c>
      <c r="N1001" s="352"/>
      <c r="O1001" s="352"/>
      <c r="P1001" s="352"/>
      <c r="Q1001" s="352"/>
      <c r="R1001" s="352"/>
      <c r="S1001" s="352"/>
      <c r="T1001" s="352"/>
      <c r="U1001" s="352"/>
      <c r="V1001" s="352"/>
      <c r="W1001" s="353"/>
      <c r="X1001" s="26">
        <v>24</v>
      </c>
    </row>
    <row r="1002" spans="1:24" ht="18.75" customHeight="1">
      <c r="A1002" s="27" t="s">
        <v>129</v>
      </c>
      <c r="B1002" s="28"/>
      <c r="C1002" s="28"/>
      <c r="D1002" s="28"/>
      <c r="E1002" s="28"/>
      <c r="F1002" s="28"/>
      <c r="G1002" s="28"/>
      <c r="H1002" s="28"/>
      <c r="I1002" s="28"/>
      <c r="J1002" s="28"/>
      <c r="K1002" s="29"/>
      <c r="M1002" s="27" t="s">
        <v>130</v>
      </c>
      <c r="N1002" s="28"/>
      <c r="O1002" s="28"/>
      <c r="P1002" s="28"/>
      <c r="Q1002" s="28"/>
      <c r="R1002" s="28"/>
      <c r="S1002" s="28"/>
      <c r="T1002" s="28"/>
      <c r="U1002" s="28"/>
      <c r="V1002" s="28"/>
      <c r="W1002" s="29"/>
    </row>
    <row r="1003" spans="1:24" ht="18.75" customHeight="1">
      <c r="A1003" s="354" t="s">
        <v>27</v>
      </c>
      <c r="B1003" s="355"/>
      <c r="C1003" s="355"/>
      <c r="D1003" s="355"/>
      <c r="E1003" s="355"/>
      <c r="F1003" s="355"/>
      <c r="G1003" s="355"/>
      <c r="H1003" s="355"/>
      <c r="I1003" s="355"/>
      <c r="J1003" s="355"/>
      <c r="K1003" s="356"/>
      <c r="M1003" s="354" t="s">
        <v>27</v>
      </c>
      <c r="N1003" s="355"/>
      <c r="O1003" s="355"/>
      <c r="P1003" s="355"/>
      <c r="Q1003" s="355"/>
      <c r="R1003" s="355"/>
      <c r="S1003" s="355"/>
      <c r="T1003" s="355"/>
      <c r="U1003" s="355"/>
      <c r="V1003" s="355"/>
      <c r="W1003" s="356"/>
    </row>
    <row r="1004" spans="1:24" ht="18.75" customHeight="1">
      <c r="A1004" s="347" t="s">
        <v>28</v>
      </c>
      <c r="B1004" s="31"/>
      <c r="C1004" s="31"/>
      <c r="D1004" s="31"/>
      <c r="E1004" s="30" t="s">
        <v>29</v>
      </c>
      <c r="F1004" s="31"/>
      <c r="G1004" s="31"/>
      <c r="H1004" s="31"/>
      <c r="I1004" s="31"/>
      <c r="J1004" s="31"/>
      <c r="K1004" s="350"/>
      <c r="M1004" s="347" t="s">
        <v>28</v>
      </c>
      <c r="N1004" s="31"/>
      <c r="O1004" s="31"/>
      <c r="P1004" s="31"/>
      <c r="Q1004" s="30" t="s">
        <v>29</v>
      </c>
      <c r="R1004" s="31"/>
      <c r="S1004" s="31"/>
      <c r="T1004" s="31"/>
      <c r="U1004" s="31"/>
      <c r="V1004" s="31"/>
      <c r="W1004" s="350"/>
    </row>
    <row r="1005" spans="1:24" ht="18.75" customHeight="1">
      <c r="A1005" s="347" t="s">
        <v>30</v>
      </c>
      <c r="B1005" s="31"/>
      <c r="C1005" s="31"/>
      <c r="D1005" s="31"/>
      <c r="E1005" s="30" t="s">
        <v>29</v>
      </c>
      <c r="F1005" s="348"/>
      <c r="G1005" s="348"/>
      <c r="H1005" s="348"/>
      <c r="I1005" s="348"/>
      <c r="J1005" s="348"/>
      <c r="K1005" s="349"/>
      <c r="M1005" s="347" t="s">
        <v>30</v>
      </c>
      <c r="N1005" s="31"/>
      <c r="O1005" s="31"/>
      <c r="P1005" s="31"/>
      <c r="Q1005" s="30" t="s">
        <v>29</v>
      </c>
      <c r="R1005" s="348"/>
      <c r="S1005" s="348"/>
      <c r="T1005" s="348"/>
      <c r="U1005" s="348"/>
      <c r="V1005" s="348"/>
      <c r="W1005" s="349"/>
    </row>
    <row r="1006" spans="1:24" ht="18.75" customHeight="1">
      <c r="A1006" s="347" t="s">
        <v>31</v>
      </c>
      <c r="B1006" s="31"/>
      <c r="C1006" s="31"/>
      <c r="D1006" s="31"/>
      <c r="E1006" s="30" t="s">
        <v>29</v>
      </c>
      <c r="F1006" s="31" t="s">
        <v>139</v>
      </c>
      <c r="G1006" s="31"/>
      <c r="H1006" s="31"/>
      <c r="I1006" s="31"/>
      <c r="J1006" s="31"/>
      <c r="K1006" s="350"/>
      <c r="M1006" s="347" t="s">
        <v>31</v>
      </c>
      <c r="N1006" s="31"/>
      <c r="O1006" s="31"/>
      <c r="P1006" s="31"/>
      <c r="Q1006" s="30" t="s">
        <v>29</v>
      </c>
      <c r="R1006" s="31" t="s">
        <v>139</v>
      </c>
      <c r="S1006" s="31"/>
      <c r="T1006" s="31"/>
      <c r="U1006" s="31"/>
      <c r="V1006" s="31"/>
      <c r="W1006" s="350"/>
    </row>
    <row r="1007" spans="1:24" ht="18.75" customHeight="1">
      <c r="A1007" s="354" t="s">
        <v>32</v>
      </c>
      <c r="B1007" s="355"/>
      <c r="C1007" s="355"/>
      <c r="D1007" s="355"/>
      <c r="E1007" s="355"/>
      <c r="F1007" s="355"/>
      <c r="G1007" s="355"/>
      <c r="H1007" s="355"/>
      <c r="I1007" s="355"/>
      <c r="J1007" s="355"/>
      <c r="K1007" s="356"/>
      <c r="M1007" s="354" t="s">
        <v>32</v>
      </c>
      <c r="N1007" s="355"/>
      <c r="O1007" s="355"/>
      <c r="P1007" s="355"/>
      <c r="Q1007" s="355"/>
      <c r="R1007" s="355"/>
      <c r="S1007" s="355"/>
      <c r="T1007" s="355"/>
      <c r="U1007" s="355"/>
      <c r="V1007" s="355"/>
      <c r="W1007" s="356"/>
    </row>
    <row r="1008" spans="1:24" ht="18.75" customHeight="1">
      <c r="A1008" s="347" t="s">
        <v>33</v>
      </c>
      <c r="B1008" s="31"/>
      <c r="C1008" s="31"/>
      <c r="D1008" s="31"/>
      <c r="E1008" s="30" t="s">
        <v>29</v>
      </c>
      <c r="F1008" s="361">
        <v>2915400</v>
      </c>
      <c r="G1008" s="361"/>
      <c r="H1008" s="361"/>
      <c r="I1008" s="361"/>
      <c r="J1008" s="30" t="s">
        <v>34</v>
      </c>
      <c r="K1008" s="32"/>
      <c r="M1008" s="347" t="s">
        <v>33</v>
      </c>
      <c r="N1008" s="31"/>
      <c r="O1008" s="31"/>
      <c r="P1008" s="31"/>
      <c r="Q1008" s="30" t="s">
        <v>29</v>
      </c>
      <c r="R1008" s="361">
        <v>2915400</v>
      </c>
      <c r="S1008" s="361"/>
      <c r="T1008" s="361"/>
      <c r="U1008" s="361"/>
      <c r="V1008" s="30" t="s">
        <v>34</v>
      </c>
      <c r="W1008" s="32"/>
    </row>
    <row r="1009" spans="1:24" ht="18.75" customHeight="1">
      <c r="A1009" s="33" t="s">
        <v>35</v>
      </c>
      <c r="B1009" s="30"/>
      <c r="C1009" s="34"/>
      <c r="D1009" s="35"/>
      <c r="E1009" s="36"/>
      <c r="F1009" s="36"/>
      <c r="G1009" s="36"/>
      <c r="H1009" s="30"/>
      <c r="I1009" s="37"/>
      <c r="J1009" s="38"/>
      <c r="K1009" s="39"/>
      <c r="M1009" s="33" t="s">
        <v>35</v>
      </c>
      <c r="N1009" s="30"/>
      <c r="O1009" s="34"/>
      <c r="P1009" s="35"/>
      <c r="Q1009" s="36"/>
      <c r="R1009" s="36"/>
      <c r="S1009" s="36"/>
      <c r="T1009" s="30"/>
      <c r="U1009" s="37"/>
      <c r="V1009" s="38"/>
      <c r="W1009" s="39"/>
    </row>
    <row r="1010" spans="1:24" ht="18.75" customHeight="1">
      <c r="A1010" s="33" t="s">
        <v>36</v>
      </c>
      <c r="B1010" s="30"/>
      <c r="C1010" s="34"/>
      <c r="D1010" s="35"/>
      <c r="E1010" s="36"/>
      <c r="F1010" s="36"/>
      <c r="G1010" s="36"/>
      <c r="H1010" s="30"/>
      <c r="I1010" s="37" t="e">
        <f>I1011/C1011/8</f>
        <v>#DIV/0!</v>
      </c>
      <c r="J1010" s="38"/>
      <c r="K1010" s="39"/>
      <c r="M1010" s="33" t="s">
        <v>36</v>
      </c>
      <c r="N1010" s="30"/>
      <c r="O1010" s="34"/>
      <c r="P1010" s="35"/>
      <c r="Q1010" s="36"/>
      <c r="R1010" s="36"/>
      <c r="S1010" s="36"/>
      <c r="T1010" s="30"/>
      <c r="U1010" s="37" t="e">
        <f>U1011/O1011/8</f>
        <v>#DIV/0!</v>
      </c>
      <c r="V1010" s="38"/>
      <c r="W1010" s="39"/>
    </row>
    <row r="1011" spans="1:24" ht="18.75" customHeight="1">
      <c r="A1011" s="33" t="s">
        <v>37</v>
      </c>
      <c r="B1011" s="30" t="s">
        <v>29</v>
      </c>
      <c r="C1011" s="34"/>
      <c r="D1011" s="35" t="s">
        <v>38</v>
      </c>
      <c r="E1011" s="359" t="s">
        <v>39</v>
      </c>
      <c r="F1011" s="359"/>
      <c r="G1011" s="359"/>
      <c r="H1011" s="30" t="s">
        <v>29</v>
      </c>
      <c r="I1011" s="360" t="e">
        <f>I1009*680/((C1011-C1018)*8+C1018*7+C1015)*((C1011-C1018)*8+C1018*7)</f>
        <v>#DIV/0!</v>
      </c>
      <c r="J1011" s="360"/>
      <c r="K1011" s="39" t="s">
        <v>34</v>
      </c>
      <c r="L1011" s="40">
        <f>F1008/L1001*C1011</f>
        <v>0</v>
      </c>
      <c r="M1011" s="33" t="s">
        <v>37</v>
      </c>
      <c r="N1011" s="30" t="s">
        <v>29</v>
      </c>
      <c r="O1011" s="34"/>
      <c r="P1011" s="35" t="s">
        <v>38</v>
      </c>
      <c r="Q1011" s="359" t="s">
        <v>39</v>
      </c>
      <c r="R1011" s="359"/>
      <c r="S1011" s="359"/>
      <c r="T1011" s="30" t="s">
        <v>29</v>
      </c>
      <c r="U1011" s="360" t="e">
        <f>U1009*680/((O1011-O1018)*8+O1018*7+O1015)*((O1011-O1018)*8+O1018*7)</f>
        <v>#DIV/0!</v>
      </c>
      <c r="V1011" s="360"/>
      <c r="W1011" s="39" t="s">
        <v>34</v>
      </c>
      <c r="X1011" s="40">
        <f>R1008/X1001*O1011</f>
        <v>0</v>
      </c>
    </row>
    <row r="1012" spans="1:24" ht="18.75" customHeight="1">
      <c r="A1012" s="33" t="s">
        <v>40</v>
      </c>
      <c r="B1012" s="30" t="s">
        <v>29</v>
      </c>
      <c r="C1012" s="34"/>
      <c r="D1012" s="35" t="s">
        <v>38</v>
      </c>
      <c r="E1012" s="31" t="s">
        <v>41</v>
      </c>
      <c r="F1012" s="31"/>
      <c r="G1012" s="31"/>
      <c r="H1012" s="30" t="s">
        <v>29</v>
      </c>
      <c r="I1012" s="358">
        <f>$F$8/$L$1*C1012</f>
        <v>0</v>
      </c>
      <c r="J1012" s="358"/>
      <c r="K1012" s="39" t="s">
        <v>34</v>
      </c>
      <c r="L1012" s="40"/>
      <c r="M1012" s="33" t="s">
        <v>40</v>
      </c>
      <c r="N1012" s="30" t="s">
        <v>29</v>
      </c>
      <c r="O1012" s="34"/>
      <c r="P1012" s="35" t="s">
        <v>38</v>
      </c>
      <c r="Q1012" s="31" t="s">
        <v>41</v>
      </c>
      <c r="R1012" s="31"/>
      <c r="S1012" s="31"/>
      <c r="T1012" s="30" t="s">
        <v>29</v>
      </c>
      <c r="U1012" s="358">
        <f>$F$8/$L$1*O1012</f>
        <v>0</v>
      </c>
      <c r="V1012" s="358"/>
      <c r="W1012" s="39" t="s">
        <v>34</v>
      </c>
      <c r="X1012" s="40"/>
    </row>
    <row r="1013" spans="1:24" ht="18.75" customHeight="1">
      <c r="A1013" s="33" t="s">
        <v>42</v>
      </c>
      <c r="B1013" s="30" t="s">
        <v>29</v>
      </c>
      <c r="C1013" s="34"/>
      <c r="D1013" s="35" t="s">
        <v>38</v>
      </c>
      <c r="E1013" s="357" t="s">
        <v>43</v>
      </c>
      <c r="F1013" s="357"/>
      <c r="G1013" s="357"/>
      <c r="H1013" s="30" t="s">
        <v>29</v>
      </c>
      <c r="I1013" s="358">
        <f>$F$8/$L$1*C1013</f>
        <v>0</v>
      </c>
      <c r="J1013" s="358"/>
      <c r="K1013" s="39" t="s">
        <v>34</v>
      </c>
      <c r="L1013" s="40"/>
      <c r="M1013" s="33" t="s">
        <v>42</v>
      </c>
      <c r="N1013" s="30" t="s">
        <v>29</v>
      </c>
      <c r="O1013" s="34"/>
      <c r="P1013" s="35" t="s">
        <v>38</v>
      </c>
      <c r="Q1013" s="357" t="s">
        <v>43</v>
      </c>
      <c r="R1013" s="357"/>
      <c r="S1013" s="357"/>
      <c r="T1013" s="30" t="s">
        <v>29</v>
      </c>
      <c r="U1013" s="358">
        <f>$F$8/$L$1*O1013</f>
        <v>0</v>
      </c>
      <c r="V1013" s="358"/>
      <c r="W1013" s="39" t="s">
        <v>34</v>
      </c>
      <c r="X1013" s="40"/>
    </row>
    <row r="1014" spans="1:24" ht="18.75" customHeight="1">
      <c r="A1014" s="33" t="s">
        <v>44</v>
      </c>
      <c r="B1014" s="30" t="s">
        <v>29</v>
      </c>
      <c r="C1014" s="34"/>
      <c r="D1014" s="35" t="s">
        <v>38</v>
      </c>
      <c r="E1014" s="357" t="s">
        <v>45</v>
      </c>
      <c r="F1014" s="357"/>
      <c r="G1014" s="357"/>
      <c r="H1014" s="30" t="s">
        <v>29</v>
      </c>
      <c r="I1014" s="358">
        <f>$F$8/$L$1*C1014</f>
        <v>0</v>
      </c>
      <c r="J1014" s="358"/>
      <c r="K1014" s="39" t="s">
        <v>34</v>
      </c>
      <c r="L1014" s="40"/>
      <c r="M1014" s="33" t="s">
        <v>44</v>
      </c>
      <c r="N1014" s="30" t="s">
        <v>29</v>
      </c>
      <c r="O1014" s="34"/>
      <c r="P1014" s="35" t="s">
        <v>38</v>
      </c>
      <c r="Q1014" s="357" t="s">
        <v>45</v>
      </c>
      <c r="R1014" s="357"/>
      <c r="S1014" s="357"/>
      <c r="T1014" s="30" t="s">
        <v>29</v>
      </c>
      <c r="U1014" s="358">
        <f>$F$8/$L$1*O1014</f>
        <v>0</v>
      </c>
      <c r="V1014" s="358"/>
      <c r="W1014" s="39" t="s">
        <v>34</v>
      </c>
      <c r="X1014" s="40"/>
    </row>
    <row r="1015" spans="1:24" ht="18.75" customHeight="1">
      <c r="A1015" s="33" t="s">
        <v>46</v>
      </c>
      <c r="B1015" s="30" t="s">
        <v>29</v>
      </c>
      <c r="C1015" s="34"/>
      <c r="D1015" s="35" t="s">
        <v>47</v>
      </c>
      <c r="E1015" s="31" t="s">
        <v>48</v>
      </c>
      <c r="F1015" s="31"/>
      <c r="G1015" s="31"/>
      <c r="H1015" s="30" t="s">
        <v>29</v>
      </c>
      <c r="I1015" s="358" t="e">
        <f>I1011/C1011/8*C1015</f>
        <v>#DIV/0!</v>
      </c>
      <c r="J1015" s="358"/>
      <c r="K1015" s="39" t="s">
        <v>34</v>
      </c>
      <c r="L1015" s="40">
        <f>F1008*C1015/L1001/8*1.5</f>
        <v>0</v>
      </c>
      <c r="M1015" s="33" t="s">
        <v>46</v>
      </c>
      <c r="N1015" s="30" t="s">
        <v>29</v>
      </c>
      <c r="O1015" s="34"/>
      <c r="P1015" s="35" t="s">
        <v>47</v>
      </c>
      <c r="Q1015" s="31" t="s">
        <v>48</v>
      </c>
      <c r="R1015" s="31"/>
      <c r="S1015" s="31"/>
      <c r="T1015" s="30" t="s">
        <v>29</v>
      </c>
      <c r="U1015" s="358" t="e">
        <f>U1011/O1011/8*O1015</f>
        <v>#DIV/0!</v>
      </c>
      <c r="V1015" s="358"/>
      <c r="W1015" s="39" t="s">
        <v>34</v>
      </c>
      <c r="X1015" s="40">
        <f>R1008*O1015/X1001/8*1.5</f>
        <v>0</v>
      </c>
    </row>
    <row r="1016" spans="1:24" ht="18.75" customHeight="1">
      <c r="A1016" s="347" t="s">
        <v>49</v>
      </c>
      <c r="B1016" s="31"/>
      <c r="C1016" s="34"/>
      <c r="D1016" s="35" t="s">
        <v>38</v>
      </c>
      <c r="E1016" s="31" t="s">
        <v>50</v>
      </c>
      <c r="F1016" s="31"/>
      <c r="G1016" s="31"/>
      <c r="H1016" s="41" t="s">
        <v>29</v>
      </c>
      <c r="I1016" s="358"/>
      <c r="J1016" s="358"/>
      <c r="K1016" s="39" t="s">
        <v>34</v>
      </c>
      <c r="L1016" s="40"/>
      <c r="M1016" s="347" t="s">
        <v>49</v>
      </c>
      <c r="N1016" s="31"/>
      <c r="O1016" s="34"/>
      <c r="P1016" s="35" t="s">
        <v>38</v>
      </c>
      <c r="Q1016" s="31" t="s">
        <v>50</v>
      </c>
      <c r="R1016" s="31"/>
      <c r="S1016" s="31"/>
      <c r="T1016" s="41" t="s">
        <v>29</v>
      </c>
      <c r="U1016" s="358"/>
      <c r="V1016" s="358"/>
      <c r="W1016" s="39" t="s">
        <v>34</v>
      </c>
      <c r="X1016" s="40"/>
    </row>
    <row r="1017" spans="1:24" ht="18.75" customHeight="1">
      <c r="A1017" s="33" t="s">
        <v>51</v>
      </c>
      <c r="B1017" s="30" t="s">
        <v>29</v>
      </c>
      <c r="C1017" s="34"/>
      <c r="D1017" s="35" t="s">
        <v>38</v>
      </c>
      <c r="E1017" s="31" t="s">
        <v>52</v>
      </c>
      <c r="F1017" s="31"/>
      <c r="G1017" s="31"/>
      <c r="H1017" s="30" t="s">
        <v>29</v>
      </c>
      <c r="I1017" s="358"/>
      <c r="J1017" s="358"/>
      <c r="K1017" s="39" t="s">
        <v>34</v>
      </c>
      <c r="L1017" s="40"/>
      <c r="M1017" s="33" t="s">
        <v>51</v>
      </c>
      <c r="N1017" s="30" t="s">
        <v>29</v>
      </c>
      <c r="O1017" s="34"/>
      <c r="P1017" s="35" t="s">
        <v>38</v>
      </c>
      <c r="Q1017" s="31" t="s">
        <v>52</v>
      </c>
      <c r="R1017" s="31"/>
      <c r="S1017" s="31"/>
      <c r="T1017" s="30" t="s">
        <v>29</v>
      </c>
      <c r="U1017" s="358"/>
      <c r="V1017" s="358"/>
      <c r="W1017" s="39" t="s">
        <v>34</v>
      </c>
      <c r="X1017" s="40"/>
    </row>
    <row r="1018" spans="1:24" ht="18.75" customHeight="1">
      <c r="A1018" s="42" t="s">
        <v>53</v>
      </c>
      <c r="B1018" s="30"/>
      <c r="C1018" s="34"/>
      <c r="D1018" s="35" t="s">
        <v>47</v>
      </c>
      <c r="E1018" s="31" t="s">
        <v>54</v>
      </c>
      <c r="F1018" s="31"/>
      <c r="G1018" s="31"/>
      <c r="H1018" s="30" t="s">
        <v>29</v>
      </c>
      <c r="I1018" s="358">
        <f>$F$8*C1018/8/$L$1</f>
        <v>0</v>
      </c>
      <c r="J1018" s="358"/>
      <c r="K1018" s="39" t="s">
        <v>34</v>
      </c>
      <c r="L1018" s="40"/>
      <c r="M1018" s="42" t="s">
        <v>53</v>
      </c>
      <c r="N1018" s="30"/>
      <c r="O1018" s="34"/>
      <c r="P1018" s="35" t="s">
        <v>47</v>
      </c>
      <c r="Q1018" s="31" t="s">
        <v>54</v>
      </c>
      <c r="R1018" s="31"/>
      <c r="S1018" s="31"/>
      <c r="T1018" s="30" t="s">
        <v>29</v>
      </c>
      <c r="U1018" s="358">
        <f>$F$8*O1018/8/$L$1</f>
        <v>0</v>
      </c>
      <c r="V1018" s="358"/>
      <c r="W1018" s="39" t="s">
        <v>34</v>
      </c>
      <c r="X1018" s="40"/>
    </row>
    <row r="1019" spans="1:24" ht="18.75" customHeight="1">
      <c r="A1019" s="33" t="s">
        <v>55</v>
      </c>
      <c r="B1019" s="30" t="s">
        <v>29</v>
      </c>
      <c r="C1019" s="34"/>
      <c r="D1019" s="35" t="s">
        <v>47</v>
      </c>
      <c r="E1019" s="31" t="s">
        <v>56</v>
      </c>
      <c r="F1019" s="31"/>
      <c r="G1019" s="31"/>
      <c r="H1019" s="30" t="s">
        <v>29</v>
      </c>
      <c r="I1019" s="360"/>
      <c r="J1019" s="360"/>
      <c r="K1019" s="39" t="s">
        <v>34</v>
      </c>
      <c r="L1019" s="40"/>
      <c r="M1019" s="33" t="s">
        <v>55</v>
      </c>
      <c r="N1019" s="30" t="s">
        <v>29</v>
      </c>
      <c r="O1019" s="34"/>
      <c r="P1019" s="35" t="s">
        <v>47</v>
      </c>
      <c r="Q1019" s="31" t="s">
        <v>56</v>
      </c>
      <c r="R1019" s="31"/>
      <c r="S1019" s="31"/>
      <c r="T1019" s="30" t="s">
        <v>29</v>
      </c>
      <c r="U1019" s="360"/>
      <c r="V1019" s="360"/>
      <c r="W1019" s="39" t="s">
        <v>34</v>
      </c>
      <c r="X1019" s="40"/>
    </row>
    <row r="1020" spans="1:24" ht="18.75" customHeight="1">
      <c r="A1020" s="33" t="s">
        <v>57</v>
      </c>
      <c r="B1020" s="30" t="s">
        <v>29</v>
      </c>
      <c r="C1020" s="34"/>
      <c r="D1020" s="35" t="s">
        <v>58</v>
      </c>
      <c r="E1020" s="31" t="s">
        <v>59</v>
      </c>
      <c r="F1020" s="31"/>
      <c r="G1020" s="31"/>
      <c r="H1020" s="30" t="s">
        <v>29</v>
      </c>
      <c r="I1020" s="358"/>
      <c r="J1020" s="358"/>
      <c r="K1020" s="39" t="s">
        <v>34</v>
      </c>
      <c r="L1020" s="40" t="e">
        <f>+IF(L1011-I1011&lt;0,0,L1011-I1011)+IF(L1015-I1015&lt;0,0,L1015-I1015)</f>
        <v>#DIV/0!</v>
      </c>
      <c r="M1020" s="33" t="s">
        <v>57</v>
      </c>
      <c r="N1020" s="30" t="s">
        <v>29</v>
      </c>
      <c r="O1020" s="34"/>
      <c r="P1020" s="35" t="s">
        <v>58</v>
      </c>
      <c r="Q1020" s="31" t="s">
        <v>59</v>
      </c>
      <c r="R1020" s="31"/>
      <c r="S1020" s="31"/>
      <c r="T1020" s="30" t="s">
        <v>29</v>
      </c>
      <c r="U1020" s="358"/>
      <c r="V1020" s="358"/>
      <c r="W1020" s="39" t="s">
        <v>34</v>
      </c>
      <c r="X1020" s="40" t="e">
        <f>+IF(X1011-U1011&lt;0,0,X1011-U1011)+IF(X1015-U1015&lt;0,0,X1015-U1015)</f>
        <v>#DIV/0!</v>
      </c>
    </row>
    <row r="1021" spans="1:24" ht="18.75" customHeight="1">
      <c r="A1021" s="43" t="s">
        <v>60</v>
      </c>
      <c r="B1021" s="44"/>
      <c r="C1021" s="34"/>
      <c r="D1021" s="35" t="s">
        <v>38</v>
      </c>
      <c r="E1021" s="31" t="s">
        <v>61</v>
      </c>
      <c r="F1021" s="31"/>
      <c r="G1021" s="31"/>
      <c r="H1021" s="30" t="s">
        <v>29</v>
      </c>
      <c r="I1021" s="358"/>
      <c r="J1021" s="358"/>
      <c r="K1021" s="39" t="s">
        <v>34</v>
      </c>
      <c r="L1021" s="40"/>
      <c r="M1021" s="43" t="s">
        <v>60</v>
      </c>
      <c r="N1021" s="44"/>
      <c r="O1021" s="34"/>
      <c r="P1021" s="35" t="s">
        <v>38</v>
      </c>
      <c r="Q1021" s="31" t="s">
        <v>61</v>
      </c>
      <c r="R1021" s="31"/>
      <c r="S1021" s="31"/>
      <c r="T1021" s="30" t="s">
        <v>29</v>
      </c>
      <c r="U1021" s="358"/>
      <c r="V1021" s="358"/>
      <c r="W1021" s="39" t="s">
        <v>34</v>
      </c>
      <c r="X1021" s="40"/>
    </row>
    <row r="1022" spans="1:24" ht="18.75" customHeight="1">
      <c r="A1022" s="383" t="s">
        <v>62</v>
      </c>
      <c r="B1022" s="359"/>
      <c r="C1022" s="34"/>
      <c r="D1022" s="35"/>
      <c r="E1022" s="36"/>
      <c r="F1022" s="36"/>
      <c r="G1022" s="36"/>
      <c r="H1022" s="30" t="s">
        <v>29</v>
      </c>
      <c r="I1022" s="358"/>
      <c r="J1022" s="358"/>
      <c r="K1022" s="39" t="s">
        <v>34</v>
      </c>
      <c r="L1022" s="40"/>
      <c r="M1022" s="383" t="s">
        <v>62</v>
      </c>
      <c r="N1022" s="359"/>
      <c r="O1022" s="34"/>
      <c r="P1022" s="35"/>
      <c r="Q1022" s="36"/>
      <c r="R1022" s="36"/>
      <c r="S1022" s="36"/>
      <c r="T1022" s="30" t="s">
        <v>29</v>
      </c>
      <c r="U1022" s="358"/>
      <c r="V1022" s="358"/>
      <c r="W1022" s="39" t="s">
        <v>34</v>
      </c>
      <c r="X1022" s="40"/>
    </row>
    <row r="1023" spans="1:24" ht="18.75" customHeight="1">
      <c r="A1023" s="33" t="s">
        <v>63</v>
      </c>
      <c r="B1023" s="30" t="s">
        <v>29</v>
      </c>
      <c r="C1023" s="34"/>
      <c r="D1023" s="35"/>
      <c r="E1023" s="36" t="s">
        <v>64</v>
      </c>
      <c r="F1023" s="36"/>
      <c r="G1023" s="36"/>
      <c r="H1023" s="30" t="s">
        <v>29</v>
      </c>
      <c r="I1023" s="358" t="e">
        <f>L1020</f>
        <v>#DIV/0!</v>
      </c>
      <c r="J1023" s="358"/>
      <c r="K1023" s="39" t="s">
        <v>34</v>
      </c>
      <c r="L1023" s="40"/>
      <c r="M1023" s="33" t="s">
        <v>63</v>
      </c>
      <c r="N1023" s="30" t="s">
        <v>29</v>
      </c>
      <c r="O1023" s="34"/>
      <c r="P1023" s="35"/>
      <c r="Q1023" s="36" t="s">
        <v>64</v>
      </c>
      <c r="R1023" s="36"/>
      <c r="S1023" s="36"/>
      <c r="T1023" s="30" t="s">
        <v>29</v>
      </c>
      <c r="U1023" s="358" t="e">
        <f>X1020</f>
        <v>#DIV/0!</v>
      </c>
      <c r="V1023" s="358"/>
      <c r="W1023" s="39" t="s">
        <v>34</v>
      </c>
      <c r="X1023" s="40"/>
    </row>
    <row r="1024" spans="1:24" ht="18.75" customHeight="1">
      <c r="A1024" s="362" t="s">
        <v>65</v>
      </c>
      <c r="B1024" s="363"/>
      <c r="C1024" s="363"/>
      <c r="D1024" s="363"/>
      <c r="E1024" s="363"/>
      <c r="F1024" s="363"/>
      <c r="G1024" s="30" t="s">
        <v>29</v>
      </c>
      <c r="H1024" s="365" t="e">
        <f>I1011+I1012+I1013+I1014+I1015+I1018+I1022+I1023</f>
        <v>#DIV/0!</v>
      </c>
      <c r="I1024" s="365"/>
      <c r="J1024" s="365"/>
      <c r="K1024" s="39" t="s">
        <v>34</v>
      </c>
      <c r="M1024" s="362" t="s">
        <v>65</v>
      </c>
      <c r="N1024" s="363"/>
      <c r="O1024" s="363"/>
      <c r="P1024" s="363"/>
      <c r="Q1024" s="363"/>
      <c r="R1024" s="363"/>
      <c r="S1024" s="30" t="s">
        <v>29</v>
      </c>
      <c r="T1024" s="365" t="e">
        <f>U1011+U1012+U1013+U1014+U1015+U1018+U1022+U1023</f>
        <v>#DIV/0!</v>
      </c>
      <c r="U1024" s="365"/>
      <c r="V1024" s="365"/>
      <c r="W1024" s="39" t="s">
        <v>34</v>
      </c>
    </row>
    <row r="1025" spans="1:24" ht="18.75" customHeight="1">
      <c r="A1025" s="45"/>
      <c r="B1025" s="46"/>
      <c r="C1025" s="46"/>
      <c r="D1025" s="46"/>
      <c r="E1025" s="46"/>
      <c r="F1025" s="46"/>
      <c r="G1025" s="46"/>
      <c r="H1025" s="46"/>
      <c r="I1025" s="46"/>
      <c r="J1025" s="46"/>
      <c r="K1025" s="47"/>
      <c r="M1025" s="45"/>
      <c r="N1025" s="46"/>
      <c r="O1025" s="46"/>
      <c r="P1025" s="46"/>
      <c r="Q1025" s="46"/>
      <c r="R1025" s="46"/>
      <c r="S1025" s="46"/>
      <c r="T1025" s="46"/>
      <c r="U1025" s="46"/>
      <c r="V1025" s="46"/>
      <c r="W1025" s="47"/>
    </row>
    <row r="1026" spans="1:24" ht="18.75" customHeight="1">
      <c r="A1026" s="374" t="s">
        <v>66</v>
      </c>
      <c r="B1026" s="375"/>
      <c r="C1026" s="375"/>
      <c r="D1026" s="375"/>
      <c r="E1026" s="375"/>
      <c r="F1026" s="375"/>
      <c r="G1026" s="30"/>
      <c r="H1026" s="30"/>
      <c r="I1026" s="30"/>
      <c r="J1026" s="30"/>
      <c r="K1026" s="39"/>
      <c r="M1026" s="374" t="s">
        <v>66</v>
      </c>
      <c r="N1026" s="375"/>
      <c r="O1026" s="375"/>
      <c r="P1026" s="375"/>
      <c r="Q1026" s="375"/>
      <c r="R1026" s="375"/>
      <c r="S1026" s="30"/>
      <c r="T1026" s="30"/>
      <c r="U1026" s="30"/>
      <c r="V1026" s="30"/>
      <c r="W1026" s="39"/>
    </row>
    <row r="1027" spans="1:24" ht="18.75" customHeight="1">
      <c r="A1027" s="368" t="s">
        <v>67</v>
      </c>
      <c r="B1027" s="369"/>
      <c r="C1027" s="369"/>
      <c r="D1027" s="369"/>
      <c r="E1027" s="369"/>
      <c r="F1027" s="369"/>
      <c r="G1027" s="30" t="s">
        <v>29</v>
      </c>
      <c r="H1027" s="376">
        <f>IF(($L$1-(C1011+C1012+C1013+C1014))&gt;12,0,F1008*8%)</f>
        <v>0</v>
      </c>
      <c r="I1027" s="376"/>
      <c r="J1027" s="376"/>
      <c r="K1027" s="39" t="s">
        <v>34</v>
      </c>
      <c r="M1027" s="368" t="s">
        <v>67</v>
      </c>
      <c r="N1027" s="369"/>
      <c r="O1027" s="369"/>
      <c r="P1027" s="369"/>
      <c r="Q1027" s="369"/>
      <c r="R1027" s="369"/>
      <c r="S1027" s="30" t="s">
        <v>29</v>
      </c>
      <c r="T1027" s="376">
        <f>IF(($L$1-(O1011+O1012+O1013+O1014))&gt;12,0,R1008*8%)</f>
        <v>0</v>
      </c>
      <c r="U1027" s="376"/>
      <c r="V1027" s="376"/>
      <c r="W1027" s="39" t="s">
        <v>34</v>
      </c>
    </row>
    <row r="1028" spans="1:24" ht="18.75" customHeight="1">
      <c r="A1028" s="368" t="s">
        <v>68</v>
      </c>
      <c r="B1028" s="369"/>
      <c r="C1028" s="369"/>
      <c r="D1028" s="369"/>
      <c r="E1028" s="369"/>
      <c r="F1028" s="369"/>
      <c r="G1028" s="30" t="s">
        <v>29</v>
      </c>
      <c r="H1028" s="370">
        <f>IF(($L$1-(C1011+C1012+C1013+C1014))&gt;12,0,F1008*1.5%)</f>
        <v>0</v>
      </c>
      <c r="I1028" s="370"/>
      <c r="J1028" s="370"/>
      <c r="K1028" s="39" t="s">
        <v>34</v>
      </c>
      <c r="M1028" s="368" t="s">
        <v>68</v>
      </c>
      <c r="N1028" s="369"/>
      <c r="O1028" s="369"/>
      <c r="P1028" s="369"/>
      <c r="Q1028" s="369"/>
      <c r="R1028" s="369"/>
      <c r="S1028" s="30" t="s">
        <v>29</v>
      </c>
      <c r="T1028" s="370">
        <f>IF(($L$1-(O1011+O1012+O1013+O1014))&gt;12,0,R1008*1.5%)</f>
        <v>0</v>
      </c>
      <c r="U1028" s="370"/>
      <c r="V1028" s="370"/>
      <c r="W1028" s="39" t="s">
        <v>34</v>
      </c>
    </row>
    <row r="1029" spans="1:24" ht="18.75" customHeight="1">
      <c r="A1029" s="368" t="s">
        <v>69</v>
      </c>
      <c r="B1029" s="369"/>
      <c r="C1029" s="369"/>
      <c r="D1029" s="369"/>
      <c r="E1029" s="369"/>
      <c r="F1029" s="369"/>
      <c r="G1029" s="30" t="s">
        <v>29</v>
      </c>
      <c r="H1029" s="370">
        <f>IF(($L$1-(C1011+C1012+C1013+C1014))&gt;12,0,F1008*1%)</f>
        <v>0</v>
      </c>
      <c r="I1029" s="370"/>
      <c r="J1029" s="370"/>
      <c r="K1029" s="39" t="s">
        <v>34</v>
      </c>
      <c r="M1029" s="368" t="s">
        <v>69</v>
      </c>
      <c r="N1029" s="369"/>
      <c r="O1029" s="369"/>
      <c r="P1029" s="369"/>
      <c r="Q1029" s="369"/>
      <c r="R1029" s="369"/>
      <c r="S1029" s="30" t="s">
        <v>29</v>
      </c>
      <c r="T1029" s="370">
        <f>IF(($L$1-(O1011+O1012+O1013+O1014))&gt;12,0,R1008*1%)</f>
        <v>0</v>
      </c>
      <c r="U1029" s="370"/>
      <c r="V1029" s="370"/>
      <c r="W1029" s="39" t="s">
        <v>34</v>
      </c>
    </row>
    <row r="1030" spans="1:24" ht="18.75" customHeight="1">
      <c r="A1030" s="368" t="s">
        <v>70</v>
      </c>
      <c r="B1030" s="369"/>
      <c r="C1030" s="369"/>
      <c r="D1030" s="369"/>
      <c r="E1030" s="369"/>
      <c r="F1030" s="369"/>
      <c r="G1030" s="30" t="s">
        <v>29</v>
      </c>
      <c r="H1030" s="370">
        <v>0</v>
      </c>
      <c r="I1030" s="370"/>
      <c r="J1030" s="370"/>
      <c r="K1030" s="39" t="s">
        <v>34</v>
      </c>
      <c r="M1030" s="368" t="s">
        <v>70</v>
      </c>
      <c r="N1030" s="369"/>
      <c r="O1030" s="369"/>
      <c r="P1030" s="369"/>
      <c r="Q1030" s="369"/>
      <c r="R1030" s="369"/>
      <c r="S1030" s="30" t="s">
        <v>29</v>
      </c>
      <c r="T1030" s="370">
        <v>0</v>
      </c>
      <c r="U1030" s="370"/>
      <c r="V1030" s="370"/>
      <c r="W1030" s="39" t="s">
        <v>34</v>
      </c>
    </row>
    <row r="1031" spans="1:24" ht="18.75" customHeight="1">
      <c r="A1031" s="371" t="s">
        <v>71</v>
      </c>
      <c r="B1031" s="372"/>
      <c r="C1031" s="372"/>
      <c r="D1031" s="372"/>
      <c r="E1031" s="372"/>
      <c r="F1031" s="372"/>
      <c r="G1031" s="30" t="s">
        <v>29</v>
      </c>
      <c r="H1031" s="373">
        <f>SUM(H1027:J1030)</f>
        <v>0</v>
      </c>
      <c r="I1031" s="373"/>
      <c r="J1031" s="373"/>
      <c r="K1031" s="39" t="s">
        <v>34</v>
      </c>
      <c r="M1031" s="371" t="s">
        <v>71</v>
      </c>
      <c r="N1031" s="372"/>
      <c r="O1031" s="372"/>
      <c r="P1031" s="372"/>
      <c r="Q1031" s="372"/>
      <c r="R1031" s="372"/>
      <c r="S1031" s="30" t="s">
        <v>29</v>
      </c>
      <c r="T1031" s="373">
        <f>SUM(T1027:V1030)</f>
        <v>0</v>
      </c>
      <c r="U1031" s="373"/>
      <c r="V1031" s="373"/>
      <c r="W1031" s="39" t="s">
        <v>34</v>
      </c>
    </row>
    <row r="1032" spans="1:24" ht="18.75" customHeight="1">
      <c r="A1032" s="368" t="s">
        <v>72</v>
      </c>
      <c r="B1032" s="369"/>
      <c r="C1032" s="369"/>
      <c r="D1032" s="369"/>
      <c r="E1032" s="369"/>
      <c r="F1032" s="369"/>
      <c r="G1032" s="30" t="s">
        <v>29</v>
      </c>
      <c r="H1032" s="381" t="e">
        <f>ROUND(H1024-H1031,-2)</f>
        <v>#DIV/0!</v>
      </c>
      <c r="I1032" s="381"/>
      <c r="J1032" s="381"/>
      <c r="K1032" s="39" t="s">
        <v>34</v>
      </c>
      <c r="M1032" s="368" t="s">
        <v>72</v>
      </c>
      <c r="N1032" s="369"/>
      <c r="O1032" s="369"/>
      <c r="P1032" s="369"/>
      <c r="Q1032" s="369"/>
      <c r="R1032" s="369"/>
      <c r="S1032" s="30" t="s">
        <v>29</v>
      </c>
      <c r="T1032" s="381" t="e">
        <f>ROUND(T1024-T1031,-2)</f>
        <v>#DIV/0!</v>
      </c>
      <c r="U1032" s="381"/>
      <c r="V1032" s="381"/>
      <c r="W1032" s="39" t="s">
        <v>34</v>
      </c>
    </row>
    <row r="1033" spans="1:24" ht="18.75" customHeight="1">
      <c r="A1033" s="48"/>
      <c r="B1033" s="49"/>
      <c r="C1033" s="49"/>
      <c r="D1033" s="49"/>
      <c r="E1033" s="49"/>
      <c r="F1033" s="49"/>
      <c r="G1033" s="49"/>
      <c r="H1033" s="49"/>
      <c r="I1033" s="49"/>
      <c r="J1033" s="49"/>
      <c r="K1033" s="50"/>
      <c r="M1033" s="48"/>
      <c r="N1033" s="49"/>
      <c r="O1033" s="49"/>
      <c r="P1033" s="49"/>
      <c r="Q1033" s="49"/>
      <c r="R1033" s="49"/>
      <c r="S1033" s="49"/>
      <c r="T1033" s="49"/>
      <c r="U1033" s="49"/>
      <c r="V1033" s="49"/>
      <c r="W1033" s="50"/>
    </row>
    <row r="1034" spans="1:24" ht="18.75" customHeight="1">
      <c r="A1034" s="51"/>
      <c r="B1034" s="30"/>
      <c r="C1034" s="30"/>
      <c r="D1034" s="30"/>
      <c r="E1034" s="30"/>
      <c r="F1034" s="30"/>
      <c r="G1034" s="30"/>
      <c r="H1034" s="30"/>
      <c r="I1034" s="378" t="s">
        <v>73</v>
      </c>
      <c r="J1034" s="378"/>
      <c r="K1034" s="382"/>
      <c r="M1034" s="51"/>
      <c r="N1034" s="30"/>
      <c r="O1034" s="30"/>
      <c r="P1034" s="30"/>
      <c r="Q1034" s="30"/>
      <c r="R1034" s="30"/>
      <c r="S1034" s="30"/>
      <c r="T1034" s="30"/>
      <c r="U1034" s="378" t="s">
        <v>73</v>
      </c>
      <c r="V1034" s="378"/>
      <c r="W1034" s="382"/>
    </row>
    <row r="1035" spans="1:24" ht="18.75" customHeight="1">
      <c r="A1035" s="51"/>
      <c r="B1035" s="377"/>
      <c r="C1035" s="378"/>
      <c r="D1035" s="378"/>
      <c r="E1035" s="378"/>
      <c r="F1035" s="30"/>
      <c r="G1035" s="30"/>
      <c r="H1035" s="30"/>
      <c r="I1035" s="30"/>
      <c r="J1035" s="30"/>
      <c r="K1035" s="32"/>
      <c r="M1035" s="51"/>
      <c r="N1035" s="377"/>
      <c r="O1035" s="378"/>
      <c r="P1035" s="378"/>
      <c r="Q1035" s="378"/>
      <c r="R1035" s="30"/>
      <c r="S1035" s="30"/>
      <c r="T1035" s="30"/>
      <c r="U1035" s="30"/>
      <c r="V1035" s="30"/>
      <c r="W1035" s="32"/>
    </row>
    <row r="1036" spans="1:24" ht="18.75" customHeight="1" thickBot="1">
      <c r="A1036" s="53"/>
      <c r="B1036" s="54"/>
      <c r="C1036" s="54"/>
      <c r="D1036" s="54"/>
      <c r="E1036" s="54"/>
      <c r="F1036" s="54"/>
      <c r="G1036" s="54"/>
      <c r="H1036" s="54"/>
      <c r="I1036" s="379" t="s">
        <v>74</v>
      </c>
      <c r="J1036" s="379"/>
      <c r="K1036" s="380"/>
      <c r="M1036" s="53"/>
      <c r="N1036" s="54"/>
      <c r="O1036" s="54"/>
      <c r="P1036" s="54"/>
      <c r="Q1036" s="54"/>
      <c r="R1036" s="54"/>
      <c r="S1036" s="54"/>
      <c r="T1036" s="54"/>
      <c r="U1036" s="379" t="s">
        <v>74</v>
      </c>
      <c r="V1036" s="379"/>
      <c r="W1036" s="380"/>
    </row>
    <row r="1037" spans="1:24" ht="18.75" customHeight="1" thickTop="1" thickBot="1"/>
    <row r="1038" spans="1:24" ht="18.75" customHeight="1" thickTop="1">
      <c r="A1038" s="351" t="s">
        <v>7</v>
      </c>
      <c r="B1038" s="352"/>
      <c r="C1038" s="352"/>
      <c r="D1038" s="352"/>
      <c r="E1038" s="352"/>
      <c r="F1038" s="352"/>
      <c r="G1038" s="352"/>
      <c r="H1038" s="352"/>
      <c r="I1038" s="352"/>
      <c r="J1038" s="352"/>
      <c r="K1038" s="353"/>
      <c r="L1038" s="26">
        <v>24</v>
      </c>
      <c r="M1038" s="351" t="s">
        <v>7</v>
      </c>
      <c r="N1038" s="352"/>
      <c r="O1038" s="352"/>
      <c r="P1038" s="352"/>
      <c r="Q1038" s="352"/>
      <c r="R1038" s="352"/>
      <c r="S1038" s="352"/>
      <c r="T1038" s="352"/>
      <c r="U1038" s="352"/>
      <c r="V1038" s="352"/>
      <c r="W1038" s="353"/>
      <c r="X1038" s="26">
        <v>24</v>
      </c>
    </row>
    <row r="1039" spans="1:24" ht="18.75" customHeight="1">
      <c r="A1039" s="27" t="s">
        <v>131</v>
      </c>
      <c r="B1039" s="28"/>
      <c r="C1039" s="28"/>
      <c r="D1039" s="28"/>
      <c r="E1039" s="28"/>
      <c r="F1039" s="28"/>
      <c r="G1039" s="28"/>
      <c r="H1039" s="28"/>
      <c r="I1039" s="28"/>
      <c r="J1039" s="28"/>
      <c r="K1039" s="29"/>
      <c r="M1039" s="27" t="s">
        <v>132</v>
      </c>
      <c r="N1039" s="28"/>
      <c r="O1039" s="28"/>
      <c r="P1039" s="28"/>
      <c r="Q1039" s="28"/>
      <c r="R1039" s="28"/>
      <c r="S1039" s="28"/>
      <c r="T1039" s="28"/>
      <c r="U1039" s="28"/>
      <c r="V1039" s="28"/>
      <c r="W1039" s="29"/>
    </row>
    <row r="1040" spans="1:24" ht="18.75" customHeight="1">
      <c r="A1040" s="354" t="s">
        <v>27</v>
      </c>
      <c r="B1040" s="355"/>
      <c r="C1040" s="355"/>
      <c r="D1040" s="355"/>
      <c r="E1040" s="355"/>
      <c r="F1040" s="355"/>
      <c r="G1040" s="355"/>
      <c r="H1040" s="355"/>
      <c r="I1040" s="355"/>
      <c r="J1040" s="355"/>
      <c r="K1040" s="356"/>
      <c r="M1040" s="354" t="s">
        <v>27</v>
      </c>
      <c r="N1040" s="355"/>
      <c r="O1040" s="355"/>
      <c r="P1040" s="355"/>
      <c r="Q1040" s="355"/>
      <c r="R1040" s="355"/>
      <c r="S1040" s="355"/>
      <c r="T1040" s="355"/>
      <c r="U1040" s="355"/>
      <c r="V1040" s="355"/>
      <c r="W1040" s="356"/>
    </row>
    <row r="1041" spans="1:24" ht="18.75" customHeight="1">
      <c r="A1041" s="347" t="s">
        <v>28</v>
      </c>
      <c r="B1041" s="31"/>
      <c r="C1041" s="31"/>
      <c r="D1041" s="31"/>
      <c r="E1041" s="30" t="s">
        <v>29</v>
      </c>
      <c r="F1041" s="31"/>
      <c r="G1041" s="31"/>
      <c r="H1041" s="31"/>
      <c r="I1041" s="31"/>
      <c r="J1041" s="31"/>
      <c r="K1041" s="350"/>
      <c r="M1041" s="347" t="s">
        <v>28</v>
      </c>
      <c r="N1041" s="31"/>
      <c r="O1041" s="31"/>
      <c r="P1041" s="31"/>
      <c r="Q1041" s="30" t="s">
        <v>29</v>
      </c>
      <c r="R1041" s="31"/>
      <c r="S1041" s="31"/>
      <c r="T1041" s="31"/>
      <c r="U1041" s="31"/>
      <c r="V1041" s="31"/>
      <c r="W1041" s="350"/>
    </row>
    <row r="1042" spans="1:24" ht="18.75" customHeight="1">
      <c r="A1042" s="347" t="s">
        <v>30</v>
      </c>
      <c r="B1042" s="31"/>
      <c r="C1042" s="31"/>
      <c r="D1042" s="31"/>
      <c r="E1042" s="30" t="s">
        <v>29</v>
      </c>
      <c r="F1042" s="348"/>
      <c r="G1042" s="348"/>
      <c r="H1042" s="348"/>
      <c r="I1042" s="348"/>
      <c r="J1042" s="348"/>
      <c r="K1042" s="349"/>
      <c r="M1042" s="347" t="s">
        <v>30</v>
      </c>
      <c r="N1042" s="31"/>
      <c r="O1042" s="31"/>
      <c r="P1042" s="31"/>
      <c r="Q1042" s="30" t="s">
        <v>29</v>
      </c>
      <c r="R1042" s="348"/>
      <c r="S1042" s="348"/>
      <c r="T1042" s="348"/>
      <c r="U1042" s="348"/>
      <c r="V1042" s="348"/>
      <c r="W1042" s="349"/>
    </row>
    <row r="1043" spans="1:24" ht="18.75" customHeight="1">
      <c r="A1043" s="347" t="s">
        <v>31</v>
      </c>
      <c r="B1043" s="31"/>
      <c r="C1043" s="31"/>
      <c r="D1043" s="31"/>
      <c r="E1043" s="30" t="s">
        <v>29</v>
      </c>
      <c r="F1043" s="31" t="s">
        <v>139</v>
      </c>
      <c r="G1043" s="31"/>
      <c r="H1043" s="31"/>
      <c r="I1043" s="31"/>
      <c r="J1043" s="31"/>
      <c r="K1043" s="350"/>
      <c r="M1043" s="347" t="s">
        <v>31</v>
      </c>
      <c r="N1043" s="31"/>
      <c r="O1043" s="31"/>
      <c r="P1043" s="31"/>
      <c r="Q1043" s="30" t="s">
        <v>29</v>
      </c>
      <c r="R1043" s="31" t="s">
        <v>139</v>
      </c>
      <c r="S1043" s="31"/>
      <c r="T1043" s="31"/>
      <c r="U1043" s="31"/>
      <c r="V1043" s="31"/>
      <c r="W1043" s="350"/>
    </row>
    <row r="1044" spans="1:24" ht="18.75" customHeight="1">
      <c r="A1044" s="354" t="s">
        <v>32</v>
      </c>
      <c r="B1044" s="355"/>
      <c r="C1044" s="355"/>
      <c r="D1044" s="355"/>
      <c r="E1044" s="355"/>
      <c r="F1044" s="355"/>
      <c r="G1044" s="355"/>
      <c r="H1044" s="355"/>
      <c r="I1044" s="355"/>
      <c r="J1044" s="355"/>
      <c r="K1044" s="356"/>
      <c r="M1044" s="354" t="s">
        <v>32</v>
      </c>
      <c r="N1044" s="355"/>
      <c r="O1044" s="355"/>
      <c r="P1044" s="355"/>
      <c r="Q1044" s="355"/>
      <c r="R1044" s="355"/>
      <c r="S1044" s="355"/>
      <c r="T1044" s="355"/>
      <c r="U1044" s="355"/>
      <c r="V1044" s="355"/>
      <c r="W1044" s="356"/>
    </row>
    <row r="1045" spans="1:24" ht="18.75" customHeight="1">
      <c r="A1045" s="347" t="s">
        <v>33</v>
      </c>
      <c r="B1045" s="31"/>
      <c r="C1045" s="31"/>
      <c r="D1045" s="31"/>
      <c r="E1045" s="30" t="s">
        <v>29</v>
      </c>
      <c r="F1045" s="361">
        <v>2915400</v>
      </c>
      <c r="G1045" s="361"/>
      <c r="H1045" s="361"/>
      <c r="I1045" s="361"/>
      <c r="J1045" s="30" t="s">
        <v>34</v>
      </c>
      <c r="K1045" s="32"/>
      <c r="M1045" s="347" t="s">
        <v>33</v>
      </c>
      <c r="N1045" s="31"/>
      <c r="O1045" s="31"/>
      <c r="P1045" s="31"/>
      <c r="Q1045" s="30" t="s">
        <v>29</v>
      </c>
      <c r="R1045" s="361">
        <v>2915400</v>
      </c>
      <c r="S1045" s="361"/>
      <c r="T1045" s="361"/>
      <c r="U1045" s="361"/>
      <c r="V1045" s="30" t="s">
        <v>34</v>
      </c>
      <c r="W1045" s="32"/>
    </row>
    <row r="1046" spans="1:24" ht="18.75" customHeight="1">
      <c r="A1046" s="33" t="s">
        <v>35</v>
      </c>
      <c r="B1046" s="30"/>
      <c r="C1046" s="34"/>
      <c r="D1046" s="35"/>
      <c r="E1046" s="36"/>
      <c r="F1046" s="36"/>
      <c r="G1046" s="36"/>
      <c r="H1046" s="30"/>
      <c r="I1046" s="37"/>
      <c r="J1046" s="38"/>
      <c r="K1046" s="39"/>
      <c r="M1046" s="33" t="s">
        <v>35</v>
      </c>
      <c r="N1046" s="30"/>
      <c r="O1046" s="34"/>
      <c r="P1046" s="35"/>
      <c r="Q1046" s="36"/>
      <c r="R1046" s="36"/>
      <c r="S1046" s="36"/>
      <c r="T1046" s="30"/>
      <c r="U1046" s="37"/>
      <c r="V1046" s="38"/>
      <c r="W1046" s="39"/>
    </row>
    <row r="1047" spans="1:24" ht="18.75" customHeight="1">
      <c r="A1047" s="33" t="s">
        <v>36</v>
      </c>
      <c r="B1047" s="30"/>
      <c r="C1047" s="34"/>
      <c r="D1047" s="35"/>
      <c r="E1047" s="36"/>
      <c r="F1047" s="36"/>
      <c r="G1047" s="36"/>
      <c r="H1047" s="30"/>
      <c r="I1047" s="37" t="e">
        <f>I1048/C1048/8</f>
        <v>#DIV/0!</v>
      </c>
      <c r="J1047" s="38"/>
      <c r="K1047" s="39"/>
      <c r="M1047" s="33" t="s">
        <v>36</v>
      </c>
      <c r="N1047" s="30"/>
      <c r="O1047" s="34"/>
      <c r="P1047" s="35"/>
      <c r="Q1047" s="36"/>
      <c r="R1047" s="36"/>
      <c r="S1047" s="36"/>
      <c r="T1047" s="30"/>
      <c r="U1047" s="37" t="e">
        <f>U1048/O1048/8</f>
        <v>#DIV/0!</v>
      </c>
      <c r="V1047" s="38"/>
      <c r="W1047" s="39"/>
    </row>
    <row r="1048" spans="1:24" ht="18.75" customHeight="1">
      <c r="A1048" s="33" t="s">
        <v>37</v>
      </c>
      <c r="B1048" s="30" t="s">
        <v>29</v>
      </c>
      <c r="C1048" s="34"/>
      <c r="D1048" s="35" t="s">
        <v>38</v>
      </c>
      <c r="E1048" s="359" t="s">
        <v>39</v>
      </c>
      <c r="F1048" s="359"/>
      <c r="G1048" s="359"/>
      <c r="H1048" s="30" t="s">
        <v>29</v>
      </c>
      <c r="I1048" s="360" t="e">
        <f>I1046*680/((C1048-C1055)*8+C1055*7+C1052)*((C1048-C1055)*8+C1055*7)</f>
        <v>#DIV/0!</v>
      </c>
      <c r="J1048" s="360"/>
      <c r="K1048" s="39" t="s">
        <v>34</v>
      </c>
      <c r="L1048" s="40">
        <f>F1045/L1038*C1048</f>
        <v>0</v>
      </c>
      <c r="M1048" s="33" t="s">
        <v>37</v>
      </c>
      <c r="N1048" s="30" t="s">
        <v>29</v>
      </c>
      <c r="O1048" s="34"/>
      <c r="P1048" s="35" t="s">
        <v>38</v>
      </c>
      <c r="Q1048" s="359" t="s">
        <v>39</v>
      </c>
      <c r="R1048" s="359"/>
      <c r="S1048" s="359"/>
      <c r="T1048" s="30" t="s">
        <v>29</v>
      </c>
      <c r="U1048" s="360" t="e">
        <f>U1046*680/((O1048-O1055)*8+O1055*7+O1052)*((O1048-O1055)*8+O1055*7)</f>
        <v>#DIV/0!</v>
      </c>
      <c r="V1048" s="360"/>
      <c r="W1048" s="39" t="s">
        <v>34</v>
      </c>
      <c r="X1048" s="40">
        <f>R1045/X1038*O1048</f>
        <v>0</v>
      </c>
    </row>
    <row r="1049" spans="1:24" ht="18.75" customHeight="1">
      <c r="A1049" s="33" t="s">
        <v>40</v>
      </c>
      <c r="B1049" s="30" t="s">
        <v>29</v>
      </c>
      <c r="C1049" s="34"/>
      <c r="D1049" s="35" t="s">
        <v>38</v>
      </c>
      <c r="E1049" s="31" t="s">
        <v>41</v>
      </c>
      <c r="F1049" s="31"/>
      <c r="G1049" s="31"/>
      <c r="H1049" s="30" t="s">
        <v>29</v>
      </c>
      <c r="I1049" s="358">
        <f>$F$8/$L$1*C1049</f>
        <v>0</v>
      </c>
      <c r="J1049" s="358"/>
      <c r="K1049" s="39" t="s">
        <v>34</v>
      </c>
      <c r="L1049" s="40"/>
      <c r="M1049" s="33" t="s">
        <v>40</v>
      </c>
      <c r="N1049" s="30" t="s">
        <v>29</v>
      </c>
      <c r="O1049" s="34"/>
      <c r="P1049" s="35" t="s">
        <v>38</v>
      </c>
      <c r="Q1049" s="31" t="s">
        <v>41</v>
      </c>
      <c r="R1049" s="31"/>
      <c r="S1049" s="31"/>
      <c r="T1049" s="30" t="s">
        <v>29</v>
      </c>
      <c r="U1049" s="358">
        <f>$F$8/$L$1*O1049</f>
        <v>0</v>
      </c>
      <c r="V1049" s="358"/>
      <c r="W1049" s="39" t="s">
        <v>34</v>
      </c>
      <c r="X1049" s="40"/>
    </row>
    <row r="1050" spans="1:24" ht="18.75" customHeight="1">
      <c r="A1050" s="33" t="s">
        <v>42</v>
      </c>
      <c r="B1050" s="30" t="s">
        <v>29</v>
      </c>
      <c r="C1050" s="34"/>
      <c r="D1050" s="35" t="s">
        <v>38</v>
      </c>
      <c r="E1050" s="357" t="s">
        <v>43</v>
      </c>
      <c r="F1050" s="357"/>
      <c r="G1050" s="357"/>
      <c r="H1050" s="30" t="s">
        <v>29</v>
      </c>
      <c r="I1050" s="358">
        <f>$F$8/$L$1*C1050</f>
        <v>0</v>
      </c>
      <c r="J1050" s="358"/>
      <c r="K1050" s="39" t="s">
        <v>34</v>
      </c>
      <c r="L1050" s="40"/>
      <c r="M1050" s="33" t="s">
        <v>42</v>
      </c>
      <c r="N1050" s="30" t="s">
        <v>29</v>
      </c>
      <c r="O1050" s="34"/>
      <c r="P1050" s="35" t="s">
        <v>38</v>
      </c>
      <c r="Q1050" s="357" t="s">
        <v>43</v>
      </c>
      <c r="R1050" s="357"/>
      <c r="S1050" s="357"/>
      <c r="T1050" s="30" t="s">
        <v>29</v>
      </c>
      <c r="U1050" s="358">
        <f>$F$8/$L$1*O1050</f>
        <v>0</v>
      </c>
      <c r="V1050" s="358"/>
      <c r="W1050" s="39" t="s">
        <v>34</v>
      </c>
      <c r="X1050" s="40"/>
    </row>
    <row r="1051" spans="1:24" ht="18.75" customHeight="1">
      <c r="A1051" s="33" t="s">
        <v>44</v>
      </c>
      <c r="B1051" s="30" t="s">
        <v>29</v>
      </c>
      <c r="C1051" s="34"/>
      <c r="D1051" s="35" t="s">
        <v>38</v>
      </c>
      <c r="E1051" s="357" t="s">
        <v>45</v>
      </c>
      <c r="F1051" s="357"/>
      <c r="G1051" s="357"/>
      <c r="H1051" s="30" t="s">
        <v>29</v>
      </c>
      <c r="I1051" s="358">
        <f>$F$8/$L$1*C1051</f>
        <v>0</v>
      </c>
      <c r="J1051" s="358"/>
      <c r="K1051" s="39" t="s">
        <v>34</v>
      </c>
      <c r="L1051" s="40"/>
      <c r="M1051" s="33" t="s">
        <v>44</v>
      </c>
      <c r="N1051" s="30" t="s">
        <v>29</v>
      </c>
      <c r="O1051" s="34"/>
      <c r="P1051" s="35" t="s">
        <v>38</v>
      </c>
      <c r="Q1051" s="357" t="s">
        <v>45</v>
      </c>
      <c r="R1051" s="357"/>
      <c r="S1051" s="357"/>
      <c r="T1051" s="30" t="s">
        <v>29</v>
      </c>
      <c r="U1051" s="358">
        <f>$F$8/$L$1*O1051</f>
        <v>0</v>
      </c>
      <c r="V1051" s="358"/>
      <c r="W1051" s="39" t="s">
        <v>34</v>
      </c>
      <c r="X1051" s="40"/>
    </row>
    <row r="1052" spans="1:24" ht="18.75" customHeight="1">
      <c r="A1052" s="33" t="s">
        <v>46</v>
      </c>
      <c r="B1052" s="30" t="s">
        <v>29</v>
      </c>
      <c r="C1052" s="34"/>
      <c r="D1052" s="35" t="s">
        <v>47</v>
      </c>
      <c r="E1052" s="31" t="s">
        <v>48</v>
      </c>
      <c r="F1052" s="31"/>
      <c r="G1052" s="31"/>
      <c r="H1052" s="30" t="s">
        <v>29</v>
      </c>
      <c r="I1052" s="358" t="e">
        <f>I1048/C1048/8*C1052</f>
        <v>#DIV/0!</v>
      </c>
      <c r="J1052" s="358"/>
      <c r="K1052" s="39" t="s">
        <v>34</v>
      </c>
      <c r="L1052" s="40">
        <f>F1045*C1052/L1038/8*1.5</f>
        <v>0</v>
      </c>
      <c r="M1052" s="33" t="s">
        <v>46</v>
      </c>
      <c r="N1052" s="30" t="s">
        <v>29</v>
      </c>
      <c r="O1052" s="34"/>
      <c r="P1052" s="35" t="s">
        <v>47</v>
      </c>
      <c r="Q1052" s="31" t="s">
        <v>48</v>
      </c>
      <c r="R1052" s="31"/>
      <c r="S1052" s="31"/>
      <c r="T1052" s="30" t="s">
        <v>29</v>
      </c>
      <c r="U1052" s="358" t="e">
        <f>U1048/O1048/8*O1052</f>
        <v>#DIV/0!</v>
      </c>
      <c r="V1052" s="358"/>
      <c r="W1052" s="39" t="s">
        <v>34</v>
      </c>
      <c r="X1052" s="40">
        <f>R1045*O1052/X1038/8*1.5</f>
        <v>0</v>
      </c>
    </row>
    <row r="1053" spans="1:24" ht="18.75" customHeight="1">
      <c r="A1053" s="347" t="s">
        <v>49</v>
      </c>
      <c r="B1053" s="31"/>
      <c r="C1053" s="34"/>
      <c r="D1053" s="35" t="s">
        <v>38</v>
      </c>
      <c r="E1053" s="31" t="s">
        <v>50</v>
      </c>
      <c r="F1053" s="31"/>
      <c r="G1053" s="31"/>
      <c r="H1053" s="41" t="s">
        <v>29</v>
      </c>
      <c r="I1053" s="358"/>
      <c r="J1053" s="358"/>
      <c r="K1053" s="39" t="s">
        <v>34</v>
      </c>
      <c r="L1053" s="40"/>
      <c r="M1053" s="347" t="s">
        <v>49</v>
      </c>
      <c r="N1053" s="31"/>
      <c r="O1053" s="34"/>
      <c r="P1053" s="35" t="s">
        <v>38</v>
      </c>
      <c r="Q1053" s="31" t="s">
        <v>50</v>
      </c>
      <c r="R1053" s="31"/>
      <c r="S1053" s="31"/>
      <c r="T1053" s="41" t="s">
        <v>29</v>
      </c>
      <c r="U1053" s="358"/>
      <c r="V1053" s="358"/>
      <c r="W1053" s="39" t="s">
        <v>34</v>
      </c>
      <c r="X1053" s="40"/>
    </row>
    <row r="1054" spans="1:24" ht="18.75" customHeight="1">
      <c r="A1054" s="33" t="s">
        <v>51</v>
      </c>
      <c r="B1054" s="30" t="s">
        <v>29</v>
      </c>
      <c r="C1054" s="34"/>
      <c r="D1054" s="35" t="s">
        <v>38</v>
      </c>
      <c r="E1054" s="31" t="s">
        <v>52</v>
      </c>
      <c r="F1054" s="31"/>
      <c r="G1054" s="31"/>
      <c r="H1054" s="30" t="s">
        <v>29</v>
      </c>
      <c r="I1054" s="358"/>
      <c r="J1054" s="358"/>
      <c r="K1054" s="39" t="s">
        <v>34</v>
      </c>
      <c r="L1054" s="40"/>
      <c r="M1054" s="33" t="s">
        <v>51</v>
      </c>
      <c r="N1054" s="30" t="s">
        <v>29</v>
      </c>
      <c r="O1054" s="34"/>
      <c r="P1054" s="35" t="s">
        <v>38</v>
      </c>
      <c r="Q1054" s="31" t="s">
        <v>52</v>
      </c>
      <c r="R1054" s="31"/>
      <c r="S1054" s="31"/>
      <c r="T1054" s="30" t="s">
        <v>29</v>
      </c>
      <c r="U1054" s="358"/>
      <c r="V1054" s="358"/>
      <c r="W1054" s="39" t="s">
        <v>34</v>
      </c>
      <c r="X1054" s="40"/>
    </row>
    <row r="1055" spans="1:24" ht="18.75" customHeight="1">
      <c r="A1055" s="42" t="s">
        <v>53</v>
      </c>
      <c r="B1055" s="30"/>
      <c r="C1055" s="34"/>
      <c r="D1055" s="35" t="s">
        <v>47</v>
      </c>
      <c r="E1055" s="31" t="s">
        <v>54</v>
      </c>
      <c r="F1055" s="31"/>
      <c r="G1055" s="31"/>
      <c r="H1055" s="30" t="s">
        <v>29</v>
      </c>
      <c r="I1055" s="358">
        <f>$F$8*C1055/8/$L$1</f>
        <v>0</v>
      </c>
      <c r="J1055" s="358"/>
      <c r="K1055" s="39" t="s">
        <v>34</v>
      </c>
      <c r="L1055" s="40"/>
      <c r="M1055" s="42" t="s">
        <v>53</v>
      </c>
      <c r="N1055" s="30"/>
      <c r="O1055" s="34"/>
      <c r="P1055" s="35" t="s">
        <v>47</v>
      </c>
      <c r="Q1055" s="31" t="s">
        <v>54</v>
      </c>
      <c r="R1055" s="31"/>
      <c r="S1055" s="31"/>
      <c r="T1055" s="30" t="s">
        <v>29</v>
      </c>
      <c r="U1055" s="358">
        <f>$F$8*O1055/8/$L$1</f>
        <v>0</v>
      </c>
      <c r="V1055" s="358"/>
      <c r="W1055" s="39" t="s">
        <v>34</v>
      </c>
      <c r="X1055" s="40"/>
    </row>
    <row r="1056" spans="1:24" ht="18.75" customHeight="1">
      <c r="A1056" s="33" t="s">
        <v>55</v>
      </c>
      <c r="B1056" s="30" t="s">
        <v>29</v>
      </c>
      <c r="C1056" s="34"/>
      <c r="D1056" s="35" t="s">
        <v>47</v>
      </c>
      <c r="E1056" s="31" t="s">
        <v>56</v>
      </c>
      <c r="F1056" s="31"/>
      <c r="G1056" s="31"/>
      <c r="H1056" s="30" t="s">
        <v>29</v>
      </c>
      <c r="I1056" s="360"/>
      <c r="J1056" s="360"/>
      <c r="K1056" s="39" t="s">
        <v>34</v>
      </c>
      <c r="L1056" s="40"/>
      <c r="M1056" s="33" t="s">
        <v>55</v>
      </c>
      <c r="N1056" s="30" t="s">
        <v>29</v>
      </c>
      <c r="O1056" s="34"/>
      <c r="P1056" s="35" t="s">
        <v>47</v>
      </c>
      <c r="Q1056" s="31" t="s">
        <v>56</v>
      </c>
      <c r="R1056" s="31"/>
      <c r="S1056" s="31"/>
      <c r="T1056" s="30" t="s">
        <v>29</v>
      </c>
      <c r="U1056" s="360"/>
      <c r="V1056" s="360"/>
      <c r="W1056" s="39" t="s">
        <v>34</v>
      </c>
      <c r="X1056" s="40"/>
    </row>
    <row r="1057" spans="1:24" ht="18.75" customHeight="1">
      <c r="A1057" s="33" t="s">
        <v>57</v>
      </c>
      <c r="B1057" s="30" t="s">
        <v>29</v>
      </c>
      <c r="C1057" s="34"/>
      <c r="D1057" s="35" t="s">
        <v>58</v>
      </c>
      <c r="E1057" s="31" t="s">
        <v>59</v>
      </c>
      <c r="F1057" s="31"/>
      <c r="G1057" s="31"/>
      <c r="H1057" s="30" t="s">
        <v>29</v>
      </c>
      <c r="I1057" s="358"/>
      <c r="J1057" s="358"/>
      <c r="K1057" s="39" t="s">
        <v>34</v>
      </c>
      <c r="L1057" s="40" t="e">
        <f>+IF(L1048-I1048&lt;0,0,L1048-I1048)+IF(L1052-I1052&lt;0,0,L1052-I1052)</f>
        <v>#DIV/0!</v>
      </c>
      <c r="M1057" s="33" t="s">
        <v>57</v>
      </c>
      <c r="N1057" s="30" t="s">
        <v>29</v>
      </c>
      <c r="O1057" s="34"/>
      <c r="P1057" s="35" t="s">
        <v>58</v>
      </c>
      <c r="Q1057" s="31" t="s">
        <v>59</v>
      </c>
      <c r="R1057" s="31"/>
      <c r="S1057" s="31"/>
      <c r="T1057" s="30" t="s">
        <v>29</v>
      </c>
      <c r="U1057" s="358"/>
      <c r="V1057" s="358"/>
      <c r="W1057" s="39" t="s">
        <v>34</v>
      </c>
      <c r="X1057" s="40" t="e">
        <f>+IF(X1048-U1048&lt;0,0,X1048-U1048)+IF(X1052-U1052&lt;0,0,X1052-U1052)</f>
        <v>#DIV/0!</v>
      </c>
    </row>
    <row r="1058" spans="1:24" ht="18.75" customHeight="1">
      <c r="A1058" s="43" t="s">
        <v>60</v>
      </c>
      <c r="B1058" s="44"/>
      <c r="C1058" s="34"/>
      <c r="D1058" s="35" t="s">
        <v>38</v>
      </c>
      <c r="E1058" s="31" t="s">
        <v>61</v>
      </c>
      <c r="F1058" s="31"/>
      <c r="G1058" s="31"/>
      <c r="H1058" s="30" t="s">
        <v>29</v>
      </c>
      <c r="I1058" s="358"/>
      <c r="J1058" s="358"/>
      <c r="K1058" s="39" t="s">
        <v>34</v>
      </c>
      <c r="L1058" s="40"/>
      <c r="M1058" s="43" t="s">
        <v>60</v>
      </c>
      <c r="N1058" s="44"/>
      <c r="O1058" s="34"/>
      <c r="P1058" s="35" t="s">
        <v>38</v>
      </c>
      <c r="Q1058" s="31" t="s">
        <v>61</v>
      </c>
      <c r="R1058" s="31"/>
      <c r="S1058" s="31"/>
      <c r="T1058" s="30" t="s">
        <v>29</v>
      </c>
      <c r="U1058" s="358"/>
      <c r="V1058" s="358"/>
      <c r="W1058" s="39" t="s">
        <v>34</v>
      </c>
      <c r="X1058" s="40"/>
    </row>
    <row r="1059" spans="1:24" ht="18.75" customHeight="1">
      <c r="A1059" s="383" t="s">
        <v>62</v>
      </c>
      <c r="B1059" s="359"/>
      <c r="C1059" s="34"/>
      <c r="D1059" s="35"/>
      <c r="E1059" s="36"/>
      <c r="F1059" s="36"/>
      <c r="G1059" s="36"/>
      <c r="H1059" s="30" t="s">
        <v>29</v>
      </c>
      <c r="I1059" s="358"/>
      <c r="J1059" s="358"/>
      <c r="K1059" s="39" t="s">
        <v>34</v>
      </c>
      <c r="L1059" s="40"/>
      <c r="M1059" s="383" t="s">
        <v>62</v>
      </c>
      <c r="N1059" s="359"/>
      <c r="O1059" s="34"/>
      <c r="P1059" s="35"/>
      <c r="Q1059" s="36"/>
      <c r="R1059" s="36"/>
      <c r="S1059" s="36"/>
      <c r="T1059" s="30" t="s">
        <v>29</v>
      </c>
      <c r="U1059" s="358"/>
      <c r="V1059" s="358"/>
      <c r="W1059" s="39" t="s">
        <v>34</v>
      </c>
      <c r="X1059" s="40"/>
    </row>
    <row r="1060" spans="1:24" ht="18.75" customHeight="1">
      <c r="A1060" s="33" t="s">
        <v>63</v>
      </c>
      <c r="B1060" s="30" t="s">
        <v>29</v>
      </c>
      <c r="C1060" s="34"/>
      <c r="D1060" s="35"/>
      <c r="E1060" s="36" t="s">
        <v>64</v>
      </c>
      <c r="F1060" s="36"/>
      <c r="G1060" s="36"/>
      <c r="H1060" s="30" t="s">
        <v>29</v>
      </c>
      <c r="I1060" s="358" t="e">
        <f>L1057</f>
        <v>#DIV/0!</v>
      </c>
      <c r="J1060" s="358"/>
      <c r="K1060" s="39" t="s">
        <v>34</v>
      </c>
      <c r="L1060" s="40"/>
      <c r="M1060" s="33" t="s">
        <v>63</v>
      </c>
      <c r="N1060" s="30" t="s">
        <v>29</v>
      </c>
      <c r="O1060" s="34"/>
      <c r="P1060" s="35"/>
      <c r="Q1060" s="36" t="s">
        <v>64</v>
      </c>
      <c r="R1060" s="36"/>
      <c r="S1060" s="36"/>
      <c r="T1060" s="30" t="s">
        <v>29</v>
      </c>
      <c r="U1060" s="358" t="e">
        <f>X1057</f>
        <v>#DIV/0!</v>
      </c>
      <c r="V1060" s="358"/>
      <c r="W1060" s="39" t="s">
        <v>34</v>
      </c>
      <c r="X1060" s="40"/>
    </row>
    <row r="1061" spans="1:24" ht="18.75" customHeight="1">
      <c r="A1061" s="362" t="s">
        <v>65</v>
      </c>
      <c r="B1061" s="363"/>
      <c r="C1061" s="363"/>
      <c r="D1061" s="363"/>
      <c r="E1061" s="363"/>
      <c r="F1061" s="363"/>
      <c r="G1061" s="30" t="s">
        <v>29</v>
      </c>
      <c r="H1061" s="365" t="e">
        <f>I1048+I1049+I1050+I1051+I1052+I1055+I1059+I1060</f>
        <v>#DIV/0!</v>
      </c>
      <c r="I1061" s="365"/>
      <c r="J1061" s="365"/>
      <c r="K1061" s="39" t="s">
        <v>34</v>
      </c>
      <c r="M1061" s="362" t="s">
        <v>65</v>
      </c>
      <c r="N1061" s="363"/>
      <c r="O1061" s="363"/>
      <c r="P1061" s="363"/>
      <c r="Q1061" s="363"/>
      <c r="R1061" s="363"/>
      <c r="S1061" s="30" t="s">
        <v>29</v>
      </c>
      <c r="T1061" s="365" t="e">
        <f>U1048+U1049+U1050+U1051+U1052+U1055+U1059+U1060</f>
        <v>#DIV/0!</v>
      </c>
      <c r="U1061" s="365"/>
      <c r="V1061" s="365"/>
      <c r="W1061" s="39" t="s">
        <v>34</v>
      </c>
    </row>
    <row r="1062" spans="1:24" ht="18.75" customHeight="1">
      <c r="A1062" s="45"/>
      <c r="B1062" s="46"/>
      <c r="C1062" s="46"/>
      <c r="D1062" s="46"/>
      <c r="E1062" s="46"/>
      <c r="F1062" s="46"/>
      <c r="G1062" s="46"/>
      <c r="H1062" s="46"/>
      <c r="I1062" s="46"/>
      <c r="J1062" s="46"/>
      <c r="K1062" s="47"/>
      <c r="M1062" s="45"/>
      <c r="N1062" s="46"/>
      <c r="O1062" s="46"/>
      <c r="P1062" s="46"/>
      <c r="Q1062" s="46"/>
      <c r="R1062" s="46"/>
      <c r="S1062" s="46"/>
      <c r="T1062" s="46"/>
      <c r="U1062" s="46"/>
      <c r="V1062" s="46"/>
      <c r="W1062" s="47"/>
    </row>
    <row r="1063" spans="1:24" ht="18.75" customHeight="1">
      <c r="A1063" s="374" t="s">
        <v>66</v>
      </c>
      <c r="B1063" s="375"/>
      <c r="C1063" s="375"/>
      <c r="D1063" s="375"/>
      <c r="E1063" s="375"/>
      <c r="F1063" s="375"/>
      <c r="G1063" s="30"/>
      <c r="H1063" s="30"/>
      <c r="I1063" s="30"/>
      <c r="J1063" s="30"/>
      <c r="K1063" s="39"/>
      <c r="M1063" s="374" t="s">
        <v>66</v>
      </c>
      <c r="N1063" s="375"/>
      <c r="O1063" s="375"/>
      <c r="P1063" s="375"/>
      <c r="Q1063" s="375"/>
      <c r="R1063" s="375"/>
      <c r="S1063" s="30"/>
      <c r="T1063" s="30"/>
      <c r="U1063" s="30"/>
      <c r="V1063" s="30"/>
      <c r="W1063" s="39"/>
    </row>
    <row r="1064" spans="1:24" ht="18.75" customHeight="1">
      <c r="A1064" s="368" t="s">
        <v>67</v>
      </c>
      <c r="B1064" s="369"/>
      <c r="C1064" s="369"/>
      <c r="D1064" s="369"/>
      <c r="E1064" s="369"/>
      <c r="F1064" s="369"/>
      <c r="G1064" s="30" t="s">
        <v>29</v>
      </c>
      <c r="H1064" s="376">
        <f>IF(($L$1-(C1048+C1049+C1050+C1051))&gt;12,0,F1045*8%)</f>
        <v>0</v>
      </c>
      <c r="I1064" s="376"/>
      <c r="J1064" s="376"/>
      <c r="K1064" s="39" t="s">
        <v>34</v>
      </c>
      <c r="M1064" s="368" t="s">
        <v>67</v>
      </c>
      <c r="N1064" s="369"/>
      <c r="O1064" s="369"/>
      <c r="P1064" s="369"/>
      <c r="Q1064" s="369"/>
      <c r="R1064" s="369"/>
      <c r="S1064" s="30" t="s">
        <v>29</v>
      </c>
      <c r="T1064" s="376">
        <f>IF(($L$1-(O1048+O1049+O1050+O1051))&gt;12,0,R1045*8%)</f>
        <v>0</v>
      </c>
      <c r="U1064" s="376"/>
      <c r="V1064" s="376"/>
      <c r="W1064" s="39" t="s">
        <v>34</v>
      </c>
    </row>
    <row r="1065" spans="1:24" ht="18.75" customHeight="1">
      <c r="A1065" s="368" t="s">
        <v>68</v>
      </c>
      <c r="B1065" s="369"/>
      <c r="C1065" s="369"/>
      <c r="D1065" s="369"/>
      <c r="E1065" s="369"/>
      <c r="F1065" s="369"/>
      <c r="G1065" s="30" t="s">
        <v>29</v>
      </c>
      <c r="H1065" s="370">
        <f>IF(($L$1-(C1048+C1049+C1050+C1051))&gt;12,0,F1045*1.5%)</f>
        <v>0</v>
      </c>
      <c r="I1065" s="370"/>
      <c r="J1065" s="370"/>
      <c r="K1065" s="39" t="s">
        <v>34</v>
      </c>
      <c r="M1065" s="368" t="s">
        <v>68</v>
      </c>
      <c r="N1065" s="369"/>
      <c r="O1065" s="369"/>
      <c r="P1065" s="369"/>
      <c r="Q1065" s="369"/>
      <c r="R1065" s="369"/>
      <c r="S1065" s="30" t="s">
        <v>29</v>
      </c>
      <c r="T1065" s="370">
        <f>IF(($L$1-(O1048+O1049+O1050+O1051))&gt;12,0,R1045*1.5%)</f>
        <v>0</v>
      </c>
      <c r="U1065" s="370"/>
      <c r="V1065" s="370"/>
      <c r="W1065" s="39" t="s">
        <v>34</v>
      </c>
    </row>
    <row r="1066" spans="1:24" ht="18.75" customHeight="1">
      <c r="A1066" s="368" t="s">
        <v>69</v>
      </c>
      <c r="B1066" s="369"/>
      <c r="C1066" s="369"/>
      <c r="D1066" s="369"/>
      <c r="E1066" s="369"/>
      <c r="F1066" s="369"/>
      <c r="G1066" s="30" t="s">
        <v>29</v>
      </c>
      <c r="H1066" s="370">
        <f>IF(($L$1-(C1048+C1049+C1050+C1051))&gt;12,0,F1045*1%)</f>
        <v>0</v>
      </c>
      <c r="I1066" s="370"/>
      <c r="J1066" s="370"/>
      <c r="K1066" s="39" t="s">
        <v>34</v>
      </c>
      <c r="M1066" s="368" t="s">
        <v>69</v>
      </c>
      <c r="N1066" s="369"/>
      <c r="O1066" s="369"/>
      <c r="P1066" s="369"/>
      <c r="Q1066" s="369"/>
      <c r="R1066" s="369"/>
      <c r="S1066" s="30" t="s">
        <v>29</v>
      </c>
      <c r="T1066" s="370">
        <f>IF(($L$1-(O1048+O1049+O1050+O1051))&gt;12,0,R1045*1%)</f>
        <v>0</v>
      </c>
      <c r="U1066" s="370"/>
      <c r="V1066" s="370"/>
      <c r="W1066" s="39" t="s">
        <v>34</v>
      </c>
    </row>
    <row r="1067" spans="1:24" ht="18.75" customHeight="1">
      <c r="A1067" s="368" t="s">
        <v>70</v>
      </c>
      <c r="B1067" s="369"/>
      <c r="C1067" s="369"/>
      <c r="D1067" s="369"/>
      <c r="E1067" s="369"/>
      <c r="F1067" s="369"/>
      <c r="G1067" s="30" t="s">
        <v>29</v>
      </c>
      <c r="H1067" s="370">
        <v>0</v>
      </c>
      <c r="I1067" s="370"/>
      <c r="J1067" s="370"/>
      <c r="K1067" s="39" t="s">
        <v>34</v>
      </c>
      <c r="M1067" s="368" t="s">
        <v>70</v>
      </c>
      <c r="N1067" s="369"/>
      <c r="O1067" s="369"/>
      <c r="P1067" s="369"/>
      <c r="Q1067" s="369"/>
      <c r="R1067" s="369"/>
      <c r="S1067" s="30" t="s">
        <v>29</v>
      </c>
      <c r="T1067" s="370">
        <v>0</v>
      </c>
      <c r="U1067" s="370"/>
      <c r="V1067" s="370"/>
      <c r="W1067" s="39" t="s">
        <v>34</v>
      </c>
    </row>
    <row r="1068" spans="1:24" ht="18.75" customHeight="1">
      <c r="A1068" s="371" t="s">
        <v>71</v>
      </c>
      <c r="B1068" s="372"/>
      <c r="C1068" s="372"/>
      <c r="D1068" s="372"/>
      <c r="E1068" s="372"/>
      <c r="F1068" s="372"/>
      <c r="G1068" s="30" t="s">
        <v>29</v>
      </c>
      <c r="H1068" s="373">
        <f>SUM(H1064:J1067)</f>
        <v>0</v>
      </c>
      <c r="I1068" s="373"/>
      <c r="J1068" s="373"/>
      <c r="K1068" s="39" t="s">
        <v>34</v>
      </c>
      <c r="M1068" s="371" t="s">
        <v>71</v>
      </c>
      <c r="N1068" s="372"/>
      <c r="O1068" s="372"/>
      <c r="P1068" s="372"/>
      <c r="Q1068" s="372"/>
      <c r="R1068" s="372"/>
      <c r="S1068" s="30" t="s">
        <v>29</v>
      </c>
      <c r="T1068" s="373">
        <f>SUM(T1064:V1067)</f>
        <v>0</v>
      </c>
      <c r="U1068" s="373"/>
      <c r="V1068" s="373"/>
      <c r="W1068" s="39" t="s">
        <v>34</v>
      </c>
    </row>
    <row r="1069" spans="1:24" ht="18.75" customHeight="1">
      <c r="A1069" s="368" t="s">
        <v>72</v>
      </c>
      <c r="B1069" s="369"/>
      <c r="C1069" s="369"/>
      <c r="D1069" s="369"/>
      <c r="E1069" s="369"/>
      <c r="F1069" s="369"/>
      <c r="G1069" s="30" t="s">
        <v>29</v>
      </c>
      <c r="H1069" s="381" t="e">
        <f>ROUND(H1061-H1068,-2)</f>
        <v>#DIV/0!</v>
      </c>
      <c r="I1069" s="381"/>
      <c r="J1069" s="381"/>
      <c r="K1069" s="39" t="s">
        <v>34</v>
      </c>
      <c r="M1069" s="368" t="s">
        <v>72</v>
      </c>
      <c r="N1069" s="369"/>
      <c r="O1069" s="369"/>
      <c r="P1069" s="369"/>
      <c r="Q1069" s="369"/>
      <c r="R1069" s="369"/>
      <c r="S1069" s="30" t="s">
        <v>29</v>
      </c>
      <c r="T1069" s="381" t="e">
        <f>ROUND(T1061-T1068,-2)</f>
        <v>#DIV/0!</v>
      </c>
      <c r="U1069" s="381"/>
      <c r="V1069" s="381"/>
      <c r="W1069" s="39" t="s">
        <v>34</v>
      </c>
    </row>
    <row r="1070" spans="1:24" ht="18.75" customHeight="1">
      <c r="A1070" s="48"/>
      <c r="B1070" s="49"/>
      <c r="C1070" s="49"/>
      <c r="D1070" s="49"/>
      <c r="E1070" s="49"/>
      <c r="F1070" s="49"/>
      <c r="G1070" s="49"/>
      <c r="H1070" s="49"/>
      <c r="I1070" s="49"/>
      <c r="J1070" s="49"/>
      <c r="K1070" s="50"/>
      <c r="M1070" s="48"/>
      <c r="N1070" s="49"/>
      <c r="O1070" s="49"/>
      <c r="P1070" s="49"/>
      <c r="Q1070" s="49"/>
      <c r="R1070" s="49"/>
      <c r="S1070" s="49"/>
      <c r="T1070" s="49"/>
      <c r="U1070" s="49"/>
      <c r="V1070" s="49"/>
      <c r="W1070" s="50"/>
    </row>
    <row r="1071" spans="1:24" ht="18.75" customHeight="1">
      <c r="A1071" s="51"/>
      <c r="B1071" s="30"/>
      <c r="C1071" s="30"/>
      <c r="D1071" s="30"/>
      <c r="E1071" s="30"/>
      <c r="F1071" s="30"/>
      <c r="G1071" s="30"/>
      <c r="H1071" s="30"/>
      <c r="I1071" s="378" t="s">
        <v>73</v>
      </c>
      <c r="J1071" s="378"/>
      <c r="K1071" s="382"/>
      <c r="M1071" s="51"/>
      <c r="N1071" s="30"/>
      <c r="O1071" s="30"/>
      <c r="P1071" s="30"/>
      <c r="Q1071" s="30"/>
      <c r="R1071" s="30"/>
      <c r="S1071" s="30"/>
      <c r="T1071" s="30"/>
      <c r="U1071" s="378" t="s">
        <v>73</v>
      </c>
      <c r="V1071" s="378"/>
      <c r="W1071" s="382"/>
    </row>
    <row r="1072" spans="1:24" ht="18.75" customHeight="1">
      <c r="A1072" s="51"/>
      <c r="B1072" s="377"/>
      <c r="C1072" s="378"/>
      <c r="D1072" s="378"/>
      <c r="E1072" s="378"/>
      <c r="F1072" s="30"/>
      <c r="G1072" s="30"/>
      <c r="H1072" s="30"/>
      <c r="I1072" s="30"/>
      <c r="J1072" s="30"/>
      <c r="K1072" s="32"/>
      <c r="M1072" s="51"/>
      <c r="N1072" s="377"/>
      <c r="O1072" s="378"/>
      <c r="P1072" s="378"/>
      <c r="Q1072" s="378"/>
      <c r="R1072" s="30"/>
      <c r="S1072" s="30"/>
      <c r="T1072" s="30"/>
      <c r="U1072" s="30"/>
      <c r="V1072" s="30"/>
      <c r="W1072" s="32"/>
    </row>
    <row r="1073" spans="1:24" ht="18.75" customHeight="1" thickBot="1">
      <c r="A1073" s="53"/>
      <c r="B1073" s="54"/>
      <c r="C1073" s="54"/>
      <c r="D1073" s="54"/>
      <c r="E1073" s="54"/>
      <c r="F1073" s="54"/>
      <c r="G1073" s="54"/>
      <c r="H1073" s="54"/>
      <c r="I1073" s="379" t="s">
        <v>74</v>
      </c>
      <c r="J1073" s="379"/>
      <c r="K1073" s="380"/>
      <c r="M1073" s="53"/>
      <c r="N1073" s="54"/>
      <c r="O1073" s="54"/>
      <c r="P1073" s="54"/>
      <c r="Q1073" s="54"/>
      <c r="R1073" s="54"/>
      <c r="S1073" s="54"/>
      <c r="T1073" s="54"/>
      <c r="U1073" s="379" t="s">
        <v>74</v>
      </c>
      <c r="V1073" s="379"/>
      <c r="W1073" s="380"/>
    </row>
    <row r="1074" spans="1:24" ht="18.75" customHeight="1" thickTop="1" thickBot="1"/>
    <row r="1075" spans="1:24" ht="18.75" customHeight="1" thickTop="1">
      <c r="A1075" s="351" t="s">
        <v>7</v>
      </c>
      <c r="B1075" s="352"/>
      <c r="C1075" s="352"/>
      <c r="D1075" s="352"/>
      <c r="E1075" s="352"/>
      <c r="F1075" s="352"/>
      <c r="G1075" s="352"/>
      <c r="H1075" s="352"/>
      <c r="I1075" s="352"/>
      <c r="J1075" s="352"/>
      <c r="K1075" s="353"/>
      <c r="L1075" s="26">
        <v>24</v>
      </c>
      <c r="M1075" s="351" t="s">
        <v>7</v>
      </c>
      <c r="N1075" s="352"/>
      <c r="O1075" s="352"/>
      <c r="P1075" s="352"/>
      <c r="Q1075" s="352"/>
      <c r="R1075" s="352"/>
      <c r="S1075" s="352"/>
      <c r="T1075" s="352"/>
      <c r="U1075" s="352"/>
      <c r="V1075" s="352"/>
      <c r="W1075" s="353"/>
      <c r="X1075" s="26">
        <v>24</v>
      </c>
    </row>
    <row r="1076" spans="1:24" ht="18.75" customHeight="1">
      <c r="A1076" s="27" t="s">
        <v>133</v>
      </c>
      <c r="B1076" s="28"/>
      <c r="C1076" s="28"/>
      <c r="D1076" s="28"/>
      <c r="E1076" s="28"/>
      <c r="F1076" s="28"/>
      <c r="G1076" s="28"/>
      <c r="H1076" s="28"/>
      <c r="I1076" s="28"/>
      <c r="J1076" s="28"/>
      <c r="K1076" s="29"/>
      <c r="M1076" s="27" t="s">
        <v>134</v>
      </c>
      <c r="N1076" s="28"/>
      <c r="O1076" s="28"/>
      <c r="P1076" s="28"/>
      <c r="Q1076" s="28"/>
      <c r="R1076" s="28"/>
      <c r="S1076" s="28"/>
      <c r="T1076" s="28"/>
      <c r="U1076" s="28"/>
      <c r="V1076" s="28"/>
      <c r="W1076" s="29"/>
    </row>
    <row r="1077" spans="1:24" ht="18.75" customHeight="1">
      <c r="A1077" s="354" t="s">
        <v>27</v>
      </c>
      <c r="B1077" s="355"/>
      <c r="C1077" s="355"/>
      <c r="D1077" s="355"/>
      <c r="E1077" s="355"/>
      <c r="F1077" s="355"/>
      <c r="G1077" s="355"/>
      <c r="H1077" s="355"/>
      <c r="I1077" s="355"/>
      <c r="J1077" s="355"/>
      <c r="K1077" s="356"/>
      <c r="M1077" s="354" t="s">
        <v>27</v>
      </c>
      <c r="N1077" s="355"/>
      <c r="O1077" s="355"/>
      <c r="P1077" s="355"/>
      <c r="Q1077" s="355"/>
      <c r="R1077" s="355"/>
      <c r="S1077" s="355"/>
      <c r="T1077" s="355"/>
      <c r="U1077" s="355"/>
      <c r="V1077" s="355"/>
      <c r="W1077" s="356"/>
    </row>
    <row r="1078" spans="1:24" ht="18.75" customHeight="1">
      <c r="A1078" s="347" t="s">
        <v>28</v>
      </c>
      <c r="B1078" s="31"/>
      <c r="C1078" s="31"/>
      <c r="D1078" s="31"/>
      <c r="E1078" s="30" t="s">
        <v>29</v>
      </c>
      <c r="F1078" s="31"/>
      <c r="G1078" s="31"/>
      <c r="H1078" s="31"/>
      <c r="I1078" s="31"/>
      <c r="J1078" s="31"/>
      <c r="K1078" s="350"/>
      <c r="M1078" s="347" t="s">
        <v>28</v>
      </c>
      <c r="N1078" s="31"/>
      <c r="O1078" s="31"/>
      <c r="P1078" s="31"/>
      <c r="Q1078" s="30" t="s">
        <v>29</v>
      </c>
      <c r="R1078" s="31"/>
      <c r="S1078" s="31"/>
      <c r="T1078" s="31"/>
      <c r="U1078" s="31"/>
      <c r="V1078" s="31"/>
      <c r="W1078" s="350"/>
    </row>
    <row r="1079" spans="1:24" ht="18.75" customHeight="1">
      <c r="A1079" s="347" t="s">
        <v>30</v>
      </c>
      <c r="B1079" s="31"/>
      <c r="C1079" s="31"/>
      <c r="D1079" s="31"/>
      <c r="E1079" s="30" t="s">
        <v>29</v>
      </c>
      <c r="F1079" s="348"/>
      <c r="G1079" s="348"/>
      <c r="H1079" s="348"/>
      <c r="I1079" s="348"/>
      <c r="J1079" s="348"/>
      <c r="K1079" s="349"/>
      <c r="M1079" s="347" t="s">
        <v>30</v>
      </c>
      <c r="N1079" s="31"/>
      <c r="O1079" s="31"/>
      <c r="P1079" s="31"/>
      <c r="Q1079" s="30" t="s">
        <v>29</v>
      </c>
      <c r="R1079" s="348"/>
      <c r="S1079" s="348"/>
      <c r="T1079" s="348"/>
      <c r="U1079" s="348"/>
      <c r="V1079" s="348"/>
      <c r="W1079" s="349"/>
    </row>
    <row r="1080" spans="1:24" ht="18.75" customHeight="1">
      <c r="A1080" s="347" t="s">
        <v>31</v>
      </c>
      <c r="B1080" s="31"/>
      <c r="C1080" s="31"/>
      <c r="D1080" s="31"/>
      <c r="E1080" s="30" t="s">
        <v>29</v>
      </c>
      <c r="F1080" s="31" t="s">
        <v>139</v>
      </c>
      <c r="G1080" s="31"/>
      <c r="H1080" s="31"/>
      <c r="I1080" s="31"/>
      <c r="J1080" s="31"/>
      <c r="K1080" s="350"/>
      <c r="M1080" s="347" t="s">
        <v>31</v>
      </c>
      <c r="N1080" s="31"/>
      <c r="O1080" s="31"/>
      <c r="P1080" s="31"/>
      <c r="Q1080" s="30" t="s">
        <v>29</v>
      </c>
      <c r="R1080" s="31" t="s">
        <v>139</v>
      </c>
      <c r="S1080" s="31"/>
      <c r="T1080" s="31"/>
      <c r="U1080" s="31"/>
      <c r="V1080" s="31"/>
      <c r="W1080" s="350"/>
    </row>
    <row r="1081" spans="1:24" ht="18.75" customHeight="1">
      <c r="A1081" s="354" t="s">
        <v>32</v>
      </c>
      <c r="B1081" s="355"/>
      <c r="C1081" s="355"/>
      <c r="D1081" s="355"/>
      <c r="E1081" s="355"/>
      <c r="F1081" s="355"/>
      <c r="G1081" s="355"/>
      <c r="H1081" s="355"/>
      <c r="I1081" s="355"/>
      <c r="J1081" s="355"/>
      <c r="K1081" s="356"/>
      <c r="M1081" s="354" t="s">
        <v>32</v>
      </c>
      <c r="N1081" s="355"/>
      <c r="O1081" s="355"/>
      <c r="P1081" s="355"/>
      <c r="Q1081" s="355"/>
      <c r="R1081" s="355"/>
      <c r="S1081" s="355"/>
      <c r="T1081" s="355"/>
      <c r="U1081" s="355"/>
      <c r="V1081" s="355"/>
      <c r="W1081" s="356"/>
    </row>
    <row r="1082" spans="1:24" ht="18.75" customHeight="1">
      <c r="A1082" s="347" t="s">
        <v>33</v>
      </c>
      <c r="B1082" s="31"/>
      <c r="C1082" s="31"/>
      <c r="D1082" s="31"/>
      <c r="E1082" s="30" t="s">
        <v>29</v>
      </c>
      <c r="F1082" s="361">
        <v>2915400</v>
      </c>
      <c r="G1082" s="361"/>
      <c r="H1082" s="361"/>
      <c r="I1082" s="361"/>
      <c r="J1082" s="30" t="s">
        <v>34</v>
      </c>
      <c r="K1082" s="32"/>
      <c r="M1082" s="347" t="s">
        <v>33</v>
      </c>
      <c r="N1082" s="31"/>
      <c r="O1082" s="31"/>
      <c r="P1082" s="31"/>
      <c r="Q1082" s="30" t="s">
        <v>29</v>
      </c>
      <c r="R1082" s="361">
        <v>2915400</v>
      </c>
      <c r="S1082" s="361"/>
      <c r="T1082" s="361"/>
      <c r="U1082" s="361"/>
      <c r="V1082" s="30" t="s">
        <v>34</v>
      </c>
      <c r="W1082" s="32"/>
    </row>
    <row r="1083" spans="1:24" ht="18.75" customHeight="1">
      <c r="A1083" s="33" t="s">
        <v>35</v>
      </c>
      <c r="B1083" s="30"/>
      <c r="C1083" s="34"/>
      <c r="D1083" s="35"/>
      <c r="E1083" s="36"/>
      <c r="F1083" s="36"/>
      <c r="G1083" s="36"/>
      <c r="H1083" s="30"/>
      <c r="I1083" s="37"/>
      <c r="J1083" s="38"/>
      <c r="K1083" s="39"/>
      <c r="M1083" s="33" t="s">
        <v>35</v>
      </c>
      <c r="N1083" s="30"/>
      <c r="O1083" s="34"/>
      <c r="P1083" s="35"/>
      <c r="Q1083" s="36"/>
      <c r="R1083" s="36"/>
      <c r="S1083" s="36"/>
      <c r="T1083" s="30"/>
      <c r="U1083" s="37"/>
      <c r="V1083" s="38"/>
      <c r="W1083" s="39"/>
    </row>
    <row r="1084" spans="1:24" ht="18.75" customHeight="1">
      <c r="A1084" s="33" t="s">
        <v>36</v>
      </c>
      <c r="B1084" s="30"/>
      <c r="C1084" s="34"/>
      <c r="D1084" s="35"/>
      <c r="E1084" s="36"/>
      <c r="F1084" s="36"/>
      <c r="G1084" s="36"/>
      <c r="H1084" s="30"/>
      <c r="I1084" s="37" t="e">
        <f>I1085/C1085/8</f>
        <v>#DIV/0!</v>
      </c>
      <c r="J1084" s="38"/>
      <c r="K1084" s="39"/>
      <c r="M1084" s="33" t="s">
        <v>36</v>
      </c>
      <c r="N1084" s="30"/>
      <c r="O1084" s="34"/>
      <c r="P1084" s="35"/>
      <c r="Q1084" s="36"/>
      <c r="R1084" s="36"/>
      <c r="S1084" s="36"/>
      <c r="T1084" s="30"/>
      <c r="U1084" s="37" t="e">
        <f>U1085/O1085/8</f>
        <v>#DIV/0!</v>
      </c>
      <c r="V1084" s="38"/>
      <c r="W1084" s="39"/>
    </row>
    <row r="1085" spans="1:24" ht="18.75" customHeight="1">
      <c r="A1085" s="33" t="s">
        <v>37</v>
      </c>
      <c r="B1085" s="30" t="s">
        <v>29</v>
      </c>
      <c r="C1085" s="34"/>
      <c r="D1085" s="35" t="s">
        <v>38</v>
      </c>
      <c r="E1085" s="359" t="s">
        <v>39</v>
      </c>
      <c r="F1085" s="359"/>
      <c r="G1085" s="359"/>
      <c r="H1085" s="30" t="s">
        <v>29</v>
      </c>
      <c r="I1085" s="360" t="e">
        <f>I1083*680/((C1085-C1092)*8+C1092*7+C1089)*((C1085-C1092)*8+C1092*7)</f>
        <v>#DIV/0!</v>
      </c>
      <c r="J1085" s="360"/>
      <c r="K1085" s="39" t="s">
        <v>34</v>
      </c>
      <c r="L1085" s="40">
        <f>F1082/L1075*C1085</f>
        <v>0</v>
      </c>
      <c r="M1085" s="33" t="s">
        <v>37</v>
      </c>
      <c r="N1085" s="30" t="s">
        <v>29</v>
      </c>
      <c r="O1085" s="34"/>
      <c r="P1085" s="35" t="s">
        <v>38</v>
      </c>
      <c r="Q1085" s="359" t="s">
        <v>39</v>
      </c>
      <c r="R1085" s="359"/>
      <c r="S1085" s="359"/>
      <c r="T1085" s="30" t="s">
        <v>29</v>
      </c>
      <c r="U1085" s="360" t="e">
        <f>U1083*680/((O1085-O1092)*8+O1092*7+O1089)*((O1085-O1092)*8+O1092*7)</f>
        <v>#DIV/0!</v>
      </c>
      <c r="V1085" s="360"/>
      <c r="W1085" s="39" t="s">
        <v>34</v>
      </c>
      <c r="X1085" s="40">
        <f>R1082/X1075*O1085</f>
        <v>0</v>
      </c>
    </row>
    <row r="1086" spans="1:24" ht="18.75" customHeight="1">
      <c r="A1086" s="33" t="s">
        <v>40</v>
      </c>
      <c r="B1086" s="30" t="s">
        <v>29</v>
      </c>
      <c r="C1086" s="34"/>
      <c r="D1086" s="35" t="s">
        <v>38</v>
      </c>
      <c r="E1086" s="31" t="s">
        <v>41</v>
      </c>
      <c r="F1086" s="31"/>
      <c r="G1086" s="31"/>
      <c r="H1086" s="30" t="s">
        <v>29</v>
      </c>
      <c r="I1086" s="358">
        <f>$F$8/$L$1*C1086</f>
        <v>0</v>
      </c>
      <c r="J1086" s="358"/>
      <c r="K1086" s="39" t="s">
        <v>34</v>
      </c>
      <c r="L1086" s="40"/>
      <c r="M1086" s="33" t="s">
        <v>40</v>
      </c>
      <c r="N1086" s="30" t="s">
        <v>29</v>
      </c>
      <c r="O1086" s="34"/>
      <c r="P1086" s="35" t="s">
        <v>38</v>
      </c>
      <c r="Q1086" s="31" t="s">
        <v>41</v>
      </c>
      <c r="R1086" s="31"/>
      <c r="S1086" s="31"/>
      <c r="T1086" s="30" t="s">
        <v>29</v>
      </c>
      <c r="U1086" s="358">
        <f>$F$8/$L$1*O1086</f>
        <v>0</v>
      </c>
      <c r="V1086" s="358"/>
      <c r="W1086" s="39" t="s">
        <v>34</v>
      </c>
      <c r="X1086" s="40"/>
    </row>
    <row r="1087" spans="1:24" ht="18.75" customHeight="1">
      <c r="A1087" s="33" t="s">
        <v>42</v>
      </c>
      <c r="B1087" s="30" t="s">
        <v>29</v>
      </c>
      <c r="C1087" s="34"/>
      <c r="D1087" s="35" t="s">
        <v>38</v>
      </c>
      <c r="E1087" s="357" t="s">
        <v>43</v>
      </c>
      <c r="F1087" s="357"/>
      <c r="G1087" s="357"/>
      <c r="H1087" s="30" t="s">
        <v>29</v>
      </c>
      <c r="I1087" s="358">
        <f>$F$8/$L$1*C1087</f>
        <v>0</v>
      </c>
      <c r="J1087" s="358"/>
      <c r="K1087" s="39" t="s">
        <v>34</v>
      </c>
      <c r="L1087" s="40"/>
      <c r="M1087" s="33" t="s">
        <v>42</v>
      </c>
      <c r="N1087" s="30" t="s">
        <v>29</v>
      </c>
      <c r="O1087" s="34"/>
      <c r="P1087" s="35" t="s">
        <v>38</v>
      </c>
      <c r="Q1087" s="357" t="s">
        <v>43</v>
      </c>
      <c r="R1087" s="357"/>
      <c r="S1087" s="357"/>
      <c r="T1087" s="30" t="s">
        <v>29</v>
      </c>
      <c r="U1087" s="358">
        <f>$F$8/$L$1*O1087</f>
        <v>0</v>
      </c>
      <c r="V1087" s="358"/>
      <c r="W1087" s="39" t="s">
        <v>34</v>
      </c>
      <c r="X1087" s="40"/>
    </row>
    <row r="1088" spans="1:24" ht="18.75" customHeight="1">
      <c r="A1088" s="33" t="s">
        <v>44</v>
      </c>
      <c r="B1088" s="30" t="s">
        <v>29</v>
      </c>
      <c r="C1088" s="34"/>
      <c r="D1088" s="35" t="s">
        <v>38</v>
      </c>
      <c r="E1088" s="357" t="s">
        <v>45</v>
      </c>
      <c r="F1088" s="357"/>
      <c r="G1088" s="357"/>
      <c r="H1088" s="30" t="s">
        <v>29</v>
      </c>
      <c r="I1088" s="358">
        <f>$F$8/$L$1*C1088</f>
        <v>0</v>
      </c>
      <c r="J1088" s="358"/>
      <c r="K1088" s="39" t="s">
        <v>34</v>
      </c>
      <c r="L1088" s="40"/>
      <c r="M1088" s="33" t="s">
        <v>44</v>
      </c>
      <c r="N1088" s="30" t="s">
        <v>29</v>
      </c>
      <c r="O1088" s="34"/>
      <c r="P1088" s="35" t="s">
        <v>38</v>
      </c>
      <c r="Q1088" s="357" t="s">
        <v>45</v>
      </c>
      <c r="R1088" s="357"/>
      <c r="S1088" s="357"/>
      <c r="T1088" s="30" t="s">
        <v>29</v>
      </c>
      <c r="U1088" s="358">
        <f>$F$8/$L$1*O1088</f>
        <v>0</v>
      </c>
      <c r="V1088" s="358"/>
      <c r="W1088" s="39" t="s">
        <v>34</v>
      </c>
      <c r="X1088" s="40"/>
    </row>
    <row r="1089" spans="1:24" ht="18.75" customHeight="1">
      <c r="A1089" s="33" t="s">
        <v>46</v>
      </c>
      <c r="B1089" s="30" t="s">
        <v>29</v>
      </c>
      <c r="C1089" s="34"/>
      <c r="D1089" s="35" t="s">
        <v>47</v>
      </c>
      <c r="E1089" s="31" t="s">
        <v>48</v>
      </c>
      <c r="F1089" s="31"/>
      <c r="G1089" s="31"/>
      <c r="H1089" s="30" t="s">
        <v>29</v>
      </c>
      <c r="I1089" s="358" t="e">
        <f>I1085/C1085/8*C1089</f>
        <v>#DIV/0!</v>
      </c>
      <c r="J1089" s="358"/>
      <c r="K1089" s="39" t="s">
        <v>34</v>
      </c>
      <c r="L1089" s="40">
        <f>F1082*C1089/L1075/8*1.5</f>
        <v>0</v>
      </c>
      <c r="M1089" s="33" t="s">
        <v>46</v>
      </c>
      <c r="N1089" s="30" t="s">
        <v>29</v>
      </c>
      <c r="O1089" s="34"/>
      <c r="P1089" s="35" t="s">
        <v>47</v>
      </c>
      <c r="Q1089" s="31" t="s">
        <v>48</v>
      </c>
      <c r="R1089" s="31"/>
      <c r="S1089" s="31"/>
      <c r="T1089" s="30" t="s">
        <v>29</v>
      </c>
      <c r="U1089" s="358" t="e">
        <f>U1085/O1085/8*O1089</f>
        <v>#DIV/0!</v>
      </c>
      <c r="V1089" s="358"/>
      <c r="W1089" s="39" t="s">
        <v>34</v>
      </c>
      <c r="X1089" s="40">
        <f>R1082*O1089/X1075/8*1.5</f>
        <v>0</v>
      </c>
    </row>
    <row r="1090" spans="1:24" ht="18.75" customHeight="1">
      <c r="A1090" s="347" t="s">
        <v>49</v>
      </c>
      <c r="B1090" s="31"/>
      <c r="C1090" s="34"/>
      <c r="D1090" s="35" t="s">
        <v>38</v>
      </c>
      <c r="E1090" s="31" t="s">
        <v>50</v>
      </c>
      <c r="F1090" s="31"/>
      <c r="G1090" s="31"/>
      <c r="H1090" s="41" t="s">
        <v>29</v>
      </c>
      <c r="I1090" s="358"/>
      <c r="J1090" s="358"/>
      <c r="K1090" s="39" t="s">
        <v>34</v>
      </c>
      <c r="L1090" s="40"/>
      <c r="M1090" s="347" t="s">
        <v>49</v>
      </c>
      <c r="N1090" s="31"/>
      <c r="O1090" s="34"/>
      <c r="P1090" s="35" t="s">
        <v>38</v>
      </c>
      <c r="Q1090" s="31" t="s">
        <v>50</v>
      </c>
      <c r="R1090" s="31"/>
      <c r="S1090" s="31"/>
      <c r="T1090" s="41" t="s">
        <v>29</v>
      </c>
      <c r="U1090" s="358"/>
      <c r="V1090" s="358"/>
      <c r="W1090" s="39" t="s">
        <v>34</v>
      </c>
      <c r="X1090" s="40"/>
    </row>
    <row r="1091" spans="1:24" ht="18.75" customHeight="1">
      <c r="A1091" s="33" t="s">
        <v>51</v>
      </c>
      <c r="B1091" s="30" t="s">
        <v>29</v>
      </c>
      <c r="C1091" s="34"/>
      <c r="D1091" s="35" t="s">
        <v>38</v>
      </c>
      <c r="E1091" s="31" t="s">
        <v>52</v>
      </c>
      <c r="F1091" s="31"/>
      <c r="G1091" s="31"/>
      <c r="H1091" s="30" t="s">
        <v>29</v>
      </c>
      <c r="I1091" s="358"/>
      <c r="J1091" s="358"/>
      <c r="K1091" s="39" t="s">
        <v>34</v>
      </c>
      <c r="L1091" s="40"/>
      <c r="M1091" s="33" t="s">
        <v>51</v>
      </c>
      <c r="N1091" s="30" t="s">
        <v>29</v>
      </c>
      <c r="O1091" s="34"/>
      <c r="P1091" s="35" t="s">
        <v>38</v>
      </c>
      <c r="Q1091" s="31" t="s">
        <v>52</v>
      </c>
      <c r="R1091" s="31"/>
      <c r="S1091" s="31"/>
      <c r="T1091" s="30" t="s">
        <v>29</v>
      </c>
      <c r="U1091" s="358"/>
      <c r="V1091" s="358"/>
      <c r="W1091" s="39" t="s">
        <v>34</v>
      </c>
      <c r="X1091" s="40"/>
    </row>
    <row r="1092" spans="1:24" ht="18.75" customHeight="1">
      <c r="A1092" s="42" t="s">
        <v>53</v>
      </c>
      <c r="B1092" s="30"/>
      <c r="C1092" s="34"/>
      <c r="D1092" s="35" t="s">
        <v>47</v>
      </c>
      <c r="E1092" s="31" t="s">
        <v>54</v>
      </c>
      <c r="F1092" s="31"/>
      <c r="G1092" s="31"/>
      <c r="H1092" s="30" t="s">
        <v>29</v>
      </c>
      <c r="I1092" s="358">
        <f>$F$8*C1092/8/$L$1</f>
        <v>0</v>
      </c>
      <c r="J1092" s="358"/>
      <c r="K1092" s="39" t="s">
        <v>34</v>
      </c>
      <c r="L1092" s="40"/>
      <c r="M1092" s="42" t="s">
        <v>53</v>
      </c>
      <c r="N1092" s="30"/>
      <c r="O1092" s="34"/>
      <c r="P1092" s="35" t="s">
        <v>47</v>
      </c>
      <c r="Q1092" s="31" t="s">
        <v>54</v>
      </c>
      <c r="R1092" s="31"/>
      <c r="S1092" s="31"/>
      <c r="T1092" s="30" t="s">
        <v>29</v>
      </c>
      <c r="U1092" s="358">
        <f>$F$8*O1092/8/$L$1</f>
        <v>0</v>
      </c>
      <c r="V1092" s="358"/>
      <c r="W1092" s="39" t="s">
        <v>34</v>
      </c>
      <c r="X1092" s="40"/>
    </row>
    <row r="1093" spans="1:24" ht="18.75" customHeight="1">
      <c r="A1093" s="33" t="s">
        <v>55</v>
      </c>
      <c r="B1093" s="30" t="s">
        <v>29</v>
      </c>
      <c r="C1093" s="34"/>
      <c r="D1093" s="35" t="s">
        <v>47</v>
      </c>
      <c r="E1093" s="31" t="s">
        <v>56</v>
      </c>
      <c r="F1093" s="31"/>
      <c r="G1093" s="31"/>
      <c r="H1093" s="30" t="s">
        <v>29</v>
      </c>
      <c r="I1093" s="360"/>
      <c r="J1093" s="360"/>
      <c r="K1093" s="39" t="s">
        <v>34</v>
      </c>
      <c r="L1093" s="40"/>
      <c r="M1093" s="33" t="s">
        <v>55</v>
      </c>
      <c r="N1093" s="30" t="s">
        <v>29</v>
      </c>
      <c r="O1093" s="34"/>
      <c r="P1093" s="35" t="s">
        <v>47</v>
      </c>
      <c r="Q1093" s="31" t="s">
        <v>56</v>
      </c>
      <c r="R1093" s="31"/>
      <c r="S1093" s="31"/>
      <c r="T1093" s="30" t="s">
        <v>29</v>
      </c>
      <c r="U1093" s="360"/>
      <c r="V1093" s="360"/>
      <c r="W1093" s="39" t="s">
        <v>34</v>
      </c>
      <c r="X1093" s="40"/>
    </row>
    <row r="1094" spans="1:24" ht="18.75" customHeight="1">
      <c r="A1094" s="33" t="s">
        <v>57</v>
      </c>
      <c r="B1094" s="30" t="s">
        <v>29</v>
      </c>
      <c r="C1094" s="34"/>
      <c r="D1094" s="35" t="s">
        <v>58</v>
      </c>
      <c r="E1094" s="31" t="s">
        <v>59</v>
      </c>
      <c r="F1094" s="31"/>
      <c r="G1094" s="31"/>
      <c r="H1094" s="30" t="s">
        <v>29</v>
      </c>
      <c r="I1094" s="358"/>
      <c r="J1094" s="358"/>
      <c r="K1094" s="39" t="s">
        <v>34</v>
      </c>
      <c r="L1094" s="40" t="e">
        <f>+IF(L1085-I1085&lt;0,0,L1085-I1085)+IF(L1089-I1089&lt;0,0,L1089-I1089)</f>
        <v>#DIV/0!</v>
      </c>
      <c r="M1094" s="33" t="s">
        <v>57</v>
      </c>
      <c r="N1094" s="30" t="s">
        <v>29</v>
      </c>
      <c r="O1094" s="34"/>
      <c r="P1094" s="35" t="s">
        <v>58</v>
      </c>
      <c r="Q1094" s="31" t="s">
        <v>59</v>
      </c>
      <c r="R1094" s="31"/>
      <c r="S1094" s="31"/>
      <c r="T1094" s="30" t="s">
        <v>29</v>
      </c>
      <c r="U1094" s="358"/>
      <c r="V1094" s="358"/>
      <c r="W1094" s="39" t="s">
        <v>34</v>
      </c>
      <c r="X1094" s="40" t="e">
        <f>+IF(X1085-U1085&lt;0,0,X1085-U1085)+IF(X1089-U1089&lt;0,0,X1089-U1089)</f>
        <v>#DIV/0!</v>
      </c>
    </row>
    <row r="1095" spans="1:24" ht="18.75" customHeight="1">
      <c r="A1095" s="43" t="s">
        <v>60</v>
      </c>
      <c r="B1095" s="44"/>
      <c r="C1095" s="34"/>
      <c r="D1095" s="35" t="s">
        <v>38</v>
      </c>
      <c r="E1095" s="31" t="s">
        <v>61</v>
      </c>
      <c r="F1095" s="31"/>
      <c r="G1095" s="31"/>
      <c r="H1095" s="30" t="s">
        <v>29</v>
      </c>
      <c r="I1095" s="358"/>
      <c r="J1095" s="358"/>
      <c r="K1095" s="39" t="s">
        <v>34</v>
      </c>
      <c r="L1095" s="40"/>
      <c r="M1095" s="43" t="s">
        <v>60</v>
      </c>
      <c r="N1095" s="44"/>
      <c r="O1095" s="34"/>
      <c r="P1095" s="35" t="s">
        <v>38</v>
      </c>
      <c r="Q1095" s="31" t="s">
        <v>61</v>
      </c>
      <c r="R1095" s="31"/>
      <c r="S1095" s="31"/>
      <c r="T1095" s="30" t="s">
        <v>29</v>
      </c>
      <c r="U1095" s="358"/>
      <c r="V1095" s="358"/>
      <c r="W1095" s="39" t="s">
        <v>34</v>
      </c>
      <c r="X1095" s="40"/>
    </row>
    <row r="1096" spans="1:24" ht="18.75" customHeight="1">
      <c r="A1096" s="383" t="s">
        <v>62</v>
      </c>
      <c r="B1096" s="359"/>
      <c r="C1096" s="34"/>
      <c r="D1096" s="35"/>
      <c r="E1096" s="36"/>
      <c r="F1096" s="36"/>
      <c r="G1096" s="36"/>
      <c r="H1096" s="30" t="s">
        <v>29</v>
      </c>
      <c r="I1096" s="358"/>
      <c r="J1096" s="358"/>
      <c r="K1096" s="39" t="s">
        <v>34</v>
      </c>
      <c r="L1096" s="40"/>
      <c r="M1096" s="383" t="s">
        <v>62</v>
      </c>
      <c r="N1096" s="359"/>
      <c r="O1096" s="34"/>
      <c r="P1096" s="35"/>
      <c r="Q1096" s="36"/>
      <c r="R1096" s="36"/>
      <c r="S1096" s="36"/>
      <c r="T1096" s="30" t="s">
        <v>29</v>
      </c>
      <c r="U1096" s="358"/>
      <c r="V1096" s="358"/>
      <c r="W1096" s="39" t="s">
        <v>34</v>
      </c>
      <c r="X1096" s="40"/>
    </row>
    <row r="1097" spans="1:24" ht="18.75" customHeight="1">
      <c r="A1097" s="33" t="s">
        <v>63</v>
      </c>
      <c r="B1097" s="30" t="s">
        <v>29</v>
      </c>
      <c r="C1097" s="34"/>
      <c r="D1097" s="35"/>
      <c r="E1097" s="36" t="s">
        <v>64</v>
      </c>
      <c r="F1097" s="36"/>
      <c r="G1097" s="36"/>
      <c r="H1097" s="30" t="s">
        <v>29</v>
      </c>
      <c r="I1097" s="358" t="e">
        <f>L1094</f>
        <v>#DIV/0!</v>
      </c>
      <c r="J1097" s="358"/>
      <c r="K1097" s="39" t="s">
        <v>34</v>
      </c>
      <c r="L1097" s="40"/>
      <c r="M1097" s="33" t="s">
        <v>63</v>
      </c>
      <c r="N1097" s="30" t="s">
        <v>29</v>
      </c>
      <c r="O1097" s="34"/>
      <c r="P1097" s="35"/>
      <c r="Q1097" s="36" t="s">
        <v>64</v>
      </c>
      <c r="R1097" s="36"/>
      <c r="S1097" s="36"/>
      <c r="T1097" s="30" t="s">
        <v>29</v>
      </c>
      <c r="U1097" s="358" t="e">
        <f>X1094</f>
        <v>#DIV/0!</v>
      </c>
      <c r="V1097" s="358"/>
      <c r="W1097" s="39" t="s">
        <v>34</v>
      </c>
      <c r="X1097" s="40"/>
    </row>
    <row r="1098" spans="1:24" ht="18.75" customHeight="1">
      <c r="A1098" s="362" t="s">
        <v>65</v>
      </c>
      <c r="B1098" s="363"/>
      <c r="C1098" s="363"/>
      <c r="D1098" s="363"/>
      <c r="E1098" s="363"/>
      <c r="F1098" s="363"/>
      <c r="G1098" s="30" t="s">
        <v>29</v>
      </c>
      <c r="H1098" s="365" t="e">
        <f>I1085+I1086+I1087+I1088+I1089+I1092+I1096+I1097</f>
        <v>#DIV/0!</v>
      </c>
      <c r="I1098" s="365"/>
      <c r="J1098" s="365"/>
      <c r="K1098" s="39" t="s">
        <v>34</v>
      </c>
      <c r="M1098" s="362" t="s">
        <v>65</v>
      </c>
      <c r="N1098" s="363"/>
      <c r="O1098" s="363"/>
      <c r="P1098" s="363"/>
      <c r="Q1098" s="363"/>
      <c r="R1098" s="363"/>
      <c r="S1098" s="30" t="s">
        <v>29</v>
      </c>
      <c r="T1098" s="365" t="e">
        <f>U1085+U1086+U1087+U1088+U1089+U1092+U1096+U1097</f>
        <v>#DIV/0!</v>
      </c>
      <c r="U1098" s="365"/>
      <c r="V1098" s="365"/>
      <c r="W1098" s="39" t="s">
        <v>34</v>
      </c>
    </row>
    <row r="1099" spans="1:24" ht="18.75" customHeight="1">
      <c r="A1099" s="45"/>
      <c r="B1099" s="46"/>
      <c r="C1099" s="46"/>
      <c r="D1099" s="46"/>
      <c r="E1099" s="46"/>
      <c r="F1099" s="46"/>
      <c r="G1099" s="46"/>
      <c r="H1099" s="46"/>
      <c r="I1099" s="46"/>
      <c r="J1099" s="46"/>
      <c r="K1099" s="47"/>
      <c r="M1099" s="45"/>
      <c r="N1099" s="46"/>
      <c r="O1099" s="46"/>
      <c r="P1099" s="46"/>
      <c r="Q1099" s="46"/>
      <c r="R1099" s="46"/>
      <c r="S1099" s="46"/>
      <c r="T1099" s="46"/>
      <c r="U1099" s="46"/>
      <c r="V1099" s="46"/>
      <c r="W1099" s="47"/>
    </row>
    <row r="1100" spans="1:24" ht="18.75" customHeight="1">
      <c r="A1100" s="374" t="s">
        <v>66</v>
      </c>
      <c r="B1100" s="375"/>
      <c r="C1100" s="375"/>
      <c r="D1100" s="375"/>
      <c r="E1100" s="375"/>
      <c r="F1100" s="375"/>
      <c r="G1100" s="30"/>
      <c r="H1100" s="30"/>
      <c r="I1100" s="30"/>
      <c r="J1100" s="30"/>
      <c r="K1100" s="39"/>
      <c r="M1100" s="374" t="s">
        <v>66</v>
      </c>
      <c r="N1100" s="375"/>
      <c r="O1100" s="375"/>
      <c r="P1100" s="375"/>
      <c r="Q1100" s="375"/>
      <c r="R1100" s="375"/>
      <c r="S1100" s="30"/>
      <c r="T1100" s="30"/>
      <c r="U1100" s="30"/>
      <c r="V1100" s="30"/>
      <c r="W1100" s="39"/>
    </row>
    <row r="1101" spans="1:24" ht="18.75" customHeight="1">
      <c r="A1101" s="368" t="s">
        <v>67</v>
      </c>
      <c r="B1101" s="369"/>
      <c r="C1101" s="369"/>
      <c r="D1101" s="369"/>
      <c r="E1101" s="369"/>
      <c r="F1101" s="369"/>
      <c r="G1101" s="30" t="s">
        <v>29</v>
      </c>
      <c r="H1101" s="376">
        <f>IF(($L$1-(C1085+C1086+C1087+C1088))&gt;12,0,F1082*8%)</f>
        <v>0</v>
      </c>
      <c r="I1101" s="376"/>
      <c r="J1101" s="376"/>
      <c r="K1101" s="39" t="s">
        <v>34</v>
      </c>
      <c r="M1101" s="368" t="s">
        <v>67</v>
      </c>
      <c r="N1101" s="369"/>
      <c r="O1101" s="369"/>
      <c r="P1101" s="369"/>
      <c r="Q1101" s="369"/>
      <c r="R1101" s="369"/>
      <c r="S1101" s="30" t="s">
        <v>29</v>
      </c>
      <c r="T1101" s="376">
        <f>IF(($L$1-(O1085+O1086+O1087+O1088))&gt;12,0,R1082*8%)</f>
        <v>0</v>
      </c>
      <c r="U1101" s="376"/>
      <c r="V1101" s="376"/>
      <c r="W1101" s="39" t="s">
        <v>34</v>
      </c>
    </row>
    <row r="1102" spans="1:24" ht="18.75" customHeight="1">
      <c r="A1102" s="368" t="s">
        <v>68</v>
      </c>
      <c r="B1102" s="369"/>
      <c r="C1102" s="369"/>
      <c r="D1102" s="369"/>
      <c r="E1102" s="369"/>
      <c r="F1102" s="369"/>
      <c r="G1102" s="30" t="s">
        <v>29</v>
      </c>
      <c r="H1102" s="370">
        <f>IF(($L$1-(C1085+C1086+C1087+C1088))&gt;12,0,F1082*1.5%)</f>
        <v>0</v>
      </c>
      <c r="I1102" s="370"/>
      <c r="J1102" s="370"/>
      <c r="K1102" s="39" t="s">
        <v>34</v>
      </c>
      <c r="M1102" s="368" t="s">
        <v>68</v>
      </c>
      <c r="N1102" s="369"/>
      <c r="O1102" s="369"/>
      <c r="P1102" s="369"/>
      <c r="Q1102" s="369"/>
      <c r="R1102" s="369"/>
      <c r="S1102" s="30" t="s">
        <v>29</v>
      </c>
      <c r="T1102" s="370">
        <f>IF(($L$1-(O1085+O1086+O1087+O1088))&gt;12,0,R1082*1.5%)</f>
        <v>0</v>
      </c>
      <c r="U1102" s="370"/>
      <c r="V1102" s="370"/>
      <c r="W1102" s="39" t="s">
        <v>34</v>
      </c>
    </row>
    <row r="1103" spans="1:24" ht="18.75" customHeight="1">
      <c r="A1103" s="368" t="s">
        <v>69</v>
      </c>
      <c r="B1103" s="369"/>
      <c r="C1103" s="369"/>
      <c r="D1103" s="369"/>
      <c r="E1103" s="369"/>
      <c r="F1103" s="369"/>
      <c r="G1103" s="30" t="s">
        <v>29</v>
      </c>
      <c r="H1103" s="370">
        <f>IF(($L$1-(C1085+C1086+C1087+C1088))&gt;12,0,F1082*1%)</f>
        <v>0</v>
      </c>
      <c r="I1103" s="370"/>
      <c r="J1103" s="370"/>
      <c r="K1103" s="39" t="s">
        <v>34</v>
      </c>
      <c r="M1103" s="368" t="s">
        <v>69</v>
      </c>
      <c r="N1103" s="369"/>
      <c r="O1103" s="369"/>
      <c r="P1103" s="369"/>
      <c r="Q1103" s="369"/>
      <c r="R1103" s="369"/>
      <c r="S1103" s="30" t="s">
        <v>29</v>
      </c>
      <c r="T1103" s="370">
        <f>IF(($L$1-(O1085+O1086+O1087+O1088))&gt;12,0,R1082*1%)</f>
        <v>0</v>
      </c>
      <c r="U1103" s="370"/>
      <c r="V1103" s="370"/>
      <c r="W1103" s="39" t="s">
        <v>34</v>
      </c>
    </row>
    <row r="1104" spans="1:24" ht="18.75" customHeight="1">
      <c r="A1104" s="368" t="s">
        <v>70</v>
      </c>
      <c r="B1104" s="369"/>
      <c r="C1104" s="369"/>
      <c r="D1104" s="369"/>
      <c r="E1104" s="369"/>
      <c r="F1104" s="369"/>
      <c r="G1104" s="30" t="s">
        <v>29</v>
      </c>
      <c r="H1104" s="370">
        <v>0</v>
      </c>
      <c r="I1104" s="370"/>
      <c r="J1104" s="370"/>
      <c r="K1104" s="39" t="s">
        <v>34</v>
      </c>
      <c r="M1104" s="368" t="s">
        <v>70</v>
      </c>
      <c r="N1104" s="369"/>
      <c r="O1104" s="369"/>
      <c r="P1104" s="369"/>
      <c r="Q1104" s="369"/>
      <c r="R1104" s="369"/>
      <c r="S1104" s="30" t="s">
        <v>29</v>
      </c>
      <c r="T1104" s="370">
        <v>0</v>
      </c>
      <c r="U1104" s="370"/>
      <c r="V1104" s="370"/>
      <c r="W1104" s="39" t="s">
        <v>34</v>
      </c>
    </row>
    <row r="1105" spans="1:24" ht="18.75" customHeight="1">
      <c r="A1105" s="371" t="s">
        <v>71</v>
      </c>
      <c r="B1105" s="372"/>
      <c r="C1105" s="372"/>
      <c r="D1105" s="372"/>
      <c r="E1105" s="372"/>
      <c r="F1105" s="372"/>
      <c r="G1105" s="30" t="s">
        <v>29</v>
      </c>
      <c r="H1105" s="373">
        <f>SUM(H1101:J1104)</f>
        <v>0</v>
      </c>
      <c r="I1105" s="373"/>
      <c r="J1105" s="373"/>
      <c r="K1105" s="39" t="s">
        <v>34</v>
      </c>
      <c r="M1105" s="371" t="s">
        <v>71</v>
      </c>
      <c r="N1105" s="372"/>
      <c r="O1105" s="372"/>
      <c r="P1105" s="372"/>
      <c r="Q1105" s="372"/>
      <c r="R1105" s="372"/>
      <c r="S1105" s="30" t="s">
        <v>29</v>
      </c>
      <c r="T1105" s="373">
        <f>SUM(T1101:V1104)</f>
        <v>0</v>
      </c>
      <c r="U1105" s="373"/>
      <c r="V1105" s="373"/>
      <c r="W1105" s="39" t="s">
        <v>34</v>
      </c>
    </row>
    <row r="1106" spans="1:24" ht="18.75" customHeight="1">
      <c r="A1106" s="368" t="s">
        <v>72</v>
      </c>
      <c r="B1106" s="369"/>
      <c r="C1106" s="369"/>
      <c r="D1106" s="369"/>
      <c r="E1106" s="369"/>
      <c r="F1106" s="369"/>
      <c r="G1106" s="30" t="s">
        <v>29</v>
      </c>
      <c r="H1106" s="381" t="e">
        <f>ROUND(H1098-H1105,-2)</f>
        <v>#DIV/0!</v>
      </c>
      <c r="I1106" s="381"/>
      <c r="J1106" s="381"/>
      <c r="K1106" s="39" t="s">
        <v>34</v>
      </c>
      <c r="M1106" s="368" t="s">
        <v>72</v>
      </c>
      <c r="N1106" s="369"/>
      <c r="O1106" s="369"/>
      <c r="P1106" s="369"/>
      <c r="Q1106" s="369"/>
      <c r="R1106" s="369"/>
      <c r="S1106" s="30" t="s">
        <v>29</v>
      </c>
      <c r="T1106" s="381" t="e">
        <f>ROUND(T1098-T1105,-2)</f>
        <v>#DIV/0!</v>
      </c>
      <c r="U1106" s="381"/>
      <c r="V1106" s="381"/>
      <c r="W1106" s="39" t="s">
        <v>34</v>
      </c>
    </row>
    <row r="1107" spans="1:24" ht="18.75" customHeight="1">
      <c r="A1107" s="48"/>
      <c r="B1107" s="49"/>
      <c r="C1107" s="49"/>
      <c r="D1107" s="49"/>
      <c r="E1107" s="49"/>
      <c r="F1107" s="49"/>
      <c r="G1107" s="49"/>
      <c r="H1107" s="49"/>
      <c r="I1107" s="49"/>
      <c r="J1107" s="49"/>
      <c r="K1107" s="50"/>
      <c r="M1107" s="48"/>
      <c r="N1107" s="49"/>
      <c r="O1107" s="49"/>
      <c r="P1107" s="49"/>
      <c r="Q1107" s="49"/>
      <c r="R1107" s="49"/>
      <c r="S1107" s="49"/>
      <c r="T1107" s="49"/>
      <c r="U1107" s="49"/>
      <c r="V1107" s="49"/>
      <c r="W1107" s="50"/>
    </row>
    <row r="1108" spans="1:24" ht="18.75" customHeight="1">
      <c r="A1108" s="51"/>
      <c r="B1108" s="30"/>
      <c r="C1108" s="30"/>
      <c r="D1108" s="30"/>
      <c r="E1108" s="30"/>
      <c r="F1108" s="30"/>
      <c r="G1108" s="30"/>
      <c r="H1108" s="30"/>
      <c r="I1108" s="378" t="s">
        <v>73</v>
      </c>
      <c r="J1108" s="378"/>
      <c r="K1108" s="382"/>
      <c r="M1108" s="51"/>
      <c r="N1108" s="30"/>
      <c r="O1108" s="30"/>
      <c r="P1108" s="30"/>
      <c r="Q1108" s="30"/>
      <c r="R1108" s="30"/>
      <c r="S1108" s="30"/>
      <c r="T1108" s="30"/>
      <c r="U1108" s="378" t="s">
        <v>73</v>
      </c>
      <c r="V1108" s="378"/>
      <c r="W1108" s="382"/>
    </row>
    <row r="1109" spans="1:24" ht="18.75" customHeight="1">
      <c r="A1109" s="51"/>
      <c r="B1109" s="377"/>
      <c r="C1109" s="378"/>
      <c r="D1109" s="378"/>
      <c r="E1109" s="378"/>
      <c r="F1109" s="30"/>
      <c r="G1109" s="30"/>
      <c r="H1109" s="30"/>
      <c r="I1109" s="30"/>
      <c r="J1109" s="30"/>
      <c r="K1109" s="32"/>
      <c r="M1109" s="51"/>
      <c r="N1109" s="377"/>
      <c r="O1109" s="378"/>
      <c r="P1109" s="378"/>
      <c r="Q1109" s="378"/>
      <c r="R1109" s="30"/>
      <c r="S1109" s="30"/>
      <c r="T1109" s="30"/>
      <c r="U1109" s="30"/>
      <c r="V1109" s="30"/>
      <c r="W1109" s="32"/>
    </row>
    <row r="1110" spans="1:24" ht="18.75" customHeight="1" thickBot="1">
      <c r="A1110" s="53"/>
      <c r="B1110" s="54"/>
      <c r="C1110" s="54"/>
      <c r="D1110" s="54"/>
      <c r="E1110" s="54"/>
      <c r="F1110" s="54"/>
      <c r="G1110" s="54"/>
      <c r="H1110" s="54"/>
      <c r="I1110" s="379" t="s">
        <v>74</v>
      </c>
      <c r="J1110" s="379"/>
      <c r="K1110" s="380"/>
      <c r="M1110" s="53"/>
      <c r="N1110" s="54"/>
      <c r="O1110" s="54"/>
      <c r="P1110" s="54"/>
      <c r="Q1110" s="54"/>
      <c r="R1110" s="54"/>
      <c r="S1110" s="54"/>
      <c r="T1110" s="54"/>
      <c r="U1110" s="379" t="s">
        <v>74</v>
      </c>
      <c r="V1110" s="379"/>
      <c r="W1110" s="380"/>
    </row>
    <row r="1111" spans="1:24" ht="18.75" customHeight="1" thickTop="1" thickBot="1"/>
    <row r="1112" spans="1:24" ht="18.75" customHeight="1" thickTop="1">
      <c r="A1112" s="351" t="s">
        <v>7</v>
      </c>
      <c r="B1112" s="352"/>
      <c r="C1112" s="352"/>
      <c r="D1112" s="352"/>
      <c r="E1112" s="352"/>
      <c r="F1112" s="352"/>
      <c r="G1112" s="352"/>
      <c r="H1112" s="352"/>
      <c r="I1112" s="352"/>
      <c r="J1112" s="352"/>
      <c r="K1112" s="353"/>
      <c r="L1112" s="26">
        <v>24</v>
      </c>
      <c r="M1112" s="351" t="s">
        <v>7</v>
      </c>
      <c r="N1112" s="352"/>
      <c r="O1112" s="352"/>
      <c r="P1112" s="352"/>
      <c r="Q1112" s="352"/>
      <c r="R1112" s="352"/>
      <c r="S1112" s="352"/>
      <c r="T1112" s="352"/>
      <c r="U1112" s="352"/>
      <c r="V1112" s="352"/>
      <c r="W1112" s="353"/>
      <c r="X1112" s="26">
        <v>24</v>
      </c>
    </row>
    <row r="1113" spans="1:24" ht="18.75" customHeight="1">
      <c r="A1113" s="27" t="s">
        <v>135</v>
      </c>
      <c r="B1113" s="28"/>
      <c r="C1113" s="28"/>
      <c r="D1113" s="28"/>
      <c r="E1113" s="28"/>
      <c r="F1113" s="28"/>
      <c r="G1113" s="28"/>
      <c r="H1113" s="28"/>
      <c r="I1113" s="28"/>
      <c r="J1113" s="28"/>
      <c r="K1113" s="29"/>
      <c r="M1113" s="27" t="s">
        <v>136</v>
      </c>
      <c r="N1113" s="28"/>
      <c r="O1113" s="28"/>
      <c r="P1113" s="28"/>
      <c r="Q1113" s="28"/>
      <c r="R1113" s="28"/>
      <c r="S1113" s="28"/>
      <c r="T1113" s="28"/>
      <c r="U1113" s="28"/>
      <c r="V1113" s="28"/>
      <c r="W1113" s="29"/>
    </row>
    <row r="1114" spans="1:24" ht="18.75" customHeight="1">
      <c r="A1114" s="354" t="s">
        <v>27</v>
      </c>
      <c r="B1114" s="355"/>
      <c r="C1114" s="355"/>
      <c r="D1114" s="355"/>
      <c r="E1114" s="355"/>
      <c r="F1114" s="355"/>
      <c r="G1114" s="355"/>
      <c r="H1114" s="355"/>
      <c r="I1114" s="355"/>
      <c r="J1114" s="355"/>
      <c r="K1114" s="356"/>
      <c r="M1114" s="354" t="s">
        <v>27</v>
      </c>
      <c r="N1114" s="355"/>
      <c r="O1114" s="355"/>
      <c r="P1114" s="355"/>
      <c r="Q1114" s="355"/>
      <c r="R1114" s="355"/>
      <c r="S1114" s="355"/>
      <c r="T1114" s="355"/>
      <c r="U1114" s="355"/>
      <c r="V1114" s="355"/>
      <c r="W1114" s="356"/>
    </row>
    <row r="1115" spans="1:24" ht="18.75" customHeight="1">
      <c r="A1115" s="347" t="s">
        <v>28</v>
      </c>
      <c r="B1115" s="31"/>
      <c r="C1115" s="31"/>
      <c r="D1115" s="31"/>
      <c r="E1115" s="30" t="s">
        <v>29</v>
      </c>
      <c r="F1115" s="31"/>
      <c r="G1115" s="31"/>
      <c r="H1115" s="31"/>
      <c r="I1115" s="31"/>
      <c r="J1115" s="31"/>
      <c r="K1115" s="350"/>
      <c r="M1115" s="347" t="s">
        <v>28</v>
      </c>
      <c r="N1115" s="31"/>
      <c r="O1115" s="31"/>
      <c r="P1115" s="31"/>
      <c r="Q1115" s="30" t="s">
        <v>29</v>
      </c>
      <c r="R1115" s="31"/>
      <c r="S1115" s="31"/>
      <c r="T1115" s="31"/>
      <c r="U1115" s="31"/>
      <c r="V1115" s="31"/>
      <c r="W1115" s="350"/>
    </row>
    <row r="1116" spans="1:24" ht="18.75" customHeight="1">
      <c r="A1116" s="347" t="s">
        <v>30</v>
      </c>
      <c r="B1116" s="31"/>
      <c r="C1116" s="31"/>
      <c r="D1116" s="31"/>
      <c r="E1116" s="30" t="s">
        <v>29</v>
      </c>
      <c r="F1116" s="348"/>
      <c r="G1116" s="348"/>
      <c r="H1116" s="348"/>
      <c r="I1116" s="348"/>
      <c r="J1116" s="348"/>
      <c r="K1116" s="349"/>
      <c r="M1116" s="347" t="s">
        <v>30</v>
      </c>
      <c r="N1116" s="31"/>
      <c r="O1116" s="31"/>
      <c r="P1116" s="31"/>
      <c r="Q1116" s="30" t="s">
        <v>29</v>
      </c>
      <c r="R1116" s="348"/>
      <c r="S1116" s="348"/>
      <c r="T1116" s="348"/>
      <c r="U1116" s="348"/>
      <c r="V1116" s="348"/>
      <c r="W1116" s="349"/>
    </row>
    <row r="1117" spans="1:24" ht="18.75" customHeight="1">
      <c r="A1117" s="347" t="s">
        <v>31</v>
      </c>
      <c r="B1117" s="31"/>
      <c r="C1117" s="31"/>
      <c r="D1117" s="31"/>
      <c r="E1117" s="30" t="s">
        <v>29</v>
      </c>
      <c r="F1117" s="31" t="s">
        <v>139</v>
      </c>
      <c r="G1117" s="31"/>
      <c r="H1117" s="31"/>
      <c r="I1117" s="31"/>
      <c r="J1117" s="31"/>
      <c r="K1117" s="350"/>
      <c r="M1117" s="347" t="s">
        <v>31</v>
      </c>
      <c r="N1117" s="31"/>
      <c r="O1117" s="31"/>
      <c r="P1117" s="31"/>
      <c r="Q1117" s="30" t="s">
        <v>29</v>
      </c>
      <c r="R1117" s="31" t="s">
        <v>139</v>
      </c>
      <c r="S1117" s="31"/>
      <c r="T1117" s="31"/>
      <c r="U1117" s="31"/>
      <c r="V1117" s="31"/>
      <c r="W1117" s="350"/>
    </row>
    <row r="1118" spans="1:24" ht="18.75" customHeight="1">
      <c r="A1118" s="354" t="s">
        <v>32</v>
      </c>
      <c r="B1118" s="355"/>
      <c r="C1118" s="355"/>
      <c r="D1118" s="355"/>
      <c r="E1118" s="355"/>
      <c r="F1118" s="355"/>
      <c r="G1118" s="355"/>
      <c r="H1118" s="355"/>
      <c r="I1118" s="355"/>
      <c r="J1118" s="355"/>
      <c r="K1118" s="356"/>
      <c r="M1118" s="354" t="s">
        <v>32</v>
      </c>
      <c r="N1118" s="355"/>
      <c r="O1118" s="355"/>
      <c r="P1118" s="355"/>
      <c r="Q1118" s="355"/>
      <c r="R1118" s="355"/>
      <c r="S1118" s="355"/>
      <c r="T1118" s="355"/>
      <c r="U1118" s="355"/>
      <c r="V1118" s="355"/>
      <c r="W1118" s="356"/>
    </row>
    <row r="1119" spans="1:24" ht="18.75" customHeight="1">
      <c r="A1119" s="347" t="s">
        <v>33</v>
      </c>
      <c r="B1119" s="31"/>
      <c r="C1119" s="31"/>
      <c r="D1119" s="31"/>
      <c r="E1119" s="30" t="s">
        <v>29</v>
      </c>
      <c r="F1119" s="361">
        <v>2915400</v>
      </c>
      <c r="G1119" s="361"/>
      <c r="H1119" s="361"/>
      <c r="I1119" s="361"/>
      <c r="J1119" s="30" t="s">
        <v>34</v>
      </c>
      <c r="K1119" s="32"/>
      <c r="M1119" s="347" t="s">
        <v>33</v>
      </c>
      <c r="N1119" s="31"/>
      <c r="O1119" s="31"/>
      <c r="P1119" s="31"/>
      <c r="Q1119" s="30" t="s">
        <v>29</v>
      </c>
      <c r="R1119" s="361">
        <v>2915400</v>
      </c>
      <c r="S1119" s="361"/>
      <c r="T1119" s="361"/>
      <c r="U1119" s="361"/>
      <c r="V1119" s="30" t="s">
        <v>34</v>
      </c>
      <c r="W1119" s="32"/>
    </row>
    <row r="1120" spans="1:24" ht="18.75" customHeight="1">
      <c r="A1120" s="33" t="s">
        <v>35</v>
      </c>
      <c r="B1120" s="30"/>
      <c r="C1120" s="34"/>
      <c r="D1120" s="35"/>
      <c r="E1120" s="36"/>
      <c r="F1120" s="36"/>
      <c r="G1120" s="36"/>
      <c r="H1120" s="30"/>
      <c r="I1120" s="37"/>
      <c r="J1120" s="38"/>
      <c r="K1120" s="39"/>
      <c r="M1120" s="33" t="s">
        <v>35</v>
      </c>
      <c r="N1120" s="30"/>
      <c r="O1120" s="34"/>
      <c r="P1120" s="35"/>
      <c r="Q1120" s="36"/>
      <c r="R1120" s="36"/>
      <c r="S1120" s="36"/>
      <c r="T1120" s="30"/>
      <c r="U1120" s="37"/>
      <c r="V1120" s="38"/>
      <c r="W1120" s="39"/>
    </row>
    <row r="1121" spans="1:24" ht="18.75" customHeight="1">
      <c r="A1121" s="33" t="s">
        <v>36</v>
      </c>
      <c r="B1121" s="30"/>
      <c r="C1121" s="34"/>
      <c r="D1121" s="35"/>
      <c r="E1121" s="36"/>
      <c r="F1121" s="36"/>
      <c r="G1121" s="36"/>
      <c r="H1121" s="30"/>
      <c r="I1121" s="37" t="e">
        <f>I1122/C1122/8</f>
        <v>#DIV/0!</v>
      </c>
      <c r="J1121" s="38"/>
      <c r="K1121" s="39"/>
      <c r="M1121" s="33" t="s">
        <v>36</v>
      </c>
      <c r="N1121" s="30"/>
      <c r="O1121" s="34"/>
      <c r="P1121" s="35"/>
      <c r="Q1121" s="36"/>
      <c r="R1121" s="36"/>
      <c r="S1121" s="36"/>
      <c r="T1121" s="30"/>
      <c r="U1121" s="37" t="e">
        <f>U1122/O1122/8</f>
        <v>#DIV/0!</v>
      </c>
      <c r="V1121" s="38"/>
      <c r="W1121" s="39"/>
    </row>
    <row r="1122" spans="1:24" ht="18.75" customHeight="1">
      <c r="A1122" s="33" t="s">
        <v>37</v>
      </c>
      <c r="B1122" s="30" t="s">
        <v>29</v>
      </c>
      <c r="C1122" s="34"/>
      <c r="D1122" s="35" t="s">
        <v>38</v>
      </c>
      <c r="E1122" s="359" t="s">
        <v>39</v>
      </c>
      <c r="F1122" s="359"/>
      <c r="G1122" s="359"/>
      <c r="H1122" s="30" t="s">
        <v>29</v>
      </c>
      <c r="I1122" s="360" t="e">
        <f>I1120*680/((C1122-C1129)*8+C1129*7+C1126)*((C1122-C1129)*8+C1129*7)</f>
        <v>#DIV/0!</v>
      </c>
      <c r="J1122" s="360"/>
      <c r="K1122" s="39" t="s">
        <v>34</v>
      </c>
      <c r="L1122" s="40">
        <f>F1119/L1112*C1122</f>
        <v>0</v>
      </c>
      <c r="M1122" s="33" t="s">
        <v>37</v>
      </c>
      <c r="N1122" s="30" t="s">
        <v>29</v>
      </c>
      <c r="O1122" s="34"/>
      <c r="P1122" s="35" t="s">
        <v>38</v>
      </c>
      <c r="Q1122" s="359" t="s">
        <v>39</v>
      </c>
      <c r="R1122" s="359"/>
      <c r="S1122" s="359"/>
      <c r="T1122" s="30" t="s">
        <v>29</v>
      </c>
      <c r="U1122" s="360" t="e">
        <f>U1120*680/((O1122-O1129)*8+O1129*7+O1126)*((O1122-O1129)*8+O1129*7)</f>
        <v>#DIV/0!</v>
      </c>
      <c r="V1122" s="360"/>
      <c r="W1122" s="39" t="s">
        <v>34</v>
      </c>
      <c r="X1122" s="40">
        <f>R1119/X1112*O1122</f>
        <v>0</v>
      </c>
    </row>
    <row r="1123" spans="1:24" ht="18.75" customHeight="1">
      <c r="A1123" s="33" t="s">
        <v>40</v>
      </c>
      <c r="B1123" s="30" t="s">
        <v>29</v>
      </c>
      <c r="C1123" s="34"/>
      <c r="D1123" s="35" t="s">
        <v>38</v>
      </c>
      <c r="E1123" s="31" t="s">
        <v>41</v>
      </c>
      <c r="F1123" s="31"/>
      <c r="G1123" s="31"/>
      <c r="H1123" s="30" t="s">
        <v>29</v>
      </c>
      <c r="I1123" s="358">
        <f>$F$8/$L$1*C1123</f>
        <v>0</v>
      </c>
      <c r="J1123" s="358"/>
      <c r="K1123" s="39" t="s">
        <v>34</v>
      </c>
      <c r="L1123" s="40"/>
      <c r="M1123" s="33" t="s">
        <v>40</v>
      </c>
      <c r="N1123" s="30" t="s">
        <v>29</v>
      </c>
      <c r="O1123" s="34"/>
      <c r="P1123" s="35" t="s">
        <v>38</v>
      </c>
      <c r="Q1123" s="31" t="s">
        <v>41</v>
      </c>
      <c r="R1123" s="31"/>
      <c r="S1123" s="31"/>
      <c r="T1123" s="30" t="s">
        <v>29</v>
      </c>
      <c r="U1123" s="358">
        <f>$F$8/$L$1*O1123</f>
        <v>0</v>
      </c>
      <c r="V1123" s="358"/>
      <c r="W1123" s="39" t="s">
        <v>34</v>
      </c>
      <c r="X1123" s="40"/>
    </row>
    <row r="1124" spans="1:24" ht="18.75" customHeight="1">
      <c r="A1124" s="33" t="s">
        <v>42</v>
      </c>
      <c r="B1124" s="30" t="s">
        <v>29</v>
      </c>
      <c r="C1124" s="34"/>
      <c r="D1124" s="35" t="s">
        <v>38</v>
      </c>
      <c r="E1124" s="357" t="s">
        <v>43</v>
      </c>
      <c r="F1124" s="357"/>
      <c r="G1124" s="357"/>
      <c r="H1124" s="30" t="s">
        <v>29</v>
      </c>
      <c r="I1124" s="358">
        <f>$F$8/$L$1*C1124</f>
        <v>0</v>
      </c>
      <c r="J1124" s="358"/>
      <c r="K1124" s="39" t="s">
        <v>34</v>
      </c>
      <c r="L1124" s="40"/>
      <c r="M1124" s="33" t="s">
        <v>42</v>
      </c>
      <c r="N1124" s="30" t="s">
        <v>29</v>
      </c>
      <c r="O1124" s="34"/>
      <c r="P1124" s="35" t="s">
        <v>38</v>
      </c>
      <c r="Q1124" s="357" t="s">
        <v>43</v>
      </c>
      <c r="R1124" s="357"/>
      <c r="S1124" s="357"/>
      <c r="T1124" s="30" t="s">
        <v>29</v>
      </c>
      <c r="U1124" s="358">
        <f>$F$8/$L$1*O1124</f>
        <v>0</v>
      </c>
      <c r="V1124" s="358"/>
      <c r="W1124" s="39" t="s">
        <v>34</v>
      </c>
      <c r="X1124" s="40"/>
    </row>
    <row r="1125" spans="1:24" ht="18.75" customHeight="1">
      <c r="A1125" s="33" t="s">
        <v>44</v>
      </c>
      <c r="B1125" s="30" t="s">
        <v>29</v>
      </c>
      <c r="C1125" s="34"/>
      <c r="D1125" s="35" t="s">
        <v>38</v>
      </c>
      <c r="E1125" s="357" t="s">
        <v>45</v>
      </c>
      <c r="F1125" s="357"/>
      <c r="G1125" s="357"/>
      <c r="H1125" s="30" t="s">
        <v>29</v>
      </c>
      <c r="I1125" s="358">
        <f>$F$8/$L$1*C1125</f>
        <v>0</v>
      </c>
      <c r="J1125" s="358"/>
      <c r="K1125" s="39" t="s">
        <v>34</v>
      </c>
      <c r="L1125" s="40"/>
      <c r="M1125" s="33" t="s">
        <v>44</v>
      </c>
      <c r="N1125" s="30" t="s">
        <v>29</v>
      </c>
      <c r="O1125" s="34"/>
      <c r="P1125" s="35" t="s">
        <v>38</v>
      </c>
      <c r="Q1125" s="357" t="s">
        <v>45</v>
      </c>
      <c r="R1125" s="357"/>
      <c r="S1125" s="357"/>
      <c r="T1125" s="30" t="s">
        <v>29</v>
      </c>
      <c r="U1125" s="358">
        <f>$F$8/$L$1*O1125</f>
        <v>0</v>
      </c>
      <c r="V1125" s="358"/>
      <c r="W1125" s="39" t="s">
        <v>34</v>
      </c>
      <c r="X1125" s="40"/>
    </row>
    <row r="1126" spans="1:24" ht="18.75" customHeight="1">
      <c r="A1126" s="33" t="s">
        <v>46</v>
      </c>
      <c r="B1126" s="30" t="s">
        <v>29</v>
      </c>
      <c r="C1126" s="34"/>
      <c r="D1126" s="35" t="s">
        <v>47</v>
      </c>
      <c r="E1126" s="31" t="s">
        <v>48</v>
      </c>
      <c r="F1126" s="31"/>
      <c r="G1126" s="31"/>
      <c r="H1126" s="30" t="s">
        <v>29</v>
      </c>
      <c r="I1126" s="358" t="e">
        <f>I1122/C1122/8*C1126</f>
        <v>#DIV/0!</v>
      </c>
      <c r="J1126" s="358"/>
      <c r="K1126" s="39" t="s">
        <v>34</v>
      </c>
      <c r="L1126" s="40">
        <f>F1119*C1126/L1112/8*1.5</f>
        <v>0</v>
      </c>
      <c r="M1126" s="33" t="s">
        <v>46</v>
      </c>
      <c r="N1126" s="30" t="s">
        <v>29</v>
      </c>
      <c r="O1126" s="34"/>
      <c r="P1126" s="35" t="s">
        <v>47</v>
      </c>
      <c r="Q1126" s="31" t="s">
        <v>48</v>
      </c>
      <c r="R1126" s="31"/>
      <c r="S1126" s="31"/>
      <c r="T1126" s="30" t="s">
        <v>29</v>
      </c>
      <c r="U1126" s="358" t="e">
        <f>U1122/O1122/8*O1126</f>
        <v>#DIV/0!</v>
      </c>
      <c r="V1126" s="358"/>
      <c r="W1126" s="39" t="s">
        <v>34</v>
      </c>
      <c r="X1126" s="40">
        <f>R1119*O1126/X1112/8*1.5</f>
        <v>0</v>
      </c>
    </row>
    <row r="1127" spans="1:24" ht="18.75" customHeight="1">
      <c r="A1127" s="347" t="s">
        <v>49</v>
      </c>
      <c r="B1127" s="31"/>
      <c r="C1127" s="34"/>
      <c r="D1127" s="35" t="s">
        <v>38</v>
      </c>
      <c r="E1127" s="31" t="s">
        <v>50</v>
      </c>
      <c r="F1127" s="31"/>
      <c r="G1127" s="31"/>
      <c r="H1127" s="41" t="s">
        <v>29</v>
      </c>
      <c r="I1127" s="358"/>
      <c r="J1127" s="358"/>
      <c r="K1127" s="39" t="s">
        <v>34</v>
      </c>
      <c r="L1127" s="40"/>
      <c r="M1127" s="347" t="s">
        <v>49</v>
      </c>
      <c r="N1127" s="31"/>
      <c r="O1127" s="34"/>
      <c r="P1127" s="35" t="s">
        <v>38</v>
      </c>
      <c r="Q1127" s="31" t="s">
        <v>50</v>
      </c>
      <c r="R1127" s="31"/>
      <c r="S1127" s="31"/>
      <c r="T1127" s="41" t="s">
        <v>29</v>
      </c>
      <c r="U1127" s="358"/>
      <c r="V1127" s="358"/>
      <c r="W1127" s="39" t="s">
        <v>34</v>
      </c>
      <c r="X1127" s="40"/>
    </row>
    <row r="1128" spans="1:24" ht="18.75" customHeight="1">
      <c r="A1128" s="33" t="s">
        <v>51</v>
      </c>
      <c r="B1128" s="30" t="s">
        <v>29</v>
      </c>
      <c r="C1128" s="34"/>
      <c r="D1128" s="35" t="s">
        <v>38</v>
      </c>
      <c r="E1128" s="31" t="s">
        <v>52</v>
      </c>
      <c r="F1128" s="31"/>
      <c r="G1128" s="31"/>
      <c r="H1128" s="30" t="s">
        <v>29</v>
      </c>
      <c r="I1128" s="358"/>
      <c r="J1128" s="358"/>
      <c r="K1128" s="39" t="s">
        <v>34</v>
      </c>
      <c r="L1128" s="40"/>
      <c r="M1128" s="33" t="s">
        <v>51</v>
      </c>
      <c r="N1128" s="30" t="s">
        <v>29</v>
      </c>
      <c r="O1128" s="34"/>
      <c r="P1128" s="35" t="s">
        <v>38</v>
      </c>
      <c r="Q1128" s="31" t="s">
        <v>52</v>
      </c>
      <c r="R1128" s="31"/>
      <c r="S1128" s="31"/>
      <c r="T1128" s="30" t="s">
        <v>29</v>
      </c>
      <c r="U1128" s="358"/>
      <c r="V1128" s="358"/>
      <c r="W1128" s="39" t="s">
        <v>34</v>
      </c>
      <c r="X1128" s="40"/>
    </row>
    <row r="1129" spans="1:24" ht="18.75" customHeight="1">
      <c r="A1129" s="42" t="s">
        <v>53</v>
      </c>
      <c r="B1129" s="30"/>
      <c r="C1129" s="34"/>
      <c r="D1129" s="35" t="s">
        <v>47</v>
      </c>
      <c r="E1129" s="31" t="s">
        <v>54</v>
      </c>
      <c r="F1129" s="31"/>
      <c r="G1129" s="31"/>
      <c r="H1129" s="30" t="s">
        <v>29</v>
      </c>
      <c r="I1129" s="358">
        <f>$F$8*C1129/8/$L$1</f>
        <v>0</v>
      </c>
      <c r="J1129" s="358"/>
      <c r="K1129" s="39" t="s">
        <v>34</v>
      </c>
      <c r="L1129" s="40"/>
      <c r="M1129" s="42" t="s">
        <v>53</v>
      </c>
      <c r="N1129" s="30"/>
      <c r="O1129" s="34"/>
      <c r="P1129" s="35" t="s">
        <v>47</v>
      </c>
      <c r="Q1129" s="31" t="s">
        <v>54</v>
      </c>
      <c r="R1129" s="31"/>
      <c r="S1129" s="31"/>
      <c r="T1129" s="30" t="s">
        <v>29</v>
      </c>
      <c r="U1129" s="358">
        <f>$F$8*O1129/8/$L$1</f>
        <v>0</v>
      </c>
      <c r="V1129" s="358"/>
      <c r="W1129" s="39" t="s">
        <v>34</v>
      </c>
      <c r="X1129" s="40"/>
    </row>
    <row r="1130" spans="1:24" ht="18.75" customHeight="1">
      <c r="A1130" s="33" t="s">
        <v>55</v>
      </c>
      <c r="B1130" s="30" t="s">
        <v>29</v>
      </c>
      <c r="C1130" s="34"/>
      <c r="D1130" s="35" t="s">
        <v>47</v>
      </c>
      <c r="E1130" s="31" t="s">
        <v>56</v>
      </c>
      <c r="F1130" s="31"/>
      <c r="G1130" s="31"/>
      <c r="H1130" s="30" t="s">
        <v>29</v>
      </c>
      <c r="I1130" s="360"/>
      <c r="J1130" s="360"/>
      <c r="K1130" s="39" t="s">
        <v>34</v>
      </c>
      <c r="L1130" s="40"/>
      <c r="M1130" s="33" t="s">
        <v>55</v>
      </c>
      <c r="N1130" s="30" t="s">
        <v>29</v>
      </c>
      <c r="O1130" s="34"/>
      <c r="P1130" s="35" t="s">
        <v>47</v>
      </c>
      <c r="Q1130" s="31" t="s">
        <v>56</v>
      </c>
      <c r="R1130" s="31"/>
      <c r="S1130" s="31"/>
      <c r="T1130" s="30" t="s">
        <v>29</v>
      </c>
      <c r="U1130" s="360"/>
      <c r="V1130" s="360"/>
      <c r="W1130" s="39" t="s">
        <v>34</v>
      </c>
      <c r="X1130" s="40"/>
    </row>
    <row r="1131" spans="1:24" ht="18.75" customHeight="1">
      <c r="A1131" s="33" t="s">
        <v>57</v>
      </c>
      <c r="B1131" s="30" t="s">
        <v>29</v>
      </c>
      <c r="C1131" s="34"/>
      <c r="D1131" s="35" t="s">
        <v>58</v>
      </c>
      <c r="E1131" s="31" t="s">
        <v>59</v>
      </c>
      <c r="F1131" s="31"/>
      <c r="G1131" s="31"/>
      <c r="H1131" s="30" t="s">
        <v>29</v>
      </c>
      <c r="I1131" s="358"/>
      <c r="J1131" s="358"/>
      <c r="K1131" s="39" t="s">
        <v>34</v>
      </c>
      <c r="L1131" s="40" t="e">
        <f>+IF(L1122-I1122&lt;0,0,L1122-I1122)+IF(L1126-I1126&lt;0,0,L1126-I1126)</f>
        <v>#DIV/0!</v>
      </c>
      <c r="M1131" s="33" t="s">
        <v>57</v>
      </c>
      <c r="N1131" s="30" t="s">
        <v>29</v>
      </c>
      <c r="O1131" s="34"/>
      <c r="P1131" s="35" t="s">
        <v>58</v>
      </c>
      <c r="Q1131" s="31" t="s">
        <v>59</v>
      </c>
      <c r="R1131" s="31"/>
      <c r="S1131" s="31"/>
      <c r="T1131" s="30" t="s">
        <v>29</v>
      </c>
      <c r="U1131" s="358"/>
      <c r="V1131" s="358"/>
      <c r="W1131" s="39" t="s">
        <v>34</v>
      </c>
      <c r="X1131" s="40" t="e">
        <f>+IF(X1122-U1122&lt;0,0,X1122-U1122)+IF(X1126-U1126&lt;0,0,X1126-U1126)</f>
        <v>#DIV/0!</v>
      </c>
    </row>
    <row r="1132" spans="1:24" ht="18.75" customHeight="1">
      <c r="A1132" s="43" t="s">
        <v>60</v>
      </c>
      <c r="B1132" s="44"/>
      <c r="C1132" s="34"/>
      <c r="D1132" s="35" t="s">
        <v>38</v>
      </c>
      <c r="E1132" s="31" t="s">
        <v>61</v>
      </c>
      <c r="F1132" s="31"/>
      <c r="G1132" s="31"/>
      <c r="H1132" s="30" t="s">
        <v>29</v>
      </c>
      <c r="I1132" s="358"/>
      <c r="J1132" s="358"/>
      <c r="K1132" s="39" t="s">
        <v>34</v>
      </c>
      <c r="L1132" s="40"/>
      <c r="M1132" s="43" t="s">
        <v>60</v>
      </c>
      <c r="N1132" s="44"/>
      <c r="O1132" s="34"/>
      <c r="P1132" s="35" t="s">
        <v>38</v>
      </c>
      <c r="Q1132" s="31" t="s">
        <v>61</v>
      </c>
      <c r="R1132" s="31"/>
      <c r="S1132" s="31"/>
      <c r="T1132" s="30" t="s">
        <v>29</v>
      </c>
      <c r="U1132" s="358"/>
      <c r="V1132" s="358"/>
      <c r="W1132" s="39" t="s">
        <v>34</v>
      </c>
      <c r="X1132" s="40"/>
    </row>
    <row r="1133" spans="1:24" ht="18.75" customHeight="1">
      <c r="A1133" s="383" t="s">
        <v>62</v>
      </c>
      <c r="B1133" s="359"/>
      <c r="C1133" s="34"/>
      <c r="D1133" s="35"/>
      <c r="E1133" s="36"/>
      <c r="F1133" s="36"/>
      <c r="G1133" s="36"/>
      <c r="H1133" s="30" t="s">
        <v>29</v>
      </c>
      <c r="I1133" s="358"/>
      <c r="J1133" s="358"/>
      <c r="K1133" s="39" t="s">
        <v>34</v>
      </c>
      <c r="L1133" s="40"/>
      <c r="M1133" s="383" t="s">
        <v>62</v>
      </c>
      <c r="N1133" s="359"/>
      <c r="O1133" s="34"/>
      <c r="P1133" s="35"/>
      <c r="Q1133" s="36"/>
      <c r="R1133" s="36"/>
      <c r="S1133" s="36"/>
      <c r="T1133" s="30" t="s">
        <v>29</v>
      </c>
      <c r="U1133" s="358"/>
      <c r="V1133" s="358"/>
      <c r="W1133" s="39" t="s">
        <v>34</v>
      </c>
      <c r="X1133" s="40"/>
    </row>
    <row r="1134" spans="1:24" ht="18.75" customHeight="1">
      <c r="A1134" s="33" t="s">
        <v>63</v>
      </c>
      <c r="B1134" s="30" t="s">
        <v>29</v>
      </c>
      <c r="C1134" s="34"/>
      <c r="D1134" s="35"/>
      <c r="E1134" s="36" t="s">
        <v>64</v>
      </c>
      <c r="F1134" s="36"/>
      <c r="G1134" s="36"/>
      <c r="H1134" s="30" t="s">
        <v>29</v>
      </c>
      <c r="I1134" s="358" t="e">
        <f>L1131</f>
        <v>#DIV/0!</v>
      </c>
      <c r="J1134" s="358"/>
      <c r="K1134" s="39" t="s">
        <v>34</v>
      </c>
      <c r="L1134" s="40"/>
      <c r="M1134" s="33" t="s">
        <v>63</v>
      </c>
      <c r="N1134" s="30" t="s">
        <v>29</v>
      </c>
      <c r="O1134" s="34"/>
      <c r="P1134" s="35"/>
      <c r="Q1134" s="36" t="s">
        <v>64</v>
      </c>
      <c r="R1134" s="36"/>
      <c r="S1134" s="36"/>
      <c r="T1134" s="30" t="s">
        <v>29</v>
      </c>
      <c r="U1134" s="358" t="e">
        <f>X1131</f>
        <v>#DIV/0!</v>
      </c>
      <c r="V1134" s="358"/>
      <c r="W1134" s="39" t="s">
        <v>34</v>
      </c>
      <c r="X1134" s="40"/>
    </row>
    <row r="1135" spans="1:24" ht="18.75" customHeight="1">
      <c r="A1135" s="362" t="s">
        <v>65</v>
      </c>
      <c r="B1135" s="363"/>
      <c r="C1135" s="363"/>
      <c r="D1135" s="363"/>
      <c r="E1135" s="363"/>
      <c r="F1135" s="363"/>
      <c r="G1135" s="30" t="s">
        <v>29</v>
      </c>
      <c r="H1135" s="365" t="e">
        <f>I1122+I1123+I1124+I1125+I1126+I1129+I1133+I1134</f>
        <v>#DIV/0!</v>
      </c>
      <c r="I1135" s="365"/>
      <c r="J1135" s="365"/>
      <c r="K1135" s="39" t="s">
        <v>34</v>
      </c>
      <c r="M1135" s="362" t="s">
        <v>65</v>
      </c>
      <c r="N1135" s="363"/>
      <c r="O1135" s="363"/>
      <c r="P1135" s="363"/>
      <c r="Q1135" s="363"/>
      <c r="R1135" s="363"/>
      <c r="S1135" s="30" t="s">
        <v>29</v>
      </c>
      <c r="T1135" s="365" t="e">
        <f>U1122+U1123+U1124+U1125+U1126+U1129+U1133+U1134</f>
        <v>#DIV/0!</v>
      </c>
      <c r="U1135" s="365"/>
      <c r="V1135" s="365"/>
      <c r="W1135" s="39" t="s">
        <v>34</v>
      </c>
    </row>
    <row r="1136" spans="1:24" ht="18.75" customHeight="1">
      <c r="A1136" s="45"/>
      <c r="B1136" s="46"/>
      <c r="C1136" s="46"/>
      <c r="D1136" s="46"/>
      <c r="E1136" s="46"/>
      <c r="F1136" s="46"/>
      <c r="G1136" s="46"/>
      <c r="H1136" s="46"/>
      <c r="I1136" s="46"/>
      <c r="J1136" s="46"/>
      <c r="K1136" s="47"/>
      <c r="M1136" s="45"/>
      <c r="N1136" s="46"/>
      <c r="O1136" s="46"/>
      <c r="P1136" s="46"/>
      <c r="Q1136" s="46"/>
      <c r="R1136" s="46"/>
      <c r="S1136" s="46"/>
      <c r="T1136" s="46"/>
      <c r="U1136" s="46"/>
      <c r="V1136" s="46"/>
      <c r="W1136" s="47"/>
    </row>
    <row r="1137" spans="1:24" ht="18.75" customHeight="1">
      <c r="A1137" s="374" t="s">
        <v>66</v>
      </c>
      <c r="B1137" s="375"/>
      <c r="C1137" s="375"/>
      <c r="D1137" s="375"/>
      <c r="E1137" s="375"/>
      <c r="F1137" s="375"/>
      <c r="G1137" s="30"/>
      <c r="H1137" s="30"/>
      <c r="I1137" s="30"/>
      <c r="J1137" s="30"/>
      <c r="K1137" s="39"/>
      <c r="M1137" s="374" t="s">
        <v>66</v>
      </c>
      <c r="N1137" s="375"/>
      <c r="O1137" s="375"/>
      <c r="P1137" s="375"/>
      <c r="Q1137" s="375"/>
      <c r="R1137" s="375"/>
      <c r="S1137" s="30"/>
      <c r="T1137" s="30"/>
      <c r="U1137" s="30"/>
      <c r="V1137" s="30"/>
      <c r="W1137" s="39"/>
    </row>
    <row r="1138" spans="1:24" ht="18.75" customHeight="1">
      <c r="A1138" s="368" t="s">
        <v>67</v>
      </c>
      <c r="B1138" s="369"/>
      <c r="C1138" s="369"/>
      <c r="D1138" s="369"/>
      <c r="E1138" s="369"/>
      <c r="F1138" s="369"/>
      <c r="G1138" s="30" t="s">
        <v>29</v>
      </c>
      <c r="H1138" s="376">
        <f>IF(($L$1-(C1122+C1123+C1124+C1125))&gt;12,0,F1119*8%)</f>
        <v>0</v>
      </c>
      <c r="I1138" s="376"/>
      <c r="J1138" s="376"/>
      <c r="K1138" s="39" t="s">
        <v>34</v>
      </c>
      <c r="M1138" s="368" t="s">
        <v>67</v>
      </c>
      <c r="N1138" s="369"/>
      <c r="O1138" s="369"/>
      <c r="P1138" s="369"/>
      <c r="Q1138" s="369"/>
      <c r="R1138" s="369"/>
      <c r="S1138" s="30" t="s">
        <v>29</v>
      </c>
      <c r="T1138" s="376">
        <f>IF(($L$1-(O1122+O1123+O1124+O1125))&gt;12,0,R1119*8%)</f>
        <v>0</v>
      </c>
      <c r="U1138" s="376"/>
      <c r="V1138" s="376"/>
      <c r="W1138" s="39" t="s">
        <v>34</v>
      </c>
    </row>
    <row r="1139" spans="1:24" ht="18.75" customHeight="1">
      <c r="A1139" s="368" t="s">
        <v>68</v>
      </c>
      <c r="B1139" s="369"/>
      <c r="C1139" s="369"/>
      <c r="D1139" s="369"/>
      <c r="E1139" s="369"/>
      <c r="F1139" s="369"/>
      <c r="G1139" s="30" t="s">
        <v>29</v>
      </c>
      <c r="H1139" s="370">
        <f>IF(($L$1-(C1122+C1123+C1124+C1125))&gt;12,0,F1119*1.5%)</f>
        <v>0</v>
      </c>
      <c r="I1139" s="370"/>
      <c r="J1139" s="370"/>
      <c r="K1139" s="39" t="s">
        <v>34</v>
      </c>
      <c r="M1139" s="368" t="s">
        <v>68</v>
      </c>
      <c r="N1139" s="369"/>
      <c r="O1139" s="369"/>
      <c r="P1139" s="369"/>
      <c r="Q1139" s="369"/>
      <c r="R1139" s="369"/>
      <c r="S1139" s="30" t="s">
        <v>29</v>
      </c>
      <c r="T1139" s="370">
        <f>IF(($L$1-(O1122+O1123+O1124+O1125))&gt;12,0,R1119*1.5%)</f>
        <v>0</v>
      </c>
      <c r="U1139" s="370"/>
      <c r="V1139" s="370"/>
      <c r="W1139" s="39" t="s">
        <v>34</v>
      </c>
    </row>
    <row r="1140" spans="1:24" ht="18.75" customHeight="1">
      <c r="A1140" s="368" t="s">
        <v>69</v>
      </c>
      <c r="B1140" s="369"/>
      <c r="C1140" s="369"/>
      <c r="D1140" s="369"/>
      <c r="E1140" s="369"/>
      <c r="F1140" s="369"/>
      <c r="G1140" s="30" t="s">
        <v>29</v>
      </c>
      <c r="H1140" s="370">
        <f>IF(($L$1-(C1122+C1123+C1124+C1125))&gt;12,0,F1119*1%)</f>
        <v>0</v>
      </c>
      <c r="I1140" s="370"/>
      <c r="J1140" s="370"/>
      <c r="K1140" s="39" t="s">
        <v>34</v>
      </c>
      <c r="M1140" s="368" t="s">
        <v>69</v>
      </c>
      <c r="N1140" s="369"/>
      <c r="O1140" s="369"/>
      <c r="P1140" s="369"/>
      <c r="Q1140" s="369"/>
      <c r="R1140" s="369"/>
      <c r="S1140" s="30" t="s">
        <v>29</v>
      </c>
      <c r="T1140" s="370">
        <f>IF(($L$1-(O1122+O1123+O1124+O1125))&gt;12,0,R1119*1%)</f>
        <v>0</v>
      </c>
      <c r="U1140" s="370"/>
      <c r="V1140" s="370"/>
      <c r="W1140" s="39" t="s">
        <v>34</v>
      </c>
    </row>
    <row r="1141" spans="1:24" ht="18.75" customHeight="1">
      <c r="A1141" s="368" t="s">
        <v>70</v>
      </c>
      <c r="B1141" s="369"/>
      <c r="C1141" s="369"/>
      <c r="D1141" s="369"/>
      <c r="E1141" s="369"/>
      <c r="F1141" s="369"/>
      <c r="G1141" s="30" t="s">
        <v>29</v>
      </c>
      <c r="H1141" s="370">
        <v>0</v>
      </c>
      <c r="I1141" s="370"/>
      <c r="J1141" s="370"/>
      <c r="K1141" s="39" t="s">
        <v>34</v>
      </c>
      <c r="M1141" s="368" t="s">
        <v>70</v>
      </c>
      <c r="N1141" s="369"/>
      <c r="O1141" s="369"/>
      <c r="P1141" s="369"/>
      <c r="Q1141" s="369"/>
      <c r="R1141" s="369"/>
      <c r="S1141" s="30" t="s">
        <v>29</v>
      </c>
      <c r="T1141" s="370">
        <v>0</v>
      </c>
      <c r="U1141" s="370"/>
      <c r="V1141" s="370"/>
      <c r="W1141" s="39" t="s">
        <v>34</v>
      </c>
    </row>
    <row r="1142" spans="1:24" ht="18.75" customHeight="1">
      <c r="A1142" s="371" t="s">
        <v>71</v>
      </c>
      <c r="B1142" s="372"/>
      <c r="C1142" s="372"/>
      <c r="D1142" s="372"/>
      <c r="E1142" s="372"/>
      <c r="F1142" s="372"/>
      <c r="G1142" s="30" t="s">
        <v>29</v>
      </c>
      <c r="H1142" s="373">
        <f>SUM(H1138:J1141)</f>
        <v>0</v>
      </c>
      <c r="I1142" s="373"/>
      <c r="J1142" s="373"/>
      <c r="K1142" s="39" t="s">
        <v>34</v>
      </c>
      <c r="M1142" s="371" t="s">
        <v>71</v>
      </c>
      <c r="N1142" s="372"/>
      <c r="O1142" s="372"/>
      <c r="P1142" s="372"/>
      <c r="Q1142" s="372"/>
      <c r="R1142" s="372"/>
      <c r="S1142" s="30" t="s">
        <v>29</v>
      </c>
      <c r="T1142" s="373">
        <f>SUM(T1138:V1141)</f>
        <v>0</v>
      </c>
      <c r="U1142" s="373"/>
      <c r="V1142" s="373"/>
      <c r="W1142" s="39" t="s">
        <v>34</v>
      </c>
    </row>
    <row r="1143" spans="1:24" ht="18.75" customHeight="1">
      <c r="A1143" s="368" t="s">
        <v>72</v>
      </c>
      <c r="B1143" s="369"/>
      <c r="C1143" s="369"/>
      <c r="D1143" s="369"/>
      <c r="E1143" s="369"/>
      <c r="F1143" s="369"/>
      <c r="G1143" s="30" t="s">
        <v>29</v>
      </c>
      <c r="H1143" s="381" t="e">
        <f>ROUND(H1135-H1142,-2)</f>
        <v>#DIV/0!</v>
      </c>
      <c r="I1143" s="381"/>
      <c r="J1143" s="381"/>
      <c r="K1143" s="39" t="s">
        <v>34</v>
      </c>
      <c r="M1143" s="368" t="s">
        <v>72</v>
      </c>
      <c r="N1143" s="369"/>
      <c r="O1143" s="369"/>
      <c r="P1143" s="369"/>
      <c r="Q1143" s="369"/>
      <c r="R1143" s="369"/>
      <c r="S1143" s="30" t="s">
        <v>29</v>
      </c>
      <c r="T1143" s="381" t="e">
        <f>ROUND(T1135-T1142,-2)</f>
        <v>#DIV/0!</v>
      </c>
      <c r="U1143" s="381"/>
      <c r="V1143" s="381"/>
      <c r="W1143" s="39" t="s">
        <v>34</v>
      </c>
    </row>
    <row r="1144" spans="1:24" ht="18.75" customHeight="1">
      <c r="A1144" s="48"/>
      <c r="B1144" s="49"/>
      <c r="C1144" s="49"/>
      <c r="D1144" s="49"/>
      <c r="E1144" s="49"/>
      <c r="F1144" s="49"/>
      <c r="G1144" s="49"/>
      <c r="H1144" s="49"/>
      <c r="I1144" s="49"/>
      <c r="J1144" s="49"/>
      <c r="K1144" s="50"/>
      <c r="M1144" s="48"/>
      <c r="N1144" s="49"/>
      <c r="O1144" s="49"/>
      <c r="P1144" s="49"/>
      <c r="Q1144" s="49"/>
      <c r="R1144" s="49"/>
      <c r="S1144" s="49"/>
      <c r="T1144" s="49"/>
      <c r="U1144" s="49"/>
      <c r="V1144" s="49"/>
      <c r="W1144" s="50"/>
    </row>
    <row r="1145" spans="1:24" ht="18.75" customHeight="1">
      <c r="A1145" s="51"/>
      <c r="B1145" s="30"/>
      <c r="C1145" s="30"/>
      <c r="D1145" s="30"/>
      <c r="E1145" s="30"/>
      <c r="F1145" s="30"/>
      <c r="G1145" s="30"/>
      <c r="H1145" s="30"/>
      <c r="I1145" s="378" t="s">
        <v>73</v>
      </c>
      <c r="J1145" s="378"/>
      <c r="K1145" s="382"/>
      <c r="M1145" s="51"/>
      <c r="N1145" s="30"/>
      <c r="O1145" s="30"/>
      <c r="P1145" s="30"/>
      <c r="Q1145" s="30"/>
      <c r="R1145" s="30"/>
      <c r="S1145" s="30"/>
      <c r="T1145" s="30"/>
      <c r="U1145" s="378" t="s">
        <v>73</v>
      </c>
      <c r="V1145" s="378"/>
      <c r="W1145" s="382"/>
    </row>
    <row r="1146" spans="1:24" ht="18.75" customHeight="1">
      <c r="A1146" s="51"/>
      <c r="B1146" s="377"/>
      <c r="C1146" s="378"/>
      <c r="D1146" s="378"/>
      <c r="E1146" s="378"/>
      <c r="F1146" s="30"/>
      <c r="G1146" s="30"/>
      <c r="H1146" s="30"/>
      <c r="I1146" s="30"/>
      <c r="J1146" s="30"/>
      <c r="K1146" s="32"/>
      <c r="M1146" s="51"/>
      <c r="N1146" s="377"/>
      <c r="O1146" s="378"/>
      <c r="P1146" s="378"/>
      <c r="Q1146" s="378"/>
      <c r="R1146" s="30"/>
      <c r="S1146" s="30"/>
      <c r="T1146" s="30"/>
      <c r="U1146" s="30"/>
      <c r="V1146" s="30"/>
      <c r="W1146" s="32"/>
    </row>
    <row r="1147" spans="1:24" ht="18.75" customHeight="1" thickBot="1">
      <c r="A1147" s="53"/>
      <c r="B1147" s="54"/>
      <c r="C1147" s="54"/>
      <c r="D1147" s="54"/>
      <c r="E1147" s="54"/>
      <c r="F1147" s="54"/>
      <c r="G1147" s="54"/>
      <c r="H1147" s="54"/>
      <c r="I1147" s="379" t="s">
        <v>74</v>
      </c>
      <c r="J1147" s="379"/>
      <c r="K1147" s="380"/>
      <c r="M1147" s="53"/>
      <c r="N1147" s="54"/>
      <c r="O1147" s="54"/>
      <c r="P1147" s="54"/>
      <c r="Q1147" s="54"/>
      <c r="R1147" s="54"/>
      <c r="S1147" s="54"/>
      <c r="T1147" s="54"/>
      <c r="U1147" s="379" t="s">
        <v>74</v>
      </c>
      <c r="V1147" s="379"/>
      <c r="W1147" s="380"/>
    </row>
    <row r="1148" spans="1:24" ht="18.75" customHeight="1" thickTop="1" thickBot="1"/>
    <row r="1149" spans="1:24" ht="18.75" customHeight="1" thickTop="1">
      <c r="A1149" s="351" t="s">
        <v>7</v>
      </c>
      <c r="B1149" s="352"/>
      <c r="C1149" s="352"/>
      <c r="D1149" s="352"/>
      <c r="E1149" s="352"/>
      <c r="F1149" s="352"/>
      <c r="G1149" s="352"/>
      <c r="H1149" s="352"/>
      <c r="I1149" s="352"/>
      <c r="J1149" s="352"/>
      <c r="K1149" s="353"/>
      <c r="L1149" s="26">
        <v>24</v>
      </c>
      <c r="M1149" s="351" t="s">
        <v>7</v>
      </c>
      <c r="N1149" s="352"/>
      <c r="O1149" s="352"/>
      <c r="P1149" s="352"/>
      <c r="Q1149" s="352"/>
      <c r="R1149" s="352"/>
      <c r="S1149" s="352"/>
      <c r="T1149" s="352"/>
      <c r="U1149" s="352"/>
      <c r="V1149" s="352"/>
      <c r="W1149" s="353"/>
      <c r="X1149" s="26">
        <v>24</v>
      </c>
    </row>
    <row r="1150" spans="1:24" ht="18.75" customHeight="1">
      <c r="A1150" s="27" t="s">
        <v>137</v>
      </c>
      <c r="B1150" s="28"/>
      <c r="C1150" s="28"/>
      <c r="D1150" s="28"/>
      <c r="E1150" s="28"/>
      <c r="F1150" s="28"/>
      <c r="G1150" s="28"/>
      <c r="H1150" s="28"/>
      <c r="I1150" s="28"/>
      <c r="J1150" s="28"/>
      <c r="K1150" s="29"/>
      <c r="M1150" s="27" t="s">
        <v>138</v>
      </c>
      <c r="N1150" s="28"/>
      <c r="O1150" s="28"/>
      <c r="P1150" s="28"/>
      <c r="Q1150" s="28"/>
      <c r="R1150" s="28"/>
      <c r="S1150" s="28"/>
      <c r="T1150" s="28"/>
      <c r="U1150" s="28"/>
      <c r="V1150" s="28"/>
      <c r="W1150" s="29"/>
    </row>
    <row r="1151" spans="1:24" ht="18.75" customHeight="1">
      <c r="A1151" s="354" t="s">
        <v>27</v>
      </c>
      <c r="B1151" s="355"/>
      <c r="C1151" s="355"/>
      <c r="D1151" s="355"/>
      <c r="E1151" s="355"/>
      <c r="F1151" s="355"/>
      <c r="G1151" s="355"/>
      <c r="H1151" s="355"/>
      <c r="I1151" s="355"/>
      <c r="J1151" s="355"/>
      <c r="K1151" s="356"/>
      <c r="M1151" s="354" t="s">
        <v>27</v>
      </c>
      <c r="N1151" s="355"/>
      <c r="O1151" s="355"/>
      <c r="P1151" s="355"/>
      <c r="Q1151" s="355"/>
      <c r="R1151" s="355"/>
      <c r="S1151" s="355"/>
      <c r="T1151" s="355"/>
      <c r="U1151" s="355"/>
      <c r="V1151" s="355"/>
      <c r="W1151" s="356"/>
    </row>
    <row r="1152" spans="1:24" ht="18.75" customHeight="1">
      <c r="A1152" s="347" t="s">
        <v>28</v>
      </c>
      <c r="B1152" s="31"/>
      <c r="C1152" s="31"/>
      <c r="D1152" s="31"/>
      <c r="E1152" s="30" t="s">
        <v>29</v>
      </c>
      <c r="F1152" s="31"/>
      <c r="G1152" s="31"/>
      <c r="H1152" s="31"/>
      <c r="I1152" s="31"/>
      <c r="J1152" s="31"/>
      <c r="K1152" s="350"/>
      <c r="M1152" s="347" t="s">
        <v>28</v>
      </c>
      <c r="N1152" s="31"/>
      <c r="O1152" s="31"/>
      <c r="P1152" s="31"/>
      <c r="Q1152" s="30" t="s">
        <v>29</v>
      </c>
      <c r="R1152" s="31"/>
      <c r="S1152" s="31"/>
      <c r="T1152" s="31"/>
      <c r="U1152" s="31"/>
      <c r="V1152" s="31"/>
      <c r="W1152" s="350"/>
    </row>
    <row r="1153" spans="1:24" ht="18.75" customHeight="1">
      <c r="A1153" s="347" t="s">
        <v>30</v>
      </c>
      <c r="B1153" s="31"/>
      <c r="C1153" s="31"/>
      <c r="D1153" s="31"/>
      <c r="E1153" s="30" t="s">
        <v>29</v>
      </c>
      <c r="F1153" s="348"/>
      <c r="G1153" s="348"/>
      <c r="H1153" s="348"/>
      <c r="I1153" s="348"/>
      <c r="J1153" s="348"/>
      <c r="K1153" s="349"/>
      <c r="M1153" s="347" t="s">
        <v>30</v>
      </c>
      <c r="N1153" s="31"/>
      <c r="O1153" s="31"/>
      <c r="P1153" s="31"/>
      <c r="Q1153" s="30" t="s">
        <v>29</v>
      </c>
      <c r="R1153" s="348"/>
      <c r="S1153" s="348"/>
      <c r="T1153" s="348"/>
      <c r="U1153" s="348"/>
      <c r="V1153" s="348"/>
      <c r="W1153" s="349"/>
    </row>
    <row r="1154" spans="1:24" ht="18.75" customHeight="1">
      <c r="A1154" s="347" t="s">
        <v>31</v>
      </c>
      <c r="B1154" s="31"/>
      <c r="C1154" s="31"/>
      <c r="D1154" s="31"/>
      <c r="E1154" s="30" t="s">
        <v>29</v>
      </c>
      <c r="F1154" s="31" t="s">
        <v>139</v>
      </c>
      <c r="G1154" s="31"/>
      <c r="H1154" s="31"/>
      <c r="I1154" s="31"/>
      <c r="J1154" s="31"/>
      <c r="K1154" s="350"/>
      <c r="M1154" s="347" t="s">
        <v>31</v>
      </c>
      <c r="N1154" s="31"/>
      <c r="O1154" s="31"/>
      <c r="P1154" s="31"/>
      <c r="Q1154" s="30" t="s">
        <v>29</v>
      </c>
      <c r="R1154" s="31" t="s">
        <v>139</v>
      </c>
      <c r="S1154" s="31"/>
      <c r="T1154" s="31"/>
      <c r="U1154" s="31"/>
      <c r="V1154" s="31"/>
      <c r="W1154" s="350"/>
    </row>
    <row r="1155" spans="1:24" ht="18.75" customHeight="1">
      <c r="A1155" s="354" t="s">
        <v>32</v>
      </c>
      <c r="B1155" s="355"/>
      <c r="C1155" s="355"/>
      <c r="D1155" s="355"/>
      <c r="E1155" s="355"/>
      <c r="F1155" s="355"/>
      <c r="G1155" s="355"/>
      <c r="H1155" s="355"/>
      <c r="I1155" s="355"/>
      <c r="J1155" s="355"/>
      <c r="K1155" s="356"/>
      <c r="M1155" s="354" t="s">
        <v>32</v>
      </c>
      <c r="N1155" s="355"/>
      <c r="O1155" s="355"/>
      <c r="P1155" s="355"/>
      <c r="Q1155" s="355"/>
      <c r="R1155" s="355"/>
      <c r="S1155" s="355"/>
      <c r="T1155" s="355"/>
      <c r="U1155" s="355"/>
      <c r="V1155" s="355"/>
      <c r="W1155" s="356"/>
    </row>
    <row r="1156" spans="1:24" ht="18.75" customHeight="1">
      <c r="A1156" s="347" t="s">
        <v>33</v>
      </c>
      <c r="B1156" s="31"/>
      <c r="C1156" s="31"/>
      <c r="D1156" s="31"/>
      <c r="E1156" s="30" t="s">
        <v>29</v>
      </c>
      <c r="F1156" s="361">
        <v>2915400</v>
      </c>
      <c r="G1156" s="361"/>
      <c r="H1156" s="361"/>
      <c r="I1156" s="361"/>
      <c r="J1156" s="30" t="s">
        <v>34</v>
      </c>
      <c r="K1156" s="32"/>
      <c r="M1156" s="347" t="s">
        <v>33</v>
      </c>
      <c r="N1156" s="31"/>
      <c r="O1156" s="31"/>
      <c r="P1156" s="31"/>
      <c r="Q1156" s="30" t="s">
        <v>29</v>
      </c>
      <c r="R1156" s="361">
        <v>2915400</v>
      </c>
      <c r="S1156" s="361"/>
      <c r="T1156" s="361"/>
      <c r="U1156" s="361"/>
      <c r="V1156" s="30" t="s">
        <v>34</v>
      </c>
      <c r="W1156" s="32"/>
    </row>
    <row r="1157" spans="1:24" ht="18.75" customHeight="1">
      <c r="A1157" s="33" t="s">
        <v>35</v>
      </c>
      <c r="B1157" s="30"/>
      <c r="C1157" s="34"/>
      <c r="D1157" s="35"/>
      <c r="E1157" s="36"/>
      <c r="F1157" s="36"/>
      <c r="G1157" s="36"/>
      <c r="H1157" s="30"/>
      <c r="I1157" s="37"/>
      <c r="J1157" s="38"/>
      <c r="K1157" s="39"/>
      <c r="M1157" s="33" t="s">
        <v>35</v>
      </c>
      <c r="N1157" s="30"/>
      <c r="O1157" s="34"/>
      <c r="P1157" s="35"/>
      <c r="Q1157" s="36"/>
      <c r="R1157" s="36"/>
      <c r="S1157" s="36"/>
      <c r="T1157" s="30"/>
      <c r="U1157" s="37"/>
      <c r="V1157" s="38"/>
      <c r="W1157" s="39"/>
    </row>
    <row r="1158" spans="1:24" ht="18.75" customHeight="1">
      <c r="A1158" s="33" t="s">
        <v>36</v>
      </c>
      <c r="B1158" s="30"/>
      <c r="C1158" s="34"/>
      <c r="D1158" s="35"/>
      <c r="E1158" s="36"/>
      <c r="F1158" s="36"/>
      <c r="G1158" s="36"/>
      <c r="H1158" s="30"/>
      <c r="I1158" s="37" t="e">
        <f>I1159/C1159/8</f>
        <v>#DIV/0!</v>
      </c>
      <c r="J1158" s="38"/>
      <c r="K1158" s="39"/>
      <c r="M1158" s="33" t="s">
        <v>36</v>
      </c>
      <c r="N1158" s="30"/>
      <c r="O1158" s="34"/>
      <c r="P1158" s="35"/>
      <c r="Q1158" s="36"/>
      <c r="R1158" s="36"/>
      <c r="S1158" s="36"/>
      <c r="T1158" s="30"/>
      <c r="U1158" s="37" t="e">
        <f>U1159/O1159/8</f>
        <v>#DIV/0!</v>
      </c>
      <c r="V1158" s="38"/>
      <c r="W1158" s="39"/>
    </row>
    <row r="1159" spans="1:24" ht="18.75" customHeight="1">
      <c r="A1159" s="33" t="s">
        <v>37</v>
      </c>
      <c r="B1159" s="30" t="s">
        <v>29</v>
      </c>
      <c r="C1159" s="34"/>
      <c r="D1159" s="35" t="s">
        <v>38</v>
      </c>
      <c r="E1159" s="359" t="s">
        <v>39</v>
      </c>
      <c r="F1159" s="359"/>
      <c r="G1159" s="359"/>
      <c r="H1159" s="30" t="s">
        <v>29</v>
      </c>
      <c r="I1159" s="360" t="e">
        <f>I1157*680/((C1159-C1166)*8+C1166*7+C1163)*((C1159-C1166)*8+C1166*7)</f>
        <v>#DIV/0!</v>
      </c>
      <c r="J1159" s="360"/>
      <c r="K1159" s="39" t="s">
        <v>34</v>
      </c>
      <c r="L1159" s="40">
        <f>F1156/L1149*C1159</f>
        <v>0</v>
      </c>
      <c r="M1159" s="33" t="s">
        <v>37</v>
      </c>
      <c r="N1159" s="30" t="s">
        <v>29</v>
      </c>
      <c r="O1159" s="34"/>
      <c r="P1159" s="35" t="s">
        <v>38</v>
      </c>
      <c r="Q1159" s="359" t="s">
        <v>39</v>
      </c>
      <c r="R1159" s="359"/>
      <c r="S1159" s="359"/>
      <c r="T1159" s="30" t="s">
        <v>29</v>
      </c>
      <c r="U1159" s="360" t="e">
        <f>U1157*680/((O1159-O1166)*8+O1166*7+O1163)*((O1159-O1166)*8+O1166*7)</f>
        <v>#DIV/0!</v>
      </c>
      <c r="V1159" s="360"/>
      <c r="W1159" s="39" t="s">
        <v>34</v>
      </c>
      <c r="X1159" s="40">
        <f>R1156/X1149*O1159</f>
        <v>0</v>
      </c>
    </row>
    <row r="1160" spans="1:24" ht="18.75" customHeight="1">
      <c r="A1160" s="33" t="s">
        <v>40</v>
      </c>
      <c r="B1160" s="30" t="s">
        <v>29</v>
      </c>
      <c r="C1160" s="34"/>
      <c r="D1160" s="35" t="s">
        <v>38</v>
      </c>
      <c r="E1160" s="31" t="s">
        <v>41</v>
      </c>
      <c r="F1160" s="31"/>
      <c r="G1160" s="31"/>
      <c r="H1160" s="30" t="s">
        <v>29</v>
      </c>
      <c r="I1160" s="358">
        <f>$F$8/$L$1*C1160</f>
        <v>0</v>
      </c>
      <c r="J1160" s="358"/>
      <c r="K1160" s="39" t="s">
        <v>34</v>
      </c>
      <c r="L1160" s="40"/>
      <c r="M1160" s="33" t="s">
        <v>40</v>
      </c>
      <c r="N1160" s="30" t="s">
        <v>29</v>
      </c>
      <c r="O1160" s="34"/>
      <c r="P1160" s="35" t="s">
        <v>38</v>
      </c>
      <c r="Q1160" s="31" t="s">
        <v>41</v>
      </c>
      <c r="R1160" s="31"/>
      <c r="S1160" s="31"/>
      <c r="T1160" s="30" t="s">
        <v>29</v>
      </c>
      <c r="U1160" s="358">
        <f>$F$8/$L$1*O1160</f>
        <v>0</v>
      </c>
      <c r="V1160" s="358"/>
      <c r="W1160" s="39" t="s">
        <v>34</v>
      </c>
      <c r="X1160" s="40"/>
    </row>
    <row r="1161" spans="1:24" ht="18.75" customHeight="1">
      <c r="A1161" s="33" t="s">
        <v>42</v>
      </c>
      <c r="B1161" s="30" t="s">
        <v>29</v>
      </c>
      <c r="C1161" s="34"/>
      <c r="D1161" s="35" t="s">
        <v>38</v>
      </c>
      <c r="E1161" s="357" t="s">
        <v>43</v>
      </c>
      <c r="F1161" s="357"/>
      <c r="G1161" s="357"/>
      <c r="H1161" s="30" t="s">
        <v>29</v>
      </c>
      <c r="I1161" s="358">
        <f>$F$8/$L$1*C1161</f>
        <v>0</v>
      </c>
      <c r="J1161" s="358"/>
      <c r="K1161" s="39" t="s">
        <v>34</v>
      </c>
      <c r="L1161" s="40"/>
      <c r="M1161" s="33" t="s">
        <v>42</v>
      </c>
      <c r="N1161" s="30" t="s">
        <v>29</v>
      </c>
      <c r="O1161" s="34"/>
      <c r="P1161" s="35" t="s">
        <v>38</v>
      </c>
      <c r="Q1161" s="357" t="s">
        <v>43</v>
      </c>
      <c r="R1161" s="357"/>
      <c r="S1161" s="357"/>
      <c r="T1161" s="30" t="s">
        <v>29</v>
      </c>
      <c r="U1161" s="358">
        <f>$F$8/$L$1*O1161</f>
        <v>0</v>
      </c>
      <c r="V1161" s="358"/>
      <c r="W1161" s="39" t="s">
        <v>34</v>
      </c>
      <c r="X1161" s="40"/>
    </row>
    <row r="1162" spans="1:24" ht="18.75" customHeight="1">
      <c r="A1162" s="33" t="s">
        <v>44</v>
      </c>
      <c r="B1162" s="30" t="s">
        <v>29</v>
      </c>
      <c r="C1162" s="34"/>
      <c r="D1162" s="35" t="s">
        <v>38</v>
      </c>
      <c r="E1162" s="357" t="s">
        <v>45</v>
      </c>
      <c r="F1162" s="357"/>
      <c r="G1162" s="357"/>
      <c r="H1162" s="30" t="s">
        <v>29</v>
      </c>
      <c r="I1162" s="358">
        <f>$F$8/$L$1*C1162</f>
        <v>0</v>
      </c>
      <c r="J1162" s="358"/>
      <c r="K1162" s="39" t="s">
        <v>34</v>
      </c>
      <c r="L1162" s="40"/>
      <c r="M1162" s="33" t="s">
        <v>44</v>
      </c>
      <c r="N1162" s="30" t="s">
        <v>29</v>
      </c>
      <c r="O1162" s="34"/>
      <c r="P1162" s="35" t="s">
        <v>38</v>
      </c>
      <c r="Q1162" s="357" t="s">
        <v>45</v>
      </c>
      <c r="R1162" s="357"/>
      <c r="S1162" s="357"/>
      <c r="T1162" s="30" t="s">
        <v>29</v>
      </c>
      <c r="U1162" s="358">
        <f>$F$8/$L$1*O1162</f>
        <v>0</v>
      </c>
      <c r="V1162" s="358"/>
      <c r="W1162" s="39" t="s">
        <v>34</v>
      </c>
      <c r="X1162" s="40"/>
    </row>
    <row r="1163" spans="1:24" ht="18.75" customHeight="1">
      <c r="A1163" s="33" t="s">
        <v>46</v>
      </c>
      <c r="B1163" s="30" t="s">
        <v>29</v>
      </c>
      <c r="C1163" s="34"/>
      <c r="D1163" s="35" t="s">
        <v>47</v>
      </c>
      <c r="E1163" s="31" t="s">
        <v>48</v>
      </c>
      <c r="F1163" s="31"/>
      <c r="G1163" s="31"/>
      <c r="H1163" s="30" t="s">
        <v>29</v>
      </c>
      <c r="I1163" s="358" t="e">
        <f>I1159/C1159/8*C1163</f>
        <v>#DIV/0!</v>
      </c>
      <c r="J1163" s="358"/>
      <c r="K1163" s="39" t="s">
        <v>34</v>
      </c>
      <c r="L1163" s="40">
        <f>F1156*C1163/L1149/8*1.5</f>
        <v>0</v>
      </c>
      <c r="M1163" s="33" t="s">
        <v>46</v>
      </c>
      <c r="N1163" s="30" t="s">
        <v>29</v>
      </c>
      <c r="O1163" s="34"/>
      <c r="P1163" s="35" t="s">
        <v>47</v>
      </c>
      <c r="Q1163" s="31" t="s">
        <v>48</v>
      </c>
      <c r="R1163" s="31"/>
      <c r="S1163" s="31"/>
      <c r="T1163" s="30" t="s">
        <v>29</v>
      </c>
      <c r="U1163" s="358" t="e">
        <f>U1159/O1159/8*O1163</f>
        <v>#DIV/0!</v>
      </c>
      <c r="V1163" s="358"/>
      <c r="W1163" s="39" t="s">
        <v>34</v>
      </c>
      <c r="X1163" s="40">
        <f>R1156*O1163/X1149/8*1.5</f>
        <v>0</v>
      </c>
    </row>
    <row r="1164" spans="1:24" ht="18.75" customHeight="1">
      <c r="A1164" s="347" t="s">
        <v>49</v>
      </c>
      <c r="B1164" s="31"/>
      <c r="C1164" s="34"/>
      <c r="D1164" s="35" t="s">
        <v>38</v>
      </c>
      <c r="E1164" s="31" t="s">
        <v>50</v>
      </c>
      <c r="F1164" s="31"/>
      <c r="G1164" s="31"/>
      <c r="H1164" s="41" t="s">
        <v>29</v>
      </c>
      <c r="I1164" s="358"/>
      <c r="J1164" s="358"/>
      <c r="K1164" s="39" t="s">
        <v>34</v>
      </c>
      <c r="L1164" s="40"/>
      <c r="M1164" s="347" t="s">
        <v>49</v>
      </c>
      <c r="N1164" s="31"/>
      <c r="O1164" s="34"/>
      <c r="P1164" s="35" t="s">
        <v>38</v>
      </c>
      <c r="Q1164" s="31" t="s">
        <v>50</v>
      </c>
      <c r="R1164" s="31"/>
      <c r="S1164" s="31"/>
      <c r="T1164" s="41" t="s">
        <v>29</v>
      </c>
      <c r="U1164" s="358"/>
      <c r="V1164" s="358"/>
      <c r="W1164" s="39" t="s">
        <v>34</v>
      </c>
      <c r="X1164" s="40"/>
    </row>
    <row r="1165" spans="1:24" ht="18.75" customHeight="1">
      <c r="A1165" s="33" t="s">
        <v>51</v>
      </c>
      <c r="B1165" s="30" t="s">
        <v>29</v>
      </c>
      <c r="C1165" s="34"/>
      <c r="D1165" s="35" t="s">
        <v>38</v>
      </c>
      <c r="E1165" s="31" t="s">
        <v>52</v>
      </c>
      <c r="F1165" s="31"/>
      <c r="G1165" s="31"/>
      <c r="H1165" s="30" t="s">
        <v>29</v>
      </c>
      <c r="I1165" s="358"/>
      <c r="J1165" s="358"/>
      <c r="K1165" s="39" t="s">
        <v>34</v>
      </c>
      <c r="L1165" s="40"/>
      <c r="M1165" s="33" t="s">
        <v>51</v>
      </c>
      <c r="N1165" s="30" t="s">
        <v>29</v>
      </c>
      <c r="O1165" s="34"/>
      <c r="P1165" s="35" t="s">
        <v>38</v>
      </c>
      <c r="Q1165" s="31" t="s">
        <v>52</v>
      </c>
      <c r="R1165" s="31"/>
      <c r="S1165" s="31"/>
      <c r="T1165" s="30" t="s">
        <v>29</v>
      </c>
      <c r="U1165" s="358"/>
      <c r="V1165" s="358"/>
      <c r="W1165" s="39" t="s">
        <v>34</v>
      </c>
      <c r="X1165" s="40"/>
    </row>
    <row r="1166" spans="1:24" ht="18.75" customHeight="1">
      <c r="A1166" s="42" t="s">
        <v>53</v>
      </c>
      <c r="B1166" s="30"/>
      <c r="C1166" s="34"/>
      <c r="D1166" s="35" t="s">
        <v>47</v>
      </c>
      <c r="E1166" s="31" t="s">
        <v>54</v>
      </c>
      <c r="F1166" s="31"/>
      <c r="G1166" s="31"/>
      <c r="H1166" s="30" t="s">
        <v>29</v>
      </c>
      <c r="I1166" s="358">
        <f>$F$8*C1166/8/$L$1</f>
        <v>0</v>
      </c>
      <c r="J1166" s="358"/>
      <c r="K1166" s="39" t="s">
        <v>34</v>
      </c>
      <c r="L1166" s="40"/>
      <c r="M1166" s="42" t="s">
        <v>53</v>
      </c>
      <c r="N1166" s="30"/>
      <c r="O1166" s="34"/>
      <c r="P1166" s="35" t="s">
        <v>47</v>
      </c>
      <c r="Q1166" s="31" t="s">
        <v>54</v>
      </c>
      <c r="R1166" s="31"/>
      <c r="S1166" s="31"/>
      <c r="T1166" s="30" t="s">
        <v>29</v>
      </c>
      <c r="U1166" s="358">
        <f>$F$8*O1166/8/$L$1</f>
        <v>0</v>
      </c>
      <c r="V1166" s="358"/>
      <c r="W1166" s="39" t="s">
        <v>34</v>
      </c>
      <c r="X1166" s="40"/>
    </row>
    <row r="1167" spans="1:24" ht="18.75" customHeight="1">
      <c r="A1167" s="33" t="s">
        <v>55</v>
      </c>
      <c r="B1167" s="30" t="s">
        <v>29</v>
      </c>
      <c r="C1167" s="34"/>
      <c r="D1167" s="35" t="s">
        <v>47</v>
      </c>
      <c r="E1167" s="31" t="s">
        <v>56</v>
      </c>
      <c r="F1167" s="31"/>
      <c r="G1167" s="31"/>
      <c r="H1167" s="30" t="s">
        <v>29</v>
      </c>
      <c r="I1167" s="360"/>
      <c r="J1167" s="360"/>
      <c r="K1167" s="39" t="s">
        <v>34</v>
      </c>
      <c r="L1167" s="40"/>
      <c r="M1167" s="33" t="s">
        <v>55</v>
      </c>
      <c r="N1167" s="30" t="s">
        <v>29</v>
      </c>
      <c r="O1167" s="34"/>
      <c r="P1167" s="35" t="s">
        <v>47</v>
      </c>
      <c r="Q1167" s="31" t="s">
        <v>56</v>
      </c>
      <c r="R1167" s="31"/>
      <c r="S1167" s="31"/>
      <c r="T1167" s="30" t="s">
        <v>29</v>
      </c>
      <c r="U1167" s="360"/>
      <c r="V1167" s="360"/>
      <c r="W1167" s="39" t="s">
        <v>34</v>
      </c>
      <c r="X1167" s="40"/>
    </row>
    <row r="1168" spans="1:24" ht="18.75" customHeight="1">
      <c r="A1168" s="33" t="s">
        <v>57</v>
      </c>
      <c r="B1168" s="30" t="s">
        <v>29</v>
      </c>
      <c r="C1168" s="34"/>
      <c r="D1168" s="35" t="s">
        <v>58</v>
      </c>
      <c r="E1168" s="31" t="s">
        <v>59</v>
      </c>
      <c r="F1168" s="31"/>
      <c r="G1168" s="31"/>
      <c r="H1168" s="30" t="s">
        <v>29</v>
      </c>
      <c r="I1168" s="358"/>
      <c r="J1168" s="358"/>
      <c r="K1168" s="39" t="s">
        <v>34</v>
      </c>
      <c r="L1168" s="40" t="e">
        <f>+IF(L1159-I1159&lt;0,0,L1159-I1159)+IF(L1163-I1163&lt;0,0,L1163-I1163)</f>
        <v>#DIV/0!</v>
      </c>
      <c r="M1168" s="33" t="s">
        <v>57</v>
      </c>
      <c r="N1168" s="30" t="s">
        <v>29</v>
      </c>
      <c r="O1168" s="34"/>
      <c r="P1168" s="35" t="s">
        <v>58</v>
      </c>
      <c r="Q1168" s="31" t="s">
        <v>59</v>
      </c>
      <c r="R1168" s="31"/>
      <c r="S1168" s="31"/>
      <c r="T1168" s="30" t="s">
        <v>29</v>
      </c>
      <c r="U1168" s="358"/>
      <c r="V1168" s="358"/>
      <c r="W1168" s="39" t="s">
        <v>34</v>
      </c>
      <c r="X1168" s="40" t="e">
        <f>+IF(X1159-U1159&lt;0,0,X1159-U1159)+IF(X1163-U1163&lt;0,0,X1163-U1163)</f>
        <v>#DIV/0!</v>
      </c>
    </row>
    <row r="1169" spans="1:24" ht="18.75" customHeight="1">
      <c r="A1169" s="43" t="s">
        <v>60</v>
      </c>
      <c r="B1169" s="44"/>
      <c r="C1169" s="34"/>
      <c r="D1169" s="35" t="s">
        <v>38</v>
      </c>
      <c r="E1169" s="31" t="s">
        <v>61</v>
      </c>
      <c r="F1169" s="31"/>
      <c r="G1169" s="31"/>
      <c r="H1169" s="30" t="s">
        <v>29</v>
      </c>
      <c r="I1169" s="358"/>
      <c r="J1169" s="358"/>
      <c r="K1169" s="39" t="s">
        <v>34</v>
      </c>
      <c r="L1169" s="40"/>
      <c r="M1169" s="43" t="s">
        <v>60</v>
      </c>
      <c r="N1169" s="44"/>
      <c r="O1169" s="34"/>
      <c r="P1169" s="35" t="s">
        <v>38</v>
      </c>
      <c r="Q1169" s="31" t="s">
        <v>61</v>
      </c>
      <c r="R1169" s="31"/>
      <c r="S1169" s="31"/>
      <c r="T1169" s="30" t="s">
        <v>29</v>
      </c>
      <c r="U1169" s="358"/>
      <c r="V1169" s="358"/>
      <c r="W1169" s="39" t="s">
        <v>34</v>
      </c>
      <c r="X1169" s="40"/>
    </row>
    <row r="1170" spans="1:24" ht="18.75" customHeight="1">
      <c r="A1170" s="383" t="s">
        <v>62</v>
      </c>
      <c r="B1170" s="359"/>
      <c r="C1170" s="34"/>
      <c r="D1170" s="35"/>
      <c r="E1170" s="36"/>
      <c r="F1170" s="36"/>
      <c r="G1170" s="36"/>
      <c r="H1170" s="30" t="s">
        <v>29</v>
      </c>
      <c r="I1170" s="358"/>
      <c r="J1170" s="358"/>
      <c r="K1170" s="39" t="s">
        <v>34</v>
      </c>
      <c r="L1170" s="40"/>
      <c r="M1170" s="383" t="s">
        <v>62</v>
      </c>
      <c r="N1170" s="359"/>
      <c r="O1170" s="34"/>
      <c r="P1170" s="35"/>
      <c r="Q1170" s="36"/>
      <c r="R1170" s="36"/>
      <c r="S1170" s="36"/>
      <c r="T1170" s="30" t="s">
        <v>29</v>
      </c>
      <c r="U1170" s="358"/>
      <c r="V1170" s="358"/>
      <c r="W1170" s="39" t="s">
        <v>34</v>
      </c>
      <c r="X1170" s="40"/>
    </row>
    <row r="1171" spans="1:24" ht="18.75" customHeight="1">
      <c r="A1171" s="33" t="s">
        <v>63</v>
      </c>
      <c r="B1171" s="30" t="s">
        <v>29</v>
      </c>
      <c r="C1171" s="34"/>
      <c r="D1171" s="35"/>
      <c r="E1171" s="36" t="s">
        <v>64</v>
      </c>
      <c r="F1171" s="36"/>
      <c r="G1171" s="36"/>
      <c r="H1171" s="30" t="s">
        <v>29</v>
      </c>
      <c r="I1171" s="358" t="e">
        <f>L1168</f>
        <v>#DIV/0!</v>
      </c>
      <c r="J1171" s="358"/>
      <c r="K1171" s="39" t="s">
        <v>34</v>
      </c>
      <c r="L1171" s="40"/>
      <c r="M1171" s="33" t="s">
        <v>63</v>
      </c>
      <c r="N1171" s="30" t="s">
        <v>29</v>
      </c>
      <c r="O1171" s="34"/>
      <c r="P1171" s="35"/>
      <c r="Q1171" s="36" t="s">
        <v>64</v>
      </c>
      <c r="R1171" s="36"/>
      <c r="S1171" s="36"/>
      <c r="T1171" s="30" t="s">
        <v>29</v>
      </c>
      <c r="U1171" s="358" t="e">
        <f>X1168</f>
        <v>#DIV/0!</v>
      </c>
      <c r="V1171" s="358"/>
      <c r="W1171" s="39" t="s">
        <v>34</v>
      </c>
      <c r="X1171" s="40"/>
    </row>
    <row r="1172" spans="1:24" ht="18.75" customHeight="1">
      <c r="A1172" s="362" t="s">
        <v>65</v>
      </c>
      <c r="B1172" s="363"/>
      <c r="C1172" s="363"/>
      <c r="D1172" s="363"/>
      <c r="E1172" s="363"/>
      <c r="F1172" s="363"/>
      <c r="G1172" s="30" t="s">
        <v>29</v>
      </c>
      <c r="H1172" s="365" t="e">
        <f>I1159+I1160+I1161+I1162+I1163+I1166+I1170+I1171</f>
        <v>#DIV/0!</v>
      </c>
      <c r="I1172" s="365"/>
      <c r="J1172" s="365"/>
      <c r="K1172" s="39" t="s">
        <v>34</v>
      </c>
      <c r="M1172" s="362" t="s">
        <v>65</v>
      </c>
      <c r="N1172" s="363"/>
      <c r="O1172" s="363"/>
      <c r="P1172" s="363"/>
      <c r="Q1172" s="363"/>
      <c r="R1172" s="363"/>
      <c r="S1172" s="30" t="s">
        <v>29</v>
      </c>
      <c r="T1172" s="365" t="e">
        <f>U1159+U1160+U1161+U1162+U1163+U1166+U1170+U1171</f>
        <v>#DIV/0!</v>
      </c>
      <c r="U1172" s="365"/>
      <c r="V1172" s="365"/>
      <c r="W1172" s="39" t="s">
        <v>34</v>
      </c>
    </row>
    <row r="1173" spans="1:24" ht="18.75" customHeight="1">
      <c r="A1173" s="45"/>
      <c r="B1173" s="46"/>
      <c r="C1173" s="46"/>
      <c r="D1173" s="46"/>
      <c r="E1173" s="46"/>
      <c r="F1173" s="46"/>
      <c r="G1173" s="46"/>
      <c r="H1173" s="46"/>
      <c r="I1173" s="46"/>
      <c r="J1173" s="46"/>
      <c r="K1173" s="47"/>
      <c r="M1173" s="45"/>
      <c r="N1173" s="46"/>
      <c r="O1173" s="46"/>
      <c r="P1173" s="46"/>
      <c r="Q1173" s="46"/>
      <c r="R1173" s="46"/>
      <c r="S1173" s="46"/>
      <c r="T1173" s="46"/>
      <c r="U1173" s="46"/>
      <c r="V1173" s="46"/>
      <c r="W1173" s="47"/>
    </row>
    <row r="1174" spans="1:24" ht="18.75" customHeight="1">
      <c r="A1174" s="374" t="s">
        <v>66</v>
      </c>
      <c r="B1174" s="375"/>
      <c r="C1174" s="375"/>
      <c r="D1174" s="375"/>
      <c r="E1174" s="375"/>
      <c r="F1174" s="375"/>
      <c r="G1174" s="30"/>
      <c r="H1174" s="30"/>
      <c r="I1174" s="30"/>
      <c r="J1174" s="30"/>
      <c r="K1174" s="39"/>
      <c r="M1174" s="374" t="s">
        <v>66</v>
      </c>
      <c r="N1174" s="375"/>
      <c r="O1174" s="375"/>
      <c r="P1174" s="375"/>
      <c r="Q1174" s="375"/>
      <c r="R1174" s="375"/>
      <c r="S1174" s="30"/>
      <c r="T1174" s="30"/>
      <c r="U1174" s="30"/>
      <c r="V1174" s="30"/>
      <c r="W1174" s="39"/>
    </row>
    <row r="1175" spans="1:24" ht="18.75" customHeight="1">
      <c r="A1175" s="368" t="s">
        <v>67</v>
      </c>
      <c r="B1175" s="369"/>
      <c r="C1175" s="369"/>
      <c r="D1175" s="369"/>
      <c r="E1175" s="369"/>
      <c r="F1175" s="369"/>
      <c r="G1175" s="30" t="s">
        <v>29</v>
      </c>
      <c r="H1175" s="376">
        <f>IF(($L$1-(C1159+C1160+C1161+C1162))&gt;12,0,F1156*8%)</f>
        <v>0</v>
      </c>
      <c r="I1175" s="376"/>
      <c r="J1175" s="376"/>
      <c r="K1175" s="39" t="s">
        <v>34</v>
      </c>
      <c r="M1175" s="368" t="s">
        <v>67</v>
      </c>
      <c r="N1175" s="369"/>
      <c r="O1175" s="369"/>
      <c r="P1175" s="369"/>
      <c r="Q1175" s="369"/>
      <c r="R1175" s="369"/>
      <c r="S1175" s="30" t="s">
        <v>29</v>
      </c>
      <c r="T1175" s="376">
        <f t="shared" ref="T1175:T1180" si="0">IF(($L$1-(O1159+O1160+O1161+O1162))&gt;12,0,R1156*8%)</f>
        <v>0</v>
      </c>
      <c r="U1175" s="376"/>
      <c r="V1175" s="376"/>
      <c r="W1175" s="39" t="s">
        <v>34</v>
      </c>
    </row>
    <row r="1176" spans="1:24" ht="18.75" customHeight="1">
      <c r="A1176" s="368" t="s">
        <v>68</v>
      </c>
      <c r="B1176" s="369"/>
      <c r="C1176" s="369"/>
      <c r="D1176" s="369"/>
      <c r="E1176" s="369"/>
      <c r="F1176" s="369"/>
      <c r="G1176" s="30" t="s">
        <v>29</v>
      </c>
      <c r="H1176" s="370">
        <f>IF(($L$1-(C1159+C1160+C1161+C1162))&gt;12,0,F1156*1.5%)</f>
        <v>0</v>
      </c>
      <c r="I1176" s="370"/>
      <c r="J1176" s="370"/>
      <c r="K1176" s="39" t="s">
        <v>34</v>
      </c>
      <c r="M1176" s="368" t="s">
        <v>68</v>
      </c>
      <c r="N1176" s="369"/>
      <c r="O1176" s="369"/>
      <c r="P1176" s="369"/>
      <c r="Q1176" s="369"/>
      <c r="R1176" s="369"/>
      <c r="S1176" s="30" t="s">
        <v>29</v>
      </c>
      <c r="T1176" s="376">
        <f t="shared" si="0"/>
        <v>0</v>
      </c>
      <c r="U1176" s="376"/>
      <c r="V1176" s="376"/>
      <c r="W1176" s="39" t="s">
        <v>34</v>
      </c>
    </row>
    <row r="1177" spans="1:24" ht="18.75" customHeight="1">
      <c r="A1177" s="368" t="s">
        <v>69</v>
      </c>
      <c r="B1177" s="369"/>
      <c r="C1177" s="369"/>
      <c r="D1177" s="369"/>
      <c r="E1177" s="369"/>
      <c r="F1177" s="369"/>
      <c r="G1177" s="30" t="s">
        <v>29</v>
      </c>
      <c r="H1177" s="370">
        <f>IF(($L$1-(C1159+C1160+C1161+C1162))&gt;12,0,F1156*1%)</f>
        <v>0</v>
      </c>
      <c r="I1177" s="370"/>
      <c r="J1177" s="370"/>
      <c r="K1177" s="39" t="s">
        <v>34</v>
      </c>
      <c r="M1177" s="368" t="s">
        <v>69</v>
      </c>
      <c r="N1177" s="369"/>
      <c r="O1177" s="369"/>
      <c r="P1177" s="369"/>
      <c r="Q1177" s="369"/>
      <c r="R1177" s="369"/>
      <c r="S1177" s="30" t="s">
        <v>29</v>
      </c>
      <c r="T1177" s="376">
        <f t="shared" si="0"/>
        <v>0</v>
      </c>
      <c r="U1177" s="376"/>
      <c r="V1177" s="376"/>
      <c r="W1177" s="39" t="s">
        <v>34</v>
      </c>
    </row>
    <row r="1178" spans="1:24" ht="18.75" customHeight="1">
      <c r="A1178" s="368" t="s">
        <v>70</v>
      </c>
      <c r="B1178" s="369"/>
      <c r="C1178" s="369"/>
      <c r="D1178" s="369"/>
      <c r="E1178" s="369"/>
      <c r="F1178" s="369"/>
      <c r="G1178" s="30" t="s">
        <v>29</v>
      </c>
      <c r="H1178" s="370">
        <v>0</v>
      </c>
      <c r="I1178" s="370"/>
      <c r="J1178" s="370"/>
      <c r="K1178" s="39" t="s">
        <v>34</v>
      </c>
      <c r="M1178" s="368" t="s">
        <v>70</v>
      </c>
      <c r="N1178" s="369"/>
      <c r="O1178" s="369"/>
      <c r="P1178" s="369"/>
      <c r="Q1178" s="369"/>
      <c r="R1178" s="369"/>
      <c r="S1178" s="30" t="s">
        <v>29</v>
      </c>
      <c r="T1178" s="376">
        <f t="shared" si="0"/>
        <v>0</v>
      </c>
      <c r="U1178" s="376"/>
      <c r="V1178" s="376"/>
      <c r="W1178" s="39" t="s">
        <v>34</v>
      </c>
    </row>
    <row r="1179" spans="1:24" ht="18.75" customHeight="1">
      <c r="A1179" s="371" t="s">
        <v>71</v>
      </c>
      <c r="B1179" s="372"/>
      <c r="C1179" s="372"/>
      <c r="D1179" s="372"/>
      <c r="E1179" s="372"/>
      <c r="F1179" s="372"/>
      <c r="G1179" s="30" t="s">
        <v>29</v>
      </c>
      <c r="H1179" s="373">
        <f>SUM(H1175:J1178)</f>
        <v>0</v>
      </c>
      <c r="I1179" s="373"/>
      <c r="J1179" s="373"/>
      <c r="K1179" s="39" t="s">
        <v>34</v>
      </c>
      <c r="M1179" s="371" t="s">
        <v>71</v>
      </c>
      <c r="N1179" s="372"/>
      <c r="O1179" s="372"/>
      <c r="P1179" s="372"/>
      <c r="Q1179" s="372"/>
      <c r="R1179" s="372"/>
      <c r="S1179" s="30" t="s">
        <v>29</v>
      </c>
      <c r="T1179" s="376">
        <f t="shared" si="0"/>
        <v>0</v>
      </c>
      <c r="U1179" s="376"/>
      <c r="V1179" s="376"/>
      <c r="W1179" s="39" t="s">
        <v>34</v>
      </c>
    </row>
    <row r="1180" spans="1:24" ht="18.75" customHeight="1">
      <c r="A1180" s="368" t="s">
        <v>72</v>
      </c>
      <c r="B1180" s="369"/>
      <c r="C1180" s="369"/>
      <c r="D1180" s="369"/>
      <c r="E1180" s="369"/>
      <c r="F1180" s="369"/>
      <c r="G1180" s="30" t="s">
        <v>29</v>
      </c>
      <c r="H1180" s="381" t="e">
        <f>ROUND(H1172-H1179,-2)</f>
        <v>#DIV/0!</v>
      </c>
      <c r="I1180" s="381"/>
      <c r="J1180" s="381"/>
      <c r="K1180" s="39" t="s">
        <v>34</v>
      </c>
      <c r="M1180" s="368" t="s">
        <v>72</v>
      </c>
      <c r="N1180" s="369"/>
      <c r="O1180" s="369"/>
      <c r="P1180" s="369"/>
      <c r="Q1180" s="369"/>
      <c r="R1180" s="369"/>
      <c r="S1180" s="30" t="s">
        <v>29</v>
      </c>
      <c r="T1180" s="376">
        <f t="shared" si="0"/>
        <v>0</v>
      </c>
      <c r="U1180" s="376"/>
      <c r="V1180" s="376"/>
      <c r="W1180" s="39" t="s">
        <v>34</v>
      </c>
    </row>
    <row r="1181" spans="1:24" ht="18.75" customHeight="1">
      <c r="A1181" s="48"/>
      <c r="B1181" s="49"/>
      <c r="C1181" s="49"/>
      <c r="D1181" s="49"/>
      <c r="E1181" s="49"/>
      <c r="F1181" s="49"/>
      <c r="G1181" s="49"/>
      <c r="H1181" s="49"/>
      <c r="I1181" s="49"/>
      <c r="J1181" s="49"/>
      <c r="K1181" s="50"/>
      <c r="M1181" s="48"/>
      <c r="N1181" s="49"/>
      <c r="O1181" s="49"/>
      <c r="P1181" s="49"/>
      <c r="Q1181" s="49"/>
      <c r="R1181" s="49"/>
      <c r="S1181" s="49"/>
      <c r="T1181" s="49"/>
      <c r="U1181" s="49"/>
      <c r="V1181" s="49"/>
      <c r="W1181" s="50"/>
    </row>
    <row r="1182" spans="1:24" ht="18.75" customHeight="1">
      <c r="A1182" s="51"/>
      <c r="B1182" s="30"/>
      <c r="C1182" s="30"/>
      <c r="D1182" s="30"/>
      <c r="E1182" s="30"/>
      <c r="F1182" s="30"/>
      <c r="G1182" s="30"/>
      <c r="H1182" s="30"/>
      <c r="I1182" s="378" t="s">
        <v>73</v>
      </c>
      <c r="J1182" s="378"/>
      <c r="K1182" s="382"/>
      <c r="M1182" s="51"/>
      <c r="N1182" s="30"/>
      <c r="O1182" s="30"/>
      <c r="P1182" s="30"/>
      <c r="Q1182" s="30"/>
      <c r="R1182" s="30"/>
      <c r="S1182" s="30"/>
      <c r="T1182" s="30"/>
      <c r="U1182" s="378" t="s">
        <v>73</v>
      </c>
      <c r="V1182" s="378"/>
      <c r="W1182" s="382"/>
    </row>
    <row r="1183" spans="1:24" ht="18.75" customHeight="1">
      <c r="A1183" s="51"/>
      <c r="B1183" s="377"/>
      <c r="C1183" s="378"/>
      <c r="D1183" s="378"/>
      <c r="E1183" s="378"/>
      <c r="F1183" s="30"/>
      <c r="G1183" s="30"/>
      <c r="H1183" s="30"/>
      <c r="I1183" s="30"/>
      <c r="J1183" s="30"/>
      <c r="K1183" s="32"/>
      <c r="M1183" s="51"/>
      <c r="N1183" s="377"/>
      <c r="O1183" s="378"/>
      <c r="P1183" s="378"/>
      <c r="Q1183" s="378"/>
      <c r="R1183" s="30"/>
      <c r="S1183" s="30"/>
      <c r="T1183" s="30"/>
      <c r="U1183" s="30"/>
      <c r="V1183" s="30"/>
      <c r="W1183" s="32"/>
    </row>
    <row r="1184" spans="1:24" ht="18.75" customHeight="1" thickBot="1">
      <c r="A1184" s="53"/>
      <c r="B1184" s="54"/>
      <c r="C1184" s="54"/>
      <c r="D1184" s="54"/>
      <c r="E1184" s="54"/>
      <c r="F1184" s="54"/>
      <c r="G1184" s="54"/>
      <c r="H1184" s="54"/>
      <c r="I1184" s="379" t="s">
        <v>74</v>
      </c>
      <c r="J1184" s="379"/>
      <c r="K1184" s="380"/>
      <c r="M1184" s="53"/>
      <c r="N1184" s="54"/>
      <c r="O1184" s="54"/>
      <c r="P1184" s="54"/>
      <c r="Q1184" s="54"/>
      <c r="R1184" s="54"/>
      <c r="S1184" s="54"/>
      <c r="T1184" s="54"/>
      <c r="U1184" s="379" t="s">
        <v>74</v>
      </c>
      <c r="V1184" s="379"/>
      <c r="W1184" s="380"/>
    </row>
    <row r="1185" ht="18.75" customHeight="1" thickTop="1"/>
  </sheetData>
  <mergeCells count="3457"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E281:G281"/>
    <mergeCell ref="I281:J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Q280:S280"/>
    <mergeCell ref="M281:N281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</mergeCells>
  <pageMargins left="0.28000000000000003" right="0.2" top="0.24" bottom="0.75" header="0.3" footer="0.3"/>
  <pageSetup paperSize="9" scale="57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Kiểm hóa may</vt:lpstr>
      <vt:lpstr>Bản sau là</vt:lpstr>
      <vt:lpstr>Bang TH nop</vt:lpstr>
      <vt:lpstr>LƯƠNG T04</vt:lpstr>
      <vt:lpstr>Phieu lương</vt:lpstr>
      <vt:lpstr>'Kiểm hóa may'!Print_Area</vt:lpstr>
      <vt:lpstr>'Bản sau là'!Print_Titles</vt:lpstr>
      <vt:lpstr>'Bang TH nop'!Print_Titles</vt:lpstr>
      <vt:lpstr>'Kiểm hóa may'!Print_Titles</vt:lpstr>
      <vt:lpstr>'LƯƠNG T04'!Print_Titles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3C-COMPANY</dc:creator>
  <cp:lastModifiedBy>Bảo Bảo</cp:lastModifiedBy>
  <cp:lastPrinted>2025-07-31T07:46:41Z</cp:lastPrinted>
  <dcterms:created xsi:type="dcterms:W3CDTF">2002-09-09T06:54:43Z</dcterms:created>
  <dcterms:modified xsi:type="dcterms:W3CDTF">2026-05-30T07:00:08Z</dcterms:modified>
</cp:coreProperties>
</file>