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0A96F2D1-DCC5-493C-B512-9DC56CD11C86}" xr6:coauthVersionLast="47" xr6:coauthVersionMax="47" xr10:uidLastSave="{00000000-0000-0000-0000-000000000000}"/>
  <bookViews>
    <workbookView xWindow="0" yWindow="0" windowWidth="14400" windowHeight="15600" tabRatio="596" xr2:uid="{00000000-000D-0000-FFFF-FFFF00000000}"/>
  </bookViews>
  <sheets>
    <sheet name="Bang TH nop" sheetId="2" r:id="rId1"/>
    <sheet name="LƯƠNG Tx" sheetId="3" r:id="rId2"/>
    <sheet name="Phieu lương" sheetId="4" r:id="rId3"/>
  </sheets>
  <externalReferences>
    <externalReference r:id="rId4"/>
    <externalReference r:id="rId5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13" i="3" s="1"/>
  <c r="F13" i="2"/>
  <c r="F15" i="3" s="1"/>
  <c r="I15" i="3" s="1"/>
  <c r="F15" i="2"/>
  <c r="F17" i="2"/>
  <c r="F19" i="2"/>
  <c r="F21" i="2"/>
  <c r="F23" i="2"/>
  <c r="F25" i="2"/>
  <c r="F27" i="2"/>
  <c r="F29" i="2"/>
  <c r="F31" i="2"/>
  <c r="F33" i="2"/>
  <c r="F35" i="2"/>
  <c r="G35" i="2" s="1"/>
  <c r="F37" i="2"/>
  <c r="F39" i="2"/>
  <c r="F41" i="2"/>
  <c r="F43" i="2"/>
  <c r="F45" i="2"/>
  <c r="F47" i="2"/>
  <c r="F49" i="2"/>
  <c r="F51" i="2"/>
  <c r="F53" i="2"/>
  <c r="F55" i="2"/>
  <c r="F9" i="2"/>
  <c r="G11" i="2"/>
  <c r="G13" i="2"/>
  <c r="G15" i="2"/>
  <c r="G17" i="2"/>
  <c r="G19" i="2"/>
  <c r="G21" i="2"/>
  <c r="G23" i="2"/>
  <c r="G25" i="2"/>
  <c r="G27" i="2"/>
  <c r="G29" i="2"/>
  <c r="G31" i="2"/>
  <c r="G33" i="2"/>
  <c r="G37" i="2"/>
  <c r="G39" i="2"/>
  <c r="G41" i="2"/>
  <c r="G43" i="2"/>
  <c r="G45" i="2"/>
  <c r="G47" i="2"/>
  <c r="G49" i="2"/>
  <c r="G51" i="2"/>
  <c r="G53" i="2"/>
  <c r="G55" i="2"/>
  <c r="G9" i="2"/>
  <c r="I12" i="3"/>
  <c r="J12" i="3"/>
  <c r="K12" i="3"/>
  <c r="L12" i="3"/>
  <c r="M12" i="3"/>
  <c r="X13" i="3" s="1"/>
  <c r="O12" i="3"/>
  <c r="N13" i="3"/>
  <c r="N135" i="3" s="1" a="1"/>
  <c r="N135" i="3" s="1"/>
  <c r="O13" i="3"/>
  <c r="P13" i="3"/>
  <c r="T13" i="3"/>
  <c r="AA13" i="3"/>
  <c r="AD13" i="3"/>
  <c r="I14" i="3"/>
  <c r="X15" i="3" s="1"/>
  <c r="J14" i="3"/>
  <c r="K14" i="3"/>
  <c r="L14" i="3"/>
  <c r="M14" i="3"/>
  <c r="O14" i="3"/>
  <c r="N15" i="3"/>
  <c r="O15" i="3"/>
  <c r="P15" i="3"/>
  <c r="T15" i="3"/>
  <c r="AA15" i="3"/>
  <c r="AD15" i="3"/>
  <c r="I16" i="3"/>
  <c r="J16" i="3"/>
  <c r="K16" i="3"/>
  <c r="L16" i="3"/>
  <c r="M16" i="3"/>
  <c r="O16" i="3"/>
  <c r="N17" i="3"/>
  <c r="O17" i="3"/>
  <c r="P17" i="3"/>
  <c r="T17" i="3"/>
  <c r="AA17" i="3"/>
  <c r="AD17" i="3"/>
  <c r="I18" i="3"/>
  <c r="J18" i="3"/>
  <c r="K18" i="3"/>
  <c r="L18" i="3"/>
  <c r="M18" i="3"/>
  <c r="O18" i="3"/>
  <c r="N19" i="3"/>
  <c r="O19" i="3"/>
  <c r="P19" i="3"/>
  <c r="T19" i="3"/>
  <c r="V19" i="3"/>
  <c r="AA19" i="3"/>
  <c r="AD19" i="3"/>
  <c r="I20" i="3"/>
  <c r="J20" i="3"/>
  <c r="K20" i="3"/>
  <c r="L20" i="3"/>
  <c r="M20" i="3"/>
  <c r="O20" i="3"/>
  <c r="N21" i="3"/>
  <c r="O21" i="3"/>
  <c r="P21" i="3"/>
  <c r="T21" i="3"/>
  <c r="AA21" i="3"/>
  <c r="AD21" i="3"/>
  <c r="I22" i="3"/>
  <c r="X23" i="3" s="1"/>
  <c r="J22" i="3"/>
  <c r="K22" i="3"/>
  <c r="L22" i="3"/>
  <c r="M22" i="3"/>
  <c r="O22" i="3"/>
  <c r="N23" i="3"/>
  <c r="O23" i="3"/>
  <c r="P23" i="3"/>
  <c r="T23" i="3"/>
  <c r="AA23" i="3"/>
  <c r="AD23" i="3"/>
  <c r="I24" i="3"/>
  <c r="J24" i="3"/>
  <c r="K24" i="3"/>
  <c r="L24" i="3"/>
  <c r="M24" i="3"/>
  <c r="O24" i="3"/>
  <c r="N25" i="3"/>
  <c r="O25" i="3"/>
  <c r="P25" i="3"/>
  <c r="T25" i="3"/>
  <c r="AA25" i="3"/>
  <c r="AD25" i="3"/>
  <c r="I26" i="3"/>
  <c r="X27" i="3" s="1"/>
  <c r="J26" i="3"/>
  <c r="K26" i="3"/>
  <c r="L26" i="3"/>
  <c r="M26" i="3"/>
  <c r="O26" i="3"/>
  <c r="N27" i="3"/>
  <c r="O27" i="3"/>
  <c r="P27" i="3"/>
  <c r="T27" i="3"/>
  <c r="V27" i="3"/>
  <c r="AA27" i="3"/>
  <c r="AD27" i="3"/>
  <c r="AD11" i="3"/>
  <c r="AA11" i="3"/>
  <c r="N11" i="3"/>
  <c r="U135" i="3" a="1"/>
  <c r="U135" i="3" s="1"/>
  <c r="U136" i="3" a="1"/>
  <c r="U136" i="3" s="1"/>
  <c r="Y11" i="2"/>
  <c r="V13" i="3" s="1"/>
  <c r="Y13" i="2"/>
  <c r="V15" i="3" s="1"/>
  <c r="Y15" i="2"/>
  <c r="V17" i="3" s="1"/>
  <c r="Y17" i="2"/>
  <c r="Y19" i="2"/>
  <c r="V21" i="3" s="1"/>
  <c r="Y21" i="2"/>
  <c r="V23" i="3" s="1"/>
  <c r="Y23" i="2"/>
  <c r="V25" i="3" s="1"/>
  <c r="Y25" i="2"/>
  <c r="Y27" i="2"/>
  <c r="Y29" i="2"/>
  <c r="Y31" i="2"/>
  <c r="Y33" i="2"/>
  <c r="Y35" i="2"/>
  <c r="Y37" i="2"/>
  <c r="Y39" i="2"/>
  <c r="Y41" i="2"/>
  <c r="Y43" i="2"/>
  <c r="Y45" i="2"/>
  <c r="Y47" i="2"/>
  <c r="Y49" i="2"/>
  <c r="Y51" i="2"/>
  <c r="Y53" i="2"/>
  <c r="Y55" i="2"/>
  <c r="Y9" i="2"/>
  <c r="R11" i="2"/>
  <c r="Q13" i="3" s="1"/>
  <c r="R13" i="2"/>
  <c r="Q15" i="3" s="1"/>
  <c r="R15" i="2"/>
  <c r="Q17" i="3" s="1"/>
  <c r="R17" i="2"/>
  <c r="Q19" i="3" s="1"/>
  <c r="R19" i="2"/>
  <c r="Q21" i="3" s="1"/>
  <c r="R21" i="2"/>
  <c r="Q23" i="3" s="1"/>
  <c r="R23" i="2"/>
  <c r="Q25" i="3" s="1"/>
  <c r="R25" i="2"/>
  <c r="Q27" i="3" s="1"/>
  <c r="R27" i="2"/>
  <c r="R29" i="2"/>
  <c r="R31" i="2"/>
  <c r="R33" i="2"/>
  <c r="R35" i="2"/>
  <c r="R37" i="2"/>
  <c r="R39" i="2"/>
  <c r="R41" i="2"/>
  <c r="R43" i="2"/>
  <c r="R45" i="2"/>
  <c r="R47" i="2"/>
  <c r="R49" i="2"/>
  <c r="R51" i="2"/>
  <c r="R53" i="2"/>
  <c r="R55" i="2"/>
  <c r="R9" i="2"/>
  <c r="D27" i="3"/>
  <c r="Y27" i="3" s="1"/>
  <c r="D26" i="3"/>
  <c r="C26" i="3"/>
  <c r="B26" i="3"/>
  <c r="D25" i="3"/>
  <c r="M25" i="3" s="1"/>
  <c r="D24" i="3"/>
  <c r="C24" i="3"/>
  <c r="B24" i="3"/>
  <c r="D23" i="3"/>
  <c r="K23" i="3" s="1"/>
  <c r="D22" i="3"/>
  <c r="C22" i="3"/>
  <c r="B22" i="3"/>
  <c r="D21" i="3"/>
  <c r="Y21" i="3" s="1"/>
  <c r="D20" i="3"/>
  <c r="C20" i="3"/>
  <c r="B20" i="3"/>
  <c r="D19" i="3"/>
  <c r="L19" i="3" s="1"/>
  <c r="D18" i="3"/>
  <c r="C18" i="3"/>
  <c r="B18" i="3"/>
  <c r="D17" i="3"/>
  <c r="K17" i="3" s="1"/>
  <c r="D16" i="3"/>
  <c r="C16" i="3"/>
  <c r="B16" i="3"/>
  <c r="D15" i="3"/>
  <c r="K15" i="3" s="1"/>
  <c r="D14" i="3"/>
  <c r="C14" i="3"/>
  <c r="B14" i="3"/>
  <c r="D13" i="3"/>
  <c r="K13" i="3" s="1"/>
  <c r="D12" i="3"/>
  <c r="C12" i="3"/>
  <c r="B12" i="3"/>
  <c r="F17" i="3"/>
  <c r="F23" i="3"/>
  <c r="I23" i="3" s="1"/>
  <c r="F27" i="3"/>
  <c r="I27" i="3" l="1"/>
  <c r="R27" i="3" s="1"/>
  <c r="J27" i="3"/>
  <c r="S27" i="3" s="1"/>
  <c r="I13" i="3"/>
  <c r="R13" i="3" s="1"/>
  <c r="J13" i="3"/>
  <c r="S13" i="3" s="1"/>
  <c r="I17" i="3"/>
  <c r="J17" i="3"/>
  <c r="S17" i="3" s="1"/>
  <c r="Y13" i="3"/>
  <c r="M27" i="3"/>
  <c r="F25" i="3"/>
  <c r="F19" i="3"/>
  <c r="M17" i="3"/>
  <c r="M13" i="3"/>
  <c r="W13" i="3" s="1" a="1"/>
  <c r="W13" i="3" s="1"/>
  <c r="Y25" i="3"/>
  <c r="Y17" i="3"/>
  <c r="X17" i="3"/>
  <c r="L15" i="3"/>
  <c r="L13" i="3"/>
  <c r="N136" i="3" a="1"/>
  <c r="N136" i="3" s="1"/>
  <c r="Y23" i="3"/>
  <c r="L23" i="3"/>
  <c r="K21" i="3"/>
  <c r="K27" i="3"/>
  <c r="L25" i="3"/>
  <c r="L21" i="3"/>
  <c r="X21" i="3"/>
  <c r="L27" i="3"/>
  <c r="K25" i="3"/>
  <c r="K19" i="3"/>
  <c r="Y15" i="3"/>
  <c r="M15" i="3"/>
  <c r="M23" i="3"/>
  <c r="F21" i="3"/>
  <c r="I21" i="3" s="1"/>
  <c r="R21" i="3" s="1"/>
  <c r="M19" i="3"/>
  <c r="X25" i="3"/>
  <c r="Y19" i="3"/>
  <c r="X19" i="3"/>
  <c r="L17" i="3"/>
  <c r="R15" i="3"/>
  <c r="R17" i="3"/>
  <c r="R23" i="3"/>
  <c r="J23" i="3"/>
  <c r="S23" i="3" s="1"/>
  <c r="J15" i="3"/>
  <c r="M21" i="3"/>
  <c r="W27" i="3" l="1" a="1"/>
  <c r="W27" i="3" s="1"/>
  <c r="Z27" i="3" s="1"/>
  <c r="I19" i="3"/>
  <c r="J19" i="3"/>
  <c r="S19" i="3" s="1"/>
  <c r="I25" i="3"/>
  <c r="J25" i="3"/>
  <c r="S25" i="3" s="1"/>
  <c r="W17" i="3" a="1"/>
  <c r="W17" i="3" s="1"/>
  <c r="AG17" i="3" s="1"/>
  <c r="AE17" i="3" s="1"/>
  <c r="AF17" i="3" s="1"/>
  <c r="J21" i="3"/>
  <c r="S15" i="3"/>
  <c r="W23" i="3" a="1"/>
  <c r="W23" i="3" s="1"/>
  <c r="W15" i="3" a="1"/>
  <c r="W15" i="3" s="1"/>
  <c r="Z13" i="3"/>
  <c r="AG13" i="3"/>
  <c r="AE13" i="3" s="1"/>
  <c r="AF13" i="3" s="1"/>
  <c r="Y29" i="3"/>
  <c r="Y31" i="3"/>
  <c r="Y33" i="3"/>
  <c r="Y35" i="3"/>
  <c r="Y37" i="3"/>
  <c r="Y39" i="3"/>
  <c r="Y41" i="3"/>
  <c r="Y43" i="3"/>
  <c r="Y45" i="3"/>
  <c r="Y47" i="3"/>
  <c r="Y49" i="3"/>
  <c r="Y51" i="3"/>
  <c r="Y53" i="3"/>
  <c r="Y55" i="3"/>
  <c r="Y57" i="3"/>
  <c r="Y59" i="3"/>
  <c r="Y61" i="3"/>
  <c r="Y63" i="3"/>
  <c r="Y65" i="3"/>
  <c r="Y67" i="3"/>
  <c r="Y69" i="3"/>
  <c r="Y71" i="3"/>
  <c r="Y73" i="3"/>
  <c r="Y75" i="3"/>
  <c r="Y77" i="3"/>
  <c r="Y79" i="3"/>
  <c r="Y81" i="3"/>
  <c r="Y83" i="3"/>
  <c r="Y85" i="3"/>
  <c r="Y87" i="3"/>
  <c r="Y89" i="3"/>
  <c r="Y91" i="3"/>
  <c r="Y93" i="3"/>
  <c r="Y95" i="3"/>
  <c r="Y97" i="3"/>
  <c r="Y99" i="3"/>
  <c r="Y101" i="3"/>
  <c r="Y103" i="3"/>
  <c r="Y105" i="3"/>
  <c r="Y107" i="3"/>
  <c r="Y109" i="3"/>
  <c r="Y111" i="3"/>
  <c r="Y113" i="3"/>
  <c r="Y115" i="3"/>
  <c r="Y117" i="3"/>
  <c r="Y119" i="3"/>
  <c r="Y121" i="3"/>
  <c r="Y123" i="3"/>
  <c r="Y125" i="3"/>
  <c r="Y127" i="3"/>
  <c r="Y129" i="3"/>
  <c r="Y131" i="3"/>
  <c r="Y133" i="3"/>
  <c r="W29" i="3"/>
  <c r="W31" i="3"/>
  <c r="W33" i="3"/>
  <c r="W35" i="3"/>
  <c r="W37" i="3"/>
  <c r="W39" i="3"/>
  <c r="W41" i="3"/>
  <c r="W43" i="3"/>
  <c r="W45" i="3"/>
  <c r="W47" i="3"/>
  <c r="W49" i="3"/>
  <c r="W51" i="3"/>
  <c r="W53" i="3"/>
  <c r="W55" i="3"/>
  <c r="W57" i="3"/>
  <c r="W59" i="3"/>
  <c r="W61" i="3"/>
  <c r="W63" i="3"/>
  <c r="W65" i="3"/>
  <c r="W67" i="3"/>
  <c r="W69" i="3"/>
  <c r="W71" i="3"/>
  <c r="W73" i="3"/>
  <c r="W75" i="3"/>
  <c r="W77" i="3"/>
  <c r="W79" i="3"/>
  <c r="W81" i="3"/>
  <c r="W83" i="3"/>
  <c r="W85" i="3"/>
  <c r="W87" i="3"/>
  <c r="W89" i="3"/>
  <c r="W91" i="3"/>
  <c r="W93" i="3"/>
  <c r="W95" i="3"/>
  <c r="W97" i="3"/>
  <c r="W99" i="3"/>
  <c r="W101" i="3"/>
  <c r="W103" i="3"/>
  <c r="W105" i="3"/>
  <c r="W107" i="3"/>
  <c r="W109" i="3"/>
  <c r="W111" i="3"/>
  <c r="W113" i="3"/>
  <c r="W115" i="3"/>
  <c r="W117" i="3"/>
  <c r="W119" i="3"/>
  <c r="W121" i="3"/>
  <c r="W123" i="3"/>
  <c r="W125" i="3"/>
  <c r="W127" i="3"/>
  <c r="W129" i="3"/>
  <c r="W131" i="3"/>
  <c r="W133" i="3"/>
  <c r="AG27" i="3" l="1"/>
  <c r="AE27" i="3" s="1"/>
  <c r="AF27" i="3" s="1"/>
  <c r="Z17" i="3"/>
  <c r="W25" i="3" a="1"/>
  <c r="W25" i="3" s="1"/>
  <c r="R25" i="3"/>
  <c r="S21" i="3"/>
  <c r="W21" i="3" a="1"/>
  <c r="W21" i="3" s="1"/>
  <c r="W19" i="3" a="1"/>
  <c r="W19" i="3" s="1"/>
  <c r="R19" i="3"/>
  <c r="AG15" i="3"/>
  <c r="AE15" i="3" s="1"/>
  <c r="AF15" i="3" s="1"/>
  <c r="Z15" i="3"/>
  <c r="AG23" i="3"/>
  <c r="AE23" i="3" s="1"/>
  <c r="AF23" i="3" s="1"/>
  <c r="Z23" i="3"/>
  <c r="T11" i="3"/>
  <c r="T136" i="3" l="1" a="1"/>
  <c r="T136" i="3" s="1"/>
  <c r="T135" i="3" a="1"/>
  <c r="T135" i="3" s="1"/>
  <c r="Z19" i="3"/>
  <c r="AG19" i="3"/>
  <c r="AE19" i="3" s="1"/>
  <c r="AF19" i="3" s="1"/>
  <c r="AG25" i="3"/>
  <c r="AE25" i="3" s="1"/>
  <c r="AF25" i="3" s="1"/>
  <c r="Z25" i="3"/>
  <c r="Z21" i="3"/>
  <c r="AG21" i="3"/>
  <c r="AE21" i="3" s="1"/>
  <c r="AF21" i="3" s="1"/>
  <c r="F11" i="3"/>
  <c r="AB29" i="3"/>
  <c r="AC29" i="3"/>
  <c r="AB31" i="3"/>
  <c r="AC31" i="3"/>
  <c r="AB33" i="3"/>
  <c r="AC33" i="3"/>
  <c r="AB35" i="3"/>
  <c r="AC35" i="3"/>
  <c r="AB37" i="3"/>
  <c r="AC37" i="3"/>
  <c r="AB39" i="3"/>
  <c r="AC39" i="3"/>
  <c r="AB41" i="3"/>
  <c r="AC41" i="3"/>
  <c r="AB43" i="3"/>
  <c r="AC43" i="3"/>
  <c r="AB45" i="3"/>
  <c r="AC45" i="3"/>
  <c r="AB47" i="3"/>
  <c r="AC47" i="3"/>
  <c r="AB49" i="3"/>
  <c r="AC49" i="3"/>
  <c r="AB51" i="3"/>
  <c r="AC51" i="3"/>
  <c r="AB53" i="3"/>
  <c r="AC53" i="3"/>
  <c r="AB55" i="3"/>
  <c r="AC55" i="3"/>
  <c r="AB57" i="3"/>
  <c r="AC57" i="3"/>
  <c r="AB59" i="3"/>
  <c r="AC59" i="3"/>
  <c r="AB61" i="3"/>
  <c r="AC61" i="3"/>
  <c r="AB63" i="3"/>
  <c r="AC63" i="3"/>
  <c r="AB65" i="3"/>
  <c r="AC65" i="3"/>
  <c r="AB67" i="3"/>
  <c r="AC67" i="3"/>
  <c r="AB69" i="3"/>
  <c r="AC69" i="3"/>
  <c r="AB71" i="3"/>
  <c r="AC71" i="3"/>
  <c r="AB73" i="3"/>
  <c r="AC73" i="3"/>
  <c r="AB75" i="3"/>
  <c r="AC75" i="3"/>
  <c r="AB77" i="3"/>
  <c r="AC77" i="3"/>
  <c r="AB79" i="3"/>
  <c r="AC79" i="3"/>
  <c r="AB81" i="3"/>
  <c r="AC81" i="3"/>
  <c r="AB83" i="3"/>
  <c r="AC83" i="3"/>
  <c r="AB85" i="3"/>
  <c r="AC85" i="3"/>
  <c r="AB87" i="3"/>
  <c r="AC87" i="3"/>
  <c r="AB89" i="3"/>
  <c r="AC89" i="3"/>
  <c r="AB91" i="3"/>
  <c r="AC91" i="3"/>
  <c r="AB93" i="3"/>
  <c r="AC93" i="3"/>
  <c r="AB95" i="3"/>
  <c r="AC95" i="3"/>
  <c r="AB97" i="3"/>
  <c r="AC97" i="3"/>
  <c r="AB99" i="3"/>
  <c r="AC99" i="3"/>
  <c r="AB101" i="3"/>
  <c r="AC101" i="3"/>
  <c r="AB103" i="3"/>
  <c r="AC103" i="3"/>
  <c r="AB105" i="3"/>
  <c r="AC105" i="3"/>
  <c r="AB107" i="3"/>
  <c r="AC107" i="3"/>
  <c r="AB109" i="3"/>
  <c r="AC109" i="3"/>
  <c r="AB111" i="3"/>
  <c r="AC111" i="3"/>
  <c r="AB113" i="3"/>
  <c r="AC113" i="3"/>
  <c r="AB115" i="3"/>
  <c r="AC115" i="3"/>
  <c r="AB117" i="3"/>
  <c r="AC117" i="3"/>
  <c r="AB119" i="3"/>
  <c r="AC119" i="3"/>
  <c r="AB121" i="3"/>
  <c r="AC121" i="3"/>
  <c r="AB123" i="3"/>
  <c r="AC123" i="3"/>
  <c r="AB125" i="3"/>
  <c r="AC125" i="3"/>
  <c r="AB127" i="3"/>
  <c r="AC127" i="3"/>
  <c r="AB129" i="3"/>
  <c r="AC129" i="3"/>
  <c r="AB131" i="3"/>
  <c r="AC131" i="3"/>
  <c r="AB133" i="3"/>
  <c r="AC133" i="3"/>
  <c r="Q11" i="3" l="1"/>
  <c r="P11" i="3"/>
  <c r="O11" i="3"/>
  <c r="O136" i="3" s="1" a="1"/>
  <c r="O136" i="3" s="1"/>
  <c r="O10" i="3"/>
  <c r="O135" i="3" s="1" a="1"/>
  <c r="O135" i="3" s="1"/>
  <c r="M10" i="3"/>
  <c r="L10" i="3"/>
  <c r="K10" i="3"/>
  <c r="J10" i="3"/>
  <c r="I10" i="3"/>
  <c r="D11" i="3"/>
  <c r="D10" i="3"/>
  <c r="C10" i="3"/>
  <c r="B10" i="3"/>
  <c r="K135" i="3" l="1" a="1"/>
  <c r="K135" i="3" s="1"/>
  <c r="J135" i="3" a="1"/>
  <c r="J135" i="3" s="1"/>
  <c r="J11" i="3"/>
  <c r="Y11" i="3"/>
  <c r="K11" i="3"/>
  <c r="K136" i="3" s="1" a="1"/>
  <c r="K136" i="3" s="1"/>
  <c r="L11" i="3"/>
  <c r="L136" i="3" s="1" a="1"/>
  <c r="L136" i="3" s="1"/>
  <c r="M11" i="3"/>
  <c r="M136" i="3" s="1" a="1"/>
  <c r="M136" i="3" s="1"/>
  <c r="P135" i="3" a="1"/>
  <c r="P135" i="3" s="1"/>
  <c r="P136" i="3" a="1"/>
  <c r="P136" i="3" s="1"/>
  <c r="L135" i="3" a="1"/>
  <c r="L135" i="3" s="1"/>
  <c r="X11" i="3"/>
  <c r="I135" i="3" a="1"/>
  <c r="I135" i="3" s="1"/>
  <c r="I11" i="3"/>
  <c r="Q136" i="3" a="1"/>
  <c r="Q136" i="3" s="1"/>
  <c r="Q135" i="3" a="1"/>
  <c r="Q135" i="3" s="1"/>
  <c r="V11" i="3"/>
  <c r="V135" i="3" l="1" a="1"/>
  <c r="V135" i="3" s="1"/>
  <c r="V136" i="3" a="1"/>
  <c r="V136" i="3" s="1"/>
  <c r="R11" i="3"/>
  <c r="W11" i="3" a="1"/>
  <c r="W11" i="3" s="1"/>
  <c r="I136" i="3" a="1"/>
  <c r="I136" i="3" s="1"/>
  <c r="Y136" i="3" a="1"/>
  <c r="Y136" i="3" s="1"/>
  <c r="Y135" i="3" a="1"/>
  <c r="Y135" i="3" s="1"/>
  <c r="X136" i="3" a="1"/>
  <c r="X136" i="3" s="1"/>
  <c r="X135" i="3" a="1"/>
  <c r="X135" i="3" s="1"/>
  <c r="S11" i="3"/>
  <c r="J136" i="3" a="1"/>
  <c r="J136" i="3" s="1"/>
  <c r="M135" i="3" a="1"/>
  <c r="M135" i="3" s="1"/>
  <c r="W135" i="3" a="1"/>
  <c r="W135" i="3" s="1"/>
  <c r="W136" i="3" a="1"/>
  <c r="W136" i="3" s="1"/>
  <c r="G135" i="3"/>
  <c r="H135" i="3"/>
  <c r="AG11" i="3" l="1"/>
  <c r="Z11" i="3"/>
  <c r="R136" i="3" a="1"/>
  <c r="R136" i="3" s="1"/>
  <c r="R135" i="3" a="1"/>
  <c r="R135" i="3" s="1"/>
  <c r="S136" i="3" a="1"/>
  <c r="S136" i="3" s="1"/>
  <c r="S135" i="3" a="1"/>
  <c r="S135" i="3" s="1"/>
  <c r="Z135" i="3" a="1"/>
  <c r="Z135" i="3" s="1"/>
  <c r="Z136" i="3" a="1"/>
  <c r="Z136" i="3" s="1"/>
  <c r="Z17" i="2"/>
  <c r="Z15" i="2"/>
  <c r="Z9" i="2"/>
  <c r="Z13" i="2"/>
  <c r="Z11" i="2"/>
  <c r="AE11" i="3" l="1"/>
  <c r="AF11" i="3" s="1"/>
  <c r="AG136" i="3" a="1"/>
  <c r="AG136" i="3" s="1"/>
  <c r="T1180" i="4"/>
  <c r="T1179" i="4"/>
  <c r="T1178" i="4"/>
  <c r="T1177" i="4"/>
  <c r="H1177" i="4"/>
  <c r="T1176" i="4"/>
  <c r="H1176" i="4"/>
  <c r="T1175" i="4"/>
  <c r="H1175" i="4"/>
  <c r="U1166" i="4"/>
  <c r="I1166" i="4"/>
  <c r="X1163" i="4"/>
  <c r="U1163" i="4"/>
  <c r="X1168" i="4" s="1"/>
  <c r="U1171" i="4" s="1"/>
  <c r="T1172" i="4" s="1"/>
  <c r="L1163" i="4"/>
  <c r="U1162" i="4"/>
  <c r="I1162" i="4"/>
  <c r="U1161" i="4"/>
  <c r="I1161" i="4"/>
  <c r="U1160" i="4"/>
  <c r="I1160" i="4"/>
  <c r="X1159" i="4"/>
  <c r="U1159" i="4"/>
  <c r="L1159" i="4"/>
  <c r="I1159" i="4"/>
  <c r="U1158" i="4"/>
  <c r="T1140" i="4"/>
  <c r="T1142" i="4" s="1"/>
  <c r="H1140" i="4"/>
  <c r="T1139" i="4"/>
  <c r="H1139" i="4"/>
  <c r="T1138" i="4"/>
  <c r="H1138" i="4"/>
  <c r="H1142" i="4" s="1"/>
  <c r="U1129" i="4"/>
  <c r="I1129" i="4"/>
  <c r="X1126" i="4"/>
  <c r="L1126" i="4"/>
  <c r="I1126" i="4"/>
  <c r="L1131" i="4" s="1"/>
  <c r="I1134" i="4" s="1"/>
  <c r="U1125" i="4"/>
  <c r="I1125" i="4"/>
  <c r="U1124" i="4"/>
  <c r="I1124" i="4"/>
  <c r="U1123" i="4"/>
  <c r="I1123" i="4"/>
  <c r="X1122" i="4"/>
  <c r="U1122" i="4"/>
  <c r="U1126" i="4" s="1"/>
  <c r="L1122" i="4"/>
  <c r="I1122" i="4"/>
  <c r="I1121" i="4"/>
  <c r="T1103" i="4"/>
  <c r="T1105" i="4" s="1"/>
  <c r="H1103" i="4"/>
  <c r="T1102" i="4"/>
  <c r="H1102" i="4"/>
  <c r="T1101" i="4"/>
  <c r="H1101" i="4"/>
  <c r="U1092" i="4"/>
  <c r="I1092" i="4"/>
  <c r="X1089" i="4"/>
  <c r="L1089" i="4"/>
  <c r="U1088" i="4"/>
  <c r="I1088" i="4"/>
  <c r="U1087" i="4"/>
  <c r="I1087" i="4"/>
  <c r="U1086" i="4"/>
  <c r="I1086" i="4"/>
  <c r="X1085" i="4"/>
  <c r="U1085" i="4"/>
  <c r="U1089" i="4" s="1"/>
  <c r="L1085" i="4"/>
  <c r="I1085" i="4"/>
  <c r="I1089" i="4" s="1"/>
  <c r="T1066" i="4"/>
  <c r="H1066" i="4"/>
  <c r="T1065" i="4"/>
  <c r="H1065" i="4"/>
  <c r="T1064" i="4"/>
  <c r="T1068" i="4" s="1"/>
  <c r="H1064" i="4"/>
  <c r="U1055" i="4"/>
  <c r="I1055" i="4"/>
  <c r="X1052" i="4"/>
  <c r="U1052" i="4"/>
  <c r="L1052" i="4"/>
  <c r="U1051" i="4"/>
  <c r="I1051" i="4"/>
  <c r="U1050" i="4"/>
  <c r="I1050" i="4"/>
  <c r="U1049" i="4"/>
  <c r="I1049" i="4"/>
  <c r="X1048" i="4"/>
  <c r="X1057" i="4" s="1"/>
  <c r="U1060" i="4" s="1"/>
  <c r="U1048" i="4"/>
  <c r="L1048" i="4"/>
  <c r="I1048" i="4"/>
  <c r="I1052" i="4" s="1"/>
  <c r="U1047" i="4"/>
  <c r="T1029" i="4"/>
  <c r="H1029" i="4"/>
  <c r="T1028" i="4"/>
  <c r="H1028" i="4"/>
  <c r="T1027" i="4"/>
  <c r="T1031" i="4" s="1"/>
  <c r="H1027" i="4"/>
  <c r="H1031" i="4" s="1"/>
  <c r="U1018" i="4"/>
  <c r="I1018" i="4"/>
  <c r="X1015" i="4"/>
  <c r="U1015" i="4"/>
  <c r="L1015" i="4"/>
  <c r="U1014" i="4"/>
  <c r="I1014" i="4"/>
  <c r="U1013" i="4"/>
  <c r="I1013" i="4"/>
  <c r="U1012" i="4"/>
  <c r="I1012" i="4"/>
  <c r="X1011" i="4"/>
  <c r="X1020" i="4" s="1"/>
  <c r="U1023" i="4" s="1"/>
  <c r="U1011" i="4"/>
  <c r="L1011" i="4"/>
  <c r="I1011" i="4"/>
  <c r="I1015" i="4" s="1"/>
  <c r="U1010" i="4"/>
  <c r="T992" i="4"/>
  <c r="H992" i="4"/>
  <c r="T991" i="4"/>
  <c r="H991" i="4"/>
  <c r="T990" i="4"/>
  <c r="T994" i="4" s="1"/>
  <c r="H990" i="4"/>
  <c r="H994" i="4" s="1"/>
  <c r="U981" i="4"/>
  <c r="I981" i="4"/>
  <c r="X978" i="4"/>
  <c r="L978" i="4"/>
  <c r="I978" i="4"/>
  <c r="U977" i="4"/>
  <c r="I977" i="4"/>
  <c r="U976" i="4"/>
  <c r="I976" i="4"/>
  <c r="U975" i="4"/>
  <c r="I975" i="4"/>
  <c r="X974" i="4"/>
  <c r="U974" i="4"/>
  <c r="U973" i="4" s="1"/>
  <c r="L974" i="4"/>
  <c r="I974" i="4"/>
  <c r="I973" i="4"/>
  <c r="T955" i="4"/>
  <c r="H955" i="4"/>
  <c r="T954" i="4"/>
  <c r="H954" i="4"/>
  <c r="T953" i="4"/>
  <c r="T957" i="4" s="1"/>
  <c r="H953" i="4"/>
  <c r="H957" i="4" s="1"/>
  <c r="U944" i="4"/>
  <c r="I944" i="4"/>
  <c r="X941" i="4"/>
  <c r="L941" i="4"/>
  <c r="U940" i="4"/>
  <c r="I940" i="4"/>
  <c r="U939" i="4"/>
  <c r="I939" i="4"/>
  <c r="U938" i="4"/>
  <c r="I938" i="4"/>
  <c r="X937" i="4"/>
  <c r="U937" i="4"/>
  <c r="U941" i="4" s="1"/>
  <c r="X946" i="4" s="1"/>
  <c r="U949" i="4" s="1"/>
  <c r="L937" i="4"/>
  <c r="I937" i="4"/>
  <c r="T918" i="4"/>
  <c r="H918" i="4"/>
  <c r="T917" i="4"/>
  <c r="H917" i="4"/>
  <c r="T916" i="4"/>
  <c r="T920" i="4" s="1"/>
  <c r="H916" i="4"/>
  <c r="H920" i="4" s="1"/>
  <c r="U907" i="4"/>
  <c r="I907" i="4"/>
  <c r="X904" i="4"/>
  <c r="L904" i="4"/>
  <c r="U903" i="4"/>
  <c r="I903" i="4"/>
  <c r="U902" i="4"/>
  <c r="I902" i="4"/>
  <c r="U901" i="4"/>
  <c r="I901" i="4"/>
  <c r="X900" i="4"/>
  <c r="U900" i="4"/>
  <c r="U904" i="4" s="1"/>
  <c r="L900" i="4"/>
  <c r="I900" i="4"/>
  <c r="I899" i="4" s="1"/>
  <c r="T881" i="4"/>
  <c r="T880" i="4"/>
  <c r="T879" i="4"/>
  <c r="T883" i="4" s="1"/>
  <c r="I874" i="4"/>
  <c r="U870" i="4"/>
  <c r="C870" i="4"/>
  <c r="I870" i="4" s="1"/>
  <c r="X867" i="4"/>
  <c r="C867" i="4"/>
  <c r="L867" i="4" s="1"/>
  <c r="U866" i="4"/>
  <c r="C866" i="4"/>
  <c r="I866" i="4" s="1"/>
  <c r="U865" i="4"/>
  <c r="C865" i="4"/>
  <c r="I865" i="4" s="1"/>
  <c r="U864" i="4"/>
  <c r="C864" i="4"/>
  <c r="I864" i="4" s="1"/>
  <c r="X863" i="4"/>
  <c r="U863" i="4"/>
  <c r="C863" i="4"/>
  <c r="I861" i="4"/>
  <c r="F857" i="4"/>
  <c r="F856" i="4"/>
  <c r="U837" i="4"/>
  <c r="I837" i="4"/>
  <c r="O833" i="4"/>
  <c r="U833" i="4" s="1"/>
  <c r="C833" i="4"/>
  <c r="I833" i="4" s="1"/>
  <c r="O830" i="4"/>
  <c r="X830" i="4" s="1"/>
  <c r="C830" i="4"/>
  <c r="L830" i="4" s="1"/>
  <c r="O829" i="4"/>
  <c r="U829" i="4" s="1"/>
  <c r="C829" i="4"/>
  <c r="I829" i="4" s="1"/>
  <c r="O828" i="4"/>
  <c r="U828" i="4" s="1"/>
  <c r="C828" i="4"/>
  <c r="I828" i="4" s="1"/>
  <c r="O827" i="4"/>
  <c r="U827" i="4" s="1"/>
  <c r="C827" i="4"/>
  <c r="U825" i="4"/>
  <c r="I825" i="4"/>
  <c r="U824" i="4"/>
  <c r="I824" i="4"/>
  <c r="R820" i="4"/>
  <c r="F820" i="4"/>
  <c r="R819" i="4"/>
  <c r="F819" i="4"/>
  <c r="U800" i="4"/>
  <c r="I800" i="4"/>
  <c r="O796" i="4"/>
  <c r="U796" i="4" s="1"/>
  <c r="C796" i="4"/>
  <c r="I796" i="4" s="1"/>
  <c r="O793" i="4"/>
  <c r="X793" i="4" s="1"/>
  <c r="I793" i="4"/>
  <c r="C793" i="4"/>
  <c r="L793" i="4" s="1"/>
  <c r="O792" i="4"/>
  <c r="U792" i="4" s="1"/>
  <c r="C792" i="4"/>
  <c r="I792" i="4" s="1"/>
  <c r="O791" i="4"/>
  <c r="U791" i="4" s="1"/>
  <c r="C791" i="4"/>
  <c r="I791" i="4" s="1"/>
  <c r="O790" i="4"/>
  <c r="U790" i="4" s="1"/>
  <c r="C790" i="4"/>
  <c r="I790" i="4" s="1"/>
  <c r="O789" i="4"/>
  <c r="I789" i="4"/>
  <c r="C789" i="4"/>
  <c r="L789" i="4" s="1"/>
  <c r="U787" i="4"/>
  <c r="I787" i="4"/>
  <c r="R783" i="4"/>
  <c r="F783" i="4"/>
  <c r="R782" i="4"/>
  <c r="F782" i="4"/>
  <c r="U763" i="4"/>
  <c r="I763" i="4"/>
  <c r="O759" i="4"/>
  <c r="U759" i="4" s="1"/>
  <c r="C759" i="4"/>
  <c r="I759" i="4" s="1"/>
  <c r="U756" i="4"/>
  <c r="O756" i="4"/>
  <c r="X756" i="4" s="1"/>
  <c r="I756" i="4"/>
  <c r="C756" i="4"/>
  <c r="L756" i="4" s="1"/>
  <c r="O755" i="4"/>
  <c r="U755" i="4" s="1"/>
  <c r="C755" i="4"/>
  <c r="I755" i="4" s="1"/>
  <c r="O754" i="4"/>
  <c r="C754" i="4"/>
  <c r="I754" i="4" s="1"/>
  <c r="O753" i="4"/>
  <c r="U753" i="4" s="1"/>
  <c r="C753" i="4"/>
  <c r="I753" i="4" s="1"/>
  <c r="U752" i="4"/>
  <c r="O752" i="4"/>
  <c r="I752" i="4"/>
  <c r="C752" i="4"/>
  <c r="U750" i="4"/>
  <c r="I750" i="4"/>
  <c r="R746" i="4"/>
  <c r="F746" i="4"/>
  <c r="R745" i="4"/>
  <c r="F745" i="4"/>
  <c r="U726" i="4"/>
  <c r="I726" i="4"/>
  <c r="O722" i="4"/>
  <c r="U722" i="4" s="1"/>
  <c r="C722" i="4"/>
  <c r="I722" i="4" s="1"/>
  <c r="U719" i="4"/>
  <c r="O719" i="4"/>
  <c r="X719" i="4" s="1"/>
  <c r="I719" i="4"/>
  <c r="C719" i="4"/>
  <c r="L719" i="4" s="1"/>
  <c r="O718" i="4"/>
  <c r="U718" i="4" s="1"/>
  <c r="C718" i="4"/>
  <c r="I718" i="4" s="1"/>
  <c r="O717" i="4"/>
  <c r="U717" i="4" s="1"/>
  <c r="C717" i="4"/>
  <c r="I717" i="4" s="1"/>
  <c r="O716" i="4"/>
  <c r="U716" i="4" s="1"/>
  <c r="C716" i="4"/>
  <c r="U715" i="4"/>
  <c r="O715" i="4"/>
  <c r="I715" i="4"/>
  <c r="C715" i="4"/>
  <c r="U713" i="4"/>
  <c r="I713" i="4"/>
  <c r="R709" i="4"/>
  <c r="F709" i="4"/>
  <c r="R708" i="4"/>
  <c r="F708" i="4"/>
  <c r="U689" i="4"/>
  <c r="I689" i="4"/>
  <c r="O685" i="4"/>
  <c r="U685" i="4" s="1"/>
  <c r="C685" i="4"/>
  <c r="I685" i="4" s="1"/>
  <c r="U682" i="4"/>
  <c r="O682" i="4"/>
  <c r="X682" i="4" s="1"/>
  <c r="I682" i="4"/>
  <c r="C682" i="4"/>
  <c r="L682" i="4" s="1"/>
  <c r="O681" i="4"/>
  <c r="U681" i="4" s="1"/>
  <c r="C681" i="4"/>
  <c r="I681" i="4" s="1"/>
  <c r="O680" i="4"/>
  <c r="C680" i="4"/>
  <c r="I680" i="4" s="1"/>
  <c r="O679" i="4"/>
  <c r="U679" i="4" s="1"/>
  <c r="C679" i="4"/>
  <c r="I679" i="4" s="1"/>
  <c r="U678" i="4"/>
  <c r="O678" i="4"/>
  <c r="I678" i="4"/>
  <c r="C678" i="4"/>
  <c r="U676" i="4"/>
  <c r="I676" i="4"/>
  <c r="R672" i="4"/>
  <c r="F672" i="4"/>
  <c r="R671" i="4"/>
  <c r="F671" i="4"/>
  <c r="U652" i="4"/>
  <c r="I652" i="4"/>
  <c r="O648" i="4"/>
  <c r="U648" i="4" s="1"/>
  <c r="C648" i="4"/>
  <c r="I648" i="4" s="1"/>
  <c r="U645" i="4"/>
  <c r="O645" i="4"/>
  <c r="X645" i="4" s="1"/>
  <c r="I645" i="4"/>
  <c r="C645" i="4"/>
  <c r="L645" i="4" s="1"/>
  <c r="O644" i="4"/>
  <c r="U644" i="4" s="1"/>
  <c r="C644" i="4"/>
  <c r="I644" i="4" s="1"/>
  <c r="O643" i="4"/>
  <c r="U643" i="4" s="1"/>
  <c r="C643" i="4"/>
  <c r="I643" i="4" s="1"/>
  <c r="O642" i="4"/>
  <c r="U642" i="4" s="1"/>
  <c r="C642" i="4"/>
  <c r="I642" i="4" s="1"/>
  <c r="U641" i="4"/>
  <c r="O641" i="4"/>
  <c r="I641" i="4"/>
  <c r="C641" i="4"/>
  <c r="L641" i="4" s="1"/>
  <c r="U639" i="4"/>
  <c r="I639" i="4"/>
  <c r="R635" i="4"/>
  <c r="F635" i="4"/>
  <c r="R634" i="4"/>
  <c r="F634" i="4"/>
  <c r="U615" i="4"/>
  <c r="I615" i="4"/>
  <c r="O611" i="4"/>
  <c r="U611" i="4" s="1"/>
  <c r="C611" i="4"/>
  <c r="I611" i="4" s="1"/>
  <c r="U608" i="4"/>
  <c r="O608" i="4"/>
  <c r="X608" i="4" s="1"/>
  <c r="I608" i="4"/>
  <c r="C608" i="4"/>
  <c r="L608" i="4" s="1"/>
  <c r="O607" i="4"/>
  <c r="U607" i="4" s="1"/>
  <c r="C607" i="4"/>
  <c r="I607" i="4" s="1"/>
  <c r="O606" i="4"/>
  <c r="C606" i="4"/>
  <c r="I606" i="4" s="1"/>
  <c r="O605" i="4"/>
  <c r="U605" i="4" s="1"/>
  <c r="C605" i="4"/>
  <c r="I605" i="4" s="1"/>
  <c r="U604" i="4"/>
  <c r="O604" i="4"/>
  <c r="I604" i="4"/>
  <c r="C604" i="4"/>
  <c r="U602" i="4"/>
  <c r="I602" i="4"/>
  <c r="R598" i="4"/>
  <c r="F598" i="4"/>
  <c r="R597" i="4"/>
  <c r="F597" i="4"/>
  <c r="U578" i="4"/>
  <c r="I578" i="4"/>
  <c r="O574" i="4"/>
  <c r="U574" i="4" s="1"/>
  <c r="C574" i="4"/>
  <c r="I574" i="4" s="1"/>
  <c r="U571" i="4"/>
  <c r="O571" i="4"/>
  <c r="X571" i="4" s="1"/>
  <c r="I571" i="4"/>
  <c r="C571" i="4"/>
  <c r="L571" i="4" s="1"/>
  <c r="O570" i="4"/>
  <c r="U570" i="4" s="1"/>
  <c r="C570" i="4"/>
  <c r="I570" i="4" s="1"/>
  <c r="O569" i="4"/>
  <c r="U569" i="4" s="1"/>
  <c r="C569" i="4"/>
  <c r="I569" i="4" s="1"/>
  <c r="O568" i="4"/>
  <c r="U568" i="4" s="1"/>
  <c r="C568" i="4"/>
  <c r="I568" i="4" s="1"/>
  <c r="U567" i="4"/>
  <c r="O567" i="4"/>
  <c r="I567" i="4"/>
  <c r="C567" i="4"/>
  <c r="U565" i="4"/>
  <c r="I565" i="4"/>
  <c r="R561" i="4"/>
  <c r="F561" i="4"/>
  <c r="R560" i="4"/>
  <c r="F560" i="4"/>
  <c r="U541" i="4"/>
  <c r="I541" i="4"/>
  <c r="O537" i="4"/>
  <c r="U537" i="4" s="1"/>
  <c r="C537" i="4"/>
  <c r="I537" i="4" s="1"/>
  <c r="U534" i="4"/>
  <c r="O534" i="4"/>
  <c r="X534" i="4" s="1"/>
  <c r="I534" i="4"/>
  <c r="C534" i="4"/>
  <c r="L534" i="4" s="1"/>
  <c r="O533" i="4"/>
  <c r="U533" i="4" s="1"/>
  <c r="C533" i="4"/>
  <c r="I533" i="4" s="1"/>
  <c r="O532" i="4"/>
  <c r="U532" i="4" s="1"/>
  <c r="C532" i="4"/>
  <c r="I532" i="4" s="1"/>
  <c r="O531" i="4"/>
  <c r="U531" i="4" s="1"/>
  <c r="C531" i="4"/>
  <c r="I531" i="4" s="1"/>
  <c r="U530" i="4"/>
  <c r="O530" i="4"/>
  <c r="X530" i="4" s="1"/>
  <c r="I530" i="4"/>
  <c r="C530" i="4"/>
  <c r="U528" i="4"/>
  <c r="I528" i="4"/>
  <c r="R524" i="4"/>
  <c r="F524" i="4"/>
  <c r="R523" i="4"/>
  <c r="F523" i="4"/>
  <c r="U504" i="4"/>
  <c r="I504" i="4"/>
  <c r="O500" i="4"/>
  <c r="U500" i="4" s="1"/>
  <c r="C500" i="4"/>
  <c r="I500" i="4" s="1"/>
  <c r="U497" i="4"/>
  <c r="O497" i="4"/>
  <c r="X497" i="4" s="1"/>
  <c r="I497" i="4"/>
  <c r="C497" i="4"/>
  <c r="L497" i="4" s="1"/>
  <c r="O496" i="4"/>
  <c r="U496" i="4" s="1"/>
  <c r="C496" i="4"/>
  <c r="I496" i="4" s="1"/>
  <c r="O495" i="4"/>
  <c r="U495" i="4" s="1"/>
  <c r="C495" i="4"/>
  <c r="I495" i="4" s="1"/>
  <c r="O494" i="4"/>
  <c r="U494" i="4" s="1"/>
  <c r="C494" i="4"/>
  <c r="I494" i="4" s="1"/>
  <c r="U493" i="4"/>
  <c r="O493" i="4"/>
  <c r="I493" i="4"/>
  <c r="C493" i="4"/>
  <c r="U491" i="4"/>
  <c r="I491" i="4"/>
  <c r="R487" i="4"/>
  <c r="F487" i="4"/>
  <c r="R486" i="4"/>
  <c r="F486" i="4"/>
  <c r="U467" i="4"/>
  <c r="I467" i="4"/>
  <c r="O463" i="4"/>
  <c r="U463" i="4" s="1"/>
  <c r="C463" i="4"/>
  <c r="I463" i="4" s="1"/>
  <c r="U460" i="4"/>
  <c r="O460" i="4"/>
  <c r="X460" i="4" s="1"/>
  <c r="I460" i="4"/>
  <c r="C460" i="4"/>
  <c r="L460" i="4" s="1"/>
  <c r="O459" i="4"/>
  <c r="U459" i="4" s="1"/>
  <c r="C459" i="4"/>
  <c r="I459" i="4" s="1"/>
  <c r="O458" i="4"/>
  <c r="U458" i="4" s="1"/>
  <c r="C458" i="4"/>
  <c r="I458" i="4" s="1"/>
  <c r="O457" i="4"/>
  <c r="U457" i="4" s="1"/>
  <c r="C457" i="4"/>
  <c r="I457" i="4" s="1"/>
  <c r="U456" i="4"/>
  <c r="O456" i="4"/>
  <c r="I456" i="4"/>
  <c r="C456" i="4"/>
  <c r="U454" i="4"/>
  <c r="I454" i="4"/>
  <c r="R450" i="4"/>
  <c r="F450" i="4"/>
  <c r="R449" i="4"/>
  <c r="F449" i="4"/>
  <c r="U430" i="4"/>
  <c r="I430" i="4"/>
  <c r="O426" i="4"/>
  <c r="U426" i="4" s="1"/>
  <c r="C426" i="4"/>
  <c r="I426" i="4" s="1"/>
  <c r="U423" i="4"/>
  <c r="O423" i="4"/>
  <c r="X423" i="4" s="1"/>
  <c r="I423" i="4"/>
  <c r="C423" i="4"/>
  <c r="L423" i="4" s="1"/>
  <c r="O422" i="4"/>
  <c r="U422" i="4" s="1"/>
  <c r="C422" i="4"/>
  <c r="I422" i="4" s="1"/>
  <c r="O421" i="4"/>
  <c r="U421" i="4" s="1"/>
  <c r="C421" i="4"/>
  <c r="I421" i="4" s="1"/>
  <c r="O420" i="4"/>
  <c r="U420" i="4" s="1"/>
  <c r="C420" i="4"/>
  <c r="I420" i="4" s="1"/>
  <c r="U419" i="4"/>
  <c r="O419" i="4"/>
  <c r="I419" i="4"/>
  <c r="C419" i="4"/>
  <c r="U417" i="4"/>
  <c r="I417" i="4"/>
  <c r="R413" i="4"/>
  <c r="F413" i="4"/>
  <c r="R412" i="4"/>
  <c r="F412" i="4"/>
  <c r="U393" i="4"/>
  <c r="I393" i="4"/>
  <c r="O389" i="4"/>
  <c r="U389" i="4" s="1"/>
  <c r="C389" i="4"/>
  <c r="I389" i="4" s="1"/>
  <c r="U386" i="4"/>
  <c r="O386" i="4"/>
  <c r="X386" i="4" s="1"/>
  <c r="I386" i="4"/>
  <c r="C386" i="4"/>
  <c r="L386" i="4" s="1"/>
  <c r="O385" i="4"/>
  <c r="U385" i="4" s="1"/>
  <c r="C385" i="4"/>
  <c r="I385" i="4" s="1"/>
  <c r="O384" i="4"/>
  <c r="U384" i="4" s="1"/>
  <c r="C384" i="4"/>
  <c r="I384" i="4" s="1"/>
  <c r="O383" i="4"/>
  <c r="U383" i="4" s="1"/>
  <c r="C383" i="4"/>
  <c r="I383" i="4" s="1"/>
  <c r="U382" i="4"/>
  <c r="O382" i="4"/>
  <c r="I382" i="4"/>
  <c r="C382" i="4"/>
  <c r="U380" i="4"/>
  <c r="I380" i="4"/>
  <c r="R376" i="4"/>
  <c r="F376" i="4"/>
  <c r="R375" i="4"/>
  <c r="F375" i="4"/>
  <c r="U356" i="4"/>
  <c r="I356" i="4"/>
  <c r="O352" i="4"/>
  <c r="U352" i="4" s="1"/>
  <c r="C352" i="4"/>
  <c r="I352" i="4" s="1"/>
  <c r="U349" i="4"/>
  <c r="O349" i="4"/>
  <c r="X349" i="4" s="1"/>
  <c r="I349" i="4"/>
  <c r="C349" i="4"/>
  <c r="L349" i="4" s="1"/>
  <c r="O348" i="4"/>
  <c r="U348" i="4" s="1"/>
  <c r="C348" i="4"/>
  <c r="I348" i="4" s="1"/>
  <c r="O347" i="4"/>
  <c r="U347" i="4" s="1"/>
  <c r="C347" i="4"/>
  <c r="I347" i="4" s="1"/>
  <c r="O346" i="4"/>
  <c r="U346" i="4" s="1"/>
  <c r="C346" i="4"/>
  <c r="I346" i="4" s="1"/>
  <c r="U345" i="4"/>
  <c r="O345" i="4"/>
  <c r="I345" i="4"/>
  <c r="C345" i="4"/>
  <c r="U343" i="4"/>
  <c r="I343" i="4"/>
  <c r="R339" i="4"/>
  <c r="F339" i="4"/>
  <c r="R338" i="4"/>
  <c r="F338" i="4"/>
  <c r="U319" i="4"/>
  <c r="I319" i="4"/>
  <c r="O315" i="4"/>
  <c r="U315" i="4" s="1"/>
  <c r="C315" i="4"/>
  <c r="I315" i="4" s="1"/>
  <c r="U312" i="4"/>
  <c r="O312" i="4"/>
  <c r="X312" i="4" s="1"/>
  <c r="I312" i="4"/>
  <c r="C312" i="4"/>
  <c r="L312" i="4" s="1"/>
  <c r="O311" i="4"/>
  <c r="U311" i="4" s="1"/>
  <c r="C311" i="4"/>
  <c r="I311" i="4" s="1"/>
  <c r="O310" i="4"/>
  <c r="U310" i="4" s="1"/>
  <c r="C310" i="4"/>
  <c r="I310" i="4" s="1"/>
  <c r="O309" i="4"/>
  <c r="U309" i="4" s="1"/>
  <c r="C309" i="4"/>
  <c r="I309" i="4" s="1"/>
  <c r="U308" i="4"/>
  <c r="O308" i="4"/>
  <c r="I308" i="4"/>
  <c r="C308" i="4"/>
  <c r="U306" i="4"/>
  <c r="I306" i="4"/>
  <c r="R302" i="4"/>
  <c r="F302" i="4"/>
  <c r="R301" i="4"/>
  <c r="F301" i="4"/>
  <c r="U282" i="4"/>
  <c r="I282" i="4"/>
  <c r="O278" i="4"/>
  <c r="U278" i="4" s="1"/>
  <c r="C278" i="4"/>
  <c r="I278" i="4" s="1"/>
  <c r="U275" i="4"/>
  <c r="O275" i="4"/>
  <c r="X275" i="4" s="1"/>
  <c r="I275" i="4"/>
  <c r="C275" i="4"/>
  <c r="L275" i="4" s="1"/>
  <c r="O274" i="4"/>
  <c r="U274" i="4" s="1"/>
  <c r="C274" i="4"/>
  <c r="I274" i="4" s="1"/>
  <c r="O273" i="4"/>
  <c r="U273" i="4" s="1"/>
  <c r="C273" i="4"/>
  <c r="I273" i="4" s="1"/>
  <c r="O272" i="4"/>
  <c r="U272" i="4" s="1"/>
  <c r="C272" i="4"/>
  <c r="U271" i="4"/>
  <c r="O271" i="4"/>
  <c r="I271" i="4"/>
  <c r="C271" i="4"/>
  <c r="L271" i="4" s="1"/>
  <c r="U269" i="4"/>
  <c r="I269" i="4"/>
  <c r="R265" i="4"/>
  <c r="F265" i="4"/>
  <c r="R264" i="4"/>
  <c r="F264" i="4"/>
  <c r="U245" i="4"/>
  <c r="I245" i="4"/>
  <c r="O241" i="4"/>
  <c r="U241" i="4" s="1"/>
  <c r="C241" i="4"/>
  <c r="I241" i="4" s="1"/>
  <c r="U238" i="4"/>
  <c r="O238" i="4"/>
  <c r="X238" i="4" s="1"/>
  <c r="I238" i="4"/>
  <c r="C238" i="4"/>
  <c r="L238" i="4" s="1"/>
  <c r="O237" i="4"/>
  <c r="U237" i="4" s="1"/>
  <c r="C237" i="4"/>
  <c r="I237" i="4" s="1"/>
  <c r="O236" i="4"/>
  <c r="U236" i="4" s="1"/>
  <c r="C236" i="4"/>
  <c r="I236" i="4" s="1"/>
  <c r="O235" i="4"/>
  <c r="U235" i="4" s="1"/>
  <c r="C235" i="4"/>
  <c r="I235" i="4" s="1"/>
  <c r="U234" i="4"/>
  <c r="O234" i="4"/>
  <c r="I234" i="4"/>
  <c r="C234" i="4"/>
  <c r="U232" i="4"/>
  <c r="I232" i="4"/>
  <c r="U208" i="4"/>
  <c r="I208" i="4"/>
  <c r="O204" i="4"/>
  <c r="U204" i="4" s="1"/>
  <c r="C204" i="4"/>
  <c r="I204" i="4" s="1"/>
  <c r="U201" i="4"/>
  <c r="O201" i="4"/>
  <c r="X201" i="4" s="1"/>
  <c r="I201" i="4"/>
  <c r="C201" i="4"/>
  <c r="L201" i="4" s="1"/>
  <c r="O200" i="4"/>
  <c r="U200" i="4" s="1"/>
  <c r="C200" i="4"/>
  <c r="I200" i="4" s="1"/>
  <c r="O199" i="4"/>
  <c r="U199" i="4" s="1"/>
  <c r="C199" i="4"/>
  <c r="I199" i="4" s="1"/>
  <c r="O198" i="4"/>
  <c r="U198" i="4" s="1"/>
  <c r="C198" i="4"/>
  <c r="I198" i="4" s="1"/>
  <c r="U197" i="4"/>
  <c r="O197" i="4"/>
  <c r="I197" i="4"/>
  <c r="C197" i="4"/>
  <c r="L197" i="4" s="1"/>
  <c r="U195" i="4"/>
  <c r="I195" i="4"/>
  <c r="R192" i="4"/>
  <c r="F192" i="4"/>
  <c r="U171" i="4"/>
  <c r="I171" i="4"/>
  <c r="O167" i="4"/>
  <c r="C167" i="4"/>
  <c r="U164" i="4"/>
  <c r="O164" i="4"/>
  <c r="X164" i="4" s="1"/>
  <c r="I164" i="4"/>
  <c r="C164" i="4"/>
  <c r="L164" i="4" s="1"/>
  <c r="O163" i="4"/>
  <c r="U163" i="4" s="1"/>
  <c r="C163" i="4"/>
  <c r="I163" i="4" s="1"/>
  <c r="O162" i="4"/>
  <c r="U162" i="4" s="1"/>
  <c r="C162" i="4"/>
  <c r="I162" i="4" s="1"/>
  <c r="O161" i="4"/>
  <c r="U161" i="4" s="1"/>
  <c r="C161" i="4"/>
  <c r="I161" i="4" s="1"/>
  <c r="U160" i="4"/>
  <c r="O160" i="4"/>
  <c r="I160" i="4"/>
  <c r="C160" i="4"/>
  <c r="U158" i="4"/>
  <c r="I158" i="4"/>
  <c r="R155" i="4"/>
  <c r="F155" i="4"/>
  <c r="U134" i="4"/>
  <c r="I134" i="4"/>
  <c r="O130" i="4"/>
  <c r="U130" i="4" s="1"/>
  <c r="C130" i="4"/>
  <c r="I130" i="4" s="1"/>
  <c r="U127" i="4"/>
  <c r="O127" i="4"/>
  <c r="X127" i="4" s="1"/>
  <c r="I127" i="4"/>
  <c r="C127" i="4"/>
  <c r="L127" i="4" s="1"/>
  <c r="O126" i="4"/>
  <c r="U126" i="4" s="1"/>
  <c r="C126" i="4"/>
  <c r="I126" i="4" s="1"/>
  <c r="O125" i="4"/>
  <c r="U125" i="4" s="1"/>
  <c r="C125" i="4"/>
  <c r="I125" i="4" s="1"/>
  <c r="O124" i="4"/>
  <c r="U124" i="4" s="1"/>
  <c r="C124" i="4"/>
  <c r="I124" i="4" s="1"/>
  <c r="U123" i="4"/>
  <c r="O123" i="4"/>
  <c r="I123" i="4"/>
  <c r="C123" i="4"/>
  <c r="U121" i="4"/>
  <c r="L121" i="4"/>
  <c r="I121" i="4"/>
  <c r="L119" i="4"/>
  <c r="R118" i="4"/>
  <c r="F118" i="4"/>
  <c r="F117" i="4"/>
  <c r="F116" i="4"/>
  <c r="U97" i="4"/>
  <c r="I97" i="4"/>
  <c r="O93" i="4"/>
  <c r="U93" i="4" s="1"/>
  <c r="C93" i="4"/>
  <c r="I93" i="4" s="1"/>
  <c r="U90" i="4"/>
  <c r="O90" i="4"/>
  <c r="X90" i="4" s="1"/>
  <c r="I90" i="4"/>
  <c r="C90" i="4"/>
  <c r="L90" i="4" s="1"/>
  <c r="O89" i="4"/>
  <c r="U89" i="4" s="1"/>
  <c r="C89" i="4"/>
  <c r="I89" i="4" s="1"/>
  <c r="O88" i="4"/>
  <c r="U88" i="4" s="1"/>
  <c r="C88" i="4"/>
  <c r="I88" i="4" s="1"/>
  <c r="O87" i="4"/>
  <c r="U87" i="4" s="1"/>
  <c r="C87" i="4"/>
  <c r="I87" i="4" s="1"/>
  <c r="U86" i="4"/>
  <c r="O86" i="4"/>
  <c r="I86" i="4"/>
  <c r="C86" i="4"/>
  <c r="U84" i="4"/>
  <c r="I84" i="4"/>
  <c r="R81" i="4"/>
  <c r="F81" i="4"/>
  <c r="U60" i="4"/>
  <c r="I60" i="4"/>
  <c r="O56" i="4"/>
  <c r="U56" i="4" s="1"/>
  <c r="C56" i="4"/>
  <c r="I56" i="4" s="1"/>
  <c r="U53" i="4"/>
  <c r="O53" i="4"/>
  <c r="X53" i="4" s="1"/>
  <c r="I53" i="4"/>
  <c r="C53" i="4"/>
  <c r="L53" i="4" s="1"/>
  <c r="O52" i="4"/>
  <c r="C52" i="4"/>
  <c r="I52" i="4" s="1"/>
  <c r="O51" i="4"/>
  <c r="U51" i="4" s="1"/>
  <c r="C51" i="4"/>
  <c r="I51" i="4" s="1"/>
  <c r="O50" i="4"/>
  <c r="U50" i="4" s="1"/>
  <c r="C50" i="4"/>
  <c r="I50" i="4" s="1"/>
  <c r="U49" i="4"/>
  <c r="O49" i="4"/>
  <c r="X49" i="4" s="1"/>
  <c r="I49" i="4"/>
  <c r="C49" i="4"/>
  <c r="U47" i="4"/>
  <c r="I47" i="4"/>
  <c r="R44" i="4"/>
  <c r="F44" i="4"/>
  <c r="U22" i="4"/>
  <c r="I22" i="4"/>
  <c r="O18" i="4"/>
  <c r="C18" i="4"/>
  <c r="I18" i="4" s="1"/>
  <c r="U15" i="4"/>
  <c r="O15" i="4"/>
  <c r="X15" i="4" s="1"/>
  <c r="I15" i="4"/>
  <c r="C15" i="4"/>
  <c r="L15" i="4" s="1"/>
  <c r="O14" i="4"/>
  <c r="U14" i="4" s="1"/>
  <c r="C14" i="4"/>
  <c r="I14" i="4" s="1"/>
  <c r="O13" i="4"/>
  <c r="U13" i="4" s="1"/>
  <c r="C13" i="4"/>
  <c r="I13" i="4" s="1"/>
  <c r="O12" i="4"/>
  <c r="C12" i="4"/>
  <c r="I12" i="4" s="1"/>
  <c r="U11" i="4"/>
  <c r="O11" i="4"/>
  <c r="X11" i="4" s="1"/>
  <c r="I11" i="4"/>
  <c r="C11" i="4"/>
  <c r="L11" i="4" s="1"/>
  <c r="U9" i="4"/>
  <c r="I9" i="4"/>
  <c r="R6" i="4"/>
  <c r="F6" i="4"/>
  <c r="F5" i="4"/>
  <c r="F4" i="4"/>
  <c r="F135" i="3"/>
  <c r="AA133" i="3"/>
  <c r="AA131" i="3"/>
  <c r="AA129" i="3"/>
  <c r="AA127" i="3"/>
  <c r="AA125" i="3"/>
  <c r="AA123" i="3"/>
  <c r="AA121" i="3"/>
  <c r="AA119" i="3"/>
  <c r="AA117" i="3"/>
  <c r="AA115" i="3"/>
  <c r="AA113" i="3"/>
  <c r="AA111" i="3"/>
  <c r="AA109" i="3"/>
  <c r="AA107" i="3"/>
  <c r="AA105" i="3"/>
  <c r="AA103" i="3"/>
  <c r="AA101" i="3"/>
  <c r="AA99" i="3"/>
  <c r="AA97" i="3"/>
  <c r="AA95" i="3"/>
  <c r="AA93" i="3"/>
  <c r="AA91" i="3"/>
  <c r="AA89" i="3"/>
  <c r="AA87" i="3"/>
  <c r="AA85" i="3"/>
  <c r="AA83" i="3"/>
  <c r="AA81" i="3"/>
  <c r="AA79" i="3"/>
  <c r="AA77" i="3"/>
  <c r="AA75" i="3"/>
  <c r="AA73" i="3"/>
  <c r="AA71" i="3"/>
  <c r="AA69" i="3"/>
  <c r="AA67" i="3"/>
  <c r="AA65" i="3"/>
  <c r="AA63" i="3"/>
  <c r="AA61" i="3"/>
  <c r="AA59" i="3"/>
  <c r="AA57" i="3"/>
  <c r="AA55" i="3"/>
  <c r="AA53" i="3"/>
  <c r="AA51" i="3"/>
  <c r="AA49" i="3"/>
  <c r="AA47" i="3"/>
  <c r="AA45" i="3"/>
  <c r="AA43" i="3"/>
  <c r="AA41" i="3"/>
  <c r="AA39" i="3"/>
  <c r="AA37" i="3"/>
  <c r="AA35" i="3"/>
  <c r="AA33" i="3"/>
  <c r="AA31" i="3"/>
  <c r="AA29" i="3"/>
  <c r="AA140" i="3" l="1" a="1"/>
  <c r="AA140" i="3" s="1"/>
  <c r="AA136" i="3" a="1"/>
  <c r="AA136" i="3" s="1"/>
  <c r="AB136" i="3" s="1"/>
  <c r="AB140" i="3" s="1"/>
  <c r="AA135" i="3" a="1"/>
  <c r="AA135" i="3" s="1"/>
  <c r="T65" i="4"/>
  <c r="H66" i="4"/>
  <c r="U603" i="4"/>
  <c r="U830" i="4"/>
  <c r="X835" i="4" s="1"/>
  <c r="U838" i="4" s="1"/>
  <c r="T839" i="4" s="1"/>
  <c r="U233" i="4"/>
  <c r="U677" i="4"/>
  <c r="X58" i="4"/>
  <c r="U61" i="4" s="1"/>
  <c r="U196" i="4"/>
  <c r="U307" i="4"/>
  <c r="X539" i="4"/>
  <c r="U542" i="4" s="1"/>
  <c r="T543" i="4" s="1"/>
  <c r="U751" i="4"/>
  <c r="T102" i="4"/>
  <c r="H881" i="4"/>
  <c r="T474" i="4"/>
  <c r="U455" i="4"/>
  <c r="H288" i="4"/>
  <c r="X456" i="4"/>
  <c r="X465" i="4" s="1"/>
  <c r="U468" i="4" s="1"/>
  <c r="T469" i="4" s="1"/>
  <c r="H731" i="4"/>
  <c r="T400" i="4"/>
  <c r="L798" i="4"/>
  <c r="I801" i="4" s="1"/>
  <c r="H802" i="4" s="1"/>
  <c r="U789" i="4"/>
  <c r="U788" i="4" s="1"/>
  <c r="L206" i="4"/>
  <c r="I209" i="4" s="1"/>
  <c r="H210" i="4" s="1"/>
  <c r="I10" i="4"/>
  <c r="U52" i="4"/>
  <c r="H140" i="4"/>
  <c r="H400" i="4"/>
  <c r="T399" i="4"/>
  <c r="I159" i="4"/>
  <c r="U381" i="4"/>
  <c r="T769" i="4"/>
  <c r="H102" i="4"/>
  <c r="T176" i="4"/>
  <c r="H252" i="4"/>
  <c r="T326" i="4"/>
  <c r="T657" i="4"/>
  <c r="U529" i="4"/>
  <c r="X752" i="4"/>
  <c r="X761" i="4" s="1"/>
  <c r="U764" i="4" s="1"/>
  <c r="U85" i="4"/>
  <c r="T251" i="4"/>
  <c r="X308" i="4"/>
  <c r="X317" i="4" s="1"/>
  <c r="U320" i="4" s="1"/>
  <c r="T321" i="4" s="1"/>
  <c r="T622" i="4"/>
  <c r="T140" i="4"/>
  <c r="T252" i="4"/>
  <c r="H510" i="4"/>
  <c r="I863" i="4"/>
  <c r="H1098" i="4"/>
  <c r="X20" i="4"/>
  <c r="U23" i="4" s="1"/>
  <c r="L49" i="4"/>
  <c r="L58" i="4" s="1"/>
  <c r="I61" i="4" s="1"/>
  <c r="H62" i="4" s="1"/>
  <c r="X123" i="4"/>
  <c r="X132" i="4" s="1"/>
  <c r="U135" i="4" s="1"/>
  <c r="T136" i="4" s="1"/>
  <c r="T139" i="4"/>
  <c r="H362" i="4"/>
  <c r="L715" i="4"/>
  <c r="L724" i="4" s="1"/>
  <c r="I727" i="4" s="1"/>
  <c r="T29" i="4"/>
  <c r="T66" i="4"/>
  <c r="H141" i="4"/>
  <c r="H215" i="4"/>
  <c r="X234" i="4"/>
  <c r="X243" i="4" s="1"/>
  <c r="U246" i="4" s="1"/>
  <c r="T247" i="4" s="1"/>
  <c r="X382" i="4"/>
  <c r="X391" i="4" s="1"/>
  <c r="U394" i="4" s="1"/>
  <c r="T395" i="4" s="1"/>
  <c r="T510" i="4"/>
  <c r="H622" i="4"/>
  <c r="T731" i="4"/>
  <c r="H806" i="4"/>
  <c r="T547" i="4"/>
  <c r="T141" i="4"/>
  <c r="T361" i="4"/>
  <c r="H474" i="4"/>
  <c r="T621" i="4"/>
  <c r="T696" i="4"/>
  <c r="H732" i="4"/>
  <c r="T1024" i="4"/>
  <c r="H67" i="4"/>
  <c r="T215" i="4"/>
  <c r="H326" i="4"/>
  <c r="H584" i="4"/>
  <c r="H696" i="4"/>
  <c r="T805" i="4"/>
  <c r="I1010" i="4"/>
  <c r="L1094" i="4"/>
  <c r="I1097" i="4" s="1"/>
  <c r="X1131" i="4"/>
  <c r="U1134" i="4" s="1"/>
  <c r="T1135" i="4" s="1"/>
  <c r="T1143" i="4" s="1"/>
  <c r="H1179" i="4"/>
  <c r="T67" i="4"/>
  <c r="T213" i="4"/>
  <c r="H436" i="4"/>
  <c r="T473" i="4"/>
  <c r="X604" i="4"/>
  <c r="X613" i="4" s="1"/>
  <c r="U616" i="4" s="1"/>
  <c r="T950" i="4"/>
  <c r="X1094" i="4"/>
  <c r="U1097" i="4" s="1"/>
  <c r="H1105" i="4"/>
  <c r="H29" i="4"/>
  <c r="X197" i="4"/>
  <c r="X206" i="4" s="1"/>
  <c r="U209" i="4" s="1"/>
  <c r="T210" i="4" s="1"/>
  <c r="H287" i="4"/>
  <c r="T325" i="4"/>
  <c r="T583" i="4"/>
  <c r="T695" i="4"/>
  <c r="T770" i="4"/>
  <c r="T842" i="4"/>
  <c r="H177" i="4"/>
  <c r="T177" i="4"/>
  <c r="T435" i="4"/>
  <c r="T436" i="4"/>
  <c r="H658" i="4"/>
  <c r="H770" i="4"/>
  <c r="T843" i="4"/>
  <c r="I904" i="4"/>
  <c r="L909" i="4" s="1"/>
  <c r="I912" i="4" s="1"/>
  <c r="U936" i="4"/>
  <c r="L1020" i="4"/>
  <c r="I1023" i="4" s="1"/>
  <c r="H1024" i="4" s="1"/>
  <c r="H1032" i="4" s="1"/>
  <c r="L20" i="4"/>
  <c r="I23" i="4" s="1"/>
  <c r="H24" i="4" s="1"/>
  <c r="H548" i="4"/>
  <c r="X678" i="4"/>
  <c r="X687" i="4" s="1"/>
  <c r="U690" i="4" s="1"/>
  <c r="T844" i="4"/>
  <c r="L983" i="4"/>
  <c r="I986" i="4" s="1"/>
  <c r="H987" i="4" s="1"/>
  <c r="H995" i="4" s="1"/>
  <c r="T27" i="4"/>
  <c r="T287" i="4"/>
  <c r="T548" i="4"/>
  <c r="H843" i="4"/>
  <c r="H1068" i="4"/>
  <c r="H1135" i="4"/>
  <c r="H1143" i="4" s="1"/>
  <c r="X909" i="4"/>
  <c r="U912" i="4" s="1"/>
  <c r="T913" i="4" s="1"/>
  <c r="T921" i="4" s="1"/>
  <c r="T1032" i="4"/>
  <c r="T958" i="4"/>
  <c r="L1057" i="4"/>
  <c r="I1060" i="4" s="1"/>
  <c r="H1061" i="4" s="1"/>
  <c r="H1069" i="4" s="1"/>
  <c r="L280" i="4"/>
  <c r="I283" i="4" s="1"/>
  <c r="T1061" i="4"/>
  <c r="T1069" i="4" s="1"/>
  <c r="L650" i="4"/>
  <c r="I653" i="4" s="1"/>
  <c r="H654" i="4" s="1"/>
  <c r="T584" i="4"/>
  <c r="U12" i="4"/>
  <c r="L86" i="4"/>
  <c r="L95" i="4" s="1"/>
  <c r="I98" i="4" s="1"/>
  <c r="H99" i="4" s="1"/>
  <c r="H103" i="4"/>
  <c r="L160" i="4"/>
  <c r="L169" i="4" s="1"/>
  <c r="I172" i="4" s="1"/>
  <c r="H173" i="4" s="1"/>
  <c r="H178" i="4"/>
  <c r="H213" i="4"/>
  <c r="I233" i="4"/>
  <c r="H289" i="4"/>
  <c r="I307" i="4"/>
  <c r="H363" i="4"/>
  <c r="I381" i="4"/>
  <c r="H437" i="4"/>
  <c r="I455" i="4"/>
  <c r="H511" i="4"/>
  <c r="I529" i="4"/>
  <c r="H585" i="4"/>
  <c r="I603" i="4"/>
  <c r="H659" i="4"/>
  <c r="I677" i="4"/>
  <c r="H733" i="4"/>
  <c r="I751" i="4"/>
  <c r="H807" i="4"/>
  <c r="H844" i="4"/>
  <c r="I936" i="4"/>
  <c r="I941" i="4"/>
  <c r="U978" i="4"/>
  <c r="I1158" i="4"/>
  <c r="I1163" i="4"/>
  <c r="T103" i="4"/>
  <c r="T178" i="4"/>
  <c r="X271" i="4"/>
  <c r="X280" i="4" s="1"/>
  <c r="U283" i="4" s="1"/>
  <c r="T284" i="4" s="1"/>
  <c r="T289" i="4"/>
  <c r="X345" i="4"/>
  <c r="X354" i="4" s="1"/>
  <c r="U357" i="4" s="1"/>
  <c r="T358" i="4" s="1"/>
  <c r="T363" i="4"/>
  <c r="X419" i="4"/>
  <c r="X428" i="4" s="1"/>
  <c r="U431" i="4" s="1"/>
  <c r="T432" i="4" s="1"/>
  <c r="T437" i="4"/>
  <c r="X493" i="4"/>
  <c r="X502" i="4" s="1"/>
  <c r="U505" i="4" s="1"/>
  <c r="T506" i="4" s="1"/>
  <c r="T511" i="4"/>
  <c r="X567" i="4"/>
  <c r="X576" i="4" s="1"/>
  <c r="U579" i="4" s="1"/>
  <c r="T580" i="4" s="1"/>
  <c r="T585" i="4"/>
  <c r="X641" i="4"/>
  <c r="X650" i="4" s="1"/>
  <c r="U653" i="4" s="1"/>
  <c r="T654" i="4" s="1"/>
  <c r="T659" i="4"/>
  <c r="X715" i="4"/>
  <c r="X724" i="4" s="1"/>
  <c r="U727" i="4" s="1"/>
  <c r="T728" i="4" s="1"/>
  <c r="T733" i="4"/>
  <c r="X789" i="4"/>
  <c r="T807" i="4"/>
  <c r="L863" i="4"/>
  <c r="U10" i="4"/>
  <c r="H27" i="4"/>
  <c r="H104" i="4"/>
  <c r="H214" i="4"/>
  <c r="H250" i="4"/>
  <c r="H324" i="4"/>
  <c r="H398" i="4"/>
  <c r="H472" i="4"/>
  <c r="H546" i="4"/>
  <c r="H620" i="4"/>
  <c r="H694" i="4"/>
  <c r="H768" i="4"/>
  <c r="T362" i="4"/>
  <c r="X86" i="4"/>
  <c r="X95" i="4" s="1"/>
  <c r="U98" i="4" s="1"/>
  <c r="T99" i="4" s="1"/>
  <c r="T104" i="4"/>
  <c r="X160" i="4"/>
  <c r="X169" i="4" s="1"/>
  <c r="U172" i="4" s="1"/>
  <c r="T173" i="4" s="1"/>
  <c r="T214" i="4"/>
  <c r="T250" i="4"/>
  <c r="I272" i="4"/>
  <c r="T324" i="4"/>
  <c r="T398" i="4"/>
  <c r="T472" i="4"/>
  <c r="T546" i="4"/>
  <c r="U606" i="4"/>
  <c r="T620" i="4"/>
  <c r="U680" i="4"/>
  <c r="T694" i="4"/>
  <c r="I716" i="4"/>
  <c r="U754" i="4"/>
  <c r="T768" i="4"/>
  <c r="I827" i="4"/>
  <c r="I830" i="4"/>
  <c r="L835" i="4" s="1"/>
  <c r="I838" i="4" s="1"/>
  <c r="U899" i="4"/>
  <c r="T1098" i="4"/>
  <c r="T1106" i="4" s="1"/>
  <c r="U1121" i="4"/>
  <c r="T806" i="4"/>
  <c r="H28" i="4"/>
  <c r="I48" i="4"/>
  <c r="I122" i="4"/>
  <c r="L234" i="4"/>
  <c r="L243" i="4" s="1"/>
  <c r="I246" i="4" s="1"/>
  <c r="H247" i="4" s="1"/>
  <c r="H251" i="4"/>
  <c r="L308" i="4"/>
  <c r="L317" i="4" s="1"/>
  <c r="I320" i="4" s="1"/>
  <c r="H321" i="4" s="1"/>
  <c r="H325" i="4"/>
  <c r="L382" i="4"/>
  <c r="L391" i="4" s="1"/>
  <c r="I394" i="4" s="1"/>
  <c r="H395" i="4" s="1"/>
  <c r="H399" i="4"/>
  <c r="L456" i="4"/>
  <c r="L465" i="4" s="1"/>
  <c r="I468" i="4" s="1"/>
  <c r="H469" i="4" s="1"/>
  <c r="H473" i="4"/>
  <c r="L530" i="4"/>
  <c r="L539" i="4" s="1"/>
  <c r="I542" i="4" s="1"/>
  <c r="H543" i="4" s="1"/>
  <c r="H547" i="4"/>
  <c r="L604" i="4"/>
  <c r="L613" i="4" s="1"/>
  <c r="I616" i="4" s="1"/>
  <c r="H617" i="4" s="1"/>
  <c r="H621" i="4"/>
  <c r="L678" i="4"/>
  <c r="L687" i="4" s="1"/>
  <c r="I690" i="4" s="1"/>
  <c r="H691" i="4" s="1"/>
  <c r="H695" i="4"/>
  <c r="L752" i="4"/>
  <c r="L761" i="4" s="1"/>
  <c r="I764" i="4" s="1"/>
  <c r="H765" i="4" s="1"/>
  <c r="H769" i="4"/>
  <c r="U867" i="4"/>
  <c r="H879" i="4"/>
  <c r="I1084" i="4"/>
  <c r="T28" i="4"/>
  <c r="U48" i="4"/>
  <c r="U122" i="4"/>
  <c r="U1084" i="4"/>
  <c r="T288" i="4"/>
  <c r="T658" i="4"/>
  <c r="T732" i="4"/>
  <c r="H65" i="4"/>
  <c r="H139" i="4"/>
  <c r="I270" i="4"/>
  <c r="I344" i="4"/>
  <c r="I418" i="4"/>
  <c r="I492" i="4"/>
  <c r="I566" i="4"/>
  <c r="I640" i="4"/>
  <c r="I714" i="4"/>
  <c r="I788" i="4"/>
  <c r="H880" i="4"/>
  <c r="I1047" i="4"/>
  <c r="U270" i="4"/>
  <c r="U344" i="4"/>
  <c r="U418" i="4"/>
  <c r="U492" i="4"/>
  <c r="U566" i="4"/>
  <c r="U640" i="4"/>
  <c r="U714" i="4"/>
  <c r="I85" i="4"/>
  <c r="L123" i="4"/>
  <c r="L132" i="4" s="1"/>
  <c r="I135" i="4" s="1"/>
  <c r="H136" i="4" s="1"/>
  <c r="H176" i="4"/>
  <c r="H361" i="4"/>
  <c r="H435" i="4"/>
  <c r="H509" i="4"/>
  <c r="H583" i="4"/>
  <c r="H657" i="4"/>
  <c r="H805" i="4"/>
  <c r="H842" i="4"/>
  <c r="H846" i="4" s="1"/>
  <c r="U159" i="4"/>
  <c r="T509" i="4"/>
  <c r="I196" i="4"/>
  <c r="L345" i="4"/>
  <c r="L354" i="4" s="1"/>
  <c r="I357" i="4" s="1"/>
  <c r="H358" i="4" s="1"/>
  <c r="L419" i="4"/>
  <c r="L428" i="4" s="1"/>
  <c r="I431" i="4" s="1"/>
  <c r="H432" i="4" s="1"/>
  <c r="L493" i="4"/>
  <c r="L502" i="4" s="1"/>
  <c r="I505" i="4" s="1"/>
  <c r="H506" i="4" s="1"/>
  <c r="L567" i="4"/>
  <c r="L576" i="4" s="1"/>
  <c r="I579" i="4" s="1"/>
  <c r="H580" i="4" s="1"/>
  <c r="U862" i="4"/>
  <c r="T62" i="4" l="1"/>
  <c r="AC136" i="3"/>
  <c r="AC140" i="3" s="1"/>
  <c r="T24" i="4"/>
  <c r="H809" i="4"/>
  <c r="T291" i="4"/>
  <c r="H69" i="4"/>
  <c r="I867" i="4"/>
  <c r="L872" i="4" s="1"/>
  <c r="I875" i="4" s="1"/>
  <c r="H876" i="4" s="1"/>
  <c r="I862" i="4"/>
  <c r="T772" i="4"/>
  <c r="H143" i="4"/>
  <c r="T254" i="4"/>
  <c r="T217" i="4"/>
  <c r="H728" i="4"/>
  <c r="T69" i="4"/>
  <c r="H144" i="4"/>
  <c r="U793" i="4"/>
  <c r="X798" i="4" s="1"/>
  <c r="U801" i="4" s="1"/>
  <c r="T802" i="4" s="1"/>
  <c r="T661" i="4"/>
  <c r="T662" i="4" s="1"/>
  <c r="T624" i="4"/>
  <c r="T809" i="4"/>
  <c r="T617" i="4"/>
  <c r="H661" i="4"/>
  <c r="H662" i="4" s="1"/>
  <c r="T402" i="4"/>
  <c r="T365" i="4"/>
  <c r="T366" i="4" s="1"/>
  <c r="T765" i="4"/>
  <c r="T773" i="4" s="1"/>
  <c r="H291" i="4"/>
  <c r="T31" i="4"/>
  <c r="T32" i="4" s="1"/>
  <c r="H883" i="4"/>
  <c r="T476" i="4"/>
  <c r="T477" i="4" s="1"/>
  <c r="H106" i="4"/>
  <c r="H107" i="4" s="1"/>
  <c r="H136" i="3"/>
  <c r="T143" i="4"/>
  <c r="T144" i="4" s="1"/>
  <c r="H1172" i="4"/>
  <c r="H1180" i="4" s="1"/>
  <c r="H587" i="4"/>
  <c r="H588" i="4" s="1"/>
  <c r="T550" i="4"/>
  <c r="T551" i="4" s="1"/>
  <c r="H698" i="4"/>
  <c r="H699" i="4" s="1"/>
  <c r="H913" i="4"/>
  <c r="H921" i="4" s="1"/>
  <c r="L1168" i="4"/>
  <c r="I1171" i="4" s="1"/>
  <c r="H624" i="4"/>
  <c r="H625" i="4" s="1"/>
  <c r="T846" i="4"/>
  <c r="T847" i="4" s="1"/>
  <c r="H1106" i="4"/>
  <c r="T439" i="4"/>
  <c r="T440" i="4" s="1"/>
  <c r="T587" i="4"/>
  <c r="T588" i="4" s="1"/>
  <c r="H439" i="4"/>
  <c r="H440" i="4" s="1"/>
  <c r="H735" i="4"/>
  <c r="H365" i="4"/>
  <c r="H366" i="4" s="1"/>
  <c r="L946" i="4"/>
  <c r="I949" i="4" s="1"/>
  <c r="H950" i="4" s="1"/>
  <c r="H958" i="4" s="1"/>
  <c r="T328" i="4"/>
  <c r="T329" i="4" s="1"/>
  <c r="T698" i="4"/>
  <c r="T691" i="4"/>
  <c r="T70" i="4"/>
  <c r="H513" i="4"/>
  <c r="H514" i="4" s="1"/>
  <c r="H180" i="4"/>
  <c r="H181" i="4" s="1"/>
  <c r="T735" i="4"/>
  <c r="T736" i="4" s="1"/>
  <c r="H284" i="4"/>
  <c r="T180" i="4"/>
  <c r="T181" i="4" s="1"/>
  <c r="T255" i="4"/>
  <c r="T106" i="4"/>
  <c r="T107" i="4" s="1"/>
  <c r="G136" i="3"/>
  <c r="F136" i="3"/>
  <c r="T292" i="4"/>
  <c r="H31" i="4"/>
  <c r="H32" i="4" s="1"/>
  <c r="H810" i="4"/>
  <c r="H772" i="4"/>
  <c r="H773" i="4" s="1"/>
  <c r="T403" i="4"/>
  <c r="X872" i="4"/>
  <c r="U875" i="4" s="1"/>
  <c r="T876" i="4" s="1"/>
  <c r="T884" i="4" s="1"/>
  <c r="H550" i="4"/>
  <c r="H551" i="4" s="1"/>
  <c r="H476" i="4"/>
  <c r="H477" i="4" s="1"/>
  <c r="H839" i="4"/>
  <c r="H847" i="4" s="1"/>
  <c r="H402" i="4"/>
  <c r="H403" i="4" s="1"/>
  <c r="T218" i="4"/>
  <c r="T513" i="4"/>
  <c r="T514" i="4" s="1"/>
  <c r="H328" i="4"/>
  <c r="H329" i="4" s="1"/>
  <c r="H217" i="4"/>
  <c r="H218" i="4" s="1"/>
  <c r="X983" i="4"/>
  <c r="U986" i="4" s="1"/>
  <c r="T987" i="4" s="1"/>
  <c r="T995" i="4" s="1"/>
  <c r="H254" i="4"/>
  <c r="H255" i="4" s="1"/>
  <c r="H70" i="4"/>
  <c r="T810" i="4" l="1"/>
  <c r="T625" i="4"/>
  <c r="H884" i="4"/>
  <c r="H292" i="4"/>
  <c r="H736" i="4"/>
  <c r="T699" i="4"/>
  <c r="F140" i="3" l="1" a="1"/>
  <c r="F140" i="3" l="1"/>
  <c r="AB137" i="3"/>
  <c r="AC13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<sst xmlns="http://schemas.openxmlformats.org/spreadsheetml/2006/main" count="7174" uniqueCount="208">
  <si>
    <t>CÔNG TY TNHH SD</t>
  </si>
  <si>
    <t xml:space="preserve"> Tổ Gián tiếp</t>
  </si>
  <si>
    <t>TT</t>
  </si>
  <si>
    <t>Họ và tên</t>
  </si>
  <si>
    <t>Mã số</t>
  </si>
  <si>
    <t>Hệ số
hưởng lương</t>
  </si>
  <si>
    <t>Giây / HS</t>
  </si>
  <si>
    <t>Giây hưởng lương</t>
  </si>
  <si>
    <t xml:space="preserve">  Giây/1 công</t>
  </si>
  <si>
    <t>Ký nhận</t>
  </si>
  <si>
    <t>Ngày vào</t>
  </si>
  <si>
    <t>Mức lương</t>
  </si>
  <si>
    <t>Công</t>
  </si>
  <si>
    <t>Phép</t>
  </si>
  <si>
    <t>lễ tết</t>
  </si>
  <si>
    <t>Học, họp</t>
  </si>
  <si>
    <t>Thai 7 tháng</t>
  </si>
  <si>
    <t>Thêm giờ</t>
  </si>
  <si>
    <t>Tiền con nhỏ</t>
  </si>
  <si>
    <t>Nguyễn Văn Huy</t>
  </si>
  <si>
    <t>Phạm Văn Định</t>
  </si>
  <si>
    <t>Đặng Văn Tá</t>
  </si>
  <si>
    <t>Khuyến công</t>
  </si>
  <si>
    <t>Xăng xe</t>
  </si>
  <si>
    <t>CN CÔNG TY TNHH S&amp;D TẠI THANH HOÁ</t>
  </si>
  <si>
    <t>BP: Cơ điện</t>
  </si>
  <si>
    <t>BẢNG CHI TIẾT THANH TOÁN LƯƠNG</t>
  </si>
  <si>
    <t>Stt</t>
  </si>
  <si>
    <t>Mã Số</t>
  </si>
  <si>
    <t>Ngày tiếp nhận/ Mức lương CB</t>
  </si>
  <si>
    <t>Bù lương</t>
  </si>
  <si>
    <t>Tổng cộng</t>
  </si>
  <si>
    <t>Thực lĩnh</t>
  </si>
  <si>
    <t>So sánh</t>
  </si>
  <si>
    <t>Sản phẩm  CBCV</t>
  </si>
  <si>
    <t>Học họp</t>
  </si>
  <si>
    <t>bï l­¬ng SP</t>
  </si>
  <si>
    <t>bï l­¬ng Thªm giê</t>
  </si>
  <si>
    <t>BHXH, BHYT, BHTN</t>
  </si>
  <si>
    <t>Tổng giây</t>
  </si>
  <si>
    <t>27=26/25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</si>
  <si>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</si>
  <si>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</si>
  <si>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</si>
  <si>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</si>
  <si>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</si>
  <si>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</si>
  <si>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</si>
  <si>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</si>
  <si>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</si>
  <si>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</si>
  <si>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</si>
  <si>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</si>
  <si>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</si>
  <si>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</si>
  <si>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</si>
  <si>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</si>
  <si>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</si>
  <si>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</si>
  <si>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</si>
  <si>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</si>
  <si>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</si>
  <si>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</si>
  <si>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</si>
  <si>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</si>
  <si>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</si>
  <si>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</si>
  <si>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</si>
  <si>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</si>
  <si>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</si>
  <si>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</si>
  <si>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</si>
  <si>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</si>
  <si>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</si>
  <si>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</si>
  <si>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</si>
  <si>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</si>
  <si>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</si>
  <si>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</si>
  <si>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</si>
  <si>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</si>
  <si>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</si>
  <si>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</si>
  <si>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</si>
  <si>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</si>
  <si>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</si>
  <si>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</si>
  <si>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</si>
  <si>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</si>
  <si>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</si>
  <si>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</si>
  <si>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</si>
  <si>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</si>
  <si>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</si>
  <si>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</si>
  <si>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</si>
  <si>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</si>
  <si>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Lương giờ ca ba</t>
  </si>
  <si>
    <t>STT : 05</t>
  </si>
  <si>
    <t>STT : 06</t>
  </si>
  <si>
    <t>Nguyễn Thị Hạnh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</si>
  <si>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</si>
  <si>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</si>
  <si>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</si>
  <si>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</si>
  <si>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</si>
  <si>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</si>
  <si>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</si>
  <si>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</si>
  <si>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</si>
  <si>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</si>
  <si>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</si>
  <si>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</si>
  <si>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</si>
  <si>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</si>
  <si>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</si>
  <si>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</si>
  <si>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Trịnh Quốc Hiệp</t>
  </si>
  <si>
    <t>Hoàng Minh Công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</si>
  <si>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</si>
  <si>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</si>
  <si>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</si>
  <si>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</si>
  <si>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</si>
  <si>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</si>
  <si>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</si>
  <si>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</si>
  <si>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</si>
  <si>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</si>
  <si>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</si>
  <si>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</si>
  <si>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</si>
  <si>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</si>
  <si>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</si>
  <si>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</si>
  <si>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</si>
  <si>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</si>
  <si>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</si>
  <si>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</si>
  <si>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</si>
  <si>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</si>
  <si>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</si>
  <si>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</si>
  <si>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</si>
  <si>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</si>
  <si>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</si>
  <si>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</si>
  <si>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</si>
  <si>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</si>
  <si>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</si>
  <si>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</si>
  <si>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</si>
  <si>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</si>
  <si>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</si>
  <si>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</si>
  <si>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</si>
  <si>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</si>
  <si>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</si>
  <si>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</si>
  <si>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</si>
  <si>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</si>
  <si>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</si>
  <si>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</si>
  <si>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</si>
  <si>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</si>
  <si>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</si>
  <si>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</si>
  <si>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</si>
  <si>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</si>
  <si>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</si>
  <si>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</si>
  <si>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</si>
  <si>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Bằng chữ:</t>
  </si>
  <si>
    <t xml:space="preserve">Lãnh đạo công ty </t>
  </si>
  <si>
    <t>Tổng lương thực tế</t>
  </si>
  <si>
    <t>Phân loại</t>
  </si>
  <si>
    <t>PC ATV</t>
  </si>
  <si>
    <t>Vắt sữa</t>
  </si>
  <si>
    <t>CN</t>
  </si>
  <si>
    <t>A</t>
  </si>
  <si>
    <t>28=30/24</t>
  </si>
  <si>
    <t>29=28/27</t>
  </si>
  <si>
    <t>PC</t>
  </si>
  <si>
    <t>HT</t>
  </si>
  <si>
    <t>Trừ phân loại lđ</t>
  </si>
  <si>
    <t>B</t>
  </si>
  <si>
    <t>C</t>
  </si>
  <si>
    <t>Lễ tết</t>
  </si>
  <si>
    <t>Phụ cấp nuôi con +ATV</t>
  </si>
  <si>
    <t>Trừ phận loại lđ</t>
  </si>
  <si>
    <t>30=20-8-9</t>
  </si>
  <si>
    <t>Lê Thị Linh</t>
  </si>
  <si>
    <t>Khấu trừ</t>
  </si>
  <si>
    <t>CĐ</t>
  </si>
  <si>
    <t>Lê Văn Bắc</t>
  </si>
  <si>
    <t>Các khoản tiền lương</t>
  </si>
  <si>
    <t>Các khoản hỗ trợ</t>
  </si>
  <si>
    <t>Thưởng theo KQKD</t>
  </si>
  <si>
    <t xml:space="preserve"> </t>
  </si>
  <si>
    <t>Thâm niên</t>
  </si>
  <si>
    <t>Đi lại</t>
  </si>
  <si>
    <t>BẢNG HẾ SỐ HƯỞNG LƯƠNG THÁNG 10/2025</t>
  </si>
  <si>
    <t>BQT03</t>
  </si>
  <si>
    <t>Công T03</t>
  </si>
  <si>
    <t>Lương T03</t>
  </si>
  <si>
    <t>BQT04</t>
  </si>
  <si>
    <t>Ngày 15 tháng 05 năm 2026</t>
  </si>
  <si>
    <t>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</si>
</sst>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.00_);_(* \(#,##0.00\);_(* &quot;-&quot;&quot;?&quot;&quot;?&quot;_);_(@_)"/>
    <numFmt numFmtId="166" formatCode="0.0"/>
    <numFmt numFmtId="167" formatCode="_(* #,##0_);_(* \(#,##0\);_(* &quot;-&quot;&quot;?&quot;&quot;?&quot;_);_(@_)"/>
    <numFmt numFmtId="168" formatCode="_-* #,##0_-;\-* #,##0_-;_-* &quot;-&quot;??_-;_-@_-"/>
    <numFmt numFmtId="169" formatCode="#,##0.0"/>
    <numFmt numFmtId="170" formatCode="_(* #,##0.0_);_(* \(#,##0.0\);_(* &quot;-&quot;&quot;?&quot;&quot;?&quot;_);_(@_)"/>
    <numFmt numFmtId="171" formatCode="#,##0;[Red]#,##0"/>
    <numFmt numFmtId="172" formatCode="_-* #,##0.00\ _₫_-;\-* #,##0.00\ _₫_-;_-* &quot;-&quot;&quot;?&quot;&quot;?&quot;\ _₫_-;_-@_-"/>
    <numFmt numFmtId="173" formatCode="_-* #,##0_-;\-* #,##0_-;_-* &quot;-&quot;&quot;?&quot;&quot;?&quot;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.VnTime"/>
      <family val="2"/>
    </font>
    <font>
      <b/>
      <sz val="1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sz val="8"/>
      <name val="Times New Roman"/>
      <family val="1"/>
    </font>
    <font>
      <b/>
      <u/>
      <sz val="9"/>
      <name val="Times New Roman"/>
      <family val="1"/>
    </font>
    <font>
      <b/>
      <i/>
      <u val="singleAccounting"/>
      <sz val="11"/>
      <name val="Times New Roman"/>
      <family val="1"/>
    </font>
    <font>
      <b/>
      <i/>
      <u val="singleAccounting"/>
      <sz val="12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19" fillId="0" borderId="0"/>
    <xf numFmtId="165" fontId="9" fillId="0" borderId="0" applyFont="0" applyFill="0" applyBorder="0" applyAlignment="0" applyProtection="0"/>
    <xf numFmtId="172" fontId="19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84">
    <xf numFmtId="0" fontId="0" fillId="0" borderId="0" xfId="0"/>
    <xf numFmtId="0" fontId="3" fillId="0" borderId="0" xfId="2" applyFont="1"/>
    <xf numFmtId="0" fontId="4" fillId="0" borderId="0" xfId="2" applyFont="1"/>
    <xf numFmtId="0" fontId="7" fillId="0" borderId="0" xfId="2" applyFont="1"/>
    <xf numFmtId="0" fontId="3" fillId="0" borderId="0" xfId="2" applyFont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1" fontId="5" fillId="0" borderId="4" xfId="2" applyNumberFormat="1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wrapText="1"/>
    </xf>
    <xf numFmtId="0" fontId="4" fillId="0" borderId="3" xfId="2" applyFont="1" applyBorder="1" applyAlignment="1">
      <alignment horizontal="center" wrapText="1"/>
    </xf>
    <xf numFmtId="4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9" fontId="5" fillId="0" borderId="1" xfId="2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" fontId="3" fillId="0" borderId="0" xfId="2" applyNumberFormat="1" applyFont="1" applyAlignment="1">
      <alignment horizontal="center" vertical="center" wrapText="1"/>
    </xf>
    <xf numFmtId="0" fontId="3" fillId="0" borderId="0" xfId="2" applyFont="1" applyAlignment="1" applyProtection="1">
      <alignment horizontal="center" vertical="center" wrapText="1"/>
      <protection locked="0"/>
    </xf>
    <xf numFmtId="0" fontId="3" fillId="0" borderId="0" xfId="2" applyFont="1" applyAlignment="1">
      <alignment horizontal="center" vertical="center"/>
    </xf>
    <xf numFmtId="4" fontId="3" fillId="0" borderId="0" xfId="2" applyNumberFormat="1" applyFont="1" applyAlignment="1">
      <alignment horizontal="center" vertical="center"/>
    </xf>
    <xf numFmtId="0" fontId="4" fillId="0" borderId="0" xfId="2" applyFont="1" applyAlignment="1">
      <alignment vertical="center"/>
    </xf>
    <xf numFmtId="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 wrapText="1"/>
    </xf>
    <xf numFmtId="3" fontId="4" fillId="0" borderId="3" xfId="4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vertical="center"/>
    </xf>
    <xf numFmtId="1" fontId="3" fillId="0" borderId="0" xfId="2" applyNumberFormat="1" applyFont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3" fontId="4" fillId="0" borderId="3" xfId="2" applyNumberFormat="1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4" fontId="4" fillId="0" borderId="3" xfId="2" applyNumberFormat="1" applyFont="1" applyBorder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167" fontId="5" fillId="0" borderId="0" xfId="3" applyNumberFormat="1" applyFont="1" applyFill="1"/>
    <xf numFmtId="3" fontId="4" fillId="0" borderId="0" xfId="2" applyNumberFormat="1" applyFont="1"/>
    <xf numFmtId="167" fontId="4" fillId="0" borderId="0" xfId="3" applyNumberFormat="1" applyFont="1" applyFill="1"/>
    <xf numFmtId="167" fontId="3" fillId="0" borderId="0" xfId="3" applyNumberFormat="1" applyFont="1" applyFill="1"/>
    <xf numFmtId="3" fontId="3" fillId="0" borderId="0" xfId="2" applyNumberFormat="1" applyFont="1"/>
    <xf numFmtId="170" fontId="3" fillId="0" borderId="0" xfId="3" applyNumberFormat="1" applyFont="1" applyFill="1"/>
    <xf numFmtId="0" fontId="13" fillId="0" borderId="3" xfId="2" applyFont="1" applyBorder="1" applyAlignment="1">
      <alignment horizontal="center" vertical="center" wrapText="1"/>
    </xf>
    <xf numFmtId="0" fontId="11" fillId="0" borderId="0" xfId="2" applyFont="1"/>
    <xf numFmtId="0" fontId="15" fillId="0" borderId="1" xfId="2" applyFont="1" applyBorder="1" applyAlignment="1">
      <alignment horizontal="center" vertical="center" wrapText="1"/>
    </xf>
    <xf numFmtId="167" fontId="15" fillId="0" borderId="1" xfId="5" applyNumberFormat="1" applyFont="1" applyFill="1" applyBorder="1" applyAlignment="1">
      <alignment horizontal="center" vertical="center" wrapText="1"/>
    </xf>
    <xf numFmtId="1" fontId="15" fillId="0" borderId="1" xfId="3" applyNumberFormat="1" applyFont="1" applyFill="1" applyBorder="1" applyAlignment="1">
      <alignment horizontal="center" vertical="center" wrapText="1"/>
    </xf>
    <xf numFmtId="167" fontId="15" fillId="0" borderId="1" xfId="3" applyNumberFormat="1" applyFont="1" applyFill="1" applyBorder="1" applyAlignment="1">
      <alignment horizontal="center" vertical="center" wrapText="1"/>
    </xf>
    <xf numFmtId="3" fontId="15" fillId="0" borderId="1" xfId="2" applyNumberFormat="1" applyFont="1" applyBorder="1" applyAlignment="1">
      <alignment horizontal="center" vertical="center" wrapText="1"/>
    </xf>
    <xf numFmtId="3" fontId="11" fillId="0" borderId="1" xfId="2" applyNumberFormat="1" applyFont="1" applyBorder="1" applyAlignment="1">
      <alignment vertical="center" shrinkToFit="1"/>
    </xf>
    <xf numFmtId="0" fontId="11" fillId="0" borderId="1" xfId="2" applyFont="1" applyBorder="1" applyAlignment="1">
      <alignment vertical="center" shrinkToFit="1"/>
    </xf>
    <xf numFmtId="166" fontId="11" fillId="0" borderId="1" xfId="2" applyNumberFormat="1" applyFont="1" applyBorder="1" applyAlignment="1">
      <alignment vertical="center" shrinkToFit="1"/>
    </xf>
    <xf numFmtId="166" fontId="11" fillId="0" borderId="1" xfId="3" applyNumberFormat="1" applyFont="1" applyFill="1" applyBorder="1" applyAlignment="1">
      <alignment vertical="center" shrinkToFit="1"/>
    </xf>
    <xf numFmtId="2" fontId="11" fillId="0" borderId="1" xfId="3" applyNumberFormat="1" applyFont="1" applyFill="1" applyBorder="1" applyAlignment="1">
      <alignment vertical="center" shrinkToFit="1"/>
    </xf>
    <xf numFmtId="167" fontId="11" fillId="0" borderId="1" xfId="3" applyNumberFormat="1" applyFont="1" applyFill="1" applyBorder="1" applyAlignment="1">
      <alignment vertical="center" shrinkToFit="1"/>
    </xf>
    <xf numFmtId="4" fontId="11" fillId="0" borderId="8" xfId="2" applyNumberFormat="1" applyFont="1" applyBorder="1" applyAlignment="1">
      <alignment vertical="center" shrinkToFit="1"/>
    </xf>
    <xf numFmtId="3" fontId="11" fillId="0" borderId="8" xfId="2" applyNumberFormat="1" applyFont="1" applyBorder="1" applyAlignment="1">
      <alignment vertical="center" shrinkToFit="1"/>
    </xf>
    <xf numFmtId="3" fontId="11" fillId="0" borderId="8" xfId="5" applyNumberFormat="1" applyFont="1" applyFill="1" applyBorder="1" applyAlignment="1">
      <alignment vertical="center" shrinkToFit="1"/>
    </xf>
    <xf numFmtId="167" fontId="4" fillId="3" borderId="3" xfId="5" applyNumberFormat="1" applyFont="1" applyFill="1" applyBorder="1"/>
    <xf numFmtId="0" fontId="11" fillId="0" borderId="8" xfId="2" applyFont="1" applyBorder="1" applyAlignment="1">
      <alignment horizontal="center" vertical="center"/>
    </xf>
    <xf numFmtId="0" fontId="11" fillId="0" borderId="8" xfId="2" applyFont="1" applyBorder="1" applyAlignment="1">
      <alignment horizontal="left" vertical="center" wrapText="1"/>
    </xf>
    <xf numFmtId="0" fontId="11" fillId="0" borderId="12" xfId="2" applyFont="1" applyBorder="1" applyAlignment="1">
      <alignment vertical="center" shrinkToFit="1"/>
    </xf>
    <xf numFmtId="0" fontId="11" fillId="0" borderId="15" xfId="2" applyFont="1" applyBorder="1" applyAlignment="1">
      <alignment vertical="center" shrinkToFit="1"/>
    </xf>
    <xf numFmtId="0" fontId="11" fillId="0" borderId="8" xfId="2" applyFont="1" applyBorder="1" applyAlignment="1">
      <alignment vertical="center" shrinkToFit="1"/>
    </xf>
    <xf numFmtId="0" fontId="11" fillId="0" borderId="8" xfId="3" applyNumberFormat="1" applyFont="1" applyFill="1" applyBorder="1" applyAlignment="1">
      <alignment vertical="center" shrinkToFit="1"/>
    </xf>
    <xf numFmtId="166" fontId="11" fillId="0" borderId="8" xfId="3" applyNumberFormat="1" applyFont="1" applyFill="1" applyBorder="1" applyAlignment="1">
      <alignment vertical="center" shrinkToFit="1"/>
    </xf>
    <xf numFmtId="167" fontId="11" fillId="0" borderId="8" xfId="3" applyNumberFormat="1" applyFont="1" applyFill="1" applyBorder="1" applyAlignment="1">
      <alignment vertical="center" shrinkToFit="1"/>
    </xf>
    <xf numFmtId="169" fontId="13" fillId="0" borderId="3" xfId="3" applyNumberFormat="1" applyFont="1" applyFill="1" applyBorder="1" applyAlignment="1">
      <alignment vertical="center" shrinkToFit="1"/>
    </xf>
    <xf numFmtId="3" fontId="13" fillId="0" borderId="3" xfId="3" applyNumberFormat="1" applyFont="1" applyFill="1" applyBorder="1" applyAlignment="1">
      <alignment vertical="center" shrinkToFit="1"/>
    </xf>
    <xf numFmtId="0" fontId="11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166" fontId="13" fillId="0" borderId="0" xfId="3" applyNumberFormat="1" applyFont="1" applyFill="1" applyBorder="1" applyAlignment="1">
      <alignment vertical="center" shrinkToFit="1"/>
    </xf>
    <xf numFmtId="167" fontId="13" fillId="0" borderId="0" xfId="3" applyNumberFormat="1" applyFont="1" applyFill="1" applyBorder="1" applyAlignment="1">
      <alignment vertical="center" shrinkToFit="1"/>
    </xf>
    <xf numFmtId="3" fontId="13" fillId="0" borderId="0" xfId="3" applyNumberFormat="1" applyFont="1" applyFill="1" applyBorder="1" applyAlignment="1">
      <alignment vertical="center" shrinkToFit="1"/>
    </xf>
    <xf numFmtId="167" fontId="11" fillId="0" borderId="0" xfId="3" applyNumberFormat="1" applyFont="1" applyFill="1" applyBorder="1" applyAlignment="1">
      <alignment vertical="center"/>
    </xf>
    <xf numFmtId="0" fontId="5" fillId="0" borderId="0" xfId="2" applyFont="1" applyAlignment="1">
      <alignment horizontal="center"/>
    </xf>
    <xf numFmtId="3" fontId="4" fillId="0" borderId="0" xfId="3" applyNumberFormat="1" applyFont="1" applyFill="1"/>
    <xf numFmtId="0" fontId="17" fillId="0" borderId="0" xfId="2" applyFont="1" applyAlignment="1">
      <alignment wrapText="1"/>
    </xf>
    <xf numFmtId="0" fontId="17" fillId="0" borderId="0" xfId="2" applyFont="1"/>
    <xf numFmtId="167" fontId="17" fillId="0" borderId="0" xfId="3" applyNumberFormat="1" applyFont="1" applyFill="1"/>
    <xf numFmtId="3" fontId="18" fillId="0" borderId="0" xfId="2" applyNumberFormat="1" applyFont="1"/>
    <xf numFmtId="0" fontId="18" fillId="0" borderId="0" xfId="2" applyFont="1"/>
    <xf numFmtId="0" fontId="15" fillId="0" borderId="0" xfId="8" applyFont="1"/>
    <xf numFmtId="0" fontId="14" fillId="3" borderId="28" xfId="7" applyFont="1" applyFill="1" applyBorder="1" applyAlignment="1">
      <alignment horizontal="center"/>
    </xf>
    <xf numFmtId="0" fontId="14" fillId="0" borderId="0" xfId="7" applyFont="1" applyAlignment="1">
      <alignment horizontal="center"/>
    </xf>
    <xf numFmtId="0" fontId="14" fillId="0" borderId="29" xfId="7" applyFont="1" applyBorder="1" applyAlignment="1">
      <alignment horizontal="center"/>
    </xf>
    <xf numFmtId="0" fontId="15" fillId="0" borderId="0" xfId="7" applyFont="1"/>
    <xf numFmtId="0" fontId="15" fillId="0" borderId="30" xfId="7" applyFont="1" applyBorder="1"/>
    <xf numFmtId="0" fontId="14" fillId="0" borderId="28" xfId="7" applyFont="1" applyBorder="1"/>
    <xf numFmtId="2" fontId="15" fillId="0" borderId="10" xfId="7" applyNumberFormat="1" applyFont="1" applyBorder="1" applyAlignment="1">
      <alignment horizontal="right"/>
    </xf>
    <xf numFmtId="0" fontId="20" fillId="0" borderId="0" xfId="7" applyFont="1"/>
    <xf numFmtId="0" fontId="15" fillId="0" borderId="0" xfId="7" applyFont="1" applyAlignment="1">
      <alignment horizontal="left"/>
    </xf>
    <xf numFmtId="3" fontId="3" fillId="2" borderId="0" xfId="8" applyNumberFormat="1" applyFont="1" applyFill="1" applyAlignment="1">
      <alignment vertical="center" shrinkToFit="1"/>
    </xf>
    <xf numFmtId="171" fontId="5" fillId="0" borderId="0" xfId="9" applyNumberFormat="1" applyFont="1" applyBorder="1" applyAlignment="1">
      <alignment horizontal="right"/>
    </xf>
    <xf numFmtId="0" fontId="20" fillId="0" borderId="30" xfId="7" applyFont="1" applyBorder="1"/>
    <xf numFmtId="173" fontId="15" fillId="0" borderId="0" xfId="10" applyNumberFormat="1" applyFont="1"/>
    <xf numFmtId="2" fontId="15" fillId="0" borderId="0" xfId="7" applyNumberFormat="1" applyFont="1"/>
    <xf numFmtId="0" fontId="21" fillId="0" borderId="28" xfId="7" applyFont="1" applyBorder="1"/>
    <xf numFmtId="0" fontId="14" fillId="0" borderId="0" xfId="7" applyFont="1" applyAlignment="1">
      <alignment horizontal="left"/>
    </xf>
    <xf numFmtId="0" fontId="14" fillId="0" borderId="32" xfId="7" applyFont="1" applyBorder="1"/>
    <xf numFmtId="0" fontId="15" fillId="0" borderId="10" xfId="7" applyFont="1" applyBorder="1"/>
    <xf numFmtId="0" fontId="15" fillId="0" borderId="35" xfId="7" applyFont="1" applyBorder="1"/>
    <xf numFmtId="0" fontId="15" fillId="0" borderId="24" xfId="7" applyFont="1" applyBorder="1"/>
    <xf numFmtId="0" fontId="20" fillId="0" borderId="36" xfId="7" applyFont="1" applyBorder="1"/>
    <xf numFmtId="0" fontId="15" fillId="0" borderId="41" xfId="7" applyFont="1" applyBorder="1"/>
    <xf numFmtId="2" fontId="15" fillId="0" borderId="42" xfId="7" applyNumberFormat="1" applyFont="1" applyBorder="1"/>
    <xf numFmtId="0" fontId="15" fillId="0" borderId="43" xfId="7" applyFont="1" applyBorder="1"/>
    <xf numFmtId="0" fontId="15" fillId="0" borderId="28" xfId="7" applyFont="1" applyBorder="1"/>
    <xf numFmtId="0" fontId="15" fillId="0" borderId="44" xfId="7" applyFont="1" applyBorder="1"/>
    <xf numFmtId="0" fontId="15" fillId="0" borderId="45" xfId="7" applyFont="1" applyBorder="1"/>
    <xf numFmtId="0" fontId="15" fillId="0" borderId="0" xfId="7" applyFont="1" applyAlignment="1">
      <alignment horizontal="center"/>
    </xf>
    <xf numFmtId="0" fontId="2" fillId="0" borderId="0" xfId="2"/>
    <xf numFmtId="0" fontId="4" fillId="0" borderId="3" xfId="2" applyFont="1" applyBorder="1"/>
    <xf numFmtId="0" fontId="6" fillId="0" borderId="0" xfId="2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4" fillId="4" borderId="3" xfId="0" applyFont="1" applyFill="1" applyBorder="1"/>
    <xf numFmtId="2" fontId="4" fillId="4" borderId="3" xfId="0" applyNumberFormat="1" applyFont="1" applyFill="1" applyBorder="1"/>
    <xf numFmtId="168" fontId="8" fillId="0" borderId="0" xfId="1" applyNumberFormat="1" applyFont="1"/>
    <xf numFmtId="3" fontId="5" fillId="0" borderId="0" xfId="3" applyNumberFormat="1" applyFont="1" applyFill="1" applyBorder="1" applyAlignment="1">
      <alignment vertical="center" shrinkToFit="1"/>
    </xf>
    <xf numFmtId="0" fontId="5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9" fontId="4" fillId="4" borderId="3" xfId="6" applyFont="1" applyFill="1" applyBorder="1"/>
    <xf numFmtId="3" fontId="4" fillId="0" borderId="3" xfId="2" applyNumberFormat="1" applyFont="1" applyBorder="1"/>
    <xf numFmtId="168" fontId="4" fillId="0" borderId="0" xfId="1" applyNumberFormat="1" applyFont="1"/>
    <xf numFmtId="0" fontId="4" fillId="2" borderId="4" xfId="0" applyFont="1" applyFill="1" applyBorder="1" applyAlignment="1">
      <alignment horizontal="center" vertical="center"/>
    </xf>
    <xf numFmtId="168" fontId="3" fillId="2" borderId="1" xfId="1" applyNumberFormat="1" applyFont="1" applyFill="1" applyBorder="1"/>
    <xf numFmtId="0" fontId="4" fillId="2" borderId="0" xfId="0" applyFont="1" applyFill="1" applyAlignment="1">
      <alignment horizontal="center" vertical="center"/>
    </xf>
    <xf numFmtId="168" fontId="3" fillId="0" borderId="0" xfId="1" applyNumberFormat="1" applyFont="1"/>
    <xf numFmtId="167" fontId="15" fillId="2" borderId="1" xfId="5" applyNumberFormat="1" applyFont="1" applyFill="1" applyBorder="1" applyAlignment="1">
      <alignment horizontal="center" vertical="center" wrapText="1"/>
    </xf>
    <xf numFmtId="167" fontId="15" fillId="2" borderId="1" xfId="4" applyNumberFormat="1" applyFont="1" applyFill="1" applyBorder="1" applyAlignment="1">
      <alignment horizontal="center" vertical="center" wrapText="1"/>
    </xf>
    <xf numFmtId="167" fontId="4" fillId="4" borderId="3" xfId="4" applyNumberFormat="1" applyFont="1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3" fillId="2" borderId="1" xfId="2" applyFont="1" applyFill="1" applyBorder="1"/>
    <xf numFmtId="0" fontId="15" fillId="0" borderId="3" xfId="2" applyFont="1" applyBorder="1" applyAlignment="1">
      <alignment horizontal="center" vertical="center"/>
    </xf>
    <xf numFmtId="168" fontId="23" fillId="0" borderId="0" xfId="1" applyNumberFormat="1" applyFont="1"/>
    <xf numFmtId="0" fontId="23" fillId="0" borderId="0" xfId="2" applyFont="1"/>
    <xf numFmtId="168" fontId="24" fillId="0" borderId="0" xfId="1" applyNumberFormat="1" applyFont="1"/>
    <xf numFmtId="0" fontId="24" fillId="0" borderId="0" xfId="2" applyFont="1"/>
    <xf numFmtId="166" fontId="16" fillId="0" borderId="0" xfId="3" applyNumberFormat="1" applyFont="1" applyFill="1" applyBorder="1" applyAlignment="1">
      <alignment vertical="center" shrinkToFit="1"/>
    </xf>
    <xf numFmtId="170" fontId="15" fillId="2" borderId="1" xfId="5" applyNumberFormat="1" applyFont="1" applyFill="1" applyBorder="1" applyAlignment="1">
      <alignment horizontal="center" vertical="center" wrapText="1"/>
    </xf>
    <xf numFmtId="170" fontId="4" fillId="3" borderId="3" xfId="5" applyNumberFormat="1" applyFont="1" applyFill="1" applyBorder="1"/>
    <xf numFmtId="0" fontId="3" fillId="0" borderId="0" xfId="2" applyFont="1" applyAlignment="1">
      <alignment vertical="center"/>
    </xf>
    <xf numFmtId="167" fontId="3" fillId="0" borderId="0" xfId="3" applyNumberFormat="1" applyFont="1" applyFill="1" applyAlignment="1">
      <alignment vertical="center"/>
    </xf>
    <xf numFmtId="167" fontId="11" fillId="0" borderId="0" xfId="3" applyNumberFormat="1" applyFont="1" applyFill="1" applyAlignment="1">
      <alignment vertical="center"/>
    </xf>
    <xf numFmtId="3" fontId="4" fillId="0" borderId="0" xfId="2" applyNumberFormat="1" applyFont="1" applyAlignment="1">
      <alignment vertical="center"/>
    </xf>
    <xf numFmtId="3" fontId="3" fillId="0" borderId="0" xfId="2" applyNumberFormat="1" applyFont="1" applyAlignment="1">
      <alignment vertical="center"/>
    </xf>
    <xf numFmtId="167" fontId="10" fillId="0" borderId="0" xfId="2" applyNumberFormat="1" applyFont="1" applyAlignment="1">
      <alignment vertical="center"/>
    </xf>
    <xf numFmtId="3" fontId="3" fillId="0" borderId="0" xfId="3" applyNumberFormat="1" applyFont="1" applyFill="1" applyAlignment="1">
      <alignment vertical="center"/>
    </xf>
    <xf numFmtId="169" fontId="12" fillId="0" borderId="1" xfId="2" applyNumberFormat="1" applyFont="1" applyBorder="1" applyAlignment="1">
      <alignment vertical="center" shrinkToFit="1"/>
    </xf>
    <xf numFmtId="169" fontId="12" fillId="0" borderId="8" xfId="2" applyNumberFormat="1" applyFont="1" applyBorder="1" applyAlignment="1">
      <alignment vertical="center" shrinkToFit="1"/>
    </xf>
    <xf numFmtId="3" fontId="12" fillId="0" borderId="1" xfId="2" applyNumberFormat="1" applyFont="1" applyBorder="1" applyAlignment="1">
      <alignment vertical="center" shrinkToFit="1"/>
    </xf>
    <xf numFmtId="170" fontId="4" fillId="3" borderId="3" xfId="3" applyNumberFormat="1" applyFont="1" applyFill="1" applyBorder="1"/>
    <xf numFmtId="167" fontId="11" fillId="4" borderId="3" xfId="4" applyNumberFormat="1" applyFont="1" applyFill="1" applyBorder="1"/>
    <xf numFmtId="0" fontId="13" fillId="0" borderId="3" xfId="2" applyFont="1" applyBorder="1" applyAlignment="1">
      <alignment vertical="center" wrapText="1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68" fontId="3" fillId="2" borderId="3" xfId="1" applyNumberFormat="1" applyFont="1" applyFill="1" applyBorder="1"/>
    <xf numFmtId="0" fontId="3" fillId="2" borderId="3" xfId="2" applyFont="1" applyFill="1" applyBorder="1"/>
    <xf numFmtId="2" fontId="6" fillId="0" borderId="3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3" fillId="3" borderId="1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3" fillId="3" borderId="47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1" fontId="5" fillId="3" borderId="4" xfId="2" applyNumberFormat="1" applyFont="1" applyFill="1" applyBorder="1" applyAlignment="1">
      <alignment horizontal="center" vertical="center" wrapText="1"/>
    </xf>
    <xf numFmtId="4" fontId="5" fillId="3" borderId="1" xfId="2" applyNumberFormat="1" applyFont="1" applyFill="1" applyBorder="1" applyAlignment="1">
      <alignment horizontal="center" vertical="center" wrapText="1"/>
    </xf>
    <xf numFmtId="4" fontId="5" fillId="3" borderId="4" xfId="2" applyNumberFormat="1" applyFont="1" applyFill="1" applyBorder="1" applyAlignment="1">
      <alignment horizontal="center" vertical="center" wrapText="1"/>
    </xf>
    <xf numFmtId="4" fontId="5" fillId="3" borderId="8" xfId="2" applyNumberFormat="1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 applyProtection="1">
      <alignment horizontal="center" vertical="center" wrapText="1"/>
      <protection locked="0"/>
    </xf>
    <xf numFmtId="0" fontId="3" fillId="3" borderId="4" xfId="2" applyFont="1" applyFill="1" applyBorder="1" applyAlignment="1" applyProtection="1">
      <alignment horizontal="center" vertical="center" wrapText="1"/>
      <protection locked="0"/>
    </xf>
    <xf numFmtId="0" fontId="3" fillId="3" borderId="47" xfId="2" applyFont="1" applyFill="1" applyBorder="1" applyAlignment="1" applyProtection="1">
      <alignment horizontal="center" vertical="center" wrapText="1"/>
      <protection locked="0"/>
    </xf>
    <xf numFmtId="167" fontId="3" fillId="3" borderId="1" xfId="3" applyNumberFormat="1" applyFont="1" applyFill="1" applyBorder="1" applyAlignment="1">
      <alignment horizontal="center" vertical="center"/>
    </xf>
    <xf numFmtId="167" fontId="3" fillId="3" borderId="4" xfId="3" applyNumberFormat="1" applyFont="1" applyFill="1" applyBorder="1" applyAlignment="1">
      <alignment horizontal="center" vertical="center"/>
    </xf>
    <xf numFmtId="167" fontId="3" fillId="3" borderId="47" xfId="3" applyNumberFormat="1" applyFont="1" applyFill="1" applyBorder="1" applyAlignment="1">
      <alignment horizontal="center" vertical="center"/>
    </xf>
    <xf numFmtId="1" fontId="3" fillId="3" borderId="1" xfId="2" applyNumberFormat="1" applyFont="1" applyFill="1" applyBorder="1" applyAlignment="1">
      <alignment horizontal="center" vertical="center" wrapText="1"/>
    </xf>
    <xf numFmtId="1" fontId="3" fillId="3" borderId="4" xfId="2" applyNumberFormat="1" applyFont="1" applyFill="1" applyBorder="1" applyAlignment="1">
      <alignment horizontal="center" vertical="center" wrapText="1"/>
    </xf>
    <xf numFmtId="1" fontId="3" fillId="3" borderId="47" xfId="2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2" borderId="47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wrapText="1"/>
    </xf>
    <xf numFmtId="0" fontId="3" fillId="2" borderId="4" xfId="2" applyFont="1" applyFill="1" applyBorder="1" applyAlignment="1">
      <alignment horizontal="center" wrapText="1"/>
    </xf>
    <xf numFmtId="0" fontId="3" fillId="2" borderId="47" xfId="2" applyFont="1" applyFill="1" applyBorder="1" applyAlignment="1">
      <alignment horizontal="center" wrapText="1"/>
    </xf>
    <xf numFmtId="167" fontId="14" fillId="0" borderId="1" xfId="5" applyNumberFormat="1" applyFont="1" applyFill="1" applyBorder="1" applyAlignment="1">
      <alignment horizontal="center" vertical="center" wrapText="1"/>
    </xf>
    <xf numFmtId="167" fontId="14" fillId="0" borderId="8" xfId="5" applyNumberFormat="1" applyFont="1" applyFill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1" fontId="11" fillId="0" borderId="1" xfId="2" applyNumberFormat="1" applyFont="1" applyBorder="1" applyAlignment="1">
      <alignment horizontal="left" vertical="center"/>
    </xf>
    <xf numFmtId="0" fontId="11" fillId="0" borderId="9" xfId="2" applyFont="1" applyBorder="1" applyAlignment="1">
      <alignment horizontal="left" vertical="center"/>
    </xf>
    <xf numFmtId="1" fontId="11" fillId="0" borderId="1" xfId="2" applyNumberFormat="1" applyFont="1" applyBorder="1" applyAlignment="1">
      <alignment horizontal="center" vertical="center"/>
    </xf>
    <xf numFmtId="14" fontId="11" fillId="0" borderId="18" xfId="2" applyNumberFormat="1" applyFont="1" applyBorder="1" applyAlignment="1">
      <alignment horizontal="center" vertical="center" shrinkToFit="1"/>
    </xf>
    <xf numFmtId="0" fontId="11" fillId="0" borderId="19" xfId="2" applyFont="1" applyBorder="1" applyAlignment="1">
      <alignment horizontal="center" vertical="center" shrinkToFit="1"/>
    </xf>
    <xf numFmtId="0" fontId="11" fillId="0" borderId="20" xfId="2" applyFont="1" applyBorder="1" applyAlignment="1">
      <alignment horizontal="center" vertical="center" shrinkToFit="1"/>
    </xf>
    <xf numFmtId="0" fontId="11" fillId="0" borderId="21" xfId="2" applyFont="1" applyBorder="1" applyAlignment="1">
      <alignment horizontal="center" vertical="center" shrinkToFit="1"/>
    </xf>
    <xf numFmtId="0" fontId="13" fillId="0" borderId="2" xfId="2" applyFont="1" applyBorder="1" applyAlignment="1">
      <alignment horizontal="center" vertical="center" wrapText="1"/>
    </xf>
    <xf numFmtId="0" fontId="13" fillId="0" borderId="13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14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 wrapText="1"/>
    </xf>
    <xf numFmtId="0" fontId="13" fillId="0" borderId="16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47" xfId="2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 wrapText="1"/>
    </xf>
    <xf numFmtId="0" fontId="15" fillId="0" borderId="17" xfId="2" applyFont="1" applyBorder="1" applyAlignment="1">
      <alignment horizontal="center" vertical="center" wrapText="1"/>
    </xf>
    <xf numFmtId="0" fontId="11" fillId="0" borderId="18" xfId="2" applyFont="1" applyBorder="1" applyAlignment="1">
      <alignment horizontal="center" vertical="center" shrinkToFit="1"/>
    </xf>
    <xf numFmtId="0" fontId="5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0" fontId="13" fillId="0" borderId="23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166" fontId="17" fillId="0" borderId="0" xfId="3" applyNumberFormat="1" applyFont="1" applyFill="1" applyBorder="1" applyAlignment="1">
      <alignment horizontal="center" vertical="center" shrinkToFit="1"/>
    </xf>
    <xf numFmtId="0" fontId="4" fillId="5" borderId="1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47" xfId="2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47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70" fontId="4" fillId="3" borderId="3" xfId="5" applyNumberFormat="1" applyFont="1" applyFill="1" applyBorder="1" applyAlignment="1">
      <alignment horizontal="center" vertical="center"/>
    </xf>
    <xf numFmtId="3" fontId="13" fillId="0" borderId="1" xfId="2" applyNumberFormat="1" applyFont="1" applyBorder="1" applyAlignment="1">
      <alignment horizontal="center" vertical="center" wrapText="1"/>
    </xf>
    <xf numFmtId="3" fontId="13" fillId="0" borderId="4" xfId="2" applyNumberFormat="1" applyFont="1" applyBorder="1" applyAlignment="1">
      <alignment horizontal="center" vertical="center" wrapText="1"/>
    </xf>
    <xf numFmtId="3" fontId="13" fillId="0" borderId="47" xfId="2" applyNumberFormat="1" applyFont="1" applyBorder="1" applyAlignment="1">
      <alignment horizontal="center" vertical="center" wrapText="1"/>
    </xf>
    <xf numFmtId="167" fontId="13" fillId="0" borderId="1" xfId="3" applyNumberFormat="1" applyFont="1" applyFill="1" applyBorder="1" applyAlignment="1">
      <alignment horizontal="center" vertical="center" wrapText="1"/>
    </xf>
    <xf numFmtId="167" fontId="13" fillId="0" borderId="4" xfId="3" applyNumberFormat="1" applyFont="1" applyFill="1" applyBorder="1" applyAlignment="1">
      <alignment horizontal="center" vertical="center" wrapText="1"/>
    </xf>
    <xf numFmtId="167" fontId="13" fillId="0" borderId="47" xfId="3" applyNumberFormat="1" applyFont="1" applyFill="1" applyBorder="1" applyAlignment="1">
      <alignment horizontal="center" vertical="center" wrapText="1"/>
    </xf>
    <xf numFmtId="166" fontId="16" fillId="0" borderId="0" xfId="3" applyNumberFormat="1" applyFont="1" applyFill="1" applyBorder="1" applyAlignment="1">
      <alignment horizontal="center" vertical="center" shrinkToFit="1"/>
    </xf>
    <xf numFmtId="0" fontId="13" fillId="0" borderId="8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4" fillId="0" borderId="47" xfId="2" applyFont="1" applyBorder="1" applyAlignment="1">
      <alignment horizontal="center" vertical="center" wrapText="1"/>
    </xf>
    <xf numFmtId="0" fontId="14" fillId="0" borderId="28" xfId="7" applyFont="1" applyBorder="1" applyAlignment="1">
      <alignment horizontal="left"/>
    </xf>
    <xf numFmtId="0" fontId="14" fillId="0" borderId="0" xfId="7" applyFont="1" applyAlignment="1">
      <alignment horizontal="left"/>
    </xf>
    <xf numFmtId="1" fontId="14" fillId="0" borderId="0" xfId="7" applyNumberFormat="1" applyFont="1" applyAlignment="1">
      <alignment horizontal="left"/>
    </xf>
    <xf numFmtId="1" fontId="14" fillId="0" borderId="29" xfId="7" applyNumberFormat="1" applyFont="1" applyBorder="1" applyAlignment="1">
      <alignment horizontal="left"/>
    </xf>
    <xf numFmtId="0" fontId="14" fillId="0" borderId="29" xfId="7" applyFont="1" applyBorder="1" applyAlignment="1">
      <alignment horizontal="left"/>
    </xf>
    <xf numFmtId="0" fontId="14" fillId="0" borderId="25" xfId="7" applyFont="1" applyBorder="1" applyAlignment="1">
      <alignment horizontal="center"/>
    </xf>
    <xf numFmtId="0" fontId="14" fillId="0" borderId="26" xfId="7" applyFont="1" applyBorder="1" applyAlignment="1">
      <alignment horizontal="center"/>
    </xf>
    <xf numFmtId="0" fontId="14" fillId="0" borderId="27" xfId="7" applyFont="1" applyBorder="1" applyAlignment="1">
      <alignment horizontal="center"/>
    </xf>
    <xf numFmtId="0" fontId="14" fillId="0" borderId="28" xfId="7" applyFont="1" applyBorder="1" applyAlignment="1">
      <alignment horizontal="center"/>
    </xf>
    <xf numFmtId="0" fontId="14" fillId="0" borderId="0" xfId="7" applyFont="1" applyAlignment="1">
      <alignment horizontal="center"/>
    </xf>
    <xf numFmtId="0" fontId="14" fillId="0" borderId="29" xfId="7" applyFont="1" applyBorder="1" applyAlignment="1">
      <alignment horizontal="center"/>
    </xf>
    <xf numFmtId="0" fontId="14" fillId="2" borderId="0" xfId="7" applyFont="1" applyFill="1" applyAlignment="1">
      <alignment horizontal="left"/>
    </xf>
    <xf numFmtId="171" fontId="14" fillId="0" borderId="7" xfId="9" applyNumberFormat="1" applyFont="1" applyBorder="1" applyAlignment="1">
      <alignment horizontal="right"/>
    </xf>
    <xf numFmtId="0" fontId="14" fillId="0" borderId="31" xfId="7" applyFont="1" applyBorder="1" applyAlignment="1">
      <alignment horizontal="left"/>
    </xf>
    <xf numFmtId="171" fontId="14" fillId="0" borderId="10" xfId="9" applyNumberFormat="1" applyFont="1" applyBorder="1" applyAlignment="1">
      <alignment horizontal="right"/>
    </xf>
    <xf numFmtId="171" fontId="14" fillId="0" borderId="0" xfId="7" applyNumberFormat="1" applyFont="1" applyAlignment="1">
      <alignment horizontal="left"/>
    </xf>
    <xf numFmtId="0" fontId="22" fillId="0" borderId="33" xfId="7" applyFont="1" applyBorder="1" applyAlignment="1">
      <alignment horizontal="left"/>
    </xf>
    <xf numFmtId="0" fontId="22" fillId="0" borderId="31" xfId="7" applyFont="1" applyBorder="1" applyAlignment="1">
      <alignment horizontal="left"/>
    </xf>
    <xf numFmtId="171" fontId="14" fillId="0" borderId="34" xfId="9" applyNumberFormat="1" applyFont="1" applyBorder="1" applyAlignment="1">
      <alignment horizontal="right"/>
    </xf>
    <xf numFmtId="0" fontId="14" fillId="0" borderId="33" xfId="7" applyFont="1" applyBorder="1" applyAlignment="1">
      <alignment horizontal="left"/>
    </xf>
    <xf numFmtId="0" fontId="14" fillId="0" borderId="28" xfId="7" applyFont="1" applyBorder="1"/>
    <xf numFmtId="0" fontId="14" fillId="0" borderId="0" xfId="7" applyFont="1"/>
    <xf numFmtId="171" fontId="14" fillId="0" borderId="39" xfId="9" applyNumberFormat="1" applyFont="1" applyBorder="1" applyAlignment="1">
      <alignment horizontal="right"/>
    </xf>
    <xf numFmtId="0" fontId="22" fillId="0" borderId="28" xfId="7" applyFont="1" applyBorder="1"/>
    <xf numFmtId="0" fontId="22" fillId="0" borderId="0" xfId="7" applyFont="1"/>
    <xf numFmtId="171" fontId="14" fillId="0" borderId="40" xfId="9" applyNumberFormat="1" applyFont="1" applyBorder="1" applyAlignment="1">
      <alignment horizontal="right"/>
    </xf>
    <xf numFmtId="0" fontId="22" fillId="0" borderId="37" xfId="7" applyFont="1" applyBorder="1"/>
    <xf numFmtId="0" fontId="22" fillId="0" borderId="11" xfId="7" applyFont="1" applyBorder="1"/>
    <xf numFmtId="171" fontId="14" fillId="0" borderId="38" xfId="9" applyNumberFormat="1" applyFont="1" applyBorder="1" applyAlignment="1">
      <alignment horizontal="right"/>
    </xf>
    <xf numFmtId="0" fontId="15" fillId="0" borderId="0" xfId="7" applyFont="1" applyAlignment="1">
      <alignment horizontal="center"/>
    </xf>
    <xf numFmtId="0" fontId="15" fillId="0" borderId="45" xfId="7" applyFont="1" applyBorder="1" applyAlignment="1">
      <alignment horizontal="center"/>
    </xf>
    <xf numFmtId="0" fontId="15" fillId="0" borderId="46" xfId="7" applyFont="1" applyBorder="1" applyAlignment="1">
      <alignment horizontal="center"/>
    </xf>
    <xf numFmtId="37" fontId="14" fillId="0" borderId="24" xfId="9" applyNumberFormat="1" applyFont="1" applyBorder="1" applyAlignment="1">
      <alignment horizontal="right"/>
    </xf>
    <xf numFmtId="0" fontId="15" fillId="0" borderId="30" xfId="7" applyFont="1" applyBorder="1" applyAlignment="1">
      <alignment horizontal="center"/>
    </xf>
    <xf numFmtId="0" fontId="15" fillId="0" borderId="0" xfId="8" applyFont="1"/>
    <xf numFmtId="0" fontId="2" fillId="0" borderId="0" xfId="2"/>
  </cellXfs>
  <cellStyles count="12">
    <cellStyle name="Comma" xfId="1" builtinId="3"/>
    <cellStyle name="Comma 2" xfId="3" xr:uid="{5B42AC68-1620-46AF-9F69-4219820066B0}"/>
    <cellStyle name="Comma 2 2" xfId="4" xr:uid="{3E81627F-E772-4CCF-8DB7-C5F8B4E2073C}"/>
    <cellStyle name="Comma 4" xfId="5" xr:uid="{A4F3D11D-A652-4ED1-8231-79FD5FAC05EB}"/>
    <cellStyle name="Comma 4 2" xfId="11" xr:uid="{A7E6E2B1-BD30-4F5D-BD3A-0B2EF5B5C7BC}"/>
    <cellStyle name="Comma 5" xfId="10" xr:uid="{01824EAD-482E-463E-913C-36F4A8314E14}"/>
    <cellStyle name="Comma_Sheet1" xfId="9" xr:uid="{14EF138C-CDEC-425C-AB37-DD507F6977D2}"/>
    <cellStyle name="Normal" xfId="0" builtinId="0"/>
    <cellStyle name="Normal 2" xfId="2" xr:uid="{E39D4F70-BC2A-4D7A-A8BF-CED1D60C46BC}"/>
    <cellStyle name="Normal 3" xfId="8" xr:uid="{F02065DD-9C0F-4FBD-A6DE-124EE6DD6C43}"/>
    <cellStyle name="Normal_Sheet1 2" xfId="7" xr:uid="{4B1C9E89-EBE0-4135-9F17-778F0CE2C6A1}"/>
    <cellStyle name="Percent 2" xfId="6" xr:uid="{9E658BCC-EAC4-48B8-8E2D-DEF51FE1B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C&#417;%20&#273;i&#7879;n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5/Th&#225;ng%2001-2025/CK%20th&#225;ng%2001-2025.xlsx" TargetMode="External"/><Relationship Id="rId2" Type="http://schemas.openxmlformats.org/officeDocument/2006/relationships/externalLinkPath" Target="file:///D:\H&#7890;%20S&#416;+L&#431;&#416;NG%20SD\L&#431;&#416;NG\L&#431;&#416;NG%20+%20C&#212;NG%202025\Th&#225;ng%2001-2025\CK%20th&#225;ng%2001-2025.xlsx" TargetMode="External"/><Relationship Id="rId1" Type="http://schemas.openxmlformats.org/officeDocument/2006/relationships/externalLinkPath" Target="/H&#7890;%20S&#416;+L&#431;&#416;NG%20SD/L&#431;&#416;NG/L&#431;&#416;NG%20+%20C&#212;NG%202025/Th&#225;ng%2001-2025/CK%20th&#225;ng%20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7"/>
      <sheetName val="Phieu lương"/>
      <sheetName val="CĐ"/>
    </sheetNames>
    <sheetDataSet>
      <sheetData sheetId="0"/>
      <sheetData sheetId="1"/>
      <sheetData sheetId="2"/>
      <sheetData sheetId="3">
        <row r="9">
          <cell r="B9" t="str">
            <v>Nguyễn Văn Bình</v>
          </cell>
          <cell r="C9">
            <v>50015</v>
          </cell>
        </row>
        <row r="17">
          <cell r="B17" t="str">
            <v>Tống Văn Hoà</v>
          </cell>
          <cell r="C17">
            <v>50601</v>
          </cell>
          <cell r="F17">
            <v>7499.038461538461</v>
          </cell>
        </row>
      </sheetData>
      <sheetData sheetId="4">
        <row r="10">
          <cell r="I10">
            <v>26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Q10">
            <v>78.5</v>
          </cell>
        </row>
        <row r="11">
          <cell r="F11">
            <v>8232.4</v>
          </cell>
          <cell r="I11">
            <v>4267400.3099476444</v>
          </cell>
          <cell r="P11">
            <v>0</v>
          </cell>
          <cell r="Q11">
            <v>2415799.9350785338</v>
          </cell>
        </row>
        <row r="12">
          <cell r="I12">
            <v>26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Q12">
            <v>70</v>
          </cell>
        </row>
        <row r="13">
          <cell r="F13">
            <v>8553.4000000000015</v>
          </cell>
          <cell r="I13">
            <v>5091574.4184172666</v>
          </cell>
          <cell r="P13">
            <v>0</v>
          </cell>
          <cell r="Q13">
            <v>2570265.9323741011</v>
          </cell>
        </row>
        <row r="14">
          <cell r="I14">
            <v>25.5</v>
          </cell>
          <cell r="J14">
            <v>0.5</v>
          </cell>
          <cell r="K14">
            <v>0</v>
          </cell>
          <cell r="L14">
            <v>0</v>
          </cell>
          <cell r="M14">
            <v>0</v>
          </cell>
          <cell r="Q14">
            <v>74</v>
          </cell>
        </row>
        <row r="15">
          <cell r="F15">
            <v>8081.7769230769227</v>
          </cell>
          <cell r="I15">
            <v>4718315.7945323726</v>
          </cell>
          <cell r="P15">
            <v>0</v>
          </cell>
          <cell r="Q15">
            <v>2567318.8882014379</v>
          </cell>
        </row>
        <row r="16">
          <cell r="I16">
            <v>25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Q16">
            <v>62.5</v>
          </cell>
        </row>
        <row r="17">
          <cell r="F17">
            <v>8763.2692307692323</v>
          </cell>
          <cell r="I17">
            <v>5312043.42857143</v>
          </cell>
          <cell r="P17">
            <v>0</v>
          </cell>
          <cell r="Q17">
            <v>2490020.3571428573</v>
          </cell>
        </row>
        <row r="18">
          <cell r="I18">
            <v>23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Q18">
            <v>54</v>
          </cell>
        </row>
        <row r="19">
          <cell r="F19">
            <v>7499.038461538461</v>
          </cell>
          <cell r="I19">
            <v>4612551.4285714282</v>
          </cell>
          <cell r="P19">
            <v>0</v>
          </cell>
          <cell r="Q19">
            <v>2030525.357142857</v>
          </cell>
        </row>
        <row r="20">
          <cell r="I20">
            <v>19</v>
          </cell>
          <cell r="J20">
            <v>1</v>
          </cell>
          <cell r="K20">
            <v>0</v>
          </cell>
          <cell r="L20">
            <v>0</v>
          </cell>
          <cell r="M20">
            <v>0</v>
          </cell>
          <cell r="Q20">
            <v>45</v>
          </cell>
        </row>
        <row r="21">
          <cell r="F21">
            <v>6029.8461538461543</v>
          </cell>
          <cell r="I21">
            <v>3701505.2345177671</v>
          </cell>
          <cell r="P21">
            <v>0</v>
          </cell>
          <cell r="Q21">
            <v>1643760.5482233502</v>
          </cell>
        </row>
        <row r="22">
          <cell r="I22">
            <v>10.5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Q22">
            <v>20</v>
          </cell>
        </row>
        <row r="23">
          <cell r="I23">
            <v>1666064.0769230768</v>
          </cell>
          <cell r="P23">
            <v>0</v>
          </cell>
          <cell r="Q23">
            <v>595022.88461538451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1"/>
      <sheetName val="Sheet1"/>
      <sheetName val="VTB"/>
      <sheetName val="TM "/>
      <sheetName val="TM CĐ"/>
      <sheetName val="TM C Nga"/>
    </sheetNames>
    <sheetDataSet>
      <sheetData sheetId="0">
        <row r="1">
          <cell r="C1" t="str">
            <v>Mã số</v>
          </cell>
          <cell r="D1" t="str">
            <v>BÙ LƯƠNG</v>
          </cell>
          <cell r="E1" t="str">
            <v>Thưởng thêm</v>
          </cell>
          <cell r="F1" t="str">
            <v>Thưởng đạt năng suất</v>
          </cell>
          <cell r="G1" t="str">
            <v>Hỗ trợ HT</v>
          </cell>
          <cell r="H1" t="str">
            <v>Ăn ca</v>
          </cell>
          <cell r="I1" t="str">
            <v>TỔNG LƯƠNG</v>
          </cell>
          <cell r="J1" t="str">
            <v>BHXH</v>
          </cell>
          <cell r="K1" t="str">
            <v>CĐ/Thuế TNCN</v>
          </cell>
          <cell r="L1" t="str">
            <v>THỰC LĨNH</v>
          </cell>
          <cell r="M1" t="str">
            <v>CÔNG</v>
          </cell>
        </row>
        <row r="2">
          <cell r="C2" t="str">
            <v>P.Giám đốc</v>
          </cell>
          <cell r="I2">
            <v>10200000</v>
          </cell>
          <cell r="L2">
            <v>10200000</v>
          </cell>
          <cell r="M2"/>
        </row>
        <row r="3">
          <cell r="C3" t="str">
            <v>Kế toán</v>
          </cell>
          <cell r="I3">
            <v>3000000</v>
          </cell>
          <cell r="L3">
            <v>3000000</v>
          </cell>
          <cell r="M3"/>
        </row>
        <row r="4">
          <cell r="C4" t="str">
            <v>Nhóm trưởng</v>
          </cell>
          <cell r="I4">
            <v>700000</v>
          </cell>
          <cell r="L4">
            <v>700000</v>
          </cell>
          <cell r="M4"/>
        </row>
        <row r="5">
          <cell r="C5" t="str">
            <v>IE</v>
          </cell>
          <cell r="I5">
            <v>500000</v>
          </cell>
          <cell r="L5">
            <v>500000</v>
          </cell>
          <cell r="M5"/>
        </row>
        <row r="6">
          <cell r="C6">
            <v>51929</v>
          </cell>
          <cell r="D6">
            <v>0</v>
          </cell>
          <cell r="E6">
            <v>300000</v>
          </cell>
          <cell r="F6">
            <v>270000</v>
          </cell>
          <cell r="G6">
            <v>0</v>
          </cell>
          <cell r="H6">
            <v>0</v>
          </cell>
          <cell r="I6">
            <v>6762728.2900700327</v>
          </cell>
          <cell r="J6">
            <v>458010</v>
          </cell>
          <cell r="K6">
            <v>44000</v>
          </cell>
          <cell r="L6">
            <v>6260700</v>
          </cell>
          <cell r="M6">
            <v>21.5</v>
          </cell>
        </row>
        <row r="7">
          <cell r="C7">
            <v>52002</v>
          </cell>
          <cell r="D7">
            <v>0</v>
          </cell>
          <cell r="E7">
            <v>300000</v>
          </cell>
          <cell r="F7">
            <v>270000</v>
          </cell>
          <cell r="G7">
            <v>200000</v>
          </cell>
          <cell r="H7">
            <v>0</v>
          </cell>
          <cell r="I7">
            <v>8348000.3057977455</v>
          </cell>
          <cell r="J7">
            <v>458010</v>
          </cell>
          <cell r="K7">
            <v>44000</v>
          </cell>
          <cell r="L7">
            <v>7846000</v>
          </cell>
          <cell r="M7">
            <v>21.5</v>
          </cell>
        </row>
        <row r="8">
          <cell r="C8">
            <v>52036</v>
          </cell>
          <cell r="E8">
            <v>300000</v>
          </cell>
          <cell r="F8">
            <v>270000</v>
          </cell>
          <cell r="G8">
            <v>0</v>
          </cell>
          <cell r="H8">
            <v>0</v>
          </cell>
          <cell r="I8">
            <v>6662304.5331785195</v>
          </cell>
          <cell r="J8">
            <v>458010</v>
          </cell>
          <cell r="K8">
            <v>44000</v>
          </cell>
          <cell r="L8">
            <v>6160300</v>
          </cell>
          <cell r="M8">
            <v>21.5</v>
          </cell>
        </row>
        <row r="9">
          <cell r="C9">
            <v>10198</v>
          </cell>
          <cell r="D9">
            <v>95731.491155697498</v>
          </cell>
          <cell r="E9">
            <v>300000</v>
          </cell>
          <cell r="F9">
            <v>270000</v>
          </cell>
          <cell r="G9">
            <v>0</v>
          </cell>
          <cell r="H9">
            <v>0</v>
          </cell>
          <cell r="I9">
            <v>5755663.0473058391</v>
          </cell>
          <cell r="K9">
            <v>0</v>
          </cell>
          <cell r="L9">
            <v>5755700</v>
          </cell>
          <cell r="M9">
            <v>21.5</v>
          </cell>
        </row>
        <row r="10">
          <cell r="C10">
            <v>51979</v>
          </cell>
          <cell r="D10">
            <v>0</v>
          </cell>
          <cell r="E10">
            <v>300000</v>
          </cell>
          <cell r="F10">
            <v>0</v>
          </cell>
          <cell r="I10">
            <v>8500788.8418805823</v>
          </cell>
          <cell r="J10">
            <v>458010</v>
          </cell>
          <cell r="K10">
            <v>44000</v>
          </cell>
          <cell r="L10">
            <v>7998800</v>
          </cell>
          <cell r="M10">
            <v>22</v>
          </cell>
        </row>
        <row r="11">
          <cell r="C11">
            <v>52025</v>
          </cell>
          <cell r="D11">
            <v>0</v>
          </cell>
          <cell r="E11">
            <v>300000</v>
          </cell>
          <cell r="F11">
            <v>0</v>
          </cell>
          <cell r="I11">
            <v>8822318.9211917073</v>
          </cell>
          <cell r="J11">
            <v>458010</v>
          </cell>
          <cell r="K11">
            <v>44000</v>
          </cell>
          <cell r="L11">
            <v>8320300</v>
          </cell>
          <cell r="M11">
            <v>22</v>
          </cell>
        </row>
        <row r="12">
          <cell r="C12">
            <v>52048</v>
          </cell>
          <cell r="E12">
            <v>300000</v>
          </cell>
          <cell r="F12">
            <v>0</v>
          </cell>
          <cell r="I12">
            <v>6685245.5</v>
          </cell>
          <cell r="J12"/>
          <cell r="K12">
            <v>0</v>
          </cell>
          <cell r="L12">
            <v>6685200</v>
          </cell>
          <cell r="M12">
            <v>21</v>
          </cell>
        </row>
        <row r="13">
          <cell r="C13">
            <v>50854</v>
          </cell>
          <cell r="I13">
            <v>8276227.3958987137</v>
          </cell>
          <cell r="J13">
            <v>458010</v>
          </cell>
          <cell r="K13">
            <v>44000</v>
          </cell>
          <cell r="L13">
            <v>7774200</v>
          </cell>
          <cell r="M13">
            <v>21.322916666666668</v>
          </cell>
        </row>
        <row r="14">
          <cell r="C14">
            <v>51990</v>
          </cell>
          <cell r="D14">
            <v>0</v>
          </cell>
          <cell r="G14">
            <v>200000</v>
          </cell>
          <cell r="H14">
            <v>0</v>
          </cell>
          <cell r="I14">
            <v>7671001.7093368424</v>
          </cell>
          <cell r="K14">
            <v>0</v>
          </cell>
          <cell r="L14">
            <v>7671000</v>
          </cell>
          <cell r="M14">
            <v>22.5</v>
          </cell>
        </row>
        <row r="15">
          <cell r="C15">
            <v>52030</v>
          </cell>
          <cell r="D15">
            <v>0</v>
          </cell>
          <cell r="E15">
            <v>255335.36585365856</v>
          </cell>
          <cell r="F15">
            <v>360000</v>
          </cell>
          <cell r="G15">
            <v>200000</v>
          </cell>
          <cell r="H15">
            <v>0</v>
          </cell>
          <cell r="I15">
            <v>6981817.064954943</v>
          </cell>
          <cell r="K15">
            <v>0</v>
          </cell>
          <cell r="L15">
            <v>6981800</v>
          </cell>
          <cell r="M15">
            <v>22.447916666666668</v>
          </cell>
        </row>
        <row r="16">
          <cell r="C16" t="str">
            <v>TV</v>
          </cell>
          <cell r="I16">
            <v>8595000</v>
          </cell>
          <cell r="K16">
            <v>0</v>
          </cell>
          <cell r="L16">
            <v>8595000</v>
          </cell>
          <cell r="M16">
            <v>23</v>
          </cell>
        </row>
        <row r="17">
          <cell r="C17">
            <v>10243</v>
          </cell>
          <cell r="I17">
            <v>1937997.632183908</v>
          </cell>
          <cell r="J17">
            <v>0</v>
          </cell>
          <cell r="K17">
            <v>0</v>
          </cell>
          <cell r="L17">
            <v>1938000</v>
          </cell>
          <cell r="M17">
            <v>8</v>
          </cell>
        </row>
        <row r="18">
          <cell r="C18">
            <v>52047</v>
          </cell>
          <cell r="I18">
            <v>4487912.9639578238</v>
          </cell>
          <cell r="J18">
            <v>0</v>
          </cell>
          <cell r="K18">
            <v>0</v>
          </cell>
          <cell r="L18">
            <v>4487900</v>
          </cell>
          <cell r="M18">
            <v>12.6875</v>
          </cell>
        </row>
        <row r="19">
          <cell r="C19">
            <v>52040</v>
          </cell>
          <cell r="I19">
            <v>2334526.8003273322</v>
          </cell>
          <cell r="J19">
            <v>0</v>
          </cell>
          <cell r="K19">
            <v>0</v>
          </cell>
          <cell r="L19">
            <v>2334500</v>
          </cell>
          <cell r="M19">
            <v>9</v>
          </cell>
        </row>
        <row r="20">
          <cell r="C20">
            <v>10246</v>
          </cell>
          <cell r="I20">
            <v>1492115.5807565928</v>
          </cell>
          <cell r="J20">
            <v>0</v>
          </cell>
          <cell r="K20">
            <v>0</v>
          </cell>
          <cell r="L20">
            <v>1492100</v>
          </cell>
          <cell r="M20">
            <v>10</v>
          </cell>
        </row>
        <row r="21">
          <cell r="C21">
            <v>10249</v>
          </cell>
          <cell r="I21">
            <v>2072491.2581615697</v>
          </cell>
          <cell r="K21">
            <v>0</v>
          </cell>
          <cell r="L21">
            <v>2072500</v>
          </cell>
          <cell r="M21">
            <v>17</v>
          </cell>
        </row>
        <row r="22">
          <cell r="C22">
            <v>52008</v>
          </cell>
          <cell r="I22">
            <v>3204000</v>
          </cell>
          <cell r="K22">
            <v>0</v>
          </cell>
          <cell r="L22">
            <v>3204000</v>
          </cell>
          <cell r="M22">
            <v>16</v>
          </cell>
        </row>
        <row r="23">
          <cell r="C23">
            <v>52023</v>
          </cell>
          <cell r="I23">
            <v>3704000</v>
          </cell>
          <cell r="K23">
            <v>0</v>
          </cell>
          <cell r="L23">
            <v>3704000</v>
          </cell>
          <cell r="M23">
            <v>18</v>
          </cell>
        </row>
        <row r="24">
          <cell r="C24">
            <v>52026</v>
          </cell>
          <cell r="I24">
            <v>4221000</v>
          </cell>
          <cell r="K24">
            <v>0</v>
          </cell>
          <cell r="L24">
            <v>4221000</v>
          </cell>
          <cell r="M24">
            <v>20</v>
          </cell>
        </row>
        <row r="25">
          <cell r="C25">
            <v>52012</v>
          </cell>
          <cell r="I25">
            <v>4350000</v>
          </cell>
          <cell r="L25">
            <v>4350000</v>
          </cell>
          <cell r="M25">
            <v>21</v>
          </cell>
        </row>
        <row r="26">
          <cell r="C26">
            <v>52013</v>
          </cell>
          <cell r="I26">
            <v>4263750</v>
          </cell>
          <cell r="L26">
            <v>4263800</v>
          </cell>
          <cell r="M26">
            <v>20.5</v>
          </cell>
        </row>
        <row r="27">
          <cell r="C27">
            <v>52014</v>
          </cell>
          <cell r="I27">
            <v>4570916.666666666</v>
          </cell>
          <cell r="L27">
            <v>4570900</v>
          </cell>
          <cell r="M27">
            <v>21</v>
          </cell>
        </row>
        <row r="28">
          <cell r="C28">
            <v>10222</v>
          </cell>
          <cell r="I28">
            <v>3973916.6666666665</v>
          </cell>
          <cell r="L28">
            <v>3973900</v>
          </cell>
          <cell r="M28">
            <v>18.5</v>
          </cell>
        </row>
        <row r="29">
          <cell r="C29" t="str">
            <v>TVLA64</v>
          </cell>
          <cell r="I29">
            <v>4629000</v>
          </cell>
          <cell r="L29">
            <v>4629000</v>
          </cell>
          <cell r="M29">
            <v>21</v>
          </cell>
        </row>
        <row r="30">
          <cell r="C30" t="str">
            <v>TVLA65</v>
          </cell>
          <cell r="I30">
            <v>3819583.333333334</v>
          </cell>
          <cell r="L30">
            <v>3819600</v>
          </cell>
          <cell r="M30">
            <v>18</v>
          </cell>
        </row>
        <row r="31">
          <cell r="C31" t="str">
            <v>TVLA66</v>
          </cell>
          <cell r="I31">
            <v>4783666.666666666</v>
          </cell>
          <cell r="L31">
            <v>4783700</v>
          </cell>
          <cell r="M31">
            <v>22</v>
          </cell>
        </row>
        <row r="32">
          <cell r="C32" t="str">
            <v>TVLA70</v>
          </cell>
          <cell r="I32">
            <v>4681833.333333333</v>
          </cell>
          <cell r="L32">
            <v>4681800</v>
          </cell>
          <cell r="M32">
            <v>21.5</v>
          </cell>
        </row>
        <row r="33">
          <cell r="C33" t="str">
            <v>TVLA46</v>
          </cell>
          <cell r="I33">
            <v>4596583.333333333</v>
          </cell>
          <cell r="L33">
            <v>4596600</v>
          </cell>
          <cell r="M33">
            <v>21.5</v>
          </cell>
        </row>
        <row r="34">
          <cell r="C34" t="str">
            <v>TVLA81</v>
          </cell>
          <cell r="I34">
            <v>4668500</v>
          </cell>
          <cell r="L34">
            <v>4668500</v>
          </cell>
          <cell r="M34">
            <v>21.46875</v>
          </cell>
        </row>
        <row r="35">
          <cell r="C35" t="str">
            <v>TVLA3</v>
          </cell>
          <cell r="I35">
            <v>3982083.333333333</v>
          </cell>
          <cell r="L35">
            <v>3982100</v>
          </cell>
          <cell r="M35">
            <v>18.5</v>
          </cell>
        </row>
        <row r="36">
          <cell r="C36">
            <v>51783</v>
          </cell>
          <cell r="D36">
            <v>210191.04742435052</v>
          </cell>
          <cell r="E36">
            <v>287957.31707317074</v>
          </cell>
          <cell r="F36">
            <v>180000</v>
          </cell>
          <cell r="G36">
            <v>0</v>
          </cell>
          <cell r="H36">
            <v>0</v>
          </cell>
          <cell r="I36">
            <v>6896259.2984949742</v>
          </cell>
          <cell r="J36">
            <v>458010</v>
          </cell>
          <cell r="K36">
            <v>44000</v>
          </cell>
          <cell r="L36">
            <v>6394200</v>
          </cell>
          <cell r="M36">
            <v>20.677083333333332</v>
          </cell>
        </row>
        <row r="37">
          <cell r="C37">
            <v>10217</v>
          </cell>
          <cell r="D37">
            <v>332670.94787556364</v>
          </cell>
          <cell r="E37">
            <v>300000</v>
          </cell>
          <cell r="F37">
            <v>180000</v>
          </cell>
          <cell r="G37">
            <v>0</v>
          </cell>
          <cell r="H37">
            <v>0</v>
          </cell>
          <cell r="I37">
            <v>6074531.282893667</v>
          </cell>
          <cell r="K37">
            <v>0</v>
          </cell>
          <cell r="L37">
            <v>6074500</v>
          </cell>
          <cell r="M37">
            <v>21.5</v>
          </cell>
        </row>
        <row r="38">
          <cell r="C38">
            <v>52043</v>
          </cell>
          <cell r="D38">
            <v>0</v>
          </cell>
          <cell r="E38">
            <v>285365.85365853657</v>
          </cell>
          <cell r="F38">
            <v>60000</v>
          </cell>
          <cell r="G38">
            <v>0</v>
          </cell>
          <cell r="H38">
            <v>0</v>
          </cell>
          <cell r="I38">
            <v>7698700.2331514545</v>
          </cell>
          <cell r="K38">
            <v>0</v>
          </cell>
          <cell r="L38">
            <v>7698700</v>
          </cell>
          <cell r="M38">
            <v>20.5</v>
          </cell>
        </row>
        <row r="39">
          <cell r="C39">
            <v>10213</v>
          </cell>
          <cell r="D39">
            <v>140834.52992866223</v>
          </cell>
          <cell r="E39">
            <v>300000</v>
          </cell>
          <cell r="F39">
            <v>90000</v>
          </cell>
          <cell r="G39">
            <v>0</v>
          </cell>
          <cell r="H39">
            <v>0</v>
          </cell>
          <cell r="I39">
            <v>6373480.6816097982</v>
          </cell>
          <cell r="K39">
            <v>0</v>
          </cell>
          <cell r="L39">
            <v>6373500</v>
          </cell>
          <cell r="M39">
            <v>21.5</v>
          </cell>
        </row>
        <row r="40">
          <cell r="C40">
            <v>51845</v>
          </cell>
          <cell r="D40">
            <v>0</v>
          </cell>
          <cell r="E40">
            <v>292682.92682926828</v>
          </cell>
          <cell r="F40">
            <v>120000</v>
          </cell>
          <cell r="G40">
            <v>0</v>
          </cell>
          <cell r="H40">
            <v>0</v>
          </cell>
          <cell r="I40">
            <v>7328879.9458577028</v>
          </cell>
          <cell r="J40">
            <v>458010</v>
          </cell>
          <cell r="K40">
            <v>44000</v>
          </cell>
          <cell r="L40">
            <v>6826900</v>
          </cell>
          <cell r="M40">
            <v>21</v>
          </cell>
        </row>
        <row r="41">
          <cell r="C41">
            <v>51899</v>
          </cell>
          <cell r="E41">
            <v>256097.56097560975</v>
          </cell>
          <cell r="F41">
            <v>0</v>
          </cell>
          <cell r="G41">
            <v>0</v>
          </cell>
          <cell r="H41">
            <v>0</v>
          </cell>
          <cell r="I41">
            <v>3124178.4279508358</v>
          </cell>
          <cell r="J41">
            <v>458010</v>
          </cell>
          <cell r="K41">
            <v>44000</v>
          </cell>
          <cell r="L41">
            <v>2622200</v>
          </cell>
          <cell r="M41">
            <v>19</v>
          </cell>
        </row>
        <row r="42">
          <cell r="C42">
            <v>51953</v>
          </cell>
          <cell r="E42">
            <v>300000</v>
          </cell>
          <cell r="F42">
            <v>120000</v>
          </cell>
          <cell r="G42">
            <v>0</v>
          </cell>
          <cell r="H42">
            <v>0</v>
          </cell>
          <cell r="I42">
            <v>6486530.5120750768</v>
          </cell>
          <cell r="J42">
            <v>458010</v>
          </cell>
          <cell r="K42">
            <v>44000</v>
          </cell>
          <cell r="L42">
            <v>5984500</v>
          </cell>
          <cell r="M42">
            <v>21.5</v>
          </cell>
        </row>
        <row r="43">
          <cell r="C43">
            <v>52051</v>
          </cell>
          <cell r="D43">
            <v>245976.10990399774</v>
          </cell>
          <cell r="E43">
            <v>292682.92682926828</v>
          </cell>
          <cell r="F43">
            <v>120000</v>
          </cell>
          <cell r="G43">
            <v>0</v>
          </cell>
          <cell r="H43">
            <v>0</v>
          </cell>
          <cell r="I43">
            <v>5524909.0476945015</v>
          </cell>
          <cell r="K43">
            <v>0</v>
          </cell>
          <cell r="L43">
            <v>5524900</v>
          </cell>
          <cell r="M43">
            <v>20</v>
          </cell>
        </row>
        <row r="44">
          <cell r="C44">
            <v>10227</v>
          </cell>
          <cell r="D44">
            <v>266912.06927870249</v>
          </cell>
          <cell r="E44">
            <v>300000</v>
          </cell>
          <cell r="F44">
            <v>120000</v>
          </cell>
          <cell r="G44">
            <v>0</v>
          </cell>
          <cell r="H44">
            <v>0</v>
          </cell>
          <cell r="I44">
            <v>5407573.815336681</v>
          </cell>
          <cell r="K44">
            <v>0</v>
          </cell>
          <cell r="L44">
            <v>5407600</v>
          </cell>
          <cell r="M44">
            <v>21.5</v>
          </cell>
        </row>
        <row r="45">
          <cell r="C45">
            <v>10226</v>
          </cell>
          <cell r="D45">
            <v>0</v>
          </cell>
          <cell r="E45">
            <v>300000</v>
          </cell>
          <cell r="F45">
            <v>120000</v>
          </cell>
          <cell r="G45">
            <v>0</v>
          </cell>
          <cell r="H45">
            <v>0</v>
          </cell>
          <cell r="I45">
            <v>6252141.2243431611</v>
          </cell>
          <cell r="K45">
            <v>0</v>
          </cell>
          <cell r="L45">
            <v>6252100</v>
          </cell>
          <cell r="M45">
            <v>21.5</v>
          </cell>
        </row>
        <row r="46">
          <cell r="C46">
            <v>52034</v>
          </cell>
          <cell r="F46">
            <v>0</v>
          </cell>
          <cell r="G46">
            <v>0</v>
          </cell>
          <cell r="H46">
            <v>0</v>
          </cell>
          <cell r="I46">
            <v>5402293.2507962091</v>
          </cell>
          <cell r="J46">
            <v>458010</v>
          </cell>
          <cell r="K46">
            <v>44000</v>
          </cell>
          <cell r="L46">
            <v>4900300</v>
          </cell>
          <cell r="M46">
            <v>20.083333333333332</v>
          </cell>
        </row>
        <row r="47">
          <cell r="C47">
            <v>52049</v>
          </cell>
          <cell r="D47">
            <v>0</v>
          </cell>
          <cell r="E47">
            <v>300000</v>
          </cell>
          <cell r="F47">
            <v>90000</v>
          </cell>
          <cell r="G47">
            <v>0</v>
          </cell>
          <cell r="H47">
            <v>0</v>
          </cell>
          <cell r="I47">
            <v>6391524.2615283849</v>
          </cell>
          <cell r="K47">
            <v>0</v>
          </cell>
          <cell r="L47">
            <v>6391500</v>
          </cell>
          <cell r="M47">
            <v>21.5</v>
          </cell>
        </row>
        <row r="48">
          <cell r="C48">
            <v>10232</v>
          </cell>
          <cell r="E48">
            <v>300000</v>
          </cell>
          <cell r="F48">
            <v>270000</v>
          </cell>
          <cell r="G48">
            <v>0</v>
          </cell>
          <cell r="H48">
            <v>0</v>
          </cell>
          <cell r="I48">
            <v>5616356.4248520713</v>
          </cell>
          <cell r="K48">
            <v>0</v>
          </cell>
          <cell r="L48">
            <v>5616400</v>
          </cell>
          <cell r="M48">
            <v>21.5</v>
          </cell>
        </row>
        <row r="49">
          <cell r="C49">
            <v>10166</v>
          </cell>
          <cell r="E49">
            <v>285365.85365853657</v>
          </cell>
          <cell r="F49">
            <v>240000</v>
          </cell>
          <cell r="G49">
            <v>0</v>
          </cell>
          <cell r="H49">
            <v>0</v>
          </cell>
          <cell r="I49">
            <v>3884583.9782769503</v>
          </cell>
          <cell r="K49">
            <v>0</v>
          </cell>
          <cell r="L49">
            <v>3884600</v>
          </cell>
          <cell r="M49">
            <v>19.5</v>
          </cell>
        </row>
        <row r="50">
          <cell r="C50">
            <v>50173</v>
          </cell>
          <cell r="D50">
            <v>438718.43305599736</v>
          </cell>
          <cell r="E50">
            <v>290243.90243902436</v>
          </cell>
          <cell r="F50">
            <v>300000</v>
          </cell>
          <cell r="G50">
            <v>0</v>
          </cell>
          <cell r="H50">
            <v>0</v>
          </cell>
          <cell r="I50">
            <v>6905268.3636137955</v>
          </cell>
          <cell r="J50">
            <v>458010</v>
          </cell>
          <cell r="K50">
            <v>44000</v>
          </cell>
          <cell r="L50">
            <v>6403300</v>
          </cell>
          <cell r="M50">
            <v>20.833333333333332</v>
          </cell>
        </row>
        <row r="51">
          <cell r="C51">
            <v>51274</v>
          </cell>
          <cell r="E51">
            <v>291768.29268292681</v>
          </cell>
          <cell r="F51">
            <v>240000</v>
          </cell>
          <cell r="G51">
            <v>0</v>
          </cell>
          <cell r="H51">
            <v>0</v>
          </cell>
          <cell r="I51">
            <v>7229726.7841568887</v>
          </cell>
          <cell r="J51">
            <v>458010</v>
          </cell>
          <cell r="K51">
            <v>44000</v>
          </cell>
          <cell r="L51">
            <v>6727700</v>
          </cell>
          <cell r="M51">
            <v>20.9375</v>
          </cell>
        </row>
        <row r="52">
          <cell r="C52">
            <v>51808</v>
          </cell>
          <cell r="D52">
            <v>0</v>
          </cell>
          <cell r="E52">
            <v>300000</v>
          </cell>
          <cell r="F52">
            <v>360000</v>
          </cell>
          <cell r="G52">
            <v>0</v>
          </cell>
          <cell r="H52">
            <v>0</v>
          </cell>
          <cell r="I52">
            <v>7821899.6646111012</v>
          </cell>
          <cell r="J52">
            <v>458010</v>
          </cell>
          <cell r="K52">
            <v>44000</v>
          </cell>
          <cell r="L52">
            <v>7319900</v>
          </cell>
          <cell r="M52">
            <v>21.5</v>
          </cell>
        </row>
        <row r="53">
          <cell r="C53">
            <v>51292</v>
          </cell>
          <cell r="D53">
            <v>0</v>
          </cell>
          <cell r="E53">
            <v>300000</v>
          </cell>
          <cell r="F53">
            <v>150000</v>
          </cell>
          <cell r="G53">
            <v>200000</v>
          </cell>
          <cell r="H53">
            <v>0</v>
          </cell>
          <cell r="I53">
            <v>7939915.8656024681</v>
          </cell>
          <cell r="J53">
            <v>458010</v>
          </cell>
          <cell r="K53">
            <v>44000</v>
          </cell>
          <cell r="L53">
            <v>7437900</v>
          </cell>
          <cell r="M53">
            <v>23</v>
          </cell>
        </row>
        <row r="54">
          <cell r="C54">
            <v>51398</v>
          </cell>
          <cell r="D54">
            <v>0</v>
          </cell>
          <cell r="E54">
            <v>300000</v>
          </cell>
          <cell r="F54">
            <v>150000</v>
          </cell>
          <cell r="G54">
            <v>200000</v>
          </cell>
          <cell r="H54">
            <v>0</v>
          </cell>
          <cell r="I54">
            <v>8216878.118989707</v>
          </cell>
          <cell r="J54">
            <v>458010</v>
          </cell>
          <cell r="K54">
            <v>44000</v>
          </cell>
          <cell r="L54">
            <v>7714900</v>
          </cell>
          <cell r="M54">
            <v>22.5</v>
          </cell>
        </row>
        <row r="55">
          <cell r="C55">
            <v>50879</v>
          </cell>
          <cell r="D55">
            <v>266719.57403879962</v>
          </cell>
          <cell r="E55">
            <v>283079.26829268294</v>
          </cell>
          <cell r="F55">
            <v>330000</v>
          </cell>
          <cell r="G55">
            <v>0</v>
          </cell>
          <cell r="H55">
            <v>0</v>
          </cell>
          <cell r="I55">
            <v>7164330.6173308073</v>
          </cell>
          <cell r="J55">
            <v>458010</v>
          </cell>
          <cell r="K55">
            <v>44000</v>
          </cell>
          <cell r="L55">
            <v>6662300</v>
          </cell>
          <cell r="M55">
            <v>20.34375</v>
          </cell>
        </row>
        <row r="56">
          <cell r="C56">
            <v>51048</v>
          </cell>
          <cell r="D56">
            <v>0</v>
          </cell>
          <cell r="E56">
            <v>290396.3414634146</v>
          </cell>
          <cell r="F56">
            <v>360000</v>
          </cell>
          <cell r="G56">
            <v>0</v>
          </cell>
          <cell r="H56">
            <v>0</v>
          </cell>
          <cell r="I56">
            <v>8465471.9255849291</v>
          </cell>
          <cell r="J56">
            <v>458010</v>
          </cell>
          <cell r="K56">
            <v>44000</v>
          </cell>
          <cell r="L56">
            <v>7963500</v>
          </cell>
          <cell r="M56">
            <v>20.84375</v>
          </cell>
        </row>
        <row r="57">
          <cell r="C57">
            <v>51722</v>
          </cell>
          <cell r="I57">
            <v>8510753.9570919909</v>
          </cell>
          <cell r="J57">
            <v>458010</v>
          </cell>
          <cell r="K57">
            <v>44000</v>
          </cell>
          <cell r="L57">
            <v>8008700</v>
          </cell>
          <cell r="M57">
            <v>22</v>
          </cell>
        </row>
        <row r="58">
          <cell r="C58" t="str">
            <v>Q.trị 8</v>
          </cell>
          <cell r="I58">
            <v>14501750</v>
          </cell>
          <cell r="J58">
            <v>714735</v>
          </cell>
          <cell r="K58">
            <v>68100</v>
          </cell>
          <cell r="L58">
            <v>13718900</v>
          </cell>
          <cell r="M58">
            <v>21.5</v>
          </cell>
        </row>
        <row r="59">
          <cell r="C59">
            <v>52024</v>
          </cell>
          <cell r="D59">
            <v>0</v>
          </cell>
          <cell r="F59">
            <v>0</v>
          </cell>
          <cell r="G59">
            <v>200000</v>
          </cell>
          <cell r="H59">
            <v>0</v>
          </cell>
          <cell r="I59">
            <v>6078897.8328897282</v>
          </cell>
          <cell r="K59">
            <v>0</v>
          </cell>
          <cell r="L59">
            <v>6078900</v>
          </cell>
          <cell r="M59">
            <v>22</v>
          </cell>
        </row>
        <row r="60">
          <cell r="C60">
            <v>51678</v>
          </cell>
          <cell r="F60">
            <v>0</v>
          </cell>
          <cell r="I60">
            <v>4278823.333333333</v>
          </cell>
          <cell r="J60">
            <v>458010</v>
          </cell>
          <cell r="K60">
            <v>44000</v>
          </cell>
          <cell r="L60">
            <v>3776800</v>
          </cell>
          <cell r="M60">
            <v>14</v>
          </cell>
        </row>
        <row r="61">
          <cell r="C61">
            <v>51738</v>
          </cell>
          <cell r="E61">
            <v>292857.14285714284</v>
          </cell>
          <cell r="F61">
            <v>0</v>
          </cell>
          <cell r="I61">
            <v>8799508.6996337008</v>
          </cell>
          <cell r="J61">
            <v>458010</v>
          </cell>
          <cell r="K61">
            <v>44000</v>
          </cell>
          <cell r="L61">
            <v>8297500</v>
          </cell>
          <cell r="M61">
            <v>21.5</v>
          </cell>
        </row>
        <row r="62">
          <cell r="C62">
            <v>51798</v>
          </cell>
          <cell r="E62">
            <v>292857.14285714284</v>
          </cell>
          <cell r="F62">
            <v>0</v>
          </cell>
          <cell r="I62">
            <v>7674494.2765567768</v>
          </cell>
          <cell r="J62">
            <v>458010</v>
          </cell>
          <cell r="K62">
            <v>44000</v>
          </cell>
          <cell r="L62">
            <v>7172500</v>
          </cell>
          <cell r="M62">
            <v>22.5</v>
          </cell>
        </row>
        <row r="63">
          <cell r="C63">
            <v>52044</v>
          </cell>
          <cell r="I63">
            <v>5690087.8410571367</v>
          </cell>
          <cell r="K63">
            <v>0</v>
          </cell>
          <cell r="L63">
            <v>5690100</v>
          </cell>
          <cell r="M63">
            <v>20</v>
          </cell>
        </row>
        <row r="64">
          <cell r="C64">
            <v>51629</v>
          </cell>
          <cell r="D64">
            <v>0</v>
          </cell>
          <cell r="E64">
            <v>295426.8292682927</v>
          </cell>
          <cell r="F64">
            <v>0</v>
          </cell>
          <cell r="G64">
            <v>200000</v>
          </cell>
          <cell r="H64">
            <v>0</v>
          </cell>
          <cell r="I64">
            <v>8935655.5577773284</v>
          </cell>
          <cell r="J64">
            <v>458010</v>
          </cell>
          <cell r="K64">
            <v>44000</v>
          </cell>
          <cell r="L64">
            <v>8433600</v>
          </cell>
          <cell r="M64">
            <v>22.1875</v>
          </cell>
        </row>
        <row r="65">
          <cell r="C65">
            <v>51730</v>
          </cell>
          <cell r="D65">
            <v>0</v>
          </cell>
          <cell r="E65">
            <v>292682.92682926828</v>
          </cell>
          <cell r="F65">
            <v>270000</v>
          </cell>
          <cell r="G65">
            <v>200000</v>
          </cell>
          <cell r="H65">
            <v>0</v>
          </cell>
          <cell r="I65">
            <v>8372705.5333195254</v>
          </cell>
          <cell r="J65">
            <v>458010</v>
          </cell>
          <cell r="K65">
            <v>44000</v>
          </cell>
          <cell r="L65">
            <v>7870700</v>
          </cell>
          <cell r="M65">
            <v>22</v>
          </cell>
        </row>
        <row r="66">
          <cell r="C66">
            <v>51956</v>
          </cell>
          <cell r="D66">
            <v>0</v>
          </cell>
          <cell r="E66">
            <v>299085.36585365853</v>
          </cell>
          <cell r="F66">
            <v>300000</v>
          </cell>
          <cell r="G66">
            <v>0</v>
          </cell>
          <cell r="H66">
            <v>0</v>
          </cell>
          <cell r="I66">
            <v>6575681.5963539863</v>
          </cell>
          <cell r="K66">
            <v>0</v>
          </cell>
          <cell r="L66">
            <v>6575700</v>
          </cell>
          <cell r="M66">
            <v>21.4375</v>
          </cell>
        </row>
        <row r="67">
          <cell r="C67">
            <v>50788</v>
          </cell>
          <cell r="D67">
            <v>0</v>
          </cell>
          <cell r="E67">
            <v>297317.07317073172</v>
          </cell>
          <cell r="F67">
            <v>180000</v>
          </cell>
          <cell r="G67">
            <v>0</v>
          </cell>
          <cell r="H67">
            <v>0</v>
          </cell>
          <cell r="I67">
            <v>8773135.709811924</v>
          </cell>
          <cell r="J67">
            <v>458010</v>
          </cell>
          <cell r="K67">
            <v>44000</v>
          </cell>
          <cell r="L67">
            <v>8271100</v>
          </cell>
          <cell r="M67">
            <v>21.316666666666666</v>
          </cell>
        </row>
        <row r="68">
          <cell r="C68">
            <v>51707</v>
          </cell>
          <cell r="D68">
            <v>0</v>
          </cell>
          <cell r="E68">
            <v>270731.70731707319</v>
          </cell>
          <cell r="F68">
            <v>90000</v>
          </cell>
          <cell r="G68">
            <v>0</v>
          </cell>
          <cell r="H68">
            <v>0</v>
          </cell>
          <cell r="I68">
            <v>8071841.4633901669</v>
          </cell>
          <cell r="J68">
            <v>458010</v>
          </cell>
          <cell r="K68">
            <v>44000</v>
          </cell>
          <cell r="L68">
            <v>7569800</v>
          </cell>
          <cell r="M68">
            <v>19.5</v>
          </cell>
        </row>
        <row r="69">
          <cell r="C69">
            <v>51981</v>
          </cell>
          <cell r="D69">
            <v>257572.10101351375</v>
          </cell>
          <cell r="E69">
            <v>241463.41463414635</v>
          </cell>
          <cell r="F69">
            <v>210000</v>
          </cell>
          <cell r="G69">
            <v>0</v>
          </cell>
          <cell r="H69">
            <v>0</v>
          </cell>
          <cell r="I69">
            <v>6059368.7943898635</v>
          </cell>
          <cell r="J69">
            <v>458010</v>
          </cell>
          <cell r="K69">
            <v>44000</v>
          </cell>
          <cell r="L69">
            <v>5557400</v>
          </cell>
          <cell r="M69">
            <v>17.5</v>
          </cell>
        </row>
        <row r="70">
          <cell r="C70">
            <v>10221</v>
          </cell>
          <cell r="D70">
            <v>0</v>
          </cell>
          <cell r="E70">
            <v>248780.48780487804</v>
          </cell>
          <cell r="F70">
            <v>0</v>
          </cell>
          <cell r="G70">
            <v>0</v>
          </cell>
          <cell r="H70">
            <v>0</v>
          </cell>
          <cell r="I70">
            <v>6039816.0512604602</v>
          </cell>
          <cell r="J70"/>
          <cell r="K70">
            <v>0</v>
          </cell>
          <cell r="L70">
            <v>6039800</v>
          </cell>
          <cell r="M70">
            <v>18</v>
          </cell>
        </row>
        <row r="71">
          <cell r="C71">
            <v>51861</v>
          </cell>
          <cell r="D71">
            <v>0</v>
          </cell>
          <cell r="E71">
            <v>280030.48780487804</v>
          </cell>
          <cell r="F71">
            <v>120000</v>
          </cell>
          <cell r="G71">
            <v>0</v>
          </cell>
          <cell r="H71">
            <v>0</v>
          </cell>
          <cell r="I71">
            <v>8340016.9627628885</v>
          </cell>
          <cell r="J71">
            <v>458010</v>
          </cell>
          <cell r="K71">
            <v>44000</v>
          </cell>
          <cell r="L71">
            <v>7838000</v>
          </cell>
          <cell r="M71">
            <v>20.635416666666668</v>
          </cell>
        </row>
        <row r="72">
          <cell r="C72">
            <v>10144</v>
          </cell>
          <cell r="D72">
            <v>0</v>
          </cell>
          <cell r="E72">
            <v>298780.48780487804</v>
          </cell>
          <cell r="F72">
            <v>490000</v>
          </cell>
          <cell r="G72">
            <v>0</v>
          </cell>
          <cell r="H72">
            <v>0</v>
          </cell>
          <cell r="I72">
            <v>8719129.9196602069</v>
          </cell>
          <cell r="K72">
            <v>0</v>
          </cell>
          <cell r="L72">
            <v>8719100</v>
          </cell>
          <cell r="M72">
            <v>21.916666666666668</v>
          </cell>
        </row>
        <row r="73">
          <cell r="C73">
            <v>50382</v>
          </cell>
          <cell r="D73">
            <v>0</v>
          </cell>
          <cell r="E73">
            <v>296036.58536585368</v>
          </cell>
          <cell r="F73">
            <v>150000</v>
          </cell>
          <cell r="G73">
            <v>0</v>
          </cell>
          <cell r="H73">
            <v>0</v>
          </cell>
          <cell r="I73">
            <v>7366477.2453666599</v>
          </cell>
          <cell r="J73">
            <v>458010</v>
          </cell>
          <cell r="K73">
            <v>44000</v>
          </cell>
          <cell r="L73">
            <v>6864500</v>
          </cell>
          <cell r="M73">
            <v>21.229166666666668</v>
          </cell>
        </row>
        <row r="74">
          <cell r="C74">
            <v>51680</v>
          </cell>
          <cell r="D74">
            <v>0</v>
          </cell>
          <cell r="E74">
            <v>285365.85365853657</v>
          </cell>
          <cell r="F74">
            <v>300000</v>
          </cell>
          <cell r="G74">
            <v>0</v>
          </cell>
          <cell r="H74">
            <v>0</v>
          </cell>
          <cell r="I74">
            <v>7678948.1113044359</v>
          </cell>
          <cell r="J74">
            <v>458010</v>
          </cell>
          <cell r="K74">
            <v>44000</v>
          </cell>
          <cell r="L74">
            <v>7176900</v>
          </cell>
          <cell r="M74">
            <v>20.5</v>
          </cell>
        </row>
        <row r="75">
          <cell r="C75">
            <v>51618</v>
          </cell>
          <cell r="D75">
            <v>0</v>
          </cell>
          <cell r="E75">
            <v>300000</v>
          </cell>
          <cell r="F75">
            <v>270000</v>
          </cell>
          <cell r="G75">
            <v>0</v>
          </cell>
          <cell r="H75">
            <v>0</v>
          </cell>
          <cell r="I75">
            <v>10633725.163211398</v>
          </cell>
          <cell r="J75">
            <v>506625</v>
          </cell>
          <cell r="K75">
            <v>44000</v>
          </cell>
          <cell r="L75">
            <v>10083100</v>
          </cell>
          <cell r="M75">
            <v>21.5</v>
          </cell>
        </row>
        <row r="76">
          <cell r="C76">
            <v>51702</v>
          </cell>
          <cell r="I76">
            <v>10169624.41369606</v>
          </cell>
          <cell r="J76">
            <v>458010</v>
          </cell>
          <cell r="K76">
            <v>44000</v>
          </cell>
          <cell r="L76">
            <v>9667600</v>
          </cell>
          <cell r="M76">
            <v>21.8125</v>
          </cell>
        </row>
        <row r="77">
          <cell r="C77">
            <v>51954</v>
          </cell>
          <cell r="E77">
            <v>292682.92682926828</v>
          </cell>
          <cell r="F77">
            <v>0</v>
          </cell>
          <cell r="I77">
            <v>7402581.8459476568</v>
          </cell>
          <cell r="J77"/>
          <cell r="K77">
            <v>0</v>
          </cell>
          <cell r="L77">
            <v>7402600</v>
          </cell>
          <cell r="M77">
            <v>22</v>
          </cell>
        </row>
        <row r="78">
          <cell r="C78">
            <v>52046</v>
          </cell>
          <cell r="E78">
            <v>300000</v>
          </cell>
          <cell r="F78">
            <v>0</v>
          </cell>
          <cell r="I78">
            <v>7228058</v>
          </cell>
          <cell r="J78"/>
          <cell r="K78">
            <v>0</v>
          </cell>
          <cell r="L78">
            <v>7228100</v>
          </cell>
          <cell r="M78">
            <v>21</v>
          </cell>
        </row>
        <row r="79">
          <cell r="C79" t="str">
            <v>Q.trị 7</v>
          </cell>
          <cell r="I79">
            <v>15744000</v>
          </cell>
          <cell r="J79">
            <v>648480</v>
          </cell>
          <cell r="K79">
            <v>61800</v>
          </cell>
          <cell r="L79">
            <v>15033700</v>
          </cell>
          <cell r="M79">
            <v>20.5</v>
          </cell>
        </row>
        <row r="80">
          <cell r="C80">
            <v>51800</v>
          </cell>
          <cell r="D80">
            <v>165334.13232010067</v>
          </cell>
          <cell r="E80">
            <v>278658.53658536589</v>
          </cell>
          <cell r="F80">
            <v>240000</v>
          </cell>
          <cell r="G80">
            <v>0</v>
          </cell>
          <cell r="H80">
            <v>0</v>
          </cell>
          <cell r="I80">
            <v>6396439.9747780859</v>
          </cell>
          <cell r="J80">
            <v>458010</v>
          </cell>
          <cell r="K80">
            <v>44000</v>
          </cell>
          <cell r="L80">
            <v>5894400</v>
          </cell>
          <cell r="M80">
            <v>20.041666666666668</v>
          </cell>
        </row>
        <row r="81">
          <cell r="C81">
            <v>51828</v>
          </cell>
          <cell r="E81">
            <v>299146.3414634146</v>
          </cell>
          <cell r="F81">
            <v>420000</v>
          </cell>
          <cell r="G81">
            <v>0</v>
          </cell>
          <cell r="H81">
            <v>0</v>
          </cell>
          <cell r="I81">
            <v>6817773.8660726827</v>
          </cell>
          <cell r="J81">
            <v>458010</v>
          </cell>
          <cell r="K81">
            <v>44000</v>
          </cell>
          <cell r="L81">
            <v>6315800</v>
          </cell>
          <cell r="M81">
            <v>20.441666666666666</v>
          </cell>
        </row>
        <row r="82">
          <cell r="C82">
            <v>51823</v>
          </cell>
          <cell r="D82">
            <v>0</v>
          </cell>
          <cell r="E82">
            <v>298475.60975609755</v>
          </cell>
          <cell r="F82">
            <v>90000</v>
          </cell>
          <cell r="G82">
            <v>0</v>
          </cell>
          <cell r="H82">
            <v>0</v>
          </cell>
          <cell r="I82">
            <v>9005174.8691550996</v>
          </cell>
          <cell r="J82">
            <v>458010</v>
          </cell>
          <cell r="K82">
            <v>44000</v>
          </cell>
          <cell r="L82">
            <v>8503200</v>
          </cell>
          <cell r="M82">
            <v>21.395833333333332</v>
          </cell>
        </row>
        <row r="83">
          <cell r="C83">
            <v>50482</v>
          </cell>
          <cell r="D83">
            <v>0</v>
          </cell>
          <cell r="E83">
            <v>281859.75609756098</v>
          </cell>
          <cell r="F83">
            <v>360000</v>
          </cell>
          <cell r="G83">
            <v>0</v>
          </cell>
          <cell r="H83">
            <v>0</v>
          </cell>
          <cell r="I83">
            <v>6998391.6434140643</v>
          </cell>
          <cell r="J83">
            <v>458010</v>
          </cell>
          <cell r="K83">
            <v>44000</v>
          </cell>
          <cell r="L83">
            <v>6496400</v>
          </cell>
          <cell r="M83">
            <v>20.260416666666668</v>
          </cell>
        </row>
        <row r="84">
          <cell r="C84">
            <v>51946</v>
          </cell>
          <cell r="D84">
            <v>0</v>
          </cell>
          <cell r="E84">
            <v>298170.73170731706</v>
          </cell>
          <cell r="F84">
            <v>90000</v>
          </cell>
          <cell r="G84">
            <v>100000</v>
          </cell>
          <cell r="H84">
            <v>0</v>
          </cell>
          <cell r="I84">
            <v>10936111.500004541</v>
          </cell>
          <cell r="J84">
            <v>458010</v>
          </cell>
          <cell r="K84">
            <v>44000</v>
          </cell>
          <cell r="L84">
            <v>10434100</v>
          </cell>
          <cell r="M84">
            <v>21.875</v>
          </cell>
        </row>
        <row r="85">
          <cell r="C85">
            <v>52052</v>
          </cell>
          <cell r="E85">
            <v>300000</v>
          </cell>
          <cell r="F85">
            <v>240000</v>
          </cell>
          <cell r="G85">
            <v>0</v>
          </cell>
          <cell r="H85">
            <v>0</v>
          </cell>
          <cell r="I85">
            <v>6406641.2856892673</v>
          </cell>
          <cell r="K85">
            <v>0</v>
          </cell>
          <cell r="L85">
            <v>6406600</v>
          </cell>
          <cell r="M85">
            <v>21.5</v>
          </cell>
        </row>
        <row r="86">
          <cell r="C86">
            <v>52050</v>
          </cell>
          <cell r="D86">
            <v>0</v>
          </cell>
          <cell r="E86">
            <v>292682.92682926828</v>
          </cell>
          <cell r="F86">
            <v>420000</v>
          </cell>
          <cell r="G86">
            <v>200000</v>
          </cell>
          <cell r="H86">
            <v>0</v>
          </cell>
          <cell r="I86">
            <v>6950091.0993982498</v>
          </cell>
          <cell r="J86"/>
          <cell r="K86">
            <v>0</v>
          </cell>
          <cell r="L86">
            <v>6950100</v>
          </cell>
          <cell r="M86">
            <v>22</v>
          </cell>
        </row>
        <row r="87">
          <cell r="C87">
            <v>51896</v>
          </cell>
          <cell r="I87">
            <v>7627201.769230769</v>
          </cell>
          <cell r="J87">
            <v>433650</v>
          </cell>
          <cell r="K87">
            <v>41000</v>
          </cell>
          <cell r="L87">
            <v>7152600</v>
          </cell>
          <cell r="M87">
            <v>23</v>
          </cell>
        </row>
        <row r="88">
          <cell r="C88">
            <v>51892</v>
          </cell>
          <cell r="E88">
            <v>291615.85365853657</v>
          </cell>
          <cell r="F88">
            <v>0</v>
          </cell>
          <cell r="I88">
            <v>7648827.8603509916</v>
          </cell>
          <cell r="J88">
            <v>458010</v>
          </cell>
          <cell r="K88">
            <v>44000</v>
          </cell>
          <cell r="L88">
            <v>7146800</v>
          </cell>
          <cell r="M88">
            <v>21.927083333333332</v>
          </cell>
        </row>
        <row r="89">
          <cell r="C89">
            <v>51991</v>
          </cell>
          <cell r="E89">
            <v>270731.70731707319</v>
          </cell>
          <cell r="F89">
            <v>0</v>
          </cell>
          <cell r="I89">
            <v>7155982.2231365619</v>
          </cell>
          <cell r="J89">
            <v>458010</v>
          </cell>
          <cell r="K89">
            <v>44000</v>
          </cell>
          <cell r="L89">
            <v>6654000</v>
          </cell>
          <cell r="M89">
            <v>19.5</v>
          </cell>
        </row>
        <row r="90">
          <cell r="C90">
            <v>52001</v>
          </cell>
          <cell r="F90">
            <v>0</v>
          </cell>
          <cell r="I90">
            <v>6589796.2950807447</v>
          </cell>
          <cell r="J90"/>
          <cell r="K90">
            <v>0</v>
          </cell>
          <cell r="L90">
            <v>6589800</v>
          </cell>
          <cell r="M90">
            <v>20.458333333333332</v>
          </cell>
        </row>
        <row r="91">
          <cell r="C91">
            <v>51925</v>
          </cell>
          <cell r="E91">
            <v>292682.92682926828</v>
          </cell>
          <cell r="F91">
            <v>270000</v>
          </cell>
          <cell r="G91">
            <v>0</v>
          </cell>
          <cell r="H91">
            <v>0</v>
          </cell>
          <cell r="I91">
            <v>6804014.3369516917</v>
          </cell>
          <cell r="J91"/>
          <cell r="K91">
            <v>0</v>
          </cell>
          <cell r="L91">
            <v>6804000</v>
          </cell>
          <cell r="M91">
            <v>21</v>
          </cell>
        </row>
        <row r="92">
          <cell r="C92">
            <v>51952</v>
          </cell>
          <cell r="D92">
            <v>157667.32823977724</v>
          </cell>
          <cell r="E92">
            <v>300000</v>
          </cell>
          <cell r="F92">
            <v>270000</v>
          </cell>
          <cell r="G92">
            <v>0</v>
          </cell>
          <cell r="H92">
            <v>0</v>
          </cell>
          <cell r="I92">
            <v>6580487.2390679149</v>
          </cell>
          <cell r="J92">
            <v>458010</v>
          </cell>
          <cell r="K92">
            <v>44000</v>
          </cell>
          <cell r="L92">
            <v>6078500</v>
          </cell>
          <cell r="M92">
            <v>21.5</v>
          </cell>
        </row>
        <row r="93">
          <cell r="C93">
            <v>10201</v>
          </cell>
          <cell r="D93">
            <v>57242.570638492587</v>
          </cell>
          <cell r="E93">
            <v>292682.92682926828</v>
          </cell>
          <cell r="F93">
            <v>240000</v>
          </cell>
          <cell r="G93">
            <v>0</v>
          </cell>
          <cell r="H93">
            <v>0</v>
          </cell>
          <cell r="I93">
            <v>5248705.0869600065</v>
          </cell>
          <cell r="K93">
            <v>0</v>
          </cell>
          <cell r="L93">
            <v>5248700</v>
          </cell>
          <cell r="M93">
            <v>21</v>
          </cell>
        </row>
        <row r="94">
          <cell r="C94">
            <v>51728</v>
          </cell>
          <cell r="D94">
            <v>0</v>
          </cell>
          <cell r="E94">
            <v>292682.92682926828</v>
          </cell>
          <cell r="F94">
            <v>0</v>
          </cell>
          <cell r="I94">
            <v>8430908.3540232647</v>
          </cell>
          <cell r="J94">
            <v>458010</v>
          </cell>
          <cell r="K94">
            <v>44000</v>
          </cell>
          <cell r="L94">
            <v>7928900</v>
          </cell>
          <cell r="M94">
            <v>21.5</v>
          </cell>
        </row>
        <row r="95">
          <cell r="C95">
            <v>51774</v>
          </cell>
          <cell r="E95">
            <v>214285.71428571429</v>
          </cell>
          <cell r="F95">
            <v>0</v>
          </cell>
          <cell r="I95">
            <v>8837327.8186813183</v>
          </cell>
          <cell r="J95">
            <v>458010</v>
          </cell>
          <cell r="K95">
            <v>44000</v>
          </cell>
          <cell r="L95">
            <v>8335300</v>
          </cell>
          <cell r="M95">
            <v>15</v>
          </cell>
        </row>
        <row r="96">
          <cell r="C96">
            <v>51930</v>
          </cell>
          <cell r="E96">
            <v>300000</v>
          </cell>
          <cell r="F96">
            <v>0</v>
          </cell>
          <cell r="I96">
            <v>7513425.336538462</v>
          </cell>
          <cell r="J96">
            <v>458010</v>
          </cell>
          <cell r="K96">
            <v>44000</v>
          </cell>
          <cell r="L96">
            <v>7011400</v>
          </cell>
          <cell r="M96">
            <v>21</v>
          </cell>
        </row>
        <row r="97">
          <cell r="C97">
            <v>51931</v>
          </cell>
          <cell r="E97">
            <v>300000</v>
          </cell>
          <cell r="F97">
            <v>0</v>
          </cell>
          <cell r="I97">
            <v>7118119.086538461</v>
          </cell>
          <cell r="J97">
            <v>458010</v>
          </cell>
          <cell r="K97">
            <v>44000</v>
          </cell>
          <cell r="L97">
            <v>6616100</v>
          </cell>
          <cell r="M97">
            <v>21</v>
          </cell>
        </row>
        <row r="98">
          <cell r="C98">
            <v>50814</v>
          </cell>
          <cell r="I98">
            <v>7744885.8249034146</v>
          </cell>
          <cell r="J98">
            <v>458010</v>
          </cell>
          <cell r="K98">
            <v>44000</v>
          </cell>
          <cell r="L98">
            <v>7242900</v>
          </cell>
          <cell r="M98">
            <v>20.479166666666668</v>
          </cell>
        </row>
        <row r="99">
          <cell r="C99">
            <v>52039</v>
          </cell>
          <cell r="D99">
            <v>0</v>
          </cell>
          <cell r="E99">
            <v>300000</v>
          </cell>
          <cell r="F99">
            <v>240000</v>
          </cell>
          <cell r="G99">
            <v>200000</v>
          </cell>
          <cell r="H99">
            <v>0</v>
          </cell>
          <cell r="I99">
            <v>8873419.9221787602</v>
          </cell>
          <cell r="J99">
            <v>458010</v>
          </cell>
          <cell r="K99">
            <v>44000</v>
          </cell>
          <cell r="L99">
            <v>8371400</v>
          </cell>
          <cell r="M99">
            <v>22.5</v>
          </cell>
        </row>
        <row r="100">
          <cell r="C100">
            <v>51894</v>
          </cell>
          <cell r="I100">
            <v>6016905.5368045466</v>
          </cell>
          <cell r="K100">
            <v>0</v>
          </cell>
          <cell r="L100">
            <v>6016900</v>
          </cell>
          <cell r="M100">
            <v>21.395833333333332</v>
          </cell>
        </row>
        <row r="101">
          <cell r="C101">
            <v>10237</v>
          </cell>
          <cell r="D101">
            <v>145001.6523361638</v>
          </cell>
          <cell r="E101">
            <v>300000</v>
          </cell>
          <cell r="F101">
            <v>210000</v>
          </cell>
          <cell r="G101">
            <v>0</v>
          </cell>
          <cell r="H101">
            <v>0</v>
          </cell>
          <cell r="I101">
            <v>6273580.3861253737</v>
          </cell>
          <cell r="J101"/>
          <cell r="K101">
            <v>0</v>
          </cell>
          <cell r="L101">
            <v>6273600</v>
          </cell>
          <cell r="M101">
            <v>21.5</v>
          </cell>
        </row>
        <row r="102">
          <cell r="C102">
            <v>10215</v>
          </cell>
          <cell r="D102">
            <v>0</v>
          </cell>
          <cell r="E102">
            <v>292134.14634146338</v>
          </cell>
          <cell r="F102">
            <v>360000</v>
          </cell>
          <cell r="G102">
            <v>0</v>
          </cell>
          <cell r="H102">
            <v>0</v>
          </cell>
          <cell r="I102">
            <v>7611144.421530731</v>
          </cell>
          <cell r="K102">
            <v>0</v>
          </cell>
          <cell r="L102">
            <v>7611100</v>
          </cell>
          <cell r="M102">
            <v>20.962499999999999</v>
          </cell>
        </row>
        <row r="103">
          <cell r="C103">
            <v>51992</v>
          </cell>
          <cell r="D103">
            <v>212916.22801386588</v>
          </cell>
          <cell r="E103">
            <v>300000</v>
          </cell>
          <cell r="F103">
            <v>240000</v>
          </cell>
          <cell r="G103">
            <v>0</v>
          </cell>
          <cell r="H103">
            <v>0</v>
          </cell>
          <cell r="I103">
            <v>6505723.9162169034</v>
          </cell>
          <cell r="J103">
            <v>458010</v>
          </cell>
          <cell r="K103">
            <v>44000</v>
          </cell>
          <cell r="L103">
            <v>6003700</v>
          </cell>
          <cell r="M103">
            <v>21.5</v>
          </cell>
        </row>
        <row r="104">
          <cell r="C104">
            <v>51994</v>
          </cell>
          <cell r="D104">
            <v>174067.7880407112</v>
          </cell>
          <cell r="E104">
            <v>284817.07317073166</v>
          </cell>
          <cell r="F104">
            <v>180000</v>
          </cell>
          <cell r="G104">
            <v>0</v>
          </cell>
          <cell r="H104">
            <v>0</v>
          </cell>
          <cell r="I104">
            <v>5868458.7274377132</v>
          </cell>
          <cell r="K104">
            <v>0</v>
          </cell>
          <cell r="L104">
            <v>5868500</v>
          </cell>
          <cell r="M104">
            <v>20.462499999999999</v>
          </cell>
        </row>
        <row r="105">
          <cell r="C105">
            <v>10138</v>
          </cell>
          <cell r="D105">
            <v>0</v>
          </cell>
          <cell r="E105">
            <v>270731.70731707319</v>
          </cell>
          <cell r="F105">
            <v>120000</v>
          </cell>
          <cell r="G105">
            <v>0</v>
          </cell>
          <cell r="H105">
            <v>0</v>
          </cell>
          <cell r="I105">
            <v>5579056.2846806003</v>
          </cell>
          <cell r="K105">
            <v>0</v>
          </cell>
          <cell r="L105">
            <v>5579100</v>
          </cell>
          <cell r="M105">
            <v>19.5</v>
          </cell>
        </row>
        <row r="106">
          <cell r="C106">
            <v>51857</v>
          </cell>
          <cell r="E106">
            <v>300000</v>
          </cell>
          <cell r="F106">
            <v>0</v>
          </cell>
          <cell r="G106">
            <v>0</v>
          </cell>
          <cell r="H106">
            <v>0</v>
          </cell>
          <cell r="I106">
            <v>5068204.9737245366</v>
          </cell>
          <cell r="J106">
            <v>458010</v>
          </cell>
          <cell r="K106">
            <v>44000</v>
          </cell>
          <cell r="L106">
            <v>4566200</v>
          </cell>
          <cell r="M106">
            <v>20.5</v>
          </cell>
        </row>
        <row r="107">
          <cell r="C107">
            <v>51859</v>
          </cell>
          <cell r="D107">
            <v>166860.90452082898</v>
          </cell>
          <cell r="E107">
            <v>285365.85365853657</v>
          </cell>
          <cell r="F107">
            <v>90000</v>
          </cell>
          <cell r="G107">
            <v>0</v>
          </cell>
          <cell r="H107">
            <v>0</v>
          </cell>
          <cell r="I107">
            <v>5980054.9491377082</v>
          </cell>
          <cell r="J107">
            <v>458010</v>
          </cell>
          <cell r="K107">
            <v>44000</v>
          </cell>
          <cell r="L107">
            <v>5478000</v>
          </cell>
          <cell r="M107">
            <v>20.5</v>
          </cell>
        </row>
        <row r="108">
          <cell r="C108">
            <v>51901</v>
          </cell>
          <cell r="E108">
            <v>249085.36585365853</v>
          </cell>
          <cell r="F108">
            <v>0</v>
          </cell>
          <cell r="G108">
            <v>0</v>
          </cell>
          <cell r="H108">
            <v>0</v>
          </cell>
          <cell r="I108">
            <v>4324427.4474069197</v>
          </cell>
          <cell r="J108">
            <v>458010</v>
          </cell>
          <cell r="K108">
            <v>44000</v>
          </cell>
          <cell r="L108">
            <v>3822400</v>
          </cell>
          <cell r="M108">
            <v>18.020833333333332</v>
          </cell>
        </row>
        <row r="109">
          <cell r="C109">
            <v>51984</v>
          </cell>
          <cell r="E109">
            <v>300000</v>
          </cell>
          <cell r="F109">
            <v>0</v>
          </cell>
          <cell r="G109">
            <v>0</v>
          </cell>
          <cell r="H109">
            <v>0</v>
          </cell>
          <cell r="I109">
            <v>6236440.7755787903</v>
          </cell>
          <cell r="J109"/>
          <cell r="K109">
            <v>0</v>
          </cell>
          <cell r="L109">
            <v>6236400</v>
          </cell>
          <cell r="M109">
            <v>21.5</v>
          </cell>
        </row>
        <row r="110">
          <cell r="C110">
            <v>51997</v>
          </cell>
          <cell r="E110">
            <v>291463.41463414638</v>
          </cell>
          <cell r="F110">
            <v>0</v>
          </cell>
          <cell r="G110">
            <v>0</v>
          </cell>
          <cell r="H110">
            <v>0</v>
          </cell>
          <cell r="I110">
            <v>5670566.6840982158</v>
          </cell>
          <cell r="J110"/>
          <cell r="K110">
            <v>0</v>
          </cell>
          <cell r="L110">
            <v>5670600</v>
          </cell>
          <cell r="M110">
            <v>20.916666666666668</v>
          </cell>
        </row>
        <row r="111">
          <cell r="C111">
            <v>51961</v>
          </cell>
          <cell r="D111">
            <v>0</v>
          </cell>
          <cell r="E111">
            <v>300000</v>
          </cell>
          <cell r="F111">
            <v>120000</v>
          </cell>
          <cell r="G111">
            <v>0</v>
          </cell>
          <cell r="H111">
            <v>0</v>
          </cell>
          <cell r="I111">
            <v>8269418.8538327627</v>
          </cell>
          <cell r="J111">
            <v>458010</v>
          </cell>
          <cell r="K111">
            <v>44000</v>
          </cell>
          <cell r="L111">
            <v>7767400</v>
          </cell>
          <cell r="M111">
            <v>22</v>
          </cell>
        </row>
        <row r="112">
          <cell r="C112">
            <v>10225</v>
          </cell>
          <cell r="D112">
            <v>0</v>
          </cell>
          <cell r="E112">
            <v>292682.92682926828</v>
          </cell>
          <cell r="F112">
            <v>60000</v>
          </cell>
          <cell r="G112">
            <v>100000</v>
          </cell>
          <cell r="H112">
            <v>0</v>
          </cell>
          <cell r="I112">
            <v>6712228.9246299062</v>
          </cell>
          <cell r="J112"/>
          <cell r="K112">
            <v>0</v>
          </cell>
          <cell r="L112">
            <v>6712200</v>
          </cell>
          <cell r="M112">
            <v>21.5</v>
          </cell>
        </row>
        <row r="113">
          <cell r="C113">
            <v>10194</v>
          </cell>
          <cell r="D113">
            <v>0</v>
          </cell>
          <cell r="E113">
            <v>300000</v>
          </cell>
          <cell r="F113">
            <v>120000</v>
          </cell>
          <cell r="G113">
            <v>0</v>
          </cell>
          <cell r="H113">
            <v>0</v>
          </cell>
          <cell r="I113">
            <v>7084396.3639814807</v>
          </cell>
          <cell r="J113"/>
          <cell r="K113">
            <v>0</v>
          </cell>
          <cell r="L113">
            <v>7084400</v>
          </cell>
          <cell r="M113">
            <v>22</v>
          </cell>
        </row>
        <row r="114">
          <cell r="C114">
            <v>52032</v>
          </cell>
          <cell r="E114">
            <v>284451.21951219509</v>
          </cell>
          <cell r="F114">
            <v>270000</v>
          </cell>
          <cell r="G114">
            <v>200000</v>
          </cell>
          <cell r="H114">
            <v>0</v>
          </cell>
          <cell r="I114">
            <v>6437141.4520734204</v>
          </cell>
          <cell r="K114">
            <v>0</v>
          </cell>
          <cell r="L114">
            <v>6437100</v>
          </cell>
          <cell r="M114">
            <v>21.9375</v>
          </cell>
        </row>
        <row r="115">
          <cell r="C115">
            <v>10240</v>
          </cell>
          <cell r="E115">
            <v>278048.78048780485</v>
          </cell>
          <cell r="F115">
            <v>240000</v>
          </cell>
          <cell r="G115">
            <v>0</v>
          </cell>
          <cell r="H115">
            <v>0</v>
          </cell>
          <cell r="I115">
            <v>5490592.7598338677</v>
          </cell>
          <cell r="K115">
            <v>0</v>
          </cell>
          <cell r="L115">
            <v>5490600</v>
          </cell>
          <cell r="M115">
            <v>20</v>
          </cell>
        </row>
        <row r="116">
          <cell r="C116">
            <v>10233</v>
          </cell>
          <cell r="D116">
            <v>0</v>
          </cell>
          <cell r="E116">
            <v>294817.07317073166</v>
          </cell>
          <cell r="F116">
            <v>240000</v>
          </cell>
          <cell r="G116">
            <v>0</v>
          </cell>
          <cell r="H116">
            <v>0</v>
          </cell>
          <cell r="I116">
            <v>6836807.6660387637</v>
          </cell>
          <cell r="K116">
            <v>0</v>
          </cell>
          <cell r="L116">
            <v>6836800</v>
          </cell>
          <cell r="M116">
            <v>21.145833333333332</v>
          </cell>
        </row>
        <row r="117">
          <cell r="C117">
            <v>10167</v>
          </cell>
          <cell r="D117">
            <v>0</v>
          </cell>
          <cell r="E117">
            <v>175609.75609756098</v>
          </cell>
          <cell r="F117">
            <v>60000</v>
          </cell>
          <cell r="G117">
            <v>0</v>
          </cell>
          <cell r="H117">
            <v>0</v>
          </cell>
          <cell r="I117">
            <v>3509005.6496538622</v>
          </cell>
          <cell r="K117">
            <v>0</v>
          </cell>
          <cell r="L117">
            <v>3509000</v>
          </cell>
          <cell r="M117">
            <v>12</v>
          </cell>
        </row>
        <row r="118">
          <cell r="C118">
            <v>10141</v>
          </cell>
          <cell r="D118">
            <v>0</v>
          </cell>
          <cell r="F118">
            <v>240000</v>
          </cell>
          <cell r="G118">
            <v>0</v>
          </cell>
          <cell r="H118">
            <v>0</v>
          </cell>
          <cell r="I118">
            <v>6400356.5307362061</v>
          </cell>
          <cell r="K118">
            <v>0</v>
          </cell>
          <cell r="L118">
            <v>6400400</v>
          </cell>
          <cell r="M118">
            <v>20.895833333333332</v>
          </cell>
        </row>
        <row r="119">
          <cell r="C119">
            <v>51860</v>
          </cell>
          <cell r="D119">
            <v>135639.230301345</v>
          </cell>
          <cell r="E119">
            <v>300000</v>
          </cell>
          <cell r="F119">
            <v>240000</v>
          </cell>
          <cell r="G119">
            <v>0</v>
          </cell>
          <cell r="H119">
            <v>0</v>
          </cell>
          <cell r="I119">
            <v>6620826.3946986543</v>
          </cell>
          <cell r="J119">
            <v>458010</v>
          </cell>
          <cell r="K119">
            <v>44000</v>
          </cell>
          <cell r="L119">
            <v>6118800</v>
          </cell>
          <cell r="M119">
            <v>21.5</v>
          </cell>
        </row>
        <row r="120">
          <cell r="C120">
            <v>10236</v>
          </cell>
          <cell r="D120">
            <v>0</v>
          </cell>
          <cell r="E120">
            <v>300000</v>
          </cell>
          <cell r="F120">
            <v>240000</v>
          </cell>
          <cell r="G120">
            <v>0</v>
          </cell>
          <cell r="H120">
            <v>0</v>
          </cell>
          <cell r="I120">
            <v>6608290.0332828583</v>
          </cell>
          <cell r="K120">
            <v>0</v>
          </cell>
          <cell r="L120">
            <v>6608300</v>
          </cell>
          <cell r="M120">
            <v>21.5</v>
          </cell>
        </row>
        <row r="121">
          <cell r="C121">
            <v>51922</v>
          </cell>
          <cell r="D121">
            <v>0</v>
          </cell>
          <cell r="E121">
            <v>300000</v>
          </cell>
          <cell r="F121">
            <v>300000</v>
          </cell>
          <cell r="G121">
            <v>0</v>
          </cell>
          <cell r="H121">
            <v>0</v>
          </cell>
          <cell r="I121">
            <v>7118410.9879722167</v>
          </cell>
          <cell r="J121">
            <v>458010</v>
          </cell>
          <cell r="K121">
            <v>44000</v>
          </cell>
          <cell r="L121">
            <v>6616400</v>
          </cell>
          <cell r="M121">
            <v>21.5</v>
          </cell>
        </row>
        <row r="122">
          <cell r="C122">
            <v>51884</v>
          </cell>
          <cell r="E122">
            <v>300000</v>
          </cell>
          <cell r="F122">
            <v>240000</v>
          </cell>
          <cell r="G122">
            <v>0</v>
          </cell>
          <cell r="H122">
            <v>0</v>
          </cell>
          <cell r="I122">
            <v>6487769.0068803839</v>
          </cell>
          <cell r="J122"/>
          <cell r="K122">
            <v>0</v>
          </cell>
          <cell r="L122">
            <v>6487800</v>
          </cell>
          <cell r="M122">
            <v>21.5</v>
          </cell>
        </row>
        <row r="123">
          <cell r="C123">
            <v>51923</v>
          </cell>
          <cell r="E123">
            <v>296798.78048780485</v>
          </cell>
          <cell r="F123">
            <v>420000</v>
          </cell>
          <cell r="G123">
            <v>200000</v>
          </cell>
          <cell r="H123">
            <v>0</v>
          </cell>
          <cell r="I123">
            <v>7833424.7735180221</v>
          </cell>
          <cell r="J123">
            <v>458010</v>
          </cell>
          <cell r="K123">
            <v>44000</v>
          </cell>
          <cell r="L123">
            <v>7331400</v>
          </cell>
          <cell r="M123">
            <v>22.78125</v>
          </cell>
        </row>
        <row r="124">
          <cell r="C124">
            <v>52031</v>
          </cell>
          <cell r="E124">
            <v>248780.48780487804</v>
          </cell>
          <cell r="F124">
            <v>210000</v>
          </cell>
          <cell r="G124">
            <v>0</v>
          </cell>
          <cell r="H124">
            <v>0</v>
          </cell>
          <cell r="I124">
            <v>2380687.1051334385</v>
          </cell>
          <cell r="K124">
            <v>0</v>
          </cell>
          <cell r="L124">
            <v>2380700</v>
          </cell>
          <cell r="M124">
            <v>17</v>
          </cell>
        </row>
        <row r="125">
          <cell r="C125">
            <v>10228</v>
          </cell>
          <cell r="E125">
            <v>300000</v>
          </cell>
          <cell r="F125">
            <v>360000</v>
          </cell>
          <cell r="G125">
            <v>0</v>
          </cell>
          <cell r="H125">
            <v>0</v>
          </cell>
          <cell r="I125">
            <v>4131094.6225833134</v>
          </cell>
          <cell r="J125"/>
          <cell r="K125">
            <v>0</v>
          </cell>
          <cell r="L125">
            <v>4131100</v>
          </cell>
          <cell r="M125">
            <v>20.5</v>
          </cell>
        </row>
        <row r="126">
          <cell r="C126">
            <v>10238</v>
          </cell>
          <cell r="D126">
            <v>0</v>
          </cell>
          <cell r="E126">
            <v>292682.92682926828</v>
          </cell>
          <cell r="F126">
            <v>270000</v>
          </cell>
          <cell r="G126">
            <v>0</v>
          </cell>
          <cell r="H126">
            <v>0</v>
          </cell>
          <cell r="I126">
            <v>6345879.7904400853</v>
          </cell>
          <cell r="K126">
            <v>0</v>
          </cell>
          <cell r="L126">
            <v>6345900</v>
          </cell>
          <cell r="M126">
            <v>21.5</v>
          </cell>
        </row>
        <row r="127">
          <cell r="C127">
            <v>51723</v>
          </cell>
          <cell r="D127">
            <v>0</v>
          </cell>
          <cell r="E127">
            <v>200457.31707317071</v>
          </cell>
          <cell r="F127">
            <v>30000</v>
          </cell>
          <cell r="G127">
            <v>0</v>
          </cell>
          <cell r="H127">
            <v>0</v>
          </cell>
          <cell r="I127">
            <v>6969663.4095716868</v>
          </cell>
          <cell r="K127">
            <v>0</v>
          </cell>
          <cell r="L127">
            <v>6969700</v>
          </cell>
          <cell r="M127">
            <v>14.697916666666666</v>
          </cell>
        </row>
        <row r="128">
          <cell r="C128">
            <v>10202</v>
          </cell>
          <cell r="F128">
            <v>270000</v>
          </cell>
          <cell r="G128">
            <v>0</v>
          </cell>
          <cell r="H128">
            <v>0</v>
          </cell>
          <cell r="I128">
            <v>5627361.583625582</v>
          </cell>
          <cell r="K128">
            <v>0</v>
          </cell>
          <cell r="L128">
            <v>5627400</v>
          </cell>
          <cell r="M128">
            <v>20</v>
          </cell>
        </row>
        <row r="129">
          <cell r="C129">
            <v>51792</v>
          </cell>
          <cell r="D129">
            <v>0</v>
          </cell>
          <cell r="E129">
            <v>300000</v>
          </cell>
          <cell r="F129">
            <v>0</v>
          </cell>
          <cell r="I129">
            <v>8485008.4390717596</v>
          </cell>
          <cell r="J129">
            <v>458010</v>
          </cell>
          <cell r="K129">
            <v>44000</v>
          </cell>
          <cell r="L129">
            <v>7983000</v>
          </cell>
          <cell r="M129">
            <v>22</v>
          </cell>
        </row>
        <row r="130">
          <cell r="C130">
            <v>51940</v>
          </cell>
          <cell r="E130">
            <v>297256.09756097558</v>
          </cell>
          <cell r="F130">
            <v>0</v>
          </cell>
          <cell r="I130">
            <v>8220511.3762716576</v>
          </cell>
          <cell r="J130">
            <v>458010</v>
          </cell>
          <cell r="K130">
            <v>44000</v>
          </cell>
          <cell r="L130">
            <v>7718500</v>
          </cell>
          <cell r="M130">
            <v>23.3125</v>
          </cell>
        </row>
        <row r="131">
          <cell r="C131">
            <v>51114</v>
          </cell>
          <cell r="D131">
            <v>0</v>
          </cell>
          <cell r="E131">
            <v>300000</v>
          </cell>
          <cell r="F131">
            <v>0</v>
          </cell>
          <cell r="I131">
            <v>9643935.7663797364</v>
          </cell>
          <cell r="J131">
            <v>458010</v>
          </cell>
          <cell r="K131">
            <v>44000</v>
          </cell>
          <cell r="L131">
            <v>9141900</v>
          </cell>
          <cell r="M131">
            <v>22</v>
          </cell>
        </row>
        <row r="132">
          <cell r="C132">
            <v>51717</v>
          </cell>
          <cell r="E132">
            <v>300000</v>
          </cell>
          <cell r="F132">
            <v>0</v>
          </cell>
          <cell r="I132">
            <v>7471152.259615384</v>
          </cell>
          <cell r="J132">
            <v>458010</v>
          </cell>
          <cell r="K132">
            <v>44000</v>
          </cell>
          <cell r="L132">
            <v>6969100</v>
          </cell>
          <cell r="M132">
            <v>22</v>
          </cell>
        </row>
        <row r="133">
          <cell r="C133">
            <v>52028</v>
          </cell>
          <cell r="D133">
            <v>0</v>
          </cell>
          <cell r="E133">
            <v>288414.63414634147</v>
          </cell>
          <cell r="F133">
            <v>240000</v>
          </cell>
          <cell r="G133">
            <v>200000</v>
          </cell>
          <cell r="H133">
            <v>0</v>
          </cell>
          <cell r="I133">
            <v>8077665.2874257974</v>
          </cell>
          <cell r="K133">
            <v>0</v>
          </cell>
          <cell r="L133">
            <v>8077700</v>
          </cell>
          <cell r="M133">
            <v>21.708333333333332</v>
          </cell>
        </row>
        <row r="134">
          <cell r="C134">
            <v>51858</v>
          </cell>
          <cell r="D134">
            <v>0</v>
          </cell>
          <cell r="E134">
            <v>285365.85365853657</v>
          </cell>
          <cell r="F134">
            <v>270000</v>
          </cell>
          <cell r="G134">
            <v>0</v>
          </cell>
          <cell r="H134">
            <v>0</v>
          </cell>
          <cell r="I134">
            <v>6724291.6703593284</v>
          </cell>
          <cell r="J134">
            <v>458010</v>
          </cell>
          <cell r="K134">
            <v>44000</v>
          </cell>
          <cell r="L134">
            <v>6222300</v>
          </cell>
          <cell r="M134">
            <v>21</v>
          </cell>
        </row>
        <row r="135">
          <cell r="C135">
            <v>52003</v>
          </cell>
          <cell r="E135">
            <v>285365.85365853657</v>
          </cell>
          <cell r="F135">
            <v>210000</v>
          </cell>
          <cell r="G135">
            <v>0</v>
          </cell>
          <cell r="H135">
            <v>0</v>
          </cell>
          <cell r="I135">
            <v>6173533.7023437116</v>
          </cell>
          <cell r="J135">
            <v>458010</v>
          </cell>
          <cell r="K135">
            <v>44000</v>
          </cell>
          <cell r="L135">
            <v>5671500</v>
          </cell>
          <cell r="M135">
            <v>20.5</v>
          </cell>
        </row>
        <row r="136">
          <cell r="C136">
            <v>51715</v>
          </cell>
          <cell r="D136">
            <v>0</v>
          </cell>
          <cell r="E136">
            <v>285365.85365853657</v>
          </cell>
          <cell r="F136">
            <v>450000</v>
          </cell>
          <cell r="G136">
            <v>0</v>
          </cell>
          <cell r="H136">
            <v>0</v>
          </cell>
          <cell r="I136">
            <v>7145011.9154750006</v>
          </cell>
          <cell r="K136">
            <v>0</v>
          </cell>
          <cell r="L136">
            <v>7145000</v>
          </cell>
          <cell r="M136">
            <v>20.5</v>
          </cell>
        </row>
        <row r="137">
          <cell r="C137">
            <v>10245</v>
          </cell>
          <cell r="D137">
            <v>94424.950782109634</v>
          </cell>
          <cell r="E137">
            <v>295152.43902439025</v>
          </cell>
          <cell r="F137">
            <v>240000</v>
          </cell>
          <cell r="G137">
            <v>0</v>
          </cell>
          <cell r="H137">
            <v>0</v>
          </cell>
          <cell r="I137">
            <v>5924607.6036268957</v>
          </cell>
          <cell r="J137"/>
          <cell r="K137">
            <v>0</v>
          </cell>
          <cell r="L137">
            <v>5924600</v>
          </cell>
          <cell r="M137">
            <v>20.668749999999999</v>
          </cell>
        </row>
        <row r="138">
          <cell r="C138">
            <v>51693</v>
          </cell>
          <cell r="I138">
            <v>7636770.7204234554</v>
          </cell>
          <cell r="J138">
            <v>458010</v>
          </cell>
          <cell r="K138">
            <v>44000</v>
          </cell>
          <cell r="L138">
            <v>7134800</v>
          </cell>
          <cell r="M138">
            <v>21.5</v>
          </cell>
        </row>
        <row r="139">
          <cell r="C139" t="str">
            <v>Q.trị 4</v>
          </cell>
          <cell r="I139">
            <v>21316923.076923076</v>
          </cell>
          <cell r="J139">
            <v>1013250</v>
          </cell>
          <cell r="K139">
            <v>96500</v>
          </cell>
          <cell r="L139">
            <v>20207200</v>
          </cell>
          <cell r="M139">
            <v>21</v>
          </cell>
        </row>
        <row r="140">
          <cell r="C140">
            <v>50005</v>
          </cell>
          <cell r="I140">
            <v>13562141.651031895</v>
          </cell>
          <cell r="J140">
            <v>696570</v>
          </cell>
          <cell r="K140">
            <v>66300</v>
          </cell>
          <cell r="L140">
            <v>12799300</v>
          </cell>
          <cell r="M140">
            <v>18.5</v>
          </cell>
        </row>
        <row r="141">
          <cell r="C141">
            <v>51945</v>
          </cell>
          <cell r="I141">
            <v>2589370.7322933474</v>
          </cell>
          <cell r="K141">
            <v>0</v>
          </cell>
          <cell r="L141">
            <v>2589400</v>
          </cell>
          <cell r="M141">
            <v>17</v>
          </cell>
        </row>
        <row r="142">
          <cell r="C142">
            <v>51920</v>
          </cell>
          <cell r="D142">
            <v>0</v>
          </cell>
          <cell r="E142">
            <v>274390.24390243902</v>
          </cell>
          <cell r="F142">
            <v>240000</v>
          </cell>
          <cell r="G142">
            <v>0</v>
          </cell>
          <cell r="H142">
            <v>0</v>
          </cell>
          <cell r="I142">
            <v>7186652.4866044503</v>
          </cell>
          <cell r="J142">
            <v>458010</v>
          </cell>
          <cell r="K142">
            <v>44000</v>
          </cell>
          <cell r="L142">
            <v>6684600</v>
          </cell>
          <cell r="M142">
            <v>19.75</v>
          </cell>
        </row>
        <row r="143">
          <cell r="C143">
            <v>51862</v>
          </cell>
          <cell r="D143">
            <v>0</v>
          </cell>
          <cell r="E143">
            <v>256097.56097560975</v>
          </cell>
          <cell r="F143">
            <v>60000</v>
          </cell>
          <cell r="G143">
            <v>0</v>
          </cell>
          <cell r="H143">
            <v>0</v>
          </cell>
          <cell r="I143">
            <v>6910734.2178441714</v>
          </cell>
          <cell r="J143">
            <v>458010</v>
          </cell>
          <cell r="K143">
            <v>44000</v>
          </cell>
          <cell r="L143">
            <v>6408700</v>
          </cell>
          <cell r="M143">
            <v>18.5</v>
          </cell>
        </row>
        <row r="144">
          <cell r="C144">
            <v>51897</v>
          </cell>
          <cell r="D144">
            <v>0</v>
          </cell>
          <cell r="E144">
            <v>285365.85365853657</v>
          </cell>
          <cell r="F144">
            <v>150000</v>
          </cell>
          <cell r="G144">
            <v>0</v>
          </cell>
          <cell r="H144">
            <v>0</v>
          </cell>
          <cell r="I144">
            <v>5658837.2830848992</v>
          </cell>
          <cell r="K144">
            <v>0</v>
          </cell>
          <cell r="L144">
            <v>5658800</v>
          </cell>
          <cell r="M144">
            <v>20.5</v>
          </cell>
        </row>
        <row r="145">
          <cell r="C145">
            <v>52006</v>
          </cell>
          <cell r="D145">
            <v>421737.40992307675</v>
          </cell>
          <cell r="E145">
            <v>285365.85365853657</v>
          </cell>
          <cell r="F145">
            <v>120000</v>
          </cell>
          <cell r="G145">
            <v>0</v>
          </cell>
          <cell r="H145">
            <v>0</v>
          </cell>
          <cell r="I145">
            <v>5274405.1937354598</v>
          </cell>
          <cell r="K145">
            <v>0</v>
          </cell>
          <cell r="L145">
            <v>5274400</v>
          </cell>
          <cell r="M145">
            <v>19.5</v>
          </cell>
        </row>
        <row r="146">
          <cell r="C146">
            <v>52010</v>
          </cell>
          <cell r="I146">
            <v>3341153.846153846</v>
          </cell>
          <cell r="K146">
            <v>0</v>
          </cell>
          <cell r="L146">
            <v>3341200</v>
          </cell>
          <cell r="M146">
            <v>16</v>
          </cell>
        </row>
        <row r="147">
          <cell r="C147">
            <v>50965</v>
          </cell>
          <cell r="D147">
            <v>0</v>
          </cell>
          <cell r="E147">
            <v>291920.73170731711</v>
          </cell>
          <cell r="F147">
            <v>270000</v>
          </cell>
          <cell r="G147">
            <v>0</v>
          </cell>
          <cell r="H147">
            <v>0</v>
          </cell>
          <cell r="I147">
            <v>7576121.9251238443</v>
          </cell>
          <cell r="J147">
            <v>458010</v>
          </cell>
          <cell r="K147">
            <v>44000</v>
          </cell>
          <cell r="L147">
            <v>7074100</v>
          </cell>
          <cell r="M147">
            <v>20.947916666666668</v>
          </cell>
        </row>
        <row r="148">
          <cell r="C148">
            <v>51998</v>
          </cell>
          <cell r="E148">
            <v>287500</v>
          </cell>
          <cell r="F148">
            <v>310000</v>
          </cell>
          <cell r="G148">
            <v>0</v>
          </cell>
          <cell r="H148">
            <v>0</v>
          </cell>
          <cell r="I148">
            <v>5352442.928114295</v>
          </cell>
          <cell r="K148">
            <v>0</v>
          </cell>
          <cell r="L148">
            <v>5352400</v>
          </cell>
          <cell r="M148">
            <v>20.645833333333332</v>
          </cell>
        </row>
        <row r="149">
          <cell r="C149">
            <v>51951</v>
          </cell>
          <cell r="I149">
            <v>7030979.5255473675</v>
          </cell>
          <cell r="J149">
            <v>458010</v>
          </cell>
          <cell r="K149">
            <v>44000</v>
          </cell>
          <cell r="L149">
            <v>6529000</v>
          </cell>
          <cell r="M149">
            <v>20.704166666666666</v>
          </cell>
        </row>
        <row r="150">
          <cell r="C150">
            <v>50038</v>
          </cell>
          <cell r="I150">
            <v>7543933.9428320052</v>
          </cell>
          <cell r="J150">
            <v>458010</v>
          </cell>
          <cell r="K150">
            <v>44000</v>
          </cell>
          <cell r="L150">
            <v>7041900</v>
          </cell>
          <cell r="M150">
            <v>18.5</v>
          </cell>
        </row>
        <row r="151">
          <cell r="C151">
            <v>50793</v>
          </cell>
          <cell r="E151">
            <v>300000</v>
          </cell>
          <cell r="F151">
            <v>0</v>
          </cell>
          <cell r="I151">
            <v>9410519.4144811463</v>
          </cell>
          <cell r="J151">
            <v>458010</v>
          </cell>
          <cell r="K151">
            <v>44000</v>
          </cell>
          <cell r="L151">
            <v>8908500</v>
          </cell>
          <cell r="M151">
            <v>22.5</v>
          </cell>
        </row>
        <row r="152">
          <cell r="C152">
            <v>51795</v>
          </cell>
          <cell r="E152">
            <v>248780.48780487804</v>
          </cell>
          <cell r="F152">
            <v>0</v>
          </cell>
          <cell r="I152">
            <v>7300527.7907732017</v>
          </cell>
          <cell r="J152">
            <v>458010</v>
          </cell>
          <cell r="K152">
            <v>44000</v>
          </cell>
          <cell r="L152">
            <v>6798500</v>
          </cell>
          <cell r="M152">
            <v>19</v>
          </cell>
        </row>
        <row r="153">
          <cell r="C153">
            <v>51847</v>
          </cell>
          <cell r="E153">
            <v>292682.92682926828</v>
          </cell>
          <cell r="F153">
            <v>0</v>
          </cell>
          <cell r="I153">
            <v>7866296.4302909002</v>
          </cell>
          <cell r="J153"/>
          <cell r="K153">
            <v>0</v>
          </cell>
          <cell r="L153">
            <v>7866300</v>
          </cell>
          <cell r="M153">
            <v>22</v>
          </cell>
        </row>
        <row r="154">
          <cell r="C154">
            <v>51996</v>
          </cell>
          <cell r="D154">
            <v>0</v>
          </cell>
          <cell r="E154">
            <v>270731.70731707319</v>
          </cell>
          <cell r="F154">
            <v>270000</v>
          </cell>
          <cell r="G154">
            <v>0</v>
          </cell>
          <cell r="H154">
            <v>0</v>
          </cell>
          <cell r="I154">
            <v>6103823.1895841956</v>
          </cell>
          <cell r="K154">
            <v>0</v>
          </cell>
          <cell r="L154">
            <v>6103800</v>
          </cell>
          <cell r="M154">
            <v>19.5</v>
          </cell>
        </row>
        <row r="155">
          <cell r="C155">
            <v>51639</v>
          </cell>
          <cell r="D155">
            <v>0</v>
          </cell>
          <cell r="E155">
            <v>300000</v>
          </cell>
          <cell r="F155">
            <v>0</v>
          </cell>
          <cell r="I155">
            <v>8282510.5951476134</v>
          </cell>
          <cell r="J155">
            <v>458010</v>
          </cell>
          <cell r="K155">
            <v>44000</v>
          </cell>
          <cell r="L155">
            <v>7780500</v>
          </cell>
          <cell r="M155">
            <v>22</v>
          </cell>
        </row>
        <row r="156">
          <cell r="C156">
            <v>51337</v>
          </cell>
          <cell r="E156">
            <v>300000</v>
          </cell>
          <cell r="F156">
            <v>0</v>
          </cell>
          <cell r="I156">
            <v>9354168.365384616</v>
          </cell>
          <cell r="J156">
            <v>458010</v>
          </cell>
          <cell r="K156">
            <v>44000</v>
          </cell>
          <cell r="L156">
            <v>8852200</v>
          </cell>
          <cell r="M156">
            <v>21</v>
          </cell>
        </row>
        <row r="157">
          <cell r="C157">
            <v>51696</v>
          </cell>
          <cell r="I157">
            <v>7701225.8032023832</v>
          </cell>
          <cell r="J157">
            <v>458010</v>
          </cell>
          <cell r="K157">
            <v>44000</v>
          </cell>
          <cell r="L157">
            <v>7199200</v>
          </cell>
          <cell r="M157">
            <v>21.5</v>
          </cell>
        </row>
        <row r="158">
          <cell r="C158">
            <v>50091</v>
          </cell>
          <cell r="I158">
            <v>8654122.0841743238</v>
          </cell>
          <cell r="J158">
            <v>458010</v>
          </cell>
          <cell r="K158">
            <v>44000</v>
          </cell>
          <cell r="L158">
            <v>8152100</v>
          </cell>
          <cell r="M158">
            <v>20.5</v>
          </cell>
        </row>
        <row r="159">
          <cell r="C159">
            <v>51851</v>
          </cell>
          <cell r="D159">
            <v>0</v>
          </cell>
          <cell r="E159">
            <v>300000</v>
          </cell>
          <cell r="F159">
            <v>240000</v>
          </cell>
          <cell r="G159">
            <v>200000</v>
          </cell>
          <cell r="H159">
            <v>0</v>
          </cell>
          <cell r="I159">
            <v>9295352.4953011833</v>
          </cell>
          <cell r="J159">
            <v>458010</v>
          </cell>
          <cell r="K159">
            <v>44000</v>
          </cell>
          <cell r="L159">
            <v>8793300</v>
          </cell>
          <cell r="M159">
            <v>22.5</v>
          </cell>
        </row>
        <row r="160">
          <cell r="C160">
            <v>51870</v>
          </cell>
          <cell r="D160">
            <v>0</v>
          </cell>
          <cell r="E160">
            <v>182926.82926829267</v>
          </cell>
          <cell r="F160">
            <v>90000</v>
          </cell>
          <cell r="G160">
            <v>0</v>
          </cell>
          <cell r="H160">
            <v>0</v>
          </cell>
          <cell r="I160">
            <v>4336136.9961389219</v>
          </cell>
          <cell r="J160">
            <v>458010</v>
          </cell>
          <cell r="K160">
            <v>44000</v>
          </cell>
          <cell r="L160">
            <v>3834100</v>
          </cell>
          <cell r="M160">
            <v>13</v>
          </cell>
        </row>
        <row r="161">
          <cell r="C161">
            <v>52037</v>
          </cell>
          <cell r="D161">
            <v>0</v>
          </cell>
          <cell r="E161">
            <v>292682.92682926828</v>
          </cell>
          <cell r="F161">
            <v>0</v>
          </cell>
          <cell r="G161">
            <v>200000</v>
          </cell>
          <cell r="H161">
            <v>0</v>
          </cell>
          <cell r="I161">
            <v>6001659.6680516778</v>
          </cell>
          <cell r="K161">
            <v>0</v>
          </cell>
          <cell r="L161">
            <v>6001700</v>
          </cell>
          <cell r="M161">
            <v>22</v>
          </cell>
        </row>
        <row r="162">
          <cell r="C162">
            <v>52041</v>
          </cell>
          <cell r="E162">
            <v>300000</v>
          </cell>
          <cell r="F162">
            <v>180000</v>
          </cell>
          <cell r="G162">
            <v>0</v>
          </cell>
          <cell r="H162">
            <v>0</v>
          </cell>
          <cell r="I162">
            <v>5991013.7217064323</v>
          </cell>
          <cell r="K162">
            <v>0</v>
          </cell>
          <cell r="L162">
            <v>5991000</v>
          </cell>
          <cell r="M162">
            <v>21.5</v>
          </cell>
        </row>
        <row r="163">
          <cell r="C163">
            <v>51938</v>
          </cell>
          <cell r="D163">
            <v>0</v>
          </cell>
          <cell r="E163">
            <v>300000</v>
          </cell>
          <cell r="F163">
            <v>270000</v>
          </cell>
          <cell r="G163">
            <v>0</v>
          </cell>
          <cell r="H163">
            <v>0</v>
          </cell>
          <cell r="I163">
            <v>7060727.5333038103</v>
          </cell>
          <cell r="J163">
            <v>458010</v>
          </cell>
          <cell r="K163">
            <v>44000</v>
          </cell>
          <cell r="L163">
            <v>6558700</v>
          </cell>
          <cell r="M163">
            <v>21.5</v>
          </cell>
        </row>
        <row r="164">
          <cell r="C164">
            <v>51709</v>
          </cell>
          <cell r="D164">
            <v>0</v>
          </cell>
          <cell r="E164">
            <v>298170.73170731706</v>
          </cell>
          <cell r="F164">
            <v>0</v>
          </cell>
          <cell r="I164">
            <v>8466169.6973372102</v>
          </cell>
          <cell r="J164">
            <v>458010</v>
          </cell>
          <cell r="K164">
            <v>44000</v>
          </cell>
          <cell r="L164">
            <v>7964200</v>
          </cell>
          <cell r="M164">
            <v>21.875</v>
          </cell>
        </row>
        <row r="165">
          <cell r="C165">
            <v>52004</v>
          </cell>
          <cell r="D165">
            <v>469953.88034991839</v>
          </cell>
          <cell r="E165">
            <v>298475.60975609755</v>
          </cell>
          <cell r="F165">
            <v>90000</v>
          </cell>
          <cell r="G165">
            <v>0</v>
          </cell>
          <cell r="H165">
            <v>0</v>
          </cell>
          <cell r="I165">
            <v>5361737.581970281</v>
          </cell>
          <cell r="K165">
            <v>0</v>
          </cell>
          <cell r="L165">
            <v>5361700</v>
          </cell>
          <cell r="M165">
            <v>20.395833333333332</v>
          </cell>
        </row>
        <row r="166">
          <cell r="C166">
            <v>51644</v>
          </cell>
          <cell r="I166">
            <v>10550914.751407132</v>
          </cell>
          <cell r="J166">
            <v>458010</v>
          </cell>
          <cell r="K166">
            <v>44000</v>
          </cell>
          <cell r="L166">
            <v>10048900</v>
          </cell>
          <cell r="M166">
            <v>22.21875</v>
          </cell>
        </row>
        <row r="167">
          <cell r="C167">
            <v>50145</v>
          </cell>
          <cell r="I167">
            <v>9009248.8155505583</v>
          </cell>
          <cell r="J167">
            <v>458010</v>
          </cell>
          <cell r="K167">
            <v>44000</v>
          </cell>
          <cell r="L167">
            <v>8507200</v>
          </cell>
          <cell r="M167">
            <v>22</v>
          </cell>
        </row>
        <row r="168">
          <cell r="C168">
            <v>50547</v>
          </cell>
          <cell r="I168">
            <v>8390562.9481529016</v>
          </cell>
          <cell r="J168">
            <v>458010</v>
          </cell>
          <cell r="K168">
            <v>44000</v>
          </cell>
          <cell r="L168">
            <v>7888600</v>
          </cell>
          <cell r="M168">
            <v>22.5</v>
          </cell>
        </row>
        <row r="169">
          <cell r="C169">
            <v>51208</v>
          </cell>
          <cell r="E169">
            <v>276524.3902439024</v>
          </cell>
          <cell r="F169">
            <v>240000</v>
          </cell>
          <cell r="G169">
            <v>0</v>
          </cell>
          <cell r="H169">
            <v>0</v>
          </cell>
          <cell r="I169">
            <v>6886606.2111029103</v>
          </cell>
          <cell r="J169">
            <v>458010</v>
          </cell>
          <cell r="K169">
            <v>44000</v>
          </cell>
          <cell r="L169">
            <v>6384600</v>
          </cell>
          <cell r="M169">
            <v>19.895833333333332</v>
          </cell>
        </row>
        <row r="170">
          <cell r="C170">
            <v>50427</v>
          </cell>
          <cell r="E170">
            <v>297408.53658536589</v>
          </cell>
          <cell r="F170">
            <v>330000</v>
          </cell>
          <cell r="G170">
            <v>200000</v>
          </cell>
          <cell r="H170">
            <v>0</v>
          </cell>
          <cell r="I170">
            <v>7582140.9979722947</v>
          </cell>
          <cell r="J170">
            <v>458010</v>
          </cell>
          <cell r="K170">
            <v>44000</v>
          </cell>
          <cell r="L170">
            <v>7080100</v>
          </cell>
          <cell r="M170">
            <v>22.322916666666668</v>
          </cell>
        </row>
        <row r="171">
          <cell r="C171">
            <v>52053</v>
          </cell>
          <cell r="D171">
            <v>0</v>
          </cell>
          <cell r="E171">
            <v>300000</v>
          </cell>
          <cell r="F171">
            <v>150000</v>
          </cell>
          <cell r="G171">
            <v>0</v>
          </cell>
          <cell r="H171">
            <v>0</v>
          </cell>
          <cell r="I171">
            <v>6826534.7676032856</v>
          </cell>
          <cell r="J171"/>
          <cell r="K171">
            <v>0</v>
          </cell>
          <cell r="L171">
            <v>6826500</v>
          </cell>
          <cell r="M171">
            <v>21.5</v>
          </cell>
        </row>
        <row r="172">
          <cell r="C172">
            <v>50203</v>
          </cell>
          <cell r="I172">
            <v>8480000</v>
          </cell>
          <cell r="K172">
            <v>41000</v>
          </cell>
          <cell r="L172">
            <v>8439000</v>
          </cell>
          <cell r="M172">
            <v>29</v>
          </cell>
        </row>
        <row r="173">
          <cell r="C173">
            <v>50205</v>
          </cell>
          <cell r="I173">
            <v>8182000</v>
          </cell>
          <cell r="K173">
            <v>41000</v>
          </cell>
          <cell r="L173">
            <v>8141000</v>
          </cell>
          <cell r="M173">
            <v>30</v>
          </cell>
        </row>
        <row r="174">
          <cell r="C174">
            <v>50309</v>
          </cell>
          <cell r="I174">
            <v>7783000</v>
          </cell>
          <cell r="J174">
            <v>433650</v>
          </cell>
          <cell r="K174">
            <v>41000</v>
          </cell>
          <cell r="L174">
            <v>7308400</v>
          </cell>
          <cell r="M174">
            <v>30</v>
          </cell>
        </row>
        <row r="175">
          <cell r="C175">
            <v>50375</v>
          </cell>
          <cell r="I175">
            <v>7891000</v>
          </cell>
          <cell r="J175">
            <v>433650</v>
          </cell>
          <cell r="K175">
            <v>41000</v>
          </cell>
          <cell r="L175">
            <v>7416400</v>
          </cell>
          <cell r="M175">
            <v>29</v>
          </cell>
        </row>
        <row r="176">
          <cell r="C176">
            <v>50468</v>
          </cell>
          <cell r="I176">
            <v>8155000</v>
          </cell>
          <cell r="J176">
            <v>433650</v>
          </cell>
          <cell r="K176">
            <v>41000</v>
          </cell>
          <cell r="L176">
            <v>7680400</v>
          </cell>
          <cell r="M176">
            <v>30</v>
          </cell>
        </row>
        <row r="177">
          <cell r="C177">
            <v>50736</v>
          </cell>
          <cell r="I177">
            <v>7576000</v>
          </cell>
          <cell r="J177">
            <v>433650</v>
          </cell>
          <cell r="K177">
            <v>41000</v>
          </cell>
          <cell r="L177">
            <v>7101400</v>
          </cell>
          <cell r="M177">
            <v>29</v>
          </cell>
        </row>
        <row r="178">
          <cell r="C178">
            <v>51641</v>
          </cell>
          <cell r="I178">
            <v>7663000</v>
          </cell>
          <cell r="J178">
            <v>433650</v>
          </cell>
          <cell r="K178">
            <v>41000</v>
          </cell>
          <cell r="L178">
            <v>7188400</v>
          </cell>
          <cell r="M178">
            <v>30</v>
          </cell>
        </row>
        <row r="179">
          <cell r="C179">
            <v>50417</v>
          </cell>
          <cell r="I179">
            <v>7372067.7692307699</v>
          </cell>
          <cell r="J179">
            <v>433650</v>
          </cell>
          <cell r="K179">
            <v>41000</v>
          </cell>
          <cell r="L179">
            <v>6897400</v>
          </cell>
          <cell r="M179">
            <v>17.5</v>
          </cell>
        </row>
        <row r="180">
          <cell r="C180">
            <v>50659</v>
          </cell>
          <cell r="I180">
            <v>8379115.8317307699</v>
          </cell>
          <cell r="J180">
            <v>433650</v>
          </cell>
          <cell r="K180">
            <v>41000</v>
          </cell>
          <cell r="L180">
            <v>7904500</v>
          </cell>
          <cell r="M180">
            <v>23</v>
          </cell>
        </row>
        <row r="181">
          <cell r="C181">
            <v>50902</v>
          </cell>
          <cell r="I181">
            <v>7391347.602564102</v>
          </cell>
          <cell r="J181">
            <v>433650</v>
          </cell>
          <cell r="K181">
            <v>41000</v>
          </cell>
          <cell r="L181">
            <v>6916700</v>
          </cell>
          <cell r="M181">
            <v>22</v>
          </cell>
        </row>
        <row r="182">
          <cell r="C182">
            <v>50903</v>
          </cell>
          <cell r="I182">
            <v>7161061.144230769</v>
          </cell>
          <cell r="J182">
            <v>433650</v>
          </cell>
          <cell r="K182">
            <v>41000</v>
          </cell>
          <cell r="L182">
            <v>6686400</v>
          </cell>
          <cell r="M182">
            <v>22</v>
          </cell>
        </row>
        <row r="183">
          <cell r="C183">
            <v>51643</v>
          </cell>
          <cell r="I183">
            <v>9714685.7410881799</v>
          </cell>
          <cell r="J183">
            <v>458010</v>
          </cell>
          <cell r="K183">
            <v>44000</v>
          </cell>
          <cell r="L183">
            <v>9212700</v>
          </cell>
          <cell r="M183">
            <v>20.4375</v>
          </cell>
        </row>
        <row r="184">
          <cell r="C184">
            <v>50022</v>
          </cell>
          <cell r="E184">
            <v>300000</v>
          </cell>
          <cell r="F184">
            <v>0</v>
          </cell>
          <cell r="I184">
            <v>8160643.1422805032</v>
          </cell>
          <cell r="J184">
            <v>458010</v>
          </cell>
          <cell r="K184">
            <v>44000</v>
          </cell>
          <cell r="L184">
            <v>7658600</v>
          </cell>
          <cell r="M184">
            <v>22.5</v>
          </cell>
        </row>
        <row r="185">
          <cell r="C185">
            <v>50033</v>
          </cell>
          <cell r="E185">
            <v>298323.17073170736</v>
          </cell>
          <cell r="F185">
            <v>0</v>
          </cell>
          <cell r="I185">
            <v>10062216.525652593</v>
          </cell>
          <cell r="J185">
            <v>458010</v>
          </cell>
          <cell r="K185">
            <v>44000</v>
          </cell>
          <cell r="L185">
            <v>9560200</v>
          </cell>
          <cell r="M185">
            <v>23.385416666666668</v>
          </cell>
        </row>
        <row r="186">
          <cell r="C186">
            <v>50039</v>
          </cell>
          <cell r="E186">
            <v>297256.09756097558</v>
          </cell>
          <cell r="F186">
            <v>0</v>
          </cell>
          <cell r="I186">
            <v>8521412.923430128</v>
          </cell>
          <cell r="J186">
            <v>458010</v>
          </cell>
          <cell r="K186">
            <v>44000</v>
          </cell>
          <cell r="L186">
            <v>8019400</v>
          </cell>
          <cell r="M186">
            <v>23.3125</v>
          </cell>
        </row>
        <row r="187">
          <cell r="C187">
            <v>50130</v>
          </cell>
          <cell r="E187">
            <v>297408.53658536589</v>
          </cell>
          <cell r="F187">
            <v>0</v>
          </cell>
          <cell r="I187">
            <v>9725934.2163802348</v>
          </cell>
          <cell r="J187">
            <v>458010</v>
          </cell>
          <cell r="K187">
            <v>44000</v>
          </cell>
          <cell r="L187">
            <v>9223900</v>
          </cell>
          <cell r="M187">
            <v>22.822916666666668</v>
          </cell>
        </row>
        <row r="188">
          <cell r="C188">
            <v>50185</v>
          </cell>
          <cell r="E188">
            <v>296189.02439024387</v>
          </cell>
          <cell r="F188">
            <v>0</v>
          </cell>
          <cell r="H188">
            <v>250000</v>
          </cell>
          <cell r="I188">
            <v>8361178.4525208874</v>
          </cell>
          <cell r="J188">
            <v>458010</v>
          </cell>
          <cell r="K188">
            <v>44000</v>
          </cell>
          <cell r="L188">
            <v>7859200</v>
          </cell>
          <cell r="M188">
            <v>22.239583333333332</v>
          </cell>
        </row>
        <row r="189">
          <cell r="C189">
            <v>50191</v>
          </cell>
          <cell r="E189">
            <v>226829.26829268291</v>
          </cell>
          <cell r="F189">
            <v>0</v>
          </cell>
          <cell r="I189">
            <v>6915405.1777386824</v>
          </cell>
          <cell r="J189">
            <v>458010</v>
          </cell>
          <cell r="K189">
            <v>44000</v>
          </cell>
          <cell r="L189">
            <v>6413400</v>
          </cell>
          <cell r="M189">
            <v>17.5</v>
          </cell>
        </row>
        <row r="190">
          <cell r="C190">
            <v>50319</v>
          </cell>
          <cell r="E190">
            <v>298170.73170731706</v>
          </cell>
          <cell r="F190">
            <v>0</v>
          </cell>
          <cell r="I190">
            <v>8685910.5641349573</v>
          </cell>
          <cell r="J190">
            <v>458010</v>
          </cell>
          <cell r="K190">
            <v>44000</v>
          </cell>
          <cell r="L190">
            <v>8183900</v>
          </cell>
          <cell r="M190">
            <v>22.375</v>
          </cell>
        </row>
        <row r="191">
          <cell r="C191">
            <v>50338</v>
          </cell>
          <cell r="E191">
            <v>289939.02439024393</v>
          </cell>
          <cell r="F191">
            <v>0</v>
          </cell>
          <cell r="I191">
            <v>8088645.0712045599</v>
          </cell>
          <cell r="J191">
            <v>458010</v>
          </cell>
          <cell r="K191">
            <v>44000</v>
          </cell>
          <cell r="L191">
            <v>7586600</v>
          </cell>
          <cell r="M191">
            <v>21.8125</v>
          </cell>
        </row>
        <row r="192">
          <cell r="C192">
            <v>50386</v>
          </cell>
          <cell r="E192">
            <v>270731.70731707319</v>
          </cell>
          <cell r="F192">
            <v>0</v>
          </cell>
          <cell r="I192">
            <v>8187066.8599542603</v>
          </cell>
          <cell r="J192">
            <v>458010</v>
          </cell>
          <cell r="K192">
            <v>44000</v>
          </cell>
          <cell r="L192">
            <v>7685100</v>
          </cell>
          <cell r="M192">
            <v>20.5</v>
          </cell>
        </row>
        <row r="193">
          <cell r="C193">
            <v>50389</v>
          </cell>
          <cell r="E193">
            <v>293140.24390243902</v>
          </cell>
          <cell r="F193">
            <v>0</v>
          </cell>
          <cell r="I193">
            <v>9783159.1051368248</v>
          </cell>
          <cell r="J193">
            <v>458010</v>
          </cell>
          <cell r="K193">
            <v>44000</v>
          </cell>
          <cell r="L193">
            <v>9281100</v>
          </cell>
          <cell r="M193">
            <v>22.03125</v>
          </cell>
        </row>
        <row r="194">
          <cell r="C194">
            <v>50423</v>
          </cell>
          <cell r="E194">
            <v>236128.04878048782</v>
          </cell>
          <cell r="F194">
            <v>0</v>
          </cell>
          <cell r="I194">
            <v>7422399.4830168122</v>
          </cell>
          <cell r="J194">
            <v>458010</v>
          </cell>
          <cell r="K194">
            <v>44000</v>
          </cell>
          <cell r="L194">
            <v>6920400</v>
          </cell>
          <cell r="M194">
            <v>18.135416666666668</v>
          </cell>
        </row>
        <row r="195">
          <cell r="C195">
            <v>50518</v>
          </cell>
          <cell r="E195">
            <v>292682.92682926828</v>
          </cell>
          <cell r="F195">
            <v>0</v>
          </cell>
          <cell r="I195">
            <v>9531056.4226747211</v>
          </cell>
          <cell r="J195">
            <v>458010</v>
          </cell>
          <cell r="K195">
            <v>44000</v>
          </cell>
          <cell r="L195">
            <v>9029000</v>
          </cell>
          <cell r="M195">
            <v>22</v>
          </cell>
        </row>
        <row r="196">
          <cell r="C196">
            <v>50610</v>
          </cell>
          <cell r="E196">
            <v>288109.75609756098</v>
          </cell>
          <cell r="F196">
            <v>0</v>
          </cell>
          <cell r="I196">
            <v>7644054.0677281879</v>
          </cell>
          <cell r="J196">
            <v>458010</v>
          </cell>
          <cell r="K196">
            <v>44000</v>
          </cell>
          <cell r="L196">
            <v>7142000</v>
          </cell>
          <cell r="M196">
            <v>22.6875</v>
          </cell>
        </row>
        <row r="197">
          <cell r="C197">
            <v>50689</v>
          </cell>
          <cell r="E197">
            <v>270121.95121951215</v>
          </cell>
          <cell r="F197">
            <v>0</v>
          </cell>
          <cell r="I197">
            <v>8078687.5501075275</v>
          </cell>
          <cell r="J197">
            <v>458010</v>
          </cell>
          <cell r="K197">
            <v>44000</v>
          </cell>
          <cell r="L197">
            <v>7576700</v>
          </cell>
          <cell r="M197">
            <v>19.958333333333332</v>
          </cell>
        </row>
        <row r="198">
          <cell r="C198">
            <v>50719</v>
          </cell>
          <cell r="E198">
            <v>300000</v>
          </cell>
          <cell r="F198">
            <v>0</v>
          </cell>
          <cell r="I198">
            <v>8761551.7249460593</v>
          </cell>
          <cell r="J198">
            <v>458010</v>
          </cell>
          <cell r="K198">
            <v>44000</v>
          </cell>
          <cell r="L198">
            <v>8259500</v>
          </cell>
          <cell r="M198">
            <v>22.5</v>
          </cell>
        </row>
        <row r="199">
          <cell r="C199">
            <v>50840</v>
          </cell>
          <cell r="E199">
            <v>288719.51219512196</v>
          </cell>
          <cell r="F199">
            <v>0</v>
          </cell>
          <cell r="I199">
            <v>8572196.7916601282</v>
          </cell>
          <cell r="J199">
            <v>458010</v>
          </cell>
          <cell r="K199">
            <v>44000</v>
          </cell>
          <cell r="L199">
            <v>8070200</v>
          </cell>
          <cell r="M199">
            <v>20.729166666666668</v>
          </cell>
        </row>
        <row r="200">
          <cell r="C200">
            <v>50884</v>
          </cell>
          <cell r="E200">
            <v>300000</v>
          </cell>
          <cell r="F200">
            <v>0</v>
          </cell>
          <cell r="I200">
            <v>8853155.2595563307</v>
          </cell>
          <cell r="J200">
            <v>458010</v>
          </cell>
          <cell r="K200">
            <v>44000</v>
          </cell>
          <cell r="L200">
            <v>8351100</v>
          </cell>
          <cell r="M200">
            <v>22.5</v>
          </cell>
        </row>
        <row r="201">
          <cell r="C201">
            <v>51377</v>
          </cell>
          <cell r="E201">
            <v>168292.68292682926</v>
          </cell>
          <cell r="F201">
            <v>0</v>
          </cell>
          <cell r="I201">
            <v>4295076.2383114444</v>
          </cell>
          <cell r="J201">
            <v>458010</v>
          </cell>
          <cell r="K201">
            <v>44000</v>
          </cell>
          <cell r="L201">
            <v>3793100</v>
          </cell>
          <cell r="M201">
            <v>11.5</v>
          </cell>
        </row>
        <row r="202">
          <cell r="C202">
            <v>51510</v>
          </cell>
          <cell r="E202">
            <v>285365.85365853657</v>
          </cell>
          <cell r="F202">
            <v>0</v>
          </cell>
          <cell r="I202">
            <v>7886786.1898750179</v>
          </cell>
          <cell r="J202">
            <v>458010</v>
          </cell>
          <cell r="K202">
            <v>44000</v>
          </cell>
          <cell r="L202">
            <v>7384800</v>
          </cell>
          <cell r="M202">
            <v>22.5</v>
          </cell>
        </row>
        <row r="203">
          <cell r="C203">
            <v>51771</v>
          </cell>
          <cell r="E203">
            <v>300000</v>
          </cell>
          <cell r="F203">
            <v>0</v>
          </cell>
          <cell r="I203">
            <v>9966706.6751023065</v>
          </cell>
          <cell r="J203">
            <v>458010</v>
          </cell>
          <cell r="K203">
            <v>44000</v>
          </cell>
          <cell r="L203">
            <v>9464700</v>
          </cell>
          <cell r="M203">
            <v>23.5</v>
          </cell>
        </row>
        <row r="204">
          <cell r="C204">
            <v>51871</v>
          </cell>
          <cell r="E204">
            <v>300000</v>
          </cell>
          <cell r="F204">
            <v>0</v>
          </cell>
          <cell r="I204">
            <v>8441646.6486098021</v>
          </cell>
          <cell r="J204">
            <v>458010</v>
          </cell>
          <cell r="K204">
            <v>44000</v>
          </cell>
          <cell r="L204">
            <v>7939600</v>
          </cell>
          <cell r="M204">
            <v>22</v>
          </cell>
        </row>
        <row r="205">
          <cell r="C205">
            <v>51875</v>
          </cell>
          <cell r="E205">
            <v>211128.04878048782</v>
          </cell>
          <cell r="F205">
            <v>0</v>
          </cell>
          <cell r="I205">
            <v>8408530.8532029074</v>
          </cell>
          <cell r="J205">
            <v>458010</v>
          </cell>
          <cell r="K205">
            <v>44000</v>
          </cell>
          <cell r="L205">
            <v>7906500</v>
          </cell>
          <cell r="M205">
            <v>15.427083333333334</v>
          </cell>
        </row>
        <row r="206">
          <cell r="C206">
            <v>51943</v>
          </cell>
          <cell r="E206">
            <v>269908.53658536589</v>
          </cell>
          <cell r="F206">
            <v>0</v>
          </cell>
          <cell r="I206">
            <v>8339060.9103249758</v>
          </cell>
          <cell r="J206">
            <v>458010</v>
          </cell>
          <cell r="K206">
            <v>44000</v>
          </cell>
          <cell r="L206">
            <v>7837100</v>
          </cell>
          <cell r="M206">
            <v>19.443750000000001</v>
          </cell>
        </row>
        <row r="207">
          <cell r="C207">
            <v>51995</v>
          </cell>
          <cell r="E207">
            <v>300000</v>
          </cell>
          <cell r="F207">
            <v>0</v>
          </cell>
          <cell r="I207">
            <v>7900351.4731103741</v>
          </cell>
          <cell r="J207">
            <v>458010</v>
          </cell>
          <cell r="K207">
            <v>44000</v>
          </cell>
          <cell r="L207">
            <v>7398300</v>
          </cell>
          <cell r="M207">
            <v>22.5</v>
          </cell>
        </row>
        <row r="208">
          <cell r="C208">
            <v>51869</v>
          </cell>
          <cell r="E208">
            <v>187195.12195121951</v>
          </cell>
          <cell r="F208">
            <v>0</v>
          </cell>
          <cell r="I208">
            <v>4620305.6280814186</v>
          </cell>
          <cell r="J208">
            <v>458010</v>
          </cell>
          <cell r="K208">
            <v>44000</v>
          </cell>
          <cell r="L208">
            <v>4118300</v>
          </cell>
          <cell r="M208">
            <v>12.791666666666666</v>
          </cell>
        </row>
        <row r="209">
          <cell r="C209">
            <v>50001</v>
          </cell>
          <cell r="I209">
            <v>15043000</v>
          </cell>
          <cell r="J209">
            <v>648060</v>
          </cell>
          <cell r="K209">
            <v>62000</v>
          </cell>
          <cell r="L209">
            <v>14332900</v>
          </cell>
          <cell r="M209">
            <v>22.5</v>
          </cell>
        </row>
        <row r="210">
          <cell r="C210">
            <v>80137</v>
          </cell>
          <cell r="I210">
            <v>14702750</v>
          </cell>
          <cell r="J210">
            <v>505155</v>
          </cell>
          <cell r="K210">
            <v>48000</v>
          </cell>
          <cell r="L210">
            <v>14149600</v>
          </cell>
          <cell r="M210">
            <v>22.5</v>
          </cell>
        </row>
        <row r="211">
          <cell r="C211">
            <v>50254</v>
          </cell>
          <cell r="I211">
            <v>9678572.2326454017</v>
          </cell>
          <cell r="J211">
            <v>530460</v>
          </cell>
          <cell r="K211">
            <v>51000</v>
          </cell>
          <cell r="L211">
            <v>9097100</v>
          </cell>
          <cell r="M211">
            <v>15</v>
          </cell>
        </row>
        <row r="212">
          <cell r="C212">
            <v>50286</v>
          </cell>
          <cell r="I212">
            <v>12157307.692307692</v>
          </cell>
          <cell r="J212">
            <v>530460</v>
          </cell>
          <cell r="K212">
            <v>51000</v>
          </cell>
          <cell r="L212">
            <v>11575800</v>
          </cell>
          <cell r="M212">
            <v>20.5</v>
          </cell>
        </row>
        <row r="213">
          <cell r="C213">
            <v>50587</v>
          </cell>
          <cell r="I213">
            <v>13363000</v>
          </cell>
          <cell r="J213">
            <v>530460</v>
          </cell>
          <cell r="K213">
            <v>51000</v>
          </cell>
          <cell r="L213">
            <v>12781500</v>
          </cell>
          <cell r="M213">
            <v>22.5</v>
          </cell>
        </row>
        <row r="214">
          <cell r="C214">
            <v>82238</v>
          </cell>
          <cell r="I214">
            <v>13970906.566604128</v>
          </cell>
          <cell r="J214">
            <v>458556</v>
          </cell>
          <cell r="K214">
            <v>44000</v>
          </cell>
          <cell r="L214">
            <v>13468400</v>
          </cell>
          <cell r="M214">
            <v>20</v>
          </cell>
        </row>
        <row r="215">
          <cell r="C215">
            <v>80665</v>
          </cell>
          <cell r="I215">
            <v>12952750</v>
          </cell>
          <cell r="J215">
            <v>505155</v>
          </cell>
          <cell r="K215">
            <v>48000</v>
          </cell>
          <cell r="L215">
            <v>12399600</v>
          </cell>
          <cell r="M215">
            <v>22.5</v>
          </cell>
        </row>
        <row r="216">
          <cell r="C216">
            <v>82450</v>
          </cell>
          <cell r="I216">
            <v>12545250</v>
          </cell>
          <cell r="J216">
            <v>481005</v>
          </cell>
          <cell r="K216">
            <v>46000</v>
          </cell>
          <cell r="L216">
            <v>12018200</v>
          </cell>
          <cell r="M216">
            <v>22</v>
          </cell>
        </row>
        <row r="217">
          <cell r="C217">
            <v>80089</v>
          </cell>
          <cell r="I217">
            <v>12952750</v>
          </cell>
          <cell r="J217">
            <v>505155</v>
          </cell>
          <cell r="K217">
            <v>48000</v>
          </cell>
          <cell r="L217">
            <v>12399600</v>
          </cell>
          <cell r="M217">
            <v>22.5</v>
          </cell>
        </row>
        <row r="218">
          <cell r="C218">
            <v>51868</v>
          </cell>
          <cell r="I218">
            <v>12956250</v>
          </cell>
          <cell r="J218">
            <v>506625</v>
          </cell>
          <cell r="K218">
            <v>48000</v>
          </cell>
          <cell r="L218">
            <v>12401600</v>
          </cell>
          <cell r="M218">
            <v>22.5</v>
          </cell>
        </row>
        <row r="219">
          <cell r="C219">
            <v>50041</v>
          </cell>
          <cell r="I219">
            <v>8174066.3392072571</v>
          </cell>
          <cell r="J219">
            <v>458010</v>
          </cell>
          <cell r="K219">
            <v>44000</v>
          </cell>
          <cell r="L219">
            <v>7672100</v>
          </cell>
          <cell r="M219">
            <v>22.125</v>
          </cell>
        </row>
        <row r="220">
          <cell r="C220">
            <v>50842</v>
          </cell>
          <cell r="I220">
            <v>7878379.7158618132</v>
          </cell>
          <cell r="J220">
            <v>458010</v>
          </cell>
          <cell r="K220">
            <v>44000</v>
          </cell>
          <cell r="L220">
            <v>7376400</v>
          </cell>
          <cell r="M220">
            <v>20.729166666666668</v>
          </cell>
        </row>
        <row r="221">
          <cell r="C221">
            <v>50868</v>
          </cell>
          <cell r="I221">
            <v>8264008.2602726799</v>
          </cell>
          <cell r="J221">
            <v>458010</v>
          </cell>
          <cell r="K221">
            <v>44000</v>
          </cell>
          <cell r="L221">
            <v>7762000</v>
          </cell>
          <cell r="M221">
            <v>20.5</v>
          </cell>
        </row>
        <row r="222">
          <cell r="C222">
            <v>51491</v>
          </cell>
          <cell r="I222">
            <v>7574620.3833332937</v>
          </cell>
          <cell r="J222">
            <v>458010</v>
          </cell>
          <cell r="K222">
            <v>44000</v>
          </cell>
          <cell r="L222">
            <v>7072600</v>
          </cell>
          <cell r="M222">
            <v>21.308333333333334</v>
          </cell>
        </row>
        <row r="223">
          <cell r="C223">
            <v>51759</v>
          </cell>
          <cell r="I223">
            <v>9008682.5006164182</v>
          </cell>
          <cell r="J223">
            <v>458010</v>
          </cell>
          <cell r="K223">
            <v>44000</v>
          </cell>
          <cell r="L223">
            <v>8506700</v>
          </cell>
          <cell r="M223">
            <v>22</v>
          </cell>
        </row>
        <row r="224">
          <cell r="C224">
            <v>50137</v>
          </cell>
          <cell r="D224">
            <v>0</v>
          </cell>
          <cell r="E224">
            <v>300000</v>
          </cell>
          <cell r="F224">
            <v>270000</v>
          </cell>
          <cell r="G224">
            <v>0</v>
          </cell>
          <cell r="H224">
            <v>0</v>
          </cell>
          <cell r="I224">
            <v>7568219.0583488364</v>
          </cell>
          <cell r="J224">
            <v>458010</v>
          </cell>
          <cell r="K224">
            <v>44000</v>
          </cell>
          <cell r="L224">
            <v>7066200</v>
          </cell>
          <cell r="M224">
            <v>21.5</v>
          </cell>
        </row>
        <row r="225">
          <cell r="C225">
            <v>50343</v>
          </cell>
          <cell r="D225">
            <v>0</v>
          </cell>
          <cell r="E225">
            <v>300000</v>
          </cell>
          <cell r="F225">
            <v>270000</v>
          </cell>
          <cell r="G225">
            <v>0</v>
          </cell>
          <cell r="H225">
            <v>0</v>
          </cell>
          <cell r="I225">
            <v>8826061.7530272752</v>
          </cell>
          <cell r="J225">
            <v>458010</v>
          </cell>
          <cell r="K225">
            <v>44000</v>
          </cell>
          <cell r="L225">
            <v>8324100</v>
          </cell>
          <cell r="M225">
            <v>21.5</v>
          </cell>
        </row>
        <row r="226">
          <cell r="C226">
            <v>51252</v>
          </cell>
          <cell r="E226">
            <v>300000</v>
          </cell>
          <cell r="F226">
            <v>270000</v>
          </cell>
          <cell r="G226">
            <v>0</v>
          </cell>
          <cell r="H226">
            <v>0</v>
          </cell>
          <cell r="I226">
            <v>6937209.1870591659</v>
          </cell>
          <cell r="J226">
            <v>458010</v>
          </cell>
          <cell r="K226">
            <v>44000</v>
          </cell>
          <cell r="L226">
            <v>6435200</v>
          </cell>
          <cell r="M226">
            <v>21.5</v>
          </cell>
        </row>
        <row r="227">
          <cell r="C227">
            <v>52020</v>
          </cell>
          <cell r="E227">
            <v>300000</v>
          </cell>
          <cell r="F227">
            <v>270000</v>
          </cell>
          <cell r="G227">
            <v>0</v>
          </cell>
          <cell r="H227">
            <v>0</v>
          </cell>
          <cell r="I227">
            <v>6550646.3776385458</v>
          </cell>
          <cell r="J227">
            <v>458010</v>
          </cell>
          <cell r="K227">
            <v>44000</v>
          </cell>
          <cell r="L227">
            <v>6048600</v>
          </cell>
          <cell r="M227">
            <v>20.5</v>
          </cell>
        </row>
        <row r="228">
          <cell r="C228">
            <v>50524</v>
          </cell>
          <cell r="I228">
            <v>6768562.269230769</v>
          </cell>
          <cell r="J228">
            <v>433650</v>
          </cell>
          <cell r="K228">
            <v>41000</v>
          </cell>
          <cell r="L228">
            <v>6293900</v>
          </cell>
          <cell r="M228">
            <v>21.5</v>
          </cell>
        </row>
        <row r="229">
          <cell r="C229">
            <v>51479</v>
          </cell>
          <cell r="I229">
            <v>6331513.9074421506</v>
          </cell>
          <cell r="J229">
            <v>433650</v>
          </cell>
          <cell r="K229">
            <v>41000</v>
          </cell>
          <cell r="L229">
            <v>5856900</v>
          </cell>
          <cell r="M229">
            <v>19.5</v>
          </cell>
        </row>
        <row r="230">
          <cell r="C230">
            <v>51495</v>
          </cell>
          <cell r="I230">
            <v>6416568.8383364603</v>
          </cell>
          <cell r="J230">
            <v>433650</v>
          </cell>
          <cell r="K230">
            <v>41000</v>
          </cell>
          <cell r="L230">
            <v>5941900</v>
          </cell>
          <cell r="M230">
            <v>20.5</v>
          </cell>
        </row>
        <row r="231">
          <cell r="C231">
            <v>50813</v>
          </cell>
          <cell r="I231">
            <v>6961231</v>
          </cell>
          <cell r="J231">
            <v>433650</v>
          </cell>
          <cell r="K231">
            <v>41000</v>
          </cell>
          <cell r="L231">
            <v>6486600</v>
          </cell>
          <cell r="M231">
            <v>21</v>
          </cell>
        </row>
        <row r="232">
          <cell r="C232">
            <v>50023</v>
          </cell>
          <cell r="D232">
            <v>0</v>
          </cell>
          <cell r="E232">
            <v>300000</v>
          </cell>
          <cell r="F232">
            <v>150000</v>
          </cell>
          <cell r="G232">
            <v>0</v>
          </cell>
          <cell r="H232">
            <v>0</v>
          </cell>
          <cell r="I232">
            <v>9649004.6669259593</v>
          </cell>
          <cell r="J232">
            <v>458010</v>
          </cell>
          <cell r="K232">
            <v>44000</v>
          </cell>
          <cell r="L232">
            <v>9147000</v>
          </cell>
          <cell r="M232">
            <v>22</v>
          </cell>
        </row>
        <row r="233">
          <cell r="C233">
            <v>50226</v>
          </cell>
          <cell r="D233">
            <v>0</v>
          </cell>
          <cell r="E233">
            <v>298628.04878048779</v>
          </cell>
          <cell r="F233">
            <v>180000</v>
          </cell>
          <cell r="G233">
            <v>0</v>
          </cell>
          <cell r="H233">
            <v>0</v>
          </cell>
          <cell r="I233">
            <v>8549321.1485343184</v>
          </cell>
          <cell r="J233">
            <v>458010</v>
          </cell>
          <cell r="K233">
            <v>44000</v>
          </cell>
          <cell r="L233">
            <v>8047300</v>
          </cell>
          <cell r="M233">
            <v>21.40625</v>
          </cell>
        </row>
        <row r="234">
          <cell r="C234">
            <v>50268</v>
          </cell>
          <cell r="D234">
            <v>0</v>
          </cell>
          <cell r="E234">
            <v>300000</v>
          </cell>
          <cell r="F234">
            <v>120000</v>
          </cell>
          <cell r="G234">
            <v>0</v>
          </cell>
          <cell r="H234">
            <v>0</v>
          </cell>
          <cell r="I234">
            <v>9400643.8261897117</v>
          </cell>
          <cell r="J234">
            <v>458010</v>
          </cell>
          <cell r="K234">
            <v>44000</v>
          </cell>
          <cell r="L234">
            <v>8898600</v>
          </cell>
          <cell r="M234">
            <v>21.5</v>
          </cell>
        </row>
        <row r="235">
          <cell r="C235">
            <v>50741</v>
          </cell>
          <cell r="D235">
            <v>0</v>
          </cell>
          <cell r="E235">
            <v>294817.07317073166</v>
          </cell>
          <cell r="F235">
            <v>300000</v>
          </cell>
          <cell r="G235">
            <v>0</v>
          </cell>
          <cell r="H235">
            <v>0</v>
          </cell>
          <cell r="I235">
            <v>9378002.853855757</v>
          </cell>
          <cell r="J235">
            <v>458010</v>
          </cell>
          <cell r="K235">
            <v>44000</v>
          </cell>
          <cell r="L235">
            <v>8876000</v>
          </cell>
          <cell r="M235">
            <v>21.145833333333332</v>
          </cell>
        </row>
        <row r="236">
          <cell r="C236">
            <v>50760</v>
          </cell>
          <cell r="D236">
            <v>0</v>
          </cell>
          <cell r="E236">
            <v>300000</v>
          </cell>
          <cell r="F236">
            <v>270000</v>
          </cell>
          <cell r="G236">
            <v>200000</v>
          </cell>
          <cell r="H236">
            <v>0</v>
          </cell>
          <cell r="I236">
            <v>9018043.4996860214</v>
          </cell>
          <cell r="J236">
            <v>458010</v>
          </cell>
          <cell r="K236">
            <v>44000</v>
          </cell>
          <cell r="L236">
            <v>8516000</v>
          </cell>
          <cell r="M236">
            <v>22.5</v>
          </cell>
        </row>
        <row r="237">
          <cell r="C237">
            <v>50808</v>
          </cell>
          <cell r="D237">
            <v>0</v>
          </cell>
          <cell r="E237">
            <v>297865.85365853662</v>
          </cell>
          <cell r="F237">
            <v>270000</v>
          </cell>
          <cell r="G237">
            <v>200000</v>
          </cell>
          <cell r="H237">
            <v>250000</v>
          </cell>
          <cell r="I237">
            <v>9912077.9372561462</v>
          </cell>
          <cell r="J237">
            <v>458010</v>
          </cell>
          <cell r="K237">
            <v>44000</v>
          </cell>
          <cell r="L237">
            <v>9410100</v>
          </cell>
          <cell r="M237">
            <v>22.354166666666668</v>
          </cell>
        </row>
        <row r="238">
          <cell r="C238">
            <v>50866</v>
          </cell>
          <cell r="D238">
            <v>0</v>
          </cell>
          <cell r="E238">
            <v>285365.85365853657</v>
          </cell>
          <cell r="F238">
            <v>200000</v>
          </cell>
          <cell r="G238">
            <v>0</v>
          </cell>
          <cell r="H238">
            <v>0</v>
          </cell>
          <cell r="I238">
            <v>10954258.113035304</v>
          </cell>
          <cell r="J238">
            <v>506625</v>
          </cell>
          <cell r="K238">
            <v>44000</v>
          </cell>
          <cell r="L238">
            <v>10403600</v>
          </cell>
          <cell r="M238">
            <v>20.5</v>
          </cell>
        </row>
        <row r="239">
          <cell r="C239">
            <v>50921</v>
          </cell>
          <cell r="D239">
            <v>0</v>
          </cell>
          <cell r="E239">
            <v>297865.85365853662</v>
          </cell>
          <cell r="F239">
            <v>0</v>
          </cell>
          <cell r="G239">
            <v>0</v>
          </cell>
          <cell r="H239">
            <v>0</v>
          </cell>
          <cell r="I239">
            <v>8569678.5078842938</v>
          </cell>
          <cell r="J239">
            <v>458010</v>
          </cell>
          <cell r="K239">
            <v>44000</v>
          </cell>
          <cell r="L239">
            <v>8067700</v>
          </cell>
          <cell r="M239">
            <v>21.354166666666668</v>
          </cell>
        </row>
        <row r="240">
          <cell r="C240">
            <v>51049</v>
          </cell>
          <cell r="D240">
            <v>0</v>
          </cell>
          <cell r="E240">
            <v>296707.31707317074</v>
          </cell>
          <cell r="F240">
            <v>0</v>
          </cell>
          <cell r="G240">
            <v>0</v>
          </cell>
          <cell r="H240">
            <v>0</v>
          </cell>
          <cell r="I240">
            <v>8958215.3278859966</v>
          </cell>
          <cell r="J240">
            <v>458010</v>
          </cell>
          <cell r="K240">
            <v>44000</v>
          </cell>
          <cell r="L240">
            <v>8456200</v>
          </cell>
          <cell r="M240">
            <v>21.274999999999999</v>
          </cell>
        </row>
        <row r="241">
          <cell r="C241">
            <v>51474</v>
          </cell>
          <cell r="E241">
            <v>300000</v>
          </cell>
          <cell r="F241">
            <v>90000</v>
          </cell>
          <cell r="G241">
            <v>0</v>
          </cell>
          <cell r="H241">
            <v>0</v>
          </cell>
          <cell r="I241">
            <v>6741908.6895026201</v>
          </cell>
          <cell r="J241">
            <v>458010</v>
          </cell>
          <cell r="K241">
            <v>44000</v>
          </cell>
          <cell r="L241">
            <v>6239900</v>
          </cell>
          <cell r="M241">
            <v>21.5</v>
          </cell>
        </row>
        <row r="242">
          <cell r="C242">
            <v>51580</v>
          </cell>
          <cell r="D242">
            <v>0</v>
          </cell>
          <cell r="E242">
            <v>300000</v>
          </cell>
          <cell r="F242">
            <v>1270000</v>
          </cell>
          <cell r="G242">
            <v>200000</v>
          </cell>
          <cell r="H242">
            <v>0</v>
          </cell>
          <cell r="I242">
            <v>11500608.517326301</v>
          </cell>
          <cell r="J242">
            <v>458010</v>
          </cell>
          <cell r="K242">
            <v>44000</v>
          </cell>
          <cell r="L242">
            <v>10998600</v>
          </cell>
          <cell r="M242">
            <v>22.5</v>
          </cell>
        </row>
        <row r="243">
          <cell r="C243">
            <v>51811</v>
          </cell>
          <cell r="D243">
            <v>0</v>
          </cell>
          <cell r="E243">
            <v>287835.36585365853</v>
          </cell>
          <cell r="F243">
            <v>240000</v>
          </cell>
          <cell r="G243">
            <v>0</v>
          </cell>
          <cell r="H243">
            <v>0</v>
          </cell>
          <cell r="I243">
            <v>7832226.8053753981</v>
          </cell>
          <cell r="K243">
            <v>0</v>
          </cell>
          <cell r="L243">
            <v>7832200</v>
          </cell>
          <cell r="M243">
            <v>20.668749999999999</v>
          </cell>
        </row>
        <row r="244">
          <cell r="C244">
            <v>51972</v>
          </cell>
          <cell r="D244">
            <v>0</v>
          </cell>
          <cell r="E244">
            <v>296189.02439024387</v>
          </cell>
          <cell r="F244">
            <v>270000</v>
          </cell>
          <cell r="G244">
            <v>0</v>
          </cell>
          <cell r="H244">
            <v>0</v>
          </cell>
          <cell r="I244">
            <v>9048684.0849376004</v>
          </cell>
          <cell r="J244">
            <v>458010</v>
          </cell>
          <cell r="K244">
            <v>44000</v>
          </cell>
          <cell r="L244">
            <v>8546700</v>
          </cell>
          <cell r="M244">
            <v>21.739583333333332</v>
          </cell>
        </row>
        <row r="245">
          <cell r="C245">
            <v>50071</v>
          </cell>
          <cell r="D245">
            <v>0</v>
          </cell>
          <cell r="E245">
            <v>298536.58536585362</v>
          </cell>
          <cell r="F245">
            <v>0</v>
          </cell>
          <cell r="I245">
            <v>10907487.421658324</v>
          </cell>
          <cell r="J245">
            <v>458010</v>
          </cell>
          <cell r="K245">
            <v>44000</v>
          </cell>
          <cell r="L245">
            <v>10405500</v>
          </cell>
          <cell r="M245">
            <v>21.9</v>
          </cell>
        </row>
        <row r="246">
          <cell r="C246">
            <v>50147</v>
          </cell>
          <cell r="D246">
            <v>0</v>
          </cell>
          <cell r="E246">
            <v>300000</v>
          </cell>
          <cell r="F246">
            <v>0</v>
          </cell>
          <cell r="I246">
            <v>8826999.9762145393</v>
          </cell>
          <cell r="J246">
            <v>458010</v>
          </cell>
          <cell r="K246">
            <v>44000</v>
          </cell>
          <cell r="L246">
            <v>8325000</v>
          </cell>
          <cell r="M246">
            <v>22</v>
          </cell>
        </row>
        <row r="247">
          <cell r="C247">
            <v>50366</v>
          </cell>
          <cell r="D247">
            <v>0</v>
          </cell>
          <cell r="E247">
            <v>270731.70731707319</v>
          </cell>
          <cell r="F247">
            <v>0</v>
          </cell>
          <cell r="I247">
            <v>7197152.2472886126</v>
          </cell>
          <cell r="J247">
            <v>458010</v>
          </cell>
          <cell r="K247">
            <v>44000</v>
          </cell>
          <cell r="L247">
            <v>6695100</v>
          </cell>
          <cell r="M247">
            <v>20</v>
          </cell>
        </row>
        <row r="248">
          <cell r="C248">
            <v>50377</v>
          </cell>
          <cell r="D248">
            <v>0</v>
          </cell>
          <cell r="E248">
            <v>277134.14634146343</v>
          </cell>
          <cell r="F248">
            <v>0</v>
          </cell>
          <cell r="I248">
            <v>10527274.11494513</v>
          </cell>
          <cell r="J248">
            <v>458010</v>
          </cell>
          <cell r="K248">
            <v>44000</v>
          </cell>
          <cell r="L248">
            <v>10025300</v>
          </cell>
          <cell r="M248">
            <v>20.4375</v>
          </cell>
        </row>
        <row r="249">
          <cell r="C249">
            <v>50380</v>
          </cell>
          <cell r="D249">
            <v>0</v>
          </cell>
          <cell r="E249">
            <v>300000</v>
          </cell>
          <cell r="F249">
            <v>0</v>
          </cell>
          <cell r="I249">
            <v>10743757.442851491</v>
          </cell>
          <cell r="J249">
            <v>458010</v>
          </cell>
          <cell r="K249">
            <v>44000</v>
          </cell>
          <cell r="L249">
            <v>10241700</v>
          </cell>
          <cell r="M249">
            <v>22</v>
          </cell>
        </row>
        <row r="250">
          <cell r="C250">
            <v>50978</v>
          </cell>
          <cell r="D250">
            <v>0</v>
          </cell>
          <cell r="E250">
            <v>298170.73170731706</v>
          </cell>
          <cell r="F250">
            <v>0</v>
          </cell>
          <cell r="I250">
            <v>8784664.9044021387</v>
          </cell>
          <cell r="J250">
            <v>458010</v>
          </cell>
          <cell r="K250">
            <v>44000</v>
          </cell>
          <cell r="L250">
            <v>8282700</v>
          </cell>
          <cell r="M250">
            <v>21.875</v>
          </cell>
        </row>
        <row r="251">
          <cell r="C251">
            <v>51076</v>
          </cell>
          <cell r="D251">
            <v>0</v>
          </cell>
          <cell r="E251">
            <v>300000</v>
          </cell>
          <cell r="F251">
            <v>0</v>
          </cell>
          <cell r="I251">
            <v>8598652.0858085416</v>
          </cell>
          <cell r="J251">
            <v>458010</v>
          </cell>
          <cell r="K251">
            <v>44000</v>
          </cell>
          <cell r="L251">
            <v>8096600</v>
          </cell>
          <cell r="M251">
            <v>22</v>
          </cell>
        </row>
        <row r="252">
          <cell r="C252">
            <v>51085</v>
          </cell>
          <cell r="D252">
            <v>0</v>
          </cell>
          <cell r="E252">
            <v>292682.92682926828</v>
          </cell>
          <cell r="F252">
            <v>0</v>
          </cell>
          <cell r="I252">
            <v>8958842.9514595363</v>
          </cell>
          <cell r="J252">
            <v>458010</v>
          </cell>
          <cell r="K252">
            <v>44000</v>
          </cell>
          <cell r="L252">
            <v>8456800</v>
          </cell>
          <cell r="M252">
            <v>21.5</v>
          </cell>
        </row>
        <row r="253">
          <cell r="C253">
            <v>51104</v>
          </cell>
          <cell r="D253">
            <v>0</v>
          </cell>
          <cell r="E253">
            <v>226829.26829268291</v>
          </cell>
          <cell r="F253">
            <v>0</v>
          </cell>
          <cell r="I253">
            <v>8494316.3055311143</v>
          </cell>
          <cell r="J253">
            <v>458010</v>
          </cell>
          <cell r="K253">
            <v>44000</v>
          </cell>
          <cell r="L253">
            <v>7992300</v>
          </cell>
          <cell r="M253">
            <v>16.5</v>
          </cell>
        </row>
        <row r="254">
          <cell r="C254">
            <v>51203</v>
          </cell>
          <cell r="D254">
            <v>0</v>
          </cell>
          <cell r="E254">
            <v>246036.58536585365</v>
          </cell>
          <cell r="F254">
            <v>0</v>
          </cell>
          <cell r="I254">
            <v>6455295.9374566777</v>
          </cell>
          <cell r="J254">
            <v>458010</v>
          </cell>
          <cell r="K254">
            <v>44000</v>
          </cell>
          <cell r="L254">
            <v>5953300</v>
          </cell>
          <cell r="M254">
            <v>17.3125</v>
          </cell>
        </row>
        <row r="255">
          <cell r="C255">
            <v>51569</v>
          </cell>
          <cell r="D255">
            <v>117990.60834112775</v>
          </cell>
          <cell r="E255">
            <v>299085.36585365853</v>
          </cell>
          <cell r="F255">
            <v>0</v>
          </cell>
          <cell r="I255">
            <v>6909805.4710168922</v>
          </cell>
          <cell r="J255">
            <v>458010</v>
          </cell>
          <cell r="K255">
            <v>44000</v>
          </cell>
          <cell r="L255">
            <v>6407800</v>
          </cell>
          <cell r="M255">
            <v>21.9375</v>
          </cell>
        </row>
        <row r="256">
          <cell r="C256">
            <v>51601</v>
          </cell>
          <cell r="D256">
            <v>0</v>
          </cell>
          <cell r="E256">
            <v>291493.90243902436</v>
          </cell>
          <cell r="F256">
            <v>0</v>
          </cell>
          <cell r="I256">
            <v>9136422.5910551734</v>
          </cell>
          <cell r="J256">
            <v>458010</v>
          </cell>
          <cell r="K256">
            <v>44000</v>
          </cell>
          <cell r="L256">
            <v>8634400</v>
          </cell>
          <cell r="M256">
            <v>21.418749999999999</v>
          </cell>
        </row>
        <row r="257">
          <cell r="C257">
            <v>51710</v>
          </cell>
          <cell r="D257">
            <v>0</v>
          </cell>
          <cell r="E257">
            <v>285365.85365853657</v>
          </cell>
          <cell r="F257">
            <v>0</v>
          </cell>
          <cell r="I257">
            <v>8615109.8678257354</v>
          </cell>
          <cell r="J257">
            <v>458010</v>
          </cell>
          <cell r="K257">
            <v>44000</v>
          </cell>
          <cell r="L257">
            <v>8113100</v>
          </cell>
          <cell r="M257">
            <v>21</v>
          </cell>
        </row>
        <row r="258">
          <cell r="C258">
            <v>51732</v>
          </cell>
          <cell r="D258">
            <v>0</v>
          </cell>
          <cell r="E258">
            <v>285365.85365853657</v>
          </cell>
          <cell r="F258">
            <v>0</v>
          </cell>
          <cell r="I258">
            <v>8613065.1647873968</v>
          </cell>
          <cell r="J258">
            <v>458010</v>
          </cell>
          <cell r="K258">
            <v>44000</v>
          </cell>
          <cell r="L258">
            <v>8111100</v>
          </cell>
          <cell r="M258">
            <v>21</v>
          </cell>
        </row>
        <row r="259">
          <cell r="C259">
            <v>51756</v>
          </cell>
          <cell r="D259">
            <v>0</v>
          </cell>
          <cell r="E259">
            <v>300000</v>
          </cell>
          <cell r="F259">
            <v>0</v>
          </cell>
          <cell r="I259">
            <v>8823691.7255973071</v>
          </cell>
          <cell r="J259">
            <v>458010</v>
          </cell>
          <cell r="K259">
            <v>44000</v>
          </cell>
          <cell r="L259">
            <v>8321700</v>
          </cell>
          <cell r="M259">
            <v>22</v>
          </cell>
        </row>
        <row r="260">
          <cell r="C260">
            <v>51985</v>
          </cell>
          <cell r="D260">
            <v>0</v>
          </cell>
          <cell r="E260">
            <v>300000</v>
          </cell>
          <cell r="F260">
            <v>0</v>
          </cell>
          <cell r="I260">
            <v>8411271.7575785518</v>
          </cell>
          <cell r="J260"/>
          <cell r="K260">
            <v>0</v>
          </cell>
          <cell r="L260">
            <v>8411300</v>
          </cell>
          <cell r="M260">
            <v>22</v>
          </cell>
        </row>
        <row r="261">
          <cell r="C261">
            <v>50312</v>
          </cell>
          <cell r="E261">
            <v>300000</v>
          </cell>
          <cell r="F261">
            <v>0</v>
          </cell>
          <cell r="I261">
            <v>8120015.961538461</v>
          </cell>
          <cell r="J261">
            <v>458010</v>
          </cell>
          <cell r="K261">
            <v>44000</v>
          </cell>
          <cell r="L261">
            <v>7618000</v>
          </cell>
          <cell r="M261">
            <v>23</v>
          </cell>
        </row>
        <row r="262">
          <cell r="C262">
            <v>50658</v>
          </cell>
          <cell r="E262">
            <v>300000</v>
          </cell>
          <cell r="F262">
            <v>0</v>
          </cell>
          <cell r="I262">
            <v>8522242.692307692</v>
          </cell>
          <cell r="J262">
            <v>458010</v>
          </cell>
          <cell r="K262">
            <v>44000</v>
          </cell>
          <cell r="L262">
            <v>8020200</v>
          </cell>
          <cell r="M262">
            <v>23</v>
          </cell>
        </row>
        <row r="263">
          <cell r="C263">
            <v>50761</v>
          </cell>
          <cell r="E263">
            <v>300000</v>
          </cell>
          <cell r="F263">
            <v>0</v>
          </cell>
          <cell r="I263">
            <v>12489588.076923076</v>
          </cell>
          <cell r="J263">
            <v>458010</v>
          </cell>
          <cell r="K263">
            <v>44000</v>
          </cell>
          <cell r="L263">
            <v>11987600</v>
          </cell>
          <cell r="M263">
            <v>22</v>
          </cell>
        </row>
        <row r="264">
          <cell r="C264">
            <v>51342</v>
          </cell>
          <cell r="E264">
            <v>300000</v>
          </cell>
          <cell r="F264">
            <v>0</v>
          </cell>
          <cell r="I264">
            <v>9863505.2644230779</v>
          </cell>
          <cell r="J264">
            <v>458010</v>
          </cell>
          <cell r="K264">
            <v>44000</v>
          </cell>
          <cell r="L264">
            <v>9361500</v>
          </cell>
          <cell r="M264">
            <v>22</v>
          </cell>
        </row>
        <row r="265">
          <cell r="C265">
            <v>51421</v>
          </cell>
          <cell r="E265">
            <v>300000</v>
          </cell>
          <cell r="F265">
            <v>0</v>
          </cell>
          <cell r="I265">
            <v>7953946.9230769239</v>
          </cell>
          <cell r="J265">
            <v>458010</v>
          </cell>
          <cell r="K265">
            <v>44000</v>
          </cell>
          <cell r="L265">
            <v>7451900</v>
          </cell>
          <cell r="M265">
            <v>23</v>
          </cell>
        </row>
        <row r="266">
          <cell r="C266">
            <v>51684</v>
          </cell>
          <cell r="E266">
            <v>300000</v>
          </cell>
          <cell r="F266">
            <v>0</v>
          </cell>
          <cell r="I266">
            <v>6972893.8461538469</v>
          </cell>
          <cell r="J266">
            <v>458010</v>
          </cell>
          <cell r="K266">
            <v>44000</v>
          </cell>
          <cell r="L266">
            <v>6470900</v>
          </cell>
          <cell r="M266">
            <v>21</v>
          </cell>
        </row>
        <row r="267">
          <cell r="C267">
            <v>51685</v>
          </cell>
          <cell r="E267">
            <v>264285.71428571432</v>
          </cell>
          <cell r="F267">
            <v>0</v>
          </cell>
          <cell r="I267">
            <v>9899653.9500915743</v>
          </cell>
          <cell r="J267">
            <v>458010</v>
          </cell>
          <cell r="K267">
            <v>44000</v>
          </cell>
          <cell r="L267">
            <v>9397600</v>
          </cell>
          <cell r="M267">
            <v>19.5</v>
          </cell>
        </row>
        <row r="268">
          <cell r="C268">
            <v>51698</v>
          </cell>
          <cell r="E268">
            <v>300000</v>
          </cell>
          <cell r="F268">
            <v>0</v>
          </cell>
          <cell r="I268">
            <v>7974984.2307692319</v>
          </cell>
          <cell r="J268">
            <v>458010</v>
          </cell>
          <cell r="K268">
            <v>44000</v>
          </cell>
          <cell r="L268">
            <v>7473000</v>
          </cell>
          <cell r="M268">
            <v>22</v>
          </cell>
        </row>
        <row r="269">
          <cell r="C269">
            <v>51760</v>
          </cell>
          <cell r="E269">
            <v>257142.85714285716</v>
          </cell>
          <cell r="F269">
            <v>0</v>
          </cell>
          <cell r="I269">
            <v>8489006.6881868131</v>
          </cell>
          <cell r="J269">
            <v>458010</v>
          </cell>
          <cell r="K269">
            <v>44000</v>
          </cell>
          <cell r="L269">
            <v>7987000</v>
          </cell>
          <cell r="M269">
            <v>19</v>
          </cell>
        </row>
        <row r="270">
          <cell r="C270">
            <v>51761</v>
          </cell>
          <cell r="E270">
            <v>300000</v>
          </cell>
          <cell r="F270">
            <v>0</v>
          </cell>
          <cell r="I270">
            <v>8020927.259615384</v>
          </cell>
          <cell r="J270">
            <v>458010</v>
          </cell>
          <cell r="K270">
            <v>44000</v>
          </cell>
          <cell r="L270">
            <v>7518900</v>
          </cell>
          <cell r="M270">
            <v>23</v>
          </cell>
        </row>
        <row r="271">
          <cell r="C271">
            <v>51763</v>
          </cell>
          <cell r="E271">
            <v>285714.28571428574</v>
          </cell>
          <cell r="F271">
            <v>0</v>
          </cell>
          <cell r="I271">
            <v>7861108.3223443227</v>
          </cell>
          <cell r="J271">
            <v>458010</v>
          </cell>
          <cell r="K271">
            <v>44000</v>
          </cell>
          <cell r="L271">
            <v>7359100</v>
          </cell>
          <cell r="M271">
            <v>21</v>
          </cell>
        </row>
        <row r="272">
          <cell r="C272">
            <v>51764</v>
          </cell>
          <cell r="E272">
            <v>300000</v>
          </cell>
          <cell r="F272">
            <v>0</v>
          </cell>
          <cell r="I272">
            <v>7461521.730769231</v>
          </cell>
          <cell r="J272">
            <v>458010</v>
          </cell>
          <cell r="K272">
            <v>44000</v>
          </cell>
          <cell r="L272">
            <v>6959500</v>
          </cell>
          <cell r="M272">
            <v>21</v>
          </cell>
        </row>
        <row r="273">
          <cell r="C273">
            <v>51846</v>
          </cell>
          <cell r="E273">
            <v>300000</v>
          </cell>
          <cell r="F273">
            <v>0</v>
          </cell>
          <cell r="I273">
            <v>8293883.028846154</v>
          </cell>
          <cell r="J273">
            <v>458010</v>
          </cell>
          <cell r="K273">
            <v>44000</v>
          </cell>
          <cell r="L273">
            <v>7791900</v>
          </cell>
          <cell r="M273">
            <v>22</v>
          </cell>
        </row>
        <row r="274">
          <cell r="C274">
            <v>51848</v>
          </cell>
          <cell r="E274">
            <v>300000</v>
          </cell>
          <cell r="F274">
            <v>0</v>
          </cell>
          <cell r="I274">
            <v>8531836.9951923061</v>
          </cell>
          <cell r="J274">
            <v>458010</v>
          </cell>
          <cell r="K274">
            <v>44000</v>
          </cell>
          <cell r="L274">
            <v>8029800</v>
          </cell>
          <cell r="M274">
            <v>23</v>
          </cell>
        </row>
        <row r="275">
          <cell r="C275">
            <v>51947</v>
          </cell>
          <cell r="E275">
            <v>300000</v>
          </cell>
          <cell r="F275">
            <v>0</v>
          </cell>
          <cell r="I275">
            <v>11825618.846153846</v>
          </cell>
          <cell r="J275">
            <v>458010</v>
          </cell>
          <cell r="K275">
            <v>44000</v>
          </cell>
          <cell r="L275">
            <v>11323600</v>
          </cell>
          <cell r="M275">
            <v>22</v>
          </cell>
        </row>
        <row r="276">
          <cell r="C276">
            <v>50467</v>
          </cell>
          <cell r="I276">
            <v>8474834.8239899389</v>
          </cell>
          <cell r="J276">
            <v>458010</v>
          </cell>
          <cell r="K276">
            <v>44000</v>
          </cell>
          <cell r="L276">
            <v>7972800</v>
          </cell>
          <cell r="M276">
            <v>21</v>
          </cell>
        </row>
        <row r="277">
          <cell r="C277">
            <v>50584</v>
          </cell>
          <cell r="I277">
            <v>8661428.5891815331</v>
          </cell>
          <cell r="J277">
            <v>458010</v>
          </cell>
          <cell r="K277">
            <v>44000</v>
          </cell>
          <cell r="L277">
            <v>8159400</v>
          </cell>
          <cell r="M277">
            <v>22.5</v>
          </cell>
        </row>
        <row r="278">
          <cell r="C278">
            <v>50124</v>
          </cell>
          <cell r="I278">
            <v>6993452.4994022669</v>
          </cell>
          <cell r="J278">
            <v>458010</v>
          </cell>
          <cell r="K278">
            <v>44000</v>
          </cell>
          <cell r="L278">
            <v>6491400</v>
          </cell>
          <cell r="M278">
            <v>18.625</v>
          </cell>
        </row>
        <row r="279">
          <cell r="C279">
            <v>51632</v>
          </cell>
          <cell r="I279">
            <v>8050357.9316764735</v>
          </cell>
          <cell r="J279">
            <v>458010</v>
          </cell>
          <cell r="K279">
            <v>44000</v>
          </cell>
          <cell r="L279">
            <v>7548300</v>
          </cell>
          <cell r="M279">
            <v>22.727083333333333</v>
          </cell>
        </row>
        <row r="280">
          <cell r="C280">
            <v>51653</v>
          </cell>
          <cell r="I280">
            <v>7767196.0740178488</v>
          </cell>
          <cell r="J280">
            <v>458010</v>
          </cell>
          <cell r="K280">
            <v>44000</v>
          </cell>
          <cell r="L280">
            <v>7265200</v>
          </cell>
          <cell r="M280">
            <v>20.0625</v>
          </cell>
        </row>
        <row r="281">
          <cell r="C281">
            <v>51820</v>
          </cell>
          <cell r="I281">
            <v>8932432.4093854539</v>
          </cell>
          <cell r="J281">
            <v>458010</v>
          </cell>
          <cell r="K281">
            <v>44000</v>
          </cell>
          <cell r="L281">
            <v>8430400</v>
          </cell>
          <cell r="M281">
            <v>22.479166666666668</v>
          </cell>
        </row>
        <row r="282">
          <cell r="C282">
            <v>51843</v>
          </cell>
          <cell r="I282">
            <v>8124457.46838855</v>
          </cell>
          <cell r="J282">
            <v>458010</v>
          </cell>
          <cell r="K282">
            <v>44000</v>
          </cell>
          <cell r="L282">
            <v>7622400</v>
          </cell>
          <cell r="M282">
            <v>21</v>
          </cell>
        </row>
        <row r="283">
          <cell r="C283">
            <v>50220</v>
          </cell>
          <cell r="I283">
            <v>8654500.4709419068</v>
          </cell>
          <cell r="J283">
            <v>458010</v>
          </cell>
          <cell r="K283">
            <v>44000</v>
          </cell>
          <cell r="L283">
            <v>8152500</v>
          </cell>
          <cell r="M283">
            <v>21.15625</v>
          </cell>
        </row>
        <row r="284">
          <cell r="C284">
            <v>50460</v>
          </cell>
          <cell r="I284">
            <v>8090468.9066468254</v>
          </cell>
          <cell r="J284">
            <v>458010</v>
          </cell>
          <cell r="K284">
            <v>44000</v>
          </cell>
          <cell r="L284">
            <v>7588500</v>
          </cell>
          <cell r="M284">
            <v>21.5</v>
          </cell>
        </row>
        <row r="285">
          <cell r="C285">
            <v>50723</v>
          </cell>
          <cell r="I285">
            <v>8224136.4881752813</v>
          </cell>
          <cell r="J285">
            <v>458010</v>
          </cell>
          <cell r="K285">
            <v>44000</v>
          </cell>
          <cell r="L285">
            <v>7722100</v>
          </cell>
          <cell r="M285">
            <v>22.125</v>
          </cell>
        </row>
        <row r="286">
          <cell r="C286">
            <v>50639</v>
          </cell>
          <cell r="I286">
            <v>9061209.9730792139</v>
          </cell>
          <cell r="J286">
            <v>458010</v>
          </cell>
          <cell r="K286">
            <v>44000</v>
          </cell>
          <cell r="L286">
            <v>8559200</v>
          </cell>
          <cell r="M286">
            <v>21.5</v>
          </cell>
        </row>
        <row r="287">
          <cell r="C287">
            <v>51463</v>
          </cell>
          <cell r="I287">
            <v>8252682.5408250345</v>
          </cell>
          <cell r="J287">
            <v>458010</v>
          </cell>
          <cell r="K287">
            <v>44000</v>
          </cell>
          <cell r="L287">
            <v>7750700</v>
          </cell>
          <cell r="M287">
            <v>21.287500000000001</v>
          </cell>
        </row>
        <row r="288">
          <cell r="C288">
            <v>51775</v>
          </cell>
          <cell r="I288">
            <v>8306179.1607401185</v>
          </cell>
          <cell r="J288">
            <v>458010</v>
          </cell>
          <cell r="K288">
            <v>44000</v>
          </cell>
          <cell r="L288">
            <v>7804200</v>
          </cell>
          <cell r="M288">
            <v>21.5</v>
          </cell>
        </row>
        <row r="289">
          <cell r="C289">
            <v>50047</v>
          </cell>
          <cell r="D289">
            <v>0</v>
          </cell>
          <cell r="E289">
            <v>288414.63414634147</v>
          </cell>
          <cell r="F289">
            <v>0</v>
          </cell>
          <cell r="G289">
            <v>200000</v>
          </cell>
          <cell r="H289">
            <v>0</v>
          </cell>
          <cell r="I289">
            <v>8819920.2062943801</v>
          </cell>
          <cell r="J289">
            <v>458010</v>
          </cell>
          <cell r="K289">
            <v>44000</v>
          </cell>
          <cell r="L289">
            <v>8317900</v>
          </cell>
          <cell r="M289">
            <v>21.708333333333332</v>
          </cell>
        </row>
        <row r="290">
          <cell r="C290">
            <v>50168</v>
          </cell>
          <cell r="D290">
            <v>0</v>
          </cell>
          <cell r="E290">
            <v>280640.24390243902</v>
          </cell>
          <cell r="F290">
            <v>240000</v>
          </cell>
          <cell r="G290">
            <v>200000</v>
          </cell>
          <cell r="H290">
            <v>0</v>
          </cell>
          <cell r="I290">
            <v>8515943.0148084238</v>
          </cell>
          <cell r="J290">
            <v>458010</v>
          </cell>
          <cell r="K290">
            <v>44000</v>
          </cell>
          <cell r="L290">
            <v>8013900</v>
          </cell>
          <cell r="M290">
            <v>21.177083333333332</v>
          </cell>
        </row>
        <row r="291">
          <cell r="C291">
            <v>50288</v>
          </cell>
          <cell r="D291">
            <v>0</v>
          </cell>
          <cell r="E291">
            <v>293810.97560975613</v>
          </cell>
          <cell r="F291">
            <v>0</v>
          </cell>
          <cell r="G291">
            <v>200000</v>
          </cell>
          <cell r="H291">
            <v>0</v>
          </cell>
          <cell r="I291">
            <v>11583566.81259473</v>
          </cell>
          <cell r="J291">
            <v>530985</v>
          </cell>
          <cell r="K291">
            <v>44000</v>
          </cell>
          <cell r="L291">
            <v>11008600</v>
          </cell>
          <cell r="M291">
            <v>22.077083333333334</v>
          </cell>
        </row>
        <row r="292">
          <cell r="C292">
            <v>50446</v>
          </cell>
          <cell r="D292">
            <v>0</v>
          </cell>
          <cell r="E292">
            <v>240091.46341463414</v>
          </cell>
          <cell r="F292">
            <v>120000</v>
          </cell>
          <cell r="G292">
            <v>0</v>
          </cell>
          <cell r="H292">
            <v>0</v>
          </cell>
          <cell r="I292">
            <v>6909785.0994785652</v>
          </cell>
          <cell r="J292">
            <v>458010</v>
          </cell>
          <cell r="K292">
            <v>44000</v>
          </cell>
          <cell r="L292">
            <v>6407800</v>
          </cell>
          <cell r="M292">
            <v>17.40625</v>
          </cell>
        </row>
        <row r="293">
          <cell r="C293">
            <v>50564</v>
          </cell>
          <cell r="D293">
            <v>0</v>
          </cell>
          <cell r="E293">
            <v>292682.92682926828</v>
          </cell>
          <cell r="F293">
            <v>0</v>
          </cell>
          <cell r="G293">
            <v>200000</v>
          </cell>
          <cell r="H293">
            <v>0</v>
          </cell>
          <cell r="I293">
            <v>9251760.4447975438</v>
          </cell>
          <cell r="J293">
            <v>458010</v>
          </cell>
          <cell r="K293">
            <v>44000</v>
          </cell>
          <cell r="L293">
            <v>8749800</v>
          </cell>
          <cell r="M293">
            <v>22</v>
          </cell>
        </row>
        <row r="294">
          <cell r="C294">
            <v>50781</v>
          </cell>
          <cell r="D294">
            <v>0</v>
          </cell>
          <cell r="E294">
            <v>296341.46341463417</v>
          </cell>
          <cell r="F294">
            <v>0</v>
          </cell>
          <cell r="G294">
            <v>0</v>
          </cell>
          <cell r="H294">
            <v>0</v>
          </cell>
          <cell r="I294">
            <v>7720932.4537582323</v>
          </cell>
          <cell r="J294">
            <v>458010</v>
          </cell>
          <cell r="K294">
            <v>44000</v>
          </cell>
          <cell r="L294">
            <v>7218900</v>
          </cell>
          <cell r="M294">
            <v>22.25</v>
          </cell>
        </row>
        <row r="295">
          <cell r="C295">
            <v>50849</v>
          </cell>
          <cell r="D295">
            <v>0</v>
          </cell>
          <cell r="E295">
            <v>298170.73170731706</v>
          </cell>
          <cell r="G295">
            <v>200000</v>
          </cell>
          <cell r="H295">
            <v>0</v>
          </cell>
          <cell r="I295">
            <v>8997708.0574648716</v>
          </cell>
          <cell r="J295">
            <v>458010</v>
          </cell>
          <cell r="K295">
            <v>44000</v>
          </cell>
          <cell r="L295">
            <v>8495700</v>
          </cell>
          <cell r="M295">
            <v>22.375</v>
          </cell>
        </row>
        <row r="296">
          <cell r="C296">
            <v>50961</v>
          </cell>
          <cell r="D296">
            <v>0</v>
          </cell>
          <cell r="E296">
            <v>300000</v>
          </cell>
          <cell r="F296">
            <v>270000</v>
          </cell>
          <cell r="G296">
            <v>200000</v>
          </cell>
          <cell r="H296">
            <v>0</v>
          </cell>
          <cell r="I296">
            <v>8473651.1456037536</v>
          </cell>
          <cell r="J296">
            <v>458010</v>
          </cell>
          <cell r="K296">
            <v>44000</v>
          </cell>
          <cell r="L296">
            <v>7971600</v>
          </cell>
          <cell r="M296">
            <v>23</v>
          </cell>
        </row>
        <row r="297">
          <cell r="C297">
            <v>51452</v>
          </cell>
          <cell r="D297">
            <v>0</v>
          </cell>
          <cell r="E297">
            <v>294939.02439024387</v>
          </cell>
          <cell r="F297">
            <v>0</v>
          </cell>
          <cell r="G297">
            <v>0</v>
          </cell>
          <cell r="H297">
            <v>0</v>
          </cell>
          <cell r="I297">
            <v>8713278.4316045716</v>
          </cell>
          <cell r="J297">
            <v>458010</v>
          </cell>
          <cell r="K297">
            <v>44000</v>
          </cell>
          <cell r="L297">
            <v>8211300</v>
          </cell>
          <cell r="M297">
            <v>22.654166666666665</v>
          </cell>
        </row>
        <row r="298">
          <cell r="C298">
            <v>51654</v>
          </cell>
          <cell r="D298">
            <v>0</v>
          </cell>
          <cell r="E298">
            <v>300000</v>
          </cell>
          <cell r="F298">
            <v>0</v>
          </cell>
          <cell r="G298">
            <v>0</v>
          </cell>
          <cell r="H298">
            <v>0</v>
          </cell>
          <cell r="I298">
            <v>7875683.3277835725</v>
          </cell>
          <cell r="J298">
            <v>458010</v>
          </cell>
          <cell r="K298">
            <v>44000</v>
          </cell>
          <cell r="L298">
            <v>7373700</v>
          </cell>
          <cell r="M298">
            <v>22.618749999999999</v>
          </cell>
        </row>
        <row r="299">
          <cell r="C299">
            <v>51726</v>
          </cell>
          <cell r="D299">
            <v>0</v>
          </cell>
          <cell r="E299">
            <v>285365.85365853657</v>
          </cell>
          <cell r="F299">
            <v>0</v>
          </cell>
          <cell r="G299">
            <v>0</v>
          </cell>
          <cell r="H299">
            <v>0</v>
          </cell>
          <cell r="I299">
            <v>8528012.5101847202</v>
          </cell>
          <cell r="J299">
            <v>458010</v>
          </cell>
          <cell r="K299">
            <v>44000</v>
          </cell>
          <cell r="L299">
            <v>8026000</v>
          </cell>
          <cell r="M299">
            <v>22</v>
          </cell>
        </row>
        <row r="300">
          <cell r="C300">
            <v>51934</v>
          </cell>
          <cell r="D300">
            <v>0</v>
          </cell>
          <cell r="E300">
            <v>275762.19512195123</v>
          </cell>
          <cell r="F300">
            <v>180000</v>
          </cell>
          <cell r="G300">
            <v>200000</v>
          </cell>
          <cell r="H300">
            <v>0</v>
          </cell>
          <cell r="I300">
            <v>7217617.0337250791</v>
          </cell>
          <cell r="J300">
            <v>458010</v>
          </cell>
          <cell r="K300">
            <v>44000</v>
          </cell>
          <cell r="L300">
            <v>6715600</v>
          </cell>
          <cell r="M300">
            <v>20.84375</v>
          </cell>
        </row>
        <row r="301">
          <cell r="C301" t="str">
            <v>Q.trị 3</v>
          </cell>
          <cell r="I301">
            <v>29305250</v>
          </cell>
          <cell r="J301">
            <v>1514205</v>
          </cell>
          <cell r="K301">
            <v>549104.5</v>
          </cell>
          <cell r="L301">
            <v>27241900</v>
          </cell>
          <cell r="M301">
            <v>20.5</v>
          </cell>
        </row>
        <row r="302">
          <cell r="C302">
            <v>80261</v>
          </cell>
          <cell r="I302">
            <v>19485250</v>
          </cell>
          <cell r="J302">
            <v>749805</v>
          </cell>
          <cell r="K302">
            <v>71400</v>
          </cell>
          <cell r="L302">
            <v>18664000</v>
          </cell>
          <cell r="M302">
            <v>21.5</v>
          </cell>
        </row>
        <row r="303">
          <cell r="C303">
            <v>50888</v>
          </cell>
          <cell r="I303">
            <v>14763000</v>
          </cell>
          <cell r="J303">
            <v>574460</v>
          </cell>
          <cell r="K303">
            <v>50500</v>
          </cell>
          <cell r="L303">
            <v>14138000</v>
          </cell>
          <cell r="M303">
            <v>21.28125</v>
          </cell>
        </row>
        <row r="304">
          <cell r="C304">
            <v>50035</v>
          </cell>
          <cell r="E304">
            <v>300000</v>
          </cell>
          <cell r="F304">
            <v>270000</v>
          </cell>
          <cell r="G304">
            <v>200000</v>
          </cell>
          <cell r="H304">
            <v>0</v>
          </cell>
          <cell r="I304">
            <v>7567861.9112588605</v>
          </cell>
          <cell r="J304">
            <v>458010</v>
          </cell>
          <cell r="K304">
            <v>44000</v>
          </cell>
          <cell r="L304">
            <v>7065900</v>
          </cell>
          <cell r="M304">
            <v>22.5</v>
          </cell>
        </row>
        <row r="305">
          <cell r="C305">
            <v>50247</v>
          </cell>
          <cell r="D305">
            <v>0</v>
          </cell>
          <cell r="E305">
            <v>296341.46341463417</v>
          </cell>
          <cell r="F305">
            <v>270000</v>
          </cell>
          <cell r="G305">
            <v>200000</v>
          </cell>
          <cell r="H305">
            <v>0</v>
          </cell>
          <cell r="I305">
            <v>8814302.5646750312</v>
          </cell>
          <cell r="J305">
            <v>458010</v>
          </cell>
          <cell r="K305">
            <v>44000</v>
          </cell>
          <cell r="L305">
            <v>8312300</v>
          </cell>
          <cell r="M305">
            <v>22.25</v>
          </cell>
        </row>
        <row r="306">
          <cell r="C306">
            <v>50274</v>
          </cell>
          <cell r="D306">
            <v>442861.4361125885</v>
          </cell>
          <cell r="E306">
            <v>299542.68292682926</v>
          </cell>
          <cell r="F306">
            <v>270000</v>
          </cell>
          <cell r="G306">
            <v>0</v>
          </cell>
          <cell r="H306">
            <v>0</v>
          </cell>
          <cell r="I306">
            <v>6999060.3333527017</v>
          </cell>
          <cell r="J306">
            <v>458010</v>
          </cell>
          <cell r="K306">
            <v>44000</v>
          </cell>
          <cell r="L306">
            <v>6497100</v>
          </cell>
          <cell r="M306">
            <v>21.46875</v>
          </cell>
        </row>
        <row r="307">
          <cell r="C307">
            <v>50329</v>
          </cell>
          <cell r="D307">
            <v>0</v>
          </cell>
          <cell r="E307">
            <v>297103.65853658534</v>
          </cell>
          <cell r="F307">
            <v>270000</v>
          </cell>
          <cell r="G307">
            <v>200000</v>
          </cell>
          <cell r="H307">
            <v>0</v>
          </cell>
          <cell r="I307">
            <v>8883799.4215689711</v>
          </cell>
          <cell r="J307">
            <v>458010</v>
          </cell>
          <cell r="K307">
            <v>44000</v>
          </cell>
          <cell r="L307">
            <v>8381800</v>
          </cell>
          <cell r="M307">
            <v>21.802083333333332</v>
          </cell>
        </row>
        <row r="308">
          <cell r="C308">
            <v>50615</v>
          </cell>
          <cell r="D308">
            <v>0</v>
          </cell>
          <cell r="E308">
            <v>300000</v>
          </cell>
          <cell r="F308">
            <v>270000</v>
          </cell>
          <cell r="G308">
            <v>0</v>
          </cell>
          <cell r="H308">
            <v>0</v>
          </cell>
          <cell r="I308">
            <v>7701210.2433577683</v>
          </cell>
          <cell r="J308">
            <v>458010</v>
          </cell>
          <cell r="K308">
            <v>44000</v>
          </cell>
          <cell r="L308">
            <v>7199200</v>
          </cell>
          <cell r="M308">
            <v>21.5</v>
          </cell>
        </row>
        <row r="309">
          <cell r="C309">
            <v>50773</v>
          </cell>
          <cell r="D309">
            <v>0</v>
          </cell>
          <cell r="E309">
            <v>285365.85365853657</v>
          </cell>
          <cell r="F309">
            <v>330000</v>
          </cell>
          <cell r="G309">
            <v>0</v>
          </cell>
          <cell r="H309">
            <v>0</v>
          </cell>
          <cell r="I309">
            <v>8780938.4695278276</v>
          </cell>
          <cell r="J309">
            <v>458010</v>
          </cell>
          <cell r="K309">
            <v>44000</v>
          </cell>
          <cell r="L309">
            <v>8278900</v>
          </cell>
          <cell r="M309">
            <v>20.5</v>
          </cell>
        </row>
        <row r="310">
          <cell r="C310">
            <v>50878</v>
          </cell>
          <cell r="D310">
            <v>121601.98082589707</v>
          </cell>
          <cell r="E310">
            <v>293902.43902439025</v>
          </cell>
          <cell r="F310">
            <v>270000</v>
          </cell>
          <cell r="G310">
            <v>0</v>
          </cell>
          <cell r="H310">
            <v>0</v>
          </cell>
          <cell r="I310">
            <v>7356418.7274292633</v>
          </cell>
          <cell r="J310">
            <v>458010</v>
          </cell>
          <cell r="K310">
            <v>44000</v>
          </cell>
          <cell r="L310">
            <v>6854400</v>
          </cell>
          <cell r="M310">
            <v>20.583333333333332</v>
          </cell>
        </row>
        <row r="311">
          <cell r="C311">
            <v>50907</v>
          </cell>
          <cell r="D311">
            <v>0</v>
          </cell>
          <cell r="E311">
            <v>267682.92682926828</v>
          </cell>
          <cell r="F311">
            <v>360000</v>
          </cell>
          <cell r="G311">
            <v>0</v>
          </cell>
          <cell r="H311">
            <v>0</v>
          </cell>
          <cell r="I311">
            <v>9735700.4327790439</v>
          </cell>
          <cell r="J311">
            <v>458010</v>
          </cell>
          <cell r="K311">
            <v>44000</v>
          </cell>
          <cell r="L311">
            <v>9233700</v>
          </cell>
          <cell r="M311">
            <v>18.291666666666668</v>
          </cell>
        </row>
        <row r="312">
          <cell r="C312">
            <v>51118</v>
          </cell>
          <cell r="D312">
            <v>253964.92456161173</v>
          </cell>
          <cell r="E312">
            <v>300000</v>
          </cell>
          <cell r="F312">
            <v>290000</v>
          </cell>
          <cell r="G312">
            <v>0</v>
          </cell>
          <cell r="H312">
            <v>0</v>
          </cell>
          <cell r="I312">
            <v>7114981.4696691576</v>
          </cell>
          <cell r="J312">
            <v>458010</v>
          </cell>
          <cell r="K312">
            <v>44000</v>
          </cell>
          <cell r="L312">
            <v>6613000</v>
          </cell>
          <cell r="M312">
            <v>20.5</v>
          </cell>
        </row>
        <row r="313">
          <cell r="C313">
            <v>51120</v>
          </cell>
          <cell r="E313">
            <v>300000</v>
          </cell>
          <cell r="F313">
            <v>360000</v>
          </cell>
          <cell r="G313">
            <v>0</v>
          </cell>
          <cell r="H313">
            <v>0</v>
          </cell>
          <cell r="I313">
            <v>7708536.4772059238</v>
          </cell>
          <cell r="J313">
            <v>458010</v>
          </cell>
          <cell r="K313">
            <v>44000</v>
          </cell>
          <cell r="L313">
            <v>7206500</v>
          </cell>
          <cell r="M313">
            <v>21.5</v>
          </cell>
        </row>
        <row r="314">
          <cell r="C314">
            <v>51244</v>
          </cell>
          <cell r="E314">
            <v>212195.12195121951</v>
          </cell>
          <cell r="F314">
            <v>150000</v>
          </cell>
          <cell r="G314">
            <v>0</v>
          </cell>
          <cell r="H314">
            <v>0</v>
          </cell>
          <cell r="I314">
            <v>4854161.7291561188</v>
          </cell>
          <cell r="J314">
            <v>458010</v>
          </cell>
          <cell r="K314">
            <v>44000</v>
          </cell>
          <cell r="L314">
            <v>4352200</v>
          </cell>
          <cell r="M314">
            <v>15.5</v>
          </cell>
        </row>
        <row r="315">
          <cell r="C315">
            <v>51258</v>
          </cell>
          <cell r="D315">
            <v>0</v>
          </cell>
          <cell r="E315">
            <v>260152.43902439025</v>
          </cell>
          <cell r="F315">
            <v>270000</v>
          </cell>
          <cell r="G315">
            <v>0</v>
          </cell>
          <cell r="H315">
            <v>0</v>
          </cell>
          <cell r="I315">
            <v>6994290.9941030964</v>
          </cell>
          <cell r="J315">
            <v>458010</v>
          </cell>
          <cell r="K315">
            <v>44000</v>
          </cell>
          <cell r="L315">
            <v>6492300</v>
          </cell>
          <cell r="M315">
            <v>18.777083333333334</v>
          </cell>
        </row>
        <row r="316">
          <cell r="C316">
            <v>51456</v>
          </cell>
          <cell r="D316">
            <v>0</v>
          </cell>
          <cell r="E316">
            <v>297408.53658536589</v>
          </cell>
          <cell r="F316">
            <v>270000</v>
          </cell>
          <cell r="G316">
            <v>0</v>
          </cell>
          <cell r="H316">
            <v>0</v>
          </cell>
          <cell r="I316">
            <v>7626244.1117551271</v>
          </cell>
          <cell r="J316">
            <v>458010</v>
          </cell>
          <cell r="K316">
            <v>44000</v>
          </cell>
          <cell r="L316">
            <v>7124200</v>
          </cell>
          <cell r="M316">
            <v>21.322916666666668</v>
          </cell>
        </row>
        <row r="317">
          <cell r="C317">
            <v>51483</v>
          </cell>
          <cell r="D317">
            <v>211177.22347072617</v>
          </cell>
          <cell r="E317">
            <v>300000</v>
          </cell>
          <cell r="F317">
            <v>360000</v>
          </cell>
          <cell r="G317">
            <v>0</v>
          </cell>
          <cell r="H317">
            <v>0</v>
          </cell>
          <cell r="I317">
            <v>7506685.516913889</v>
          </cell>
          <cell r="J317">
            <v>458010</v>
          </cell>
          <cell r="K317">
            <v>44000</v>
          </cell>
          <cell r="L317">
            <v>7004700</v>
          </cell>
          <cell r="M317">
            <v>21.5</v>
          </cell>
        </row>
        <row r="318">
          <cell r="C318">
            <v>51548</v>
          </cell>
          <cell r="D318">
            <v>407939.99908171443</v>
          </cell>
          <cell r="E318">
            <v>272865.85365853657</v>
          </cell>
          <cell r="F318">
            <v>240000</v>
          </cell>
          <cell r="G318">
            <v>0</v>
          </cell>
          <cell r="H318">
            <v>0</v>
          </cell>
          <cell r="I318">
            <v>6554244.6782947704</v>
          </cell>
          <cell r="J318">
            <v>458010</v>
          </cell>
          <cell r="K318">
            <v>44000</v>
          </cell>
          <cell r="L318">
            <v>6052200</v>
          </cell>
          <cell r="M318">
            <v>19.145833333333332</v>
          </cell>
        </row>
        <row r="319">
          <cell r="C319">
            <v>51636</v>
          </cell>
          <cell r="D319">
            <v>0</v>
          </cell>
          <cell r="E319">
            <v>300000</v>
          </cell>
          <cell r="F319">
            <v>290000</v>
          </cell>
          <cell r="G319">
            <v>0</v>
          </cell>
          <cell r="H319">
            <v>0</v>
          </cell>
          <cell r="I319">
            <v>8590880.3178703897</v>
          </cell>
          <cell r="J319">
            <v>458010</v>
          </cell>
          <cell r="K319">
            <v>44000</v>
          </cell>
          <cell r="L319">
            <v>8088900</v>
          </cell>
          <cell r="M319">
            <v>21.5</v>
          </cell>
        </row>
        <row r="320">
          <cell r="C320">
            <v>50014</v>
          </cell>
          <cell r="D320">
            <v>0</v>
          </cell>
          <cell r="E320">
            <v>300000</v>
          </cell>
          <cell r="F320">
            <v>240000</v>
          </cell>
          <cell r="G320">
            <v>0</v>
          </cell>
          <cell r="H320">
            <v>0</v>
          </cell>
          <cell r="I320">
            <v>7902434.0702920556</v>
          </cell>
          <cell r="J320">
            <v>458010</v>
          </cell>
          <cell r="K320">
            <v>44000</v>
          </cell>
          <cell r="L320">
            <v>7400400</v>
          </cell>
          <cell r="M320">
            <v>21.5</v>
          </cell>
        </row>
        <row r="321">
          <cell r="C321">
            <v>50139</v>
          </cell>
          <cell r="D321">
            <v>0</v>
          </cell>
          <cell r="E321">
            <v>286371.95121951221</v>
          </cell>
          <cell r="F321">
            <v>240000</v>
          </cell>
          <cell r="G321">
            <v>0</v>
          </cell>
          <cell r="H321">
            <v>0</v>
          </cell>
          <cell r="I321">
            <v>7505154.5354758482</v>
          </cell>
          <cell r="J321">
            <v>458010</v>
          </cell>
          <cell r="K321">
            <v>44000</v>
          </cell>
          <cell r="L321">
            <v>7003100</v>
          </cell>
          <cell r="M321">
            <v>20.568750000000001</v>
          </cell>
        </row>
        <row r="322">
          <cell r="C322">
            <v>50148</v>
          </cell>
          <cell r="E322">
            <v>300000</v>
          </cell>
          <cell r="F322">
            <v>240000</v>
          </cell>
          <cell r="G322">
            <v>0</v>
          </cell>
          <cell r="H322">
            <v>0</v>
          </cell>
          <cell r="I322">
            <v>7703887.6476600049</v>
          </cell>
          <cell r="J322">
            <v>458010</v>
          </cell>
          <cell r="K322">
            <v>44000</v>
          </cell>
          <cell r="L322">
            <v>7201900</v>
          </cell>
          <cell r="M322">
            <v>21.5</v>
          </cell>
        </row>
        <row r="323">
          <cell r="C323">
            <v>50287</v>
          </cell>
          <cell r="D323">
            <v>0</v>
          </cell>
          <cell r="F323">
            <v>420000</v>
          </cell>
          <cell r="G323">
            <v>0</v>
          </cell>
          <cell r="H323">
            <v>0</v>
          </cell>
          <cell r="I323">
            <v>7706238.1289025778</v>
          </cell>
          <cell r="J323">
            <v>458010</v>
          </cell>
          <cell r="K323">
            <v>44000</v>
          </cell>
          <cell r="L323">
            <v>7204200</v>
          </cell>
          <cell r="M323">
            <v>18</v>
          </cell>
        </row>
        <row r="324">
          <cell r="C324">
            <v>50787</v>
          </cell>
          <cell r="D324">
            <v>0</v>
          </cell>
          <cell r="E324">
            <v>300000</v>
          </cell>
          <cell r="F324">
            <v>240000</v>
          </cell>
          <cell r="G324">
            <v>0</v>
          </cell>
          <cell r="H324">
            <v>0</v>
          </cell>
          <cell r="I324">
            <v>8215651.8458505506</v>
          </cell>
          <cell r="J324">
            <v>458010</v>
          </cell>
          <cell r="K324">
            <v>44000</v>
          </cell>
          <cell r="L324">
            <v>7713600</v>
          </cell>
          <cell r="M324">
            <v>21.5</v>
          </cell>
        </row>
        <row r="325">
          <cell r="C325">
            <v>50883</v>
          </cell>
          <cell r="D325">
            <v>0</v>
          </cell>
          <cell r="E325">
            <v>296798.78048780485</v>
          </cell>
          <cell r="F325">
            <v>240000</v>
          </cell>
          <cell r="G325">
            <v>0</v>
          </cell>
          <cell r="H325">
            <v>0</v>
          </cell>
          <cell r="I325">
            <v>8562578.509181479</v>
          </cell>
          <cell r="J325">
            <v>458010</v>
          </cell>
          <cell r="K325">
            <v>44000</v>
          </cell>
          <cell r="L325">
            <v>8060600</v>
          </cell>
          <cell r="M325">
            <v>21.28125</v>
          </cell>
        </row>
        <row r="326">
          <cell r="C326">
            <v>50892</v>
          </cell>
          <cell r="D326">
            <v>0</v>
          </cell>
          <cell r="E326">
            <v>300000</v>
          </cell>
          <cell r="F326">
            <v>240000</v>
          </cell>
          <cell r="G326">
            <v>0</v>
          </cell>
          <cell r="H326">
            <v>0</v>
          </cell>
          <cell r="I326">
            <v>8600204.9901494011</v>
          </cell>
          <cell r="J326">
            <v>458010</v>
          </cell>
          <cell r="K326">
            <v>44000</v>
          </cell>
          <cell r="L326">
            <v>8098200</v>
          </cell>
          <cell r="M326">
            <v>21.5</v>
          </cell>
        </row>
        <row r="327">
          <cell r="C327">
            <v>51152</v>
          </cell>
          <cell r="D327">
            <v>0</v>
          </cell>
          <cell r="E327">
            <v>284756.09756097558</v>
          </cell>
          <cell r="F327">
            <v>240000</v>
          </cell>
          <cell r="G327">
            <v>0</v>
          </cell>
          <cell r="H327">
            <v>0</v>
          </cell>
          <cell r="I327">
            <v>7487540.1955311177</v>
          </cell>
          <cell r="J327">
            <v>458010</v>
          </cell>
          <cell r="K327">
            <v>44000</v>
          </cell>
          <cell r="L327">
            <v>6985500</v>
          </cell>
          <cell r="M327">
            <v>20.458333333333332</v>
          </cell>
        </row>
        <row r="328">
          <cell r="C328">
            <v>51223</v>
          </cell>
          <cell r="D328">
            <v>273448.04036898399</v>
          </cell>
          <cell r="E328">
            <v>300000</v>
          </cell>
          <cell r="F328">
            <v>270000</v>
          </cell>
          <cell r="G328">
            <v>0</v>
          </cell>
          <cell r="H328">
            <v>0</v>
          </cell>
          <cell r="I328">
            <v>7025817.8250156306</v>
          </cell>
          <cell r="J328">
            <v>458010</v>
          </cell>
          <cell r="K328">
            <v>44000</v>
          </cell>
          <cell r="L328">
            <v>6523800</v>
          </cell>
          <cell r="M328">
            <v>21.5</v>
          </cell>
        </row>
        <row r="329">
          <cell r="C329">
            <v>51330</v>
          </cell>
          <cell r="D329">
            <v>0</v>
          </cell>
          <cell r="E329">
            <v>292682.92682926828</v>
          </cell>
          <cell r="F329">
            <v>240000</v>
          </cell>
          <cell r="G329">
            <v>0</v>
          </cell>
          <cell r="H329">
            <v>0</v>
          </cell>
          <cell r="I329">
            <v>7697356.6384239877</v>
          </cell>
          <cell r="J329">
            <v>458010</v>
          </cell>
          <cell r="K329">
            <v>44000</v>
          </cell>
          <cell r="L329">
            <v>7195300</v>
          </cell>
          <cell r="M329">
            <v>21</v>
          </cell>
        </row>
        <row r="330">
          <cell r="C330">
            <v>51334</v>
          </cell>
          <cell r="E330">
            <v>300000</v>
          </cell>
          <cell r="F330">
            <v>240000</v>
          </cell>
          <cell r="G330">
            <v>0</v>
          </cell>
          <cell r="H330">
            <v>0</v>
          </cell>
          <cell r="I330">
            <v>8547038.6872654725</v>
          </cell>
          <cell r="J330">
            <v>458010</v>
          </cell>
          <cell r="K330">
            <v>44000</v>
          </cell>
          <cell r="L330">
            <v>8045000</v>
          </cell>
          <cell r="M330">
            <v>21.5</v>
          </cell>
        </row>
        <row r="331">
          <cell r="C331">
            <v>51364</v>
          </cell>
          <cell r="E331">
            <v>282621.95121951221</v>
          </cell>
          <cell r="F331">
            <v>240000</v>
          </cell>
          <cell r="G331">
            <v>0</v>
          </cell>
          <cell r="H331">
            <v>0</v>
          </cell>
          <cell r="I331">
            <v>7089017.0240027718</v>
          </cell>
          <cell r="J331">
            <v>458010</v>
          </cell>
          <cell r="K331">
            <v>44000</v>
          </cell>
          <cell r="L331">
            <v>6587000</v>
          </cell>
          <cell r="M331">
            <v>20.3125</v>
          </cell>
        </row>
        <row r="332">
          <cell r="C332">
            <v>51668</v>
          </cell>
          <cell r="D332">
            <v>0</v>
          </cell>
          <cell r="E332">
            <v>270731.70731707319</v>
          </cell>
          <cell r="F332">
            <v>420000</v>
          </cell>
          <cell r="G332">
            <v>0</v>
          </cell>
          <cell r="H332">
            <v>0</v>
          </cell>
          <cell r="I332">
            <v>9262287.5252913218</v>
          </cell>
          <cell r="J332">
            <v>458010</v>
          </cell>
          <cell r="K332">
            <v>44000</v>
          </cell>
          <cell r="L332">
            <v>8760300</v>
          </cell>
          <cell r="M332">
            <v>18.5</v>
          </cell>
        </row>
        <row r="333">
          <cell r="C333">
            <v>51765</v>
          </cell>
          <cell r="D333">
            <v>301355.32560294354</v>
          </cell>
          <cell r="E333">
            <v>273475.60975609755</v>
          </cell>
          <cell r="F333">
            <v>240000</v>
          </cell>
          <cell r="G333">
            <v>0</v>
          </cell>
          <cell r="H333">
            <v>0</v>
          </cell>
          <cell r="I333">
            <v>5776525.9187685382</v>
          </cell>
          <cell r="J333">
            <v>458010</v>
          </cell>
          <cell r="K333">
            <v>44000</v>
          </cell>
          <cell r="L333">
            <v>5274500</v>
          </cell>
          <cell r="M333">
            <v>19.6875</v>
          </cell>
        </row>
        <row r="334">
          <cell r="C334">
            <v>51941</v>
          </cell>
          <cell r="D334">
            <v>113642.10125782981</v>
          </cell>
          <cell r="E334">
            <v>300000</v>
          </cell>
          <cell r="F334">
            <v>240000</v>
          </cell>
          <cell r="G334">
            <v>0</v>
          </cell>
          <cell r="H334">
            <v>0</v>
          </cell>
          <cell r="I334">
            <v>6606570.8795114011</v>
          </cell>
          <cell r="J334">
            <v>458010</v>
          </cell>
          <cell r="K334">
            <v>44000</v>
          </cell>
          <cell r="L334">
            <v>6104600</v>
          </cell>
          <cell r="M334">
            <v>21.5</v>
          </cell>
        </row>
        <row r="335">
          <cell r="C335">
            <v>51962</v>
          </cell>
          <cell r="D335">
            <v>647400.30787953723</v>
          </cell>
          <cell r="E335">
            <v>300000</v>
          </cell>
          <cell r="F335">
            <v>480000</v>
          </cell>
          <cell r="G335">
            <v>0</v>
          </cell>
          <cell r="H335">
            <v>0</v>
          </cell>
          <cell r="I335">
            <v>7220346.3267358476</v>
          </cell>
          <cell r="J335">
            <v>458010</v>
          </cell>
          <cell r="K335">
            <v>44000</v>
          </cell>
          <cell r="L335">
            <v>6718300</v>
          </cell>
          <cell r="M335">
            <v>21.5</v>
          </cell>
        </row>
        <row r="336">
          <cell r="C336">
            <v>50046</v>
          </cell>
          <cell r="D336">
            <v>0</v>
          </cell>
          <cell r="E336">
            <v>294359.75609756098</v>
          </cell>
          <cell r="F336">
            <v>180000</v>
          </cell>
          <cell r="G336">
            <v>0</v>
          </cell>
          <cell r="H336">
            <v>0</v>
          </cell>
          <cell r="I336">
            <v>7940398.5172635512</v>
          </cell>
          <cell r="J336">
            <v>458010</v>
          </cell>
          <cell r="K336">
            <v>44000</v>
          </cell>
          <cell r="L336">
            <v>7438400</v>
          </cell>
          <cell r="M336">
            <v>21.114583333333332</v>
          </cell>
        </row>
        <row r="337">
          <cell r="C337">
            <v>50138</v>
          </cell>
          <cell r="D337">
            <v>0</v>
          </cell>
          <cell r="E337">
            <v>297896.3414634146</v>
          </cell>
          <cell r="F337">
            <v>0</v>
          </cell>
          <cell r="G337">
            <v>0</v>
          </cell>
          <cell r="H337">
            <v>0</v>
          </cell>
          <cell r="I337">
            <v>9339367.3024373818</v>
          </cell>
          <cell r="J337">
            <v>458010</v>
          </cell>
          <cell r="K337">
            <v>44000</v>
          </cell>
          <cell r="L337">
            <v>8837400</v>
          </cell>
          <cell r="M337">
            <v>21.356249999999999</v>
          </cell>
        </row>
        <row r="338">
          <cell r="C338">
            <v>50394</v>
          </cell>
          <cell r="D338">
            <v>0</v>
          </cell>
          <cell r="E338">
            <v>300000</v>
          </cell>
          <cell r="F338">
            <v>180000</v>
          </cell>
          <cell r="G338">
            <v>200000</v>
          </cell>
          <cell r="H338">
            <v>0</v>
          </cell>
          <cell r="I338">
            <v>9797774.1366701499</v>
          </cell>
          <cell r="J338">
            <v>458010</v>
          </cell>
          <cell r="K338">
            <v>44000</v>
          </cell>
          <cell r="L338">
            <v>9295800</v>
          </cell>
          <cell r="M338">
            <v>22.5</v>
          </cell>
        </row>
        <row r="339">
          <cell r="C339">
            <v>50628</v>
          </cell>
          <cell r="D339">
            <v>0</v>
          </cell>
          <cell r="E339">
            <v>263414.63414634147</v>
          </cell>
          <cell r="F339">
            <v>150000</v>
          </cell>
          <cell r="G339">
            <v>0</v>
          </cell>
          <cell r="H339">
            <v>0</v>
          </cell>
          <cell r="I339">
            <v>7046959.0643811692</v>
          </cell>
          <cell r="J339">
            <v>458010</v>
          </cell>
          <cell r="K339">
            <v>44000</v>
          </cell>
          <cell r="L339">
            <v>6544900</v>
          </cell>
          <cell r="M339">
            <v>19</v>
          </cell>
        </row>
        <row r="340">
          <cell r="C340">
            <v>50863</v>
          </cell>
          <cell r="D340">
            <v>0</v>
          </cell>
          <cell r="E340">
            <v>297256.09756097558</v>
          </cell>
          <cell r="F340">
            <v>120000</v>
          </cell>
          <cell r="G340">
            <v>0</v>
          </cell>
          <cell r="H340">
            <v>0</v>
          </cell>
          <cell r="I340">
            <v>7665392.4709460922</v>
          </cell>
          <cell r="J340">
            <v>458010</v>
          </cell>
          <cell r="K340">
            <v>44000</v>
          </cell>
          <cell r="L340">
            <v>7163400</v>
          </cell>
          <cell r="M340">
            <v>21.3125</v>
          </cell>
        </row>
        <row r="341">
          <cell r="C341">
            <v>50998</v>
          </cell>
          <cell r="D341">
            <v>0</v>
          </cell>
          <cell r="E341">
            <v>298170.73170731706</v>
          </cell>
          <cell r="F341">
            <v>200000</v>
          </cell>
          <cell r="G341">
            <v>0</v>
          </cell>
          <cell r="H341">
            <v>0</v>
          </cell>
          <cell r="I341">
            <v>8857764.2220218107</v>
          </cell>
          <cell r="J341">
            <v>458010</v>
          </cell>
          <cell r="K341">
            <v>44000</v>
          </cell>
          <cell r="L341">
            <v>8355800</v>
          </cell>
          <cell r="M341">
            <v>21.375</v>
          </cell>
        </row>
        <row r="342">
          <cell r="C342">
            <v>51264</v>
          </cell>
          <cell r="D342">
            <v>363073.30372966989</v>
          </cell>
          <cell r="E342">
            <v>253048.78048780491</v>
          </cell>
          <cell r="F342">
            <v>180000</v>
          </cell>
          <cell r="G342">
            <v>0</v>
          </cell>
          <cell r="H342">
            <v>0</v>
          </cell>
          <cell r="I342">
            <v>5843503.2011171104</v>
          </cell>
          <cell r="J342">
            <v>458010</v>
          </cell>
          <cell r="K342">
            <v>44000</v>
          </cell>
          <cell r="L342">
            <v>5341500</v>
          </cell>
          <cell r="M342">
            <v>18.291666666666668</v>
          </cell>
        </row>
        <row r="343">
          <cell r="C343">
            <v>51293</v>
          </cell>
          <cell r="D343">
            <v>0</v>
          </cell>
          <cell r="E343">
            <v>300000</v>
          </cell>
          <cell r="F343">
            <v>180000</v>
          </cell>
          <cell r="G343">
            <v>0</v>
          </cell>
          <cell r="H343">
            <v>0</v>
          </cell>
          <cell r="I343">
            <v>8233642.6533362735</v>
          </cell>
          <cell r="J343">
            <v>458010</v>
          </cell>
          <cell r="K343">
            <v>44000</v>
          </cell>
          <cell r="L343">
            <v>7731600</v>
          </cell>
          <cell r="M343">
            <v>21.5</v>
          </cell>
        </row>
        <row r="344">
          <cell r="C344">
            <v>51380</v>
          </cell>
          <cell r="D344">
            <v>63957.131726866588</v>
          </cell>
          <cell r="E344">
            <v>204878.04878048779</v>
          </cell>
          <cell r="F344">
            <v>180000</v>
          </cell>
          <cell r="G344">
            <v>0</v>
          </cell>
          <cell r="H344">
            <v>0</v>
          </cell>
          <cell r="I344">
            <v>4733314.0420536213</v>
          </cell>
          <cell r="J344">
            <v>458010</v>
          </cell>
          <cell r="K344">
            <v>44000</v>
          </cell>
          <cell r="L344">
            <v>4231300</v>
          </cell>
          <cell r="M344">
            <v>15</v>
          </cell>
        </row>
        <row r="345">
          <cell r="C345">
            <v>51440</v>
          </cell>
          <cell r="D345">
            <v>0</v>
          </cell>
          <cell r="E345">
            <v>270731.70731707319</v>
          </cell>
          <cell r="F345">
            <v>210000</v>
          </cell>
          <cell r="G345">
            <v>0</v>
          </cell>
          <cell r="H345">
            <v>0</v>
          </cell>
          <cell r="I345">
            <v>8420069.7312755641</v>
          </cell>
          <cell r="J345">
            <v>458010</v>
          </cell>
          <cell r="K345">
            <v>44000</v>
          </cell>
          <cell r="L345">
            <v>7918100</v>
          </cell>
          <cell r="M345">
            <v>18.5</v>
          </cell>
        </row>
        <row r="346">
          <cell r="C346">
            <v>51586</v>
          </cell>
          <cell r="E346">
            <v>274847.56097560975</v>
          </cell>
          <cell r="F346">
            <v>180000</v>
          </cell>
          <cell r="G346">
            <v>0</v>
          </cell>
          <cell r="H346">
            <v>0</v>
          </cell>
          <cell r="I346">
            <v>6593565.0119580887</v>
          </cell>
          <cell r="J346">
            <v>458010</v>
          </cell>
          <cell r="K346">
            <v>44000</v>
          </cell>
          <cell r="L346">
            <v>6091600</v>
          </cell>
          <cell r="M346">
            <v>19.78125</v>
          </cell>
        </row>
        <row r="347">
          <cell r="C347">
            <v>51589</v>
          </cell>
          <cell r="D347">
            <v>0</v>
          </cell>
          <cell r="E347">
            <v>294969.51219512196</v>
          </cell>
          <cell r="F347">
            <v>120000</v>
          </cell>
          <cell r="G347">
            <v>0</v>
          </cell>
          <cell r="H347">
            <v>0</v>
          </cell>
          <cell r="I347">
            <v>8415405.1724453531</v>
          </cell>
          <cell r="J347">
            <v>458010</v>
          </cell>
          <cell r="K347">
            <v>44000</v>
          </cell>
          <cell r="L347">
            <v>7913400</v>
          </cell>
          <cell r="M347">
            <v>21.15625</v>
          </cell>
        </row>
        <row r="348">
          <cell r="C348">
            <v>51590</v>
          </cell>
          <cell r="E348">
            <v>298170.73170731706</v>
          </cell>
          <cell r="F348">
            <v>180000</v>
          </cell>
          <cell r="G348">
            <v>0</v>
          </cell>
          <cell r="H348">
            <v>0</v>
          </cell>
          <cell r="I348">
            <v>7426904.5412613144</v>
          </cell>
          <cell r="J348">
            <v>458010</v>
          </cell>
          <cell r="K348">
            <v>44000</v>
          </cell>
          <cell r="L348">
            <v>6924900</v>
          </cell>
          <cell r="M348">
            <v>21.375</v>
          </cell>
        </row>
        <row r="349">
          <cell r="C349">
            <v>51675</v>
          </cell>
          <cell r="D349">
            <v>0</v>
          </cell>
          <cell r="E349">
            <v>284908.53658536583</v>
          </cell>
          <cell r="F349">
            <v>240000</v>
          </cell>
          <cell r="G349">
            <v>0</v>
          </cell>
          <cell r="H349">
            <v>0</v>
          </cell>
          <cell r="I349">
            <v>8609530.7767843194</v>
          </cell>
          <cell r="J349">
            <v>458010</v>
          </cell>
          <cell r="K349">
            <v>44000</v>
          </cell>
          <cell r="L349">
            <v>8107500</v>
          </cell>
          <cell r="M349">
            <v>20.46875</v>
          </cell>
        </row>
        <row r="350">
          <cell r="C350">
            <v>51742</v>
          </cell>
          <cell r="D350">
            <v>0</v>
          </cell>
          <cell r="E350">
            <v>248780.48780487804</v>
          </cell>
          <cell r="F350">
            <v>200000</v>
          </cell>
          <cell r="G350">
            <v>0</v>
          </cell>
          <cell r="H350">
            <v>0</v>
          </cell>
          <cell r="I350">
            <v>6119415.0898955539</v>
          </cell>
          <cell r="K350">
            <v>0</v>
          </cell>
          <cell r="L350">
            <v>6119400</v>
          </cell>
          <cell r="M350">
            <v>18</v>
          </cell>
        </row>
        <row r="351">
          <cell r="C351">
            <v>52042</v>
          </cell>
          <cell r="D351">
            <v>0</v>
          </cell>
          <cell r="E351">
            <v>300000</v>
          </cell>
          <cell r="F351">
            <v>0</v>
          </cell>
          <cell r="G351">
            <v>0</v>
          </cell>
          <cell r="H351">
            <v>0</v>
          </cell>
          <cell r="I351">
            <v>6859042.9400379369</v>
          </cell>
          <cell r="K351">
            <v>0</v>
          </cell>
          <cell r="L351">
            <v>6859000</v>
          </cell>
          <cell r="M351">
            <v>21.5</v>
          </cell>
        </row>
        <row r="352">
          <cell r="C352">
            <v>51926</v>
          </cell>
          <cell r="D352">
            <v>0</v>
          </cell>
          <cell r="E352">
            <v>292682.92682926828</v>
          </cell>
          <cell r="F352">
            <v>90000</v>
          </cell>
          <cell r="G352">
            <v>0</v>
          </cell>
          <cell r="H352">
            <v>0</v>
          </cell>
          <cell r="I352">
            <v>10117817.651618224</v>
          </cell>
          <cell r="J352">
            <v>458010</v>
          </cell>
          <cell r="K352">
            <v>44000</v>
          </cell>
          <cell r="L352">
            <v>9615800</v>
          </cell>
          <cell r="M352">
            <v>21</v>
          </cell>
        </row>
        <row r="353">
          <cell r="C353">
            <v>51963</v>
          </cell>
          <cell r="E353">
            <v>300000</v>
          </cell>
          <cell r="F353">
            <v>90000</v>
          </cell>
          <cell r="G353">
            <v>0</v>
          </cell>
          <cell r="H353">
            <v>0</v>
          </cell>
          <cell r="I353">
            <v>7318062.8631378729</v>
          </cell>
          <cell r="J353">
            <v>458010</v>
          </cell>
          <cell r="K353">
            <v>44000</v>
          </cell>
          <cell r="L353">
            <v>6816100</v>
          </cell>
          <cell r="M353">
            <v>21.5</v>
          </cell>
        </row>
        <row r="354">
          <cell r="C354">
            <v>51974</v>
          </cell>
          <cell r="D354">
            <v>0</v>
          </cell>
          <cell r="E354">
            <v>298475.60975609755</v>
          </cell>
          <cell r="F354">
            <v>270000</v>
          </cell>
          <cell r="G354">
            <v>0</v>
          </cell>
          <cell r="H354">
            <v>0</v>
          </cell>
          <cell r="I354">
            <v>7921099.0378805222</v>
          </cell>
          <cell r="K354">
            <v>0</v>
          </cell>
          <cell r="L354">
            <v>7921100</v>
          </cell>
          <cell r="M354">
            <v>21.395833333333332</v>
          </cell>
        </row>
        <row r="355">
          <cell r="C355">
            <v>51978</v>
          </cell>
          <cell r="D355">
            <v>155049.53212991683</v>
          </cell>
          <cell r="E355">
            <v>300000</v>
          </cell>
          <cell r="F355">
            <v>90000</v>
          </cell>
          <cell r="G355">
            <v>0</v>
          </cell>
          <cell r="H355">
            <v>0</v>
          </cell>
          <cell r="I355">
            <v>6855443.2119213734</v>
          </cell>
          <cell r="J355">
            <v>458010</v>
          </cell>
          <cell r="K355">
            <v>44000</v>
          </cell>
          <cell r="L355">
            <v>6353400</v>
          </cell>
          <cell r="M355">
            <v>20.5</v>
          </cell>
        </row>
        <row r="356">
          <cell r="C356">
            <v>52000</v>
          </cell>
          <cell r="D356">
            <v>0</v>
          </cell>
          <cell r="E356">
            <v>281707.31707317074</v>
          </cell>
          <cell r="F356">
            <v>90000</v>
          </cell>
          <cell r="G356">
            <v>0</v>
          </cell>
          <cell r="H356">
            <v>0</v>
          </cell>
          <cell r="I356">
            <v>7076029.5362567846</v>
          </cell>
          <cell r="J356">
            <v>458010</v>
          </cell>
          <cell r="K356">
            <v>44000</v>
          </cell>
          <cell r="L356">
            <v>6574000</v>
          </cell>
          <cell r="M356">
            <v>20.25</v>
          </cell>
        </row>
        <row r="357">
          <cell r="C357">
            <v>52009</v>
          </cell>
          <cell r="D357">
            <v>0</v>
          </cell>
          <cell r="E357">
            <v>290853.65853658534</v>
          </cell>
          <cell r="F357">
            <v>60000</v>
          </cell>
          <cell r="G357">
            <v>0</v>
          </cell>
          <cell r="H357">
            <v>0</v>
          </cell>
          <cell r="I357">
            <v>8368562.812792602</v>
          </cell>
          <cell r="J357">
            <v>458010</v>
          </cell>
          <cell r="K357">
            <v>44000</v>
          </cell>
          <cell r="L357">
            <v>7866600</v>
          </cell>
          <cell r="M357">
            <v>20.875</v>
          </cell>
        </row>
        <row r="358">
          <cell r="C358">
            <v>10127</v>
          </cell>
          <cell r="D358">
            <v>0</v>
          </cell>
          <cell r="E358">
            <v>300000</v>
          </cell>
          <cell r="F358">
            <v>595000</v>
          </cell>
          <cell r="G358">
            <v>0</v>
          </cell>
          <cell r="H358">
            <v>0</v>
          </cell>
          <cell r="I358">
            <v>9214419.2000887282</v>
          </cell>
          <cell r="K358">
            <v>0</v>
          </cell>
          <cell r="L358">
            <v>9214400</v>
          </cell>
          <cell r="M358">
            <v>22</v>
          </cell>
        </row>
        <row r="359">
          <cell r="C359">
            <v>50063</v>
          </cell>
          <cell r="D359">
            <v>0</v>
          </cell>
          <cell r="E359">
            <v>300000</v>
          </cell>
          <cell r="F359">
            <v>90000</v>
          </cell>
          <cell r="G359">
            <v>0</v>
          </cell>
          <cell r="H359">
            <v>0</v>
          </cell>
          <cell r="I359">
            <v>9711572.6606851816</v>
          </cell>
          <cell r="J359">
            <v>458010</v>
          </cell>
          <cell r="K359">
            <v>44000</v>
          </cell>
          <cell r="L359">
            <v>9209600</v>
          </cell>
          <cell r="M359">
            <v>21.5</v>
          </cell>
        </row>
        <row r="360">
          <cell r="C360">
            <v>50089</v>
          </cell>
          <cell r="D360">
            <v>0</v>
          </cell>
          <cell r="E360">
            <v>300000</v>
          </cell>
          <cell r="F360">
            <v>120000</v>
          </cell>
          <cell r="G360">
            <v>0</v>
          </cell>
          <cell r="H360">
            <v>0</v>
          </cell>
          <cell r="I360">
            <v>8145110.1435339516</v>
          </cell>
          <cell r="J360">
            <v>458010</v>
          </cell>
          <cell r="K360">
            <v>44000</v>
          </cell>
          <cell r="L360">
            <v>7643100</v>
          </cell>
          <cell r="M360">
            <v>22</v>
          </cell>
        </row>
        <row r="361">
          <cell r="C361">
            <v>51222</v>
          </cell>
          <cell r="D361">
            <v>0</v>
          </cell>
          <cell r="E361">
            <v>278048.78048780485</v>
          </cell>
          <cell r="F361">
            <v>210000</v>
          </cell>
          <cell r="G361">
            <v>0</v>
          </cell>
          <cell r="H361">
            <v>0</v>
          </cell>
          <cell r="I361">
            <v>7713209.954868922</v>
          </cell>
          <cell r="J361">
            <v>458010</v>
          </cell>
          <cell r="K361">
            <v>44000</v>
          </cell>
          <cell r="L361">
            <v>7211200</v>
          </cell>
          <cell r="M361">
            <v>20</v>
          </cell>
        </row>
        <row r="362">
          <cell r="C362">
            <v>51624</v>
          </cell>
          <cell r="D362">
            <v>0</v>
          </cell>
          <cell r="E362">
            <v>263414.63414634147</v>
          </cell>
          <cell r="F362">
            <v>315000</v>
          </cell>
          <cell r="G362">
            <v>0</v>
          </cell>
          <cell r="H362">
            <v>0</v>
          </cell>
          <cell r="I362">
            <v>8531003.471511608</v>
          </cell>
          <cell r="J362">
            <v>458010</v>
          </cell>
          <cell r="K362">
            <v>44000</v>
          </cell>
          <cell r="L362">
            <v>8029000</v>
          </cell>
          <cell r="M362">
            <v>19.5</v>
          </cell>
        </row>
        <row r="363">
          <cell r="C363">
            <v>51874</v>
          </cell>
          <cell r="E363">
            <v>290152.43902439025</v>
          </cell>
          <cell r="F363">
            <v>360000</v>
          </cell>
          <cell r="G363">
            <v>0</v>
          </cell>
          <cell r="H363">
            <v>0</v>
          </cell>
          <cell r="I363">
            <v>7219573.8695223937</v>
          </cell>
          <cell r="J363">
            <v>458010</v>
          </cell>
          <cell r="K363">
            <v>44000</v>
          </cell>
          <cell r="L363">
            <v>6717600</v>
          </cell>
          <cell r="M363">
            <v>20.827083333333334</v>
          </cell>
        </row>
        <row r="364">
          <cell r="C364">
            <v>51907</v>
          </cell>
          <cell r="D364">
            <v>0</v>
          </cell>
          <cell r="E364">
            <v>300000</v>
          </cell>
          <cell r="F364">
            <v>120000</v>
          </cell>
          <cell r="G364">
            <v>0</v>
          </cell>
          <cell r="H364">
            <v>0</v>
          </cell>
          <cell r="I364">
            <v>7186126.5898693698</v>
          </cell>
          <cell r="J364">
            <v>458010</v>
          </cell>
          <cell r="K364">
            <v>44000</v>
          </cell>
          <cell r="L364">
            <v>6684100</v>
          </cell>
          <cell r="M364">
            <v>21.5</v>
          </cell>
        </row>
        <row r="365">
          <cell r="C365">
            <v>52005</v>
          </cell>
          <cell r="D365">
            <v>108061.15850760799</v>
          </cell>
          <cell r="E365">
            <v>300000</v>
          </cell>
          <cell r="F365">
            <v>120000</v>
          </cell>
          <cell r="G365">
            <v>0</v>
          </cell>
          <cell r="H365">
            <v>0</v>
          </cell>
          <cell r="I365">
            <v>6448112.3991846992</v>
          </cell>
          <cell r="J365">
            <v>458010</v>
          </cell>
          <cell r="K365">
            <v>44000</v>
          </cell>
          <cell r="L365">
            <v>5946100</v>
          </cell>
          <cell r="M365">
            <v>21.5</v>
          </cell>
        </row>
        <row r="366">
          <cell r="C366">
            <v>50616</v>
          </cell>
          <cell r="D366">
            <v>386769.07010069571</v>
          </cell>
          <cell r="E366">
            <v>297865.85365853662</v>
          </cell>
          <cell r="F366">
            <v>60000</v>
          </cell>
          <cell r="G366">
            <v>0</v>
          </cell>
          <cell r="H366">
            <v>0</v>
          </cell>
          <cell r="I366">
            <v>6367837.8893270716</v>
          </cell>
          <cell r="J366">
            <v>458010</v>
          </cell>
          <cell r="K366">
            <v>44000</v>
          </cell>
          <cell r="L366">
            <v>5865800</v>
          </cell>
          <cell r="M366">
            <v>21.354166666666668</v>
          </cell>
        </row>
        <row r="367">
          <cell r="C367">
            <v>50872</v>
          </cell>
          <cell r="D367">
            <v>0</v>
          </cell>
          <cell r="E367">
            <v>300000</v>
          </cell>
          <cell r="F367">
            <v>390000</v>
          </cell>
          <cell r="G367">
            <v>200000</v>
          </cell>
          <cell r="H367">
            <v>0</v>
          </cell>
          <cell r="I367">
            <v>10480174.813454481</v>
          </cell>
          <cell r="J367">
            <v>458010</v>
          </cell>
          <cell r="K367">
            <v>44000</v>
          </cell>
          <cell r="L367">
            <v>9978200</v>
          </cell>
          <cell r="M367">
            <v>22.5</v>
          </cell>
        </row>
        <row r="368">
          <cell r="C368">
            <v>51349</v>
          </cell>
          <cell r="D368">
            <v>0</v>
          </cell>
          <cell r="E368">
            <v>296036.58536585368</v>
          </cell>
          <cell r="F368">
            <v>240000</v>
          </cell>
          <cell r="G368">
            <v>0</v>
          </cell>
          <cell r="H368">
            <v>0</v>
          </cell>
          <cell r="I368">
            <v>8041569.8649823749</v>
          </cell>
          <cell r="J368">
            <v>458010</v>
          </cell>
          <cell r="K368">
            <v>44000</v>
          </cell>
          <cell r="L368">
            <v>7539600</v>
          </cell>
          <cell r="M368">
            <v>21.229166666666668</v>
          </cell>
        </row>
        <row r="369">
          <cell r="C369">
            <v>51655</v>
          </cell>
          <cell r="D369">
            <v>0</v>
          </cell>
          <cell r="E369">
            <v>300000</v>
          </cell>
          <cell r="F369">
            <v>240000</v>
          </cell>
          <cell r="G369">
            <v>0</v>
          </cell>
          <cell r="H369">
            <v>0</v>
          </cell>
          <cell r="I369">
            <v>7535863.8345054891</v>
          </cell>
          <cell r="J369">
            <v>458010</v>
          </cell>
          <cell r="K369">
            <v>44000</v>
          </cell>
          <cell r="L369">
            <v>7033900</v>
          </cell>
          <cell r="M369">
            <v>21.5</v>
          </cell>
        </row>
        <row r="370">
          <cell r="C370">
            <v>51704</v>
          </cell>
          <cell r="E370">
            <v>263414.63414634147</v>
          </cell>
          <cell r="F370">
            <v>210000</v>
          </cell>
          <cell r="G370">
            <v>0</v>
          </cell>
          <cell r="H370">
            <v>0</v>
          </cell>
          <cell r="I370">
            <v>8427663.9612200968</v>
          </cell>
          <cell r="J370">
            <v>458010</v>
          </cell>
          <cell r="K370">
            <v>44000</v>
          </cell>
          <cell r="L370">
            <v>7925700</v>
          </cell>
          <cell r="M370">
            <v>18</v>
          </cell>
        </row>
        <row r="371">
          <cell r="C371">
            <v>51911</v>
          </cell>
          <cell r="D371">
            <v>0</v>
          </cell>
          <cell r="E371">
            <v>285365.85365853657</v>
          </cell>
          <cell r="F371">
            <v>240000</v>
          </cell>
          <cell r="G371">
            <v>0</v>
          </cell>
          <cell r="H371">
            <v>0</v>
          </cell>
          <cell r="I371">
            <v>9094704.3815208599</v>
          </cell>
          <cell r="J371">
            <v>458010</v>
          </cell>
          <cell r="K371">
            <v>44000</v>
          </cell>
          <cell r="L371">
            <v>8592700</v>
          </cell>
          <cell r="M371">
            <v>20.5</v>
          </cell>
        </row>
        <row r="372">
          <cell r="C372">
            <v>51968</v>
          </cell>
          <cell r="D372">
            <v>0</v>
          </cell>
          <cell r="E372">
            <v>282774.39024390245</v>
          </cell>
          <cell r="F372">
            <v>240000</v>
          </cell>
          <cell r="G372">
            <v>0</v>
          </cell>
          <cell r="H372">
            <v>0</v>
          </cell>
          <cell r="I372">
            <v>8035032.6105770776</v>
          </cell>
          <cell r="J372">
            <v>458010</v>
          </cell>
          <cell r="K372">
            <v>44000</v>
          </cell>
          <cell r="L372">
            <v>7533000</v>
          </cell>
          <cell r="M372">
            <v>20.322916666666668</v>
          </cell>
        </row>
        <row r="373">
          <cell r="C373">
            <v>51982</v>
          </cell>
          <cell r="D373">
            <v>0</v>
          </cell>
          <cell r="E373">
            <v>300000</v>
          </cell>
          <cell r="F373">
            <v>240000</v>
          </cell>
          <cell r="G373">
            <v>0</v>
          </cell>
          <cell r="H373">
            <v>0</v>
          </cell>
          <cell r="I373">
            <v>9150206.8994912356</v>
          </cell>
          <cell r="J373">
            <v>458010</v>
          </cell>
          <cell r="K373">
            <v>44000</v>
          </cell>
          <cell r="L373">
            <v>8648200</v>
          </cell>
          <cell r="M373">
            <v>21.5</v>
          </cell>
        </row>
        <row r="374">
          <cell r="C374">
            <v>52035</v>
          </cell>
          <cell r="D374">
            <v>0</v>
          </cell>
          <cell r="E374">
            <v>292530.48780487804</v>
          </cell>
          <cell r="F374">
            <v>240000</v>
          </cell>
          <cell r="G374">
            <v>200000</v>
          </cell>
          <cell r="H374">
            <v>0</v>
          </cell>
          <cell r="I374">
            <v>8199324.662629297</v>
          </cell>
          <cell r="K374">
            <v>0</v>
          </cell>
          <cell r="L374">
            <v>8199300</v>
          </cell>
          <cell r="M374">
            <v>20.989583333333332</v>
          </cell>
        </row>
        <row r="375">
          <cell r="C375">
            <v>52038</v>
          </cell>
          <cell r="D375">
            <v>0</v>
          </cell>
          <cell r="F375">
            <v>240000</v>
          </cell>
          <cell r="G375">
            <v>0</v>
          </cell>
          <cell r="H375">
            <v>0</v>
          </cell>
          <cell r="I375">
            <v>7770293.3111696895</v>
          </cell>
          <cell r="J375">
            <v>458010</v>
          </cell>
          <cell r="K375">
            <v>44000</v>
          </cell>
          <cell r="L375">
            <v>7268300</v>
          </cell>
          <cell r="M375">
            <v>21.395833333333332</v>
          </cell>
        </row>
        <row r="376">
          <cell r="C376">
            <v>10163</v>
          </cell>
          <cell r="D376">
            <v>0</v>
          </cell>
          <cell r="E376">
            <v>289725.60975609755</v>
          </cell>
          <cell r="F376">
            <v>240000</v>
          </cell>
          <cell r="G376">
            <v>100000</v>
          </cell>
          <cell r="H376">
            <v>0</v>
          </cell>
          <cell r="I376">
            <v>7667438.0479735406</v>
          </cell>
          <cell r="K376">
            <v>0</v>
          </cell>
          <cell r="L376">
            <v>7667400</v>
          </cell>
          <cell r="M376">
            <v>21.297916666666666</v>
          </cell>
        </row>
        <row r="377">
          <cell r="C377">
            <v>50034</v>
          </cell>
          <cell r="D377">
            <v>0</v>
          </cell>
          <cell r="E377">
            <v>299085.36585365853</v>
          </cell>
          <cell r="F377">
            <v>240000</v>
          </cell>
          <cell r="G377">
            <v>0</v>
          </cell>
          <cell r="H377">
            <v>0</v>
          </cell>
          <cell r="I377">
            <v>8382819.0120148137</v>
          </cell>
          <cell r="J377">
            <v>458010</v>
          </cell>
          <cell r="K377">
            <v>44000</v>
          </cell>
          <cell r="L377">
            <v>7880800</v>
          </cell>
          <cell r="M377">
            <v>21.9375</v>
          </cell>
        </row>
        <row r="378">
          <cell r="C378">
            <v>50258</v>
          </cell>
          <cell r="D378">
            <v>0</v>
          </cell>
          <cell r="E378">
            <v>300000</v>
          </cell>
          <cell r="F378">
            <v>240000</v>
          </cell>
          <cell r="G378">
            <v>0</v>
          </cell>
          <cell r="H378">
            <v>0</v>
          </cell>
          <cell r="I378">
            <v>7891297.5107763298</v>
          </cell>
          <cell r="J378">
            <v>458010</v>
          </cell>
          <cell r="K378">
            <v>44000</v>
          </cell>
          <cell r="L378">
            <v>7389300</v>
          </cell>
          <cell r="M378">
            <v>21.5</v>
          </cell>
        </row>
        <row r="379">
          <cell r="C379">
            <v>50697</v>
          </cell>
          <cell r="D379">
            <v>0</v>
          </cell>
          <cell r="E379">
            <v>263414.63414634147</v>
          </cell>
          <cell r="F379">
            <v>240000</v>
          </cell>
          <cell r="G379">
            <v>200000</v>
          </cell>
          <cell r="H379">
            <v>0</v>
          </cell>
          <cell r="I379">
            <v>8828578.9438494127</v>
          </cell>
          <cell r="J379">
            <v>458010</v>
          </cell>
          <cell r="K379">
            <v>44000</v>
          </cell>
          <cell r="L379">
            <v>8326600</v>
          </cell>
          <cell r="M379">
            <v>20.5</v>
          </cell>
        </row>
        <row r="380">
          <cell r="C380">
            <v>50783</v>
          </cell>
          <cell r="E380">
            <v>285365.85365853657</v>
          </cell>
          <cell r="F380">
            <v>210000</v>
          </cell>
          <cell r="G380">
            <v>200000</v>
          </cell>
          <cell r="H380">
            <v>0</v>
          </cell>
          <cell r="I380">
            <v>7491914.0520002404</v>
          </cell>
          <cell r="J380">
            <v>458010</v>
          </cell>
          <cell r="K380">
            <v>44000</v>
          </cell>
          <cell r="L380">
            <v>6989900</v>
          </cell>
          <cell r="M380">
            <v>21.5</v>
          </cell>
        </row>
        <row r="381">
          <cell r="C381">
            <v>51241</v>
          </cell>
          <cell r="E381">
            <v>212195.12195121951</v>
          </cell>
          <cell r="F381">
            <v>60000</v>
          </cell>
          <cell r="G381">
            <v>0</v>
          </cell>
          <cell r="H381">
            <v>0</v>
          </cell>
          <cell r="I381">
            <v>4516942.5015775366</v>
          </cell>
          <cell r="J381">
            <v>458010</v>
          </cell>
          <cell r="K381">
            <v>44000</v>
          </cell>
          <cell r="L381">
            <v>4014900</v>
          </cell>
          <cell r="M381">
            <v>15.5</v>
          </cell>
        </row>
        <row r="382">
          <cell r="C382">
            <v>51343</v>
          </cell>
          <cell r="D382">
            <v>0</v>
          </cell>
          <cell r="E382">
            <v>298628.04878048779</v>
          </cell>
          <cell r="F382">
            <v>240000</v>
          </cell>
          <cell r="G382">
            <v>0</v>
          </cell>
          <cell r="H382">
            <v>0</v>
          </cell>
          <cell r="I382">
            <v>8255807.4911522027</v>
          </cell>
          <cell r="J382">
            <v>458010</v>
          </cell>
          <cell r="K382">
            <v>44000</v>
          </cell>
          <cell r="L382">
            <v>7753800</v>
          </cell>
          <cell r="M382">
            <v>21.40625</v>
          </cell>
        </row>
        <row r="383">
          <cell r="C383">
            <v>51581</v>
          </cell>
          <cell r="D383">
            <v>0</v>
          </cell>
          <cell r="E383">
            <v>270731.70731707319</v>
          </cell>
          <cell r="F383">
            <v>210000</v>
          </cell>
          <cell r="G383">
            <v>100000</v>
          </cell>
          <cell r="H383">
            <v>0</v>
          </cell>
          <cell r="I383">
            <v>7449940.325657526</v>
          </cell>
          <cell r="J383">
            <v>458010</v>
          </cell>
          <cell r="K383">
            <v>44000</v>
          </cell>
          <cell r="L383">
            <v>6947900</v>
          </cell>
          <cell r="M383">
            <v>20</v>
          </cell>
        </row>
        <row r="384">
          <cell r="C384">
            <v>51592</v>
          </cell>
          <cell r="D384">
            <v>0</v>
          </cell>
          <cell r="E384">
            <v>292682.92682926828</v>
          </cell>
          <cell r="F384">
            <v>240000</v>
          </cell>
          <cell r="G384">
            <v>0</v>
          </cell>
          <cell r="H384">
            <v>0</v>
          </cell>
          <cell r="I384">
            <v>7570840.195892103</v>
          </cell>
          <cell r="J384">
            <v>458010</v>
          </cell>
          <cell r="K384">
            <v>44000</v>
          </cell>
          <cell r="L384">
            <v>7068800</v>
          </cell>
          <cell r="M384">
            <v>21</v>
          </cell>
        </row>
        <row r="385">
          <cell r="C385">
            <v>52018</v>
          </cell>
          <cell r="D385">
            <v>0</v>
          </cell>
          <cell r="E385">
            <v>300000</v>
          </cell>
          <cell r="F385">
            <v>240000</v>
          </cell>
          <cell r="G385">
            <v>0</v>
          </cell>
          <cell r="H385">
            <v>0</v>
          </cell>
          <cell r="I385">
            <v>8470172.2989261951</v>
          </cell>
          <cell r="K385">
            <v>0</v>
          </cell>
          <cell r="L385">
            <v>8470200</v>
          </cell>
          <cell r="M385">
            <v>21.5</v>
          </cell>
        </row>
        <row r="386">
          <cell r="C386">
            <v>50011</v>
          </cell>
          <cell r="D386">
            <v>0</v>
          </cell>
          <cell r="E386">
            <v>300000</v>
          </cell>
          <cell r="F386">
            <v>240000</v>
          </cell>
          <cell r="G386">
            <v>0</v>
          </cell>
          <cell r="H386">
            <v>0</v>
          </cell>
          <cell r="I386">
            <v>9195766.7294651531</v>
          </cell>
          <cell r="J386">
            <v>458010</v>
          </cell>
          <cell r="K386">
            <v>44000</v>
          </cell>
          <cell r="L386">
            <v>8693800</v>
          </cell>
          <cell r="M386">
            <v>21.5</v>
          </cell>
        </row>
        <row r="387">
          <cell r="C387">
            <v>50255</v>
          </cell>
          <cell r="D387">
            <v>0</v>
          </cell>
          <cell r="E387">
            <v>300000</v>
          </cell>
          <cell r="F387">
            <v>240000</v>
          </cell>
          <cell r="G387">
            <v>0</v>
          </cell>
          <cell r="H387">
            <v>0</v>
          </cell>
          <cell r="I387">
            <v>9179590.759521503</v>
          </cell>
          <cell r="J387">
            <v>458010</v>
          </cell>
          <cell r="K387">
            <v>44000</v>
          </cell>
          <cell r="L387">
            <v>8677600</v>
          </cell>
          <cell r="M387">
            <v>21.5</v>
          </cell>
        </row>
        <row r="388">
          <cell r="C388">
            <v>50834</v>
          </cell>
          <cell r="D388">
            <v>0</v>
          </cell>
          <cell r="E388">
            <v>300000</v>
          </cell>
          <cell r="F388">
            <v>240000</v>
          </cell>
          <cell r="G388">
            <v>0</v>
          </cell>
          <cell r="H388">
            <v>0</v>
          </cell>
          <cell r="I388">
            <v>8203290.6584906476</v>
          </cell>
          <cell r="J388">
            <v>458010</v>
          </cell>
          <cell r="K388">
            <v>44000</v>
          </cell>
          <cell r="L388">
            <v>7701300</v>
          </cell>
          <cell r="M388">
            <v>21.5</v>
          </cell>
        </row>
        <row r="389">
          <cell r="C389">
            <v>50871</v>
          </cell>
          <cell r="E389">
            <v>260274.39024390242</v>
          </cell>
          <cell r="F389">
            <v>150000</v>
          </cell>
          <cell r="G389">
            <v>0</v>
          </cell>
          <cell r="H389">
            <v>0</v>
          </cell>
          <cell r="I389">
            <v>6201964.7397776935</v>
          </cell>
          <cell r="J389">
            <v>458010</v>
          </cell>
          <cell r="K389">
            <v>44000</v>
          </cell>
          <cell r="L389">
            <v>5700000</v>
          </cell>
          <cell r="M389">
            <v>18.785416666666666</v>
          </cell>
        </row>
        <row r="390">
          <cell r="C390">
            <v>50952</v>
          </cell>
          <cell r="D390">
            <v>300999.47610609187</v>
          </cell>
          <cell r="E390">
            <v>300000</v>
          </cell>
          <cell r="F390">
            <v>390000</v>
          </cell>
          <cell r="G390">
            <v>0</v>
          </cell>
          <cell r="H390">
            <v>0</v>
          </cell>
          <cell r="I390">
            <v>7416455.0912015997</v>
          </cell>
          <cell r="J390">
            <v>458010</v>
          </cell>
          <cell r="K390">
            <v>44000</v>
          </cell>
          <cell r="L390">
            <v>6914400</v>
          </cell>
          <cell r="M390">
            <v>21.5</v>
          </cell>
        </row>
        <row r="391">
          <cell r="C391">
            <v>51031</v>
          </cell>
          <cell r="D391">
            <v>0</v>
          </cell>
          <cell r="E391">
            <v>292682.92682926828</v>
          </cell>
          <cell r="F391">
            <v>240000</v>
          </cell>
          <cell r="G391">
            <v>0</v>
          </cell>
          <cell r="H391">
            <v>0</v>
          </cell>
          <cell r="I391">
            <v>8056428.5343418606</v>
          </cell>
          <cell r="J391">
            <v>458010</v>
          </cell>
          <cell r="K391">
            <v>44000</v>
          </cell>
          <cell r="L391">
            <v>7554400</v>
          </cell>
          <cell r="M391">
            <v>21</v>
          </cell>
        </row>
        <row r="392">
          <cell r="C392">
            <v>51140</v>
          </cell>
          <cell r="D392">
            <v>0</v>
          </cell>
          <cell r="E392">
            <v>300000</v>
          </cell>
          <cell r="F392">
            <v>240000</v>
          </cell>
          <cell r="G392">
            <v>0</v>
          </cell>
          <cell r="H392">
            <v>0</v>
          </cell>
          <cell r="I392">
            <v>9112314.5258399323</v>
          </cell>
          <cell r="J392">
            <v>458010</v>
          </cell>
          <cell r="K392">
            <v>44000</v>
          </cell>
          <cell r="L392">
            <v>8610300</v>
          </cell>
          <cell r="M392">
            <v>21.5</v>
          </cell>
        </row>
        <row r="393">
          <cell r="C393">
            <v>51166</v>
          </cell>
          <cell r="D393">
            <v>0</v>
          </cell>
          <cell r="E393">
            <v>204878.04878048779</v>
          </cell>
          <cell r="F393">
            <v>240000</v>
          </cell>
          <cell r="G393">
            <v>0</v>
          </cell>
          <cell r="H393">
            <v>0</v>
          </cell>
          <cell r="I393">
            <v>5764995.2076379666</v>
          </cell>
          <cell r="J393">
            <v>458010</v>
          </cell>
          <cell r="K393">
            <v>44000</v>
          </cell>
          <cell r="L393">
            <v>5263000</v>
          </cell>
          <cell r="M393">
            <v>15</v>
          </cell>
        </row>
        <row r="394">
          <cell r="C394">
            <v>51219</v>
          </cell>
          <cell r="F394">
            <v>240000</v>
          </cell>
          <cell r="G394">
            <v>0</v>
          </cell>
          <cell r="H394">
            <v>0</v>
          </cell>
          <cell r="I394">
            <v>5563949.5259126145</v>
          </cell>
          <cell r="J394">
            <v>458010</v>
          </cell>
          <cell r="K394">
            <v>44000</v>
          </cell>
          <cell r="L394">
            <v>5061900</v>
          </cell>
          <cell r="M394">
            <v>19</v>
          </cell>
        </row>
        <row r="395">
          <cell r="C395">
            <v>51230</v>
          </cell>
          <cell r="D395">
            <v>0</v>
          </cell>
          <cell r="E395">
            <v>239939.0243902439</v>
          </cell>
          <cell r="F395">
            <v>330000</v>
          </cell>
          <cell r="G395">
            <v>0</v>
          </cell>
          <cell r="H395">
            <v>0</v>
          </cell>
          <cell r="I395">
            <v>6797687.8941412177</v>
          </cell>
          <cell r="J395">
            <v>458010</v>
          </cell>
          <cell r="K395">
            <v>44000</v>
          </cell>
          <cell r="L395">
            <v>6295700</v>
          </cell>
          <cell r="M395">
            <v>17.395833333333332</v>
          </cell>
        </row>
        <row r="396">
          <cell r="C396">
            <v>51324</v>
          </cell>
          <cell r="D396">
            <v>0</v>
          </cell>
          <cell r="E396">
            <v>288719.51219512196</v>
          </cell>
          <cell r="F396">
            <v>270000</v>
          </cell>
          <cell r="G396">
            <v>200000</v>
          </cell>
          <cell r="H396">
            <v>0</v>
          </cell>
          <cell r="I396">
            <v>8184943.6311643813</v>
          </cell>
          <cell r="J396">
            <v>458010</v>
          </cell>
          <cell r="K396">
            <v>44000</v>
          </cell>
          <cell r="L396">
            <v>7682900</v>
          </cell>
          <cell r="M396">
            <v>21.729166666666668</v>
          </cell>
        </row>
        <row r="397">
          <cell r="C397">
            <v>51402</v>
          </cell>
          <cell r="D397">
            <v>319546.93641380931</v>
          </cell>
          <cell r="E397">
            <v>285365.85365853657</v>
          </cell>
          <cell r="F397">
            <v>240000</v>
          </cell>
          <cell r="G397">
            <v>0</v>
          </cell>
          <cell r="H397">
            <v>0</v>
          </cell>
          <cell r="I397">
            <v>5659701.3787831897</v>
          </cell>
          <cell r="J397">
            <v>458010</v>
          </cell>
          <cell r="K397">
            <v>44000</v>
          </cell>
          <cell r="L397">
            <v>5157700</v>
          </cell>
          <cell r="M397">
            <v>19.5</v>
          </cell>
        </row>
        <row r="398">
          <cell r="C398">
            <v>51441</v>
          </cell>
          <cell r="D398">
            <v>0</v>
          </cell>
          <cell r="E398">
            <v>298170.73170731706</v>
          </cell>
          <cell r="F398">
            <v>240000</v>
          </cell>
          <cell r="G398">
            <v>200000</v>
          </cell>
          <cell r="H398">
            <v>0</v>
          </cell>
          <cell r="I398">
            <v>8183512.4197002416</v>
          </cell>
          <cell r="J398">
            <v>458010</v>
          </cell>
          <cell r="K398">
            <v>44000</v>
          </cell>
          <cell r="L398">
            <v>7681500</v>
          </cell>
          <cell r="M398">
            <v>22.375</v>
          </cell>
        </row>
        <row r="399">
          <cell r="C399">
            <v>51613</v>
          </cell>
          <cell r="D399">
            <v>0</v>
          </cell>
          <cell r="E399">
            <v>299237.80487804877</v>
          </cell>
          <cell r="F399">
            <v>240000</v>
          </cell>
          <cell r="G399">
            <v>0</v>
          </cell>
          <cell r="H399">
            <v>0</v>
          </cell>
          <cell r="I399">
            <v>9002539.9326029215</v>
          </cell>
          <cell r="J399">
            <v>458010</v>
          </cell>
          <cell r="K399">
            <v>44000</v>
          </cell>
          <cell r="L399">
            <v>8500500</v>
          </cell>
          <cell r="M399">
            <v>21.447916666666668</v>
          </cell>
        </row>
        <row r="400">
          <cell r="C400">
            <v>51753</v>
          </cell>
          <cell r="D400">
            <v>0</v>
          </cell>
          <cell r="E400">
            <v>253780.48780487801</v>
          </cell>
          <cell r="F400">
            <v>390000</v>
          </cell>
          <cell r="G400">
            <v>0</v>
          </cell>
          <cell r="H400">
            <v>0</v>
          </cell>
          <cell r="I400">
            <v>10765993.146047052</v>
          </cell>
          <cell r="J400">
            <v>458010</v>
          </cell>
          <cell r="K400">
            <v>44000</v>
          </cell>
          <cell r="L400">
            <v>10264000</v>
          </cell>
          <cell r="M400">
            <v>18.341666666666665</v>
          </cell>
        </row>
        <row r="401">
          <cell r="C401">
            <v>51784</v>
          </cell>
          <cell r="E401">
            <v>298018.29268292681</v>
          </cell>
          <cell r="F401">
            <v>240000</v>
          </cell>
          <cell r="G401">
            <v>0</v>
          </cell>
          <cell r="H401">
            <v>0</v>
          </cell>
          <cell r="I401">
            <v>7421982.4700868893</v>
          </cell>
          <cell r="J401">
            <v>458010</v>
          </cell>
          <cell r="K401">
            <v>44000</v>
          </cell>
          <cell r="L401">
            <v>6920000</v>
          </cell>
          <cell r="M401">
            <v>21.364583333333332</v>
          </cell>
        </row>
        <row r="402">
          <cell r="C402">
            <v>52027</v>
          </cell>
          <cell r="D402">
            <v>258400.44529360184</v>
          </cell>
          <cell r="E402">
            <v>300000</v>
          </cell>
          <cell r="F402">
            <v>360000</v>
          </cell>
          <cell r="G402">
            <v>0</v>
          </cell>
          <cell r="H402">
            <v>0</v>
          </cell>
          <cell r="I402">
            <v>6544936.4008602435</v>
          </cell>
          <cell r="K402">
            <v>0</v>
          </cell>
          <cell r="L402">
            <v>6544900</v>
          </cell>
          <cell r="M402">
            <v>21.5</v>
          </cell>
        </row>
        <row r="403">
          <cell r="C403">
            <v>10081</v>
          </cell>
          <cell r="D403">
            <v>0</v>
          </cell>
          <cell r="E403">
            <v>300000</v>
          </cell>
          <cell r="F403">
            <v>240000</v>
          </cell>
          <cell r="G403">
            <v>100000</v>
          </cell>
          <cell r="H403">
            <v>0</v>
          </cell>
          <cell r="I403">
            <v>7064524.2181889312</v>
          </cell>
          <cell r="K403">
            <v>0</v>
          </cell>
          <cell r="L403">
            <v>7064500</v>
          </cell>
          <cell r="M403">
            <v>22</v>
          </cell>
        </row>
        <row r="404">
          <cell r="C404">
            <v>50364</v>
          </cell>
          <cell r="D404">
            <v>0</v>
          </cell>
          <cell r="E404">
            <v>298780.48780487804</v>
          </cell>
          <cell r="F404">
            <v>360000</v>
          </cell>
          <cell r="G404">
            <v>0</v>
          </cell>
          <cell r="H404">
            <v>0</v>
          </cell>
          <cell r="I404">
            <v>7923775.3453778531</v>
          </cell>
          <cell r="J404">
            <v>458010</v>
          </cell>
          <cell r="K404">
            <v>44000</v>
          </cell>
          <cell r="L404">
            <v>7421800</v>
          </cell>
          <cell r="M404">
            <v>20.416666666666668</v>
          </cell>
        </row>
        <row r="405">
          <cell r="C405">
            <v>50522</v>
          </cell>
          <cell r="D405">
            <v>0</v>
          </cell>
          <cell r="E405">
            <v>300000</v>
          </cell>
          <cell r="F405">
            <v>360000</v>
          </cell>
          <cell r="G405">
            <v>0</v>
          </cell>
          <cell r="H405">
            <v>0</v>
          </cell>
          <cell r="I405">
            <v>8069898.064911956</v>
          </cell>
          <cell r="J405">
            <v>458010</v>
          </cell>
          <cell r="K405">
            <v>44000</v>
          </cell>
          <cell r="L405">
            <v>7567900</v>
          </cell>
          <cell r="M405">
            <v>21.5</v>
          </cell>
        </row>
        <row r="406">
          <cell r="C406">
            <v>50757</v>
          </cell>
          <cell r="D406">
            <v>0</v>
          </cell>
          <cell r="E406">
            <v>297865.85365853662</v>
          </cell>
          <cell r="F406">
            <v>360000</v>
          </cell>
          <cell r="G406">
            <v>0</v>
          </cell>
          <cell r="H406">
            <v>0</v>
          </cell>
          <cell r="I406">
            <v>7202132.3944532741</v>
          </cell>
          <cell r="J406">
            <v>458010</v>
          </cell>
          <cell r="K406">
            <v>44000</v>
          </cell>
          <cell r="L406">
            <v>6700100</v>
          </cell>
          <cell r="M406">
            <v>21.354166666666668</v>
          </cell>
        </row>
        <row r="407">
          <cell r="C407">
            <v>50777</v>
          </cell>
          <cell r="E407">
            <v>299695.12195121951</v>
          </cell>
          <cell r="F407">
            <v>390000</v>
          </cell>
          <cell r="G407">
            <v>0</v>
          </cell>
          <cell r="H407">
            <v>0</v>
          </cell>
          <cell r="I407">
            <v>7473401.3884498235</v>
          </cell>
          <cell r="J407">
            <v>458010</v>
          </cell>
          <cell r="K407">
            <v>44000</v>
          </cell>
          <cell r="L407">
            <v>6971400</v>
          </cell>
          <cell r="M407">
            <v>21.479166666666668</v>
          </cell>
        </row>
        <row r="408">
          <cell r="C408">
            <v>50786</v>
          </cell>
          <cell r="D408">
            <v>0</v>
          </cell>
          <cell r="E408">
            <v>300000</v>
          </cell>
          <cell r="F408">
            <v>360000</v>
          </cell>
          <cell r="G408">
            <v>0</v>
          </cell>
          <cell r="H408">
            <v>0</v>
          </cell>
          <cell r="I408">
            <v>8468960.5645905361</v>
          </cell>
          <cell r="J408">
            <v>458010</v>
          </cell>
          <cell r="K408">
            <v>44000</v>
          </cell>
          <cell r="L408">
            <v>7967000</v>
          </cell>
          <cell r="M408">
            <v>21.5</v>
          </cell>
        </row>
        <row r="409">
          <cell r="C409">
            <v>51338</v>
          </cell>
          <cell r="D409">
            <v>0</v>
          </cell>
          <cell r="E409">
            <v>292682.92682926828</v>
          </cell>
          <cell r="F409">
            <v>360000</v>
          </cell>
          <cell r="G409">
            <v>200000</v>
          </cell>
          <cell r="H409">
            <v>0</v>
          </cell>
          <cell r="I409">
            <v>9161061.5817486476</v>
          </cell>
          <cell r="J409">
            <v>458010</v>
          </cell>
          <cell r="K409">
            <v>44000</v>
          </cell>
          <cell r="L409">
            <v>8659100</v>
          </cell>
          <cell r="M409">
            <v>22</v>
          </cell>
        </row>
        <row r="410">
          <cell r="C410">
            <v>51340</v>
          </cell>
          <cell r="E410">
            <v>300000</v>
          </cell>
          <cell r="F410">
            <v>360000</v>
          </cell>
          <cell r="G410">
            <v>0</v>
          </cell>
          <cell r="H410">
            <v>0</v>
          </cell>
          <cell r="I410">
            <v>7383111.0125122685</v>
          </cell>
          <cell r="J410">
            <v>458010</v>
          </cell>
          <cell r="K410">
            <v>44000</v>
          </cell>
          <cell r="L410">
            <v>6881100</v>
          </cell>
          <cell r="M410">
            <v>21.5</v>
          </cell>
        </row>
        <row r="411">
          <cell r="C411">
            <v>51373</v>
          </cell>
          <cell r="D411">
            <v>0</v>
          </cell>
          <cell r="E411">
            <v>294054.87804878049</v>
          </cell>
          <cell r="F411">
            <v>360000</v>
          </cell>
          <cell r="G411">
            <v>200000</v>
          </cell>
          <cell r="H411">
            <v>0</v>
          </cell>
          <cell r="I411">
            <v>9572971.5331237726</v>
          </cell>
          <cell r="J411">
            <v>458010</v>
          </cell>
          <cell r="K411">
            <v>44000</v>
          </cell>
          <cell r="L411">
            <v>9071000</v>
          </cell>
          <cell r="M411">
            <v>22.09375</v>
          </cell>
        </row>
        <row r="412">
          <cell r="C412">
            <v>51374</v>
          </cell>
          <cell r="D412">
            <v>0</v>
          </cell>
          <cell r="E412">
            <v>300000</v>
          </cell>
          <cell r="F412">
            <v>360000</v>
          </cell>
          <cell r="G412">
            <v>0</v>
          </cell>
          <cell r="H412">
            <v>0</v>
          </cell>
          <cell r="I412">
            <v>8486321.7747503258</v>
          </cell>
          <cell r="J412">
            <v>458010</v>
          </cell>
          <cell r="K412">
            <v>44000</v>
          </cell>
          <cell r="L412">
            <v>7984300</v>
          </cell>
          <cell r="M412">
            <v>21.5</v>
          </cell>
        </row>
        <row r="413">
          <cell r="C413">
            <v>51414</v>
          </cell>
          <cell r="D413">
            <v>305728.50760450086</v>
          </cell>
          <cell r="E413">
            <v>289786.58536585362</v>
          </cell>
          <cell r="F413">
            <v>360000</v>
          </cell>
          <cell r="G413">
            <v>0</v>
          </cell>
          <cell r="H413">
            <v>0</v>
          </cell>
          <cell r="I413">
            <v>7013988.7123767361</v>
          </cell>
          <cell r="J413">
            <v>458010</v>
          </cell>
          <cell r="K413">
            <v>44000</v>
          </cell>
          <cell r="L413">
            <v>6512000</v>
          </cell>
          <cell r="M413">
            <v>19.802083333333332</v>
          </cell>
        </row>
        <row r="414">
          <cell r="C414">
            <v>51423</v>
          </cell>
          <cell r="D414">
            <v>0</v>
          </cell>
          <cell r="E414">
            <v>267682.92682926828</v>
          </cell>
          <cell r="F414">
            <v>540000</v>
          </cell>
          <cell r="G414">
            <v>0</v>
          </cell>
          <cell r="H414">
            <v>0</v>
          </cell>
          <cell r="I414">
            <v>11975182.439575523</v>
          </cell>
          <cell r="J414">
            <v>458010</v>
          </cell>
          <cell r="K414">
            <v>44000</v>
          </cell>
          <cell r="L414">
            <v>11473200</v>
          </cell>
          <cell r="M414">
            <v>19.291666666666668</v>
          </cell>
        </row>
        <row r="415">
          <cell r="C415">
            <v>51426</v>
          </cell>
          <cell r="D415">
            <v>0</v>
          </cell>
          <cell r="E415">
            <v>295121.95121951221</v>
          </cell>
          <cell r="F415">
            <v>360000</v>
          </cell>
          <cell r="G415">
            <v>0</v>
          </cell>
          <cell r="H415">
            <v>0</v>
          </cell>
          <cell r="I415">
            <v>8465248.8536487371</v>
          </cell>
          <cell r="J415">
            <v>458010</v>
          </cell>
          <cell r="K415">
            <v>44000</v>
          </cell>
          <cell r="L415">
            <v>7963200</v>
          </cell>
          <cell r="M415">
            <v>21.166666666666668</v>
          </cell>
        </row>
        <row r="416">
          <cell r="C416">
            <v>51438</v>
          </cell>
          <cell r="E416">
            <v>300000</v>
          </cell>
          <cell r="F416">
            <v>360000</v>
          </cell>
          <cell r="G416">
            <v>0</v>
          </cell>
          <cell r="H416">
            <v>0</v>
          </cell>
          <cell r="I416">
            <v>7771310.7174369404</v>
          </cell>
          <cell r="J416">
            <v>458010</v>
          </cell>
          <cell r="K416">
            <v>44000</v>
          </cell>
          <cell r="L416">
            <v>7269300</v>
          </cell>
          <cell r="M416">
            <v>20.5</v>
          </cell>
        </row>
        <row r="417">
          <cell r="C417">
            <v>51467</v>
          </cell>
          <cell r="D417">
            <v>105491.205808489</v>
          </cell>
          <cell r="E417">
            <v>300000</v>
          </cell>
          <cell r="F417">
            <v>360000</v>
          </cell>
          <cell r="G417">
            <v>0</v>
          </cell>
          <cell r="H417">
            <v>0</v>
          </cell>
          <cell r="I417">
            <v>7586681.8711145874</v>
          </cell>
          <cell r="J417">
            <v>458010</v>
          </cell>
          <cell r="K417">
            <v>44000</v>
          </cell>
          <cell r="L417">
            <v>7084700</v>
          </cell>
          <cell r="M417">
            <v>21.5</v>
          </cell>
        </row>
        <row r="418">
          <cell r="C418">
            <v>51493</v>
          </cell>
          <cell r="D418">
            <v>0</v>
          </cell>
          <cell r="E418">
            <v>278048.78048780485</v>
          </cell>
          <cell r="F418">
            <v>360000</v>
          </cell>
          <cell r="G418">
            <v>0</v>
          </cell>
          <cell r="H418">
            <v>0</v>
          </cell>
          <cell r="I418">
            <v>7938512.0912022814</v>
          </cell>
          <cell r="J418">
            <v>458010</v>
          </cell>
          <cell r="K418">
            <v>44000</v>
          </cell>
          <cell r="L418">
            <v>7436500</v>
          </cell>
          <cell r="M418">
            <v>20</v>
          </cell>
        </row>
        <row r="419">
          <cell r="C419">
            <v>51526</v>
          </cell>
          <cell r="D419">
            <v>569226.98942605767</v>
          </cell>
          <cell r="E419">
            <v>280945.12195121951</v>
          </cell>
          <cell r="F419">
            <v>330000</v>
          </cell>
          <cell r="G419">
            <v>0</v>
          </cell>
          <cell r="H419">
            <v>0</v>
          </cell>
          <cell r="I419">
            <v>6731720.3056020848</v>
          </cell>
          <cell r="J419">
            <v>458010</v>
          </cell>
          <cell r="K419">
            <v>44000</v>
          </cell>
          <cell r="L419">
            <v>6229700</v>
          </cell>
          <cell r="M419">
            <v>20.197916666666668</v>
          </cell>
        </row>
        <row r="420">
          <cell r="C420">
            <v>51662</v>
          </cell>
          <cell r="D420">
            <v>675364.08733086463</v>
          </cell>
          <cell r="E420">
            <v>254481.70731707319</v>
          </cell>
          <cell r="F420">
            <v>300000</v>
          </cell>
          <cell r="G420">
            <v>0</v>
          </cell>
          <cell r="H420">
            <v>0</v>
          </cell>
          <cell r="I420">
            <v>5380749.6071656952</v>
          </cell>
          <cell r="J420">
            <v>458010</v>
          </cell>
          <cell r="K420">
            <v>44000</v>
          </cell>
          <cell r="L420">
            <v>4878700</v>
          </cell>
          <cell r="M420">
            <v>18.389583333333334</v>
          </cell>
        </row>
        <row r="421">
          <cell r="C421">
            <v>51694</v>
          </cell>
          <cell r="D421">
            <v>213658.82408716856</v>
          </cell>
          <cell r="E421">
            <v>285365.85365853657</v>
          </cell>
          <cell r="F421">
            <v>330000</v>
          </cell>
          <cell r="G421">
            <v>100000</v>
          </cell>
          <cell r="H421">
            <v>0</v>
          </cell>
          <cell r="I421">
            <v>6903932.5199559834</v>
          </cell>
          <cell r="J421">
            <v>458010</v>
          </cell>
          <cell r="K421">
            <v>44000</v>
          </cell>
          <cell r="L421">
            <v>6401900</v>
          </cell>
          <cell r="M421">
            <v>20</v>
          </cell>
        </row>
        <row r="422">
          <cell r="C422">
            <v>51993</v>
          </cell>
          <cell r="E422">
            <v>298475.60975609755</v>
          </cell>
          <cell r="F422">
            <v>360000</v>
          </cell>
          <cell r="G422">
            <v>0</v>
          </cell>
          <cell r="H422">
            <v>0</v>
          </cell>
          <cell r="I422">
            <v>5629401.7410677718</v>
          </cell>
          <cell r="J422"/>
          <cell r="K422">
            <v>0</v>
          </cell>
          <cell r="L422">
            <v>5629400</v>
          </cell>
          <cell r="M422">
            <v>21.395833333333332</v>
          </cell>
        </row>
        <row r="423">
          <cell r="C423">
            <v>10139</v>
          </cell>
          <cell r="E423">
            <v>285365.85365853657</v>
          </cell>
          <cell r="F423">
            <v>360000</v>
          </cell>
          <cell r="G423">
            <v>0</v>
          </cell>
          <cell r="H423">
            <v>0</v>
          </cell>
          <cell r="I423">
            <v>6092184.9251499921</v>
          </cell>
          <cell r="K423">
            <v>0</v>
          </cell>
          <cell r="L423">
            <v>6092200</v>
          </cell>
          <cell r="M423">
            <v>20.5</v>
          </cell>
        </row>
        <row r="424">
          <cell r="C424">
            <v>50101</v>
          </cell>
          <cell r="D424">
            <v>0</v>
          </cell>
          <cell r="E424">
            <v>300000</v>
          </cell>
          <cell r="F424">
            <v>150000</v>
          </cell>
          <cell r="G424">
            <v>0</v>
          </cell>
          <cell r="H424">
            <v>0</v>
          </cell>
          <cell r="I424">
            <v>7473010.2864911472</v>
          </cell>
          <cell r="J424">
            <v>458010</v>
          </cell>
          <cell r="K424">
            <v>44000</v>
          </cell>
          <cell r="L424">
            <v>6971000</v>
          </cell>
          <cell r="M424">
            <v>21.5</v>
          </cell>
        </row>
        <row r="425">
          <cell r="C425">
            <v>50289</v>
          </cell>
          <cell r="D425">
            <v>0</v>
          </cell>
          <cell r="E425">
            <v>299085.36585365853</v>
          </cell>
          <cell r="F425">
            <v>150000</v>
          </cell>
          <cell r="G425">
            <v>0</v>
          </cell>
          <cell r="H425">
            <v>0</v>
          </cell>
          <cell r="I425">
            <v>7569649.8271881891</v>
          </cell>
          <cell r="J425">
            <v>458010</v>
          </cell>
          <cell r="K425">
            <v>44000</v>
          </cell>
          <cell r="L425">
            <v>7067600</v>
          </cell>
          <cell r="M425">
            <v>21.4375</v>
          </cell>
        </row>
        <row r="426">
          <cell r="C426">
            <v>50404</v>
          </cell>
          <cell r="D426">
            <v>0</v>
          </cell>
          <cell r="E426">
            <v>14634.146341463415</v>
          </cell>
          <cell r="F426">
            <v>0</v>
          </cell>
          <cell r="G426">
            <v>0</v>
          </cell>
          <cell r="H426">
            <v>0</v>
          </cell>
          <cell r="I426">
            <v>1470852.6652260786</v>
          </cell>
          <cell r="J426">
            <v>0</v>
          </cell>
          <cell r="K426">
            <v>44000</v>
          </cell>
          <cell r="L426">
            <v>1426900</v>
          </cell>
          <cell r="M426">
            <v>1</v>
          </cell>
        </row>
        <row r="427">
          <cell r="C427">
            <v>50528</v>
          </cell>
          <cell r="D427">
            <v>0</v>
          </cell>
          <cell r="E427">
            <v>297621.95121951215</v>
          </cell>
          <cell r="F427">
            <v>150000</v>
          </cell>
          <cell r="G427">
            <v>0</v>
          </cell>
          <cell r="H427">
            <v>0</v>
          </cell>
          <cell r="I427">
            <v>7379411.1449139351</v>
          </cell>
          <cell r="J427">
            <v>458010</v>
          </cell>
          <cell r="K427">
            <v>44000</v>
          </cell>
          <cell r="L427">
            <v>6877400</v>
          </cell>
          <cell r="M427">
            <v>21.337499999999999</v>
          </cell>
        </row>
        <row r="428">
          <cell r="C428">
            <v>50703</v>
          </cell>
          <cell r="D428">
            <v>0</v>
          </cell>
          <cell r="E428">
            <v>278048.78048780485</v>
          </cell>
          <cell r="F428">
            <v>150000</v>
          </cell>
          <cell r="G428">
            <v>0</v>
          </cell>
          <cell r="H428">
            <v>0</v>
          </cell>
          <cell r="I428">
            <v>7160264.6240900718</v>
          </cell>
          <cell r="J428">
            <v>458010</v>
          </cell>
          <cell r="K428">
            <v>44000</v>
          </cell>
          <cell r="L428">
            <v>6658300</v>
          </cell>
          <cell r="M428">
            <v>20.5</v>
          </cell>
        </row>
        <row r="429">
          <cell r="C429">
            <v>50882</v>
          </cell>
          <cell r="E429">
            <v>300000</v>
          </cell>
          <cell r="F429">
            <v>150000</v>
          </cell>
          <cell r="G429">
            <v>0</v>
          </cell>
          <cell r="H429">
            <v>0</v>
          </cell>
          <cell r="I429">
            <v>7377396.5244535608</v>
          </cell>
          <cell r="J429">
            <v>458010</v>
          </cell>
          <cell r="K429">
            <v>44000</v>
          </cell>
          <cell r="L429">
            <v>6875400</v>
          </cell>
          <cell r="M429">
            <v>22</v>
          </cell>
        </row>
        <row r="430">
          <cell r="C430">
            <v>51051</v>
          </cell>
          <cell r="D430">
            <v>0</v>
          </cell>
          <cell r="E430">
            <v>300000</v>
          </cell>
          <cell r="F430">
            <v>150000</v>
          </cell>
          <cell r="G430">
            <v>0</v>
          </cell>
          <cell r="H430">
            <v>0</v>
          </cell>
          <cell r="I430">
            <v>8140107.5344293863</v>
          </cell>
          <cell r="J430">
            <v>458010</v>
          </cell>
          <cell r="K430">
            <v>44000</v>
          </cell>
          <cell r="L430">
            <v>7638100</v>
          </cell>
          <cell r="M430">
            <v>21.5</v>
          </cell>
        </row>
        <row r="431">
          <cell r="C431">
            <v>51062</v>
          </cell>
          <cell r="D431">
            <v>0</v>
          </cell>
          <cell r="E431">
            <v>300000</v>
          </cell>
          <cell r="F431">
            <v>270000</v>
          </cell>
          <cell r="G431">
            <v>0</v>
          </cell>
          <cell r="H431">
            <v>0</v>
          </cell>
          <cell r="I431">
            <v>8087682.966272152</v>
          </cell>
          <cell r="J431">
            <v>458010</v>
          </cell>
          <cell r="K431">
            <v>44000</v>
          </cell>
          <cell r="L431">
            <v>7585700</v>
          </cell>
          <cell r="M431">
            <v>21.5</v>
          </cell>
        </row>
        <row r="432">
          <cell r="C432">
            <v>51141</v>
          </cell>
          <cell r="D432">
            <v>0</v>
          </cell>
          <cell r="E432">
            <v>300000</v>
          </cell>
          <cell r="F432">
            <v>150000</v>
          </cell>
          <cell r="G432">
            <v>0</v>
          </cell>
          <cell r="H432">
            <v>0</v>
          </cell>
          <cell r="I432">
            <v>8844160.623379726</v>
          </cell>
          <cell r="J432">
            <v>458010</v>
          </cell>
          <cell r="K432">
            <v>44000</v>
          </cell>
          <cell r="L432">
            <v>8342200</v>
          </cell>
          <cell r="M432">
            <v>22</v>
          </cell>
        </row>
        <row r="433">
          <cell r="C433">
            <v>51239</v>
          </cell>
          <cell r="D433">
            <v>0</v>
          </cell>
          <cell r="E433">
            <v>300000</v>
          </cell>
          <cell r="F433">
            <v>150000</v>
          </cell>
          <cell r="G433">
            <v>0</v>
          </cell>
          <cell r="H433">
            <v>0</v>
          </cell>
          <cell r="I433">
            <v>7506474.0980044408</v>
          </cell>
          <cell r="J433">
            <v>458010</v>
          </cell>
          <cell r="K433">
            <v>44000</v>
          </cell>
          <cell r="L433">
            <v>7004500</v>
          </cell>
          <cell r="M433">
            <v>22</v>
          </cell>
        </row>
        <row r="434">
          <cell r="C434">
            <v>51280</v>
          </cell>
          <cell r="E434">
            <v>298170.73170731706</v>
          </cell>
          <cell r="F434">
            <v>150000</v>
          </cell>
          <cell r="G434">
            <v>0</v>
          </cell>
          <cell r="H434">
            <v>0</v>
          </cell>
          <cell r="I434">
            <v>7834475.4757902976</v>
          </cell>
          <cell r="J434">
            <v>458010</v>
          </cell>
          <cell r="K434">
            <v>44000</v>
          </cell>
          <cell r="L434">
            <v>7332500</v>
          </cell>
          <cell r="M434">
            <v>21.875</v>
          </cell>
        </row>
        <row r="435">
          <cell r="C435">
            <v>51288</v>
          </cell>
          <cell r="D435">
            <v>0</v>
          </cell>
          <cell r="E435">
            <v>300000</v>
          </cell>
          <cell r="F435">
            <v>150000</v>
          </cell>
          <cell r="G435">
            <v>0</v>
          </cell>
          <cell r="H435">
            <v>0</v>
          </cell>
          <cell r="I435">
            <v>8241659.3435009485</v>
          </cell>
          <cell r="J435">
            <v>458010</v>
          </cell>
          <cell r="K435">
            <v>44000</v>
          </cell>
          <cell r="L435">
            <v>7739600</v>
          </cell>
          <cell r="M435">
            <v>22</v>
          </cell>
        </row>
        <row r="436">
          <cell r="C436">
            <v>51302</v>
          </cell>
          <cell r="D436">
            <v>0</v>
          </cell>
          <cell r="E436">
            <v>293750</v>
          </cell>
          <cell r="F436">
            <v>150000</v>
          </cell>
          <cell r="G436">
            <v>0</v>
          </cell>
          <cell r="H436">
            <v>0</v>
          </cell>
          <cell r="I436">
            <v>7587856.8484996362</v>
          </cell>
          <cell r="J436">
            <v>458010</v>
          </cell>
          <cell r="K436">
            <v>44000</v>
          </cell>
          <cell r="L436">
            <v>7085800</v>
          </cell>
          <cell r="M436">
            <v>21.072916666666668</v>
          </cell>
        </row>
        <row r="437">
          <cell r="C437">
            <v>51317</v>
          </cell>
          <cell r="D437">
            <v>0</v>
          </cell>
          <cell r="E437">
            <v>300000</v>
          </cell>
          <cell r="F437">
            <v>150000</v>
          </cell>
          <cell r="G437">
            <v>0</v>
          </cell>
          <cell r="H437">
            <v>0</v>
          </cell>
          <cell r="I437">
            <v>8618239.7970075347</v>
          </cell>
          <cell r="J437">
            <v>458010</v>
          </cell>
          <cell r="K437">
            <v>44000</v>
          </cell>
          <cell r="L437">
            <v>8116200</v>
          </cell>
          <cell r="M437">
            <v>22</v>
          </cell>
        </row>
        <row r="438">
          <cell r="C438">
            <v>51336</v>
          </cell>
          <cell r="D438">
            <v>0</v>
          </cell>
          <cell r="E438">
            <v>300000</v>
          </cell>
          <cell r="F438">
            <v>150000</v>
          </cell>
          <cell r="G438">
            <v>200000</v>
          </cell>
          <cell r="H438">
            <v>0</v>
          </cell>
          <cell r="I438">
            <v>8152614.3612470152</v>
          </cell>
          <cell r="J438">
            <v>458010</v>
          </cell>
          <cell r="K438">
            <v>44000</v>
          </cell>
          <cell r="L438">
            <v>7650600</v>
          </cell>
          <cell r="M438">
            <v>22.5</v>
          </cell>
        </row>
        <row r="439">
          <cell r="C439">
            <v>51596</v>
          </cell>
          <cell r="E439">
            <v>289024.39024390245</v>
          </cell>
          <cell r="F439">
            <v>270000</v>
          </cell>
          <cell r="G439">
            <v>0</v>
          </cell>
          <cell r="H439">
            <v>0</v>
          </cell>
          <cell r="I439">
            <v>6659384.6007067114</v>
          </cell>
          <cell r="J439">
            <v>458010</v>
          </cell>
          <cell r="K439">
            <v>44000</v>
          </cell>
          <cell r="L439">
            <v>6157400</v>
          </cell>
          <cell r="M439">
            <v>20.75</v>
          </cell>
        </row>
        <row r="440">
          <cell r="C440">
            <v>50062</v>
          </cell>
          <cell r="D440">
            <v>0</v>
          </cell>
          <cell r="E440">
            <v>298048.78048780491</v>
          </cell>
          <cell r="F440">
            <v>270000</v>
          </cell>
          <cell r="G440">
            <v>0</v>
          </cell>
          <cell r="H440">
            <v>0</v>
          </cell>
          <cell r="I440">
            <v>7650301.5026780823</v>
          </cell>
          <cell r="J440">
            <v>458010</v>
          </cell>
          <cell r="K440">
            <v>44000</v>
          </cell>
          <cell r="L440">
            <v>7148300</v>
          </cell>
          <cell r="M440">
            <v>21.866666666666667</v>
          </cell>
        </row>
        <row r="441">
          <cell r="C441">
            <v>50136</v>
          </cell>
          <cell r="D441">
            <v>0</v>
          </cell>
          <cell r="E441">
            <v>234146.34146341463</v>
          </cell>
          <cell r="F441">
            <v>210000</v>
          </cell>
          <cell r="G441">
            <v>200000</v>
          </cell>
          <cell r="H441">
            <v>0</v>
          </cell>
          <cell r="I441">
            <v>7230033.7336210161</v>
          </cell>
          <cell r="J441">
            <v>458010</v>
          </cell>
          <cell r="K441">
            <v>44000</v>
          </cell>
          <cell r="L441">
            <v>6728000</v>
          </cell>
          <cell r="M441">
            <v>18.5</v>
          </cell>
        </row>
        <row r="442">
          <cell r="C442">
            <v>50252</v>
          </cell>
          <cell r="D442">
            <v>0</v>
          </cell>
          <cell r="E442">
            <v>299542.68292682926</v>
          </cell>
          <cell r="F442">
            <v>430000</v>
          </cell>
          <cell r="G442">
            <v>200000</v>
          </cell>
          <cell r="H442">
            <v>0</v>
          </cell>
          <cell r="I442">
            <v>9707582.6808696017</v>
          </cell>
          <cell r="J442">
            <v>458010</v>
          </cell>
          <cell r="K442">
            <v>44000</v>
          </cell>
          <cell r="L442">
            <v>9205600</v>
          </cell>
          <cell r="M442">
            <v>22.46875</v>
          </cell>
        </row>
        <row r="443">
          <cell r="C443">
            <v>50263</v>
          </cell>
          <cell r="D443">
            <v>0</v>
          </cell>
          <cell r="E443">
            <v>300000</v>
          </cell>
          <cell r="F443">
            <v>270000</v>
          </cell>
          <cell r="G443">
            <v>0</v>
          </cell>
          <cell r="H443">
            <v>0</v>
          </cell>
          <cell r="I443">
            <v>8362672.3462411836</v>
          </cell>
          <cell r="J443">
            <v>458010</v>
          </cell>
          <cell r="K443">
            <v>44000</v>
          </cell>
          <cell r="L443">
            <v>7860700</v>
          </cell>
          <cell r="M443">
            <v>22</v>
          </cell>
        </row>
        <row r="444">
          <cell r="C444">
            <v>50265</v>
          </cell>
          <cell r="D444">
            <v>0</v>
          </cell>
          <cell r="E444">
            <v>292682.92682926828</v>
          </cell>
          <cell r="F444">
            <v>310000</v>
          </cell>
          <cell r="G444">
            <v>0</v>
          </cell>
          <cell r="H444">
            <v>0</v>
          </cell>
          <cell r="I444">
            <v>8202369.9495646143</v>
          </cell>
          <cell r="J444">
            <v>458010</v>
          </cell>
          <cell r="K444">
            <v>44000</v>
          </cell>
          <cell r="L444">
            <v>7700400</v>
          </cell>
          <cell r="M444">
            <v>21</v>
          </cell>
        </row>
        <row r="445">
          <cell r="C445">
            <v>50290</v>
          </cell>
          <cell r="D445">
            <v>0</v>
          </cell>
          <cell r="E445">
            <v>285365.85365853657</v>
          </cell>
          <cell r="F445">
            <v>270000</v>
          </cell>
          <cell r="G445">
            <v>0</v>
          </cell>
          <cell r="H445">
            <v>0</v>
          </cell>
          <cell r="I445">
            <v>7194958.0983454594</v>
          </cell>
          <cell r="J445">
            <v>458010</v>
          </cell>
          <cell r="K445">
            <v>44000</v>
          </cell>
          <cell r="L445">
            <v>6692900</v>
          </cell>
          <cell r="M445">
            <v>21</v>
          </cell>
        </row>
        <row r="446">
          <cell r="C446">
            <v>50292</v>
          </cell>
          <cell r="D446">
            <v>0</v>
          </cell>
          <cell r="E446">
            <v>300000</v>
          </cell>
          <cell r="F446">
            <v>300000</v>
          </cell>
          <cell r="G446">
            <v>0</v>
          </cell>
          <cell r="H446">
            <v>0</v>
          </cell>
          <cell r="I446">
            <v>7737411.6051244112</v>
          </cell>
          <cell r="J446">
            <v>458010</v>
          </cell>
          <cell r="K446">
            <v>44000</v>
          </cell>
          <cell r="L446">
            <v>7235400</v>
          </cell>
          <cell r="M446">
            <v>21.5</v>
          </cell>
        </row>
        <row r="447">
          <cell r="C447">
            <v>50313</v>
          </cell>
          <cell r="D447">
            <v>0</v>
          </cell>
          <cell r="E447">
            <v>300000</v>
          </cell>
          <cell r="F447">
            <v>270000</v>
          </cell>
          <cell r="G447">
            <v>0</v>
          </cell>
          <cell r="H447">
            <v>0</v>
          </cell>
          <cell r="I447">
            <v>7904474.9457958406</v>
          </cell>
          <cell r="J447">
            <v>458010</v>
          </cell>
          <cell r="K447">
            <v>44000</v>
          </cell>
          <cell r="L447">
            <v>7402500</v>
          </cell>
          <cell r="M447">
            <v>22</v>
          </cell>
        </row>
        <row r="448">
          <cell r="C448">
            <v>50454</v>
          </cell>
          <cell r="D448">
            <v>189805.1531009617</v>
          </cell>
          <cell r="E448">
            <v>278048.78048780485</v>
          </cell>
          <cell r="F448">
            <v>260000</v>
          </cell>
          <cell r="G448">
            <v>0</v>
          </cell>
          <cell r="H448">
            <v>0</v>
          </cell>
          <cell r="I448">
            <v>6700617.3389253039</v>
          </cell>
          <cell r="J448">
            <v>458010</v>
          </cell>
          <cell r="K448">
            <v>44000</v>
          </cell>
          <cell r="L448">
            <v>6198600</v>
          </cell>
          <cell r="M448">
            <v>19</v>
          </cell>
        </row>
        <row r="449">
          <cell r="C449">
            <v>50948</v>
          </cell>
          <cell r="D449">
            <v>0</v>
          </cell>
          <cell r="E449">
            <v>295884.14634146343</v>
          </cell>
          <cell r="F449">
            <v>420000</v>
          </cell>
          <cell r="G449">
            <v>0</v>
          </cell>
          <cell r="H449">
            <v>0</v>
          </cell>
          <cell r="I449">
            <v>9554601.6969576143</v>
          </cell>
          <cell r="J449">
            <v>458010</v>
          </cell>
          <cell r="K449">
            <v>44000</v>
          </cell>
          <cell r="L449">
            <v>9052600</v>
          </cell>
          <cell r="M449">
            <v>21.21875</v>
          </cell>
        </row>
        <row r="450">
          <cell r="C450">
            <v>51040</v>
          </cell>
          <cell r="D450">
            <v>0</v>
          </cell>
          <cell r="E450">
            <v>298170.73170731706</v>
          </cell>
          <cell r="F450">
            <v>240000</v>
          </cell>
          <cell r="G450">
            <v>0</v>
          </cell>
          <cell r="H450">
            <v>0</v>
          </cell>
          <cell r="I450">
            <v>7868576.4947922602</v>
          </cell>
          <cell r="J450">
            <v>458010</v>
          </cell>
          <cell r="K450">
            <v>44000</v>
          </cell>
          <cell r="L450">
            <v>7366600</v>
          </cell>
          <cell r="M450">
            <v>21.375</v>
          </cell>
        </row>
        <row r="451">
          <cell r="C451">
            <v>51237</v>
          </cell>
          <cell r="D451">
            <v>0</v>
          </cell>
          <cell r="E451">
            <v>300000</v>
          </cell>
          <cell r="F451">
            <v>270000</v>
          </cell>
          <cell r="G451">
            <v>0</v>
          </cell>
          <cell r="H451">
            <v>0</v>
          </cell>
          <cell r="I451">
            <v>7447092.4560049241</v>
          </cell>
          <cell r="J451">
            <v>458010</v>
          </cell>
          <cell r="K451">
            <v>44000</v>
          </cell>
          <cell r="L451">
            <v>6945100</v>
          </cell>
          <cell r="M451">
            <v>21.5</v>
          </cell>
        </row>
        <row r="452">
          <cell r="C452">
            <v>51238</v>
          </cell>
          <cell r="D452">
            <v>0</v>
          </cell>
          <cell r="E452">
            <v>290853.65853658534</v>
          </cell>
          <cell r="F452">
            <v>290000</v>
          </cell>
          <cell r="G452">
            <v>0</v>
          </cell>
          <cell r="H452">
            <v>0</v>
          </cell>
          <cell r="I452">
            <v>7442935.550911542</v>
          </cell>
          <cell r="J452">
            <v>458010</v>
          </cell>
          <cell r="K452">
            <v>44000</v>
          </cell>
          <cell r="L452">
            <v>6940900</v>
          </cell>
          <cell r="M452">
            <v>21.375</v>
          </cell>
        </row>
        <row r="453">
          <cell r="C453">
            <v>51273</v>
          </cell>
          <cell r="D453">
            <v>0</v>
          </cell>
          <cell r="E453">
            <v>285365.85365853657</v>
          </cell>
          <cell r="F453">
            <v>270000</v>
          </cell>
          <cell r="G453">
            <v>200000</v>
          </cell>
          <cell r="H453">
            <v>0</v>
          </cell>
          <cell r="I453">
            <v>8131924.0728136888</v>
          </cell>
          <cell r="J453">
            <v>458010</v>
          </cell>
          <cell r="K453">
            <v>44000</v>
          </cell>
          <cell r="L453">
            <v>7629900</v>
          </cell>
          <cell r="M453">
            <v>21.5</v>
          </cell>
        </row>
        <row r="454">
          <cell r="C454">
            <v>51547</v>
          </cell>
          <cell r="D454">
            <v>0</v>
          </cell>
          <cell r="E454">
            <v>275884.14634146338</v>
          </cell>
          <cell r="F454">
            <v>270000</v>
          </cell>
          <cell r="G454">
            <v>0</v>
          </cell>
          <cell r="H454">
            <v>0</v>
          </cell>
          <cell r="I454">
            <v>7199168.0401515532</v>
          </cell>
          <cell r="J454">
            <v>458010</v>
          </cell>
          <cell r="K454">
            <v>44000</v>
          </cell>
          <cell r="L454">
            <v>6697200</v>
          </cell>
          <cell r="M454">
            <v>19.852083333333333</v>
          </cell>
        </row>
        <row r="455">
          <cell r="C455">
            <v>51555</v>
          </cell>
          <cell r="D455">
            <v>0</v>
          </cell>
          <cell r="E455">
            <v>291092.98780487804</v>
          </cell>
          <cell r="F455">
            <v>270000</v>
          </cell>
          <cell r="G455">
            <v>0</v>
          </cell>
          <cell r="H455">
            <v>0</v>
          </cell>
          <cell r="I455">
            <v>7855164.7220555432</v>
          </cell>
          <cell r="J455">
            <v>458010</v>
          </cell>
          <cell r="K455">
            <v>44000</v>
          </cell>
          <cell r="L455">
            <v>7353200</v>
          </cell>
          <cell r="M455">
            <v>21.391354166666666</v>
          </cell>
        </row>
        <row r="456">
          <cell r="C456">
            <v>51603</v>
          </cell>
          <cell r="E456">
            <v>273628.04878048779</v>
          </cell>
          <cell r="F456">
            <v>240000</v>
          </cell>
          <cell r="G456">
            <v>0</v>
          </cell>
          <cell r="H456">
            <v>0</v>
          </cell>
          <cell r="I456">
            <v>7059172.4484259803</v>
          </cell>
          <cell r="J456">
            <v>458010</v>
          </cell>
          <cell r="K456">
            <v>44000</v>
          </cell>
          <cell r="L456">
            <v>6557200</v>
          </cell>
          <cell r="M456">
            <v>19.697916666666668</v>
          </cell>
        </row>
        <row r="457">
          <cell r="C457">
            <v>51777</v>
          </cell>
          <cell r="D457">
            <v>216302.48029964976</v>
          </cell>
          <cell r="E457">
            <v>268445.12195121951</v>
          </cell>
          <cell r="F457">
            <v>240000</v>
          </cell>
          <cell r="G457">
            <v>0</v>
          </cell>
          <cell r="H457">
            <v>0</v>
          </cell>
          <cell r="I457">
            <v>6052919.8051131079</v>
          </cell>
          <cell r="J457">
            <v>458010</v>
          </cell>
          <cell r="K457">
            <v>44000</v>
          </cell>
          <cell r="L457">
            <v>5550900</v>
          </cell>
          <cell r="M457">
            <v>19.34375</v>
          </cell>
        </row>
        <row r="458">
          <cell r="C458">
            <v>50284</v>
          </cell>
          <cell r="E458">
            <v>285365.85365853657</v>
          </cell>
          <cell r="F458">
            <v>180000</v>
          </cell>
          <cell r="G458">
            <v>0</v>
          </cell>
          <cell r="H458">
            <v>0</v>
          </cell>
          <cell r="I458">
            <v>7416147.5311058974</v>
          </cell>
          <cell r="J458">
            <v>458010</v>
          </cell>
          <cell r="K458">
            <v>44000</v>
          </cell>
          <cell r="L458">
            <v>6914100</v>
          </cell>
          <cell r="M458">
            <v>20.5</v>
          </cell>
        </row>
        <row r="459">
          <cell r="C459">
            <v>50832</v>
          </cell>
          <cell r="D459">
            <v>0</v>
          </cell>
          <cell r="E459">
            <v>300000</v>
          </cell>
          <cell r="F459">
            <v>270000</v>
          </cell>
          <cell r="G459">
            <v>0</v>
          </cell>
          <cell r="H459">
            <v>0</v>
          </cell>
          <cell r="I459">
            <v>8286419.9778984059</v>
          </cell>
          <cell r="J459">
            <v>458010</v>
          </cell>
          <cell r="K459">
            <v>44000</v>
          </cell>
          <cell r="L459">
            <v>7784400</v>
          </cell>
          <cell r="M459">
            <v>21.5</v>
          </cell>
        </row>
        <row r="460">
          <cell r="C460">
            <v>51066</v>
          </cell>
          <cell r="D460">
            <v>0</v>
          </cell>
          <cell r="E460">
            <v>300000</v>
          </cell>
          <cell r="F460">
            <v>270000</v>
          </cell>
          <cell r="G460">
            <v>0</v>
          </cell>
          <cell r="H460">
            <v>0</v>
          </cell>
          <cell r="I460">
            <v>9025235.8824397773</v>
          </cell>
          <cell r="J460">
            <v>458010</v>
          </cell>
          <cell r="K460">
            <v>44000</v>
          </cell>
          <cell r="L460">
            <v>8523200</v>
          </cell>
          <cell r="M460">
            <v>21.5</v>
          </cell>
        </row>
        <row r="461">
          <cell r="C461">
            <v>51068</v>
          </cell>
          <cell r="D461">
            <v>415391.64154811203</v>
          </cell>
          <cell r="E461">
            <v>300000</v>
          </cell>
          <cell r="F461">
            <v>290000</v>
          </cell>
          <cell r="G461">
            <v>0</v>
          </cell>
          <cell r="H461">
            <v>0</v>
          </cell>
          <cell r="I461">
            <v>7201014.3680672729</v>
          </cell>
          <cell r="J461">
            <v>458010</v>
          </cell>
          <cell r="K461">
            <v>44000</v>
          </cell>
          <cell r="L461">
            <v>6699000</v>
          </cell>
          <cell r="M461">
            <v>21.5</v>
          </cell>
        </row>
        <row r="462">
          <cell r="C462">
            <v>51125</v>
          </cell>
          <cell r="E462">
            <v>285365.85365853657</v>
          </cell>
          <cell r="F462">
            <v>270000</v>
          </cell>
          <cell r="G462">
            <v>0</v>
          </cell>
          <cell r="H462">
            <v>0</v>
          </cell>
          <cell r="I462">
            <v>7352096.5136401886</v>
          </cell>
          <cell r="J462">
            <v>458010</v>
          </cell>
          <cell r="K462">
            <v>44000</v>
          </cell>
          <cell r="L462">
            <v>6850100</v>
          </cell>
          <cell r="M462">
            <v>20.5</v>
          </cell>
        </row>
        <row r="463">
          <cell r="C463">
            <v>51156</v>
          </cell>
          <cell r="D463">
            <v>0</v>
          </cell>
          <cell r="E463">
            <v>299390.24390243902</v>
          </cell>
          <cell r="F463">
            <v>270000</v>
          </cell>
          <cell r="G463">
            <v>0</v>
          </cell>
          <cell r="H463">
            <v>0</v>
          </cell>
          <cell r="I463">
            <v>8298616.6824659146</v>
          </cell>
          <cell r="J463">
            <v>458010</v>
          </cell>
          <cell r="K463">
            <v>44000</v>
          </cell>
          <cell r="L463">
            <v>7796600</v>
          </cell>
          <cell r="M463">
            <v>21.458333333333332</v>
          </cell>
        </row>
        <row r="464">
          <cell r="C464">
            <v>51354</v>
          </cell>
          <cell r="D464">
            <v>418823.99288762466</v>
          </cell>
          <cell r="E464">
            <v>265548.78048780485</v>
          </cell>
          <cell r="F464">
            <v>230000</v>
          </cell>
          <cell r="G464">
            <v>0</v>
          </cell>
          <cell r="H464">
            <v>0</v>
          </cell>
          <cell r="I464">
            <v>6574519.4382412052</v>
          </cell>
          <cell r="J464">
            <v>458010</v>
          </cell>
          <cell r="K464">
            <v>44000</v>
          </cell>
          <cell r="L464">
            <v>6072500</v>
          </cell>
          <cell r="M464">
            <v>18.145833333333332</v>
          </cell>
        </row>
        <row r="465">
          <cell r="C465">
            <v>51473</v>
          </cell>
          <cell r="D465">
            <v>0</v>
          </cell>
          <cell r="E465">
            <v>292682.92682926828</v>
          </cell>
          <cell r="F465">
            <v>290000</v>
          </cell>
          <cell r="G465">
            <v>200000</v>
          </cell>
          <cell r="H465">
            <v>0</v>
          </cell>
          <cell r="I465">
            <v>9470237.8223180827</v>
          </cell>
          <cell r="J465">
            <v>458010</v>
          </cell>
          <cell r="K465">
            <v>44000</v>
          </cell>
          <cell r="L465">
            <v>8968200</v>
          </cell>
          <cell r="M465">
            <v>22.5</v>
          </cell>
        </row>
        <row r="466">
          <cell r="C466">
            <v>51522</v>
          </cell>
          <cell r="D466">
            <v>0</v>
          </cell>
          <cell r="E466">
            <v>285365.85365853657</v>
          </cell>
          <cell r="F466">
            <v>290000</v>
          </cell>
          <cell r="G466">
            <v>200000</v>
          </cell>
          <cell r="H466">
            <v>0</v>
          </cell>
          <cell r="I466">
            <v>8679373.1851026416</v>
          </cell>
          <cell r="J466">
            <v>458010</v>
          </cell>
          <cell r="K466">
            <v>44000</v>
          </cell>
          <cell r="L466">
            <v>8177400</v>
          </cell>
          <cell r="M466">
            <v>21.5</v>
          </cell>
        </row>
        <row r="467">
          <cell r="C467">
            <v>51560</v>
          </cell>
          <cell r="F467">
            <v>240000</v>
          </cell>
          <cell r="G467">
            <v>0</v>
          </cell>
          <cell r="H467">
            <v>0</v>
          </cell>
          <cell r="I467">
            <v>6649892.4027473433</v>
          </cell>
          <cell r="J467">
            <v>458010</v>
          </cell>
          <cell r="K467">
            <v>44000</v>
          </cell>
          <cell r="L467">
            <v>6147900</v>
          </cell>
          <cell r="M467">
            <v>19</v>
          </cell>
        </row>
        <row r="468">
          <cell r="C468">
            <v>51780</v>
          </cell>
          <cell r="D468">
            <v>183058.72612612112</v>
          </cell>
          <cell r="E468">
            <v>292682.92682926828</v>
          </cell>
          <cell r="F468">
            <v>270000</v>
          </cell>
          <cell r="G468">
            <v>0</v>
          </cell>
          <cell r="H468">
            <v>0</v>
          </cell>
          <cell r="I468">
            <v>7414798.1045493009</v>
          </cell>
          <cell r="J468">
            <v>458010</v>
          </cell>
          <cell r="K468">
            <v>44000</v>
          </cell>
          <cell r="L468">
            <v>6912800</v>
          </cell>
          <cell r="M468">
            <v>21.5</v>
          </cell>
        </row>
        <row r="469">
          <cell r="C469">
            <v>51902</v>
          </cell>
          <cell r="D469">
            <v>0</v>
          </cell>
          <cell r="E469">
            <v>272256.09756097564</v>
          </cell>
          <cell r="F469">
            <v>270000</v>
          </cell>
          <cell r="G469">
            <v>100000</v>
          </cell>
          <cell r="H469">
            <v>0</v>
          </cell>
          <cell r="I469">
            <v>7776891.7356275441</v>
          </cell>
          <cell r="J469">
            <v>458010</v>
          </cell>
          <cell r="K469">
            <v>44000</v>
          </cell>
          <cell r="L469">
            <v>7274900</v>
          </cell>
          <cell r="M469">
            <v>20.104166666666668</v>
          </cell>
        </row>
        <row r="470">
          <cell r="C470">
            <v>50024</v>
          </cell>
          <cell r="D470">
            <v>0</v>
          </cell>
          <cell r="E470">
            <v>298628.04878048779</v>
          </cell>
          <cell r="F470">
            <v>270000</v>
          </cell>
          <cell r="G470">
            <v>100000</v>
          </cell>
          <cell r="H470">
            <v>0</v>
          </cell>
          <cell r="I470">
            <v>10862310.750357416</v>
          </cell>
          <cell r="J470">
            <v>530985</v>
          </cell>
          <cell r="K470">
            <v>44000</v>
          </cell>
          <cell r="L470">
            <v>10287300</v>
          </cell>
          <cell r="M470">
            <v>21.90625</v>
          </cell>
        </row>
        <row r="471">
          <cell r="C471">
            <v>50238</v>
          </cell>
          <cell r="D471">
            <v>0</v>
          </cell>
          <cell r="E471">
            <v>298323.17073170736</v>
          </cell>
          <cell r="F471">
            <v>360000</v>
          </cell>
          <cell r="G471">
            <v>0</v>
          </cell>
          <cell r="H471">
            <v>0</v>
          </cell>
          <cell r="I471">
            <v>11222112.357898843</v>
          </cell>
          <cell r="J471">
            <v>530985</v>
          </cell>
          <cell r="K471">
            <v>44000</v>
          </cell>
          <cell r="L471">
            <v>10647100</v>
          </cell>
          <cell r="M471">
            <v>21.885416666666668</v>
          </cell>
        </row>
        <row r="472">
          <cell r="C472">
            <v>50581</v>
          </cell>
          <cell r="D472">
            <v>0</v>
          </cell>
          <cell r="E472">
            <v>300000</v>
          </cell>
          <cell r="F472">
            <v>240000</v>
          </cell>
          <cell r="G472">
            <v>200000</v>
          </cell>
          <cell r="H472">
            <v>0</v>
          </cell>
          <cell r="I472">
            <v>11731393.313113686</v>
          </cell>
          <cell r="J472">
            <v>506625</v>
          </cell>
          <cell r="K472">
            <v>44000</v>
          </cell>
          <cell r="L472">
            <v>11180800</v>
          </cell>
          <cell r="M472">
            <v>23</v>
          </cell>
        </row>
        <row r="473">
          <cell r="C473">
            <v>50877</v>
          </cell>
          <cell r="D473">
            <v>0</v>
          </cell>
          <cell r="E473">
            <v>292682.92682926828</v>
          </cell>
          <cell r="F473">
            <v>150000</v>
          </cell>
          <cell r="G473">
            <v>200000</v>
          </cell>
          <cell r="H473">
            <v>0</v>
          </cell>
          <cell r="I473">
            <v>11321293.380889043</v>
          </cell>
          <cell r="J473">
            <v>530985</v>
          </cell>
          <cell r="K473">
            <v>44000</v>
          </cell>
          <cell r="L473">
            <v>10746300</v>
          </cell>
          <cell r="M473">
            <v>22.5</v>
          </cell>
        </row>
        <row r="474">
          <cell r="C474">
            <v>50894</v>
          </cell>
          <cell r="D474">
            <v>0</v>
          </cell>
          <cell r="E474">
            <v>300000</v>
          </cell>
          <cell r="F474">
            <v>120000</v>
          </cell>
          <cell r="G474">
            <v>200000</v>
          </cell>
          <cell r="H474">
            <v>0</v>
          </cell>
          <cell r="I474">
            <v>11014716.212215967</v>
          </cell>
          <cell r="J474">
            <v>458010</v>
          </cell>
          <cell r="K474">
            <v>44000</v>
          </cell>
          <cell r="L474">
            <v>10512700</v>
          </cell>
          <cell r="M474">
            <v>23</v>
          </cell>
        </row>
        <row r="475">
          <cell r="C475">
            <v>50918</v>
          </cell>
          <cell r="D475">
            <v>0</v>
          </cell>
          <cell r="E475">
            <v>295579.26829268294</v>
          </cell>
          <cell r="F475">
            <v>240000</v>
          </cell>
          <cell r="G475">
            <v>200000</v>
          </cell>
          <cell r="H475">
            <v>0</v>
          </cell>
          <cell r="I475">
            <v>11208542.403906651</v>
          </cell>
          <cell r="J475">
            <v>458010</v>
          </cell>
          <cell r="K475">
            <v>44000</v>
          </cell>
          <cell r="L475">
            <v>10706500</v>
          </cell>
          <cell r="M475">
            <v>22.197916666666668</v>
          </cell>
        </row>
        <row r="476">
          <cell r="C476">
            <v>51130</v>
          </cell>
          <cell r="D476">
            <v>0</v>
          </cell>
          <cell r="E476">
            <v>297164.63414634141</v>
          </cell>
          <cell r="F476">
            <v>270000</v>
          </cell>
          <cell r="G476">
            <v>200000</v>
          </cell>
          <cell r="H476">
            <v>0</v>
          </cell>
          <cell r="I476">
            <v>11141283.387386216</v>
          </cell>
          <cell r="J476">
            <v>506625</v>
          </cell>
          <cell r="K476">
            <v>44000</v>
          </cell>
          <cell r="L476">
            <v>10590700</v>
          </cell>
          <cell r="M476">
            <v>21.806249999999999</v>
          </cell>
        </row>
        <row r="477">
          <cell r="C477">
            <v>51652</v>
          </cell>
          <cell r="D477">
            <v>0</v>
          </cell>
          <cell r="E477">
            <v>295426.8292682927</v>
          </cell>
          <cell r="F477">
            <v>180000</v>
          </cell>
          <cell r="G477">
            <v>200000</v>
          </cell>
          <cell r="H477">
            <v>0</v>
          </cell>
          <cell r="I477">
            <v>11600503.611215558</v>
          </cell>
          <cell r="J477">
            <v>506625</v>
          </cell>
          <cell r="K477">
            <v>44000</v>
          </cell>
          <cell r="L477">
            <v>11049900</v>
          </cell>
          <cell r="M477">
            <v>22.1875</v>
          </cell>
        </row>
        <row r="478">
          <cell r="C478">
            <v>51948</v>
          </cell>
          <cell r="D478">
            <v>0</v>
          </cell>
          <cell r="E478">
            <v>292682.92682926828</v>
          </cell>
          <cell r="F478">
            <v>240000</v>
          </cell>
          <cell r="G478">
            <v>200000</v>
          </cell>
          <cell r="H478">
            <v>0</v>
          </cell>
          <cell r="I478">
            <v>10908325.350802409</v>
          </cell>
          <cell r="J478">
            <v>458010</v>
          </cell>
          <cell r="K478">
            <v>44000</v>
          </cell>
          <cell r="L478">
            <v>10406300</v>
          </cell>
          <cell r="M478">
            <v>22</v>
          </cell>
        </row>
        <row r="479">
          <cell r="C479">
            <v>50928</v>
          </cell>
          <cell r="D479"/>
          <cell r="E479"/>
          <cell r="F479"/>
          <cell r="G479"/>
          <cell r="H479"/>
          <cell r="I479">
            <v>8196654.4024532465</v>
          </cell>
          <cell r="J479">
            <v>458010</v>
          </cell>
          <cell r="K479">
            <v>44000</v>
          </cell>
          <cell r="L479">
            <v>7694600</v>
          </cell>
          <cell r="M479">
            <v>20.53125</v>
          </cell>
        </row>
        <row r="480">
          <cell r="C480">
            <v>51394</v>
          </cell>
          <cell r="D480"/>
          <cell r="E480"/>
          <cell r="F480"/>
          <cell r="G480"/>
          <cell r="H480"/>
          <cell r="I480">
            <v>9053104.4119071551</v>
          </cell>
          <cell r="J480">
            <v>458010</v>
          </cell>
          <cell r="K480">
            <v>44000</v>
          </cell>
          <cell r="L480">
            <v>8551100</v>
          </cell>
          <cell r="M480">
            <v>22</v>
          </cell>
        </row>
        <row r="481">
          <cell r="C481">
            <v>51905</v>
          </cell>
          <cell r="D481"/>
          <cell r="E481"/>
          <cell r="F481"/>
          <cell r="G481"/>
          <cell r="H481"/>
          <cell r="I481">
            <v>8283149.6847414877</v>
          </cell>
          <cell r="J481">
            <v>458010</v>
          </cell>
          <cell r="K481">
            <v>44000</v>
          </cell>
          <cell r="L481">
            <v>7781100</v>
          </cell>
          <cell r="M481">
            <v>22</v>
          </cell>
        </row>
        <row r="482">
          <cell r="C482">
            <v>51759</v>
          </cell>
          <cell r="D482"/>
          <cell r="E482"/>
          <cell r="F482"/>
          <cell r="G482"/>
          <cell r="H482"/>
          <cell r="I482">
            <v>1500000</v>
          </cell>
          <cell r="J482"/>
          <cell r="K482"/>
          <cell r="L482">
            <v>1500000</v>
          </cell>
          <cell r="M482"/>
        </row>
        <row r="483">
          <cell r="C483">
            <v>51463</v>
          </cell>
          <cell r="D483"/>
          <cell r="E483"/>
          <cell r="F483"/>
          <cell r="G483"/>
          <cell r="H483"/>
          <cell r="I483">
            <v>800000</v>
          </cell>
          <cell r="J483"/>
          <cell r="K483"/>
          <cell r="L483">
            <v>800000</v>
          </cell>
          <cell r="M483"/>
        </row>
        <row r="484">
          <cell r="C484">
            <v>50928</v>
          </cell>
          <cell r="I484">
            <v>500000</v>
          </cell>
          <cell r="L484">
            <v>500000</v>
          </cell>
          <cell r="M484"/>
        </row>
        <row r="485">
          <cell r="C485">
            <v>51820</v>
          </cell>
          <cell r="I485">
            <v>500000</v>
          </cell>
          <cell r="J485"/>
          <cell r="L485">
            <v>500000</v>
          </cell>
          <cell r="M485"/>
        </row>
        <row r="486">
          <cell r="C486">
            <v>51910</v>
          </cell>
          <cell r="E486">
            <v>285714.28571428574</v>
          </cell>
          <cell r="F486">
            <v>0</v>
          </cell>
          <cell r="I486">
            <v>7066445.1492673988</v>
          </cell>
          <cell r="J486">
            <v>458010</v>
          </cell>
          <cell r="K486">
            <v>44000</v>
          </cell>
          <cell r="L486">
            <v>6564400</v>
          </cell>
          <cell r="M486">
            <v>20</v>
          </cell>
        </row>
        <row r="487">
          <cell r="I487"/>
          <cell r="M487"/>
        </row>
        <row r="488">
          <cell r="D488">
            <v>12596262.988872444</v>
          </cell>
          <cell r="E488">
            <v>107646694.03310107</v>
          </cell>
          <cell r="F488">
            <v>68590000</v>
          </cell>
          <cell r="G488">
            <v>11000000</v>
          </cell>
          <cell r="H488">
            <v>500000</v>
          </cell>
          <cell r="I488">
            <v>3767206959.7948937</v>
          </cell>
          <cell r="J488">
            <v>178022171</v>
          </cell>
          <cell r="K488">
            <v>17560704.5</v>
          </cell>
          <cell r="L488">
            <v>3571624200</v>
          </cell>
          <cell r="M488">
            <v>9959.428854166661</v>
          </cell>
        </row>
        <row r="489">
          <cell r="I489"/>
          <cell r="J489"/>
          <cell r="M489"/>
        </row>
        <row r="490">
          <cell r="L490">
            <v>296039300</v>
          </cell>
          <cell r="M490"/>
        </row>
        <row r="491">
          <cell r="L491">
            <v>3272253300</v>
          </cell>
          <cell r="M491"/>
        </row>
        <row r="492">
          <cell r="L492">
            <v>3568292600</v>
          </cell>
          <cell r="M492"/>
        </row>
        <row r="493">
          <cell r="I493"/>
          <cell r="L493">
            <v>3331600</v>
          </cell>
          <cell r="M493"/>
        </row>
        <row r="494">
          <cell r="M494"/>
        </row>
        <row r="495">
          <cell r="M495"/>
        </row>
        <row r="496">
          <cell r="M496"/>
        </row>
        <row r="497">
          <cell r="M497"/>
        </row>
        <row r="498">
          <cell r="I498"/>
          <cell r="J498"/>
          <cell r="M498"/>
        </row>
        <row r="499">
          <cell r="M499"/>
        </row>
        <row r="500">
          <cell r="M500"/>
        </row>
        <row r="501">
          <cell r="M501"/>
        </row>
        <row r="502">
          <cell r="M502"/>
        </row>
        <row r="503">
          <cell r="M503"/>
        </row>
        <row r="504">
          <cell r="I504"/>
          <cell r="M504"/>
        </row>
        <row r="505">
          <cell r="M505"/>
        </row>
        <row r="506">
          <cell r="I506"/>
          <cell r="M506"/>
        </row>
        <row r="507">
          <cell r="M507"/>
        </row>
        <row r="508">
          <cell r="I508"/>
          <cell r="M508"/>
        </row>
        <row r="509">
          <cell r="M509"/>
        </row>
        <row r="510">
          <cell r="M510"/>
        </row>
        <row r="511">
          <cell r="M511"/>
        </row>
        <row r="512">
          <cell r="M512"/>
        </row>
        <row r="513">
          <cell r="M513"/>
        </row>
        <row r="514">
          <cell r="I514"/>
          <cell r="M514"/>
        </row>
        <row r="515">
          <cell r="M515"/>
        </row>
        <row r="516">
          <cell r="M516"/>
        </row>
        <row r="517">
          <cell r="M517"/>
        </row>
        <row r="518">
          <cell r="M518"/>
        </row>
        <row r="519">
          <cell r="M519"/>
        </row>
        <row r="520">
          <cell r="M520"/>
        </row>
        <row r="521">
          <cell r="I521"/>
          <cell r="J521"/>
          <cell r="K521"/>
          <cell r="M521"/>
        </row>
        <row r="522">
          <cell r="M522"/>
        </row>
        <row r="523">
          <cell r="M523"/>
        </row>
        <row r="524">
          <cell r="I524"/>
          <cell r="M524"/>
        </row>
        <row r="525">
          <cell r="M525"/>
        </row>
        <row r="526">
          <cell r="I526"/>
          <cell r="M526"/>
        </row>
        <row r="527">
          <cell r="M527"/>
        </row>
        <row r="528">
          <cell r="M528"/>
        </row>
        <row r="529">
          <cell r="I529"/>
          <cell r="M529"/>
        </row>
        <row r="530">
          <cell r="M530"/>
        </row>
        <row r="531">
          <cell r="M531"/>
        </row>
        <row r="532">
          <cell r="M532"/>
        </row>
        <row r="533">
          <cell r="M533"/>
        </row>
        <row r="534">
          <cell r="M534"/>
        </row>
        <row r="535">
          <cell r="M535"/>
        </row>
        <row r="537">
          <cell r="M537"/>
        </row>
        <row r="538">
          <cell r="I538"/>
          <cell r="M538"/>
        </row>
        <row r="539">
          <cell r="M539"/>
        </row>
        <row r="540">
          <cell r="I540"/>
          <cell r="J540"/>
          <cell r="M540"/>
        </row>
        <row r="541">
          <cell r="I541"/>
          <cell r="J541"/>
          <cell r="M541"/>
        </row>
        <row r="542">
          <cell r="M542"/>
        </row>
        <row r="543">
          <cell r="I543"/>
          <cell r="M543"/>
        </row>
        <row r="544">
          <cell r="I544"/>
          <cell r="M544"/>
        </row>
        <row r="545">
          <cell r="I545"/>
          <cell r="M545"/>
        </row>
        <row r="546">
          <cell r="I546"/>
          <cell r="M546"/>
        </row>
        <row r="547">
          <cell r="I547"/>
          <cell r="M547"/>
        </row>
        <row r="548">
          <cell r="I548"/>
          <cell r="J548"/>
          <cell r="M548"/>
        </row>
        <row r="549">
          <cell r="M549"/>
        </row>
        <row r="550">
          <cell r="M550"/>
        </row>
        <row r="551">
          <cell r="I551"/>
          <cell r="M551"/>
        </row>
        <row r="552">
          <cell r="M552"/>
        </row>
        <row r="553">
          <cell r="M553"/>
        </row>
        <row r="554">
          <cell r="I554"/>
          <cell r="J554"/>
          <cell r="M554"/>
        </row>
        <row r="555"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  <cell r="M555"/>
        </row>
        <row r="556"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</row>
        <row r="557"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  <cell r="M557"/>
        </row>
        <row r="558"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  <cell r="M558"/>
        </row>
        <row r="559"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  <cell r="M559"/>
        </row>
        <row r="560"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  <cell r="M560"/>
        </row>
        <row r="561"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  <cell r="M561"/>
        </row>
        <row r="562">
          <cell r="C562"/>
          <cell r="D562"/>
          <cell r="E562"/>
          <cell r="F562"/>
          <cell r="G562"/>
          <cell r="H562"/>
          <cell r="I562"/>
          <cell r="J562"/>
          <cell r="K562"/>
          <cell r="L562"/>
          <cell r="M562"/>
        </row>
        <row r="563">
          <cell r="C563"/>
          <cell r="D563"/>
          <cell r="E563"/>
          <cell r="F563"/>
          <cell r="G563"/>
          <cell r="H563"/>
          <cell r="I563"/>
          <cell r="J563"/>
          <cell r="K563"/>
          <cell r="L563"/>
          <cell r="M563"/>
        </row>
        <row r="564">
          <cell r="I564"/>
          <cell r="J564"/>
          <cell r="M564"/>
        </row>
        <row r="565">
          <cell r="I565"/>
          <cell r="J565"/>
          <cell r="M565"/>
        </row>
        <row r="566">
          <cell r="I566"/>
          <cell r="J566"/>
          <cell r="K566"/>
          <cell r="L566"/>
          <cell r="M566"/>
        </row>
        <row r="567">
          <cell r="I567"/>
          <cell r="J567"/>
          <cell r="M567"/>
        </row>
        <row r="568">
          <cell r="I568"/>
          <cell r="J568"/>
          <cell r="K568"/>
          <cell r="L568"/>
          <cell r="M568"/>
        </row>
        <row r="569">
          <cell r="I569"/>
          <cell r="J569"/>
          <cell r="K569"/>
          <cell r="L569"/>
          <cell r="M569"/>
        </row>
        <row r="570">
          <cell r="I570"/>
          <cell r="J570"/>
          <cell r="K570"/>
          <cell r="M570"/>
        </row>
        <row r="571">
          <cell r="I571"/>
          <cell r="J571"/>
          <cell r="K571"/>
          <cell r="M571"/>
        </row>
        <row r="572">
          <cell r="I572"/>
          <cell r="J572"/>
          <cell r="K572"/>
          <cell r="M572"/>
        </row>
        <row r="573">
          <cell r="I573"/>
          <cell r="J573"/>
          <cell r="K573"/>
          <cell r="M573"/>
        </row>
        <row r="574">
          <cell r="I574"/>
          <cell r="J574"/>
          <cell r="K574"/>
          <cell r="M574"/>
        </row>
        <row r="575">
          <cell r="I575"/>
          <cell r="J575"/>
          <cell r="K575"/>
          <cell r="L575"/>
          <cell r="M575"/>
        </row>
        <row r="576">
          <cell r="I576"/>
          <cell r="J576"/>
          <cell r="K576"/>
          <cell r="M576"/>
        </row>
        <row r="577">
          <cell r="I577"/>
          <cell r="J577"/>
          <cell r="M577"/>
        </row>
        <row r="578">
          <cell r="I578"/>
          <cell r="J578"/>
          <cell r="M578"/>
        </row>
        <row r="579">
          <cell r="I579"/>
          <cell r="J579"/>
          <cell r="M579"/>
        </row>
        <row r="580">
          <cell r="I580"/>
          <cell r="J580"/>
          <cell r="K580"/>
          <cell r="L580"/>
          <cell r="M580"/>
        </row>
        <row r="581">
          <cell r="I581"/>
          <cell r="J581"/>
          <cell r="M581"/>
        </row>
        <row r="582">
          <cell r="I582"/>
          <cell r="J582"/>
          <cell r="M582"/>
        </row>
        <row r="583">
          <cell r="I583"/>
          <cell r="J583"/>
          <cell r="M583"/>
        </row>
        <row r="584">
          <cell r="I584"/>
          <cell r="J584"/>
          <cell r="K584"/>
          <cell r="M584"/>
        </row>
        <row r="585">
          <cell r="I585"/>
          <cell r="J585"/>
          <cell r="K585"/>
          <cell r="M585"/>
        </row>
        <row r="586">
          <cell r="I586"/>
          <cell r="J586"/>
          <cell r="K586"/>
          <cell r="L586"/>
          <cell r="M586"/>
        </row>
        <row r="587">
          <cell r="I587"/>
          <cell r="J587"/>
          <cell r="M587"/>
        </row>
        <row r="588">
          <cell r="I588"/>
          <cell r="J588"/>
          <cell r="M588"/>
        </row>
        <row r="589">
          <cell r="I589"/>
          <cell r="J589"/>
          <cell r="M589"/>
        </row>
        <row r="590">
          <cell r="I590"/>
          <cell r="J590"/>
          <cell r="K590"/>
          <cell r="M590"/>
        </row>
        <row r="591">
          <cell r="I591"/>
          <cell r="J591"/>
          <cell r="K591"/>
          <cell r="M591"/>
        </row>
        <row r="592">
          <cell r="I592"/>
          <cell r="J592"/>
          <cell r="K592"/>
          <cell r="M592"/>
        </row>
        <row r="593">
          <cell r="I593"/>
          <cell r="J593"/>
          <cell r="K593"/>
          <cell r="M593"/>
        </row>
        <row r="594">
          <cell r="I594"/>
          <cell r="J594"/>
          <cell r="M594"/>
        </row>
        <row r="595">
          <cell r="I595"/>
          <cell r="J595"/>
          <cell r="K595"/>
          <cell r="L595"/>
          <cell r="M595"/>
        </row>
        <row r="596">
          <cell r="I596"/>
          <cell r="J596"/>
          <cell r="M596"/>
        </row>
        <row r="597">
          <cell r="I597"/>
          <cell r="J597"/>
          <cell r="M597"/>
        </row>
        <row r="598">
          <cell r="C598"/>
          <cell r="D598"/>
          <cell r="E598"/>
          <cell r="F598"/>
          <cell r="I598"/>
          <cell r="J598"/>
          <cell r="K598"/>
          <cell r="L598"/>
          <cell r="M598"/>
        </row>
        <row r="599">
          <cell r="I599"/>
          <cell r="J599"/>
          <cell r="M599"/>
        </row>
        <row r="600">
          <cell r="I600"/>
          <cell r="J600"/>
          <cell r="K600"/>
          <cell r="M600"/>
        </row>
        <row r="601">
          <cell r="I601"/>
          <cell r="J601"/>
          <cell r="M601"/>
        </row>
        <row r="602">
          <cell r="I602"/>
          <cell r="J602"/>
          <cell r="M602"/>
        </row>
        <row r="603">
          <cell r="I603"/>
          <cell r="J603"/>
          <cell r="K603"/>
          <cell r="L603"/>
          <cell r="M603"/>
        </row>
        <row r="604">
          <cell r="I604"/>
          <cell r="J604"/>
          <cell r="M604"/>
        </row>
        <row r="605">
          <cell r="I605"/>
          <cell r="J605"/>
          <cell r="M605"/>
        </row>
        <row r="606">
          <cell r="I606"/>
          <cell r="J606"/>
          <cell r="K606"/>
          <cell r="L606"/>
          <cell r="M606"/>
        </row>
        <row r="607">
          <cell r="I607"/>
          <cell r="J607"/>
          <cell r="K607"/>
          <cell r="L607"/>
          <cell r="M607"/>
        </row>
        <row r="608">
          <cell r="I608"/>
          <cell r="J608"/>
          <cell r="K608"/>
          <cell r="L608"/>
          <cell r="M608"/>
        </row>
        <row r="609">
          <cell r="I609"/>
          <cell r="J609"/>
          <cell r="M609"/>
        </row>
        <row r="610">
          <cell r="I610"/>
          <cell r="J610"/>
          <cell r="K610"/>
          <cell r="L610"/>
          <cell r="M610"/>
        </row>
        <row r="611">
          <cell r="I611"/>
          <cell r="J611"/>
          <cell r="K611"/>
          <cell r="M611"/>
        </row>
        <row r="612">
          <cell r="I612"/>
          <cell r="J612"/>
          <cell r="M612"/>
        </row>
        <row r="613">
          <cell r="I613"/>
          <cell r="J613"/>
          <cell r="M613"/>
        </row>
        <row r="614">
          <cell r="I614"/>
          <cell r="J614"/>
          <cell r="M614"/>
        </row>
        <row r="615">
          <cell r="I615"/>
          <cell r="J615"/>
          <cell r="M615"/>
        </row>
        <row r="616">
          <cell r="I616"/>
          <cell r="J616"/>
          <cell r="M616"/>
        </row>
        <row r="617">
          <cell r="I617"/>
          <cell r="J617"/>
          <cell r="M617"/>
        </row>
        <row r="618">
          <cell r="I618"/>
          <cell r="J618"/>
          <cell r="M618"/>
        </row>
        <row r="619">
          <cell r="I619"/>
          <cell r="J619"/>
          <cell r="K619"/>
          <cell r="L619"/>
          <cell r="M619"/>
        </row>
        <row r="620">
          <cell r="I620"/>
          <cell r="J620"/>
          <cell r="K620"/>
          <cell r="M620"/>
        </row>
        <row r="621">
          <cell r="I621"/>
          <cell r="J621"/>
          <cell r="M621"/>
        </row>
        <row r="622">
          <cell r="I622"/>
          <cell r="J622"/>
          <cell r="K622"/>
          <cell r="M622"/>
        </row>
        <row r="623">
          <cell r="I623"/>
          <cell r="J623"/>
          <cell r="K623"/>
          <cell r="M623"/>
        </row>
        <row r="624">
          <cell r="I624"/>
          <cell r="J624"/>
          <cell r="M624"/>
        </row>
        <row r="625">
          <cell r="I625"/>
          <cell r="J625"/>
          <cell r="M625"/>
        </row>
        <row r="626">
          <cell r="I626"/>
          <cell r="J626"/>
          <cell r="M626"/>
        </row>
        <row r="627">
          <cell r="I627"/>
          <cell r="J627"/>
          <cell r="M627"/>
        </row>
        <row r="628">
          <cell r="I628"/>
          <cell r="J628"/>
          <cell r="M628"/>
        </row>
        <row r="629">
          <cell r="I629"/>
          <cell r="J629"/>
          <cell r="M629"/>
        </row>
        <row r="630">
          <cell r="I630"/>
          <cell r="J630"/>
          <cell r="M630"/>
        </row>
        <row r="631">
          <cell r="I631"/>
          <cell r="J631"/>
          <cell r="M631"/>
        </row>
        <row r="632">
          <cell r="I632"/>
          <cell r="J632"/>
          <cell r="M632"/>
        </row>
        <row r="633">
          <cell r="I633"/>
          <cell r="J633"/>
          <cell r="M633"/>
        </row>
        <row r="634">
          <cell r="I634"/>
          <cell r="J634"/>
          <cell r="M634"/>
        </row>
        <row r="635">
          <cell r="M635"/>
        </row>
        <row r="636">
          <cell r="M636"/>
        </row>
        <row r="637">
          <cell r="M637"/>
        </row>
        <row r="638">
          <cell r="M638"/>
        </row>
        <row r="639">
          <cell r="M639"/>
        </row>
        <row r="640">
          <cell r="M640"/>
        </row>
        <row r="641">
          <cell r="M641"/>
        </row>
        <row r="642">
          <cell r="I642"/>
          <cell r="M642"/>
        </row>
        <row r="643">
          <cell r="I643"/>
          <cell r="M643"/>
        </row>
        <row r="644">
          <cell r="I644"/>
          <cell r="M644"/>
        </row>
        <row r="645">
          <cell r="I645"/>
          <cell r="M645"/>
        </row>
        <row r="646">
          <cell r="I646"/>
          <cell r="M646"/>
        </row>
        <row r="647">
          <cell r="I647"/>
          <cell r="J647"/>
          <cell r="M647"/>
        </row>
        <row r="648">
          <cell r="I648"/>
          <cell r="J648"/>
          <cell r="M648"/>
        </row>
        <row r="649">
          <cell r="M649"/>
        </row>
        <row r="650">
          <cell r="M650"/>
        </row>
        <row r="651">
          <cell r="M651"/>
        </row>
        <row r="652">
          <cell r="M652"/>
        </row>
        <row r="653">
          <cell r="M653"/>
        </row>
        <row r="654">
          <cell r="M654"/>
        </row>
        <row r="655">
          <cell r="M655"/>
        </row>
        <row r="656">
          <cell r="M656"/>
        </row>
        <row r="657">
          <cell r="I657"/>
          <cell r="J657"/>
          <cell r="M657"/>
        </row>
        <row r="658">
          <cell r="M658"/>
        </row>
        <row r="659">
          <cell r="M659"/>
        </row>
        <row r="660">
          <cell r="M660"/>
        </row>
        <row r="661">
          <cell r="M661"/>
        </row>
        <row r="662">
          <cell r="M662"/>
        </row>
        <row r="663">
          <cell r="M663"/>
        </row>
        <row r="664">
          <cell r="I664"/>
          <cell r="M664"/>
        </row>
        <row r="665">
          <cell r="M665"/>
        </row>
        <row r="666">
          <cell r="M666"/>
        </row>
        <row r="667">
          <cell r="M667"/>
        </row>
        <row r="668">
          <cell r="M668"/>
        </row>
        <row r="669">
          <cell r="I669"/>
          <cell r="J669"/>
          <cell r="M669"/>
        </row>
        <row r="670">
          <cell r="I670"/>
          <cell r="J670"/>
          <cell r="M670"/>
        </row>
        <row r="671">
          <cell r="I671"/>
          <cell r="J671"/>
          <cell r="L671"/>
          <cell r="M671"/>
        </row>
        <row r="672">
          <cell r="I672"/>
          <cell r="J672"/>
          <cell r="L672"/>
          <cell r="M672"/>
        </row>
        <row r="673">
          <cell r="I673"/>
          <cell r="M673"/>
        </row>
        <row r="674">
          <cell r="I674"/>
          <cell r="M674"/>
        </row>
        <row r="675">
          <cell r="I675"/>
          <cell r="J675"/>
          <cell r="M675"/>
        </row>
        <row r="676">
          <cell r="I676"/>
          <cell r="M676"/>
        </row>
        <row r="677">
          <cell r="I677"/>
          <cell r="M677"/>
        </row>
        <row r="678">
          <cell r="I678"/>
          <cell r="M678"/>
        </row>
        <row r="679">
          <cell r="L679"/>
          <cell r="M679"/>
        </row>
        <row r="680">
          <cell r="M680"/>
        </row>
        <row r="681">
          <cell r="M681"/>
        </row>
        <row r="682">
          <cell r="M682"/>
        </row>
        <row r="683">
          <cell r="M683"/>
        </row>
        <row r="684">
          <cell r="M684"/>
        </row>
        <row r="685">
          <cell r="I685"/>
          <cell r="M685"/>
        </row>
        <row r="686">
          <cell r="I686"/>
          <cell r="M686"/>
        </row>
        <row r="687">
          <cell r="I687"/>
          <cell r="M687"/>
        </row>
        <row r="688">
          <cell r="M688"/>
        </row>
        <row r="690">
          <cell r="M690"/>
        </row>
        <row r="691">
          <cell r="M691"/>
        </row>
        <row r="692">
          <cell r="I692"/>
          <cell r="J692"/>
          <cell r="M692"/>
        </row>
        <row r="693">
          <cell r="M693"/>
        </row>
        <row r="694">
          <cell r="M694"/>
        </row>
        <row r="695">
          <cell r="M695"/>
        </row>
        <row r="696">
          <cell r="I696"/>
          <cell r="M696"/>
        </row>
        <row r="697">
          <cell r="I697"/>
          <cell r="M697"/>
        </row>
        <row r="698">
          <cell r="I698"/>
          <cell r="M698"/>
        </row>
        <row r="699">
          <cell r="I699"/>
          <cell r="J699"/>
          <cell r="M699"/>
        </row>
        <row r="700">
          <cell r="I700"/>
          <cell r="J700"/>
          <cell r="M700"/>
        </row>
        <row r="701">
          <cell r="I701"/>
          <cell r="M701"/>
        </row>
        <row r="702">
          <cell r="M702"/>
        </row>
        <row r="703">
          <cell r="M703"/>
        </row>
        <row r="704">
          <cell r="I704"/>
          <cell r="J704"/>
          <cell r="M704"/>
        </row>
        <row r="705">
          <cell r="I705"/>
          <cell r="M705"/>
        </row>
        <row r="706">
          <cell r="I706"/>
          <cell r="M706"/>
        </row>
        <row r="707">
          <cell r="M707"/>
        </row>
        <row r="708">
          <cell r="M708"/>
        </row>
        <row r="709">
          <cell r="M709"/>
        </row>
        <row r="710">
          <cell r="I710"/>
          <cell r="M710"/>
        </row>
        <row r="711">
          <cell r="M711"/>
        </row>
        <row r="712">
          <cell r="M712"/>
        </row>
        <row r="713">
          <cell r="G713"/>
          <cell r="H713"/>
          <cell r="M713"/>
        </row>
        <row r="714">
          <cell r="M714"/>
        </row>
        <row r="715">
          <cell r="I715"/>
          <cell r="J715"/>
          <cell r="M715"/>
        </row>
        <row r="716">
          <cell r="M716"/>
        </row>
        <row r="717">
          <cell r="M717"/>
        </row>
        <row r="718">
          <cell r="M718"/>
        </row>
        <row r="719">
          <cell r="M719"/>
        </row>
        <row r="720">
          <cell r="M720"/>
        </row>
        <row r="721">
          <cell r="M721"/>
        </row>
        <row r="722">
          <cell r="M722"/>
        </row>
        <row r="723">
          <cell r="I723"/>
          <cell r="M723"/>
        </row>
        <row r="724">
          <cell r="I724"/>
          <cell r="M724"/>
        </row>
        <row r="725">
          <cell r="I725"/>
          <cell r="M725"/>
        </row>
        <row r="726">
          <cell r="M726"/>
        </row>
        <row r="727">
          <cell r="M727"/>
        </row>
        <row r="728">
          <cell r="I728"/>
          <cell r="M728"/>
        </row>
        <row r="729">
          <cell r="M729"/>
        </row>
        <row r="730">
          <cell r="I730"/>
          <cell r="M730"/>
        </row>
        <row r="731">
          <cell r="M731"/>
        </row>
        <row r="732">
          <cell r="I732"/>
          <cell r="M732"/>
        </row>
        <row r="733">
          <cell r="I733"/>
          <cell r="M733"/>
        </row>
        <row r="734">
          <cell r="I734"/>
          <cell r="M734"/>
        </row>
        <row r="735">
          <cell r="I735"/>
          <cell r="M735"/>
        </row>
        <row r="736">
          <cell r="M736"/>
        </row>
        <row r="737">
          <cell r="I737"/>
          <cell r="M737"/>
        </row>
        <row r="738">
          <cell r="M738"/>
        </row>
        <row r="739">
          <cell r="M739"/>
        </row>
        <row r="740">
          <cell r="M740"/>
        </row>
        <row r="741">
          <cell r="M741"/>
        </row>
        <row r="742">
          <cell r="M742"/>
        </row>
        <row r="743">
          <cell r="M743"/>
        </row>
        <row r="744">
          <cell r="M744"/>
        </row>
        <row r="745">
          <cell r="I745"/>
          <cell r="M745"/>
        </row>
        <row r="746">
          <cell r="I746"/>
          <cell r="M746"/>
        </row>
        <row r="747">
          <cell r="M747"/>
        </row>
        <row r="748">
          <cell r="M748"/>
        </row>
        <row r="749">
          <cell r="I749"/>
          <cell r="J749"/>
          <cell r="K749"/>
          <cell r="M749"/>
        </row>
        <row r="750">
          <cell r="I750"/>
          <cell r="J750"/>
          <cell r="K750"/>
          <cell r="M750"/>
        </row>
        <row r="751">
          <cell r="I751"/>
          <cell r="M751"/>
        </row>
        <row r="752">
          <cell r="I752"/>
          <cell r="M752"/>
        </row>
        <row r="753">
          <cell r="I753"/>
          <cell r="M753"/>
        </row>
        <row r="754">
          <cell r="I754"/>
          <cell r="M754"/>
        </row>
        <row r="755">
          <cell r="I755"/>
          <cell r="M755"/>
        </row>
        <row r="756">
          <cell r="I756"/>
          <cell r="M756"/>
        </row>
        <row r="757">
          <cell r="I757"/>
          <cell r="M757"/>
        </row>
        <row r="758">
          <cell r="I758"/>
          <cell r="M758"/>
        </row>
        <row r="759">
          <cell r="I759"/>
          <cell r="M759"/>
        </row>
        <row r="760">
          <cell r="I760"/>
          <cell r="M760"/>
        </row>
        <row r="761">
          <cell r="M761"/>
        </row>
        <row r="762">
          <cell r="M762"/>
        </row>
        <row r="763">
          <cell r="I763"/>
          <cell r="J763"/>
          <cell r="M763"/>
        </row>
        <row r="764">
          <cell r="I764"/>
          <cell r="M764"/>
        </row>
        <row r="765">
          <cell r="I765"/>
          <cell r="J765"/>
          <cell r="K765"/>
          <cell r="M765"/>
        </row>
        <row r="766">
          <cell r="I766"/>
          <cell r="M766"/>
        </row>
        <row r="767">
          <cell r="I767"/>
          <cell r="M767"/>
        </row>
        <row r="768">
          <cell r="I768"/>
          <cell r="J768"/>
          <cell r="K768"/>
          <cell r="M768"/>
        </row>
        <row r="769">
          <cell r="M769"/>
        </row>
        <row r="770">
          <cell r="M770"/>
        </row>
        <row r="771">
          <cell r="I771"/>
          <cell r="M771"/>
        </row>
        <row r="772">
          <cell r="M772"/>
        </row>
        <row r="773">
          <cell r="I773"/>
          <cell r="M773"/>
        </row>
        <row r="774">
          <cell r="I774"/>
          <cell r="M774"/>
        </row>
        <row r="775">
          <cell r="M775"/>
        </row>
        <row r="776">
          <cell r="I776"/>
          <cell r="M776"/>
        </row>
        <row r="777">
          <cell r="M777"/>
        </row>
        <row r="778">
          <cell r="I778"/>
          <cell r="M778"/>
        </row>
        <row r="779">
          <cell r="I779"/>
          <cell r="J779"/>
          <cell r="M779"/>
        </row>
        <row r="780">
          <cell r="M780"/>
        </row>
        <row r="781">
          <cell r="M781"/>
        </row>
        <row r="782">
          <cell r="M782"/>
        </row>
        <row r="783">
          <cell r="M783"/>
        </row>
        <row r="784">
          <cell r="M784"/>
        </row>
        <row r="785">
          <cell r="M785"/>
        </row>
        <row r="786">
          <cell r="I786"/>
          <cell r="J786"/>
          <cell r="M786"/>
        </row>
        <row r="787">
          <cell r="I787"/>
          <cell r="J787"/>
          <cell r="M787"/>
        </row>
        <row r="788">
          <cell r="I788"/>
          <cell r="J788"/>
          <cell r="M788"/>
        </row>
        <row r="789">
          <cell r="I789"/>
          <cell r="J789"/>
          <cell r="M789"/>
        </row>
        <row r="790">
          <cell r="M790"/>
        </row>
        <row r="791">
          <cell r="M791"/>
        </row>
        <row r="792">
          <cell r="M792"/>
        </row>
        <row r="793">
          <cell r="I793"/>
          <cell r="J793"/>
          <cell r="M793"/>
        </row>
        <row r="794">
          <cell r="I794"/>
          <cell r="J794"/>
          <cell r="M794"/>
        </row>
        <row r="795">
          <cell r="M795"/>
        </row>
        <row r="796">
          <cell r="I796"/>
          <cell r="M796"/>
        </row>
        <row r="797">
          <cell r="I797"/>
          <cell r="J797"/>
          <cell r="M797"/>
        </row>
        <row r="798">
          <cell r="M798"/>
        </row>
        <row r="799">
          <cell r="M799"/>
        </row>
        <row r="800">
          <cell r="M800"/>
        </row>
        <row r="801">
          <cell r="M801"/>
        </row>
        <row r="802">
          <cell r="I802"/>
          <cell r="M802"/>
        </row>
        <row r="803">
          <cell r="I803"/>
          <cell r="M803"/>
        </row>
        <row r="804">
          <cell r="I804"/>
          <cell r="M804"/>
        </row>
        <row r="805">
          <cell r="I805"/>
          <cell r="J805"/>
          <cell r="K805"/>
          <cell r="M805"/>
        </row>
        <row r="806">
          <cell r="I806"/>
          <cell r="J806"/>
          <cell r="K806"/>
          <cell r="M806"/>
        </row>
        <row r="807">
          <cell r="I807"/>
          <cell r="J807"/>
          <cell r="M807"/>
        </row>
        <row r="808">
          <cell r="M808"/>
        </row>
        <row r="809">
          <cell r="M809"/>
        </row>
        <row r="810">
          <cell r="I810"/>
          <cell r="M810"/>
        </row>
        <row r="811">
          <cell r="M811"/>
        </row>
        <row r="812">
          <cell r="I812"/>
          <cell r="M812"/>
        </row>
        <row r="813">
          <cell r="I813"/>
          <cell r="M813"/>
        </row>
        <row r="814">
          <cell r="M814"/>
        </row>
        <row r="815">
          <cell r="M815"/>
        </row>
        <row r="816">
          <cell r="M816"/>
        </row>
        <row r="817">
          <cell r="M817"/>
        </row>
        <row r="818">
          <cell r="I818"/>
          <cell r="M818"/>
        </row>
        <row r="819">
          <cell r="M819"/>
        </row>
        <row r="820">
          <cell r="I820"/>
          <cell r="J820"/>
          <cell r="M820"/>
        </row>
        <row r="821">
          <cell r="M821"/>
        </row>
        <row r="822">
          <cell r="M822"/>
        </row>
        <row r="823">
          <cell r="M823"/>
        </row>
        <row r="824">
          <cell r="M824"/>
        </row>
        <row r="825">
          <cell r="M825"/>
        </row>
        <row r="826">
          <cell r="M826"/>
        </row>
        <row r="827">
          <cell r="I827"/>
          <cell r="M827"/>
        </row>
        <row r="828">
          <cell r="M828"/>
        </row>
        <row r="829">
          <cell r="M829"/>
        </row>
        <row r="830">
          <cell r="M830"/>
        </row>
        <row r="831">
          <cell r="M831"/>
        </row>
        <row r="832">
          <cell r="M832"/>
        </row>
        <row r="833">
          <cell r="M833"/>
        </row>
        <row r="834">
          <cell r="I834"/>
          <cell r="M834"/>
        </row>
        <row r="835">
          <cell r="I835"/>
          <cell r="M835"/>
        </row>
        <row r="836">
          <cell r="I836"/>
          <cell r="M836"/>
        </row>
        <row r="837">
          <cell r="I837"/>
          <cell r="M837"/>
        </row>
        <row r="838">
          <cell r="I838"/>
          <cell r="M838"/>
        </row>
        <row r="839">
          <cell r="I839"/>
          <cell r="M839"/>
        </row>
        <row r="840">
          <cell r="M840"/>
        </row>
        <row r="841">
          <cell r="M841"/>
        </row>
        <row r="842">
          <cell r="M842"/>
        </row>
        <row r="843">
          <cell r="D843"/>
          <cell r="E843"/>
          <cell r="F843"/>
          <cell r="G843"/>
          <cell r="I843"/>
          <cell r="J843"/>
          <cell r="K843"/>
          <cell r="M843"/>
        </row>
        <row r="844">
          <cell r="M844"/>
        </row>
        <row r="845">
          <cell r="M845"/>
        </row>
        <row r="846">
          <cell r="M846"/>
        </row>
        <row r="847">
          <cell r="M847"/>
        </row>
        <row r="848">
          <cell r="M848"/>
        </row>
        <row r="849">
          <cell r="M849"/>
        </row>
        <row r="850">
          <cell r="M850"/>
        </row>
        <row r="851">
          <cell r="M851"/>
        </row>
        <row r="852">
          <cell r="M852"/>
        </row>
        <row r="853">
          <cell r="M853"/>
        </row>
        <row r="854">
          <cell r="M854"/>
        </row>
        <row r="855">
          <cell r="I855"/>
          <cell r="J855"/>
          <cell r="M855"/>
        </row>
        <row r="856">
          <cell r="I856"/>
          <cell r="J856"/>
          <cell r="M856"/>
        </row>
        <row r="857">
          <cell r="I857"/>
          <cell r="J857"/>
          <cell r="M857"/>
        </row>
        <row r="858">
          <cell r="I858"/>
          <cell r="J858"/>
          <cell r="L858"/>
          <cell r="M858"/>
        </row>
        <row r="859">
          <cell r="I859"/>
          <cell r="M859"/>
        </row>
        <row r="860">
          <cell r="I860"/>
          <cell r="M860"/>
        </row>
        <row r="861">
          <cell r="I861"/>
          <cell r="M861"/>
        </row>
        <row r="862">
          <cell r="I862"/>
          <cell r="M862"/>
        </row>
        <row r="863">
          <cell r="I863"/>
          <cell r="M863"/>
        </row>
        <row r="864">
          <cell r="I864"/>
          <cell r="M864"/>
        </row>
        <row r="865">
          <cell r="I865"/>
          <cell r="M865"/>
        </row>
        <row r="866">
          <cell r="I866"/>
          <cell r="M866"/>
        </row>
        <row r="867">
          <cell r="I867"/>
          <cell r="M867"/>
        </row>
        <row r="868">
          <cell r="M868"/>
        </row>
        <row r="869">
          <cell r="L869"/>
          <cell r="M869"/>
        </row>
        <row r="870">
          <cell r="M870"/>
        </row>
        <row r="871">
          <cell r="M871"/>
        </row>
        <row r="872">
          <cell r="M872"/>
        </row>
        <row r="873">
          <cell r="M873"/>
        </row>
        <row r="874">
          <cell r="M874"/>
        </row>
        <row r="875">
          <cell r="D875"/>
          <cell r="E875"/>
          <cell r="F875"/>
          <cell r="G875"/>
          <cell r="I875"/>
          <cell r="J875"/>
          <cell r="K875"/>
          <cell r="M875"/>
        </row>
        <row r="876">
          <cell r="I876"/>
          <cell r="M876"/>
        </row>
        <row r="877">
          <cell r="M877"/>
        </row>
        <row r="878">
          <cell r="M878"/>
        </row>
        <row r="879">
          <cell r="M879"/>
        </row>
        <row r="880">
          <cell r="M880"/>
        </row>
        <row r="881">
          <cell r="M881"/>
        </row>
        <row r="882">
          <cell r="I882"/>
          <cell r="J882"/>
          <cell r="M882"/>
        </row>
        <row r="883">
          <cell r="I883"/>
          <cell r="J883"/>
          <cell r="M883"/>
        </row>
        <row r="884">
          <cell r="I884"/>
          <cell r="J884"/>
          <cell r="M884"/>
        </row>
        <row r="885">
          <cell r="I885"/>
          <cell r="M885"/>
        </row>
        <row r="886">
          <cell r="I886"/>
          <cell r="M886"/>
        </row>
        <row r="887">
          <cell r="M887"/>
        </row>
        <row r="888">
          <cell r="M888"/>
        </row>
        <row r="889">
          <cell r="M889"/>
        </row>
        <row r="890">
          <cell r="M890"/>
        </row>
        <row r="891">
          <cell r="M891"/>
        </row>
        <row r="892">
          <cell r="M892"/>
        </row>
        <row r="893">
          <cell r="M893"/>
        </row>
        <row r="894">
          <cell r="M894"/>
        </row>
        <row r="895">
          <cell r="M895"/>
        </row>
        <row r="896">
          <cell r="M896"/>
        </row>
        <row r="897">
          <cell r="M897"/>
        </row>
        <row r="898">
          <cell r="M898"/>
        </row>
        <row r="899">
          <cell r="M899"/>
        </row>
        <row r="900">
          <cell r="M900"/>
        </row>
        <row r="901">
          <cell r="M901"/>
        </row>
        <row r="902">
          <cell r="M902"/>
        </row>
        <row r="903">
          <cell r="M903"/>
        </row>
        <row r="904">
          <cell r="M904"/>
        </row>
        <row r="905">
          <cell r="M905"/>
        </row>
        <row r="907">
          <cell r="M907"/>
        </row>
        <row r="908">
          <cell r="M908"/>
        </row>
        <row r="909">
          <cell r="M909"/>
        </row>
        <row r="910">
          <cell r="M910"/>
        </row>
        <row r="911">
          <cell r="M911"/>
        </row>
        <row r="912">
          <cell r="M912"/>
        </row>
        <row r="913">
          <cell r="M913"/>
        </row>
        <row r="914">
          <cell r="M914"/>
        </row>
        <row r="915">
          <cell r="M915"/>
        </row>
        <row r="916">
          <cell r="M916"/>
        </row>
        <row r="917">
          <cell r="M917"/>
        </row>
        <row r="918">
          <cell r="M918"/>
        </row>
        <row r="919">
          <cell r="M919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3208-A4BB-4683-9956-E80B0FC503A0}">
  <dimension ref="A1:Z56"/>
  <sheetViews>
    <sheetView showZeros="0" tabSelected="1" zoomScale="85" workbookViewId="0">
      <pane xSplit="3" ySplit="7" topLeftCell="D8" activePane="bottomRight" state="frozen"/>
      <selection pane="topRight"/>
      <selection pane="bottomLeft"/>
      <selection pane="bottomRight" activeCell="G9" sqref="G9"/>
    </sheetView>
  </sheetViews>
  <sheetFormatPr defaultRowHeight="15"/>
  <cols>
    <col min="1" max="1" width="4.140625" style="3" customWidth="1"/>
    <col min="2" max="2" width="24" style="25" customWidth="1"/>
    <col min="3" max="3" width="9" style="27" customWidth="1"/>
    <col min="4" max="4" width="16.85546875" style="20" customWidth="1"/>
    <col min="5" max="5" width="14.140625" style="21" customWidth="1"/>
    <col min="6" max="6" width="14" style="21" customWidth="1"/>
    <col min="7" max="7" width="13.85546875" style="21" customWidth="1"/>
    <col min="8" max="8" width="12.28515625" style="24" bestFit="1" customWidth="1"/>
    <col min="9" max="9" width="12.85546875" style="24" bestFit="1" customWidth="1"/>
    <col min="10" max="10" width="10.140625" style="24" bestFit="1" customWidth="1"/>
    <col min="11" max="15" width="10.28515625" style="24" bestFit="1" customWidth="1"/>
    <col min="16" max="16" width="10.140625" style="24" bestFit="1" customWidth="1"/>
    <col min="17" max="18" width="11.5703125" style="21" bestFit="1" customWidth="1"/>
    <col min="19" max="217" width="9.140625" style="3"/>
    <col min="218" max="218" width="4.140625" style="3" customWidth="1"/>
    <col min="219" max="219" width="24" style="3" customWidth="1"/>
    <col min="220" max="220" width="9" style="3" customWidth="1"/>
    <col min="221" max="221" width="24.42578125" style="3" customWidth="1"/>
    <col min="222" max="222" width="14.140625" style="3" customWidth="1"/>
    <col min="223" max="223" width="14" style="3" customWidth="1"/>
    <col min="224" max="224" width="13.85546875" style="3" customWidth="1"/>
    <col min="225" max="225" width="14.140625" style="3" customWidth="1"/>
    <col min="226" max="226" width="13.140625" style="3" bestFit="1" customWidth="1"/>
    <col min="227" max="253" width="0" style="3" hidden="1" customWidth="1"/>
    <col min="254" max="254" width="10.28515625" style="3" customWidth="1"/>
    <col min="255" max="255" width="12.28515625" style="3" bestFit="1" customWidth="1"/>
    <col min="256" max="256" width="12.85546875" style="3" bestFit="1" customWidth="1"/>
    <col min="257" max="257" width="10.28515625" style="3" bestFit="1" customWidth="1"/>
    <col min="258" max="258" width="10.140625" style="3" bestFit="1" customWidth="1"/>
    <col min="259" max="263" width="10.28515625" style="3" bestFit="1" customWidth="1"/>
    <col min="264" max="265" width="10.140625" style="3" bestFit="1" customWidth="1"/>
    <col min="266" max="271" width="10.28515625" style="3" bestFit="1" customWidth="1"/>
    <col min="272" max="272" width="11.5703125" style="3" bestFit="1" customWidth="1"/>
    <col min="273" max="473" width="9.140625" style="3"/>
    <col min="474" max="474" width="4.140625" style="3" customWidth="1"/>
    <col min="475" max="475" width="24" style="3" customWidth="1"/>
    <col min="476" max="476" width="9" style="3" customWidth="1"/>
    <col min="477" max="477" width="24.42578125" style="3" customWidth="1"/>
    <col min="478" max="478" width="14.140625" style="3" customWidth="1"/>
    <col min="479" max="479" width="14" style="3" customWidth="1"/>
    <col min="480" max="480" width="13.85546875" style="3" customWidth="1"/>
    <col min="481" max="481" width="14.140625" style="3" customWidth="1"/>
    <col min="482" max="482" width="13.140625" style="3" bestFit="1" customWidth="1"/>
    <col min="483" max="509" width="0" style="3" hidden="1" customWidth="1"/>
    <col min="510" max="510" width="10.28515625" style="3" customWidth="1"/>
    <col min="511" max="511" width="12.28515625" style="3" bestFit="1" customWidth="1"/>
    <col min="512" max="512" width="12.85546875" style="3" bestFit="1" customWidth="1"/>
    <col min="513" max="513" width="10.28515625" style="3" bestFit="1" customWidth="1"/>
    <col min="514" max="514" width="10.140625" style="3" bestFit="1" customWidth="1"/>
    <col min="515" max="519" width="10.28515625" style="3" bestFit="1" customWidth="1"/>
    <col min="520" max="521" width="10.140625" style="3" bestFit="1" customWidth="1"/>
    <col min="522" max="527" width="10.28515625" style="3" bestFit="1" customWidth="1"/>
    <col min="528" max="528" width="11.5703125" style="3" bestFit="1" customWidth="1"/>
    <col min="529" max="729" width="9.140625" style="3"/>
    <col min="730" max="730" width="4.140625" style="3" customWidth="1"/>
    <col min="731" max="731" width="24" style="3" customWidth="1"/>
    <col min="732" max="732" width="9" style="3" customWidth="1"/>
    <col min="733" max="733" width="24.42578125" style="3" customWidth="1"/>
    <col min="734" max="734" width="14.140625" style="3" customWidth="1"/>
    <col min="735" max="735" width="14" style="3" customWidth="1"/>
    <col min="736" max="736" width="13.85546875" style="3" customWidth="1"/>
    <col min="737" max="737" width="14.140625" style="3" customWidth="1"/>
    <col min="738" max="738" width="13.140625" style="3" bestFit="1" customWidth="1"/>
    <col min="739" max="765" width="0" style="3" hidden="1" customWidth="1"/>
    <col min="766" max="766" width="10.28515625" style="3" customWidth="1"/>
    <col min="767" max="767" width="12.28515625" style="3" bestFit="1" customWidth="1"/>
    <col min="768" max="768" width="12.85546875" style="3" bestFit="1" customWidth="1"/>
    <col min="769" max="769" width="10.28515625" style="3" bestFit="1" customWidth="1"/>
    <col min="770" max="770" width="10.140625" style="3" bestFit="1" customWidth="1"/>
    <col min="771" max="775" width="10.28515625" style="3" bestFit="1" customWidth="1"/>
    <col min="776" max="777" width="10.140625" style="3" bestFit="1" customWidth="1"/>
    <col min="778" max="783" width="10.28515625" style="3" bestFit="1" customWidth="1"/>
    <col min="784" max="784" width="11.5703125" style="3" bestFit="1" customWidth="1"/>
    <col min="785" max="985" width="9.140625" style="3"/>
    <col min="986" max="986" width="4.140625" style="3" customWidth="1"/>
    <col min="987" max="987" width="24" style="3" customWidth="1"/>
    <col min="988" max="988" width="9" style="3" customWidth="1"/>
    <col min="989" max="989" width="24.42578125" style="3" customWidth="1"/>
    <col min="990" max="990" width="14.140625" style="3" customWidth="1"/>
    <col min="991" max="991" width="14" style="3" customWidth="1"/>
    <col min="992" max="992" width="13.85546875" style="3" customWidth="1"/>
    <col min="993" max="993" width="14.140625" style="3" customWidth="1"/>
    <col min="994" max="994" width="13.140625" style="3" bestFit="1" customWidth="1"/>
    <col min="995" max="1021" width="0" style="3" hidden="1" customWidth="1"/>
    <col min="1022" max="1022" width="10.28515625" style="3" customWidth="1"/>
    <col min="1023" max="1023" width="12.28515625" style="3" bestFit="1" customWidth="1"/>
    <col min="1024" max="1024" width="12.85546875" style="3" bestFit="1" customWidth="1"/>
    <col min="1025" max="1025" width="10.28515625" style="3" bestFit="1" customWidth="1"/>
    <col min="1026" max="1026" width="10.140625" style="3" bestFit="1" customWidth="1"/>
    <col min="1027" max="1031" width="10.28515625" style="3" bestFit="1" customWidth="1"/>
    <col min="1032" max="1033" width="10.140625" style="3" bestFit="1" customWidth="1"/>
    <col min="1034" max="1039" width="10.28515625" style="3" bestFit="1" customWidth="1"/>
    <col min="1040" max="1040" width="11.5703125" style="3" bestFit="1" customWidth="1"/>
    <col min="1041" max="1241" width="9.140625" style="3"/>
    <col min="1242" max="1242" width="4.140625" style="3" customWidth="1"/>
    <col min="1243" max="1243" width="24" style="3" customWidth="1"/>
    <col min="1244" max="1244" width="9" style="3" customWidth="1"/>
    <col min="1245" max="1245" width="24.42578125" style="3" customWidth="1"/>
    <col min="1246" max="1246" width="14.140625" style="3" customWidth="1"/>
    <col min="1247" max="1247" width="14" style="3" customWidth="1"/>
    <col min="1248" max="1248" width="13.85546875" style="3" customWidth="1"/>
    <col min="1249" max="1249" width="14.140625" style="3" customWidth="1"/>
    <col min="1250" max="1250" width="13.140625" style="3" bestFit="1" customWidth="1"/>
    <col min="1251" max="1277" width="0" style="3" hidden="1" customWidth="1"/>
    <col min="1278" max="1278" width="10.28515625" style="3" customWidth="1"/>
    <col min="1279" max="1279" width="12.28515625" style="3" bestFit="1" customWidth="1"/>
    <col min="1280" max="1280" width="12.85546875" style="3" bestFit="1" customWidth="1"/>
    <col min="1281" max="1281" width="10.28515625" style="3" bestFit="1" customWidth="1"/>
    <col min="1282" max="1282" width="10.140625" style="3" bestFit="1" customWidth="1"/>
    <col min="1283" max="1287" width="10.28515625" style="3" bestFit="1" customWidth="1"/>
    <col min="1288" max="1289" width="10.140625" style="3" bestFit="1" customWidth="1"/>
    <col min="1290" max="1295" width="10.28515625" style="3" bestFit="1" customWidth="1"/>
    <col min="1296" max="1296" width="11.5703125" style="3" bestFit="1" customWidth="1"/>
    <col min="1297" max="1497" width="9.140625" style="3"/>
    <col min="1498" max="1498" width="4.140625" style="3" customWidth="1"/>
    <col min="1499" max="1499" width="24" style="3" customWidth="1"/>
    <col min="1500" max="1500" width="9" style="3" customWidth="1"/>
    <col min="1501" max="1501" width="24.42578125" style="3" customWidth="1"/>
    <col min="1502" max="1502" width="14.140625" style="3" customWidth="1"/>
    <col min="1503" max="1503" width="14" style="3" customWidth="1"/>
    <col min="1504" max="1504" width="13.85546875" style="3" customWidth="1"/>
    <col min="1505" max="1505" width="14.140625" style="3" customWidth="1"/>
    <col min="1506" max="1506" width="13.140625" style="3" bestFit="1" customWidth="1"/>
    <col min="1507" max="1533" width="0" style="3" hidden="1" customWidth="1"/>
    <col min="1534" max="1534" width="10.28515625" style="3" customWidth="1"/>
    <col min="1535" max="1535" width="12.28515625" style="3" bestFit="1" customWidth="1"/>
    <col min="1536" max="1536" width="12.85546875" style="3" bestFit="1" customWidth="1"/>
    <col min="1537" max="1537" width="10.28515625" style="3" bestFit="1" customWidth="1"/>
    <col min="1538" max="1538" width="10.140625" style="3" bestFit="1" customWidth="1"/>
    <col min="1539" max="1543" width="10.28515625" style="3" bestFit="1" customWidth="1"/>
    <col min="1544" max="1545" width="10.140625" style="3" bestFit="1" customWidth="1"/>
    <col min="1546" max="1551" width="10.28515625" style="3" bestFit="1" customWidth="1"/>
    <col min="1552" max="1552" width="11.5703125" style="3" bestFit="1" customWidth="1"/>
    <col min="1553" max="1753" width="9.140625" style="3"/>
    <col min="1754" max="1754" width="4.140625" style="3" customWidth="1"/>
    <col min="1755" max="1755" width="24" style="3" customWidth="1"/>
    <col min="1756" max="1756" width="9" style="3" customWidth="1"/>
    <col min="1757" max="1757" width="24.42578125" style="3" customWidth="1"/>
    <col min="1758" max="1758" width="14.140625" style="3" customWidth="1"/>
    <col min="1759" max="1759" width="14" style="3" customWidth="1"/>
    <col min="1760" max="1760" width="13.85546875" style="3" customWidth="1"/>
    <col min="1761" max="1761" width="14.140625" style="3" customWidth="1"/>
    <col min="1762" max="1762" width="13.140625" style="3" bestFit="1" customWidth="1"/>
    <col min="1763" max="1789" width="0" style="3" hidden="1" customWidth="1"/>
    <col min="1790" max="1790" width="10.28515625" style="3" customWidth="1"/>
    <col min="1791" max="1791" width="12.28515625" style="3" bestFit="1" customWidth="1"/>
    <col min="1792" max="1792" width="12.85546875" style="3" bestFit="1" customWidth="1"/>
    <col min="1793" max="1793" width="10.28515625" style="3" bestFit="1" customWidth="1"/>
    <col min="1794" max="1794" width="10.140625" style="3" bestFit="1" customWidth="1"/>
    <col min="1795" max="1799" width="10.28515625" style="3" bestFit="1" customWidth="1"/>
    <col min="1800" max="1801" width="10.140625" style="3" bestFit="1" customWidth="1"/>
    <col min="1802" max="1807" width="10.28515625" style="3" bestFit="1" customWidth="1"/>
    <col min="1808" max="1808" width="11.5703125" style="3" bestFit="1" customWidth="1"/>
    <col min="1809" max="2009" width="9.140625" style="3"/>
    <col min="2010" max="2010" width="4.140625" style="3" customWidth="1"/>
    <col min="2011" max="2011" width="24" style="3" customWidth="1"/>
    <col min="2012" max="2012" width="9" style="3" customWidth="1"/>
    <col min="2013" max="2013" width="24.42578125" style="3" customWidth="1"/>
    <col min="2014" max="2014" width="14.140625" style="3" customWidth="1"/>
    <col min="2015" max="2015" width="14" style="3" customWidth="1"/>
    <col min="2016" max="2016" width="13.85546875" style="3" customWidth="1"/>
    <col min="2017" max="2017" width="14.140625" style="3" customWidth="1"/>
    <col min="2018" max="2018" width="13.140625" style="3" bestFit="1" customWidth="1"/>
    <col min="2019" max="2045" width="0" style="3" hidden="1" customWidth="1"/>
    <col min="2046" max="2046" width="10.28515625" style="3" customWidth="1"/>
    <col min="2047" max="2047" width="12.28515625" style="3" bestFit="1" customWidth="1"/>
    <col min="2048" max="2048" width="12.85546875" style="3" bestFit="1" customWidth="1"/>
    <col min="2049" max="2049" width="10.28515625" style="3" bestFit="1" customWidth="1"/>
    <col min="2050" max="2050" width="10.140625" style="3" bestFit="1" customWidth="1"/>
    <col min="2051" max="2055" width="10.28515625" style="3" bestFit="1" customWidth="1"/>
    <col min="2056" max="2057" width="10.140625" style="3" bestFit="1" customWidth="1"/>
    <col min="2058" max="2063" width="10.28515625" style="3" bestFit="1" customWidth="1"/>
    <col min="2064" max="2064" width="11.5703125" style="3" bestFit="1" customWidth="1"/>
    <col min="2065" max="2265" width="9.140625" style="3"/>
    <col min="2266" max="2266" width="4.140625" style="3" customWidth="1"/>
    <col min="2267" max="2267" width="24" style="3" customWidth="1"/>
    <col min="2268" max="2268" width="9" style="3" customWidth="1"/>
    <col min="2269" max="2269" width="24.42578125" style="3" customWidth="1"/>
    <col min="2270" max="2270" width="14.140625" style="3" customWidth="1"/>
    <col min="2271" max="2271" width="14" style="3" customWidth="1"/>
    <col min="2272" max="2272" width="13.85546875" style="3" customWidth="1"/>
    <col min="2273" max="2273" width="14.140625" style="3" customWidth="1"/>
    <col min="2274" max="2274" width="13.140625" style="3" bestFit="1" customWidth="1"/>
    <col min="2275" max="2301" width="0" style="3" hidden="1" customWidth="1"/>
    <col min="2302" max="2302" width="10.28515625" style="3" customWidth="1"/>
    <col min="2303" max="2303" width="12.28515625" style="3" bestFit="1" customWidth="1"/>
    <col min="2304" max="2304" width="12.85546875" style="3" bestFit="1" customWidth="1"/>
    <col min="2305" max="2305" width="10.28515625" style="3" bestFit="1" customWidth="1"/>
    <col min="2306" max="2306" width="10.140625" style="3" bestFit="1" customWidth="1"/>
    <col min="2307" max="2311" width="10.28515625" style="3" bestFit="1" customWidth="1"/>
    <col min="2312" max="2313" width="10.140625" style="3" bestFit="1" customWidth="1"/>
    <col min="2314" max="2319" width="10.28515625" style="3" bestFit="1" customWidth="1"/>
    <col min="2320" max="2320" width="11.5703125" style="3" bestFit="1" customWidth="1"/>
    <col min="2321" max="2521" width="9.140625" style="3"/>
    <col min="2522" max="2522" width="4.140625" style="3" customWidth="1"/>
    <col min="2523" max="2523" width="24" style="3" customWidth="1"/>
    <col min="2524" max="2524" width="9" style="3" customWidth="1"/>
    <col min="2525" max="2525" width="24.42578125" style="3" customWidth="1"/>
    <col min="2526" max="2526" width="14.140625" style="3" customWidth="1"/>
    <col min="2527" max="2527" width="14" style="3" customWidth="1"/>
    <col min="2528" max="2528" width="13.85546875" style="3" customWidth="1"/>
    <col min="2529" max="2529" width="14.140625" style="3" customWidth="1"/>
    <col min="2530" max="2530" width="13.140625" style="3" bestFit="1" customWidth="1"/>
    <col min="2531" max="2557" width="0" style="3" hidden="1" customWidth="1"/>
    <col min="2558" max="2558" width="10.28515625" style="3" customWidth="1"/>
    <col min="2559" max="2559" width="12.28515625" style="3" bestFit="1" customWidth="1"/>
    <col min="2560" max="2560" width="12.85546875" style="3" bestFit="1" customWidth="1"/>
    <col min="2561" max="2561" width="10.28515625" style="3" bestFit="1" customWidth="1"/>
    <col min="2562" max="2562" width="10.140625" style="3" bestFit="1" customWidth="1"/>
    <col min="2563" max="2567" width="10.28515625" style="3" bestFit="1" customWidth="1"/>
    <col min="2568" max="2569" width="10.140625" style="3" bestFit="1" customWidth="1"/>
    <col min="2570" max="2575" width="10.28515625" style="3" bestFit="1" customWidth="1"/>
    <col min="2576" max="2576" width="11.5703125" style="3" bestFit="1" customWidth="1"/>
    <col min="2577" max="2777" width="9.140625" style="3"/>
    <col min="2778" max="2778" width="4.140625" style="3" customWidth="1"/>
    <col min="2779" max="2779" width="24" style="3" customWidth="1"/>
    <col min="2780" max="2780" width="9" style="3" customWidth="1"/>
    <col min="2781" max="2781" width="24.42578125" style="3" customWidth="1"/>
    <col min="2782" max="2782" width="14.140625" style="3" customWidth="1"/>
    <col min="2783" max="2783" width="14" style="3" customWidth="1"/>
    <col min="2784" max="2784" width="13.85546875" style="3" customWidth="1"/>
    <col min="2785" max="2785" width="14.140625" style="3" customWidth="1"/>
    <col min="2786" max="2786" width="13.140625" style="3" bestFit="1" customWidth="1"/>
    <col min="2787" max="2813" width="0" style="3" hidden="1" customWidth="1"/>
    <col min="2814" max="2814" width="10.28515625" style="3" customWidth="1"/>
    <col min="2815" max="2815" width="12.28515625" style="3" bestFit="1" customWidth="1"/>
    <col min="2816" max="2816" width="12.85546875" style="3" bestFit="1" customWidth="1"/>
    <col min="2817" max="2817" width="10.28515625" style="3" bestFit="1" customWidth="1"/>
    <col min="2818" max="2818" width="10.140625" style="3" bestFit="1" customWidth="1"/>
    <col min="2819" max="2823" width="10.28515625" style="3" bestFit="1" customWidth="1"/>
    <col min="2824" max="2825" width="10.140625" style="3" bestFit="1" customWidth="1"/>
    <col min="2826" max="2831" width="10.28515625" style="3" bestFit="1" customWidth="1"/>
    <col min="2832" max="2832" width="11.5703125" style="3" bestFit="1" customWidth="1"/>
    <col min="2833" max="3033" width="9.140625" style="3"/>
    <col min="3034" max="3034" width="4.140625" style="3" customWidth="1"/>
    <col min="3035" max="3035" width="24" style="3" customWidth="1"/>
    <col min="3036" max="3036" width="9" style="3" customWidth="1"/>
    <col min="3037" max="3037" width="24.42578125" style="3" customWidth="1"/>
    <col min="3038" max="3038" width="14.140625" style="3" customWidth="1"/>
    <col min="3039" max="3039" width="14" style="3" customWidth="1"/>
    <col min="3040" max="3040" width="13.85546875" style="3" customWidth="1"/>
    <col min="3041" max="3041" width="14.140625" style="3" customWidth="1"/>
    <col min="3042" max="3042" width="13.140625" style="3" bestFit="1" customWidth="1"/>
    <col min="3043" max="3069" width="0" style="3" hidden="1" customWidth="1"/>
    <col min="3070" max="3070" width="10.28515625" style="3" customWidth="1"/>
    <col min="3071" max="3071" width="12.28515625" style="3" bestFit="1" customWidth="1"/>
    <col min="3072" max="3072" width="12.85546875" style="3" bestFit="1" customWidth="1"/>
    <col min="3073" max="3073" width="10.28515625" style="3" bestFit="1" customWidth="1"/>
    <col min="3074" max="3074" width="10.140625" style="3" bestFit="1" customWidth="1"/>
    <col min="3075" max="3079" width="10.28515625" style="3" bestFit="1" customWidth="1"/>
    <col min="3080" max="3081" width="10.140625" style="3" bestFit="1" customWidth="1"/>
    <col min="3082" max="3087" width="10.28515625" style="3" bestFit="1" customWidth="1"/>
    <col min="3088" max="3088" width="11.5703125" style="3" bestFit="1" customWidth="1"/>
    <col min="3089" max="3289" width="9.140625" style="3"/>
    <col min="3290" max="3290" width="4.140625" style="3" customWidth="1"/>
    <col min="3291" max="3291" width="24" style="3" customWidth="1"/>
    <col min="3292" max="3292" width="9" style="3" customWidth="1"/>
    <col min="3293" max="3293" width="24.42578125" style="3" customWidth="1"/>
    <col min="3294" max="3294" width="14.140625" style="3" customWidth="1"/>
    <col min="3295" max="3295" width="14" style="3" customWidth="1"/>
    <col min="3296" max="3296" width="13.85546875" style="3" customWidth="1"/>
    <col min="3297" max="3297" width="14.140625" style="3" customWidth="1"/>
    <col min="3298" max="3298" width="13.140625" style="3" bestFit="1" customWidth="1"/>
    <col min="3299" max="3325" width="0" style="3" hidden="1" customWidth="1"/>
    <col min="3326" max="3326" width="10.28515625" style="3" customWidth="1"/>
    <col min="3327" max="3327" width="12.28515625" style="3" bestFit="1" customWidth="1"/>
    <col min="3328" max="3328" width="12.85546875" style="3" bestFit="1" customWidth="1"/>
    <col min="3329" max="3329" width="10.28515625" style="3" bestFit="1" customWidth="1"/>
    <col min="3330" max="3330" width="10.140625" style="3" bestFit="1" customWidth="1"/>
    <col min="3331" max="3335" width="10.28515625" style="3" bestFit="1" customWidth="1"/>
    <col min="3336" max="3337" width="10.140625" style="3" bestFit="1" customWidth="1"/>
    <col min="3338" max="3343" width="10.28515625" style="3" bestFit="1" customWidth="1"/>
    <col min="3344" max="3344" width="11.5703125" style="3" bestFit="1" customWidth="1"/>
    <col min="3345" max="3545" width="9.140625" style="3"/>
    <col min="3546" max="3546" width="4.140625" style="3" customWidth="1"/>
    <col min="3547" max="3547" width="24" style="3" customWidth="1"/>
    <col min="3548" max="3548" width="9" style="3" customWidth="1"/>
    <col min="3549" max="3549" width="24.42578125" style="3" customWidth="1"/>
    <col min="3550" max="3550" width="14.140625" style="3" customWidth="1"/>
    <col min="3551" max="3551" width="14" style="3" customWidth="1"/>
    <col min="3552" max="3552" width="13.85546875" style="3" customWidth="1"/>
    <col min="3553" max="3553" width="14.140625" style="3" customWidth="1"/>
    <col min="3554" max="3554" width="13.140625" style="3" bestFit="1" customWidth="1"/>
    <col min="3555" max="3581" width="0" style="3" hidden="1" customWidth="1"/>
    <col min="3582" max="3582" width="10.28515625" style="3" customWidth="1"/>
    <col min="3583" max="3583" width="12.28515625" style="3" bestFit="1" customWidth="1"/>
    <col min="3584" max="3584" width="12.85546875" style="3" bestFit="1" customWidth="1"/>
    <col min="3585" max="3585" width="10.28515625" style="3" bestFit="1" customWidth="1"/>
    <col min="3586" max="3586" width="10.140625" style="3" bestFit="1" customWidth="1"/>
    <col min="3587" max="3591" width="10.28515625" style="3" bestFit="1" customWidth="1"/>
    <col min="3592" max="3593" width="10.140625" style="3" bestFit="1" customWidth="1"/>
    <col min="3594" max="3599" width="10.28515625" style="3" bestFit="1" customWidth="1"/>
    <col min="3600" max="3600" width="11.5703125" style="3" bestFit="1" customWidth="1"/>
    <col min="3601" max="3801" width="9.140625" style="3"/>
    <col min="3802" max="3802" width="4.140625" style="3" customWidth="1"/>
    <col min="3803" max="3803" width="24" style="3" customWidth="1"/>
    <col min="3804" max="3804" width="9" style="3" customWidth="1"/>
    <col min="3805" max="3805" width="24.42578125" style="3" customWidth="1"/>
    <col min="3806" max="3806" width="14.140625" style="3" customWidth="1"/>
    <col min="3807" max="3807" width="14" style="3" customWidth="1"/>
    <col min="3808" max="3808" width="13.85546875" style="3" customWidth="1"/>
    <col min="3809" max="3809" width="14.140625" style="3" customWidth="1"/>
    <col min="3810" max="3810" width="13.140625" style="3" bestFit="1" customWidth="1"/>
    <col min="3811" max="3837" width="0" style="3" hidden="1" customWidth="1"/>
    <col min="3838" max="3838" width="10.28515625" style="3" customWidth="1"/>
    <col min="3839" max="3839" width="12.28515625" style="3" bestFit="1" customWidth="1"/>
    <col min="3840" max="3840" width="12.85546875" style="3" bestFit="1" customWidth="1"/>
    <col min="3841" max="3841" width="10.28515625" style="3" bestFit="1" customWidth="1"/>
    <col min="3842" max="3842" width="10.140625" style="3" bestFit="1" customWidth="1"/>
    <col min="3843" max="3847" width="10.28515625" style="3" bestFit="1" customWidth="1"/>
    <col min="3848" max="3849" width="10.140625" style="3" bestFit="1" customWidth="1"/>
    <col min="3850" max="3855" width="10.28515625" style="3" bestFit="1" customWidth="1"/>
    <col min="3856" max="3856" width="11.5703125" style="3" bestFit="1" customWidth="1"/>
    <col min="3857" max="4057" width="9.140625" style="3"/>
    <col min="4058" max="4058" width="4.140625" style="3" customWidth="1"/>
    <col min="4059" max="4059" width="24" style="3" customWidth="1"/>
    <col min="4060" max="4060" width="9" style="3" customWidth="1"/>
    <col min="4061" max="4061" width="24.42578125" style="3" customWidth="1"/>
    <col min="4062" max="4062" width="14.140625" style="3" customWidth="1"/>
    <col min="4063" max="4063" width="14" style="3" customWidth="1"/>
    <col min="4064" max="4064" width="13.85546875" style="3" customWidth="1"/>
    <col min="4065" max="4065" width="14.140625" style="3" customWidth="1"/>
    <col min="4066" max="4066" width="13.140625" style="3" bestFit="1" customWidth="1"/>
    <col min="4067" max="4093" width="0" style="3" hidden="1" customWidth="1"/>
    <col min="4094" max="4094" width="10.28515625" style="3" customWidth="1"/>
    <col min="4095" max="4095" width="12.28515625" style="3" bestFit="1" customWidth="1"/>
    <col min="4096" max="4096" width="12.85546875" style="3" bestFit="1" customWidth="1"/>
    <col min="4097" max="4097" width="10.28515625" style="3" bestFit="1" customWidth="1"/>
    <col min="4098" max="4098" width="10.140625" style="3" bestFit="1" customWidth="1"/>
    <col min="4099" max="4103" width="10.28515625" style="3" bestFit="1" customWidth="1"/>
    <col min="4104" max="4105" width="10.140625" style="3" bestFit="1" customWidth="1"/>
    <col min="4106" max="4111" width="10.28515625" style="3" bestFit="1" customWidth="1"/>
    <col min="4112" max="4112" width="11.5703125" style="3" bestFit="1" customWidth="1"/>
    <col min="4113" max="4313" width="9.140625" style="3"/>
    <col min="4314" max="4314" width="4.140625" style="3" customWidth="1"/>
    <col min="4315" max="4315" width="24" style="3" customWidth="1"/>
    <col min="4316" max="4316" width="9" style="3" customWidth="1"/>
    <col min="4317" max="4317" width="24.42578125" style="3" customWidth="1"/>
    <col min="4318" max="4318" width="14.140625" style="3" customWidth="1"/>
    <col min="4319" max="4319" width="14" style="3" customWidth="1"/>
    <col min="4320" max="4320" width="13.85546875" style="3" customWidth="1"/>
    <col min="4321" max="4321" width="14.140625" style="3" customWidth="1"/>
    <col min="4322" max="4322" width="13.140625" style="3" bestFit="1" customWidth="1"/>
    <col min="4323" max="4349" width="0" style="3" hidden="1" customWidth="1"/>
    <col min="4350" max="4350" width="10.28515625" style="3" customWidth="1"/>
    <col min="4351" max="4351" width="12.28515625" style="3" bestFit="1" customWidth="1"/>
    <col min="4352" max="4352" width="12.85546875" style="3" bestFit="1" customWidth="1"/>
    <col min="4353" max="4353" width="10.28515625" style="3" bestFit="1" customWidth="1"/>
    <col min="4354" max="4354" width="10.140625" style="3" bestFit="1" customWidth="1"/>
    <col min="4355" max="4359" width="10.28515625" style="3" bestFit="1" customWidth="1"/>
    <col min="4360" max="4361" width="10.140625" style="3" bestFit="1" customWidth="1"/>
    <col min="4362" max="4367" width="10.28515625" style="3" bestFit="1" customWidth="1"/>
    <col min="4368" max="4368" width="11.5703125" style="3" bestFit="1" customWidth="1"/>
    <col min="4369" max="4569" width="9.140625" style="3"/>
    <col min="4570" max="4570" width="4.140625" style="3" customWidth="1"/>
    <col min="4571" max="4571" width="24" style="3" customWidth="1"/>
    <col min="4572" max="4572" width="9" style="3" customWidth="1"/>
    <col min="4573" max="4573" width="24.42578125" style="3" customWidth="1"/>
    <col min="4574" max="4574" width="14.140625" style="3" customWidth="1"/>
    <col min="4575" max="4575" width="14" style="3" customWidth="1"/>
    <col min="4576" max="4576" width="13.85546875" style="3" customWidth="1"/>
    <col min="4577" max="4577" width="14.140625" style="3" customWidth="1"/>
    <col min="4578" max="4578" width="13.140625" style="3" bestFit="1" customWidth="1"/>
    <col min="4579" max="4605" width="0" style="3" hidden="1" customWidth="1"/>
    <col min="4606" max="4606" width="10.28515625" style="3" customWidth="1"/>
    <col min="4607" max="4607" width="12.28515625" style="3" bestFit="1" customWidth="1"/>
    <col min="4608" max="4608" width="12.85546875" style="3" bestFit="1" customWidth="1"/>
    <col min="4609" max="4609" width="10.28515625" style="3" bestFit="1" customWidth="1"/>
    <col min="4610" max="4610" width="10.140625" style="3" bestFit="1" customWidth="1"/>
    <col min="4611" max="4615" width="10.28515625" style="3" bestFit="1" customWidth="1"/>
    <col min="4616" max="4617" width="10.140625" style="3" bestFit="1" customWidth="1"/>
    <col min="4618" max="4623" width="10.28515625" style="3" bestFit="1" customWidth="1"/>
    <col min="4624" max="4624" width="11.5703125" style="3" bestFit="1" customWidth="1"/>
    <col min="4625" max="4825" width="9.140625" style="3"/>
    <col min="4826" max="4826" width="4.140625" style="3" customWidth="1"/>
    <col min="4827" max="4827" width="24" style="3" customWidth="1"/>
    <col min="4828" max="4828" width="9" style="3" customWidth="1"/>
    <col min="4829" max="4829" width="24.42578125" style="3" customWidth="1"/>
    <col min="4830" max="4830" width="14.140625" style="3" customWidth="1"/>
    <col min="4831" max="4831" width="14" style="3" customWidth="1"/>
    <col min="4832" max="4832" width="13.85546875" style="3" customWidth="1"/>
    <col min="4833" max="4833" width="14.140625" style="3" customWidth="1"/>
    <col min="4834" max="4834" width="13.140625" style="3" bestFit="1" customWidth="1"/>
    <col min="4835" max="4861" width="0" style="3" hidden="1" customWidth="1"/>
    <col min="4862" max="4862" width="10.28515625" style="3" customWidth="1"/>
    <col min="4863" max="4863" width="12.28515625" style="3" bestFit="1" customWidth="1"/>
    <col min="4864" max="4864" width="12.85546875" style="3" bestFit="1" customWidth="1"/>
    <col min="4865" max="4865" width="10.28515625" style="3" bestFit="1" customWidth="1"/>
    <col min="4866" max="4866" width="10.140625" style="3" bestFit="1" customWidth="1"/>
    <col min="4867" max="4871" width="10.28515625" style="3" bestFit="1" customWidth="1"/>
    <col min="4872" max="4873" width="10.140625" style="3" bestFit="1" customWidth="1"/>
    <col min="4874" max="4879" width="10.28515625" style="3" bestFit="1" customWidth="1"/>
    <col min="4880" max="4880" width="11.5703125" style="3" bestFit="1" customWidth="1"/>
    <col min="4881" max="5081" width="9.140625" style="3"/>
    <col min="5082" max="5082" width="4.140625" style="3" customWidth="1"/>
    <col min="5083" max="5083" width="24" style="3" customWidth="1"/>
    <col min="5084" max="5084" width="9" style="3" customWidth="1"/>
    <col min="5085" max="5085" width="24.42578125" style="3" customWidth="1"/>
    <col min="5086" max="5086" width="14.140625" style="3" customWidth="1"/>
    <col min="5087" max="5087" width="14" style="3" customWidth="1"/>
    <col min="5088" max="5088" width="13.85546875" style="3" customWidth="1"/>
    <col min="5089" max="5089" width="14.140625" style="3" customWidth="1"/>
    <col min="5090" max="5090" width="13.140625" style="3" bestFit="1" customWidth="1"/>
    <col min="5091" max="5117" width="0" style="3" hidden="1" customWidth="1"/>
    <col min="5118" max="5118" width="10.28515625" style="3" customWidth="1"/>
    <col min="5119" max="5119" width="12.28515625" style="3" bestFit="1" customWidth="1"/>
    <col min="5120" max="5120" width="12.85546875" style="3" bestFit="1" customWidth="1"/>
    <col min="5121" max="5121" width="10.28515625" style="3" bestFit="1" customWidth="1"/>
    <col min="5122" max="5122" width="10.140625" style="3" bestFit="1" customWidth="1"/>
    <col min="5123" max="5127" width="10.28515625" style="3" bestFit="1" customWidth="1"/>
    <col min="5128" max="5129" width="10.140625" style="3" bestFit="1" customWidth="1"/>
    <col min="5130" max="5135" width="10.28515625" style="3" bestFit="1" customWidth="1"/>
    <col min="5136" max="5136" width="11.5703125" style="3" bestFit="1" customWidth="1"/>
    <col min="5137" max="5337" width="9.140625" style="3"/>
    <col min="5338" max="5338" width="4.140625" style="3" customWidth="1"/>
    <col min="5339" max="5339" width="24" style="3" customWidth="1"/>
    <col min="5340" max="5340" width="9" style="3" customWidth="1"/>
    <col min="5341" max="5341" width="24.42578125" style="3" customWidth="1"/>
    <col min="5342" max="5342" width="14.140625" style="3" customWidth="1"/>
    <col min="5343" max="5343" width="14" style="3" customWidth="1"/>
    <col min="5344" max="5344" width="13.85546875" style="3" customWidth="1"/>
    <col min="5345" max="5345" width="14.140625" style="3" customWidth="1"/>
    <col min="5346" max="5346" width="13.140625" style="3" bestFit="1" customWidth="1"/>
    <col min="5347" max="5373" width="0" style="3" hidden="1" customWidth="1"/>
    <col min="5374" max="5374" width="10.28515625" style="3" customWidth="1"/>
    <col min="5375" max="5375" width="12.28515625" style="3" bestFit="1" customWidth="1"/>
    <col min="5376" max="5376" width="12.85546875" style="3" bestFit="1" customWidth="1"/>
    <col min="5377" max="5377" width="10.28515625" style="3" bestFit="1" customWidth="1"/>
    <col min="5378" max="5378" width="10.140625" style="3" bestFit="1" customWidth="1"/>
    <col min="5379" max="5383" width="10.28515625" style="3" bestFit="1" customWidth="1"/>
    <col min="5384" max="5385" width="10.140625" style="3" bestFit="1" customWidth="1"/>
    <col min="5386" max="5391" width="10.28515625" style="3" bestFit="1" customWidth="1"/>
    <col min="5392" max="5392" width="11.5703125" style="3" bestFit="1" customWidth="1"/>
    <col min="5393" max="5593" width="9.140625" style="3"/>
    <col min="5594" max="5594" width="4.140625" style="3" customWidth="1"/>
    <col min="5595" max="5595" width="24" style="3" customWidth="1"/>
    <col min="5596" max="5596" width="9" style="3" customWidth="1"/>
    <col min="5597" max="5597" width="24.42578125" style="3" customWidth="1"/>
    <col min="5598" max="5598" width="14.140625" style="3" customWidth="1"/>
    <col min="5599" max="5599" width="14" style="3" customWidth="1"/>
    <col min="5600" max="5600" width="13.85546875" style="3" customWidth="1"/>
    <col min="5601" max="5601" width="14.140625" style="3" customWidth="1"/>
    <col min="5602" max="5602" width="13.140625" style="3" bestFit="1" customWidth="1"/>
    <col min="5603" max="5629" width="0" style="3" hidden="1" customWidth="1"/>
    <col min="5630" max="5630" width="10.28515625" style="3" customWidth="1"/>
    <col min="5631" max="5631" width="12.28515625" style="3" bestFit="1" customWidth="1"/>
    <col min="5632" max="5632" width="12.85546875" style="3" bestFit="1" customWidth="1"/>
    <col min="5633" max="5633" width="10.28515625" style="3" bestFit="1" customWidth="1"/>
    <col min="5634" max="5634" width="10.140625" style="3" bestFit="1" customWidth="1"/>
    <col min="5635" max="5639" width="10.28515625" style="3" bestFit="1" customWidth="1"/>
    <col min="5640" max="5641" width="10.140625" style="3" bestFit="1" customWidth="1"/>
    <col min="5642" max="5647" width="10.28515625" style="3" bestFit="1" customWidth="1"/>
    <col min="5648" max="5648" width="11.5703125" style="3" bestFit="1" customWidth="1"/>
    <col min="5649" max="5849" width="9.140625" style="3"/>
    <col min="5850" max="5850" width="4.140625" style="3" customWidth="1"/>
    <col min="5851" max="5851" width="24" style="3" customWidth="1"/>
    <col min="5852" max="5852" width="9" style="3" customWidth="1"/>
    <col min="5853" max="5853" width="24.42578125" style="3" customWidth="1"/>
    <col min="5854" max="5854" width="14.140625" style="3" customWidth="1"/>
    <col min="5855" max="5855" width="14" style="3" customWidth="1"/>
    <col min="5856" max="5856" width="13.85546875" style="3" customWidth="1"/>
    <col min="5857" max="5857" width="14.140625" style="3" customWidth="1"/>
    <col min="5858" max="5858" width="13.140625" style="3" bestFit="1" customWidth="1"/>
    <col min="5859" max="5885" width="0" style="3" hidden="1" customWidth="1"/>
    <col min="5886" max="5886" width="10.28515625" style="3" customWidth="1"/>
    <col min="5887" max="5887" width="12.28515625" style="3" bestFit="1" customWidth="1"/>
    <col min="5888" max="5888" width="12.85546875" style="3" bestFit="1" customWidth="1"/>
    <col min="5889" max="5889" width="10.28515625" style="3" bestFit="1" customWidth="1"/>
    <col min="5890" max="5890" width="10.140625" style="3" bestFit="1" customWidth="1"/>
    <col min="5891" max="5895" width="10.28515625" style="3" bestFit="1" customWidth="1"/>
    <col min="5896" max="5897" width="10.140625" style="3" bestFit="1" customWidth="1"/>
    <col min="5898" max="5903" width="10.28515625" style="3" bestFit="1" customWidth="1"/>
    <col min="5904" max="5904" width="11.5703125" style="3" bestFit="1" customWidth="1"/>
    <col min="5905" max="6105" width="9.140625" style="3"/>
    <col min="6106" max="6106" width="4.140625" style="3" customWidth="1"/>
    <col min="6107" max="6107" width="24" style="3" customWidth="1"/>
    <col min="6108" max="6108" width="9" style="3" customWidth="1"/>
    <col min="6109" max="6109" width="24.42578125" style="3" customWidth="1"/>
    <col min="6110" max="6110" width="14.140625" style="3" customWidth="1"/>
    <col min="6111" max="6111" width="14" style="3" customWidth="1"/>
    <col min="6112" max="6112" width="13.85546875" style="3" customWidth="1"/>
    <col min="6113" max="6113" width="14.140625" style="3" customWidth="1"/>
    <col min="6114" max="6114" width="13.140625" style="3" bestFit="1" customWidth="1"/>
    <col min="6115" max="6141" width="0" style="3" hidden="1" customWidth="1"/>
    <col min="6142" max="6142" width="10.28515625" style="3" customWidth="1"/>
    <col min="6143" max="6143" width="12.28515625" style="3" bestFit="1" customWidth="1"/>
    <col min="6144" max="6144" width="12.85546875" style="3" bestFit="1" customWidth="1"/>
    <col min="6145" max="6145" width="10.28515625" style="3" bestFit="1" customWidth="1"/>
    <col min="6146" max="6146" width="10.140625" style="3" bestFit="1" customWidth="1"/>
    <col min="6147" max="6151" width="10.28515625" style="3" bestFit="1" customWidth="1"/>
    <col min="6152" max="6153" width="10.140625" style="3" bestFit="1" customWidth="1"/>
    <col min="6154" max="6159" width="10.28515625" style="3" bestFit="1" customWidth="1"/>
    <col min="6160" max="6160" width="11.5703125" style="3" bestFit="1" customWidth="1"/>
    <col min="6161" max="6361" width="9.140625" style="3"/>
    <col min="6362" max="6362" width="4.140625" style="3" customWidth="1"/>
    <col min="6363" max="6363" width="24" style="3" customWidth="1"/>
    <col min="6364" max="6364" width="9" style="3" customWidth="1"/>
    <col min="6365" max="6365" width="24.42578125" style="3" customWidth="1"/>
    <col min="6366" max="6366" width="14.140625" style="3" customWidth="1"/>
    <col min="6367" max="6367" width="14" style="3" customWidth="1"/>
    <col min="6368" max="6368" width="13.85546875" style="3" customWidth="1"/>
    <col min="6369" max="6369" width="14.140625" style="3" customWidth="1"/>
    <col min="6370" max="6370" width="13.140625" style="3" bestFit="1" customWidth="1"/>
    <col min="6371" max="6397" width="0" style="3" hidden="1" customWidth="1"/>
    <col min="6398" max="6398" width="10.28515625" style="3" customWidth="1"/>
    <col min="6399" max="6399" width="12.28515625" style="3" bestFit="1" customWidth="1"/>
    <col min="6400" max="6400" width="12.85546875" style="3" bestFit="1" customWidth="1"/>
    <col min="6401" max="6401" width="10.28515625" style="3" bestFit="1" customWidth="1"/>
    <col min="6402" max="6402" width="10.140625" style="3" bestFit="1" customWidth="1"/>
    <col min="6403" max="6407" width="10.28515625" style="3" bestFit="1" customWidth="1"/>
    <col min="6408" max="6409" width="10.140625" style="3" bestFit="1" customWidth="1"/>
    <col min="6410" max="6415" width="10.28515625" style="3" bestFit="1" customWidth="1"/>
    <col min="6416" max="6416" width="11.5703125" style="3" bestFit="1" customWidth="1"/>
    <col min="6417" max="6617" width="9.140625" style="3"/>
    <col min="6618" max="6618" width="4.140625" style="3" customWidth="1"/>
    <col min="6619" max="6619" width="24" style="3" customWidth="1"/>
    <col min="6620" max="6620" width="9" style="3" customWidth="1"/>
    <col min="6621" max="6621" width="24.42578125" style="3" customWidth="1"/>
    <col min="6622" max="6622" width="14.140625" style="3" customWidth="1"/>
    <col min="6623" max="6623" width="14" style="3" customWidth="1"/>
    <col min="6624" max="6624" width="13.85546875" style="3" customWidth="1"/>
    <col min="6625" max="6625" width="14.140625" style="3" customWidth="1"/>
    <col min="6626" max="6626" width="13.140625" style="3" bestFit="1" customWidth="1"/>
    <col min="6627" max="6653" width="0" style="3" hidden="1" customWidth="1"/>
    <col min="6654" max="6654" width="10.28515625" style="3" customWidth="1"/>
    <col min="6655" max="6655" width="12.28515625" style="3" bestFit="1" customWidth="1"/>
    <col min="6656" max="6656" width="12.85546875" style="3" bestFit="1" customWidth="1"/>
    <col min="6657" max="6657" width="10.28515625" style="3" bestFit="1" customWidth="1"/>
    <col min="6658" max="6658" width="10.140625" style="3" bestFit="1" customWidth="1"/>
    <col min="6659" max="6663" width="10.28515625" style="3" bestFit="1" customWidth="1"/>
    <col min="6664" max="6665" width="10.140625" style="3" bestFit="1" customWidth="1"/>
    <col min="6666" max="6671" width="10.28515625" style="3" bestFit="1" customWidth="1"/>
    <col min="6672" max="6672" width="11.5703125" style="3" bestFit="1" customWidth="1"/>
    <col min="6673" max="6873" width="9.140625" style="3"/>
    <col min="6874" max="6874" width="4.140625" style="3" customWidth="1"/>
    <col min="6875" max="6875" width="24" style="3" customWidth="1"/>
    <col min="6876" max="6876" width="9" style="3" customWidth="1"/>
    <col min="6877" max="6877" width="24.42578125" style="3" customWidth="1"/>
    <col min="6878" max="6878" width="14.140625" style="3" customWidth="1"/>
    <col min="6879" max="6879" width="14" style="3" customWidth="1"/>
    <col min="6880" max="6880" width="13.85546875" style="3" customWidth="1"/>
    <col min="6881" max="6881" width="14.140625" style="3" customWidth="1"/>
    <col min="6882" max="6882" width="13.140625" style="3" bestFit="1" customWidth="1"/>
    <col min="6883" max="6909" width="0" style="3" hidden="1" customWidth="1"/>
    <col min="6910" max="6910" width="10.28515625" style="3" customWidth="1"/>
    <col min="6911" max="6911" width="12.28515625" style="3" bestFit="1" customWidth="1"/>
    <col min="6912" max="6912" width="12.85546875" style="3" bestFit="1" customWidth="1"/>
    <col min="6913" max="6913" width="10.28515625" style="3" bestFit="1" customWidth="1"/>
    <col min="6914" max="6914" width="10.140625" style="3" bestFit="1" customWidth="1"/>
    <col min="6915" max="6919" width="10.28515625" style="3" bestFit="1" customWidth="1"/>
    <col min="6920" max="6921" width="10.140625" style="3" bestFit="1" customWidth="1"/>
    <col min="6922" max="6927" width="10.28515625" style="3" bestFit="1" customWidth="1"/>
    <col min="6928" max="6928" width="11.5703125" style="3" bestFit="1" customWidth="1"/>
    <col min="6929" max="7129" width="9.140625" style="3"/>
    <col min="7130" max="7130" width="4.140625" style="3" customWidth="1"/>
    <col min="7131" max="7131" width="24" style="3" customWidth="1"/>
    <col min="7132" max="7132" width="9" style="3" customWidth="1"/>
    <col min="7133" max="7133" width="24.42578125" style="3" customWidth="1"/>
    <col min="7134" max="7134" width="14.140625" style="3" customWidth="1"/>
    <col min="7135" max="7135" width="14" style="3" customWidth="1"/>
    <col min="7136" max="7136" width="13.85546875" style="3" customWidth="1"/>
    <col min="7137" max="7137" width="14.140625" style="3" customWidth="1"/>
    <col min="7138" max="7138" width="13.140625" style="3" bestFit="1" customWidth="1"/>
    <col min="7139" max="7165" width="0" style="3" hidden="1" customWidth="1"/>
    <col min="7166" max="7166" width="10.28515625" style="3" customWidth="1"/>
    <col min="7167" max="7167" width="12.28515625" style="3" bestFit="1" customWidth="1"/>
    <col min="7168" max="7168" width="12.85546875" style="3" bestFit="1" customWidth="1"/>
    <col min="7169" max="7169" width="10.28515625" style="3" bestFit="1" customWidth="1"/>
    <col min="7170" max="7170" width="10.140625" style="3" bestFit="1" customWidth="1"/>
    <col min="7171" max="7175" width="10.28515625" style="3" bestFit="1" customWidth="1"/>
    <col min="7176" max="7177" width="10.140625" style="3" bestFit="1" customWidth="1"/>
    <col min="7178" max="7183" width="10.28515625" style="3" bestFit="1" customWidth="1"/>
    <col min="7184" max="7184" width="11.5703125" style="3" bestFit="1" customWidth="1"/>
    <col min="7185" max="7385" width="9.140625" style="3"/>
    <col min="7386" max="7386" width="4.140625" style="3" customWidth="1"/>
    <col min="7387" max="7387" width="24" style="3" customWidth="1"/>
    <col min="7388" max="7388" width="9" style="3" customWidth="1"/>
    <col min="7389" max="7389" width="24.42578125" style="3" customWidth="1"/>
    <col min="7390" max="7390" width="14.140625" style="3" customWidth="1"/>
    <col min="7391" max="7391" width="14" style="3" customWidth="1"/>
    <col min="7392" max="7392" width="13.85546875" style="3" customWidth="1"/>
    <col min="7393" max="7393" width="14.140625" style="3" customWidth="1"/>
    <col min="7394" max="7394" width="13.140625" style="3" bestFit="1" customWidth="1"/>
    <col min="7395" max="7421" width="0" style="3" hidden="1" customWidth="1"/>
    <col min="7422" max="7422" width="10.28515625" style="3" customWidth="1"/>
    <col min="7423" max="7423" width="12.28515625" style="3" bestFit="1" customWidth="1"/>
    <col min="7424" max="7424" width="12.85546875" style="3" bestFit="1" customWidth="1"/>
    <col min="7425" max="7425" width="10.28515625" style="3" bestFit="1" customWidth="1"/>
    <col min="7426" max="7426" width="10.140625" style="3" bestFit="1" customWidth="1"/>
    <col min="7427" max="7431" width="10.28515625" style="3" bestFit="1" customWidth="1"/>
    <col min="7432" max="7433" width="10.140625" style="3" bestFit="1" customWidth="1"/>
    <col min="7434" max="7439" width="10.28515625" style="3" bestFit="1" customWidth="1"/>
    <col min="7440" max="7440" width="11.5703125" style="3" bestFit="1" customWidth="1"/>
    <col min="7441" max="7641" width="9.140625" style="3"/>
    <col min="7642" max="7642" width="4.140625" style="3" customWidth="1"/>
    <col min="7643" max="7643" width="24" style="3" customWidth="1"/>
    <col min="7644" max="7644" width="9" style="3" customWidth="1"/>
    <col min="7645" max="7645" width="24.42578125" style="3" customWidth="1"/>
    <col min="7646" max="7646" width="14.140625" style="3" customWidth="1"/>
    <col min="7647" max="7647" width="14" style="3" customWidth="1"/>
    <col min="7648" max="7648" width="13.85546875" style="3" customWidth="1"/>
    <col min="7649" max="7649" width="14.140625" style="3" customWidth="1"/>
    <col min="7650" max="7650" width="13.140625" style="3" bestFit="1" customWidth="1"/>
    <col min="7651" max="7677" width="0" style="3" hidden="1" customWidth="1"/>
    <col min="7678" max="7678" width="10.28515625" style="3" customWidth="1"/>
    <col min="7679" max="7679" width="12.28515625" style="3" bestFit="1" customWidth="1"/>
    <col min="7680" max="7680" width="12.85546875" style="3" bestFit="1" customWidth="1"/>
    <col min="7681" max="7681" width="10.28515625" style="3" bestFit="1" customWidth="1"/>
    <col min="7682" max="7682" width="10.140625" style="3" bestFit="1" customWidth="1"/>
    <col min="7683" max="7687" width="10.28515625" style="3" bestFit="1" customWidth="1"/>
    <col min="7688" max="7689" width="10.140625" style="3" bestFit="1" customWidth="1"/>
    <col min="7690" max="7695" width="10.28515625" style="3" bestFit="1" customWidth="1"/>
    <col min="7696" max="7696" width="11.5703125" style="3" bestFit="1" customWidth="1"/>
    <col min="7697" max="7897" width="9.140625" style="3"/>
    <col min="7898" max="7898" width="4.140625" style="3" customWidth="1"/>
    <col min="7899" max="7899" width="24" style="3" customWidth="1"/>
    <col min="7900" max="7900" width="9" style="3" customWidth="1"/>
    <col min="7901" max="7901" width="24.42578125" style="3" customWidth="1"/>
    <col min="7902" max="7902" width="14.140625" style="3" customWidth="1"/>
    <col min="7903" max="7903" width="14" style="3" customWidth="1"/>
    <col min="7904" max="7904" width="13.85546875" style="3" customWidth="1"/>
    <col min="7905" max="7905" width="14.140625" style="3" customWidth="1"/>
    <col min="7906" max="7906" width="13.140625" style="3" bestFit="1" customWidth="1"/>
    <col min="7907" max="7933" width="0" style="3" hidden="1" customWidth="1"/>
    <col min="7934" max="7934" width="10.28515625" style="3" customWidth="1"/>
    <col min="7935" max="7935" width="12.28515625" style="3" bestFit="1" customWidth="1"/>
    <col min="7936" max="7936" width="12.85546875" style="3" bestFit="1" customWidth="1"/>
    <col min="7937" max="7937" width="10.28515625" style="3" bestFit="1" customWidth="1"/>
    <col min="7938" max="7938" width="10.140625" style="3" bestFit="1" customWidth="1"/>
    <col min="7939" max="7943" width="10.28515625" style="3" bestFit="1" customWidth="1"/>
    <col min="7944" max="7945" width="10.140625" style="3" bestFit="1" customWidth="1"/>
    <col min="7946" max="7951" width="10.28515625" style="3" bestFit="1" customWidth="1"/>
    <col min="7952" max="7952" width="11.5703125" style="3" bestFit="1" customWidth="1"/>
    <col min="7953" max="8153" width="9.140625" style="3"/>
    <col min="8154" max="8154" width="4.140625" style="3" customWidth="1"/>
    <col min="8155" max="8155" width="24" style="3" customWidth="1"/>
    <col min="8156" max="8156" width="9" style="3" customWidth="1"/>
    <col min="8157" max="8157" width="24.42578125" style="3" customWidth="1"/>
    <col min="8158" max="8158" width="14.140625" style="3" customWidth="1"/>
    <col min="8159" max="8159" width="14" style="3" customWidth="1"/>
    <col min="8160" max="8160" width="13.85546875" style="3" customWidth="1"/>
    <col min="8161" max="8161" width="14.140625" style="3" customWidth="1"/>
    <col min="8162" max="8162" width="13.140625" style="3" bestFit="1" customWidth="1"/>
    <col min="8163" max="8189" width="0" style="3" hidden="1" customWidth="1"/>
    <col min="8190" max="8190" width="10.28515625" style="3" customWidth="1"/>
    <col min="8191" max="8191" width="12.28515625" style="3" bestFit="1" customWidth="1"/>
    <col min="8192" max="8192" width="12.85546875" style="3" bestFit="1" customWidth="1"/>
    <col min="8193" max="8193" width="10.28515625" style="3" bestFit="1" customWidth="1"/>
    <col min="8194" max="8194" width="10.140625" style="3" bestFit="1" customWidth="1"/>
    <col min="8195" max="8199" width="10.28515625" style="3" bestFit="1" customWidth="1"/>
    <col min="8200" max="8201" width="10.140625" style="3" bestFit="1" customWidth="1"/>
    <col min="8202" max="8207" width="10.28515625" style="3" bestFit="1" customWidth="1"/>
    <col min="8208" max="8208" width="11.5703125" style="3" bestFit="1" customWidth="1"/>
    <col min="8209" max="8409" width="9.140625" style="3"/>
    <col min="8410" max="8410" width="4.140625" style="3" customWidth="1"/>
    <col min="8411" max="8411" width="24" style="3" customWidth="1"/>
    <col min="8412" max="8412" width="9" style="3" customWidth="1"/>
    <col min="8413" max="8413" width="24.42578125" style="3" customWidth="1"/>
    <col min="8414" max="8414" width="14.140625" style="3" customWidth="1"/>
    <col min="8415" max="8415" width="14" style="3" customWidth="1"/>
    <col min="8416" max="8416" width="13.85546875" style="3" customWidth="1"/>
    <col min="8417" max="8417" width="14.140625" style="3" customWidth="1"/>
    <col min="8418" max="8418" width="13.140625" style="3" bestFit="1" customWidth="1"/>
    <col min="8419" max="8445" width="0" style="3" hidden="1" customWidth="1"/>
    <col min="8446" max="8446" width="10.28515625" style="3" customWidth="1"/>
    <col min="8447" max="8447" width="12.28515625" style="3" bestFit="1" customWidth="1"/>
    <col min="8448" max="8448" width="12.85546875" style="3" bestFit="1" customWidth="1"/>
    <col min="8449" max="8449" width="10.28515625" style="3" bestFit="1" customWidth="1"/>
    <col min="8450" max="8450" width="10.140625" style="3" bestFit="1" customWidth="1"/>
    <col min="8451" max="8455" width="10.28515625" style="3" bestFit="1" customWidth="1"/>
    <col min="8456" max="8457" width="10.140625" style="3" bestFit="1" customWidth="1"/>
    <col min="8458" max="8463" width="10.28515625" style="3" bestFit="1" customWidth="1"/>
    <col min="8464" max="8464" width="11.5703125" style="3" bestFit="1" customWidth="1"/>
    <col min="8465" max="8665" width="9.140625" style="3"/>
    <col min="8666" max="8666" width="4.140625" style="3" customWidth="1"/>
    <col min="8667" max="8667" width="24" style="3" customWidth="1"/>
    <col min="8668" max="8668" width="9" style="3" customWidth="1"/>
    <col min="8669" max="8669" width="24.42578125" style="3" customWidth="1"/>
    <col min="8670" max="8670" width="14.140625" style="3" customWidth="1"/>
    <col min="8671" max="8671" width="14" style="3" customWidth="1"/>
    <col min="8672" max="8672" width="13.85546875" style="3" customWidth="1"/>
    <col min="8673" max="8673" width="14.140625" style="3" customWidth="1"/>
    <col min="8674" max="8674" width="13.140625" style="3" bestFit="1" customWidth="1"/>
    <col min="8675" max="8701" width="0" style="3" hidden="1" customWidth="1"/>
    <col min="8702" max="8702" width="10.28515625" style="3" customWidth="1"/>
    <col min="8703" max="8703" width="12.28515625" style="3" bestFit="1" customWidth="1"/>
    <col min="8704" max="8704" width="12.85546875" style="3" bestFit="1" customWidth="1"/>
    <col min="8705" max="8705" width="10.28515625" style="3" bestFit="1" customWidth="1"/>
    <col min="8706" max="8706" width="10.140625" style="3" bestFit="1" customWidth="1"/>
    <col min="8707" max="8711" width="10.28515625" style="3" bestFit="1" customWidth="1"/>
    <col min="8712" max="8713" width="10.140625" style="3" bestFit="1" customWidth="1"/>
    <col min="8714" max="8719" width="10.28515625" style="3" bestFit="1" customWidth="1"/>
    <col min="8720" max="8720" width="11.5703125" style="3" bestFit="1" customWidth="1"/>
    <col min="8721" max="8921" width="9.140625" style="3"/>
    <col min="8922" max="8922" width="4.140625" style="3" customWidth="1"/>
    <col min="8923" max="8923" width="24" style="3" customWidth="1"/>
    <col min="8924" max="8924" width="9" style="3" customWidth="1"/>
    <col min="8925" max="8925" width="24.42578125" style="3" customWidth="1"/>
    <col min="8926" max="8926" width="14.140625" style="3" customWidth="1"/>
    <col min="8927" max="8927" width="14" style="3" customWidth="1"/>
    <col min="8928" max="8928" width="13.85546875" style="3" customWidth="1"/>
    <col min="8929" max="8929" width="14.140625" style="3" customWidth="1"/>
    <col min="8930" max="8930" width="13.140625" style="3" bestFit="1" customWidth="1"/>
    <col min="8931" max="8957" width="0" style="3" hidden="1" customWidth="1"/>
    <col min="8958" max="8958" width="10.28515625" style="3" customWidth="1"/>
    <col min="8959" max="8959" width="12.28515625" style="3" bestFit="1" customWidth="1"/>
    <col min="8960" max="8960" width="12.85546875" style="3" bestFit="1" customWidth="1"/>
    <col min="8961" max="8961" width="10.28515625" style="3" bestFit="1" customWidth="1"/>
    <col min="8962" max="8962" width="10.140625" style="3" bestFit="1" customWidth="1"/>
    <col min="8963" max="8967" width="10.28515625" style="3" bestFit="1" customWidth="1"/>
    <col min="8968" max="8969" width="10.140625" style="3" bestFit="1" customWidth="1"/>
    <col min="8970" max="8975" width="10.28515625" style="3" bestFit="1" customWidth="1"/>
    <col min="8976" max="8976" width="11.5703125" style="3" bestFit="1" customWidth="1"/>
    <col min="8977" max="9177" width="9.140625" style="3"/>
    <col min="9178" max="9178" width="4.140625" style="3" customWidth="1"/>
    <col min="9179" max="9179" width="24" style="3" customWidth="1"/>
    <col min="9180" max="9180" width="9" style="3" customWidth="1"/>
    <col min="9181" max="9181" width="24.42578125" style="3" customWidth="1"/>
    <col min="9182" max="9182" width="14.140625" style="3" customWidth="1"/>
    <col min="9183" max="9183" width="14" style="3" customWidth="1"/>
    <col min="9184" max="9184" width="13.85546875" style="3" customWidth="1"/>
    <col min="9185" max="9185" width="14.140625" style="3" customWidth="1"/>
    <col min="9186" max="9186" width="13.140625" style="3" bestFit="1" customWidth="1"/>
    <col min="9187" max="9213" width="0" style="3" hidden="1" customWidth="1"/>
    <col min="9214" max="9214" width="10.28515625" style="3" customWidth="1"/>
    <col min="9215" max="9215" width="12.28515625" style="3" bestFit="1" customWidth="1"/>
    <col min="9216" max="9216" width="12.85546875" style="3" bestFit="1" customWidth="1"/>
    <col min="9217" max="9217" width="10.28515625" style="3" bestFit="1" customWidth="1"/>
    <col min="9218" max="9218" width="10.140625" style="3" bestFit="1" customWidth="1"/>
    <col min="9219" max="9223" width="10.28515625" style="3" bestFit="1" customWidth="1"/>
    <col min="9224" max="9225" width="10.140625" style="3" bestFit="1" customWidth="1"/>
    <col min="9226" max="9231" width="10.28515625" style="3" bestFit="1" customWidth="1"/>
    <col min="9232" max="9232" width="11.5703125" style="3" bestFit="1" customWidth="1"/>
    <col min="9233" max="9433" width="9.140625" style="3"/>
    <col min="9434" max="9434" width="4.140625" style="3" customWidth="1"/>
    <col min="9435" max="9435" width="24" style="3" customWidth="1"/>
    <col min="9436" max="9436" width="9" style="3" customWidth="1"/>
    <col min="9437" max="9437" width="24.42578125" style="3" customWidth="1"/>
    <col min="9438" max="9438" width="14.140625" style="3" customWidth="1"/>
    <col min="9439" max="9439" width="14" style="3" customWidth="1"/>
    <col min="9440" max="9440" width="13.85546875" style="3" customWidth="1"/>
    <col min="9441" max="9441" width="14.140625" style="3" customWidth="1"/>
    <col min="9442" max="9442" width="13.140625" style="3" bestFit="1" customWidth="1"/>
    <col min="9443" max="9469" width="0" style="3" hidden="1" customWidth="1"/>
    <col min="9470" max="9470" width="10.28515625" style="3" customWidth="1"/>
    <col min="9471" max="9471" width="12.28515625" style="3" bestFit="1" customWidth="1"/>
    <col min="9472" max="9472" width="12.85546875" style="3" bestFit="1" customWidth="1"/>
    <col min="9473" max="9473" width="10.28515625" style="3" bestFit="1" customWidth="1"/>
    <col min="9474" max="9474" width="10.140625" style="3" bestFit="1" customWidth="1"/>
    <col min="9475" max="9479" width="10.28515625" style="3" bestFit="1" customWidth="1"/>
    <col min="9480" max="9481" width="10.140625" style="3" bestFit="1" customWidth="1"/>
    <col min="9482" max="9487" width="10.28515625" style="3" bestFit="1" customWidth="1"/>
    <col min="9488" max="9488" width="11.5703125" style="3" bestFit="1" customWidth="1"/>
    <col min="9489" max="9689" width="9.140625" style="3"/>
    <col min="9690" max="9690" width="4.140625" style="3" customWidth="1"/>
    <col min="9691" max="9691" width="24" style="3" customWidth="1"/>
    <col min="9692" max="9692" width="9" style="3" customWidth="1"/>
    <col min="9693" max="9693" width="24.42578125" style="3" customWidth="1"/>
    <col min="9694" max="9694" width="14.140625" style="3" customWidth="1"/>
    <col min="9695" max="9695" width="14" style="3" customWidth="1"/>
    <col min="9696" max="9696" width="13.85546875" style="3" customWidth="1"/>
    <col min="9697" max="9697" width="14.140625" style="3" customWidth="1"/>
    <col min="9698" max="9698" width="13.140625" style="3" bestFit="1" customWidth="1"/>
    <col min="9699" max="9725" width="0" style="3" hidden="1" customWidth="1"/>
    <col min="9726" max="9726" width="10.28515625" style="3" customWidth="1"/>
    <col min="9727" max="9727" width="12.28515625" style="3" bestFit="1" customWidth="1"/>
    <col min="9728" max="9728" width="12.85546875" style="3" bestFit="1" customWidth="1"/>
    <col min="9729" max="9729" width="10.28515625" style="3" bestFit="1" customWidth="1"/>
    <col min="9730" max="9730" width="10.140625" style="3" bestFit="1" customWidth="1"/>
    <col min="9731" max="9735" width="10.28515625" style="3" bestFit="1" customWidth="1"/>
    <col min="9736" max="9737" width="10.140625" style="3" bestFit="1" customWidth="1"/>
    <col min="9738" max="9743" width="10.28515625" style="3" bestFit="1" customWidth="1"/>
    <col min="9744" max="9744" width="11.5703125" style="3" bestFit="1" customWidth="1"/>
    <col min="9745" max="9945" width="9.140625" style="3"/>
    <col min="9946" max="9946" width="4.140625" style="3" customWidth="1"/>
    <col min="9947" max="9947" width="24" style="3" customWidth="1"/>
    <col min="9948" max="9948" width="9" style="3" customWidth="1"/>
    <col min="9949" max="9949" width="24.42578125" style="3" customWidth="1"/>
    <col min="9950" max="9950" width="14.140625" style="3" customWidth="1"/>
    <col min="9951" max="9951" width="14" style="3" customWidth="1"/>
    <col min="9952" max="9952" width="13.85546875" style="3" customWidth="1"/>
    <col min="9953" max="9953" width="14.140625" style="3" customWidth="1"/>
    <col min="9954" max="9954" width="13.140625" style="3" bestFit="1" customWidth="1"/>
    <col min="9955" max="9981" width="0" style="3" hidden="1" customWidth="1"/>
    <col min="9982" max="9982" width="10.28515625" style="3" customWidth="1"/>
    <col min="9983" max="9983" width="12.28515625" style="3" bestFit="1" customWidth="1"/>
    <col min="9984" max="9984" width="12.85546875" style="3" bestFit="1" customWidth="1"/>
    <col min="9985" max="9985" width="10.28515625" style="3" bestFit="1" customWidth="1"/>
    <col min="9986" max="9986" width="10.140625" style="3" bestFit="1" customWidth="1"/>
    <col min="9987" max="9991" width="10.28515625" style="3" bestFit="1" customWidth="1"/>
    <col min="9992" max="9993" width="10.140625" style="3" bestFit="1" customWidth="1"/>
    <col min="9994" max="9999" width="10.28515625" style="3" bestFit="1" customWidth="1"/>
    <col min="10000" max="10000" width="11.5703125" style="3" bestFit="1" customWidth="1"/>
    <col min="10001" max="10201" width="9.140625" style="3"/>
    <col min="10202" max="10202" width="4.140625" style="3" customWidth="1"/>
    <col min="10203" max="10203" width="24" style="3" customWidth="1"/>
    <col min="10204" max="10204" width="9" style="3" customWidth="1"/>
    <col min="10205" max="10205" width="24.42578125" style="3" customWidth="1"/>
    <col min="10206" max="10206" width="14.140625" style="3" customWidth="1"/>
    <col min="10207" max="10207" width="14" style="3" customWidth="1"/>
    <col min="10208" max="10208" width="13.85546875" style="3" customWidth="1"/>
    <col min="10209" max="10209" width="14.140625" style="3" customWidth="1"/>
    <col min="10210" max="10210" width="13.140625" style="3" bestFit="1" customWidth="1"/>
    <col min="10211" max="10237" width="0" style="3" hidden="1" customWidth="1"/>
    <col min="10238" max="10238" width="10.28515625" style="3" customWidth="1"/>
    <col min="10239" max="10239" width="12.28515625" style="3" bestFit="1" customWidth="1"/>
    <col min="10240" max="10240" width="12.85546875" style="3" bestFit="1" customWidth="1"/>
    <col min="10241" max="10241" width="10.28515625" style="3" bestFit="1" customWidth="1"/>
    <col min="10242" max="10242" width="10.140625" style="3" bestFit="1" customWidth="1"/>
    <col min="10243" max="10247" width="10.28515625" style="3" bestFit="1" customWidth="1"/>
    <col min="10248" max="10249" width="10.140625" style="3" bestFit="1" customWidth="1"/>
    <col min="10250" max="10255" width="10.28515625" style="3" bestFit="1" customWidth="1"/>
    <col min="10256" max="10256" width="11.5703125" style="3" bestFit="1" customWidth="1"/>
    <col min="10257" max="10457" width="9.140625" style="3"/>
    <col min="10458" max="10458" width="4.140625" style="3" customWidth="1"/>
    <col min="10459" max="10459" width="24" style="3" customWidth="1"/>
    <col min="10460" max="10460" width="9" style="3" customWidth="1"/>
    <col min="10461" max="10461" width="24.42578125" style="3" customWidth="1"/>
    <col min="10462" max="10462" width="14.140625" style="3" customWidth="1"/>
    <col min="10463" max="10463" width="14" style="3" customWidth="1"/>
    <col min="10464" max="10464" width="13.85546875" style="3" customWidth="1"/>
    <col min="10465" max="10465" width="14.140625" style="3" customWidth="1"/>
    <col min="10466" max="10466" width="13.140625" style="3" bestFit="1" customWidth="1"/>
    <col min="10467" max="10493" width="0" style="3" hidden="1" customWidth="1"/>
    <col min="10494" max="10494" width="10.28515625" style="3" customWidth="1"/>
    <col min="10495" max="10495" width="12.28515625" style="3" bestFit="1" customWidth="1"/>
    <col min="10496" max="10496" width="12.85546875" style="3" bestFit="1" customWidth="1"/>
    <col min="10497" max="10497" width="10.28515625" style="3" bestFit="1" customWidth="1"/>
    <col min="10498" max="10498" width="10.140625" style="3" bestFit="1" customWidth="1"/>
    <col min="10499" max="10503" width="10.28515625" style="3" bestFit="1" customWidth="1"/>
    <col min="10504" max="10505" width="10.140625" style="3" bestFit="1" customWidth="1"/>
    <col min="10506" max="10511" width="10.28515625" style="3" bestFit="1" customWidth="1"/>
    <col min="10512" max="10512" width="11.5703125" style="3" bestFit="1" customWidth="1"/>
    <col min="10513" max="10713" width="9.140625" style="3"/>
    <col min="10714" max="10714" width="4.140625" style="3" customWidth="1"/>
    <col min="10715" max="10715" width="24" style="3" customWidth="1"/>
    <col min="10716" max="10716" width="9" style="3" customWidth="1"/>
    <col min="10717" max="10717" width="24.42578125" style="3" customWidth="1"/>
    <col min="10718" max="10718" width="14.140625" style="3" customWidth="1"/>
    <col min="10719" max="10719" width="14" style="3" customWidth="1"/>
    <col min="10720" max="10720" width="13.85546875" style="3" customWidth="1"/>
    <col min="10721" max="10721" width="14.140625" style="3" customWidth="1"/>
    <col min="10722" max="10722" width="13.140625" style="3" bestFit="1" customWidth="1"/>
    <col min="10723" max="10749" width="0" style="3" hidden="1" customWidth="1"/>
    <col min="10750" max="10750" width="10.28515625" style="3" customWidth="1"/>
    <col min="10751" max="10751" width="12.28515625" style="3" bestFit="1" customWidth="1"/>
    <col min="10752" max="10752" width="12.85546875" style="3" bestFit="1" customWidth="1"/>
    <col min="10753" max="10753" width="10.28515625" style="3" bestFit="1" customWidth="1"/>
    <col min="10754" max="10754" width="10.140625" style="3" bestFit="1" customWidth="1"/>
    <col min="10755" max="10759" width="10.28515625" style="3" bestFit="1" customWidth="1"/>
    <col min="10760" max="10761" width="10.140625" style="3" bestFit="1" customWidth="1"/>
    <col min="10762" max="10767" width="10.28515625" style="3" bestFit="1" customWidth="1"/>
    <col min="10768" max="10768" width="11.5703125" style="3" bestFit="1" customWidth="1"/>
    <col min="10769" max="10969" width="9.140625" style="3"/>
    <col min="10970" max="10970" width="4.140625" style="3" customWidth="1"/>
    <col min="10971" max="10971" width="24" style="3" customWidth="1"/>
    <col min="10972" max="10972" width="9" style="3" customWidth="1"/>
    <col min="10973" max="10973" width="24.42578125" style="3" customWidth="1"/>
    <col min="10974" max="10974" width="14.140625" style="3" customWidth="1"/>
    <col min="10975" max="10975" width="14" style="3" customWidth="1"/>
    <col min="10976" max="10976" width="13.85546875" style="3" customWidth="1"/>
    <col min="10977" max="10977" width="14.140625" style="3" customWidth="1"/>
    <col min="10978" max="10978" width="13.140625" style="3" bestFit="1" customWidth="1"/>
    <col min="10979" max="11005" width="0" style="3" hidden="1" customWidth="1"/>
    <col min="11006" max="11006" width="10.28515625" style="3" customWidth="1"/>
    <col min="11007" max="11007" width="12.28515625" style="3" bestFit="1" customWidth="1"/>
    <col min="11008" max="11008" width="12.85546875" style="3" bestFit="1" customWidth="1"/>
    <col min="11009" max="11009" width="10.28515625" style="3" bestFit="1" customWidth="1"/>
    <col min="11010" max="11010" width="10.140625" style="3" bestFit="1" customWidth="1"/>
    <col min="11011" max="11015" width="10.28515625" style="3" bestFit="1" customWidth="1"/>
    <col min="11016" max="11017" width="10.140625" style="3" bestFit="1" customWidth="1"/>
    <col min="11018" max="11023" width="10.28515625" style="3" bestFit="1" customWidth="1"/>
    <col min="11024" max="11024" width="11.5703125" style="3" bestFit="1" customWidth="1"/>
    <col min="11025" max="11225" width="9.140625" style="3"/>
    <col min="11226" max="11226" width="4.140625" style="3" customWidth="1"/>
    <col min="11227" max="11227" width="24" style="3" customWidth="1"/>
    <col min="11228" max="11228" width="9" style="3" customWidth="1"/>
    <col min="11229" max="11229" width="24.42578125" style="3" customWidth="1"/>
    <col min="11230" max="11230" width="14.140625" style="3" customWidth="1"/>
    <col min="11231" max="11231" width="14" style="3" customWidth="1"/>
    <col min="11232" max="11232" width="13.85546875" style="3" customWidth="1"/>
    <col min="11233" max="11233" width="14.140625" style="3" customWidth="1"/>
    <col min="11234" max="11234" width="13.140625" style="3" bestFit="1" customWidth="1"/>
    <col min="11235" max="11261" width="0" style="3" hidden="1" customWidth="1"/>
    <col min="11262" max="11262" width="10.28515625" style="3" customWidth="1"/>
    <col min="11263" max="11263" width="12.28515625" style="3" bestFit="1" customWidth="1"/>
    <col min="11264" max="11264" width="12.85546875" style="3" bestFit="1" customWidth="1"/>
    <col min="11265" max="11265" width="10.28515625" style="3" bestFit="1" customWidth="1"/>
    <col min="11266" max="11266" width="10.140625" style="3" bestFit="1" customWidth="1"/>
    <col min="11267" max="11271" width="10.28515625" style="3" bestFit="1" customWidth="1"/>
    <col min="11272" max="11273" width="10.140625" style="3" bestFit="1" customWidth="1"/>
    <col min="11274" max="11279" width="10.28515625" style="3" bestFit="1" customWidth="1"/>
    <col min="11280" max="11280" width="11.5703125" style="3" bestFit="1" customWidth="1"/>
    <col min="11281" max="11481" width="9.140625" style="3"/>
    <col min="11482" max="11482" width="4.140625" style="3" customWidth="1"/>
    <col min="11483" max="11483" width="24" style="3" customWidth="1"/>
    <col min="11484" max="11484" width="9" style="3" customWidth="1"/>
    <col min="11485" max="11485" width="24.42578125" style="3" customWidth="1"/>
    <col min="11486" max="11486" width="14.140625" style="3" customWidth="1"/>
    <col min="11487" max="11487" width="14" style="3" customWidth="1"/>
    <col min="11488" max="11488" width="13.85546875" style="3" customWidth="1"/>
    <col min="11489" max="11489" width="14.140625" style="3" customWidth="1"/>
    <col min="11490" max="11490" width="13.140625" style="3" bestFit="1" customWidth="1"/>
    <col min="11491" max="11517" width="0" style="3" hidden="1" customWidth="1"/>
    <col min="11518" max="11518" width="10.28515625" style="3" customWidth="1"/>
    <col min="11519" max="11519" width="12.28515625" style="3" bestFit="1" customWidth="1"/>
    <col min="11520" max="11520" width="12.85546875" style="3" bestFit="1" customWidth="1"/>
    <col min="11521" max="11521" width="10.28515625" style="3" bestFit="1" customWidth="1"/>
    <col min="11522" max="11522" width="10.140625" style="3" bestFit="1" customWidth="1"/>
    <col min="11523" max="11527" width="10.28515625" style="3" bestFit="1" customWidth="1"/>
    <col min="11528" max="11529" width="10.140625" style="3" bestFit="1" customWidth="1"/>
    <col min="11530" max="11535" width="10.28515625" style="3" bestFit="1" customWidth="1"/>
    <col min="11536" max="11536" width="11.5703125" style="3" bestFit="1" customWidth="1"/>
    <col min="11537" max="11737" width="9.140625" style="3"/>
    <col min="11738" max="11738" width="4.140625" style="3" customWidth="1"/>
    <col min="11739" max="11739" width="24" style="3" customWidth="1"/>
    <col min="11740" max="11740" width="9" style="3" customWidth="1"/>
    <col min="11741" max="11741" width="24.42578125" style="3" customWidth="1"/>
    <col min="11742" max="11742" width="14.140625" style="3" customWidth="1"/>
    <col min="11743" max="11743" width="14" style="3" customWidth="1"/>
    <col min="11744" max="11744" width="13.85546875" style="3" customWidth="1"/>
    <col min="11745" max="11745" width="14.140625" style="3" customWidth="1"/>
    <col min="11746" max="11746" width="13.140625" style="3" bestFit="1" customWidth="1"/>
    <col min="11747" max="11773" width="0" style="3" hidden="1" customWidth="1"/>
    <col min="11774" max="11774" width="10.28515625" style="3" customWidth="1"/>
    <col min="11775" max="11775" width="12.28515625" style="3" bestFit="1" customWidth="1"/>
    <col min="11776" max="11776" width="12.85546875" style="3" bestFit="1" customWidth="1"/>
    <col min="11777" max="11777" width="10.28515625" style="3" bestFit="1" customWidth="1"/>
    <col min="11778" max="11778" width="10.140625" style="3" bestFit="1" customWidth="1"/>
    <col min="11779" max="11783" width="10.28515625" style="3" bestFit="1" customWidth="1"/>
    <col min="11784" max="11785" width="10.140625" style="3" bestFit="1" customWidth="1"/>
    <col min="11786" max="11791" width="10.28515625" style="3" bestFit="1" customWidth="1"/>
    <col min="11792" max="11792" width="11.5703125" style="3" bestFit="1" customWidth="1"/>
    <col min="11793" max="11993" width="9.140625" style="3"/>
    <col min="11994" max="11994" width="4.140625" style="3" customWidth="1"/>
    <col min="11995" max="11995" width="24" style="3" customWidth="1"/>
    <col min="11996" max="11996" width="9" style="3" customWidth="1"/>
    <col min="11997" max="11997" width="24.42578125" style="3" customWidth="1"/>
    <col min="11998" max="11998" width="14.140625" style="3" customWidth="1"/>
    <col min="11999" max="11999" width="14" style="3" customWidth="1"/>
    <col min="12000" max="12000" width="13.85546875" style="3" customWidth="1"/>
    <col min="12001" max="12001" width="14.140625" style="3" customWidth="1"/>
    <col min="12002" max="12002" width="13.140625" style="3" bestFit="1" customWidth="1"/>
    <col min="12003" max="12029" width="0" style="3" hidden="1" customWidth="1"/>
    <col min="12030" max="12030" width="10.28515625" style="3" customWidth="1"/>
    <col min="12031" max="12031" width="12.28515625" style="3" bestFit="1" customWidth="1"/>
    <col min="12032" max="12032" width="12.85546875" style="3" bestFit="1" customWidth="1"/>
    <col min="12033" max="12033" width="10.28515625" style="3" bestFit="1" customWidth="1"/>
    <col min="12034" max="12034" width="10.140625" style="3" bestFit="1" customWidth="1"/>
    <col min="12035" max="12039" width="10.28515625" style="3" bestFit="1" customWidth="1"/>
    <col min="12040" max="12041" width="10.140625" style="3" bestFit="1" customWidth="1"/>
    <col min="12042" max="12047" width="10.28515625" style="3" bestFit="1" customWidth="1"/>
    <col min="12048" max="12048" width="11.5703125" style="3" bestFit="1" customWidth="1"/>
    <col min="12049" max="12249" width="9.140625" style="3"/>
    <col min="12250" max="12250" width="4.140625" style="3" customWidth="1"/>
    <col min="12251" max="12251" width="24" style="3" customWidth="1"/>
    <col min="12252" max="12252" width="9" style="3" customWidth="1"/>
    <col min="12253" max="12253" width="24.42578125" style="3" customWidth="1"/>
    <col min="12254" max="12254" width="14.140625" style="3" customWidth="1"/>
    <col min="12255" max="12255" width="14" style="3" customWidth="1"/>
    <col min="12256" max="12256" width="13.85546875" style="3" customWidth="1"/>
    <col min="12257" max="12257" width="14.140625" style="3" customWidth="1"/>
    <col min="12258" max="12258" width="13.140625" style="3" bestFit="1" customWidth="1"/>
    <col min="12259" max="12285" width="0" style="3" hidden="1" customWidth="1"/>
    <col min="12286" max="12286" width="10.28515625" style="3" customWidth="1"/>
    <col min="12287" max="12287" width="12.28515625" style="3" bestFit="1" customWidth="1"/>
    <col min="12288" max="12288" width="12.85546875" style="3" bestFit="1" customWidth="1"/>
    <col min="12289" max="12289" width="10.28515625" style="3" bestFit="1" customWidth="1"/>
    <col min="12290" max="12290" width="10.140625" style="3" bestFit="1" customWidth="1"/>
    <col min="12291" max="12295" width="10.28515625" style="3" bestFit="1" customWidth="1"/>
    <col min="12296" max="12297" width="10.140625" style="3" bestFit="1" customWidth="1"/>
    <col min="12298" max="12303" width="10.28515625" style="3" bestFit="1" customWidth="1"/>
    <col min="12304" max="12304" width="11.5703125" style="3" bestFit="1" customWidth="1"/>
    <col min="12305" max="12505" width="9.140625" style="3"/>
    <col min="12506" max="12506" width="4.140625" style="3" customWidth="1"/>
    <col min="12507" max="12507" width="24" style="3" customWidth="1"/>
    <col min="12508" max="12508" width="9" style="3" customWidth="1"/>
    <col min="12509" max="12509" width="24.42578125" style="3" customWidth="1"/>
    <col min="12510" max="12510" width="14.140625" style="3" customWidth="1"/>
    <col min="12511" max="12511" width="14" style="3" customWidth="1"/>
    <col min="12512" max="12512" width="13.85546875" style="3" customWidth="1"/>
    <col min="12513" max="12513" width="14.140625" style="3" customWidth="1"/>
    <col min="12514" max="12514" width="13.140625" style="3" bestFit="1" customWidth="1"/>
    <col min="12515" max="12541" width="0" style="3" hidden="1" customWidth="1"/>
    <col min="12542" max="12542" width="10.28515625" style="3" customWidth="1"/>
    <col min="12543" max="12543" width="12.28515625" style="3" bestFit="1" customWidth="1"/>
    <col min="12544" max="12544" width="12.85546875" style="3" bestFit="1" customWidth="1"/>
    <col min="12545" max="12545" width="10.28515625" style="3" bestFit="1" customWidth="1"/>
    <col min="12546" max="12546" width="10.140625" style="3" bestFit="1" customWidth="1"/>
    <col min="12547" max="12551" width="10.28515625" style="3" bestFit="1" customWidth="1"/>
    <col min="12552" max="12553" width="10.140625" style="3" bestFit="1" customWidth="1"/>
    <col min="12554" max="12559" width="10.28515625" style="3" bestFit="1" customWidth="1"/>
    <col min="12560" max="12560" width="11.5703125" style="3" bestFit="1" customWidth="1"/>
    <col min="12561" max="12761" width="9.140625" style="3"/>
    <col min="12762" max="12762" width="4.140625" style="3" customWidth="1"/>
    <col min="12763" max="12763" width="24" style="3" customWidth="1"/>
    <col min="12764" max="12764" width="9" style="3" customWidth="1"/>
    <col min="12765" max="12765" width="24.42578125" style="3" customWidth="1"/>
    <col min="12766" max="12766" width="14.140625" style="3" customWidth="1"/>
    <col min="12767" max="12767" width="14" style="3" customWidth="1"/>
    <col min="12768" max="12768" width="13.85546875" style="3" customWidth="1"/>
    <col min="12769" max="12769" width="14.140625" style="3" customWidth="1"/>
    <col min="12770" max="12770" width="13.140625" style="3" bestFit="1" customWidth="1"/>
    <col min="12771" max="12797" width="0" style="3" hidden="1" customWidth="1"/>
    <col min="12798" max="12798" width="10.28515625" style="3" customWidth="1"/>
    <col min="12799" max="12799" width="12.28515625" style="3" bestFit="1" customWidth="1"/>
    <col min="12800" max="12800" width="12.85546875" style="3" bestFit="1" customWidth="1"/>
    <col min="12801" max="12801" width="10.28515625" style="3" bestFit="1" customWidth="1"/>
    <col min="12802" max="12802" width="10.140625" style="3" bestFit="1" customWidth="1"/>
    <col min="12803" max="12807" width="10.28515625" style="3" bestFit="1" customWidth="1"/>
    <col min="12808" max="12809" width="10.140625" style="3" bestFit="1" customWidth="1"/>
    <col min="12810" max="12815" width="10.28515625" style="3" bestFit="1" customWidth="1"/>
    <col min="12816" max="12816" width="11.5703125" style="3" bestFit="1" customWidth="1"/>
    <col min="12817" max="13017" width="9.140625" style="3"/>
    <col min="13018" max="13018" width="4.140625" style="3" customWidth="1"/>
    <col min="13019" max="13019" width="24" style="3" customWidth="1"/>
    <col min="13020" max="13020" width="9" style="3" customWidth="1"/>
    <col min="13021" max="13021" width="24.42578125" style="3" customWidth="1"/>
    <col min="13022" max="13022" width="14.140625" style="3" customWidth="1"/>
    <col min="13023" max="13023" width="14" style="3" customWidth="1"/>
    <col min="13024" max="13024" width="13.85546875" style="3" customWidth="1"/>
    <col min="13025" max="13025" width="14.140625" style="3" customWidth="1"/>
    <col min="13026" max="13026" width="13.140625" style="3" bestFit="1" customWidth="1"/>
    <col min="13027" max="13053" width="0" style="3" hidden="1" customWidth="1"/>
    <col min="13054" max="13054" width="10.28515625" style="3" customWidth="1"/>
    <col min="13055" max="13055" width="12.28515625" style="3" bestFit="1" customWidth="1"/>
    <col min="13056" max="13056" width="12.85546875" style="3" bestFit="1" customWidth="1"/>
    <col min="13057" max="13057" width="10.28515625" style="3" bestFit="1" customWidth="1"/>
    <col min="13058" max="13058" width="10.140625" style="3" bestFit="1" customWidth="1"/>
    <col min="13059" max="13063" width="10.28515625" style="3" bestFit="1" customWidth="1"/>
    <col min="13064" max="13065" width="10.140625" style="3" bestFit="1" customWidth="1"/>
    <col min="13066" max="13071" width="10.28515625" style="3" bestFit="1" customWidth="1"/>
    <col min="13072" max="13072" width="11.5703125" style="3" bestFit="1" customWidth="1"/>
    <col min="13073" max="13273" width="9.140625" style="3"/>
    <col min="13274" max="13274" width="4.140625" style="3" customWidth="1"/>
    <col min="13275" max="13275" width="24" style="3" customWidth="1"/>
    <col min="13276" max="13276" width="9" style="3" customWidth="1"/>
    <col min="13277" max="13277" width="24.42578125" style="3" customWidth="1"/>
    <col min="13278" max="13278" width="14.140625" style="3" customWidth="1"/>
    <col min="13279" max="13279" width="14" style="3" customWidth="1"/>
    <col min="13280" max="13280" width="13.85546875" style="3" customWidth="1"/>
    <col min="13281" max="13281" width="14.140625" style="3" customWidth="1"/>
    <col min="13282" max="13282" width="13.140625" style="3" bestFit="1" customWidth="1"/>
    <col min="13283" max="13309" width="0" style="3" hidden="1" customWidth="1"/>
    <col min="13310" max="13310" width="10.28515625" style="3" customWidth="1"/>
    <col min="13311" max="13311" width="12.28515625" style="3" bestFit="1" customWidth="1"/>
    <col min="13312" max="13312" width="12.85546875" style="3" bestFit="1" customWidth="1"/>
    <col min="13313" max="13313" width="10.28515625" style="3" bestFit="1" customWidth="1"/>
    <col min="13314" max="13314" width="10.140625" style="3" bestFit="1" customWidth="1"/>
    <col min="13315" max="13319" width="10.28515625" style="3" bestFit="1" customWidth="1"/>
    <col min="13320" max="13321" width="10.140625" style="3" bestFit="1" customWidth="1"/>
    <col min="13322" max="13327" width="10.28515625" style="3" bestFit="1" customWidth="1"/>
    <col min="13328" max="13328" width="11.5703125" style="3" bestFit="1" customWidth="1"/>
    <col min="13329" max="13529" width="9.140625" style="3"/>
    <col min="13530" max="13530" width="4.140625" style="3" customWidth="1"/>
    <col min="13531" max="13531" width="24" style="3" customWidth="1"/>
    <col min="13532" max="13532" width="9" style="3" customWidth="1"/>
    <col min="13533" max="13533" width="24.42578125" style="3" customWidth="1"/>
    <col min="13534" max="13534" width="14.140625" style="3" customWidth="1"/>
    <col min="13535" max="13535" width="14" style="3" customWidth="1"/>
    <col min="13536" max="13536" width="13.85546875" style="3" customWidth="1"/>
    <col min="13537" max="13537" width="14.140625" style="3" customWidth="1"/>
    <col min="13538" max="13538" width="13.140625" style="3" bestFit="1" customWidth="1"/>
    <col min="13539" max="13565" width="0" style="3" hidden="1" customWidth="1"/>
    <col min="13566" max="13566" width="10.28515625" style="3" customWidth="1"/>
    <col min="13567" max="13567" width="12.28515625" style="3" bestFit="1" customWidth="1"/>
    <col min="13568" max="13568" width="12.85546875" style="3" bestFit="1" customWidth="1"/>
    <col min="13569" max="13569" width="10.28515625" style="3" bestFit="1" customWidth="1"/>
    <col min="13570" max="13570" width="10.140625" style="3" bestFit="1" customWidth="1"/>
    <col min="13571" max="13575" width="10.28515625" style="3" bestFit="1" customWidth="1"/>
    <col min="13576" max="13577" width="10.140625" style="3" bestFit="1" customWidth="1"/>
    <col min="13578" max="13583" width="10.28515625" style="3" bestFit="1" customWidth="1"/>
    <col min="13584" max="13584" width="11.5703125" style="3" bestFit="1" customWidth="1"/>
    <col min="13585" max="13785" width="9.140625" style="3"/>
    <col min="13786" max="13786" width="4.140625" style="3" customWidth="1"/>
    <col min="13787" max="13787" width="24" style="3" customWidth="1"/>
    <col min="13788" max="13788" width="9" style="3" customWidth="1"/>
    <col min="13789" max="13789" width="24.42578125" style="3" customWidth="1"/>
    <col min="13790" max="13790" width="14.140625" style="3" customWidth="1"/>
    <col min="13791" max="13791" width="14" style="3" customWidth="1"/>
    <col min="13792" max="13792" width="13.85546875" style="3" customWidth="1"/>
    <col min="13793" max="13793" width="14.140625" style="3" customWidth="1"/>
    <col min="13794" max="13794" width="13.140625" style="3" bestFit="1" customWidth="1"/>
    <col min="13795" max="13821" width="0" style="3" hidden="1" customWidth="1"/>
    <col min="13822" max="13822" width="10.28515625" style="3" customWidth="1"/>
    <col min="13823" max="13823" width="12.28515625" style="3" bestFit="1" customWidth="1"/>
    <col min="13824" max="13824" width="12.85546875" style="3" bestFit="1" customWidth="1"/>
    <col min="13825" max="13825" width="10.28515625" style="3" bestFit="1" customWidth="1"/>
    <col min="13826" max="13826" width="10.140625" style="3" bestFit="1" customWidth="1"/>
    <col min="13827" max="13831" width="10.28515625" style="3" bestFit="1" customWidth="1"/>
    <col min="13832" max="13833" width="10.140625" style="3" bestFit="1" customWidth="1"/>
    <col min="13834" max="13839" width="10.28515625" style="3" bestFit="1" customWidth="1"/>
    <col min="13840" max="13840" width="11.5703125" style="3" bestFit="1" customWidth="1"/>
    <col min="13841" max="14041" width="9.140625" style="3"/>
    <col min="14042" max="14042" width="4.140625" style="3" customWidth="1"/>
    <col min="14043" max="14043" width="24" style="3" customWidth="1"/>
    <col min="14044" max="14044" width="9" style="3" customWidth="1"/>
    <col min="14045" max="14045" width="24.42578125" style="3" customWidth="1"/>
    <col min="14046" max="14046" width="14.140625" style="3" customWidth="1"/>
    <col min="14047" max="14047" width="14" style="3" customWidth="1"/>
    <col min="14048" max="14048" width="13.85546875" style="3" customWidth="1"/>
    <col min="14049" max="14049" width="14.140625" style="3" customWidth="1"/>
    <col min="14050" max="14050" width="13.140625" style="3" bestFit="1" customWidth="1"/>
    <col min="14051" max="14077" width="0" style="3" hidden="1" customWidth="1"/>
    <col min="14078" max="14078" width="10.28515625" style="3" customWidth="1"/>
    <col min="14079" max="14079" width="12.28515625" style="3" bestFit="1" customWidth="1"/>
    <col min="14080" max="14080" width="12.85546875" style="3" bestFit="1" customWidth="1"/>
    <col min="14081" max="14081" width="10.28515625" style="3" bestFit="1" customWidth="1"/>
    <col min="14082" max="14082" width="10.140625" style="3" bestFit="1" customWidth="1"/>
    <col min="14083" max="14087" width="10.28515625" style="3" bestFit="1" customWidth="1"/>
    <col min="14088" max="14089" width="10.140625" style="3" bestFit="1" customWidth="1"/>
    <col min="14090" max="14095" width="10.28515625" style="3" bestFit="1" customWidth="1"/>
    <col min="14096" max="14096" width="11.5703125" style="3" bestFit="1" customWidth="1"/>
    <col min="14097" max="14297" width="9.140625" style="3"/>
    <col min="14298" max="14298" width="4.140625" style="3" customWidth="1"/>
    <col min="14299" max="14299" width="24" style="3" customWidth="1"/>
    <col min="14300" max="14300" width="9" style="3" customWidth="1"/>
    <col min="14301" max="14301" width="24.42578125" style="3" customWidth="1"/>
    <col min="14302" max="14302" width="14.140625" style="3" customWidth="1"/>
    <col min="14303" max="14303" width="14" style="3" customWidth="1"/>
    <col min="14304" max="14304" width="13.85546875" style="3" customWidth="1"/>
    <col min="14305" max="14305" width="14.140625" style="3" customWidth="1"/>
    <col min="14306" max="14306" width="13.140625" style="3" bestFit="1" customWidth="1"/>
    <col min="14307" max="14333" width="0" style="3" hidden="1" customWidth="1"/>
    <col min="14334" max="14334" width="10.28515625" style="3" customWidth="1"/>
    <col min="14335" max="14335" width="12.28515625" style="3" bestFit="1" customWidth="1"/>
    <col min="14336" max="14336" width="12.85546875" style="3" bestFit="1" customWidth="1"/>
    <col min="14337" max="14337" width="10.28515625" style="3" bestFit="1" customWidth="1"/>
    <col min="14338" max="14338" width="10.140625" style="3" bestFit="1" customWidth="1"/>
    <col min="14339" max="14343" width="10.28515625" style="3" bestFit="1" customWidth="1"/>
    <col min="14344" max="14345" width="10.140625" style="3" bestFit="1" customWidth="1"/>
    <col min="14346" max="14351" width="10.28515625" style="3" bestFit="1" customWidth="1"/>
    <col min="14352" max="14352" width="11.5703125" style="3" bestFit="1" customWidth="1"/>
    <col min="14353" max="14553" width="9.140625" style="3"/>
    <col min="14554" max="14554" width="4.140625" style="3" customWidth="1"/>
    <col min="14555" max="14555" width="24" style="3" customWidth="1"/>
    <col min="14556" max="14556" width="9" style="3" customWidth="1"/>
    <col min="14557" max="14557" width="24.42578125" style="3" customWidth="1"/>
    <col min="14558" max="14558" width="14.140625" style="3" customWidth="1"/>
    <col min="14559" max="14559" width="14" style="3" customWidth="1"/>
    <col min="14560" max="14560" width="13.85546875" style="3" customWidth="1"/>
    <col min="14561" max="14561" width="14.140625" style="3" customWidth="1"/>
    <col min="14562" max="14562" width="13.140625" style="3" bestFit="1" customWidth="1"/>
    <col min="14563" max="14589" width="0" style="3" hidden="1" customWidth="1"/>
    <col min="14590" max="14590" width="10.28515625" style="3" customWidth="1"/>
    <col min="14591" max="14591" width="12.28515625" style="3" bestFit="1" customWidth="1"/>
    <col min="14592" max="14592" width="12.85546875" style="3" bestFit="1" customWidth="1"/>
    <col min="14593" max="14593" width="10.28515625" style="3" bestFit="1" customWidth="1"/>
    <col min="14594" max="14594" width="10.140625" style="3" bestFit="1" customWidth="1"/>
    <col min="14595" max="14599" width="10.28515625" style="3" bestFit="1" customWidth="1"/>
    <col min="14600" max="14601" width="10.140625" style="3" bestFit="1" customWidth="1"/>
    <col min="14602" max="14607" width="10.28515625" style="3" bestFit="1" customWidth="1"/>
    <col min="14608" max="14608" width="11.5703125" style="3" bestFit="1" customWidth="1"/>
    <col min="14609" max="14809" width="9.140625" style="3"/>
    <col min="14810" max="14810" width="4.140625" style="3" customWidth="1"/>
    <col min="14811" max="14811" width="24" style="3" customWidth="1"/>
    <col min="14812" max="14812" width="9" style="3" customWidth="1"/>
    <col min="14813" max="14813" width="24.42578125" style="3" customWidth="1"/>
    <col min="14814" max="14814" width="14.140625" style="3" customWidth="1"/>
    <col min="14815" max="14815" width="14" style="3" customWidth="1"/>
    <col min="14816" max="14816" width="13.85546875" style="3" customWidth="1"/>
    <col min="14817" max="14817" width="14.140625" style="3" customWidth="1"/>
    <col min="14818" max="14818" width="13.140625" style="3" bestFit="1" customWidth="1"/>
    <col min="14819" max="14845" width="0" style="3" hidden="1" customWidth="1"/>
    <col min="14846" max="14846" width="10.28515625" style="3" customWidth="1"/>
    <col min="14847" max="14847" width="12.28515625" style="3" bestFit="1" customWidth="1"/>
    <col min="14848" max="14848" width="12.85546875" style="3" bestFit="1" customWidth="1"/>
    <col min="14849" max="14849" width="10.28515625" style="3" bestFit="1" customWidth="1"/>
    <col min="14850" max="14850" width="10.140625" style="3" bestFit="1" customWidth="1"/>
    <col min="14851" max="14855" width="10.28515625" style="3" bestFit="1" customWidth="1"/>
    <col min="14856" max="14857" width="10.140625" style="3" bestFit="1" customWidth="1"/>
    <col min="14858" max="14863" width="10.28515625" style="3" bestFit="1" customWidth="1"/>
    <col min="14864" max="14864" width="11.5703125" style="3" bestFit="1" customWidth="1"/>
    <col min="14865" max="15065" width="9.140625" style="3"/>
    <col min="15066" max="15066" width="4.140625" style="3" customWidth="1"/>
    <col min="15067" max="15067" width="24" style="3" customWidth="1"/>
    <col min="15068" max="15068" width="9" style="3" customWidth="1"/>
    <col min="15069" max="15069" width="24.42578125" style="3" customWidth="1"/>
    <col min="15070" max="15070" width="14.140625" style="3" customWidth="1"/>
    <col min="15071" max="15071" width="14" style="3" customWidth="1"/>
    <col min="15072" max="15072" width="13.85546875" style="3" customWidth="1"/>
    <col min="15073" max="15073" width="14.140625" style="3" customWidth="1"/>
    <col min="15074" max="15074" width="13.140625" style="3" bestFit="1" customWidth="1"/>
    <col min="15075" max="15101" width="0" style="3" hidden="1" customWidth="1"/>
    <col min="15102" max="15102" width="10.28515625" style="3" customWidth="1"/>
    <col min="15103" max="15103" width="12.28515625" style="3" bestFit="1" customWidth="1"/>
    <col min="15104" max="15104" width="12.85546875" style="3" bestFit="1" customWidth="1"/>
    <col min="15105" max="15105" width="10.28515625" style="3" bestFit="1" customWidth="1"/>
    <col min="15106" max="15106" width="10.140625" style="3" bestFit="1" customWidth="1"/>
    <col min="15107" max="15111" width="10.28515625" style="3" bestFit="1" customWidth="1"/>
    <col min="15112" max="15113" width="10.140625" style="3" bestFit="1" customWidth="1"/>
    <col min="15114" max="15119" width="10.28515625" style="3" bestFit="1" customWidth="1"/>
    <col min="15120" max="15120" width="11.5703125" style="3" bestFit="1" customWidth="1"/>
    <col min="15121" max="15321" width="9.140625" style="3"/>
    <col min="15322" max="15322" width="4.140625" style="3" customWidth="1"/>
    <col min="15323" max="15323" width="24" style="3" customWidth="1"/>
    <col min="15324" max="15324" width="9" style="3" customWidth="1"/>
    <col min="15325" max="15325" width="24.42578125" style="3" customWidth="1"/>
    <col min="15326" max="15326" width="14.140625" style="3" customWidth="1"/>
    <col min="15327" max="15327" width="14" style="3" customWidth="1"/>
    <col min="15328" max="15328" width="13.85546875" style="3" customWidth="1"/>
    <col min="15329" max="15329" width="14.140625" style="3" customWidth="1"/>
    <col min="15330" max="15330" width="13.140625" style="3" bestFit="1" customWidth="1"/>
    <col min="15331" max="15357" width="0" style="3" hidden="1" customWidth="1"/>
    <col min="15358" max="15358" width="10.28515625" style="3" customWidth="1"/>
    <col min="15359" max="15359" width="12.28515625" style="3" bestFit="1" customWidth="1"/>
    <col min="15360" max="15360" width="12.85546875" style="3" bestFit="1" customWidth="1"/>
    <col min="15361" max="15361" width="10.28515625" style="3" bestFit="1" customWidth="1"/>
    <col min="15362" max="15362" width="10.140625" style="3" bestFit="1" customWidth="1"/>
    <col min="15363" max="15367" width="10.28515625" style="3" bestFit="1" customWidth="1"/>
    <col min="15368" max="15369" width="10.140625" style="3" bestFit="1" customWidth="1"/>
    <col min="15370" max="15375" width="10.28515625" style="3" bestFit="1" customWidth="1"/>
    <col min="15376" max="15376" width="11.5703125" style="3" bestFit="1" customWidth="1"/>
    <col min="15377" max="15577" width="9.140625" style="3"/>
    <col min="15578" max="15578" width="4.140625" style="3" customWidth="1"/>
    <col min="15579" max="15579" width="24" style="3" customWidth="1"/>
    <col min="15580" max="15580" width="9" style="3" customWidth="1"/>
    <col min="15581" max="15581" width="24.42578125" style="3" customWidth="1"/>
    <col min="15582" max="15582" width="14.140625" style="3" customWidth="1"/>
    <col min="15583" max="15583" width="14" style="3" customWidth="1"/>
    <col min="15584" max="15584" width="13.85546875" style="3" customWidth="1"/>
    <col min="15585" max="15585" width="14.140625" style="3" customWidth="1"/>
    <col min="15586" max="15586" width="13.140625" style="3" bestFit="1" customWidth="1"/>
    <col min="15587" max="15613" width="0" style="3" hidden="1" customWidth="1"/>
    <col min="15614" max="15614" width="10.28515625" style="3" customWidth="1"/>
    <col min="15615" max="15615" width="12.28515625" style="3" bestFit="1" customWidth="1"/>
    <col min="15616" max="15616" width="12.85546875" style="3" bestFit="1" customWidth="1"/>
    <col min="15617" max="15617" width="10.28515625" style="3" bestFit="1" customWidth="1"/>
    <col min="15618" max="15618" width="10.140625" style="3" bestFit="1" customWidth="1"/>
    <col min="15619" max="15623" width="10.28515625" style="3" bestFit="1" customWidth="1"/>
    <col min="15624" max="15625" width="10.140625" style="3" bestFit="1" customWidth="1"/>
    <col min="15626" max="15631" width="10.28515625" style="3" bestFit="1" customWidth="1"/>
    <col min="15632" max="15632" width="11.5703125" style="3" bestFit="1" customWidth="1"/>
    <col min="15633" max="15833" width="9.140625" style="3"/>
    <col min="15834" max="15834" width="4.140625" style="3" customWidth="1"/>
    <col min="15835" max="15835" width="24" style="3" customWidth="1"/>
    <col min="15836" max="15836" width="9" style="3" customWidth="1"/>
    <col min="15837" max="15837" width="24.42578125" style="3" customWidth="1"/>
    <col min="15838" max="15838" width="14.140625" style="3" customWidth="1"/>
    <col min="15839" max="15839" width="14" style="3" customWidth="1"/>
    <col min="15840" max="15840" width="13.85546875" style="3" customWidth="1"/>
    <col min="15841" max="15841" width="14.140625" style="3" customWidth="1"/>
    <col min="15842" max="15842" width="13.140625" style="3" bestFit="1" customWidth="1"/>
    <col min="15843" max="15869" width="0" style="3" hidden="1" customWidth="1"/>
    <col min="15870" max="15870" width="10.28515625" style="3" customWidth="1"/>
    <col min="15871" max="15871" width="12.28515625" style="3" bestFit="1" customWidth="1"/>
    <col min="15872" max="15872" width="12.85546875" style="3" bestFit="1" customWidth="1"/>
    <col min="15873" max="15873" width="10.28515625" style="3" bestFit="1" customWidth="1"/>
    <col min="15874" max="15874" width="10.140625" style="3" bestFit="1" customWidth="1"/>
    <col min="15875" max="15879" width="10.28515625" style="3" bestFit="1" customWidth="1"/>
    <col min="15880" max="15881" width="10.140625" style="3" bestFit="1" customWidth="1"/>
    <col min="15882" max="15887" width="10.28515625" style="3" bestFit="1" customWidth="1"/>
    <col min="15888" max="15888" width="11.5703125" style="3" bestFit="1" customWidth="1"/>
    <col min="15889" max="16089" width="9.140625" style="3"/>
    <col min="16090" max="16090" width="4.140625" style="3" customWidth="1"/>
    <col min="16091" max="16091" width="24" style="3" customWidth="1"/>
    <col min="16092" max="16092" width="9" style="3" customWidth="1"/>
    <col min="16093" max="16093" width="24.42578125" style="3" customWidth="1"/>
    <col min="16094" max="16094" width="14.140625" style="3" customWidth="1"/>
    <col min="16095" max="16095" width="14" style="3" customWidth="1"/>
    <col min="16096" max="16096" width="13.85546875" style="3" customWidth="1"/>
    <col min="16097" max="16097" width="14.140625" style="3" customWidth="1"/>
    <col min="16098" max="16098" width="13.140625" style="3" bestFit="1" customWidth="1"/>
    <col min="16099" max="16125" width="0" style="3" hidden="1" customWidth="1"/>
    <col min="16126" max="16126" width="10.28515625" style="3" customWidth="1"/>
    <col min="16127" max="16127" width="12.28515625" style="3" bestFit="1" customWidth="1"/>
    <col min="16128" max="16128" width="12.85546875" style="3" bestFit="1" customWidth="1"/>
    <col min="16129" max="16129" width="10.28515625" style="3" bestFit="1" customWidth="1"/>
    <col min="16130" max="16130" width="10.140625" style="3" bestFit="1" customWidth="1"/>
    <col min="16131" max="16135" width="10.28515625" style="3" bestFit="1" customWidth="1"/>
    <col min="16136" max="16137" width="10.140625" style="3" bestFit="1" customWidth="1"/>
    <col min="16138" max="16143" width="10.28515625" style="3" bestFit="1" customWidth="1"/>
    <col min="16144" max="16144" width="11.5703125" style="3" bestFit="1" customWidth="1"/>
    <col min="16145" max="16384" width="9.140625" style="3"/>
  </cols>
  <sheetData>
    <row r="1" spans="1:26" s="1" customFormat="1" ht="20.25" customHeight="1">
      <c r="A1" s="1" t="s">
        <v>0</v>
      </c>
      <c r="B1" s="19"/>
      <c r="C1" s="26"/>
      <c r="D1" s="18"/>
      <c r="E1" s="17"/>
      <c r="F1" s="17"/>
      <c r="G1" s="17"/>
      <c r="H1" s="24"/>
      <c r="I1" s="24"/>
      <c r="J1" s="24"/>
      <c r="K1" s="24"/>
      <c r="L1" s="24"/>
      <c r="M1" s="24"/>
      <c r="N1" s="24"/>
      <c r="O1" s="24"/>
      <c r="P1" s="24"/>
      <c r="Q1" s="17"/>
      <c r="R1" s="17"/>
    </row>
    <row r="2" spans="1:26" s="1" customFormat="1" ht="15.75">
      <c r="A2" s="160" t="s">
        <v>201</v>
      </c>
      <c r="B2" s="160"/>
      <c r="C2" s="160"/>
      <c r="D2" s="160"/>
      <c r="E2" s="160"/>
      <c r="F2" s="160"/>
      <c r="G2" s="160"/>
      <c r="H2" s="24"/>
      <c r="I2" s="24"/>
      <c r="J2" s="24"/>
      <c r="K2" s="24"/>
      <c r="L2" s="24"/>
      <c r="M2" s="24"/>
      <c r="N2" s="24"/>
      <c r="O2" s="24"/>
      <c r="P2" s="24"/>
      <c r="Q2" s="17"/>
      <c r="R2" s="17"/>
    </row>
    <row r="3" spans="1:26" s="1" customFormat="1" ht="18.75">
      <c r="A3" s="161" t="s">
        <v>1</v>
      </c>
      <c r="B3" s="161"/>
      <c r="C3" s="161"/>
      <c r="D3" s="161"/>
      <c r="E3" s="161"/>
      <c r="F3" s="161"/>
      <c r="G3" s="161"/>
      <c r="H3" s="24"/>
      <c r="I3" s="24"/>
      <c r="J3" s="24"/>
      <c r="K3" s="24"/>
      <c r="L3" s="24"/>
      <c r="M3" s="24"/>
      <c r="N3" s="24"/>
      <c r="O3" s="24"/>
      <c r="P3" s="24"/>
      <c r="Q3" s="17"/>
      <c r="R3" s="17"/>
    </row>
    <row r="4" spans="1:26" ht="15.75">
      <c r="H4" s="14"/>
      <c r="I4" s="15"/>
      <c r="J4" s="16"/>
      <c r="K4" s="16"/>
      <c r="L4" s="16"/>
      <c r="M4" s="16"/>
      <c r="N4" s="16"/>
      <c r="O4" s="16"/>
      <c r="P4" s="4"/>
      <c r="S4" s="3" t="s">
        <v>179</v>
      </c>
      <c r="T4" s="3" t="s">
        <v>185</v>
      </c>
      <c r="U4" s="3" t="s">
        <v>186</v>
      </c>
    </row>
    <row r="5" spans="1:26" s="17" customFormat="1" ht="15.75" customHeight="1">
      <c r="A5" s="165" t="s">
        <v>2</v>
      </c>
      <c r="B5" s="168" t="s">
        <v>3</v>
      </c>
      <c r="C5" s="170" t="s">
        <v>4</v>
      </c>
      <c r="D5" s="172" t="s">
        <v>5</v>
      </c>
      <c r="E5" s="165" t="s">
        <v>6</v>
      </c>
      <c r="F5" s="165" t="s">
        <v>7</v>
      </c>
      <c r="G5" s="175" t="s">
        <v>8</v>
      </c>
      <c r="H5" s="162" t="s">
        <v>10</v>
      </c>
      <c r="I5" s="182" t="s">
        <v>11</v>
      </c>
      <c r="J5" s="176" t="s">
        <v>12</v>
      </c>
      <c r="K5" s="176" t="s">
        <v>13</v>
      </c>
      <c r="L5" s="176" t="s">
        <v>14</v>
      </c>
      <c r="M5" s="176" t="s">
        <v>15</v>
      </c>
      <c r="N5" s="176" t="s">
        <v>16</v>
      </c>
      <c r="O5" s="176" t="s">
        <v>17</v>
      </c>
      <c r="P5" s="162" t="s">
        <v>18</v>
      </c>
      <c r="Q5" s="179" t="s">
        <v>22</v>
      </c>
      <c r="R5" s="162" t="s">
        <v>23</v>
      </c>
      <c r="S5" s="162" t="s">
        <v>175</v>
      </c>
      <c r="T5" s="162" t="s">
        <v>176</v>
      </c>
      <c r="U5" s="162" t="s">
        <v>177</v>
      </c>
      <c r="V5" s="162" t="s">
        <v>178</v>
      </c>
      <c r="W5" s="162" t="s">
        <v>199</v>
      </c>
      <c r="X5" s="185" t="s">
        <v>183</v>
      </c>
      <c r="Y5" s="188" t="s">
        <v>184</v>
      </c>
    </row>
    <row r="6" spans="1:26" s="17" customFormat="1" ht="15.75">
      <c r="A6" s="166"/>
      <c r="B6" s="169"/>
      <c r="C6" s="171"/>
      <c r="D6" s="173"/>
      <c r="E6" s="166"/>
      <c r="F6" s="166"/>
      <c r="G6" s="175"/>
      <c r="H6" s="163"/>
      <c r="I6" s="183"/>
      <c r="J6" s="177"/>
      <c r="K6" s="177"/>
      <c r="L6" s="177"/>
      <c r="M6" s="177"/>
      <c r="N6" s="177"/>
      <c r="O6" s="177"/>
      <c r="P6" s="163"/>
      <c r="Q6" s="180"/>
      <c r="R6" s="163"/>
      <c r="S6" s="163"/>
      <c r="T6" s="163"/>
      <c r="U6" s="163"/>
      <c r="V6" s="163"/>
      <c r="W6" s="163"/>
      <c r="X6" s="186"/>
      <c r="Y6" s="189"/>
    </row>
    <row r="7" spans="1:26" s="17" customFormat="1" ht="15.75">
      <c r="A7" s="167"/>
      <c r="B7" s="169"/>
      <c r="C7" s="171"/>
      <c r="D7" s="174"/>
      <c r="E7" s="166"/>
      <c r="F7" s="167"/>
      <c r="G7" s="175"/>
      <c r="H7" s="164"/>
      <c r="I7" s="184"/>
      <c r="J7" s="178"/>
      <c r="K7" s="178"/>
      <c r="L7" s="177"/>
      <c r="M7" s="178"/>
      <c r="N7" s="178"/>
      <c r="O7" s="178"/>
      <c r="P7" s="164"/>
      <c r="Q7" s="181"/>
      <c r="R7" s="163"/>
      <c r="S7" s="163"/>
      <c r="T7" s="164"/>
      <c r="U7" s="164"/>
      <c r="V7" s="164"/>
      <c r="W7" s="164"/>
      <c r="X7" s="187"/>
      <c r="Y7" s="190"/>
    </row>
    <row r="8" spans="1:26" s="1" customFormat="1" ht="15.75">
      <c r="A8" s="12"/>
      <c r="B8" s="6"/>
      <c r="C8" s="7"/>
      <c r="D8" s="11"/>
      <c r="E8" s="5"/>
      <c r="F8" s="13"/>
      <c r="G8" s="5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30"/>
      <c r="S8" s="124"/>
      <c r="T8" s="131"/>
      <c r="U8" s="123"/>
      <c r="V8" s="125"/>
      <c r="W8" s="132"/>
      <c r="X8" s="132"/>
      <c r="Y8" s="132"/>
    </row>
    <row r="9" spans="1:26" s="2" customFormat="1" ht="24" customHeight="1">
      <c r="A9" s="9"/>
      <c r="B9" s="30"/>
      <c r="C9" s="22"/>
      <c r="D9" s="159"/>
      <c r="E9" s="23"/>
      <c r="F9" s="28">
        <f>IFERROR((E9*D9)/26*J9 + 400*V9,0)</f>
        <v>0</v>
      </c>
      <c r="G9" s="28">
        <f>IFERROR(F9/J9,0)</f>
        <v>0</v>
      </c>
      <c r="H9" s="154"/>
      <c r="I9" s="155"/>
      <c r="J9" s="156"/>
      <c r="K9" s="156"/>
      <c r="L9" s="156"/>
      <c r="M9" s="156"/>
      <c r="N9" s="156"/>
      <c r="O9" s="156"/>
      <c r="P9" s="155"/>
      <c r="Q9" s="155"/>
      <c r="R9" s="155">
        <f>IFERROR(10000*J9,0)</f>
        <v>0</v>
      </c>
      <c r="S9" s="157"/>
      <c r="T9" s="155"/>
      <c r="U9" s="155"/>
      <c r="V9" s="155"/>
      <c r="W9" s="158"/>
      <c r="X9" s="158"/>
      <c r="Y9" s="158">
        <f>IFERROR(-IF(S9=$S$4,0,IF(S9=$T$4,15*680*J9,IF(S9=$U$4,30*680*J9,IF(S9=0,50*680*J9,0)))),0)</f>
        <v>0</v>
      </c>
      <c r="Z9" s="2">
        <f>+(130*24-T9)*E9*J9/24*680</f>
        <v>0</v>
      </c>
    </row>
    <row r="10" spans="1:26" s="2" customFormat="1" ht="15" hidden="1" customHeight="1">
      <c r="A10" s="9"/>
      <c r="B10" s="30"/>
      <c r="C10" s="22"/>
      <c r="D10" s="159"/>
      <c r="E10" s="23"/>
      <c r="F10" s="13"/>
      <c r="G10" s="8"/>
      <c r="H10" s="154"/>
      <c r="I10" s="155"/>
      <c r="J10" s="156"/>
      <c r="K10" s="156"/>
      <c r="L10" s="156"/>
      <c r="M10" s="156"/>
      <c r="N10" s="156"/>
      <c r="O10" s="156"/>
      <c r="P10" s="155"/>
      <c r="Q10" s="155"/>
      <c r="R10" s="130"/>
      <c r="S10" s="157"/>
      <c r="T10" s="155"/>
      <c r="U10" s="155"/>
      <c r="V10" s="155"/>
      <c r="W10" s="158"/>
      <c r="X10" s="158"/>
      <c r="Y10" s="132"/>
      <c r="Z10" s="1"/>
    </row>
    <row r="11" spans="1:26" s="2" customFormat="1" ht="24" customHeight="1">
      <c r="A11" s="9"/>
      <c r="B11" s="30"/>
      <c r="C11" s="22"/>
      <c r="D11" s="159"/>
      <c r="E11" s="23"/>
      <c r="F11" s="28">
        <f t="shared" ref="F11" si="0">IFERROR((E11*D11)/26*J11 + 400*V11,0)</f>
        <v>0</v>
      </c>
      <c r="G11" s="28">
        <f t="shared" ref="G11" si="1">IFERROR(F11/J11,0)</f>
        <v>0</v>
      </c>
      <c r="H11" s="154"/>
      <c r="I11" s="155"/>
      <c r="J11" s="156"/>
      <c r="K11" s="156"/>
      <c r="L11" s="156"/>
      <c r="M11" s="156"/>
      <c r="N11" s="156"/>
      <c r="O11" s="156"/>
      <c r="P11" s="155"/>
      <c r="Q11" s="155"/>
      <c r="R11" s="155">
        <f t="shared" ref="R11" si="2">IFERROR(10000*J11,0)</f>
        <v>0</v>
      </c>
      <c r="S11" s="157"/>
      <c r="T11" s="155"/>
      <c r="U11" s="155"/>
      <c r="V11" s="155"/>
      <c r="W11" s="158"/>
      <c r="X11" s="158"/>
      <c r="Y11" s="158">
        <f t="shared" ref="Y11" si="3">IFERROR(-IF(S11=$S$4,0,IF(S11=$T$4,15*680*J11,IF(S11=$U$4,30*680*J11,IF(S11=0,50*680*J11,0)))),0)</f>
        <v>0</v>
      </c>
      <c r="Z11" s="2">
        <f t="shared" ref="Z11" si="4">+(130*24-T11)*E11*J11/24*680</f>
        <v>0</v>
      </c>
    </row>
    <row r="12" spans="1:26" s="2" customFormat="1" ht="15" hidden="1" customHeight="1">
      <c r="A12" s="9"/>
      <c r="B12" s="30"/>
      <c r="C12" s="22"/>
      <c r="D12" s="159"/>
      <c r="E12" s="23"/>
      <c r="F12" s="13"/>
      <c r="G12" s="8"/>
      <c r="H12" s="154"/>
      <c r="I12" s="155"/>
      <c r="J12" s="156"/>
      <c r="K12" s="156"/>
      <c r="L12" s="156"/>
      <c r="M12" s="156"/>
      <c r="N12" s="156"/>
      <c r="O12" s="156"/>
      <c r="P12" s="155"/>
      <c r="Q12" s="155"/>
      <c r="R12" s="130"/>
      <c r="S12" s="157"/>
      <c r="T12" s="155"/>
      <c r="U12" s="155"/>
      <c r="V12" s="155"/>
      <c r="W12" s="158"/>
      <c r="X12" s="158"/>
      <c r="Y12" s="132"/>
      <c r="Z12" s="1"/>
    </row>
    <row r="13" spans="1:26" s="2" customFormat="1" ht="24" customHeight="1">
      <c r="A13" s="9"/>
      <c r="B13" s="30"/>
      <c r="C13" s="22"/>
      <c r="D13" s="159"/>
      <c r="E13" s="23"/>
      <c r="F13" s="28">
        <f t="shared" ref="F13" si="5">IFERROR((E13*D13)/26*J13 + 400*V13,0)</f>
        <v>0</v>
      </c>
      <c r="G13" s="28">
        <f t="shared" ref="G13" si="6">IFERROR(F13/J13,0)</f>
        <v>0</v>
      </c>
      <c r="H13" s="154"/>
      <c r="I13" s="155"/>
      <c r="J13" s="156"/>
      <c r="K13" s="156"/>
      <c r="L13" s="156"/>
      <c r="M13" s="156"/>
      <c r="N13" s="156"/>
      <c r="O13" s="156"/>
      <c r="P13" s="155"/>
      <c r="Q13" s="155"/>
      <c r="R13" s="155">
        <f t="shared" ref="R13" si="7">IFERROR(10000*J13,0)</f>
        <v>0</v>
      </c>
      <c r="S13" s="157"/>
      <c r="T13" s="155"/>
      <c r="U13" s="155"/>
      <c r="V13" s="155"/>
      <c r="W13" s="158"/>
      <c r="X13" s="158"/>
      <c r="Y13" s="158">
        <f t="shared" ref="Y13" si="8">IFERROR(-IF(S13=$S$4,0,IF(S13=$T$4,15*680*J13,IF(S13=$U$4,30*680*J13,IF(S13=0,50*680*J13,0)))),0)</f>
        <v>0</v>
      </c>
      <c r="Z13" s="2">
        <f t="shared" ref="Z13" si="9">+(130*24-T13)*E13*J13/24*680</f>
        <v>0</v>
      </c>
    </row>
    <row r="14" spans="1:26" s="2" customFormat="1" ht="15" hidden="1" customHeight="1">
      <c r="A14" s="9"/>
      <c r="B14" s="30"/>
      <c r="C14" s="22"/>
      <c r="D14" s="159"/>
      <c r="E14" s="23"/>
      <c r="F14" s="13"/>
      <c r="G14" s="8"/>
      <c r="H14" s="154"/>
      <c r="I14" s="155"/>
      <c r="J14" s="156"/>
      <c r="K14" s="156"/>
      <c r="L14" s="156"/>
      <c r="M14" s="156"/>
      <c r="N14" s="156"/>
      <c r="O14" s="156"/>
      <c r="P14" s="155"/>
      <c r="Q14" s="155"/>
      <c r="R14" s="130"/>
      <c r="S14" s="157"/>
      <c r="T14" s="155"/>
      <c r="U14" s="155"/>
      <c r="V14" s="155"/>
      <c r="W14" s="158"/>
      <c r="X14" s="158"/>
      <c r="Y14" s="132"/>
      <c r="Z14" s="1"/>
    </row>
    <row r="15" spans="1:26" s="2" customFormat="1" ht="24" customHeight="1">
      <c r="A15" s="9"/>
      <c r="B15" s="30"/>
      <c r="C15" s="22"/>
      <c r="D15" s="159"/>
      <c r="E15" s="23"/>
      <c r="F15" s="28">
        <f t="shared" ref="F15" si="10">IFERROR((E15*D15)/26*J15 + 400*V15,0)</f>
        <v>0</v>
      </c>
      <c r="G15" s="28">
        <f t="shared" ref="G15" si="11">IFERROR(F15/J15,0)</f>
        <v>0</v>
      </c>
      <c r="H15" s="154"/>
      <c r="I15" s="155"/>
      <c r="J15" s="156"/>
      <c r="K15" s="156"/>
      <c r="L15" s="156"/>
      <c r="M15" s="156"/>
      <c r="N15" s="156"/>
      <c r="O15" s="156"/>
      <c r="P15" s="155"/>
      <c r="Q15" s="155"/>
      <c r="R15" s="155">
        <f t="shared" ref="R15" si="12">IFERROR(10000*J15,0)</f>
        <v>0</v>
      </c>
      <c r="S15" s="157"/>
      <c r="T15" s="155"/>
      <c r="U15" s="155"/>
      <c r="V15" s="155"/>
      <c r="W15" s="158"/>
      <c r="X15" s="158"/>
      <c r="Y15" s="158">
        <f t="shared" ref="Y15" si="13">IFERROR(-IF(S15=$S$4,0,IF(S15=$T$4,15*680*J15,IF(S15=$U$4,30*680*J15,IF(S15=0,50*680*J15,0)))),0)</f>
        <v>0</v>
      </c>
      <c r="Z15" s="2">
        <f t="shared" ref="Z15" si="14">+(130*24-T15)*E15*J15/24*680</f>
        <v>0</v>
      </c>
    </row>
    <row r="16" spans="1:26" s="2" customFormat="1" ht="15" hidden="1" customHeight="1">
      <c r="A16" s="9"/>
      <c r="B16" s="30"/>
      <c r="C16" s="22"/>
      <c r="D16" s="159"/>
      <c r="E16" s="23"/>
      <c r="F16" s="13"/>
      <c r="G16" s="8"/>
      <c r="H16" s="154"/>
      <c r="I16" s="155"/>
      <c r="J16" s="156"/>
      <c r="K16" s="156"/>
      <c r="L16" s="156"/>
      <c r="M16" s="156"/>
      <c r="N16" s="156"/>
      <c r="O16" s="156"/>
      <c r="P16" s="155"/>
      <c r="Q16" s="155"/>
      <c r="R16" s="130"/>
      <c r="S16" s="157"/>
      <c r="T16" s="155"/>
      <c r="U16" s="155"/>
      <c r="V16" s="155"/>
      <c r="W16" s="158"/>
      <c r="X16" s="158"/>
      <c r="Y16" s="132"/>
      <c r="Z16" s="1"/>
    </row>
    <row r="17" spans="1:26" s="2" customFormat="1" ht="24" customHeight="1">
      <c r="A17" s="9"/>
      <c r="B17" s="30"/>
      <c r="C17" s="22"/>
      <c r="D17" s="159"/>
      <c r="E17" s="23"/>
      <c r="F17" s="28">
        <f t="shared" ref="F17" si="15">IFERROR((E17*D17)/26*J17 + 400*V17,0)</f>
        <v>0</v>
      </c>
      <c r="G17" s="28">
        <f t="shared" ref="G17" si="16">IFERROR(F17/J17,0)</f>
        <v>0</v>
      </c>
      <c r="H17" s="154"/>
      <c r="I17" s="155"/>
      <c r="J17" s="156"/>
      <c r="K17" s="156"/>
      <c r="L17" s="156"/>
      <c r="M17" s="156"/>
      <c r="N17" s="156"/>
      <c r="O17" s="156"/>
      <c r="P17" s="155"/>
      <c r="Q17" s="155"/>
      <c r="R17" s="155">
        <f t="shared" ref="R17" si="17">IFERROR(10000*J17,0)</f>
        <v>0</v>
      </c>
      <c r="S17" s="157"/>
      <c r="T17" s="155"/>
      <c r="U17" s="155"/>
      <c r="V17" s="155"/>
      <c r="W17" s="158"/>
      <c r="X17" s="158"/>
      <c r="Y17" s="158">
        <f t="shared" ref="Y17" si="18">IFERROR(-IF(S17=$S$4,0,IF(S17=$T$4,15*680*J17,IF(S17=$U$4,30*680*J17,IF(S17=0,50*680*J17,0)))),0)</f>
        <v>0</v>
      </c>
      <c r="Z17" s="2">
        <f t="shared" ref="Z17" si="19">+(130*24-T17)*E17*J17/24*680</f>
        <v>0</v>
      </c>
    </row>
    <row r="18" spans="1:26" s="2" customFormat="1" ht="21.75" hidden="1" customHeight="1">
      <c r="A18" s="9"/>
      <c r="B18" s="30"/>
      <c r="C18" s="22"/>
      <c r="D18" s="159"/>
      <c r="E18" s="23"/>
      <c r="F18" s="13"/>
      <c r="G18" s="8"/>
      <c r="H18" s="154"/>
      <c r="I18" s="155"/>
      <c r="J18" s="156"/>
      <c r="K18" s="156"/>
      <c r="L18" s="156"/>
      <c r="M18" s="156"/>
      <c r="N18" s="156"/>
      <c r="O18" s="156"/>
      <c r="P18" s="155"/>
      <c r="Q18" s="155"/>
      <c r="R18" s="130"/>
      <c r="S18" s="157"/>
      <c r="T18" s="155"/>
      <c r="U18" s="155"/>
      <c r="V18" s="155"/>
      <c r="W18" s="158"/>
      <c r="X18" s="158"/>
      <c r="Y18" s="132"/>
      <c r="Z18" s="1"/>
    </row>
    <row r="19" spans="1:26" s="2" customFormat="1" ht="24" customHeight="1">
      <c r="A19" s="9"/>
      <c r="B19" s="30"/>
      <c r="C19" s="22"/>
      <c r="D19" s="159"/>
      <c r="E19" s="23"/>
      <c r="F19" s="28">
        <f t="shared" ref="F19" si="20">IFERROR((E19*D19)/26*J19 + 400*V19,0)</f>
        <v>0</v>
      </c>
      <c r="G19" s="28">
        <f t="shared" ref="G19" si="21">IFERROR(F19/J19,0)</f>
        <v>0</v>
      </c>
      <c r="H19" s="154"/>
      <c r="I19" s="155"/>
      <c r="J19" s="156"/>
      <c r="K19" s="156"/>
      <c r="L19" s="156"/>
      <c r="M19" s="156"/>
      <c r="N19" s="156"/>
      <c r="O19" s="156"/>
      <c r="P19" s="155"/>
      <c r="Q19" s="155"/>
      <c r="R19" s="155">
        <f t="shared" ref="R19" si="22">IFERROR(10000*J19,0)</f>
        <v>0</v>
      </c>
      <c r="S19" s="157"/>
      <c r="T19" s="155"/>
      <c r="U19" s="155"/>
      <c r="V19" s="155"/>
      <c r="W19" s="158"/>
      <c r="X19" s="158"/>
      <c r="Y19" s="158">
        <f t="shared" ref="Y19" si="23">IFERROR(-IF(S19=$S$4,0,IF(S19=$T$4,15*680*J19,IF(S19=$U$4,30*680*J19,IF(S19=0,50*680*J19,0)))),0)</f>
        <v>0</v>
      </c>
    </row>
    <row r="20" spans="1:26" s="2" customFormat="1" ht="24" hidden="1" customHeight="1">
      <c r="A20" s="9"/>
      <c r="B20" s="30"/>
      <c r="C20" s="22"/>
      <c r="D20" s="159"/>
      <c r="E20" s="23"/>
      <c r="F20" s="13"/>
      <c r="G20" s="8"/>
      <c r="H20" s="154"/>
      <c r="I20" s="155"/>
      <c r="J20" s="156"/>
      <c r="K20" s="156"/>
      <c r="L20" s="156"/>
      <c r="M20" s="156"/>
      <c r="N20" s="156"/>
      <c r="O20" s="156"/>
      <c r="P20" s="155"/>
      <c r="Q20" s="155"/>
      <c r="R20" s="130"/>
      <c r="S20" s="157"/>
      <c r="T20" s="155"/>
      <c r="U20" s="155"/>
      <c r="V20" s="155"/>
      <c r="W20" s="158"/>
      <c r="X20" s="158"/>
      <c r="Y20" s="132"/>
    </row>
    <row r="21" spans="1:26" s="2" customFormat="1" ht="24" customHeight="1">
      <c r="A21" s="9"/>
      <c r="B21" s="30"/>
      <c r="C21" s="22"/>
      <c r="D21" s="159"/>
      <c r="E21" s="23"/>
      <c r="F21" s="28">
        <f t="shared" ref="F21" si="24">IFERROR((E21*D21)/26*J21 + 400*V21,0)</f>
        <v>0</v>
      </c>
      <c r="G21" s="28">
        <f t="shared" ref="G21" si="25">IFERROR(F21/J21,0)</f>
        <v>0</v>
      </c>
      <c r="H21" s="154"/>
      <c r="I21" s="155"/>
      <c r="J21" s="156"/>
      <c r="K21" s="156"/>
      <c r="L21" s="156"/>
      <c r="M21" s="156"/>
      <c r="N21" s="156"/>
      <c r="O21" s="156"/>
      <c r="P21" s="155"/>
      <c r="Q21" s="155"/>
      <c r="R21" s="155">
        <f t="shared" ref="R21" si="26">IFERROR(10000*J21,0)</f>
        <v>0</v>
      </c>
      <c r="S21" s="157"/>
      <c r="T21" s="155"/>
      <c r="U21" s="155"/>
      <c r="V21" s="155"/>
      <c r="W21" s="158"/>
      <c r="X21" s="158"/>
      <c r="Y21" s="158">
        <f t="shared" ref="Y21" si="27">IFERROR(-IF(S21=$S$4,0,IF(S21=$T$4,15*680*J21,IF(S21=$U$4,30*680*J21,IF(S21=0,50*680*J21,0)))),0)</f>
        <v>0</v>
      </c>
    </row>
    <row r="22" spans="1:26" s="2" customFormat="1" ht="15" hidden="1" customHeight="1">
      <c r="A22" s="9"/>
      <c r="B22" s="30"/>
      <c r="C22" s="22"/>
      <c r="D22" s="159"/>
      <c r="E22" s="23"/>
      <c r="F22" s="13"/>
      <c r="G22" s="8"/>
      <c r="H22" s="154"/>
      <c r="I22" s="155"/>
      <c r="J22" s="156"/>
      <c r="K22" s="156"/>
      <c r="L22" s="156"/>
      <c r="M22" s="156"/>
      <c r="N22" s="156"/>
      <c r="O22" s="156"/>
      <c r="P22" s="155"/>
      <c r="Q22" s="155"/>
      <c r="R22" s="130"/>
      <c r="S22" s="157"/>
      <c r="T22" s="155"/>
      <c r="U22" s="155"/>
      <c r="V22" s="155"/>
      <c r="W22" s="158"/>
      <c r="X22" s="158"/>
      <c r="Y22" s="132"/>
    </row>
    <row r="23" spans="1:26" s="2" customFormat="1" ht="24" customHeight="1">
      <c r="A23" s="9"/>
      <c r="B23" s="30"/>
      <c r="C23" s="22"/>
      <c r="D23" s="159"/>
      <c r="E23" s="23"/>
      <c r="F23" s="28">
        <f t="shared" ref="F23" si="28">IFERROR((E23*D23)/26*J23 + 400*V23,0)</f>
        <v>0</v>
      </c>
      <c r="G23" s="28">
        <f t="shared" ref="G23" si="29">IFERROR(F23/J23,0)</f>
        <v>0</v>
      </c>
      <c r="H23" s="154"/>
      <c r="I23" s="155"/>
      <c r="J23" s="156"/>
      <c r="K23" s="156"/>
      <c r="L23" s="156"/>
      <c r="M23" s="156"/>
      <c r="N23" s="156"/>
      <c r="O23" s="156"/>
      <c r="P23" s="155"/>
      <c r="Q23" s="155"/>
      <c r="R23" s="155">
        <f t="shared" ref="R23" si="30">IFERROR(10000*J23,0)</f>
        <v>0</v>
      </c>
      <c r="S23" s="157"/>
      <c r="T23" s="155"/>
      <c r="U23" s="155"/>
      <c r="V23" s="155"/>
      <c r="W23" s="158"/>
      <c r="X23" s="158"/>
      <c r="Y23" s="158">
        <f t="shared" ref="Y23" si="31">IFERROR(-IF(S23=$S$4,0,IF(S23=$T$4,15*680*J23,IF(S23=$U$4,30*680*J23,IF(S23=0,50*680*J23,0)))),0)</f>
        <v>0</v>
      </c>
    </row>
    <row r="24" spans="1:26" s="2" customFormat="1" ht="15" hidden="1" customHeight="1">
      <c r="A24" s="9"/>
      <c r="B24" s="30"/>
      <c r="C24" s="22"/>
      <c r="D24" s="159"/>
      <c r="E24" s="23"/>
      <c r="F24" s="13"/>
      <c r="G24" s="8"/>
      <c r="H24" s="154"/>
      <c r="I24" s="155"/>
      <c r="J24" s="156"/>
      <c r="K24" s="156"/>
      <c r="L24" s="156"/>
      <c r="M24" s="156"/>
      <c r="N24" s="156"/>
      <c r="O24" s="156"/>
      <c r="P24" s="155"/>
      <c r="Q24" s="155"/>
      <c r="R24" s="130"/>
      <c r="S24" s="157"/>
      <c r="T24" s="155"/>
      <c r="U24" s="155"/>
      <c r="V24" s="155"/>
      <c r="W24" s="158"/>
      <c r="X24" s="158"/>
      <c r="Y24" s="132"/>
    </row>
    <row r="25" spans="1:26" s="2" customFormat="1" ht="24" customHeight="1">
      <c r="A25" s="9"/>
      <c r="B25" s="30"/>
      <c r="C25" s="22"/>
      <c r="D25" s="159"/>
      <c r="E25" s="23"/>
      <c r="F25" s="28">
        <f t="shared" ref="F25" si="32">IFERROR((E25*D25)/26*J25 + 400*V25,0)</f>
        <v>0</v>
      </c>
      <c r="G25" s="28">
        <f t="shared" ref="G25" si="33">IFERROR(F25/J25,0)</f>
        <v>0</v>
      </c>
      <c r="H25" s="154"/>
      <c r="I25" s="155"/>
      <c r="J25" s="156"/>
      <c r="K25" s="156"/>
      <c r="L25" s="156"/>
      <c r="M25" s="156"/>
      <c r="N25" s="156"/>
      <c r="O25" s="156"/>
      <c r="P25" s="155"/>
      <c r="Q25" s="155"/>
      <c r="R25" s="155">
        <f t="shared" ref="R25" si="34">IFERROR(10000*J25,0)</f>
        <v>0</v>
      </c>
      <c r="S25" s="157"/>
      <c r="T25" s="155"/>
      <c r="U25" s="155"/>
      <c r="V25" s="155"/>
      <c r="W25" s="158"/>
      <c r="X25" s="158"/>
      <c r="Y25" s="158">
        <f t="shared" ref="Y25" si="35">IFERROR(-IF(S25=$S$4,0,IF(S25=$T$4,15*680*J25,IF(S25=$U$4,30*680*J25,IF(S25=0,50*680*J25,0)))),0)</f>
        <v>0</v>
      </c>
    </row>
    <row r="26" spans="1:26" s="2" customFormat="1" ht="15" customHeight="1">
      <c r="A26" s="9"/>
      <c r="B26" s="30"/>
      <c r="C26" s="22"/>
      <c r="D26" s="159"/>
      <c r="E26" s="23"/>
      <c r="F26" s="13"/>
      <c r="G26" s="8"/>
      <c r="H26" s="154"/>
      <c r="I26" s="155"/>
      <c r="J26" s="156"/>
      <c r="K26" s="156"/>
      <c r="L26" s="156"/>
      <c r="M26" s="156"/>
      <c r="N26" s="156"/>
      <c r="O26" s="156"/>
      <c r="P26" s="155"/>
      <c r="Q26" s="155"/>
      <c r="R26" s="130"/>
      <c r="S26" s="157"/>
      <c r="T26" s="155"/>
      <c r="U26" s="155"/>
      <c r="V26" s="155"/>
      <c r="W26" s="158"/>
      <c r="X26" s="158"/>
      <c r="Y26" s="132"/>
    </row>
    <row r="27" spans="1:26" s="2" customFormat="1" ht="15" customHeight="1">
      <c r="A27" s="9"/>
      <c r="B27" s="30"/>
      <c r="C27" s="22"/>
      <c r="D27" s="159"/>
      <c r="E27" s="23"/>
      <c r="F27" s="28">
        <f t="shared" ref="F27" si="36">IFERROR((E27*D27)/26*J27 + 400*V27,0)</f>
        <v>0</v>
      </c>
      <c r="G27" s="28">
        <f t="shared" ref="G27" si="37">IFERROR(F27/J27,0)</f>
        <v>0</v>
      </c>
      <c r="H27" s="154"/>
      <c r="I27" s="155"/>
      <c r="J27" s="156"/>
      <c r="K27" s="156"/>
      <c r="L27" s="156"/>
      <c r="M27" s="156"/>
      <c r="N27" s="156"/>
      <c r="O27" s="156"/>
      <c r="P27" s="155"/>
      <c r="Q27" s="155"/>
      <c r="R27" s="155">
        <f t="shared" ref="R27" si="38">IFERROR(10000*J27,0)</f>
        <v>0</v>
      </c>
      <c r="S27" s="157"/>
      <c r="T27" s="155"/>
      <c r="U27" s="155"/>
      <c r="V27" s="155"/>
      <c r="W27" s="158"/>
      <c r="X27" s="158"/>
      <c r="Y27" s="158">
        <f t="shared" ref="Y27" si="39">IFERROR(-IF(S27=$S$4,0,IF(S27=$T$4,15*680*J27,IF(S27=$U$4,30*680*J27,IF(S27=0,50*680*J27,0)))),0)</f>
        <v>0</v>
      </c>
    </row>
    <row r="28" spans="1:26" s="2" customFormat="1" ht="15" customHeight="1">
      <c r="A28" s="9"/>
      <c r="B28" s="30"/>
      <c r="C28" s="22"/>
      <c r="D28" s="159"/>
      <c r="E28" s="23"/>
      <c r="F28" s="13"/>
      <c r="G28" s="8"/>
      <c r="H28" s="154"/>
      <c r="I28" s="155"/>
      <c r="J28" s="156"/>
      <c r="K28" s="156"/>
      <c r="L28" s="156"/>
      <c r="M28" s="156"/>
      <c r="N28" s="156"/>
      <c r="O28" s="156"/>
      <c r="P28" s="155"/>
      <c r="Q28" s="155"/>
      <c r="R28" s="130"/>
      <c r="S28" s="157"/>
      <c r="T28" s="155"/>
      <c r="U28" s="155"/>
      <c r="V28" s="155"/>
      <c r="W28" s="158"/>
      <c r="X28" s="158"/>
      <c r="Y28" s="132"/>
    </row>
    <row r="29" spans="1:26" s="2" customFormat="1" ht="15" customHeight="1">
      <c r="A29" s="9"/>
      <c r="B29" s="30"/>
      <c r="C29" s="22"/>
      <c r="D29" s="159"/>
      <c r="E29" s="23"/>
      <c r="F29" s="28">
        <f t="shared" ref="F29" si="40">IFERROR((E29*D29)/26*J29 + 400*V29,0)</f>
        <v>0</v>
      </c>
      <c r="G29" s="28">
        <f t="shared" ref="G29" si="41">IFERROR(F29/J29,0)</f>
        <v>0</v>
      </c>
      <c r="H29" s="154"/>
      <c r="I29" s="155"/>
      <c r="J29" s="156"/>
      <c r="K29" s="156"/>
      <c r="L29" s="156"/>
      <c r="M29" s="156"/>
      <c r="N29" s="156"/>
      <c r="O29" s="156"/>
      <c r="P29" s="155"/>
      <c r="Q29" s="155"/>
      <c r="R29" s="155">
        <f t="shared" ref="R29" si="42">IFERROR(10000*J29,0)</f>
        <v>0</v>
      </c>
      <c r="S29" s="157"/>
      <c r="T29" s="155"/>
      <c r="U29" s="155"/>
      <c r="V29" s="155"/>
      <c r="W29" s="158"/>
      <c r="X29" s="158"/>
      <c r="Y29" s="158">
        <f t="shared" ref="Y29" si="43">IFERROR(-IF(S29=$S$4,0,IF(S29=$T$4,15*680*J29,IF(S29=$U$4,30*680*J29,IF(S29=0,50*680*J29,0)))),0)</f>
        <v>0</v>
      </c>
    </row>
    <row r="30" spans="1:26" s="2" customFormat="1" ht="15" customHeight="1">
      <c r="A30" s="9"/>
      <c r="B30" s="30"/>
      <c r="C30" s="22"/>
      <c r="D30" s="159"/>
      <c r="E30" s="23"/>
      <c r="F30" s="13"/>
      <c r="G30" s="8"/>
      <c r="H30" s="154"/>
      <c r="I30" s="155"/>
      <c r="J30" s="156"/>
      <c r="K30" s="156"/>
      <c r="L30" s="156"/>
      <c r="M30" s="156"/>
      <c r="N30" s="156"/>
      <c r="O30" s="156"/>
      <c r="P30" s="155"/>
      <c r="Q30" s="155"/>
      <c r="R30" s="130"/>
      <c r="S30" s="157"/>
      <c r="T30" s="155"/>
      <c r="U30" s="155"/>
      <c r="V30" s="155"/>
      <c r="W30" s="158"/>
      <c r="X30" s="158"/>
      <c r="Y30" s="132"/>
    </row>
    <row r="31" spans="1:26" s="2" customFormat="1" ht="15" customHeight="1">
      <c r="A31" s="9"/>
      <c r="B31" s="30"/>
      <c r="C31" s="22"/>
      <c r="D31" s="159"/>
      <c r="E31" s="23"/>
      <c r="F31" s="28">
        <f t="shared" ref="F31" si="44">IFERROR((E31*D31)/26*J31 + 400*V31,0)</f>
        <v>0</v>
      </c>
      <c r="G31" s="28">
        <f t="shared" ref="G31" si="45">IFERROR(F31/J31,0)</f>
        <v>0</v>
      </c>
      <c r="H31" s="154"/>
      <c r="I31" s="155"/>
      <c r="J31" s="156"/>
      <c r="K31" s="156"/>
      <c r="L31" s="156"/>
      <c r="M31" s="156"/>
      <c r="N31" s="156"/>
      <c r="O31" s="156"/>
      <c r="P31" s="155"/>
      <c r="Q31" s="155"/>
      <c r="R31" s="155">
        <f t="shared" ref="R31" si="46">IFERROR(10000*J31,0)</f>
        <v>0</v>
      </c>
      <c r="S31" s="157"/>
      <c r="T31" s="155"/>
      <c r="U31" s="155"/>
      <c r="V31" s="155"/>
      <c r="W31" s="158"/>
      <c r="X31" s="158"/>
      <c r="Y31" s="158">
        <f t="shared" ref="Y31" si="47">IFERROR(-IF(S31=$S$4,0,IF(S31=$T$4,15*680*J31,IF(S31=$U$4,30*680*J31,IF(S31=0,50*680*J31,0)))),0)</f>
        <v>0</v>
      </c>
    </row>
    <row r="32" spans="1:26" s="2" customFormat="1" ht="15" customHeight="1">
      <c r="A32" s="9"/>
      <c r="B32" s="30"/>
      <c r="C32" s="22"/>
      <c r="D32" s="159"/>
      <c r="E32" s="23"/>
      <c r="F32" s="13"/>
      <c r="G32" s="8"/>
      <c r="H32" s="154"/>
      <c r="I32" s="155"/>
      <c r="J32" s="156"/>
      <c r="K32" s="156"/>
      <c r="L32" s="156"/>
      <c r="M32" s="156"/>
      <c r="N32" s="156"/>
      <c r="O32" s="156"/>
      <c r="P32" s="155"/>
      <c r="Q32" s="155"/>
      <c r="R32" s="130"/>
      <c r="S32" s="157"/>
      <c r="T32" s="155"/>
      <c r="U32" s="155"/>
      <c r="V32" s="155"/>
      <c r="W32" s="158"/>
      <c r="X32" s="158"/>
      <c r="Y32" s="132"/>
    </row>
    <row r="33" spans="1:25" s="2" customFormat="1" ht="15" customHeight="1">
      <c r="A33" s="9"/>
      <c r="B33" s="30"/>
      <c r="C33" s="22"/>
      <c r="D33" s="159"/>
      <c r="E33" s="23"/>
      <c r="F33" s="28">
        <f t="shared" ref="F33" si="48">IFERROR((E33*D33)/26*J33 + 400*V33,0)</f>
        <v>0</v>
      </c>
      <c r="G33" s="28">
        <f t="shared" ref="G33" si="49">IFERROR(F33/J33,0)</f>
        <v>0</v>
      </c>
      <c r="H33" s="154"/>
      <c r="I33" s="155"/>
      <c r="J33" s="156"/>
      <c r="K33" s="156"/>
      <c r="L33" s="156"/>
      <c r="M33" s="156"/>
      <c r="N33" s="156"/>
      <c r="O33" s="156"/>
      <c r="P33" s="155"/>
      <c r="Q33" s="155"/>
      <c r="R33" s="155">
        <f t="shared" ref="R33" si="50">IFERROR(10000*J33,0)</f>
        <v>0</v>
      </c>
      <c r="S33" s="157"/>
      <c r="T33" s="155"/>
      <c r="U33" s="155"/>
      <c r="V33" s="155"/>
      <c r="W33" s="158"/>
      <c r="X33" s="158"/>
      <c r="Y33" s="158">
        <f t="shared" ref="Y33" si="51">IFERROR(-IF(S33=$S$4,0,IF(S33=$T$4,15*680*J33,IF(S33=$U$4,30*680*J33,IF(S33=0,50*680*J33,0)))),0)</f>
        <v>0</v>
      </c>
    </row>
    <row r="34" spans="1:25" s="2" customFormat="1" ht="15" customHeight="1">
      <c r="A34" s="9"/>
      <c r="B34" s="30"/>
      <c r="C34" s="22"/>
      <c r="D34" s="159"/>
      <c r="E34" s="23"/>
      <c r="F34" s="13"/>
      <c r="G34" s="8"/>
      <c r="H34" s="154"/>
      <c r="I34" s="155"/>
      <c r="J34" s="156"/>
      <c r="K34" s="156"/>
      <c r="L34" s="156"/>
      <c r="M34" s="156"/>
      <c r="N34" s="156"/>
      <c r="O34" s="156"/>
      <c r="P34" s="155"/>
      <c r="Q34" s="155"/>
      <c r="R34" s="130"/>
      <c r="S34" s="157"/>
      <c r="T34" s="155"/>
      <c r="U34" s="155"/>
      <c r="V34" s="155"/>
      <c r="W34" s="158"/>
      <c r="X34" s="158"/>
      <c r="Y34" s="132"/>
    </row>
    <row r="35" spans="1:25" s="2" customFormat="1" ht="15" customHeight="1">
      <c r="A35" s="9"/>
      <c r="B35" s="30"/>
      <c r="C35" s="22"/>
      <c r="D35" s="159"/>
      <c r="E35" s="23"/>
      <c r="F35" s="28">
        <f t="shared" ref="F35" si="52">IFERROR((E35*D35)/26*J35 + 400*V35,0)</f>
        <v>0</v>
      </c>
      <c r="G35" s="28">
        <f t="shared" ref="G35" si="53">IFERROR(F35/J35,0)</f>
        <v>0</v>
      </c>
      <c r="H35" s="154"/>
      <c r="I35" s="155"/>
      <c r="J35" s="156"/>
      <c r="K35" s="156"/>
      <c r="L35" s="156"/>
      <c r="M35" s="156"/>
      <c r="N35" s="156"/>
      <c r="O35" s="156"/>
      <c r="P35" s="155"/>
      <c r="Q35" s="155"/>
      <c r="R35" s="155">
        <f t="shared" ref="R35" si="54">IFERROR(10000*J35,0)</f>
        <v>0</v>
      </c>
      <c r="S35" s="157"/>
      <c r="T35" s="155"/>
      <c r="U35" s="155"/>
      <c r="V35" s="155"/>
      <c r="W35" s="158"/>
      <c r="X35" s="158"/>
      <c r="Y35" s="158">
        <f t="shared" ref="Y35" si="55">IFERROR(-IF(S35=$S$4,0,IF(S35=$T$4,15*680*J35,IF(S35=$U$4,30*680*J35,IF(S35=0,50*680*J35,0)))),0)</f>
        <v>0</v>
      </c>
    </row>
    <row r="36" spans="1:25" s="2" customFormat="1" ht="15" customHeight="1">
      <c r="A36" s="9"/>
      <c r="B36" s="30"/>
      <c r="C36" s="22"/>
      <c r="D36" s="159"/>
      <c r="E36" s="23"/>
      <c r="F36" s="13"/>
      <c r="G36" s="8"/>
      <c r="H36" s="154"/>
      <c r="I36" s="155"/>
      <c r="J36" s="156"/>
      <c r="K36" s="156"/>
      <c r="L36" s="156"/>
      <c r="M36" s="156"/>
      <c r="N36" s="156"/>
      <c r="O36" s="156"/>
      <c r="P36" s="155"/>
      <c r="Q36" s="155"/>
      <c r="R36" s="130"/>
      <c r="S36" s="157"/>
      <c r="T36" s="155"/>
      <c r="U36" s="155"/>
      <c r="V36" s="155"/>
      <c r="W36" s="158"/>
      <c r="X36" s="158"/>
      <c r="Y36" s="132"/>
    </row>
    <row r="37" spans="1:25" s="2" customFormat="1" ht="15" customHeight="1">
      <c r="A37" s="9"/>
      <c r="B37" s="30"/>
      <c r="C37" s="22"/>
      <c r="D37" s="159"/>
      <c r="E37" s="23"/>
      <c r="F37" s="28">
        <f t="shared" ref="F37" si="56">IFERROR((E37*D37)/26*J37 + 400*V37,0)</f>
        <v>0</v>
      </c>
      <c r="G37" s="28">
        <f t="shared" ref="G37" si="57">IFERROR(F37/J37,0)</f>
        <v>0</v>
      </c>
      <c r="H37" s="154"/>
      <c r="I37" s="155"/>
      <c r="J37" s="156"/>
      <c r="K37" s="156"/>
      <c r="L37" s="156"/>
      <c r="M37" s="156"/>
      <c r="N37" s="156"/>
      <c r="O37" s="156"/>
      <c r="P37" s="155"/>
      <c r="Q37" s="155"/>
      <c r="R37" s="155">
        <f t="shared" ref="R37" si="58">IFERROR(10000*J37,0)</f>
        <v>0</v>
      </c>
      <c r="S37" s="157"/>
      <c r="T37" s="155"/>
      <c r="U37" s="155"/>
      <c r="V37" s="155"/>
      <c r="W37" s="158"/>
      <c r="X37" s="158"/>
      <c r="Y37" s="158">
        <f t="shared" ref="Y37" si="59">IFERROR(-IF(S37=$S$4,0,IF(S37=$T$4,15*680*J37,IF(S37=$U$4,30*680*J37,IF(S37=0,50*680*J37,0)))),0)</f>
        <v>0</v>
      </c>
    </row>
    <row r="38" spans="1:25" s="2" customFormat="1" ht="15" customHeight="1">
      <c r="A38" s="9"/>
      <c r="B38" s="30"/>
      <c r="C38" s="22"/>
      <c r="D38" s="159"/>
      <c r="E38" s="23"/>
      <c r="F38" s="13"/>
      <c r="G38" s="8"/>
      <c r="H38" s="154"/>
      <c r="I38" s="155"/>
      <c r="J38" s="156"/>
      <c r="K38" s="156"/>
      <c r="L38" s="156"/>
      <c r="M38" s="156"/>
      <c r="N38" s="156"/>
      <c r="O38" s="156"/>
      <c r="P38" s="155"/>
      <c r="Q38" s="155"/>
      <c r="R38" s="130"/>
      <c r="S38" s="157"/>
      <c r="T38" s="155"/>
      <c r="U38" s="155"/>
      <c r="V38" s="155"/>
      <c r="W38" s="158"/>
      <c r="X38" s="158"/>
      <c r="Y38" s="132"/>
    </row>
    <row r="39" spans="1:25" s="2" customFormat="1" ht="15" customHeight="1">
      <c r="A39" s="9"/>
      <c r="B39" s="30"/>
      <c r="C39" s="22"/>
      <c r="D39" s="159"/>
      <c r="E39" s="23"/>
      <c r="F39" s="28">
        <f t="shared" ref="F39" si="60">IFERROR((E39*D39)/26*J39 + 400*V39,0)</f>
        <v>0</v>
      </c>
      <c r="G39" s="28">
        <f t="shared" ref="G39" si="61">IFERROR(F39/J39,0)</f>
        <v>0</v>
      </c>
      <c r="H39" s="154"/>
      <c r="I39" s="155"/>
      <c r="J39" s="156"/>
      <c r="K39" s="156"/>
      <c r="L39" s="156"/>
      <c r="M39" s="156"/>
      <c r="N39" s="156"/>
      <c r="O39" s="156"/>
      <c r="P39" s="155"/>
      <c r="Q39" s="155"/>
      <c r="R39" s="155">
        <f t="shared" ref="R39" si="62">IFERROR(10000*J39,0)</f>
        <v>0</v>
      </c>
      <c r="S39" s="157"/>
      <c r="T39" s="155"/>
      <c r="U39" s="155"/>
      <c r="V39" s="155"/>
      <c r="W39" s="158"/>
      <c r="X39" s="158"/>
      <c r="Y39" s="158">
        <f t="shared" ref="Y39" si="63">IFERROR(-IF(S39=$S$4,0,IF(S39=$T$4,15*680*J39,IF(S39=$U$4,30*680*J39,IF(S39=0,50*680*J39,0)))),0)</f>
        <v>0</v>
      </c>
    </row>
    <row r="40" spans="1:25" s="2" customFormat="1" ht="15" customHeight="1">
      <c r="A40" s="9"/>
      <c r="B40" s="30"/>
      <c r="C40" s="22"/>
      <c r="D40" s="159"/>
      <c r="E40" s="23"/>
      <c r="F40" s="13"/>
      <c r="G40" s="8"/>
      <c r="H40" s="154"/>
      <c r="I40" s="155"/>
      <c r="J40" s="156"/>
      <c r="K40" s="156"/>
      <c r="L40" s="156"/>
      <c r="M40" s="156"/>
      <c r="N40" s="156"/>
      <c r="O40" s="156"/>
      <c r="P40" s="155"/>
      <c r="Q40" s="155"/>
      <c r="R40" s="130"/>
      <c r="S40" s="157"/>
      <c r="T40" s="155"/>
      <c r="U40" s="155"/>
      <c r="V40" s="155"/>
      <c r="W40" s="158"/>
      <c r="X40" s="158"/>
      <c r="Y40" s="132"/>
    </row>
    <row r="41" spans="1:25" s="2" customFormat="1" ht="15" customHeight="1">
      <c r="A41" s="9"/>
      <c r="B41" s="30"/>
      <c r="C41" s="22"/>
      <c r="D41" s="159"/>
      <c r="E41" s="23"/>
      <c r="F41" s="28">
        <f t="shared" ref="F41" si="64">IFERROR((E41*D41)/26*J41 + 400*V41,0)</f>
        <v>0</v>
      </c>
      <c r="G41" s="28">
        <f t="shared" ref="G41" si="65">IFERROR(F41/J41,0)</f>
        <v>0</v>
      </c>
      <c r="H41" s="154"/>
      <c r="I41" s="155"/>
      <c r="J41" s="156"/>
      <c r="K41" s="156"/>
      <c r="L41" s="156"/>
      <c r="M41" s="156"/>
      <c r="N41" s="156"/>
      <c r="O41" s="156"/>
      <c r="P41" s="155"/>
      <c r="Q41" s="155"/>
      <c r="R41" s="155">
        <f t="shared" ref="R41" si="66">IFERROR(10000*J41,0)</f>
        <v>0</v>
      </c>
      <c r="S41" s="157"/>
      <c r="T41" s="155"/>
      <c r="U41" s="155"/>
      <c r="V41" s="155"/>
      <c r="W41" s="158"/>
      <c r="X41" s="158"/>
      <c r="Y41" s="158">
        <f t="shared" ref="Y41" si="67">IFERROR(-IF(S41=$S$4,0,IF(S41=$T$4,15*680*J41,IF(S41=$U$4,30*680*J41,IF(S41=0,50*680*J41,0)))),0)</f>
        <v>0</v>
      </c>
    </row>
    <row r="42" spans="1:25" s="2" customFormat="1" ht="15" customHeight="1">
      <c r="A42" s="9"/>
      <c r="B42" s="30"/>
      <c r="C42" s="22"/>
      <c r="D42" s="159"/>
      <c r="E42" s="23"/>
      <c r="F42" s="13"/>
      <c r="G42" s="8"/>
      <c r="H42" s="154"/>
      <c r="I42" s="155"/>
      <c r="J42" s="156"/>
      <c r="K42" s="156"/>
      <c r="L42" s="156"/>
      <c r="M42" s="156"/>
      <c r="N42" s="156"/>
      <c r="O42" s="156"/>
      <c r="P42" s="155"/>
      <c r="Q42" s="155"/>
      <c r="R42" s="130"/>
      <c r="S42" s="157"/>
      <c r="T42" s="155"/>
      <c r="U42" s="155"/>
      <c r="V42" s="155"/>
      <c r="W42" s="158"/>
      <c r="X42" s="158"/>
      <c r="Y42" s="132"/>
    </row>
    <row r="43" spans="1:25" s="2" customFormat="1" ht="15" customHeight="1">
      <c r="A43" s="9"/>
      <c r="B43" s="30"/>
      <c r="C43" s="22"/>
      <c r="D43" s="159"/>
      <c r="E43" s="23"/>
      <c r="F43" s="28">
        <f t="shared" ref="F43" si="68">IFERROR((E43*D43)/26*J43 + 400*V43,0)</f>
        <v>0</v>
      </c>
      <c r="G43" s="28">
        <f t="shared" ref="G43" si="69">IFERROR(F43/J43,0)</f>
        <v>0</v>
      </c>
      <c r="H43" s="154"/>
      <c r="I43" s="155"/>
      <c r="J43" s="156"/>
      <c r="K43" s="156"/>
      <c r="L43" s="156"/>
      <c r="M43" s="156"/>
      <c r="N43" s="156"/>
      <c r="O43" s="156"/>
      <c r="P43" s="155"/>
      <c r="Q43" s="155"/>
      <c r="R43" s="155">
        <f t="shared" ref="R43" si="70">IFERROR(10000*J43,0)</f>
        <v>0</v>
      </c>
      <c r="S43" s="157"/>
      <c r="T43" s="155"/>
      <c r="U43" s="155"/>
      <c r="V43" s="155"/>
      <c r="W43" s="158"/>
      <c r="X43" s="158"/>
      <c r="Y43" s="158">
        <f t="shared" ref="Y43" si="71">IFERROR(-IF(S43=$S$4,0,IF(S43=$T$4,15*680*J43,IF(S43=$U$4,30*680*J43,IF(S43=0,50*680*J43,0)))),0)</f>
        <v>0</v>
      </c>
    </row>
    <row r="44" spans="1:25" s="2" customFormat="1" ht="15" customHeight="1">
      <c r="A44" s="9"/>
      <c r="B44" s="30"/>
      <c r="C44" s="22"/>
      <c r="D44" s="159"/>
      <c r="E44" s="23"/>
      <c r="F44" s="13"/>
      <c r="G44" s="8"/>
      <c r="H44" s="154"/>
      <c r="I44" s="155"/>
      <c r="J44" s="156"/>
      <c r="K44" s="156"/>
      <c r="L44" s="156"/>
      <c r="M44" s="156"/>
      <c r="N44" s="156"/>
      <c r="O44" s="156"/>
      <c r="P44" s="155"/>
      <c r="Q44" s="155"/>
      <c r="R44" s="130"/>
      <c r="S44" s="157"/>
      <c r="T44" s="155"/>
      <c r="U44" s="155"/>
      <c r="V44" s="155"/>
      <c r="W44" s="158"/>
      <c r="X44" s="158"/>
      <c r="Y44" s="132"/>
    </row>
    <row r="45" spans="1:25" s="2" customFormat="1" ht="15" customHeight="1">
      <c r="A45" s="9"/>
      <c r="B45" s="30"/>
      <c r="C45" s="22"/>
      <c r="D45" s="159"/>
      <c r="E45" s="23"/>
      <c r="F45" s="28">
        <f t="shared" ref="F45" si="72">IFERROR((E45*D45)/26*J45 + 400*V45,0)</f>
        <v>0</v>
      </c>
      <c r="G45" s="28">
        <f t="shared" ref="G45" si="73">IFERROR(F45/J45,0)</f>
        <v>0</v>
      </c>
      <c r="H45" s="154"/>
      <c r="I45" s="155"/>
      <c r="J45" s="156"/>
      <c r="K45" s="156"/>
      <c r="L45" s="156"/>
      <c r="M45" s="156"/>
      <c r="N45" s="156"/>
      <c r="O45" s="156"/>
      <c r="P45" s="155"/>
      <c r="Q45" s="155"/>
      <c r="R45" s="155">
        <f t="shared" ref="R45" si="74">IFERROR(10000*J45,0)</f>
        <v>0</v>
      </c>
      <c r="S45" s="157"/>
      <c r="T45" s="155"/>
      <c r="U45" s="155"/>
      <c r="V45" s="155"/>
      <c r="W45" s="158"/>
      <c r="X45" s="158"/>
      <c r="Y45" s="158">
        <f t="shared" ref="Y45" si="75">IFERROR(-IF(S45=$S$4,0,IF(S45=$T$4,15*680*J45,IF(S45=$U$4,30*680*J45,IF(S45=0,50*680*J45,0)))),0)</f>
        <v>0</v>
      </c>
    </row>
    <row r="46" spans="1:25" s="2" customFormat="1" ht="15" customHeight="1">
      <c r="A46" s="9"/>
      <c r="B46" s="30"/>
      <c r="C46" s="22"/>
      <c r="D46" s="159"/>
      <c r="E46" s="23"/>
      <c r="F46" s="13"/>
      <c r="G46" s="8"/>
      <c r="H46" s="154"/>
      <c r="I46" s="155"/>
      <c r="J46" s="156"/>
      <c r="K46" s="156"/>
      <c r="L46" s="156"/>
      <c r="M46" s="156"/>
      <c r="N46" s="156"/>
      <c r="O46" s="156"/>
      <c r="P46" s="155"/>
      <c r="Q46" s="155"/>
      <c r="R46" s="130"/>
      <c r="S46" s="157"/>
      <c r="T46" s="155"/>
      <c r="U46" s="155"/>
      <c r="V46" s="155"/>
      <c r="W46" s="158"/>
      <c r="X46" s="158"/>
      <c r="Y46" s="132"/>
    </row>
    <row r="47" spans="1:25" s="2" customFormat="1" ht="15" customHeight="1">
      <c r="A47" s="9"/>
      <c r="B47" s="30"/>
      <c r="C47" s="22"/>
      <c r="D47" s="159"/>
      <c r="E47" s="23"/>
      <c r="F47" s="28">
        <f t="shared" ref="F47" si="76">IFERROR((E47*D47)/26*J47 + 400*V47,0)</f>
        <v>0</v>
      </c>
      <c r="G47" s="28">
        <f t="shared" ref="G47" si="77">IFERROR(F47/J47,0)</f>
        <v>0</v>
      </c>
      <c r="H47" s="154"/>
      <c r="I47" s="155"/>
      <c r="J47" s="156"/>
      <c r="K47" s="156"/>
      <c r="L47" s="156"/>
      <c r="M47" s="156"/>
      <c r="N47" s="156"/>
      <c r="O47" s="156"/>
      <c r="P47" s="155"/>
      <c r="Q47" s="155"/>
      <c r="R47" s="155">
        <f t="shared" ref="R47" si="78">IFERROR(10000*J47,0)</f>
        <v>0</v>
      </c>
      <c r="S47" s="157"/>
      <c r="T47" s="155"/>
      <c r="U47" s="155"/>
      <c r="V47" s="155"/>
      <c r="W47" s="158"/>
      <c r="X47" s="158"/>
      <c r="Y47" s="158">
        <f t="shared" ref="Y47" si="79">IFERROR(-IF(S47=$S$4,0,IF(S47=$T$4,15*680*J47,IF(S47=$U$4,30*680*J47,IF(S47=0,50*680*J47,0)))),0)</f>
        <v>0</v>
      </c>
    </row>
    <row r="48" spans="1:25" s="2" customFormat="1" ht="15" customHeight="1">
      <c r="A48" s="9"/>
      <c r="B48" s="30"/>
      <c r="C48" s="22"/>
      <c r="D48" s="159"/>
      <c r="E48" s="23"/>
      <c r="F48" s="13"/>
      <c r="G48" s="8"/>
      <c r="H48" s="154"/>
      <c r="I48" s="155"/>
      <c r="J48" s="156"/>
      <c r="K48" s="156"/>
      <c r="L48" s="156"/>
      <c r="M48" s="156"/>
      <c r="N48" s="156"/>
      <c r="O48" s="156"/>
      <c r="P48" s="155"/>
      <c r="Q48" s="155"/>
      <c r="R48" s="130"/>
      <c r="S48" s="157"/>
      <c r="T48" s="155"/>
      <c r="U48" s="155"/>
      <c r="V48" s="155"/>
      <c r="W48" s="158"/>
      <c r="X48" s="158"/>
      <c r="Y48" s="132"/>
    </row>
    <row r="49" spans="1:25" s="2" customFormat="1" ht="15" customHeight="1">
      <c r="A49" s="9"/>
      <c r="B49" s="30"/>
      <c r="C49" s="22"/>
      <c r="D49" s="159"/>
      <c r="E49" s="23"/>
      <c r="F49" s="28">
        <f t="shared" ref="F49" si="80">IFERROR((E49*D49)/26*J49 + 400*V49,0)</f>
        <v>0</v>
      </c>
      <c r="G49" s="28">
        <f t="shared" ref="G49" si="81">IFERROR(F49/J49,0)</f>
        <v>0</v>
      </c>
      <c r="H49" s="154"/>
      <c r="I49" s="155"/>
      <c r="J49" s="156"/>
      <c r="K49" s="156"/>
      <c r="L49" s="156"/>
      <c r="M49" s="156"/>
      <c r="N49" s="156"/>
      <c r="O49" s="156"/>
      <c r="P49" s="155"/>
      <c r="Q49" s="155"/>
      <c r="R49" s="155">
        <f t="shared" ref="R49" si="82">IFERROR(10000*J49,0)</f>
        <v>0</v>
      </c>
      <c r="S49" s="157"/>
      <c r="T49" s="155"/>
      <c r="U49" s="155"/>
      <c r="V49" s="155"/>
      <c r="W49" s="158"/>
      <c r="X49" s="158"/>
      <c r="Y49" s="158">
        <f t="shared" ref="Y49" si="83">IFERROR(-IF(S49=$S$4,0,IF(S49=$T$4,15*680*J49,IF(S49=$U$4,30*680*J49,IF(S49=0,50*680*J49,0)))),0)</f>
        <v>0</v>
      </c>
    </row>
    <row r="50" spans="1:25" s="2" customFormat="1" ht="15" customHeight="1">
      <c r="A50" s="9"/>
      <c r="B50" s="30"/>
      <c r="C50" s="22"/>
      <c r="D50" s="159"/>
      <c r="E50" s="23"/>
      <c r="F50" s="13"/>
      <c r="G50" s="8"/>
      <c r="H50" s="154"/>
      <c r="I50" s="155"/>
      <c r="J50" s="156"/>
      <c r="K50" s="156"/>
      <c r="L50" s="156"/>
      <c r="M50" s="156"/>
      <c r="N50" s="156"/>
      <c r="O50" s="156"/>
      <c r="P50" s="155"/>
      <c r="Q50" s="155"/>
      <c r="R50" s="130"/>
      <c r="S50" s="157"/>
      <c r="T50" s="155"/>
      <c r="U50" s="155"/>
      <c r="V50" s="155"/>
      <c r="W50" s="158"/>
      <c r="X50" s="158"/>
      <c r="Y50" s="132"/>
    </row>
    <row r="51" spans="1:25" s="2" customFormat="1" ht="15" customHeight="1">
      <c r="A51" s="9"/>
      <c r="B51" s="30"/>
      <c r="C51" s="22"/>
      <c r="D51" s="159"/>
      <c r="E51" s="23"/>
      <c r="F51" s="28">
        <f t="shared" ref="F51" si="84">IFERROR((E51*D51)/26*J51 + 400*V51,0)</f>
        <v>0</v>
      </c>
      <c r="G51" s="28">
        <f t="shared" ref="G51" si="85">IFERROR(F51/J51,0)</f>
        <v>0</v>
      </c>
      <c r="H51" s="154"/>
      <c r="I51" s="155"/>
      <c r="J51" s="156"/>
      <c r="K51" s="156"/>
      <c r="L51" s="156"/>
      <c r="M51" s="156"/>
      <c r="N51" s="156"/>
      <c r="O51" s="156"/>
      <c r="P51" s="155"/>
      <c r="Q51" s="155"/>
      <c r="R51" s="155">
        <f t="shared" ref="R51" si="86">IFERROR(10000*J51,0)</f>
        <v>0</v>
      </c>
      <c r="S51" s="157"/>
      <c r="T51" s="155"/>
      <c r="U51" s="155"/>
      <c r="V51" s="155"/>
      <c r="W51" s="158"/>
      <c r="X51" s="158"/>
      <c r="Y51" s="158">
        <f t="shared" ref="Y51" si="87">IFERROR(-IF(S51=$S$4,0,IF(S51=$T$4,15*680*J51,IF(S51=$U$4,30*680*J51,IF(S51=0,50*680*J51,0)))),0)</f>
        <v>0</v>
      </c>
    </row>
    <row r="52" spans="1:25" s="2" customFormat="1" ht="15" customHeight="1">
      <c r="A52" s="9"/>
      <c r="B52" s="30"/>
      <c r="C52" s="22"/>
      <c r="D52" s="159"/>
      <c r="E52" s="23"/>
      <c r="F52" s="13"/>
      <c r="G52" s="8"/>
      <c r="H52" s="154"/>
      <c r="I52" s="155"/>
      <c r="J52" s="156"/>
      <c r="K52" s="156"/>
      <c r="L52" s="156"/>
      <c r="M52" s="156"/>
      <c r="N52" s="156"/>
      <c r="O52" s="156"/>
      <c r="P52" s="155"/>
      <c r="Q52" s="155"/>
      <c r="R52" s="130"/>
      <c r="S52" s="157"/>
      <c r="T52" s="155"/>
      <c r="U52" s="155"/>
      <c r="V52" s="155"/>
      <c r="W52" s="158"/>
      <c r="X52" s="158"/>
      <c r="Y52" s="132"/>
    </row>
    <row r="53" spans="1:25" s="2" customFormat="1" ht="15" customHeight="1">
      <c r="A53" s="9"/>
      <c r="B53" s="30"/>
      <c r="C53" s="22"/>
      <c r="D53" s="159"/>
      <c r="E53" s="23"/>
      <c r="F53" s="28">
        <f t="shared" ref="F53" si="88">IFERROR((E53*D53)/26*J53 + 400*V53,0)</f>
        <v>0</v>
      </c>
      <c r="G53" s="28">
        <f t="shared" ref="G53" si="89">IFERROR(F53/J53,0)</f>
        <v>0</v>
      </c>
      <c r="H53" s="154"/>
      <c r="I53" s="155"/>
      <c r="J53" s="156"/>
      <c r="K53" s="156"/>
      <c r="L53" s="156"/>
      <c r="M53" s="156"/>
      <c r="N53" s="156"/>
      <c r="O53" s="156"/>
      <c r="P53" s="155"/>
      <c r="Q53" s="155"/>
      <c r="R53" s="155">
        <f t="shared" ref="R53" si="90">IFERROR(10000*J53,0)</f>
        <v>0</v>
      </c>
      <c r="S53" s="157"/>
      <c r="T53" s="155"/>
      <c r="U53" s="155"/>
      <c r="V53" s="155"/>
      <c r="W53" s="158"/>
      <c r="X53" s="158"/>
      <c r="Y53" s="158">
        <f t="shared" ref="Y53" si="91">IFERROR(-IF(S53=$S$4,0,IF(S53=$T$4,15*680*J53,IF(S53=$U$4,30*680*J53,IF(S53=0,50*680*J53,0)))),0)</f>
        <v>0</v>
      </c>
    </row>
    <row r="54" spans="1:25" s="2" customFormat="1" ht="15" customHeight="1">
      <c r="A54" s="9"/>
      <c r="B54" s="30"/>
      <c r="C54" s="22"/>
      <c r="D54" s="159"/>
      <c r="E54" s="23"/>
      <c r="F54" s="13"/>
      <c r="G54" s="8"/>
      <c r="H54" s="154"/>
      <c r="I54" s="155"/>
      <c r="J54" s="156"/>
      <c r="K54" s="156"/>
      <c r="L54" s="156"/>
      <c r="M54" s="156"/>
      <c r="N54" s="156"/>
      <c r="O54" s="156"/>
      <c r="P54" s="155"/>
      <c r="Q54" s="155"/>
      <c r="R54" s="130"/>
      <c r="S54" s="157"/>
      <c r="T54" s="155"/>
      <c r="U54" s="155"/>
      <c r="V54" s="155"/>
      <c r="W54" s="158"/>
      <c r="X54" s="158"/>
      <c r="Y54" s="132"/>
    </row>
    <row r="55" spans="1:25" s="2" customFormat="1" ht="21.75" customHeight="1">
      <c r="A55" s="10"/>
      <c r="B55" s="30"/>
      <c r="C55" s="22"/>
      <c r="D55" s="159"/>
      <c r="E55" s="23"/>
      <c r="F55" s="28">
        <f t="shared" ref="F55" si="92">IFERROR((E55*D55)/26*J55 + 400*V55,0)</f>
        <v>0</v>
      </c>
      <c r="G55" s="28">
        <f t="shared" ref="G55" si="93">IFERROR(F55/J55,0)</f>
        <v>0</v>
      </c>
      <c r="H55" s="154"/>
      <c r="I55" s="155"/>
      <c r="J55" s="156"/>
      <c r="K55" s="156"/>
      <c r="L55" s="156"/>
      <c r="M55" s="156"/>
      <c r="N55" s="156"/>
      <c r="O55" s="156"/>
      <c r="P55" s="155"/>
      <c r="Q55" s="155"/>
      <c r="R55" s="155">
        <f t="shared" ref="R55" si="94">IFERROR(10000*J55,0)</f>
        <v>0</v>
      </c>
      <c r="S55" s="157"/>
      <c r="T55" s="155"/>
      <c r="U55" s="155"/>
      <c r="V55" s="155"/>
      <c r="W55" s="158"/>
      <c r="X55" s="158"/>
      <c r="Y55" s="158">
        <f t="shared" ref="Y55" si="95">IFERROR(-IF(S55=$S$4,0,IF(S55=$T$4,15*680*J55,IF(S55=$U$4,30*680*J55,IF(S55=0,50*680*J55,0)))),0)</f>
        <v>0</v>
      </c>
    </row>
    <row r="56" spans="1:25">
      <c r="J56" s="29"/>
      <c r="K56" s="29"/>
      <c r="L56" s="29"/>
      <c r="M56" s="29"/>
      <c r="N56" s="29"/>
      <c r="O56" s="29"/>
      <c r="P56" s="29"/>
    </row>
  </sheetData>
  <mergeCells count="27">
    <mergeCell ref="X5:X7"/>
    <mergeCell ref="Y5:Y7"/>
    <mergeCell ref="S5:S7"/>
    <mergeCell ref="T5:T7"/>
    <mergeCell ref="U5:U7"/>
    <mergeCell ref="V5:V7"/>
    <mergeCell ref="W5:W7"/>
    <mergeCell ref="O5:O7"/>
    <mergeCell ref="P5:P7"/>
    <mergeCell ref="Q5:Q7"/>
    <mergeCell ref="R5:R7"/>
    <mergeCell ref="I5:I7"/>
    <mergeCell ref="J5:J7"/>
    <mergeCell ref="K5:K7"/>
    <mergeCell ref="L5:L7"/>
    <mergeCell ref="M5:M7"/>
    <mergeCell ref="N5:N7"/>
    <mergeCell ref="A2:G2"/>
    <mergeCell ref="A3:G3"/>
    <mergeCell ref="H5:H7"/>
    <mergeCell ref="A5:A7"/>
    <mergeCell ref="B5:B7"/>
    <mergeCell ref="C5:C7"/>
    <mergeCell ref="D5:D7"/>
    <mergeCell ref="E5:E7"/>
    <mergeCell ref="F5:F7"/>
    <mergeCell ref="G5:G7"/>
  </mergeCells>
  <pageMargins left="0" right="0" top="0" bottom="0" header="0" footer="0"/>
  <pageSetup scale="90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3BC7-0710-47F0-BA7C-567719E007E8}">
  <dimension ref="A1:AG148"/>
  <sheetViews>
    <sheetView showZeros="0" topLeftCell="A4" zoomScale="70" zoomScaleNormal="70" workbookViewId="0">
      <selection activeCell="AB136" sqref="AB136"/>
    </sheetView>
  </sheetViews>
  <sheetFormatPr defaultRowHeight="17.100000000000001" customHeight="1" outlineLevelCol="1"/>
  <cols>
    <col min="1" max="1" width="4.28515625" style="2" customWidth="1"/>
    <col min="2" max="2" width="17.28515625" style="2" customWidth="1"/>
    <col min="3" max="3" width="7.85546875" style="2" customWidth="1"/>
    <col min="4" max="5" width="4.5703125" style="2" customWidth="1"/>
    <col min="6" max="6" width="7.28515625" style="2" customWidth="1"/>
    <col min="7" max="7" width="9.140625" style="2" hidden="1" customWidth="1" outlineLevel="1"/>
    <col min="8" max="8" width="11" style="2" hidden="1" customWidth="1" outlineLevel="1"/>
    <col min="9" max="9" width="8.5703125" style="2" customWidth="1" collapsed="1"/>
    <col min="10" max="10" width="7.85546875" style="2" customWidth="1"/>
    <col min="11" max="11" width="6" style="2" customWidth="1"/>
    <col min="12" max="14" width="5.28515625" style="2" customWidth="1"/>
    <col min="15" max="15" width="8.140625" style="2" hidden="1" customWidth="1"/>
    <col min="16" max="16" width="6.42578125" style="2" customWidth="1"/>
    <col min="17" max="17" width="6.7109375" style="2" customWidth="1"/>
    <col min="18" max="19" width="8.28515625" style="2" hidden="1" customWidth="1"/>
    <col min="20" max="20" width="6.140625" style="2" customWidth="1"/>
    <col min="21" max="21" width="7.140625" style="2" customWidth="1"/>
    <col min="22" max="22" width="8.140625" style="2" customWidth="1"/>
    <col min="23" max="23" width="9.5703125" style="35" customWidth="1"/>
    <col min="24" max="24" width="7.28515625" style="2" customWidth="1"/>
    <col min="25" max="25" width="5.7109375" style="2" customWidth="1"/>
    <col min="26" max="26" width="8.5703125" style="35" customWidth="1"/>
    <col min="27" max="27" width="9.140625" style="34" customWidth="1"/>
    <col min="28" max="29" width="13.140625" style="2" bestFit="1" customWidth="1"/>
    <col min="30" max="30" width="11" style="2" customWidth="1"/>
    <col min="31" max="31" width="10.7109375" style="2" customWidth="1"/>
    <col min="32" max="246" width="9.140625" style="2"/>
    <col min="247" max="247" width="4.28515625" style="2" customWidth="1"/>
    <col min="248" max="248" width="17.28515625" style="2" customWidth="1"/>
    <col min="249" max="249" width="7.85546875" style="2" customWidth="1"/>
    <col min="250" max="251" width="4.5703125" style="2" customWidth="1"/>
    <col min="252" max="252" width="7.28515625" style="2" customWidth="1"/>
    <col min="253" max="254" width="0" style="2" hidden="1" customWidth="1"/>
    <col min="255" max="255" width="8.5703125" style="2" customWidth="1"/>
    <col min="256" max="256" width="7.85546875" style="2" customWidth="1"/>
    <col min="257" max="259" width="0" style="2" hidden="1" customWidth="1"/>
    <col min="260" max="261" width="5.28515625" style="2" customWidth="1"/>
    <col min="262" max="262" width="5.5703125" style="2" customWidth="1"/>
    <col min="263" max="263" width="8.140625" style="2" customWidth="1"/>
    <col min="264" max="265" width="4.5703125" style="2" customWidth="1"/>
    <col min="266" max="266" width="4.85546875" style="2" customWidth="1"/>
    <col min="267" max="270" width="0" style="2" hidden="1" customWidth="1"/>
    <col min="271" max="271" width="9.5703125" style="2" customWidth="1"/>
    <col min="272" max="272" width="7.28515625" style="2" customWidth="1"/>
    <col min="273" max="273" width="5.7109375" style="2" customWidth="1"/>
    <col min="274" max="274" width="8.5703125" style="2" customWidth="1"/>
    <col min="275" max="280" width="0" style="2" hidden="1" customWidth="1"/>
    <col min="281" max="281" width="11.5703125" style="2" bestFit="1" customWidth="1"/>
    <col min="282" max="502" width="9.140625" style="2"/>
    <col min="503" max="503" width="4.28515625" style="2" customWidth="1"/>
    <col min="504" max="504" width="17.28515625" style="2" customWidth="1"/>
    <col min="505" max="505" width="7.85546875" style="2" customWidth="1"/>
    <col min="506" max="507" width="4.5703125" style="2" customWidth="1"/>
    <col min="508" max="508" width="7.28515625" style="2" customWidth="1"/>
    <col min="509" max="510" width="0" style="2" hidden="1" customWidth="1"/>
    <col min="511" max="511" width="8.5703125" style="2" customWidth="1"/>
    <col min="512" max="512" width="7.85546875" style="2" customWidth="1"/>
    <col min="513" max="515" width="0" style="2" hidden="1" customWidth="1"/>
    <col min="516" max="517" width="5.28515625" style="2" customWidth="1"/>
    <col min="518" max="518" width="5.5703125" style="2" customWidth="1"/>
    <col min="519" max="519" width="8.140625" style="2" customWidth="1"/>
    <col min="520" max="521" width="4.5703125" style="2" customWidth="1"/>
    <col min="522" max="522" width="4.85546875" style="2" customWidth="1"/>
    <col min="523" max="526" width="0" style="2" hidden="1" customWidth="1"/>
    <col min="527" max="527" width="9.5703125" style="2" customWidth="1"/>
    <col min="528" max="528" width="7.28515625" style="2" customWidth="1"/>
    <col min="529" max="529" width="5.7109375" style="2" customWidth="1"/>
    <col min="530" max="530" width="8.5703125" style="2" customWidth="1"/>
    <col min="531" max="536" width="0" style="2" hidden="1" customWidth="1"/>
    <col min="537" max="537" width="11.5703125" style="2" bestFit="1" customWidth="1"/>
    <col min="538" max="758" width="9.140625" style="2"/>
    <col min="759" max="759" width="4.28515625" style="2" customWidth="1"/>
    <col min="760" max="760" width="17.28515625" style="2" customWidth="1"/>
    <col min="761" max="761" width="7.85546875" style="2" customWidth="1"/>
    <col min="762" max="763" width="4.5703125" style="2" customWidth="1"/>
    <col min="764" max="764" width="7.28515625" style="2" customWidth="1"/>
    <col min="765" max="766" width="0" style="2" hidden="1" customWidth="1"/>
    <col min="767" max="767" width="8.5703125" style="2" customWidth="1"/>
    <col min="768" max="768" width="7.85546875" style="2" customWidth="1"/>
    <col min="769" max="771" width="0" style="2" hidden="1" customWidth="1"/>
    <col min="772" max="773" width="5.28515625" style="2" customWidth="1"/>
    <col min="774" max="774" width="5.5703125" style="2" customWidth="1"/>
    <col min="775" max="775" width="8.140625" style="2" customWidth="1"/>
    <col min="776" max="777" width="4.5703125" style="2" customWidth="1"/>
    <col min="778" max="778" width="4.85546875" style="2" customWidth="1"/>
    <col min="779" max="782" width="0" style="2" hidden="1" customWidth="1"/>
    <col min="783" max="783" width="9.5703125" style="2" customWidth="1"/>
    <col min="784" max="784" width="7.28515625" style="2" customWidth="1"/>
    <col min="785" max="785" width="5.7109375" style="2" customWidth="1"/>
    <col min="786" max="786" width="8.5703125" style="2" customWidth="1"/>
    <col min="787" max="792" width="0" style="2" hidden="1" customWidth="1"/>
    <col min="793" max="793" width="11.5703125" style="2" bestFit="1" customWidth="1"/>
    <col min="794" max="1014" width="9.140625" style="2"/>
    <col min="1015" max="1015" width="4.28515625" style="2" customWidth="1"/>
    <col min="1016" max="1016" width="17.28515625" style="2" customWidth="1"/>
    <col min="1017" max="1017" width="7.85546875" style="2" customWidth="1"/>
    <col min="1018" max="1019" width="4.5703125" style="2" customWidth="1"/>
    <col min="1020" max="1020" width="7.28515625" style="2" customWidth="1"/>
    <col min="1021" max="1022" width="0" style="2" hidden="1" customWidth="1"/>
    <col min="1023" max="1023" width="8.5703125" style="2" customWidth="1"/>
    <col min="1024" max="1024" width="7.85546875" style="2" customWidth="1"/>
    <col min="1025" max="1027" width="0" style="2" hidden="1" customWidth="1"/>
    <col min="1028" max="1029" width="5.28515625" style="2" customWidth="1"/>
    <col min="1030" max="1030" width="5.5703125" style="2" customWidth="1"/>
    <col min="1031" max="1031" width="8.140625" style="2" customWidth="1"/>
    <col min="1032" max="1033" width="4.5703125" style="2" customWidth="1"/>
    <col min="1034" max="1034" width="4.85546875" style="2" customWidth="1"/>
    <col min="1035" max="1038" width="0" style="2" hidden="1" customWidth="1"/>
    <col min="1039" max="1039" width="9.5703125" style="2" customWidth="1"/>
    <col min="1040" max="1040" width="7.28515625" style="2" customWidth="1"/>
    <col min="1041" max="1041" width="5.7109375" style="2" customWidth="1"/>
    <col min="1042" max="1042" width="8.5703125" style="2" customWidth="1"/>
    <col min="1043" max="1048" width="0" style="2" hidden="1" customWidth="1"/>
    <col min="1049" max="1049" width="11.5703125" style="2" bestFit="1" customWidth="1"/>
    <col min="1050" max="1270" width="9.140625" style="2"/>
    <col min="1271" max="1271" width="4.28515625" style="2" customWidth="1"/>
    <col min="1272" max="1272" width="17.28515625" style="2" customWidth="1"/>
    <col min="1273" max="1273" width="7.85546875" style="2" customWidth="1"/>
    <col min="1274" max="1275" width="4.5703125" style="2" customWidth="1"/>
    <col min="1276" max="1276" width="7.28515625" style="2" customWidth="1"/>
    <col min="1277" max="1278" width="0" style="2" hidden="1" customWidth="1"/>
    <col min="1279" max="1279" width="8.5703125" style="2" customWidth="1"/>
    <col min="1280" max="1280" width="7.85546875" style="2" customWidth="1"/>
    <col min="1281" max="1283" width="0" style="2" hidden="1" customWidth="1"/>
    <col min="1284" max="1285" width="5.28515625" style="2" customWidth="1"/>
    <col min="1286" max="1286" width="5.5703125" style="2" customWidth="1"/>
    <col min="1287" max="1287" width="8.140625" style="2" customWidth="1"/>
    <col min="1288" max="1289" width="4.5703125" style="2" customWidth="1"/>
    <col min="1290" max="1290" width="4.85546875" style="2" customWidth="1"/>
    <col min="1291" max="1294" width="0" style="2" hidden="1" customWidth="1"/>
    <col min="1295" max="1295" width="9.5703125" style="2" customWidth="1"/>
    <col min="1296" max="1296" width="7.28515625" style="2" customWidth="1"/>
    <col min="1297" max="1297" width="5.7109375" style="2" customWidth="1"/>
    <col min="1298" max="1298" width="8.5703125" style="2" customWidth="1"/>
    <col min="1299" max="1304" width="0" style="2" hidden="1" customWidth="1"/>
    <col min="1305" max="1305" width="11.5703125" style="2" bestFit="1" customWidth="1"/>
    <col min="1306" max="1526" width="9.140625" style="2"/>
    <col min="1527" max="1527" width="4.28515625" style="2" customWidth="1"/>
    <col min="1528" max="1528" width="17.28515625" style="2" customWidth="1"/>
    <col min="1529" max="1529" width="7.85546875" style="2" customWidth="1"/>
    <col min="1530" max="1531" width="4.5703125" style="2" customWidth="1"/>
    <col min="1532" max="1532" width="7.28515625" style="2" customWidth="1"/>
    <col min="1533" max="1534" width="0" style="2" hidden="1" customWidth="1"/>
    <col min="1535" max="1535" width="8.5703125" style="2" customWidth="1"/>
    <col min="1536" max="1536" width="7.85546875" style="2" customWidth="1"/>
    <col min="1537" max="1539" width="0" style="2" hidden="1" customWidth="1"/>
    <col min="1540" max="1541" width="5.28515625" style="2" customWidth="1"/>
    <col min="1542" max="1542" width="5.5703125" style="2" customWidth="1"/>
    <col min="1543" max="1543" width="8.140625" style="2" customWidth="1"/>
    <col min="1544" max="1545" width="4.5703125" style="2" customWidth="1"/>
    <col min="1546" max="1546" width="4.85546875" style="2" customWidth="1"/>
    <col min="1547" max="1550" width="0" style="2" hidden="1" customWidth="1"/>
    <col min="1551" max="1551" width="9.5703125" style="2" customWidth="1"/>
    <col min="1552" max="1552" width="7.28515625" style="2" customWidth="1"/>
    <col min="1553" max="1553" width="5.7109375" style="2" customWidth="1"/>
    <col min="1554" max="1554" width="8.5703125" style="2" customWidth="1"/>
    <col min="1555" max="1560" width="0" style="2" hidden="1" customWidth="1"/>
    <col min="1561" max="1561" width="11.5703125" style="2" bestFit="1" customWidth="1"/>
    <col min="1562" max="1782" width="9.140625" style="2"/>
    <col min="1783" max="1783" width="4.28515625" style="2" customWidth="1"/>
    <col min="1784" max="1784" width="17.28515625" style="2" customWidth="1"/>
    <col min="1785" max="1785" width="7.85546875" style="2" customWidth="1"/>
    <col min="1786" max="1787" width="4.5703125" style="2" customWidth="1"/>
    <col min="1788" max="1788" width="7.28515625" style="2" customWidth="1"/>
    <col min="1789" max="1790" width="0" style="2" hidden="1" customWidth="1"/>
    <col min="1791" max="1791" width="8.5703125" style="2" customWidth="1"/>
    <col min="1792" max="1792" width="7.85546875" style="2" customWidth="1"/>
    <col min="1793" max="1795" width="0" style="2" hidden="1" customWidth="1"/>
    <col min="1796" max="1797" width="5.28515625" style="2" customWidth="1"/>
    <col min="1798" max="1798" width="5.5703125" style="2" customWidth="1"/>
    <col min="1799" max="1799" width="8.140625" style="2" customWidth="1"/>
    <col min="1800" max="1801" width="4.5703125" style="2" customWidth="1"/>
    <col min="1802" max="1802" width="4.85546875" style="2" customWidth="1"/>
    <col min="1803" max="1806" width="0" style="2" hidden="1" customWidth="1"/>
    <col min="1807" max="1807" width="9.5703125" style="2" customWidth="1"/>
    <col min="1808" max="1808" width="7.28515625" style="2" customWidth="1"/>
    <col min="1809" max="1809" width="5.7109375" style="2" customWidth="1"/>
    <col min="1810" max="1810" width="8.5703125" style="2" customWidth="1"/>
    <col min="1811" max="1816" width="0" style="2" hidden="1" customWidth="1"/>
    <col min="1817" max="1817" width="11.5703125" style="2" bestFit="1" customWidth="1"/>
    <col min="1818" max="2038" width="9.140625" style="2"/>
    <col min="2039" max="2039" width="4.28515625" style="2" customWidth="1"/>
    <col min="2040" max="2040" width="17.28515625" style="2" customWidth="1"/>
    <col min="2041" max="2041" width="7.85546875" style="2" customWidth="1"/>
    <col min="2042" max="2043" width="4.5703125" style="2" customWidth="1"/>
    <col min="2044" max="2044" width="7.28515625" style="2" customWidth="1"/>
    <col min="2045" max="2046" width="0" style="2" hidden="1" customWidth="1"/>
    <col min="2047" max="2047" width="8.5703125" style="2" customWidth="1"/>
    <col min="2048" max="2048" width="7.85546875" style="2" customWidth="1"/>
    <col min="2049" max="2051" width="0" style="2" hidden="1" customWidth="1"/>
    <col min="2052" max="2053" width="5.28515625" style="2" customWidth="1"/>
    <col min="2054" max="2054" width="5.5703125" style="2" customWidth="1"/>
    <col min="2055" max="2055" width="8.140625" style="2" customWidth="1"/>
    <col min="2056" max="2057" width="4.5703125" style="2" customWidth="1"/>
    <col min="2058" max="2058" width="4.85546875" style="2" customWidth="1"/>
    <col min="2059" max="2062" width="0" style="2" hidden="1" customWidth="1"/>
    <col min="2063" max="2063" width="9.5703125" style="2" customWidth="1"/>
    <col min="2064" max="2064" width="7.28515625" style="2" customWidth="1"/>
    <col min="2065" max="2065" width="5.7109375" style="2" customWidth="1"/>
    <col min="2066" max="2066" width="8.5703125" style="2" customWidth="1"/>
    <col min="2067" max="2072" width="0" style="2" hidden="1" customWidth="1"/>
    <col min="2073" max="2073" width="11.5703125" style="2" bestFit="1" customWidth="1"/>
    <col min="2074" max="2294" width="9.140625" style="2"/>
    <col min="2295" max="2295" width="4.28515625" style="2" customWidth="1"/>
    <col min="2296" max="2296" width="17.28515625" style="2" customWidth="1"/>
    <col min="2297" max="2297" width="7.85546875" style="2" customWidth="1"/>
    <col min="2298" max="2299" width="4.5703125" style="2" customWidth="1"/>
    <col min="2300" max="2300" width="7.28515625" style="2" customWidth="1"/>
    <col min="2301" max="2302" width="0" style="2" hidden="1" customWidth="1"/>
    <col min="2303" max="2303" width="8.5703125" style="2" customWidth="1"/>
    <col min="2304" max="2304" width="7.85546875" style="2" customWidth="1"/>
    <col min="2305" max="2307" width="0" style="2" hidden="1" customWidth="1"/>
    <col min="2308" max="2309" width="5.28515625" style="2" customWidth="1"/>
    <col min="2310" max="2310" width="5.5703125" style="2" customWidth="1"/>
    <col min="2311" max="2311" width="8.140625" style="2" customWidth="1"/>
    <col min="2312" max="2313" width="4.5703125" style="2" customWidth="1"/>
    <col min="2314" max="2314" width="4.85546875" style="2" customWidth="1"/>
    <col min="2315" max="2318" width="0" style="2" hidden="1" customWidth="1"/>
    <col min="2319" max="2319" width="9.5703125" style="2" customWidth="1"/>
    <col min="2320" max="2320" width="7.28515625" style="2" customWidth="1"/>
    <col min="2321" max="2321" width="5.7109375" style="2" customWidth="1"/>
    <col min="2322" max="2322" width="8.5703125" style="2" customWidth="1"/>
    <col min="2323" max="2328" width="0" style="2" hidden="1" customWidth="1"/>
    <col min="2329" max="2329" width="11.5703125" style="2" bestFit="1" customWidth="1"/>
    <col min="2330" max="2550" width="9.140625" style="2"/>
    <col min="2551" max="2551" width="4.28515625" style="2" customWidth="1"/>
    <col min="2552" max="2552" width="17.28515625" style="2" customWidth="1"/>
    <col min="2553" max="2553" width="7.85546875" style="2" customWidth="1"/>
    <col min="2554" max="2555" width="4.5703125" style="2" customWidth="1"/>
    <col min="2556" max="2556" width="7.28515625" style="2" customWidth="1"/>
    <col min="2557" max="2558" width="0" style="2" hidden="1" customWidth="1"/>
    <col min="2559" max="2559" width="8.5703125" style="2" customWidth="1"/>
    <col min="2560" max="2560" width="7.85546875" style="2" customWidth="1"/>
    <col min="2561" max="2563" width="0" style="2" hidden="1" customWidth="1"/>
    <col min="2564" max="2565" width="5.28515625" style="2" customWidth="1"/>
    <col min="2566" max="2566" width="5.5703125" style="2" customWidth="1"/>
    <col min="2567" max="2567" width="8.140625" style="2" customWidth="1"/>
    <col min="2568" max="2569" width="4.5703125" style="2" customWidth="1"/>
    <col min="2570" max="2570" width="4.85546875" style="2" customWidth="1"/>
    <col min="2571" max="2574" width="0" style="2" hidden="1" customWidth="1"/>
    <col min="2575" max="2575" width="9.5703125" style="2" customWidth="1"/>
    <col min="2576" max="2576" width="7.28515625" style="2" customWidth="1"/>
    <col min="2577" max="2577" width="5.7109375" style="2" customWidth="1"/>
    <col min="2578" max="2578" width="8.5703125" style="2" customWidth="1"/>
    <col min="2579" max="2584" width="0" style="2" hidden="1" customWidth="1"/>
    <col min="2585" max="2585" width="11.5703125" style="2" bestFit="1" customWidth="1"/>
    <col min="2586" max="2806" width="9.140625" style="2"/>
    <col min="2807" max="2807" width="4.28515625" style="2" customWidth="1"/>
    <col min="2808" max="2808" width="17.28515625" style="2" customWidth="1"/>
    <col min="2809" max="2809" width="7.85546875" style="2" customWidth="1"/>
    <col min="2810" max="2811" width="4.5703125" style="2" customWidth="1"/>
    <col min="2812" max="2812" width="7.28515625" style="2" customWidth="1"/>
    <col min="2813" max="2814" width="0" style="2" hidden="1" customWidth="1"/>
    <col min="2815" max="2815" width="8.5703125" style="2" customWidth="1"/>
    <col min="2816" max="2816" width="7.85546875" style="2" customWidth="1"/>
    <col min="2817" max="2819" width="0" style="2" hidden="1" customWidth="1"/>
    <col min="2820" max="2821" width="5.28515625" style="2" customWidth="1"/>
    <col min="2822" max="2822" width="5.5703125" style="2" customWidth="1"/>
    <col min="2823" max="2823" width="8.140625" style="2" customWidth="1"/>
    <col min="2824" max="2825" width="4.5703125" style="2" customWidth="1"/>
    <col min="2826" max="2826" width="4.85546875" style="2" customWidth="1"/>
    <col min="2827" max="2830" width="0" style="2" hidden="1" customWidth="1"/>
    <col min="2831" max="2831" width="9.5703125" style="2" customWidth="1"/>
    <col min="2832" max="2832" width="7.28515625" style="2" customWidth="1"/>
    <col min="2833" max="2833" width="5.7109375" style="2" customWidth="1"/>
    <col min="2834" max="2834" width="8.5703125" style="2" customWidth="1"/>
    <col min="2835" max="2840" width="0" style="2" hidden="1" customWidth="1"/>
    <col min="2841" max="2841" width="11.5703125" style="2" bestFit="1" customWidth="1"/>
    <col min="2842" max="3062" width="9.140625" style="2"/>
    <col min="3063" max="3063" width="4.28515625" style="2" customWidth="1"/>
    <col min="3064" max="3064" width="17.28515625" style="2" customWidth="1"/>
    <col min="3065" max="3065" width="7.85546875" style="2" customWidth="1"/>
    <col min="3066" max="3067" width="4.5703125" style="2" customWidth="1"/>
    <col min="3068" max="3068" width="7.28515625" style="2" customWidth="1"/>
    <col min="3069" max="3070" width="0" style="2" hidden="1" customWidth="1"/>
    <col min="3071" max="3071" width="8.5703125" style="2" customWidth="1"/>
    <col min="3072" max="3072" width="7.85546875" style="2" customWidth="1"/>
    <col min="3073" max="3075" width="0" style="2" hidden="1" customWidth="1"/>
    <col min="3076" max="3077" width="5.28515625" style="2" customWidth="1"/>
    <col min="3078" max="3078" width="5.5703125" style="2" customWidth="1"/>
    <col min="3079" max="3079" width="8.140625" style="2" customWidth="1"/>
    <col min="3080" max="3081" width="4.5703125" style="2" customWidth="1"/>
    <col min="3082" max="3082" width="4.85546875" style="2" customWidth="1"/>
    <col min="3083" max="3086" width="0" style="2" hidden="1" customWidth="1"/>
    <col min="3087" max="3087" width="9.5703125" style="2" customWidth="1"/>
    <col min="3088" max="3088" width="7.28515625" style="2" customWidth="1"/>
    <col min="3089" max="3089" width="5.7109375" style="2" customWidth="1"/>
    <col min="3090" max="3090" width="8.5703125" style="2" customWidth="1"/>
    <col min="3091" max="3096" width="0" style="2" hidden="1" customWidth="1"/>
    <col min="3097" max="3097" width="11.5703125" style="2" bestFit="1" customWidth="1"/>
    <col min="3098" max="3318" width="9.140625" style="2"/>
    <col min="3319" max="3319" width="4.28515625" style="2" customWidth="1"/>
    <col min="3320" max="3320" width="17.28515625" style="2" customWidth="1"/>
    <col min="3321" max="3321" width="7.85546875" style="2" customWidth="1"/>
    <col min="3322" max="3323" width="4.5703125" style="2" customWidth="1"/>
    <col min="3324" max="3324" width="7.28515625" style="2" customWidth="1"/>
    <col min="3325" max="3326" width="0" style="2" hidden="1" customWidth="1"/>
    <col min="3327" max="3327" width="8.5703125" style="2" customWidth="1"/>
    <col min="3328" max="3328" width="7.85546875" style="2" customWidth="1"/>
    <col min="3329" max="3331" width="0" style="2" hidden="1" customWidth="1"/>
    <col min="3332" max="3333" width="5.28515625" style="2" customWidth="1"/>
    <col min="3334" max="3334" width="5.5703125" style="2" customWidth="1"/>
    <col min="3335" max="3335" width="8.140625" style="2" customWidth="1"/>
    <col min="3336" max="3337" width="4.5703125" style="2" customWidth="1"/>
    <col min="3338" max="3338" width="4.85546875" style="2" customWidth="1"/>
    <col min="3339" max="3342" width="0" style="2" hidden="1" customWidth="1"/>
    <col min="3343" max="3343" width="9.5703125" style="2" customWidth="1"/>
    <col min="3344" max="3344" width="7.28515625" style="2" customWidth="1"/>
    <col min="3345" max="3345" width="5.7109375" style="2" customWidth="1"/>
    <col min="3346" max="3346" width="8.5703125" style="2" customWidth="1"/>
    <col min="3347" max="3352" width="0" style="2" hidden="1" customWidth="1"/>
    <col min="3353" max="3353" width="11.5703125" style="2" bestFit="1" customWidth="1"/>
    <col min="3354" max="3574" width="9.140625" style="2"/>
    <col min="3575" max="3575" width="4.28515625" style="2" customWidth="1"/>
    <col min="3576" max="3576" width="17.28515625" style="2" customWidth="1"/>
    <col min="3577" max="3577" width="7.85546875" style="2" customWidth="1"/>
    <col min="3578" max="3579" width="4.5703125" style="2" customWidth="1"/>
    <col min="3580" max="3580" width="7.28515625" style="2" customWidth="1"/>
    <col min="3581" max="3582" width="0" style="2" hidden="1" customWidth="1"/>
    <col min="3583" max="3583" width="8.5703125" style="2" customWidth="1"/>
    <col min="3584" max="3584" width="7.85546875" style="2" customWidth="1"/>
    <col min="3585" max="3587" width="0" style="2" hidden="1" customWidth="1"/>
    <col min="3588" max="3589" width="5.28515625" style="2" customWidth="1"/>
    <col min="3590" max="3590" width="5.5703125" style="2" customWidth="1"/>
    <col min="3591" max="3591" width="8.140625" style="2" customWidth="1"/>
    <col min="3592" max="3593" width="4.5703125" style="2" customWidth="1"/>
    <col min="3594" max="3594" width="4.85546875" style="2" customWidth="1"/>
    <col min="3595" max="3598" width="0" style="2" hidden="1" customWidth="1"/>
    <col min="3599" max="3599" width="9.5703125" style="2" customWidth="1"/>
    <col min="3600" max="3600" width="7.28515625" style="2" customWidth="1"/>
    <col min="3601" max="3601" width="5.7109375" style="2" customWidth="1"/>
    <col min="3602" max="3602" width="8.5703125" style="2" customWidth="1"/>
    <col min="3603" max="3608" width="0" style="2" hidden="1" customWidth="1"/>
    <col min="3609" max="3609" width="11.5703125" style="2" bestFit="1" customWidth="1"/>
    <col min="3610" max="3830" width="9.140625" style="2"/>
    <col min="3831" max="3831" width="4.28515625" style="2" customWidth="1"/>
    <col min="3832" max="3832" width="17.28515625" style="2" customWidth="1"/>
    <col min="3833" max="3833" width="7.85546875" style="2" customWidth="1"/>
    <col min="3834" max="3835" width="4.5703125" style="2" customWidth="1"/>
    <col min="3836" max="3836" width="7.28515625" style="2" customWidth="1"/>
    <col min="3837" max="3838" width="0" style="2" hidden="1" customWidth="1"/>
    <col min="3839" max="3839" width="8.5703125" style="2" customWidth="1"/>
    <col min="3840" max="3840" width="7.85546875" style="2" customWidth="1"/>
    <col min="3841" max="3843" width="0" style="2" hidden="1" customWidth="1"/>
    <col min="3844" max="3845" width="5.28515625" style="2" customWidth="1"/>
    <col min="3846" max="3846" width="5.5703125" style="2" customWidth="1"/>
    <col min="3847" max="3847" width="8.140625" style="2" customWidth="1"/>
    <col min="3848" max="3849" width="4.5703125" style="2" customWidth="1"/>
    <col min="3850" max="3850" width="4.85546875" style="2" customWidth="1"/>
    <col min="3851" max="3854" width="0" style="2" hidden="1" customWidth="1"/>
    <col min="3855" max="3855" width="9.5703125" style="2" customWidth="1"/>
    <col min="3856" max="3856" width="7.28515625" style="2" customWidth="1"/>
    <col min="3857" max="3857" width="5.7109375" style="2" customWidth="1"/>
    <col min="3858" max="3858" width="8.5703125" style="2" customWidth="1"/>
    <col min="3859" max="3864" width="0" style="2" hidden="1" customWidth="1"/>
    <col min="3865" max="3865" width="11.5703125" style="2" bestFit="1" customWidth="1"/>
    <col min="3866" max="4086" width="9.140625" style="2"/>
    <col min="4087" max="4087" width="4.28515625" style="2" customWidth="1"/>
    <col min="4088" max="4088" width="17.28515625" style="2" customWidth="1"/>
    <col min="4089" max="4089" width="7.85546875" style="2" customWidth="1"/>
    <col min="4090" max="4091" width="4.5703125" style="2" customWidth="1"/>
    <col min="4092" max="4092" width="7.28515625" style="2" customWidth="1"/>
    <col min="4093" max="4094" width="0" style="2" hidden="1" customWidth="1"/>
    <col min="4095" max="4095" width="8.5703125" style="2" customWidth="1"/>
    <col min="4096" max="4096" width="7.85546875" style="2" customWidth="1"/>
    <col min="4097" max="4099" width="0" style="2" hidden="1" customWidth="1"/>
    <col min="4100" max="4101" width="5.28515625" style="2" customWidth="1"/>
    <col min="4102" max="4102" width="5.5703125" style="2" customWidth="1"/>
    <col min="4103" max="4103" width="8.140625" style="2" customWidth="1"/>
    <col min="4104" max="4105" width="4.5703125" style="2" customWidth="1"/>
    <col min="4106" max="4106" width="4.85546875" style="2" customWidth="1"/>
    <col min="4107" max="4110" width="0" style="2" hidden="1" customWidth="1"/>
    <col min="4111" max="4111" width="9.5703125" style="2" customWidth="1"/>
    <col min="4112" max="4112" width="7.28515625" style="2" customWidth="1"/>
    <col min="4113" max="4113" width="5.7109375" style="2" customWidth="1"/>
    <col min="4114" max="4114" width="8.5703125" style="2" customWidth="1"/>
    <col min="4115" max="4120" width="0" style="2" hidden="1" customWidth="1"/>
    <col min="4121" max="4121" width="11.5703125" style="2" bestFit="1" customWidth="1"/>
    <col min="4122" max="4342" width="9.140625" style="2"/>
    <col min="4343" max="4343" width="4.28515625" style="2" customWidth="1"/>
    <col min="4344" max="4344" width="17.28515625" style="2" customWidth="1"/>
    <col min="4345" max="4345" width="7.85546875" style="2" customWidth="1"/>
    <col min="4346" max="4347" width="4.5703125" style="2" customWidth="1"/>
    <col min="4348" max="4348" width="7.28515625" style="2" customWidth="1"/>
    <col min="4349" max="4350" width="0" style="2" hidden="1" customWidth="1"/>
    <col min="4351" max="4351" width="8.5703125" style="2" customWidth="1"/>
    <col min="4352" max="4352" width="7.85546875" style="2" customWidth="1"/>
    <col min="4353" max="4355" width="0" style="2" hidden="1" customWidth="1"/>
    <col min="4356" max="4357" width="5.28515625" style="2" customWidth="1"/>
    <col min="4358" max="4358" width="5.5703125" style="2" customWidth="1"/>
    <col min="4359" max="4359" width="8.140625" style="2" customWidth="1"/>
    <col min="4360" max="4361" width="4.5703125" style="2" customWidth="1"/>
    <col min="4362" max="4362" width="4.85546875" style="2" customWidth="1"/>
    <col min="4363" max="4366" width="0" style="2" hidden="1" customWidth="1"/>
    <col min="4367" max="4367" width="9.5703125" style="2" customWidth="1"/>
    <col min="4368" max="4368" width="7.28515625" style="2" customWidth="1"/>
    <col min="4369" max="4369" width="5.7109375" style="2" customWidth="1"/>
    <col min="4370" max="4370" width="8.5703125" style="2" customWidth="1"/>
    <col min="4371" max="4376" width="0" style="2" hidden="1" customWidth="1"/>
    <col min="4377" max="4377" width="11.5703125" style="2" bestFit="1" customWidth="1"/>
    <col min="4378" max="4598" width="9.140625" style="2"/>
    <col min="4599" max="4599" width="4.28515625" style="2" customWidth="1"/>
    <col min="4600" max="4600" width="17.28515625" style="2" customWidth="1"/>
    <col min="4601" max="4601" width="7.85546875" style="2" customWidth="1"/>
    <col min="4602" max="4603" width="4.5703125" style="2" customWidth="1"/>
    <col min="4604" max="4604" width="7.28515625" style="2" customWidth="1"/>
    <col min="4605" max="4606" width="0" style="2" hidden="1" customWidth="1"/>
    <col min="4607" max="4607" width="8.5703125" style="2" customWidth="1"/>
    <col min="4608" max="4608" width="7.85546875" style="2" customWidth="1"/>
    <col min="4609" max="4611" width="0" style="2" hidden="1" customWidth="1"/>
    <col min="4612" max="4613" width="5.28515625" style="2" customWidth="1"/>
    <col min="4614" max="4614" width="5.5703125" style="2" customWidth="1"/>
    <col min="4615" max="4615" width="8.140625" style="2" customWidth="1"/>
    <col min="4616" max="4617" width="4.5703125" style="2" customWidth="1"/>
    <col min="4618" max="4618" width="4.85546875" style="2" customWidth="1"/>
    <col min="4619" max="4622" width="0" style="2" hidden="1" customWidth="1"/>
    <col min="4623" max="4623" width="9.5703125" style="2" customWidth="1"/>
    <col min="4624" max="4624" width="7.28515625" style="2" customWidth="1"/>
    <col min="4625" max="4625" width="5.7109375" style="2" customWidth="1"/>
    <col min="4626" max="4626" width="8.5703125" style="2" customWidth="1"/>
    <col min="4627" max="4632" width="0" style="2" hidden="1" customWidth="1"/>
    <col min="4633" max="4633" width="11.5703125" style="2" bestFit="1" customWidth="1"/>
    <col min="4634" max="4854" width="9.140625" style="2"/>
    <col min="4855" max="4855" width="4.28515625" style="2" customWidth="1"/>
    <col min="4856" max="4856" width="17.28515625" style="2" customWidth="1"/>
    <col min="4857" max="4857" width="7.85546875" style="2" customWidth="1"/>
    <col min="4858" max="4859" width="4.5703125" style="2" customWidth="1"/>
    <col min="4860" max="4860" width="7.28515625" style="2" customWidth="1"/>
    <col min="4861" max="4862" width="0" style="2" hidden="1" customWidth="1"/>
    <col min="4863" max="4863" width="8.5703125" style="2" customWidth="1"/>
    <col min="4864" max="4864" width="7.85546875" style="2" customWidth="1"/>
    <col min="4865" max="4867" width="0" style="2" hidden="1" customWidth="1"/>
    <col min="4868" max="4869" width="5.28515625" style="2" customWidth="1"/>
    <col min="4870" max="4870" width="5.5703125" style="2" customWidth="1"/>
    <col min="4871" max="4871" width="8.140625" style="2" customWidth="1"/>
    <col min="4872" max="4873" width="4.5703125" style="2" customWidth="1"/>
    <col min="4874" max="4874" width="4.85546875" style="2" customWidth="1"/>
    <col min="4875" max="4878" width="0" style="2" hidden="1" customWidth="1"/>
    <col min="4879" max="4879" width="9.5703125" style="2" customWidth="1"/>
    <col min="4880" max="4880" width="7.28515625" style="2" customWidth="1"/>
    <col min="4881" max="4881" width="5.7109375" style="2" customWidth="1"/>
    <col min="4882" max="4882" width="8.5703125" style="2" customWidth="1"/>
    <col min="4883" max="4888" width="0" style="2" hidden="1" customWidth="1"/>
    <col min="4889" max="4889" width="11.5703125" style="2" bestFit="1" customWidth="1"/>
    <col min="4890" max="5110" width="9.140625" style="2"/>
    <col min="5111" max="5111" width="4.28515625" style="2" customWidth="1"/>
    <col min="5112" max="5112" width="17.28515625" style="2" customWidth="1"/>
    <col min="5113" max="5113" width="7.85546875" style="2" customWidth="1"/>
    <col min="5114" max="5115" width="4.5703125" style="2" customWidth="1"/>
    <col min="5116" max="5116" width="7.28515625" style="2" customWidth="1"/>
    <col min="5117" max="5118" width="0" style="2" hidden="1" customWidth="1"/>
    <col min="5119" max="5119" width="8.5703125" style="2" customWidth="1"/>
    <col min="5120" max="5120" width="7.85546875" style="2" customWidth="1"/>
    <col min="5121" max="5123" width="0" style="2" hidden="1" customWidth="1"/>
    <col min="5124" max="5125" width="5.28515625" style="2" customWidth="1"/>
    <col min="5126" max="5126" width="5.5703125" style="2" customWidth="1"/>
    <col min="5127" max="5127" width="8.140625" style="2" customWidth="1"/>
    <col min="5128" max="5129" width="4.5703125" style="2" customWidth="1"/>
    <col min="5130" max="5130" width="4.85546875" style="2" customWidth="1"/>
    <col min="5131" max="5134" width="0" style="2" hidden="1" customWidth="1"/>
    <col min="5135" max="5135" width="9.5703125" style="2" customWidth="1"/>
    <col min="5136" max="5136" width="7.28515625" style="2" customWidth="1"/>
    <col min="5137" max="5137" width="5.7109375" style="2" customWidth="1"/>
    <col min="5138" max="5138" width="8.5703125" style="2" customWidth="1"/>
    <col min="5139" max="5144" width="0" style="2" hidden="1" customWidth="1"/>
    <col min="5145" max="5145" width="11.5703125" style="2" bestFit="1" customWidth="1"/>
    <col min="5146" max="5366" width="9.140625" style="2"/>
    <col min="5367" max="5367" width="4.28515625" style="2" customWidth="1"/>
    <col min="5368" max="5368" width="17.28515625" style="2" customWidth="1"/>
    <col min="5369" max="5369" width="7.85546875" style="2" customWidth="1"/>
    <col min="5370" max="5371" width="4.5703125" style="2" customWidth="1"/>
    <col min="5372" max="5372" width="7.28515625" style="2" customWidth="1"/>
    <col min="5373" max="5374" width="0" style="2" hidden="1" customWidth="1"/>
    <col min="5375" max="5375" width="8.5703125" style="2" customWidth="1"/>
    <col min="5376" max="5376" width="7.85546875" style="2" customWidth="1"/>
    <col min="5377" max="5379" width="0" style="2" hidden="1" customWidth="1"/>
    <col min="5380" max="5381" width="5.28515625" style="2" customWidth="1"/>
    <col min="5382" max="5382" width="5.5703125" style="2" customWidth="1"/>
    <col min="5383" max="5383" width="8.140625" style="2" customWidth="1"/>
    <col min="5384" max="5385" width="4.5703125" style="2" customWidth="1"/>
    <col min="5386" max="5386" width="4.85546875" style="2" customWidth="1"/>
    <col min="5387" max="5390" width="0" style="2" hidden="1" customWidth="1"/>
    <col min="5391" max="5391" width="9.5703125" style="2" customWidth="1"/>
    <col min="5392" max="5392" width="7.28515625" style="2" customWidth="1"/>
    <col min="5393" max="5393" width="5.7109375" style="2" customWidth="1"/>
    <col min="5394" max="5394" width="8.5703125" style="2" customWidth="1"/>
    <col min="5395" max="5400" width="0" style="2" hidden="1" customWidth="1"/>
    <col min="5401" max="5401" width="11.5703125" style="2" bestFit="1" customWidth="1"/>
    <col min="5402" max="5622" width="9.140625" style="2"/>
    <col min="5623" max="5623" width="4.28515625" style="2" customWidth="1"/>
    <col min="5624" max="5624" width="17.28515625" style="2" customWidth="1"/>
    <col min="5625" max="5625" width="7.85546875" style="2" customWidth="1"/>
    <col min="5626" max="5627" width="4.5703125" style="2" customWidth="1"/>
    <col min="5628" max="5628" width="7.28515625" style="2" customWidth="1"/>
    <col min="5629" max="5630" width="0" style="2" hidden="1" customWidth="1"/>
    <col min="5631" max="5631" width="8.5703125" style="2" customWidth="1"/>
    <col min="5632" max="5632" width="7.85546875" style="2" customWidth="1"/>
    <col min="5633" max="5635" width="0" style="2" hidden="1" customWidth="1"/>
    <col min="5636" max="5637" width="5.28515625" style="2" customWidth="1"/>
    <col min="5638" max="5638" width="5.5703125" style="2" customWidth="1"/>
    <col min="5639" max="5639" width="8.140625" style="2" customWidth="1"/>
    <col min="5640" max="5641" width="4.5703125" style="2" customWidth="1"/>
    <col min="5642" max="5642" width="4.85546875" style="2" customWidth="1"/>
    <col min="5643" max="5646" width="0" style="2" hidden="1" customWidth="1"/>
    <col min="5647" max="5647" width="9.5703125" style="2" customWidth="1"/>
    <col min="5648" max="5648" width="7.28515625" style="2" customWidth="1"/>
    <col min="5649" max="5649" width="5.7109375" style="2" customWidth="1"/>
    <col min="5650" max="5650" width="8.5703125" style="2" customWidth="1"/>
    <col min="5651" max="5656" width="0" style="2" hidden="1" customWidth="1"/>
    <col min="5657" max="5657" width="11.5703125" style="2" bestFit="1" customWidth="1"/>
    <col min="5658" max="5878" width="9.140625" style="2"/>
    <col min="5879" max="5879" width="4.28515625" style="2" customWidth="1"/>
    <col min="5880" max="5880" width="17.28515625" style="2" customWidth="1"/>
    <col min="5881" max="5881" width="7.85546875" style="2" customWidth="1"/>
    <col min="5882" max="5883" width="4.5703125" style="2" customWidth="1"/>
    <col min="5884" max="5884" width="7.28515625" style="2" customWidth="1"/>
    <col min="5885" max="5886" width="0" style="2" hidden="1" customWidth="1"/>
    <col min="5887" max="5887" width="8.5703125" style="2" customWidth="1"/>
    <col min="5888" max="5888" width="7.85546875" style="2" customWidth="1"/>
    <col min="5889" max="5891" width="0" style="2" hidden="1" customWidth="1"/>
    <col min="5892" max="5893" width="5.28515625" style="2" customWidth="1"/>
    <col min="5894" max="5894" width="5.5703125" style="2" customWidth="1"/>
    <col min="5895" max="5895" width="8.140625" style="2" customWidth="1"/>
    <col min="5896" max="5897" width="4.5703125" style="2" customWidth="1"/>
    <col min="5898" max="5898" width="4.85546875" style="2" customWidth="1"/>
    <col min="5899" max="5902" width="0" style="2" hidden="1" customWidth="1"/>
    <col min="5903" max="5903" width="9.5703125" style="2" customWidth="1"/>
    <col min="5904" max="5904" width="7.28515625" style="2" customWidth="1"/>
    <col min="5905" max="5905" width="5.7109375" style="2" customWidth="1"/>
    <col min="5906" max="5906" width="8.5703125" style="2" customWidth="1"/>
    <col min="5907" max="5912" width="0" style="2" hidden="1" customWidth="1"/>
    <col min="5913" max="5913" width="11.5703125" style="2" bestFit="1" customWidth="1"/>
    <col min="5914" max="6134" width="9.140625" style="2"/>
    <col min="6135" max="6135" width="4.28515625" style="2" customWidth="1"/>
    <col min="6136" max="6136" width="17.28515625" style="2" customWidth="1"/>
    <col min="6137" max="6137" width="7.85546875" style="2" customWidth="1"/>
    <col min="6138" max="6139" width="4.5703125" style="2" customWidth="1"/>
    <col min="6140" max="6140" width="7.28515625" style="2" customWidth="1"/>
    <col min="6141" max="6142" width="0" style="2" hidden="1" customWidth="1"/>
    <col min="6143" max="6143" width="8.5703125" style="2" customWidth="1"/>
    <col min="6144" max="6144" width="7.85546875" style="2" customWidth="1"/>
    <col min="6145" max="6147" width="0" style="2" hidden="1" customWidth="1"/>
    <col min="6148" max="6149" width="5.28515625" style="2" customWidth="1"/>
    <col min="6150" max="6150" width="5.5703125" style="2" customWidth="1"/>
    <col min="6151" max="6151" width="8.140625" style="2" customWidth="1"/>
    <col min="6152" max="6153" width="4.5703125" style="2" customWidth="1"/>
    <col min="6154" max="6154" width="4.85546875" style="2" customWidth="1"/>
    <col min="6155" max="6158" width="0" style="2" hidden="1" customWidth="1"/>
    <col min="6159" max="6159" width="9.5703125" style="2" customWidth="1"/>
    <col min="6160" max="6160" width="7.28515625" style="2" customWidth="1"/>
    <col min="6161" max="6161" width="5.7109375" style="2" customWidth="1"/>
    <col min="6162" max="6162" width="8.5703125" style="2" customWidth="1"/>
    <col min="6163" max="6168" width="0" style="2" hidden="1" customWidth="1"/>
    <col min="6169" max="6169" width="11.5703125" style="2" bestFit="1" customWidth="1"/>
    <col min="6170" max="6390" width="9.140625" style="2"/>
    <col min="6391" max="6391" width="4.28515625" style="2" customWidth="1"/>
    <col min="6392" max="6392" width="17.28515625" style="2" customWidth="1"/>
    <col min="6393" max="6393" width="7.85546875" style="2" customWidth="1"/>
    <col min="6394" max="6395" width="4.5703125" style="2" customWidth="1"/>
    <col min="6396" max="6396" width="7.28515625" style="2" customWidth="1"/>
    <col min="6397" max="6398" width="0" style="2" hidden="1" customWidth="1"/>
    <col min="6399" max="6399" width="8.5703125" style="2" customWidth="1"/>
    <col min="6400" max="6400" width="7.85546875" style="2" customWidth="1"/>
    <col min="6401" max="6403" width="0" style="2" hidden="1" customWidth="1"/>
    <col min="6404" max="6405" width="5.28515625" style="2" customWidth="1"/>
    <col min="6406" max="6406" width="5.5703125" style="2" customWidth="1"/>
    <col min="6407" max="6407" width="8.140625" style="2" customWidth="1"/>
    <col min="6408" max="6409" width="4.5703125" style="2" customWidth="1"/>
    <col min="6410" max="6410" width="4.85546875" style="2" customWidth="1"/>
    <col min="6411" max="6414" width="0" style="2" hidden="1" customWidth="1"/>
    <col min="6415" max="6415" width="9.5703125" style="2" customWidth="1"/>
    <col min="6416" max="6416" width="7.28515625" style="2" customWidth="1"/>
    <col min="6417" max="6417" width="5.7109375" style="2" customWidth="1"/>
    <col min="6418" max="6418" width="8.5703125" style="2" customWidth="1"/>
    <col min="6419" max="6424" width="0" style="2" hidden="1" customWidth="1"/>
    <col min="6425" max="6425" width="11.5703125" style="2" bestFit="1" customWidth="1"/>
    <col min="6426" max="6646" width="9.140625" style="2"/>
    <col min="6647" max="6647" width="4.28515625" style="2" customWidth="1"/>
    <col min="6648" max="6648" width="17.28515625" style="2" customWidth="1"/>
    <col min="6649" max="6649" width="7.85546875" style="2" customWidth="1"/>
    <col min="6650" max="6651" width="4.5703125" style="2" customWidth="1"/>
    <col min="6652" max="6652" width="7.28515625" style="2" customWidth="1"/>
    <col min="6653" max="6654" width="0" style="2" hidden="1" customWidth="1"/>
    <col min="6655" max="6655" width="8.5703125" style="2" customWidth="1"/>
    <col min="6656" max="6656" width="7.85546875" style="2" customWidth="1"/>
    <col min="6657" max="6659" width="0" style="2" hidden="1" customWidth="1"/>
    <col min="6660" max="6661" width="5.28515625" style="2" customWidth="1"/>
    <col min="6662" max="6662" width="5.5703125" style="2" customWidth="1"/>
    <col min="6663" max="6663" width="8.140625" style="2" customWidth="1"/>
    <col min="6664" max="6665" width="4.5703125" style="2" customWidth="1"/>
    <col min="6666" max="6666" width="4.85546875" style="2" customWidth="1"/>
    <col min="6667" max="6670" width="0" style="2" hidden="1" customWidth="1"/>
    <col min="6671" max="6671" width="9.5703125" style="2" customWidth="1"/>
    <col min="6672" max="6672" width="7.28515625" style="2" customWidth="1"/>
    <col min="6673" max="6673" width="5.7109375" style="2" customWidth="1"/>
    <col min="6674" max="6674" width="8.5703125" style="2" customWidth="1"/>
    <col min="6675" max="6680" width="0" style="2" hidden="1" customWidth="1"/>
    <col min="6681" max="6681" width="11.5703125" style="2" bestFit="1" customWidth="1"/>
    <col min="6682" max="6902" width="9.140625" style="2"/>
    <col min="6903" max="6903" width="4.28515625" style="2" customWidth="1"/>
    <col min="6904" max="6904" width="17.28515625" style="2" customWidth="1"/>
    <col min="6905" max="6905" width="7.85546875" style="2" customWidth="1"/>
    <col min="6906" max="6907" width="4.5703125" style="2" customWidth="1"/>
    <col min="6908" max="6908" width="7.28515625" style="2" customWidth="1"/>
    <col min="6909" max="6910" width="0" style="2" hidden="1" customWidth="1"/>
    <col min="6911" max="6911" width="8.5703125" style="2" customWidth="1"/>
    <col min="6912" max="6912" width="7.85546875" style="2" customWidth="1"/>
    <col min="6913" max="6915" width="0" style="2" hidden="1" customWidth="1"/>
    <col min="6916" max="6917" width="5.28515625" style="2" customWidth="1"/>
    <col min="6918" max="6918" width="5.5703125" style="2" customWidth="1"/>
    <col min="6919" max="6919" width="8.140625" style="2" customWidth="1"/>
    <col min="6920" max="6921" width="4.5703125" style="2" customWidth="1"/>
    <col min="6922" max="6922" width="4.85546875" style="2" customWidth="1"/>
    <col min="6923" max="6926" width="0" style="2" hidden="1" customWidth="1"/>
    <col min="6927" max="6927" width="9.5703125" style="2" customWidth="1"/>
    <col min="6928" max="6928" width="7.28515625" style="2" customWidth="1"/>
    <col min="6929" max="6929" width="5.7109375" style="2" customWidth="1"/>
    <col min="6930" max="6930" width="8.5703125" style="2" customWidth="1"/>
    <col min="6931" max="6936" width="0" style="2" hidden="1" customWidth="1"/>
    <col min="6937" max="6937" width="11.5703125" style="2" bestFit="1" customWidth="1"/>
    <col min="6938" max="7158" width="9.140625" style="2"/>
    <col min="7159" max="7159" width="4.28515625" style="2" customWidth="1"/>
    <col min="7160" max="7160" width="17.28515625" style="2" customWidth="1"/>
    <col min="7161" max="7161" width="7.85546875" style="2" customWidth="1"/>
    <col min="7162" max="7163" width="4.5703125" style="2" customWidth="1"/>
    <col min="7164" max="7164" width="7.28515625" style="2" customWidth="1"/>
    <col min="7165" max="7166" width="0" style="2" hidden="1" customWidth="1"/>
    <col min="7167" max="7167" width="8.5703125" style="2" customWidth="1"/>
    <col min="7168" max="7168" width="7.85546875" style="2" customWidth="1"/>
    <col min="7169" max="7171" width="0" style="2" hidden="1" customWidth="1"/>
    <col min="7172" max="7173" width="5.28515625" style="2" customWidth="1"/>
    <col min="7174" max="7174" width="5.5703125" style="2" customWidth="1"/>
    <col min="7175" max="7175" width="8.140625" style="2" customWidth="1"/>
    <col min="7176" max="7177" width="4.5703125" style="2" customWidth="1"/>
    <col min="7178" max="7178" width="4.85546875" style="2" customWidth="1"/>
    <col min="7179" max="7182" width="0" style="2" hidden="1" customWidth="1"/>
    <col min="7183" max="7183" width="9.5703125" style="2" customWidth="1"/>
    <col min="7184" max="7184" width="7.28515625" style="2" customWidth="1"/>
    <col min="7185" max="7185" width="5.7109375" style="2" customWidth="1"/>
    <col min="7186" max="7186" width="8.5703125" style="2" customWidth="1"/>
    <col min="7187" max="7192" width="0" style="2" hidden="1" customWidth="1"/>
    <col min="7193" max="7193" width="11.5703125" style="2" bestFit="1" customWidth="1"/>
    <col min="7194" max="7414" width="9.140625" style="2"/>
    <col min="7415" max="7415" width="4.28515625" style="2" customWidth="1"/>
    <col min="7416" max="7416" width="17.28515625" style="2" customWidth="1"/>
    <col min="7417" max="7417" width="7.85546875" style="2" customWidth="1"/>
    <col min="7418" max="7419" width="4.5703125" style="2" customWidth="1"/>
    <col min="7420" max="7420" width="7.28515625" style="2" customWidth="1"/>
    <col min="7421" max="7422" width="0" style="2" hidden="1" customWidth="1"/>
    <col min="7423" max="7423" width="8.5703125" style="2" customWidth="1"/>
    <col min="7424" max="7424" width="7.85546875" style="2" customWidth="1"/>
    <col min="7425" max="7427" width="0" style="2" hidden="1" customWidth="1"/>
    <col min="7428" max="7429" width="5.28515625" style="2" customWidth="1"/>
    <col min="7430" max="7430" width="5.5703125" style="2" customWidth="1"/>
    <col min="7431" max="7431" width="8.140625" style="2" customWidth="1"/>
    <col min="7432" max="7433" width="4.5703125" style="2" customWidth="1"/>
    <col min="7434" max="7434" width="4.85546875" style="2" customWidth="1"/>
    <col min="7435" max="7438" width="0" style="2" hidden="1" customWidth="1"/>
    <col min="7439" max="7439" width="9.5703125" style="2" customWidth="1"/>
    <col min="7440" max="7440" width="7.28515625" style="2" customWidth="1"/>
    <col min="7441" max="7441" width="5.7109375" style="2" customWidth="1"/>
    <col min="7442" max="7442" width="8.5703125" style="2" customWidth="1"/>
    <col min="7443" max="7448" width="0" style="2" hidden="1" customWidth="1"/>
    <col min="7449" max="7449" width="11.5703125" style="2" bestFit="1" customWidth="1"/>
    <col min="7450" max="7670" width="9.140625" style="2"/>
    <col min="7671" max="7671" width="4.28515625" style="2" customWidth="1"/>
    <col min="7672" max="7672" width="17.28515625" style="2" customWidth="1"/>
    <col min="7673" max="7673" width="7.85546875" style="2" customWidth="1"/>
    <col min="7674" max="7675" width="4.5703125" style="2" customWidth="1"/>
    <col min="7676" max="7676" width="7.28515625" style="2" customWidth="1"/>
    <col min="7677" max="7678" width="0" style="2" hidden="1" customWidth="1"/>
    <col min="7679" max="7679" width="8.5703125" style="2" customWidth="1"/>
    <col min="7680" max="7680" width="7.85546875" style="2" customWidth="1"/>
    <col min="7681" max="7683" width="0" style="2" hidden="1" customWidth="1"/>
    <col min="7684" max="7685" width="5.28515625" style="2" customWidth="1"/>
    <col min="7686" max="7686" width="5.5703125" style="2" customWidth="1"/>
    <col min="7687" max="7687" width="8.140625" style="2" customWidth="1"/>
    <col min="7688" max="7689" width="4.5703125" style="2" customWidth="1"/>
    <col min="7690" max="7690" width="4.85546875" style="2" customWidth="1"/>
    <col min="7691" max="7694" width="0" style="2" hidden="1" customWidth="1"/>
    <col min="7695" max="7695" width="9.5703125" style="2" customWidth="1"/>
    <col min="7696" max="7696" width="7.28515625" style="2" customWidth="1"/>
    <col min="7697" max="7697" width="5.7109375" style="2" customWidth="1"/>
    <col min="7698" max="7698" width="8.5703125" style="2" customWidth="1"/>
    <col min="7699" max="7704" width="0" style="2" hidden="1" customWidth="1"/>
    <col min="7705" max="7705" width="11.5703125" style="2" bestFit="1" customWidth="1"/>
    <col min="7706" max="7926" width="9.140625" style="2"/>
    <col min="7927" max="7927" width="4.28515625" style="2" customWidth="1"/>
    <col min="7928" max="7928" width="17.28515625" style="2" customWidth="1"/>
    <col min="7929" max="7929" width="7.85546875" style="2" customWidth="1"/>
    <col min="7930" max="7931" width="4.5703125" style="2" customWidth="1"/>
    <col min="7932" max="7932" width="7.28515625" style="2" customWidth="1"/>
    <col min="7933" max="7934" width="0" style="2" hidden="1" customWidth="1"/>
    <col min="7935" max="7935" width="8.5703125" style="2" customWidth="1"/>
    <col min="7936" max="7936" width="7.85546875" style="2" customWidth="1"/>
    <col min="7937" max="7939" width="0" style="2" hidden="1" customWidth="1"/>
    <col min="7940" max="7941" width="5.28515625" style="2" customWidth="1"/>
    <col min="7942" max="7942" width="5.5703125" style="2" customWidth="1"/>
    <col min="7943" max="7943" width="8.140625" style="2" customWidth="1"/>
    <col min="7944" max="7945" width="4.5703125" style="2" customWidth="1"/>
    <col min="7946" max="7946" width="4.85546875" style="2" customWidth="1"/>
    <col min="7947" max="7950" width="0" style="2" hidden="1" customWidth="1"/>
    <col min="7951" max="7951" width="9.5703125" style="2" customWidth="1"/>
    <col min="7952" max="7952" width="7.28515625" style="2" customWidth="1"/>
    <col min="7953" max="7953" width="5.7109375" style="2" customWidth="1"/>
    <col min="7954" max="7954" width="8.5703125" style="2" customWidth="1"/>
    <col min="7955" max="7960" width="0" style="2" hidden="1" customWidth="1"/>
    <col min="7961" max="7961" width="11.5703125" style="2" bestFit="1" customWidth="1"/>
    <col min="7962" max="8182" width="9.140625" style="2"/>
    <col min="8183" max="8183" width="4.28515625" style="2" customWidth="1"/>
    <col min="8184" max="8184" width="17.28515625" style="2" customWidth="1"/>
    <col min="8185" max="8185" width="7.85546875" style="2" customWidth="1"/>
    <col min="8186" max="8187" width="4.5703125" style="2" customWidth="1"/>
    <col min="8188" max="8188" width="7.28515625" style="2" customWidth="1"/>
    <col min="8189" max="8190" width="0" style="2" hidden="1" customWidth="1"/>
    <col min="8191" max="8191" width="8.5703125" style="2" customWidth="1"/>
    <col min="8192" max="8192" width="7.85546875" style="2" customWidth="1"/>
    <col min="8193" max="8195" width="0" style="2" hidden="1" customWidth="1"/>
    <col min="8196" max="8197" width="5.28515625" style="2" customWidth="1"/>
    <col min="8198" max="8198" width="5.5703125" style="2" customWidth="1"/>
    <col min="8199" max="8199" width="8.140625" style="2" customWidth="1"/>
    <col min="8200" max="8201" width="4.5703125" style="2" customWidth="1"/>
    <col min="8202" max="8202" width="4.85546875" style="2" customWidth="1"/>
    <col min="8203" max="8206" width="0" style="2" hidden="1" customWidth="1"/>
    <col min="8207" max="8207" width="9.5703125" style="2" customWidth="1"/>
    <col min="8208" max="8208" width="7.28515625" style="2" customWidth="1"/>
    <col min="8209" max="8209" width="5.7109375" style="2" customWidth="1"/>
    <col min="8210" max="8210" width="8.5703125" style="2" customWidth="1"/>
    <col min="8211" max="8216" width="0" style="2" hidden="1" customWidth="1"/>
    <col min="8217" max="8217" width="11.5703125" style="2" bestFit="1" customWidth="1"/>
    <col min="8218" max="8438" width="9.140625" style="2"/>
    <col min="8439" max="8439" width="4.28515625" style="2" customWidth="1"/>
    <col min="8440" max="8440" width="17.28515625" style="2" customWidth="1"/>
    <col min="8441" max="8441" width="7.85546875" style="2" customWidth="1"/>
    <col min="8442" max="8443" width="4.5703125" style="2" customWidth="1"/>
    <col min="8444" max="8444" width="7.28515625" style="2" customWidth="1"/>
    <col min="8445" max="8446" width="0" style="2" hidden="1" customWidth="1"/>
    <col min="8447" max="8447" width="8.5703125" style="2" customWidth="1"/>
    <col min="8448" max="8448" width="7.85546875" style="2" customWidth="1"/>
    <col min="8449" max="8451" width="0" style="2" hidden="1" customWidth="1"/>
    <col min="8452" max="8453" width="5.28515625" style="2" customWidth="1"/>
    <col min="8454" max="8454" width="5.5703125" style="2" customWidth="1"/>
    <col min="8455" max="8455" width="8.140625" style="2" customWidth="1"/>
    <col min="8456" max="8457" width="4.5703125" style="2" customWidth="1"/>
    <col min="8458" max="8458" width="4.85546875" style="2" customWidth="1"/>
    <col min="8459" max="8462" width="0" style="2" hidden="1" customWidth="1"/>
    <col min="8463" max="8463" width="9.5703125" style="2" customWidth="1"/>
    <col min="8464" max="8464" width="7.28515625" style="2" customWidth="1"/>
    <col min="8465" max="8465" width="5.7109375" style="2" customWidth="1"/>
    <col min="8466" max="8466" width="8.5703125" style="2" customWidth="1"/>
    <col min="8467" max="8472" width="0" style="2" hidden="1" customWidth="1"/>
    <col min="8473" max="8473" width="11.5703125" style="2" bestFit="1" customWidth="1"/>
    <col min="8474" max="8694" width="9.140625" style="2"/>
    <col min="8695" max="8695" width="4.28515625" style="2" customWidth="1"/>
    <col min="8696" max="8696" width="17.28515625" style="2" customWidth="1"/>
    <col min="8697" max="8697" width="7.85546875" style="2" customWidth="1"/>
    <col min="8698" max="8699" width="4.5703125" style="2" customWidth="1"/>
    <col min="8700" max="8700" width="7.28515625" style="2" customWidth="1"/>
    <col min="8701" max="8702" width="0" style="2" hidden="1" customWidth="1"/>
    <col min="8703" max="8703" width="8.5703125" style="2" customWidth="1"/>
    <col min="8704" max="8704" width="7.85546875" style="2" customWidth="1"/>
    <col min="8705" max="8707" width="0" style="2" hidden="1" customWidth="1"/>
    <col min="8708" max="8709" width="5.28515625" style="2" customWidth="1"/>
    <col min="8710" max="8710" width="5.5703125" style="2" customWidth="1"/>
    <col min="8711" max="8711" width="8.140625" style="2" customWidth="1"/>
    <col min="8712" max="8713" width="4.5703125" style="2" customWidth="1"/>
    <col min="8714" max="8714" width="4.85546875" style="2" customWidth="1"/>
    <col min="8715" max="8718" width="0" style="2" hidden="1" customWidth="1"/>
    <col min="8719" max="8719" width="9.5703125" style="2" customWidth="1"/>
    <col min="8720" max="8720" width="7.28515625" style="2" customWidth="1"/>
    <col min="8721" max="8721" width="5.7109375" style="2" customWidth="1"/>
    <col min="8722" max="8722" width="8.5703125" style="2" customWidth="1"/>
    <col min="8723" max="8728" width="0" style="2" hidden="1" customWidth="1"/>
    <col min="8729" max="8729" width="11.5703125" style="2" bestFit="1" customWidth="1"/>
    <col min="8730" max="8950" width="9.140625" style="2"/>
    <col min="8951" max="8951" width="4.28515625" style="2" customWidth="1"/>
    <col min="8952" max="8952" width="17.28515625" style="2" customWidth="1"/>
    <col min="8953" max="8953" width="7.85546875" style="2" customWidth="1"/>
    <col min="8954" max="8955" width="4.5703125" style="2" customWidth="1"/>
    <col min="8956" max="8956" width="7.28515625" style="2" customWidth="1"/>
    <col min="8957" max="8958" width="0" style="2" hidden="1" customWidth="1"/>
    <col min="8959" max="8959" width="8.5703125" style="2" customWidth="1"/>
    <col min="8960" max="8960" width="7.85546875" style="2" customWidth="1"/>
    <col min="8961" max="8963" width="0" style="2" hidden="1" customWidth="1"/>
    <col min="8964" max="8965" width="5.28515625" style="2" customWidth="1"/>
    <col min="8966" max="8966" width="5.5703125" style="2" customWidth="1"/>
    <col min="8967" max="8967" width="8.140625" style="2" customWidth="1"/>
    <col min="8968" max="8969" width="4.5703125" style="2" customWidth="1"/>
    <col min="8970" max="8970" width="4.85546875" style="2" customWidth="1"/>
    <col min="8971" max="8974" width="0" style="2" hidden="1" customWidth="1"/>
    <col min="8975" max="8975" width="9.5703125" style="2" customWidth="1"/>
    <col min="8976" max="8976" width="7.28515625" style="2" customWidth="1"/>
    <col min="8977" max="8977" width="5.7109375" style="2" customWidth="1"/>
    <col min="8978" max="8978" width="8.5703125" style="2" customWidth="1"/>
    <col min="8979" max="8984" width="0" style="2" hidden="1" customWidth="1"/>
    <col min="8985" max="8985" width="11.5703125" style="2" bestFit="1" customWidth="1"/>
    <col min="8986" max="9206" width="9.140625" style="2"/>
    <col min="9207" max="9207" width="4.28515625" style="2" customWidth="1"/>
    <col min="9208" max="9208" width="17.28515625" style="2" customWidth="1"/>
    <col min="9209" max="9209" width="7.85546875" style="2" customWidth="1"/>
    <col min="9210" max="9211" width="4.5703125" style="2" customWidth="1"/>
    <col min="9212" max="9212" width="7.28515625" style="2" customWidth="1"/>
    <col min="9213" max="9214" width="0" style="2" hidden="1" customWidth="1"/>
    <col min="9215" max="9215" width="8.5703125" style="2" customWidth="1"/>
    <col min="9216" max="9216" width="7.85546875" style="2" customWidth="1"/>
    <col min="9217" max="9219" width="0" style="2" hidden="1" customWidth="1"/>
    <col min="9220" max="9221" width="5.28515625" style="2" customWidth="1"/>
    <col min="9222" max="9222" width="5.5703125" style="2" customWidth="1"/>
    <col min="9223" max="9223" width="8.140625" style="2" customWidth="1"/>
    <col min="9224" max="9225" width="4.5703125" style="2" customWidth="1"/>
    <col min="9226" max="9226" width="4.85546875" style="2" customWidth="1"/>
    <col min="9227" max="9230" width="0" style="2" hidden="1" customWidth="1"/>
    <col min="9231" max="9231" width="9.5703125" style="2" customWidth="1"/>
    <col min="9232" max="9232" width="7.28515625" style="2" customWidth="1"/>
    <col min="9233" max="9233" width="5.7109375" style="2" customWidth="1"/>
    <col min="9234" max="9234" width="8.5703125" style="2" customWidth="1"/>
    <col min="9235" max="9240" width="0" style="2" hidden="1" customWidth="1"/>
    <col min="9241" max="9241" width="11.5703125" style="2" bestFit="1" customWidth="1"/>
    <col min="9242" max="9462" width="9.140625" style="2"/>
    <col min="9463" max="9463" width="4.28515625" style="2" customWidth="1"/>
    <col min="9464" max="9464" width="17.28515625" style="2" customWidth="1"/>
    <col min="9465" max="9465" width="7.85546875" style="2" customWidth="1"/>
    <col min="9466" max="9467" width="4.5703125" style="2" customWidth="1"/>
    <col min="9468" max="9468" width="7.28515625" style="2" customWidth="1"/>
    <col min="9469" max="9470" width="0" style="2" hidden="1" customWidth="1"/>
    <col min="9471" max="9471" width="8.5703125" style="2" customWidth="1"/>
    <col min="9472" max="9472" width="7.85546875" style="2" customWidth="1"/>
    <col min="9473" max="9475" width="0" style="2" hidden="1" customWidth="1"/>
    <col min="9476" max="9477" width="5.28515625" style="2" customWidth="1"/>
    <col min="9478" max="9478" width="5.5703125" style="2" customWidth="1"/>
    <col min="9479" max="9479" width="8.140625" style="2" customWidth="1"/>
    <col min="9480" max="9481" width="4.5703125" style="2" customWidth="1"/>
    <col min="9482" max="9482" width="4.85546875" style="2" customWidth="1"/>
    <col min="9483" max="9486" width="0" style="2" hidden="1" customWidth="1"/>
    <col min="9487" max="9487" width="9.5703125" style="2" customWidth="1"/>
    <col min="9488" max="9488" width="7.28515625" style="2" customWidth="1"/>
    <col min="9489" max="9489" width="5.7109375" style="2" customWidth="1"/>
    <col min="9490" max="9490" width="8.5703125" style="2" customWidth="1"/>
    <col min="9491" max="9496" width="0" style="2" hidden="1" customWidth="1"/>
    <col min="9497" max="9497" width="11.5703125" style="2" bestFit="1" customWidth="1"/>
    <col min="9498" max="9718" width="9.140625" style="2"/>
    <col min="9719" max="9719" width="4.28515625" style="2" customWidth="1"/>
    <col min="9720" max="9720" width="17.28515625" style="2" customWidth="1"/>
    <col min="9721" max="9721" width="7.85546875" style="2" customWidth="1"/>
    <col min="9722" max="9723" width="4.5703125" style="2" customWidth="1"/>
    <col min="9724" max="9724" width="7.28515625" style="2" customWidth="1"/>
    <col min="9725" max="9726" width="0" style="2" hidden="1" customWidth="1"/>
    <col min="9727" max="9727" width="8.5703125" style="2" customWidth="1"/>
    <col min="9728" max="9728" width="7.85546875" style="2" customWidth="1"/>
    <col min="9729" max="9731" width="0" style="2" hidden="1" customWidth="1"/>
    <col min="9732" max="9733" width="5.28515625" style="2" customWidth="1"/>
    <col min="9734" max="9734" width="5.5703125" style="2" customWidth="1"/>
    <col min="9735" max="9735" width="8.140625" style="2" customWidth="1"/>
    <col min="9736" max="9737" width="4.5703125" style="2" customWidth="1"/>
    <col min="9738" max="9738" width="4.85546875" style="2" customWidth="1"/>
    <col min="9739" max="9742" width="0" style="2" hidden="1" customWidth="1"/>
    <col min="9743" max="9743" width="9.5703125" style="2" customWidth="1"/>
    <col min="9744" max="9744" width="7.28515625" style="2" customWidth="1"/>
    <col min="9745" max="9745" width="5.7109375" style="2" customWidth="1"/>
    <col min="9746" max="9746" width="8.5703125" style="2" customWidth="1"/>
    <col min="9747" max="9752" width="0" style="2" hidden="1" customWidth="1"/>
    <col min="9753" max="9753" width="11.5703125" style="2" bestFit="1" customWidth="1"/>
    <col min="9754" max="9974" width="9.140625" style="2"/>
    <col min="9975" max="9975" width="4.28515625" style="2" customWidth="1"/>
    <col min="9976" max="9976" width="17.28515625" style="2" customWidth="1"/>
    <col min="9977" max="9977" width="7.85546875" style="2" customWidth="1"/>
    <col min="9978" max="9979" width="4.5703125" style="2" customWidth="1"/>
    <col min="9980" max="9980" width="7.28515625" style="2" customWidth="1"/>
    <col min="9981" max="9982" width="0" style="2" hidden="1" customWidth="1"/>
    <col min="9983" max="9983" width="8.5703125" style="2" customWidth="1"/>
    <col min="9984" max="9984" width="7.85546875" style="2" customWidth="1"/>
    <col min="9985" max="9987" width="0" style="2" hidden="1" customWidth="1"/>
    <col min="9988" max="9989" width="5.28515625" style="2" customWidth="1"/>
    <col min="9990" max="9990" width="5.5703125" style="2" customWidth="1"/>
    <col min="9991" max="9991" width="8.140625" style="2" customWidth="1"/>
    <col min="9992" max="9993" width="4.5703125" style="2" customWidth="1"/>
    <col min="9994" max="9994" width="4.85546875" style="2" customWidth="1"/>
    <col min="9995" max="9998" width="0" style="2" hidden="1" customWidth="1"/>
    <col min="9999" max="9999" width="9.5703125" style="2" customWidth="1"/>
    <col min="10000" max="10000" width="7.28515625" style="2" customWidth="1"/>
    <col min="10001" max="10001" width="5.7109375" style="2" customWidth="1"/>
    <col min="10002" max="10002" width="8.5703125" style="2" customWidth="1"/>
    <col min="10003" max="10008" width="0" style="2" hidden="1" customWidth="1"/>
    <col min="10009" max="10009" width="11.5703125" style="2" bestFit="1" customWidth="1"/>
    <col min="10010" max="10230" width="9.140625" style="2"/>
    <col min="10231" max="10231" width="4.28515625" style="2" customWidth="1"/>
    <col min="10232" max="10232" width="17.28515625" style="2" customWidth="1"/>
    <col min="10233" max="10233" width="7.85546875" style="2" customWidth="1"/>
    <col min="10234" max="10235" width="4.5703125" style="2" customWidth="1"/>
    <col min="10236" max="10236" width="7.28515625" style="2" customWidth="1"/>
    <col min="10237" max="10238" width="0" style="2" hidden="1" customWidth="1"/>
    <col min="10239" max="10239" width="8.5703125" style="2" customWidth="1"/>
    <col min="10240" max="10240" width="7.85546875" style="2" customWidth="1"/>
    <col min="10241" max="10243" width="0" style="2" hidden="1" customWidth="1"/>
    <col min="10244" max="10245" width="5.28515625" style="2" customWidth="1"/>
    <col min="10246" max="10246" width="5.5703125" style="2" customWidth="1"/>
    <col min="10247" max="10247" width="8.140625" style="2" customWidth="1"/>
    <col min="10248" max="10249" width="4.5703125" style="2" customWidth="1"/>
    <col min="10250" max="10250" width="4.85546875" style="2" customWidth="1"/>
    <col min="10251" max="10254" width="0" style="2" hidden="1" customWidth="1"/>
    <col min="10255" max="10255" width="9.5703125" style="2" customWidth="1"/>
    <col min="10256" max="10256" width="7.28515625" style="2" customWidth="1"/>
    <col min="10257" max="10257" width="5.7109375" style="2" customWidth="1"/>
    <col min="10258" max="10258" width="8.5703125" style="2" customWidth="1"/>
    <col min="10259" max="10264" width="0" style="2" hidden="1" customWidth="1"/>
    <col min="10265" max="10265" width="11.5703125" style="2" bestFit="1" customWidth="1"/>
    <col min="10266" max="10486" width="9.140625" style="2"/>
    <col min="10487" max="10487" width="4.28515625" style="2" customWidth="1"/>
    <col min="10488" max="10488" width="17.28515625" style="2" customWidth="1"/>
    <col min="10489" max="10489" width="7.85546875" style="2" customWidth="1"/>
    <col min="10490" max="10491" width="4.5703125" style="2" customWidth="1"/>
    <col min="10492" max="10492" width="7.28515625" style="2" customWidth="1"/>
    <col min="10493" max="10494" width="0" style="2" hidden="1" customWidth="1"/>
    <col min="10495" max="10495" width="8.5703125" style="2" customWidth="1"/>
    <col min="10496" max="10496" width="7.85546875" style="2" customWidth="1"/>
    <col min="10497" max="10499" width="0" style="2" hidden="1" customWidth="1"/>
    <col min="10500" max="10501" width="5.28515625" style="2" customWidth="1"/>
    <col min="10502" max="10502" width="5.5703125" style="2" customWidth="1"/>
    <col min="10503" max="10503" width="8.140625" style="2" customWidth="1"/>
    <col min="10504" max="10505" width="4.5703125" style="2" customWidth="1"/>
    <col min="10506" max="10506" width="4.85546875" style="2" customWidth="1"/>
    <col min="10507" max="10510" width="0" style="2" hidden="1" customWidth="1"/>
    <col min="10511" max="10511" width="9.5703125" style="2" customWidth="1"/>
    <col min="10512" max="10512" width="7.28515625" style="2" customWidth="1"/>
    <col min="10513" max="10513" width="5.7109375" style="2" customWidth="1"/>
    <col min="10514" max="10514" width="8.5703125" style="2" customWidth="1"/>
    <col min="10515" max="10520" width="0" style="2" hidden="1" customWidth="1"/>
    <col min="10521" max="10521" width="11.5703125" style="2" bestFit="1" customWidth="1"/>
    <col min="10522" max="10742" width="9.140625" style="2"/>
    <col min="10743" max="10743" width="4.28515625" style="2" customWidth="1"/>
    <col min="10744" max="10744" width="17.28515625" style="2" customWidth="1"/>
    <col min="10745" max="10745" width="7.85546875" style="2" customWidth="1"/>
    <col min="10746" max="10747" width="4.5703125" style="2" customWidth="1"/>
    <col min="10748" max="10748" width="7.28515625" style="2" customWidth="1"/>
    <col min="10749" max="10750" width="0" style="2" hidden="1" customWidth="1"/>
    <col min="10751" max="10751" width="8.5703125" style="2" customWidth="1"/>
    <col min="10752" max="10752" width="7.85546875" style="2" customWidth="1"/>
    <col min="10753" max="10755" width="0" style="2" hidden="1" customWidth="1"/>
    <col min="10756" max="10757" width="5.28515625" style="2" customWidth="1"/>
    <col min="10758" max="10758" width="5.5703125" style="2" customWidth="1"/>
    <col min="10759" max="10759" width="8.140625" style="2" customWidth="1"/>
    <col min="10760" max="10761" width="4.5703125" style="2" customWidth="1"/>
    <col min="10762" max="10762" width="4.85546875" style="2" customWidth="1"/>
    <col min="10763" max="10766" width="0" style="2" hidden="1" customWidth="1"/>
    <col min="10767" max="10767" width="9.5703125" style="2" customWidth="1"/>
    <col min="10768" max="10768" width="7.28515625" style="2" customWidth="1"/>
    <col min="10769" max="10769" width="5.7109375" style="2" customWidth="1"/>
    <col min="10770" max="10770" width="8.5703125" style="2" customWidth="1"/>
    <col min="10771" max="10776" width="0" style="2" hidden="1" customWidth="1"/>
    <col min="10777" max="10777" width="11.5703125" style="2" bestFit="1" customWidth="1"/>
    <col min="10778" max="10998" width="9.140625" style="2"/>
    <col min="10999" max="10999" width="4.28515625" style="2" customWidth="1"/>
    <col min="11000" max="11000" width="17.28515625" style="2" customWidth="1"/>
    <col min="11001" max="11001" width="7.85546875" style="2" customWidth="1"/>
    <col min="11002" max="11003" width="4.5703125" style="2" customWidth="1"/>
    <col min="11004" max="11004" width="7.28515625" style="2" customWidth="1"/>
    <col min="11005" max="11006" width="0" style="2" hidden="1" customWidth="1"/>
    <col min="11007" max="11007" width="8.5703125" style="2" customWidth="1"/>
    <col min="11008" max="11008" width="7.85546875" style="2" customWidth="1"/>
    <col min="11009" max="11011" width="0" style="2" hidden="1" customWidth="1"/>
    <col min="11012" max="11013" width="5.28515625" style="2" customWidth="1"/>
    <col min="11014" max="11014" width="5.5703125" style="2" customWidth="1"/>
    <col min="11015" max="11015" width="8.140625" style="2" customWidth="1"/>
    <col min="11016" max="11017" width="4.5703125" style="2" customWidth="1"/>
    <col min="11018" max="11018" width="4.85546875" style="2" customWidth="1"/>
    <col min="11019" max="11022" width="0" style="2" hidden="1" customWidth="1"/>
    <col min="11023" max="11023" width="9.5703125" style="2" customWidth="1"/>
    <col min="11024" max="11024" width="7.28515625" style="2" customWidth="1"/>
    <col min="11025" max="11025" width="5.7109375" style="2" customWidth="1"/>
    <col min="11026" max="11026" width="8.5703125" style="2" customWidth="1"/>
    <col min="11027" max="11032" width="0" style="2" hidden="1" customWidth="1"/>
    <col min="11033" max="11033" width="11.5703125" style="2" bestFit="1" customWidth="1"/>
    <col min="11034" max="11254" width="9.140625" style="2"/>
    <col min="11255" max="11255" width="4.28515625" style="2" customWidth="1"/>
    <col min="11256" max="11256" width="17.28515625" style="2" customWidth="1"/>
    <col min="11257" max="11257" width="7.85546875" style="2" customWidth="1"/>
    <col min="11258" max="11259" width="4.5703125" style="2" customWidth="1"/>
    <col min="11260" max="11260" width="7.28515625" style="2" customWidth="1"/>
    <col min="11261" max="11262" width="0" style="2" hidden="1" customWidth="1"/>
    <col min="11263" max="11263" width="8.5703125" style="2" customWidth="1"/>
    <col min="11264" max="11264" width="7.85546875" style="2" customWidth="1"/>
    <col min="11265" max="11267" width="0" style="2" hidden="1" customWidth="1"/>
    <col min="11268" max="11269" width="5.28515625" style="2" customWidth="1"/>
    <col min="11270" max="11270" width="5.5703125" style="2" customWidth="1"/>
    <col min="11271" max="11271" width="8.140625" style="2" customWidth="1"/>
    <col min="11272" max="11273" width="4.5703125" style="2" customWidth="1"/>
    <col min="11274" max="11274" width="4.85546875" style="2" customWidth="1"/>
    <col min="11275" max="11278" width="0" style="2" hidden="1" customWidth="1"/>
    <col min="11279" max="11279" width="9.5703125" style="2" customWidth="1"/>
    <col min="11280" max="11280" width="7.28515625" style="2" customWidth="1"/>
    <col min="11281" max="11281" width="5.7109375" style="2" customWidth="1"/>
    <col min="11282" max="11282" width="8.5703125" style="2" customWidth="1"/>
    <col min="11283" max="11288" width="0" style="2" hidden="1" customWidth="1"/>
    <col min="11289" max="11289" width="11.5703125" style="2" bestFit="1" customWidth="1"/>
    <col min="11290" max="11510" width="9.140625" style="2"/>
    <col min="11511" max="11511" width="4.28515625" style="2" customWidth="1"/>
    <col min="11512" max="11512" width="17.28515625" style="2" customWidth="1"/>
    <col min="11513" max="11513" width="7.85546875" style="2" customWidth="1"/>
    <col min="11514" max="11515" width="4.5703125" style="2" customWidth="1"/>
    <col min="11516" max="11516" width="7.28515625" style="2" customWidth="1"/>
    <col min="11517" max="11518" width="0" style="2" hidden="1" customWidth="1"/>
    <col min="11519" max="11519" width="8.5703125" style="2" customWidth="1"/>
    <col min="11520" max="11520" width="7.85546875" style="2" customWidth="1"/>
    <col min="11521" max="11523" width="0" style="2" hidden="1" customWidth="1"/>
    <col min="11524" max="11525" width="5.28515625" style="2" customWidth="1"/>
    <col min="11526" max="11526" width="5.5703125" style="2" customWidth="1"/>
    <col min="11527" max="11527" width="8.140625" style="2" customWidth="1"/>
    <col min="11528" max="11529" width="4.5703125" style="2" customWidth="1"/>
    <col min="11530" max="11530" width="4.85546875" style="2" customWidth="1"/>
    <col min="11531" max="11534" width="0" style="2" hidden="1" customWidth="1"/>
    <col min="11535" max="11535" width="9.5703125" style="2" customWidth="1"/>
    <col min="11536" max="11536" width="7.28515625" style="2" customWidth="1"/>
    <col min="11537" max="11537" width="5.7109375" style="2" customWidth="1"/>
    <col min="11538" max="11538" width="8.5703125" style="2" customWidth="1"/>
    <col min="11539" max="11544" width="0" style="2" hidden="1" customWidth="1"/>
    <col min="11545" max="11545" width="11.5703125" style="2" bestFit="1" customWidth="1"/>
    <col min="11546" max="11766" width="9.140625" style="2"/>
    <col min="11767" max="11767" width="4.28515625" style="2" customWidth="1"/>
    <col min="11768" max="11768" width="17.28515625" style="2" customWidth="1"/>
    <col min="11769" max="11769" width="7.85546875" style="2" customWidth="1"/>
    <col min="11770" max="11771" width="4.5703125" style="2" customWidth="1"/>
    <col min="11772" max="11772" width="7.28515625" style="2" customWidth="1"/>
    <col min="11773" max="11774" width="0" style="2" hidden="1" customWidth="1"/>
    <col min="11775" max="11775" width="8.5703125" style="2" customWidth="1"/>
    <col min="11776" max="11776" width="7.85546875" style="2" customWidth="1"/>
    <col min="11777" max="11779" width="0" style="2" hidden="1" customWidth="1"/>
    <col min="11780" max="11781" width="5.28515625" style="2" customWidth="1"/>
    <col min="11782" max="11782" width="5.5703125" style="2" customWidth="1"/>
    <col min="11783" max="11783" width="8.140625" style="2" customWidth="1"/>
    <col min="11784" max="11785" width="4.5703125" style="2" customWidth="1"/>
    <col min="11786" max="11786" width="4.85546875" style="2" customWidth="1"/>
    <col min="11787" max="11790" width="0" style="2" hidden="1" customWidth="1"/>
    <col min="11791" max="11791" width="9.5703125" style="2" customWidth="1"/>
    <col min="11792" max="11792" width="7.28515625" style="2" customWidth="1"/>
    <col min="11793" max="11793" width="5.7109375" style="2" customWidth="1"/>
    <col min="11794" max="11794" width="8.5703125" style="2" customWidth="1"/>
    <col min="11795" max="11800" width="0" style="2" hidden="1" customWidth="1"/>
    <col min="11801" max="11801" width="11.5703125" style="2" bestFit="1" customWidth="1"/>
    <col min="11802" max="12022" width="9.140625" style="2"/>
    <col min="12023" max="12023" width="4.28515625" style="2" customWidth="1"/>
    <col min="12024" max="12024" width="17.28515625" style="2" customWidth="1"/>
    <col min="12025" max="12025" width="7.85546875" style="2" customWidth="1"/>
    <col min="12026" max="12027" width="4.5703125" style="2" customWidth="1"/>
    <col min="12028" max="12028" width="7.28515625" style="2" customWidth="1"/>
    <col min="12029" max="12030" width="0" style="2" hidden="1" customWidth="1"/>
    <col min="12031" max="12031" width="8.5703125" style="2" customWidth="1"/>
    <col min="12032" max="12032" width="7.85546875" style="2" customWidth="1"/>
    <col min="12033" max="12035" width="0" style="2" hidden="1" customWidth="1"/>
    <col min="12036" max="12037" width="5.28515625" style="2" customWidth="1"/>
    <col min="12038" max="12038" width="5.5703125" style="2" customWidth="1"/>
    <col min="12039" max="12039" width="8.140625" style="2" customWidth="1"/>
    <col min="12040" max="12041" width="4.5703125" style="2" customWidth="1"/>
    <col min="12042" max="12042" width="4.85546875" style="2" customWidth="1"/>
    <col min="12043" max="12046" width="0" style="2" hidden="1" customWidth="1"/>
    <col min="12047" max="12047" width="9.5703125" style="2" customWidth="1"/>
    <col min="12048" max="12048" width="7.28515625" style="2" customWidth="1"/>
    <col min="12049" max="12049" width="5.7109375" style="2" customWidth="1"/>
    <col min="12050" max="12050" width="8.5703125" style="2" customWidth="1"/>
    <col min="12051" max="12056" width="0" style="2" hidden="1" customWidth="1"/>
    <col min="12057" max="12057" width="11.5703125" style="2" bestFit="1" customWidth="1"/>
    <col min="12058" max="12278" width="9.140625" style="2"/>
    <col min="12279" max="12279" width="4.28515625" style="2" customWidth="1"/>
    <col min="12280" max="12280" width="17.28515625" style="2" customWidth="1"/>
    <col min="12281" max="12281" width="7.85546875" style="2" customWidth="1"/>
    <col min="12282" max="12283" width="4.5703125" style="2" customWidth="1"/>
    <col min="12284" max="12284" width="7.28515625" style="2" customWidth="1"/>
    <col min="12285" max="12286" width="0" style="2" hidden="1" customWidth="1"/>
    <col min="12287" max="12287" width="8.5703125" style="2" customWidth="1"/>
    <col min="12288" max="12288" width="7.85546875" style="2" customWidth="1"/>
    <col min="12289" max="12291" width="0" style="2" hidden="1" customWidth="1"/>
    <col min="12292" max="12293" width="5.28515625" style="2" customWidth="1"/>
    <col min="12294" max="12294" width="5.5703125" style="2" customWidth="1"/>
    <col min="12295" max="12295" width="8.140625" style="2" customWidth="1"/>
    <col min="12296" max="12297" width="4.5703125" style="2" customWidth="1"/>
    <col min="12298" max="12298" width="4.85546875" style="2" customWidth="1"/>
    <col min="12299" max="12302" width="0" style="2" hidden="1" customWidth="1"/>
    <col min="12303" max="12303" width="9.5703125" style="2" customWidth="1"/>
    <col min="12304" max="12304" width="7.28515625" style="2" customWidth="1"/>
    <col min="12305" max="12305" width="5.7109375" style="2" customWidth="1"/>
    <col min="12306" max="12306" width="8.5703125" style="2" customWidth="1"/>
    <col min="12307" max="12312" width="0" style="2" hidden="1" customWidth="1"/>
    <col min="12313" max="12313" width="11.5703125" style="2" bestFit="1" customWidth="1"/>
    <col min="12314" max="12534" width="9.140625" style="2"/>
    <col min="12535" max="12535" width="4.28515625" style="2" customWidth="1"/>
    <col min="12536" max="12536" width="17.28515625" style="2" customWidth="1"/>
    <col min="12537" max="12537" width="7.85546875" style="2" customWidth="1"/>
    <col min="12538" max="12539" width="4.5703125" style="2" customWidth="1"/>
    <col min="12540" max="12540" width="7.28515625" style="2" customWidth="1"/>
    <col min="12541" max="12542" width="0" style="2" hidden="1" customWidth="1"/>
    <col min="12543" max="12543" width="8.5703125" style="2" customWidth="1"/>
    <col min="12544" max="12544" width="7.85546875" style="2" customWidth="1"/>
    <col min="12545" max="12547" width="0" style="2" hidden="1" customWidth="1"/>
    <col min="12548" max="12549" width="5.28515625" style="2" customWidth="1"/>
    <col min="12550" max="12550" width="5.5703125" style="2" customWidth="1"/>
    <col min="12551" max="12551" width="8.140625" style="2" customWidth="1"/>
    <col min="12552" max="12553" width="4.5703125" style="2" customWidth="1"/>
    <col min="12554" max="12554" width="4.85546875" style="2" customWidth="1"/>
    <col min="12555" max="12558" width="0" style="2" hidden="1" customWidth="1"/>
    <col min="12559" max="12559" width="9.5703125" style="2" customWidth="1"/>
    <col min="12560" max="12560" width="7.28515625" style="2" customWidth="1"/>
    <col min="12561" max="12561" width="5.7109375" style="2" customWidth="1"/>
    <col min="12562" max="12562" width="8.5703125" style="2" customWidth="1"/>
    <col min="12563" max="12568" width="0" style="2" hidden="1" customWidth="1"/>
    <col min="12569" max="12569" width="11.5703125" style="2" bestFit="1" customWidth="1"/>
    <col min="12570" max="12790" width="9.140625" style="2"/>
    <col min="12791" max="12791" width="4.28515625" style="2" customWidth="1"/>
    <col min="12792" max="12792" width="17.28515625" style="2" customWidth="1"/>
    <col min="12793" max="12793" width="7.85546875" style="2" customWidth="1"/>
    <col min="12794" max="12795" width="4.5703125" style="2" customWidth="1"/>
    <col min="12796" max="12796" width="7.28515625" style="2" customWidth="1"/>
    <col min="12797" max="12798" width="0" style="2" hidden="1" customWidth="1"/>
    <col min="12799" max="12799" width="8.5703125" style="2" customWidth="1"/>
    <col min="12800" max="12800" width="7.85546875" style="2" customWidth="1"/>
    <col min="12801" max="12803" width="0" style="2" hidden="1" customWidth="1"/>
    <col min="12804" max="12805" width="5.28515625" style="2" customWidth="1"/>
    <col min="12806" max="12806" width="5.5703125" style="2" customWidth="1"/>
    <col min="12807" max="12807" width="8.140625" style="2" customWidth="1"/>
    <col min="12808" max="12809" width="4.5703125" style="2" customWidth="1"/>
    <col min="12810" max="12810" width="4.85546875" style="2" customWidth="1"/>
    <col min="12811" max="12814" width="0" style="2" hidden="1" customWidth="1"/>
    <col min="12815" max="12815" width="9.5703125" style="2" customWidth="1"/>
    <col min="12816" max="12816" width="7.28515625" style="2" customWidth="1"/>
    <col min="12817" max="12817" width="5.7109375" style="2" customWidth="1"/>
    <col min="12818" max="12818" width="8.5703125" style="2" customWidth="1"/>
    <col min="12819" max="12824" width="0" style="2" hidden="1" customWidth="1"/>
    <col min="12825" max="12825" width="11.5703125" style="2" bestFit="1" customWidth="1"/>
    <col min="12826" max="13046" width="9.140625" style="2"/>
    <col min="13047" max="13047" width="4.28515625" style="2" customWidth="1"/>
    <col min="13048" max="13048" width="17.28515625" style="2" customWidth="1"/>
    <col min="13049" max="13049" width="7.85546875" style="2" customWidth="1"/>
    <col min="13050" max="13051" width="4.5703125" style="2" customWidth="1"/>
    <col min="13052" max="13052" width="7.28515625" style="2" customWidth="1"/>
    <col min="13053" max="13054" width="0" style="2" hidden="1" customWidth="1"/>
    <col min="13055" max="13055" width="8.5703125" style="2" customWidth="1"/>
    <col min="13056" max="13056" width="7.85546875" style="2" customWidth="1"/>
    <col min="13057" max="13059" width="0" style="2" hidden="1" customWidth="1"/>
    <col min="13060" max="13061" width="5.28515625" style="2" customWidth="1"/>
    <col min="13062" max="13062" width="5.5703125" style="2" customWidth="1"/>
    <col min="13063" max="13063" width="8.140625" style="2" customWidth="1"/>
    <col min="13064" max="13065" width="4.5703125" style="2" customWidth="1"/>
    <col min="13066" max="13066" width="4.85546875" style="2" customWidth="1"/>
    <col min="13067" max="13070" width="0" style="2" hidden="1" customWidth="1"/>
    <col min="13071" max="13071" width="9.5703125" style="2" customWidth="1"/>
    <col min="13072" max="13072" width="7.28515625" style="2" customWidth="1"/>
    <col min="13073" max="13073" width="5.7109375" style="2" customWidth="1"/>
    <col min="13074" max="13074" width="8.5703125" style="2" customWidth="1"/>
    <col min="13075" max="13080" width="0" style="2" hidden="1" customWidth="1"/>
    <col min="13081" max="13081" width="11.5703125" style="2" bestFit="1" customWidth="1"/>
    <col min="13082" max="13302" width="9.140625" style="2"/>
    <col min="13303" max="13303" width="4.28515625" style="2" customWidth="1"/>
    <col min="13304" max="13304" width="17.28515625" style="2" customWidth="1"/>
    <col min="13305" max="13305" width="7.85546875" style="2" customWidth="1"/>
    <col min="13306" max="13307" width="4.5703125" style="2" customWidth="1"/>
    <col min="13308" max="13308" width="7.28515625" style="2" customWidth="1"/>
    <col min="13309" max="13310" width="0" style="2" hidden="1" customWidth="1"/>
    <col min="13311" max="13311" width="8.5703125" style="2" customWidth="1"/>
    <col min="13312" max="13312" width="7.85546875" style="2" customWidth="1"/>
    <col min="13313" max="13315" width="0" style="2" hidden="1" customWidth="1"/>
    <col min="13316" max="13317" width="5.28515625" style="2" customWidth="1"/>
    <col min="13318" max="13318" width="5.5703125" style="2" customWidth="1"/>
    <col min="13319" max="13319" width="8.140625" style="2" customWidth="1"/>
    <col min="13320" max="13321" width="4.5703125" style="2" customWidth="1"/>
    <col min="13322" max="13322" width="4.85546875" style="2" customWidth="1"/>
    <col min="13323" max="13326" width="0" style="2" hidden="1" customWidth="1"/>
    <col min="13327" max="13327" width="9.5703125" style="2" customWidth="1"/>
    <col min="13328" max="13328" width="7.28515625" style="2" customWidth="1"/>
    <col min="13329" max="13329" width="5.7109375" style="2" customWidth="1"/>
    <col min="13330" max="13330" width="8.5703125" style="2" customWidth="1"/>
    <col min="13331" max="13336" width="0" style="2" hidden="1" customWidth="1"/>
    <col min="13337" max="13337" width="11.5703125" style="2" bestFit="1" customWidth="1"/>
    <col min="13338" max="13558" width="9.140625" style="2"/>
    <col min="13559" max="13559" width="4.28515625" style="2" customWidth="1"/>
    <col min="13560" max="13560" width="17.28515625" style="2" customWidth="1"/>
    <col min="13561" max="13561" width="7.85546875" style="2" customWidth="1"/>
    <col min="13562" max="13563" width="4.5703125" style="2" customWidth="1"/>
    <col min="13564" max="13564" width="7.28515625" style="2" customWidth="1"/>
    <col min="13565" max="13566" width="0" style="2" hidden="1" customWidth="1"/>
    <col min="13567" max="13567" width="8.5703125" style="2" customWidth="1"/>
    <col min="13568" max="13568" width="7.85546875" style="2" customWidth="1"/>
    <col min="13569" max="13571" width="0" style="2" hidden="1" customWidth="1"/>
    <col min="13572" max="13573" width="5.28515625" style="2" customWidth="1"/>
    <col min="13574" max="13574" width="5.5703125" style="2" customWidth="1"/>
    <col min="13575" max="13575" width="8.140625" style="2" customWidth="1"/>
    <col min="13576" max="13577" width="4.5703125" style="2" customWidth="1"/>
    <col min="13578" max="13578" width="4.85546875" style="2" customWidth="1"/>
    <col min="13579" max="13582" width="0" style="2" hidden="1" customWidth="1"/>
    <col min="13583" max="13583" width="9.5703125" style="2" customWidth="1"/>
    <col min="13584" max="13584" width="7.28515625" style="2" customWidth="1"/>
    <col min="13585" max="13585" width="5.7109375" style="2" customWidth="1"/>
    <col min="13586" max="13586" width="8.5703125" style="2" customWidth="1"/>
    <col min="13587" max="13592" width="0" style="2" hidden="1" customWidth="1"/>
    <col min="13593" max="13593" width="11.5703125" style="2" bestFit="1" customWidth="1"/>
    <col min="13594" max="13814" width="9.140625" style="2"/>
    <col min="13815" max="13815" width="4.28515625" style="2" customWidth="1"/>
    <col min="13816" max="13816" width="17.28515625" style="2" customWidth="1"/>
    <col min="13817" max="13817" width="7.85546875" style="2" customWidth="1"/>
    <col min="13818" max="13819" width="4.5703125" style="2" customWidth="1"/>
    <col min="13820" max="13820" width="7.28515625" style="2" customWidth="1"/>
    <col min="13821" max="13822" width="0" style="2" hidden="1" customWidth="1"/>
    <col min="13823" max="13823" width="8.5703125" style="2" customWidth="1"/>
    <col min="13824" max="13824" width="7.85546875" style="2" customWidth="1"/>
    <col min="13825" max="13827" width="0" style="2" hidden="1" customWidth="1"/>
    <col min="13828" max="13829" width="5.28515625" style="2" customWidth="1"/>
    <col min="13830" max="13830" width="5.5703125" style="2" customWidth="1"/>
    <col min="13831" max="13831" width="8.140625" style="2" customWidth="1"/>
    <col min="13832" max="13833" width="4.5703125" style="2" customWidth="1"/>
    <col min="13834" max="13834" width="4.85546875" style="2" customWidth="1"/>
    <col min="13835" max="13838" width="0" style="2" hidden="1" customWidth="1"/>
    <col min="13839" max="13839" width="9.5703125" style="2" customWidth="1"/>
    <col min="13840" max="13840" width="7.28515625" style="2" customWidth="1"/>
    <col min="13841" max="13841" width="5.7109375" style="2" customWidth="1"/>
    <col min="13842" max="13842" width="8.5703125" style="2" customWidth="1"/>
    <col min="13843" max="13848" width="0" style="2" hidden="1" customWidth="1"/>
    <col min="13849" max="13849" width="11.5703125" style="2" bestFit="1" customWidth="1"/>
    <col min="13850" max="14070" width="9.140625" style="2"/>
    <col min="14071" max="14071" width="4.28515625" style="2" customWidth="1"/>
    <col min="14072" max="14072" width="17.28515625" style="2" customWidth="1"/>
    <col min="14073" max="14073" width="7.85546875" style="2" customWidth="1"/>
    <col min="14074" max="14075" width="4.5703125" style="2" customWidth="1"/>
    <col min="14076" max="14076" width="7.28515625" style="2" customWidth="1"/>
    <col min="14077" max="14078" width="0" style="2" hidden="1" customWidth="1"/>
    <col min="14079" max="14079" width="8.5703125" style="2" customWidth="1"/>
    <col min="14080" max="14080" width="7.85546875" style="2" customWidth="1"/>
    <col min="14081" max="14083" width="0" style="2" hidden="1" customWidth="1"/>
    <col min="14084" max="14085" width="5.28515625" style="2" customWidth="1"/>
    <col min="14086" max="14086" width="5.5703125" style="2" customWidth="1"/>
    <col min="14087" max="14087" width="8.140625" style="2" customWidth="1"/>
    <col min="14088" max="14089" width="4.5703125" style="2" customWidth="1"/>
    <col min="14090" max="14090" width="4.85546875" style="2" customWidth="1"/>
    <col min="14091" max="14094" width="0" style="2" hidden="1" customWidth="1"/>
    <col min="14095" max="14095" width="9.5703125" style="2" customWidth="1"/>
    <col min="14096" max="14096" width="7.28515625" style="2" customWidth="1"/>
    <col min="14097" max="14097" width="5.7109375" style="2" customWidth="1"/>
    <col min="14098" max="14098" width="8.5703125" style="2" customWidth="1"/>
    <col min="14099" max="14104" width="0" style="2" hidden="1" customWidth="1"/>
    <col min="14105" max="14105" width="11.5703125" style="2" bestFit="1" customWidth="1"/>
    <col min="14106" max="14326" width="9.140625" style="2"/>
    <col min="14327" max="14327" width="4.28515625" style="2" customWidth="1"/>
    <col min="14328" max="14328" width="17.28515625" style="2" customWidth="1"/>
    <col min="14329" max="14329" width="7.85546875" style="2" customWidth="1"/>
    <col min="14330" max="14331" width="4.5703125" style="2" customWidth="1"/>
    <col min="14332" max="14332" width="7.28515625" style="2" customWidth="1"/>
    <col min="14333" max="14334" width="0" style="2" hidden="1" customWidth="1"/>
    <col min="14335" max="14335" width="8.5703125" style="2" customWidth="1"/>
    <col min="14336" max="14336" width="7.85546875" style="2" customWidth="1"/>
    <col min="14337" max="14339" width="0" style="2" hidden="1" customWidth="1"/>
    <col min="14340" max="14341" width="5.28515625" style="2" customWidth="1"/>
    <col min="14342" max="14342" width="5.5703125" style="2" customWidth="1"/>
    <col min="14343" max="14343" width="8.140625" style="2" customWidth="1"/>
    <col min="14344" max="14345" width="4.5703125" style="2" customWidth="1"/>
    <col min="14346" max="14346" width="4.85546875" style="2" customWidth="1"/>
    <col min="14347" max="14350" width="0" style="2" hidden="1" customWidth="1"/>
    <col min="14351" max="14351" width="9.5703125" style="2" customWidth="1"/>
    <col min="14352" max="14352" width="7.28515625" style="2" customWidth="1"/>
    <col min="14353" max="14353" width="5.7109375" style="2" customWidth="1"/>
    <col min="14354" max="14354" width="8.5703125" style="2" customWidth="1"/>
    <col min="14355" max="14360" width="0" style="2" hidden="1" customWidth="1"/>
    <col min="14361" max="14361" width="11.5703125" style="2" bestFit="1" customWidth="1"/>
    <col min="14362" max="14582" width="9.140625" style="2"/>
    <col min="14583" max="14583" width="4.28515625" style="2" customWidth="1"/>
    <col min="14584" max="14584" width="17.28515625" style="2" customWidth="1"/>
    <col min="14585" max="14585" width="7.85546875" style="2" customWidth="1"/>
    <col min="14586" max="14587" width="4.5703125" style="2" customWidth="1"/>
    <col min="14588" max="14588" width="7.28515625" style="2" customWidth="1"/>
    <col min="14589" max="14590" width="0" style="2" hidden="1" customWidth="1"/>
    <col min="14591" max="14591" width="8.5703125" style="2" customWidth="1"/>
    <col min="14592" max="14592" width="7.85546875" style="2" customWidth="1"/>
    <col min="14593" max="14595" width="0" style="2" hidden="1" customWidth="1"/>
    <col min="14596" max="14597" width="5.28515625" style="2" customWidth="1"/>
    <col min="14598" max="14598" width="5.5703125" style="2" customWidth="1"/>
    <col min="14599" max="14599" width="8.140625" style="2" customWidth="1"/>
    <col min="14600" max="14601" width="4.5703125" style="2" customWidth="1"/>
    <col min="14602" max="14602" width="4.85546875" style="2" customWidth="1"/>
    <col min="14603" max="14606" width="0" style="2" hidden="1" customWidth="1"/>
    <col min="14607" max="14607" width="9.5703125" style="2" customWidth="1"/>
    <col min="14608" max="14608" width="7.28515625" style="2" customWidth="1"/>
    <col min="14609" max="14609" width="5.7109375" style="2" customWidth="1"/>
    <col min="14610" max="14610" width="8.5703125" style="2" customWidth="1"/>
    <col min="14611" max="14616" width="0" style="2" hidden="1" customWidth="1"/>
    <col min="14617" max="14617" width="11.5703125" style="2" bestFit="1" customWidth="1"/>
    <col min="14618" max="14838" width="9.140625" style="2"/>
    <col min="14839" max="14839" width="4.28515625" style="2" customWidth="1"/>
    <col min="14840" max="14840" width="17.28515625" style="2" customWidth="1"/>
    <col min="14841" max="14841" width="7.85546875" style="2" customWidth="1"/>
    <col min="14842" max="14843" width="4.5703125" style="2" customWidth="1"/>
    <col min="14844" max="14844" width="7.28515625" style="2" customWidth="1"/>
    <col min="14845" max="14846" width="0" style="2" hidden="1" customWidth="1"/>
    <col min="14847" max="14847" width="8.5703125" style="2" customWidth="1"/>
    <col min="14848" max="14848" width="7.85546875" style="2" customWidth="1"/>
    <col min="14849" max="14851" width="0" style="2" hidden="1" customWidth="1"/>
    <col min="14852" max="14853" width="5.28515625" style="2" customWidth="1"/>
    <col min="14854" max="14854" width="5.5703125" style="2" customWidth="1"/>
    <col min="14855" max="14855" width="8.140625" style="2" customWidth="1"/>
    <col min="14856" max="14857" width="4.5703125" style="2" customWidth="1"/>
    <col min="14858" max="14858" width="4.85546875" style="2" customWidth="1"/>
    <col min="14859" max="14862" width="0" style="2" hidden="1" customWidth="1"/>
    <col min="14863" max="14863" width="9.5703125" style="2" customWidth="1"/>
    <col min="14864" max="14864" width="7.28515625" style="2" customWidth="1"/>
    <col min="14865" max="14865" width="5.7109375" style="2" customWidth="1"/>
    <col min="14866" max="14866" width="8.5703125" style="2" customWidth="1"/>
    <col min="14867" max="14872" width="0" style="2" hidden="1" customWidth="1"/>
    <col min="14873" max="14873" width="11.5703125" style="2" bestFit="1" customWidth="1"/>
    <col min="14874" max="15094" width="9.140625" style="2"/>
    <col min="15095" max="15095" width="4.28515625" style="2" customWidth="1"/>
    <col min="15096" max="15096" width="17.28515625" style="2" customWidth="1"/>
    <col min="15097" max="15097" width="7.85546875" style="2" customWidth="1"/>
    <col min="15098" max="15099" width="4.5703125" style="2" customWidth="1"/>
    <col min="15100" max="15100" width="7.28515625" style="2" customWidth="1"/>
    <col min="15101" max="15102" width="0" style="2" hidden="1" customWidth="1"/>
    <col min="15103" max="15103" width="8.5703125" style="2" customWidth="1"/>
    <col min="15104" max="15104" width="7.85546875" style="2" customWidth="1"/>
    <col min="15105" max="15107" width="0" style="2" hidden="1" customWidth="1"/>
    <col min="15108" max="15109" width="5.28515625" style="2" customWidth="1"/>
    <col min="15110" max="15110" width="5.5703125" style="2" customWidth="1"/>
    <col min="15111" max="15111" width="8.140625" style="2" customWidth="1"/>
    <col min="15112" max="15113" width="4.5703125" style="2" customWidth="1"/>
    <col min="15114" max="15114" width="4.85546875" style="2" customWidth="1"/>
    <col min="15115" max="15118" width="0" style="2" hidden="1" customWidth="1"/>
    <col min="15119" max="15119" width="9.5703125" style="2" customWidth="1"/>
    <col min="15120" max="15120" width="7.28515625" style="2" customWidth="1"/>
    <col min="15121" max="15121" width="5.7109375" style="2" customWidth="1"/>
    <col min="15122" max="15122" width="8.5703125" style="2" customWidth="1"/>
    <col min="15123" max="15128" width="0" style="2" hidden="1" customWidth="1"/>
    <col min="15129" max="15129" width="11.5703125" style="2" bestFit="1" customWidth="1"/>
    <col min="15130" max="15350" width="9.140625" style="2"/>
    <col min="15351" max="15351" width="4.28515625" style="2" customWidth="1"/>
    <col min="15352" max="15352" width="17.28515625" style="2" customWidth="1"/>
    <col min="15353" max="15353" width="7.85546875" style="2" customWidth="1"/>
    <col min="15354" max="15355" width="4.5703125" style="2" customWidth="1"/>
    <col min="15356" max="15356" width="7.28515625" style="2" customWidth="1"/>
    <col min="15357" max="15358" width="0" style="2" hidden="1" customWidth="1"/>
    <col min="15359" max="15359" width="8.5703125" style="2" customWidth="1"/>
    <col min="15360" max="15360" width="7.85546875" style="2" customWidth="1"/>
    <col min="15361" max="15363" width="0" style="2" hidden="1" customWidth="1"/>
    <col min="15364" max="15365" width="5.28515625" style="2" customWidth="1"/>
    <col min="15366" max="15366" width="5.5703125" style="2" customWidth="1"/>
    <col min="15367" max="15367" width="8.140625" style="2" customWidth="1"/>
    <col min="15368" max="15369" width="4.5703125" style="2" customWidth="1"/>
    <col min="15370" max="15370" width="4.85546875" style="2" customWidth="1"/>
    <col min="15371" max="15374" width="0" style="2" hidden="1" customWidth="1"/>
    <col min="15375" max="15375" width="9.5703125" style="2" customWidth="1"/>
    <col min="15376" max="15376" width="7.28515625" style="2" customWidth="1"/>
    <col min="15377" max="15377" width="5.7109375" style="2" customWidth="1"/>
    <col min="15378" max="15378" width="8.5703125" style="2" customWidth="1"/>
    <col min="15379" max="15384" width="0" style="2" hidden="1" customWidth="1"/>
    <col min="15385" max="15385" width="11.5703125" style="2" bestFit="1" customWidth="1"/>
    <col min="15386" max="15606" width="9.140625" style="2"/>
    <col min="15607" max="15607" width="4.28515625" style="2" customWidth="1"/>
    <col min="15608" max="15608" width="17.28515625" style="2" customWidth="1"/>
    <col min="15609" max="15609" width="7.85546875" style="2" customWidth="1"/>
    <col min="15610" max="15611" width="4.5703125" style="2" customWidth="1"/>
    <col min="15612" max="15612" width="7.28515625" style="2" customWidth="1"/>
    <col min="15613" max="15614" width="0" style="2" hidden="1" customWidth="1"/>
    <col min="15615" max="15615" width="8.5703125" style="2" customWidth="1"/>
    <col min="15616" max="15616" width="7.85546875" style="2" customWidth="1"/>
    <col min="15617" max="15619" width="0" style="2" hidden="1" customWidth="1"/>
    <col min="15620" max="15621" width="5.28515625" style="2" customWidth="1"/>
    <col min="15622" max="15622" width="5.5703125" style="2" customWidth="1"/>
    <col min="15623" max="15623" width="8.140625" style="2" customWidth="1"/>
    <col min="15624" max="15625" width="4.5703125" style="2" customWidth="1"/>
    <col min="15626" max="15626" width="4.85546875" style="2" customWidth="1"/>
    <col min="15627" max="15630" width="0" style="2" hidden="1" customWidth="1"/>
    <col min="15631" max="15631" width="9.5703125" style="2" customWidth="1"/>
    <col min="15632" max="15632" width="7.28515625" style="2" customWidth="1"/>
    <col min="15633" max="15633" width="5.7109375" style="2" customWidth="1"/>
    <col min="15634" max="15634" width="8.5703125" style="2" customWidth="1"/>
    <col min="15635" max="15640" width="0" style="2" hidden="1" customWidth="1"/>
    <col min="15641" max="15641" width="11.5703125" style="2" bestFit="1" customWidth="1"/>
    <col min="15642" max="15862" width="9.140625" style="2"/>
    <col min="15863" max="15863" width="4.28515625" style="2" customWidth="1"/>
    <col min="15864" max="15864" width="17.28515625" style="2" customWidth="1"/>
    <col min="15865" max="15865" width="7.85546875" style="2" customWidth="1"/>
    <col min="15866" max="15867" width="4.5703125" style="2" customWidth="1"/>
    <col min="15868" max="15868" width="7.28515625" style="2" customWidth="1"/>
    <col min="15869" max="15870" width="0" style="2" hidden="1" customWidth="1"/>
    <col min="15871" max="15871" width="8.5703125" style="2" customWidth="1"/>
    <col min="15872" max="15872" width="7.85546875" style="2" customWidth="1"/>
    <col min="15873" max="15875" width="0" style="2" hidden="1" customWidth="1"/>
    <col min="15876" max="15877" width="5.28515625" style="2" customWidth="1"/>
    <col min="15878" max="15878" width="5.5703125" style="2" customWidth="1"/>
    <col min="15879" max="15879" width="8.140625" style="2" customWidth="1"/>
    <col min="15880" max="15881" width="4.5703125" style="2" customWidth="1"/>
    <col min="15882" max="15882" width="4.85546875" style="2" customWidth="1"/>
    <col min="15883" max="15886" width="0" style="2" hidden="1" customWidth="1"/>
    <col min="15887" max="15887" width="9.5703125" style="2" customWidth="1"/>
    <col min="15888" max="15888" width="7.28515625" style="2" customWidth="1"/>
    <col min="15889" max="15889" width="5.7109375" style="2" customWidth="1"/>
    <col min="15890" max="15890" width="8.5703125" style="2" customWidth="1"/>
    <col min="15891" max="15896" width="0" style="2" hidden="1" customWidth="1"/>
    <col min="15897" max="15897" width="11.5703125" style="2" bestFit="1" customWidth="1"/>
    <col min="15898" max="16118" width="9.140625" style="2"/>
    <col min="16119" max="16119" width="4.28515625" style="2" customWidth="1"/>
    <col min="16120" max="16120" width="17.28515625" style="2" customWidth="1"/>
    <col min="16121" max="16121" width="7.85546875" style="2" customWidth="1"/>
    <col min="16122" max="16123" width="4.5703125" style="2" customWidth="1"/>
    <col min="16124" max="16124" width="7.28515625" style="2" customWidth="1"/>
    <col min="16125" max="16126" width="0" style="2" hidden="1" customWidth="1"/>
    <col min="16127" max="16127" width="8.5703125" style="2" customWidth="1"/>
    <col min="16128" max="16128" width="7.85546875" style="2" customWidth="1"/>
    <col min="16129" max="16131" width="0" style="2" hidden="1" customWidth="1"/>
    <col min="16132" max="16133" width="5.28515625" style="2" customWidth="1"/>
    <col min="16134" max="16134" width="5.5703125" style="2" customWidth="1"/>
    <col min="16135" max="16135" width="8.140625" style="2" customWidth="1"/>
    <col min="16136" max="16137" width="4.5703125" style="2" customWidth="1"/>
    <col min="16138" max="16138" width="4.85546875" style="2" customWidth="1"/>
    <col min="16139" max="16142" width="0" style="2" hidden="1" customWidth="1"/>
    <col min="16143" max="16143" width="9.5703125" style="2" customWidth="1"/>
    <col min="16144" max="16144" width="7.28515625" style="2" customWidth="1"/>
    <col min="16145" max="16145" width="5.7109375" style="2" customWidth="1"/>
    <col min="16146" max="16146" width="8.5703125" style="2" customWidth="1"/>
    <col min="16147" max="16152" width="0" style="2" hidden="1" customWidth="1"/>
    <col min="16153" max="16153" width="11.5703125" style="2" bestFit="1" customWidth="1"/>
    <col min="16154" max="16379" width="9.140625" style="2"/>
    <col min="16380" max="16384" width="9.140625" style="2" customWidth="1"/>
  </cols>
  <sheetData>
    <row r="1" spans="1:33" ht="17.100000000000001" customHeight="1">
      <c r="A1" s="31" t="s">
        <v>24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3"/>
      <c r="X1" s="32"/>
      <c r="Y1" s="32"/>
      <c r="Z1" s="33"/>
    </row>
    <row r="2" spans="1:33" ht="17.100000000000001" hidden="1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  <c r="X2" s="32"/>
      <c r="Y2" s="32"/>
      <c r="Z2" s="33"/>
    </row>
    <row r="3" spans="1:33" s="19" customFormat="1" ht="24" customHeight="1">
      <c r="A3" s="141" t="s">
        <v>25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2"/>
      <c r="N3" s="111" t="s">
        <v>26</v>
      </c>
      <c r="O3" s="141"/>
      <c r="P3" s="141"/>
      <c r="Q3" s="141"/>
      <c r="R3" s="142"/>
      <c r="S3" s="142"/>
      <c r="T3" s="142"/>
      <c r="U3" s="141"/>
      <c r="V3" s="142"/>
      <c r="W3" s="142"/>
      <c r="X3" s="141"/>
      <c r="Y3" s="141"/>
      <c r="Z3" s="143"/>
      <c r="AA3" s="144"/>
    </row>
    <row r="4" spans="1:33" s="19" customFormat="1" ht="17.100000000000001" customHeight="1">
      <c r="A4" s="141"/>
      <c r="B4" s="141"/>
      <c r="C4" s="141"/>
      <c r="D4" s="141"/>
      <c r="E4" s="141"/>
      <c r="F4" s="141" t="s">
        <v>182</v>
      </c>
      <c r="G4" s="141"/>
      <c r="H4" s="145"/>
      <c r="I4" s="141">
        <v>1</v>
      </c>
      <c r="J4" s="141"/>
      <c r="K4" s="141"/>
      <c r="L4" s="141"/>
      <c r="M4" s="142"/>
      <c r="N4" s="111" t="s">
        <v>207</v>
      </c>
      <c r="O4" s="141"/>
      <c r="P4" s="141"/>
      <c r="Q4" s="141"/>
      <c r="R4" s="142"/>
      <c r="S4" s="142"/>
      <c r="T4" s="142"/>
      <c r="U4" s="146"/>
      <c r="V4" s="142"/>
      <c r="W4" s="145"/>
      <c r="X4" s="145"/>
      <c r="Y4" s="145"/>
      <c r="Z4" s="147"/>
      <c r="AA4" s="144"/>
    </row>
    <row r="5" spans="1:33" ht="17.100000000000001" hidden="1" customHeight="1">
      <c r="A5" s="1"/>
      <c r="B5" s="3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38"/>
      <c r="X5" s="1"/>
      <c r="Y5" s="1"/>
      <c r="Z5" s="36"/>
    </row>
    <row r="6" spans="1:33" ht="17.100000000000001" customHeight="1">
      <c r="A6" s="193" t="s">
        <v>27</v>
      </c>
      <c r="B6" s="193" t="s">
        <v>3</v>
      </c>
      <c r="C6" s="193" t="s">
        <v>28</v>
      </c>
      <c r="D6" s="203" t="s">
        <v>29</v>
      </c>
      <c r="E6" s="204"/>
      <c r="F6" s="39"/>
      <c r="G6" s="39"/>
      <c r="H6" s="39"/>
      <c r="I6" s="209" t="s">
        <v>195</v>
      </c>
      <c r="J6" s="210"/>
      <c r="K6" s="210"/>
      <c r="L6" s="210"/>
      <c r="M6" s="210"/>
      <c r="N6" s="210"/>
      <c r="O6" s="153"/>
      <c r="P6" s="209" t="s">
        <v>196</v>
      </c>
      <c r="Q6" s="210"/>
      <c r="R6" s="210"/>
      <c r="S6" s="210"/>
      <c r="T6" s="210"/>
      <c r="U6" s="211"/>
      <c r="V6" s="245" t="s">
        <v>189</v>
      </c>
      <c r="W6" s="240" t="s">
        <v>31</v>
      </c>
      <c r="X6" s="193" t="s">
        <v>192</v>
      </c>
      <c r="Y6" s="193"/>
      <c r="Z6" s="240" t="s">
        <v>32</v>
      </c>
      <c r="AA6" s="237" t="s">
        <v>9</v>
      </c>
      <c r="AB6" s="236" t="s">
        <v>203</v>
      </c>
      <c r="AC6" s="235" t="s">
        <v>204</v>
      </c>
      <c r="AD6" s="229" t="s">
        <v>202</v>
      </c>
      <c r="AE6" s="232" t="s">
        <v>205</v>
      </c>
      <c r="AF6" s="229" t="s">
        <v>33</v>
      </c>
      <c r="AG6" s="226" t="s">
        <v>174</v>
      </c>
    </row>
    <row r="7" spans="1:33" s="40" customFormat="1" ht="52.5" customHeight="1">
      <c r="A7" s="193"/>
      <c r="B7" s="193"/>
      <c r="C7" s="193"/>
      <c r="D7" s="205"/>
      <c r="E7" s="206"/>
      <c r="F7" s="39"/>
      <c r="G7" s="39"/>
      <c r="H7" s="39"/>
      <c r="I7" s="212" t="s">
        <v>34</v>
      </c>
      <c r="J7" s="212" t="s">
        <v>17</v>
      </c>
      <c r="K7" s="212" t="s">
        <v>13</v>
      </c>
      <c r="L7" s="212" t="s">
        <v>187</v>
      </c>
      <c r="M7" s="212" t="s">
        <v>35</v>
      </c>
      <c r="N7" s="193" t="s">
        <v>188</v>
      </c>
      <c r="O7" s="191"/>
      <c r="P7" s="193" t="s">
        <v>22</v>
      </c>
      <c r="Q7" s="193" t="s">
        <v>23</v>
      </c>
      <c r="R7" s="193" t="s">
        <v>36</v>
      </c>
      <c r="S7" s="193" t="s">
        <v>37</v>
      </c>
      <c r="T7" s="212" t="s">
        <v>200</v>
      </c>
      <c r="U7" s="193" t="s">
        <v>197</v>
      </c>
      <c r="V7" s="246"/>
      <c r="W7" s="241"/>
      <c r="X7" s="212" t="s">
        <v>38</v>
      </c>
      <c r="Y7" s="212" t="s">
        <v>193</v>
      </c>
      <c r="Z7" s="241"/>
      <c r="AA7" s="238"/>
      <c r="AB7" s="236"/>
      <c r="AC7" s="235"/>
      <c r="AD7" s="230"/>
      <c r="AE7" s="233"/>
      <c r="AF7" s="230"/>
      <c r="AG7" s="227"/>
    </row>
    <row r="8" spans="1:33" s="40" customFormat="1" ht="33.75" customHeight="1">
      <c r="A8" s="193"/>
      <c r="B8" s="193"/>
      <c r="C8" s="193"/>
      <c r="D8" s="207"/>
      <c r="E8" s="208"/>
      <c r="F8" s="39" t="s">
        <v>39</v>
      </c>
      <c r="G8" s="209" t="s">
        <v>30</v>
      </c>
      <c r="H8" s="211"/>
      <c r="I8" s="213"/>
      <c r="J8" s="213"/>
      <c r="K8" s="213"/>
      <c r="L8" s="213"/>
      <c r="M8" s="213"/>
      <c r="N8" s="193"/>
      <c r="O8" s="192"/>
      <c r="P8" s="193"/>
      <c r="Q8" s="193"/>
      <c r="R8" s="193"/>
      <c r="S8" s="193"/>
      <c r="T8" s="213"/>
      <c r="U8" s="193"/>
      <c r="V8" s="247"/>
      <c r="W8" s="242"/>
      <c r="X8" s="244"/>
      <c r="Y8" s="244"/>
      <c r="Z8" s="242"/>
      <c r="AA8" s="239"/>
      <c r="AB8" s="236"/>
      <c r="AC8" s="235"/>
      <c r="AD8" s="231"/>
      <c r="AE8" s="234"/>
      <c r="AF8" s="231"/>
      <c r="AG8" s="228"/>
    </row>
    <row r="9" spans="1:33" ht="20.25" customHeight="1">
      <c r="A9" s="41">
        <v>1</v>
      </c>
      <c r="B9" s="41">
        <v>2</v>
      </c>
      <c r="C9" s="41">
        <v>3</v>
      </c>
      <c r="D9" s="214">
        <v>4</v>
      </c>
      <c r="E9" s="215"/>
      <c r="F9" s="41">
        <v>5</v>
      </c>
      <c r="G9" s="41"/>
      <c r="H9" s="41"/>
      <c r="I9" s="41">
        <v>6</v>
      </c>
      <c r="J9" s="41">
        <v>7</v>
      </c>
      <c r="K9" s="41">
        <v>8</v>
      </c>
      <c r="L9" s="41">
        <v>9</v>
      </c>
      <c r="M9" s="41">
        <v>10</v>
      </c>
      <c r="N9" s="41">
        <v>12</v>
      </c>
      <c r="O9" s="42">
        <v>13</v>
      </c>
      <c r="P9" s="41">
        <v>14</v>
      </c>
      <c r="Q9" s="41">
        <v>15</v>
      </c>
      <c r="R9" s="41"/>
      <c r="S9" s="41"/>
      <c r="T9" s="41">
        <v>18</v>
      </c>
      <c r="U9" s="41">
        <v>19</v>
      </c>
      <c r="V9" s="43" t="s">
        <v>198</v>
      </c>
      <c r="W9" s="44">
        <v>20</v>
      </c>
      <c r="X9" s="41">
        <v>21</v>
      </c>
      <c r="Y9" s="41">
        <v>22</v>
      </c>
      <c r="Z9" s="44">
        <v>23</v>
      </c>
      <c r="AA9" s="45">
        <v>24</v>
      </c>
      <c r="AB9" s="139">
        <v>25</v>
      </c>
      <c r="AC9" s="112">
        <v>26</v>
      </c>
      <c r="AD9" s="127" t="s">
        <v>40</v>
      </c>
      <c r="AE9" s="112" t="s">
        <v>180</v>
      </c>
      <c r="AF9" s="128" t="s">
        <v>181</v>
      </c>
      <c r="AG9" s="133" t="s">
        <v>190</v>
      </c>
    </row>
    <row r="10" spans="1:33" ht="18" customHeight="1">
      <c r="A10" s="194">
        <v>1</v>
      </c>
      <c r="B10" s="196">
        <f>'Bang TH nop'!B9</f>
        <v>0</v>
      </c>
      <c r="C10" s="198">
        <f>'Bang TH nop'!C9</f>
        <v>0</v>
      </c>
      <c r="D10" s="199">
        <f>'Bang TH nop'!H9</f>
        <v>0</v>
      </c>
      <c r="E10" s="200"/>
      <c r="F10" s="46"/>
      <c r="G10" s="47"/>
      <c r="H10" s="47"/>
      <c r="I10" s="48">
        <f>'Bang TH nop'!J9</f>
        <v>0</v>
      </c>
      <c r="J10" s="48">
        <f>+'Bang TH nop'!O9</f>
        <v>0</v>
      </c>
      <c r="K10" s="48">
        <f>+'Bang TH nop'!K9</f>
        <v>0</v>
      </c>
      <c r="L10" s="48">
        <f>+'Bang TH nop'!L9</f>
        <v>0</v>
      </c>
      <c r="M10" s="48">
        <f>+'Bang TH nop'!M9</f>
        <v>0</v>
      </c>
      <c r="N10" s="48"/>
      <c r="O10" s="50">
        <f>+'Bang TH nop'!W9</f>
        <v>0</v>
      </c>
      <c r="P10" s="49"/>
      <c r="Q10" s="48"/>
      <c r="R10" s="47"/>
      <c r="S10" s="47"/>
      <c r="T10" s="47"/>
      <c r="U10" s="47"/>
      <c r="V10" s="47"/>
      <c r="W10" s="51"/>
      <c r="X10" s="51"/>
      <c r="Y10" s="47"/>
      <c r="Z10" s="51"/>
      <c r="AA10" s="148"/>
      <c r="AB10" s="140"/>
      <c r="AC10" s="113"/>
      <c r="AD10" s="114"/>
      <c r="AE10" s="115"/>
      <c r="AF10" s="114"/>
      <c r="AG10" s="110"/>
    </row>
    <row r="11" spans="1:33" ht="18" customHeight="1">
      <c r="A11" s="195"/>
      <c r="B11" s="197"/>
      <c r="C11" s="195"/>
      <c r="D11" s="201">
        <f>'Bang TH nop'!I9</f>
        <v>0</v>
      </c>
      <c r="E11" s="202"/>
      <c r="F11" s="52">
        <f>'Bang TH nop'!F9</f>
        <v>0</v>
      </c>
      <c r="G11" s="53"/>
      <c r="H11" s="53"/>
      <c r="I11" s="53">
        <f>IFERROR(F11*680*(((I10-M10)*8+M10*7))/(((I10-M10)*8+M10*7+J10))*$I$4,0)</f>
        <v>0</v>
      </c>
      <c r="J11" s="53">
        <f>IFERROR(F11*680*J10*150%/(((I10-M10)*8+M10*7+J10))*$I$4,0)</f>
        <v>0</v>
      </c>
      <c r="K11" s="54">
        <f>IFERROR(ROUND(D11/26*K10,0),0)</f>
        <v>0</v>
      </c>
      <c r="L11" s="54">
        <f>IFERROR(ROUND(D11/26*L10,0),0)</f>
        <v>0</v>
      </c>
      <c r="M11" s="54">
        <f>IFERROR(ROUND(D11/26*M10,0),0)</f>
        <v>0</v>
      </c>
      <c r="N11" s="53">
        <f>IFERROR('Bang TH nop'!T9,0)+IFERROR('Bang TH nop'!P9,0)</f>
        <v>0</v>
      </c>
      <c r="O11" s="54">
        <f>+'Bang TH nop'!X9</f>
        <v>0</v>
      </c>
      <c r="P11" s="54">
        <f>+'Bang TH nop'!Q9</f>
        <v>0</v>
      </c>
      <c r="Q11" s="53">
        <f>+'Bang TH nop'!R9</f>
        <v>0</v>
      </c>
      <c r="R11" s="53">
        <f>IFERROR(MAX(G11-I11,0),0)</f>
        <v>0</v>
      </c>
      <c r="S11" s="53">
        <f>IFERROR(MAX(H11-J11,0),0)</f>
        <v>0</v>
      </c>
      <c r="T11" s="53">
        <f>+'Bang TH nop'!W9</f>
        <v>0</v>
      </c>
      <c r="U11" s="53"/>
      <c r="V11" s="53">
        <f>+'Bang TH nop'!Y9</f>
        <v>0</v>
      </c>
      <c r="W11" s="54" cm="1">
        <f t="array" ref="W11">SUM(IFERROR(I11:Q11,0))+IFERROR(T11,0)+IFERROR(U11,0)+IFERROR(V11,0)</f>
        <v>0</v>
      </c>
      <c r="X11" s="53">
        <f>IFERROR(IF((26-(IFERROR(I10,0)+IFERROR(M10,0)+IFERROR(K10,0)+IFERROR(L10,0)))&gt;12,0,D11*10.5%),0)</f>
        <v>0</v>
      </c>
      <c r="Y11" s="53">
        <f>IFERROR(ROUND(IF(D11=4939000,D11*0.5%,0),-2),0)</f>
        <v>0</v>
      </c>
      <c r="Z11" s="54">
        <f>IFERROR(ROUND(W11-X11-Y11,-2),0)</f>
        <v>0</v>
      </c>
      <c r="AA11" s="149">
        <f>IFERROR('Bang TH nop'!J9,0)+IFERROR('Bang TH nop'!V7,0)</f>
        <v>0</v>
      </c>
      <c r="AB11" s="140"/>
      <c r="AC11" s="55"/>
      <c r="AD11" s="152">
        <f>IFERROR(AC11/AB11,0)</f>
        <v>0</v>
      </c>
      <c r="AE11" s="129">
        <f>IFERROR(AG11/AA11,0)</f>
        <v>0</v>
      </c>
      <c r="AF11" s="120">
        <f>IFERROR(AE11/AD11,0)</f>
        <v>0</v>
      </c>
      <c r="AG11" s="121">
        <f>IFERROR(W11-L11,0)</f>
        <v>0</v>
      </c>
    </row>
    <row r="12" spans="1:33" ht="18" customHeight="1">
      <c r="A12" s="194">
        <v>2</v>
      </c>
      <c r="B12" s="196">
        <f>'Bang TH nop'!B11</f>
        <v>0</v>
      </c>
      <c r="C12" s="198">
        <f>'Bang TH nop'!C11</f>
        <v>0</v>
      </c>
      <c r="D12" s="199">
        <f>'Bang TH nop'!H11</f>
        <v>0</v>
      </c>
      <c r="E12" s="200"/>
      <c r="F12" s="46"/>
      <c r="G12" s="47"/>
      <c r="H12" s="47"/>
      <c r="I12" s="48">
        <f>'Bang TH nop'!J11</f>
        <v>0</v>
      </c>
      <c r="J12" s="48">
        <f>+'Bang TH nop'!O11</f>
        <v>0</v>
      </c>
      <c r="K12" s="48">
        <f>+'Bang TH nop'!K11</f>
        <v>0</v>
      </c>
      <c r="L12" s="48">
        <f>+'Bang TH nop'!L11</f>
        <v>0</v>
      </c>
      <c r="M12" s="48">
        <f>+'Bang TH nop'!M11</f>
        <v>0</v>
      </c>
      <c r="N12" s="48"/>
      <c r="O12" s="50">
        <f>+'Bang TH nop'!W11</f>
        <v>0</v>
      </c>
      <c r="P12" s="49"/>
      <c r="Q12" s="48"/>
      <c r="R12" s="47"/>
      <c r="S12" s="47"/>
      <c r="T12" s="47"/>
      <c r="U12" s="47"/>
      <c r="V12" s="47"/>
      <c r="W12" s="51"/>
      <c r="X12" s="51"/>
      <c r="Y12" s="47"/>
      <c r="Z12" s="51"/>
      <c r="AA12" s="148"/>
      <c r="AB12" s="140"/>
      <c r="AC12" s="113"/>
      <c r="AD12" s="114"/>
      <c r="AE12" s="115"/>
      <c r="AF12" s="114"/>
      <c r="AG12" s="110"/>
    </row>
    <row r="13" spans="1:33" ht="18" customHeight="1">
      <c r="A13" s="195"/>
      <c r="B13" s="197"/>
      <c r="C13" s="195"/>
      <c r="D13" s="201">
        <f>'Bang TH nop'!I11</f>
        <v>0</v>
      </c>
      <c r="E13" s="202"/>
      <c r="F13" s="52">
        <f>'Bang TH nop'!F11</f>
        <v>0</v>
      </c>
      <c r="G13" s="53"/>
      <c r="H13" s="53"/>
      <c r="I13" s="53">
        <f t="shared" ref="I13" si="0">IFERROR(F13*680*(((I12-M12)*8+M12*7))/(((I12-M12)*8+M12*7+J12))*$I$4,0)</f>
        <v>0</v>
      </c>
      <c r="J13" s="53">
        <f t="shared" ref="J13" si="1">IFERROR(F13*680*J12*150%/(((I12-M12)*8+M12*7+J12))*$I$4,0)</f>
        <v>0</v>
      </c>
      <c r="K13" s="54">
        <f t="shared" ref="K13" si="2">IFERROR(ROUND(D13/26*K12,0),0)</f>
        <v>0</v>
      </c>
      <c r="L13" s="54">
        <f t="shared" ref="L13" si="3">IFERROR(ROUND(D13/26*L12,0),0)</f>
        <v>0</v>
      </c>
      <c r="M13" s="54">
        <f t="shared" ref="M13" si="4">IFERROR(ROUND(D13/26*M12,0),0)</f>
        <v>0</v>
      </c>
      <c r="N13" s="53">
        <f>IFERROR('Bang TH nop'!T11,0)+IFERROR('Bang TH nop'!P11,0)</f>
        <v>0</v>
      </c>
      <c r="O13" s="54">
        <f>+'Bang TH nop'!X11</f>
        <v>0</v>
      </c>
      <c r="P13" s="54">
        <f>+'Bang TH nop'!Q11</f>
        <v>0</v>
      </c>
      <c r="Q13" s="53">
        <f>+'Bang TH nop'!R11</f>
        <v>0</v>
      </c>
      <c r="R13" s="53">
        <f t="shared" ref="R13" si="5">IFERROR(MAX(G13-I13,0),0)</f>
        <v>0</v>
      </c>
      <c r="S13" s="53">
        <f t="shared" ref="S13" si="6">IFERROR(MAX(H13-J13,0),0)</f>
        <v>0</v>
      </c>
      <c r="T13" s="53">
        <f>+'Bang TH nop'!W11</f>
        <v>0</v>
      </c>
      <c r="U13" s="53"/>
      <c r="V13" s="53">
        <f>+'Bang TH nop'!Y11</f>
        <v>0</v>
      </c>
      <c r="W13" s="54" cm="1">
        <f t="array" ref="W13">SUM(IFERROR(I13:Q13,0))+IFERROR(T13,0)+IFERROR(U13,0)+IFERROR(V13,0)</f>
        <v>0</v>
      </c>
      <c r="X13" s="53">
        <f t="shared" ref="X13" si="7">IFERROR(IF((26-(IFERROR(I12,0)+IFERROR(M12,0)+IFERROR(K12,0)+IFERROR(L12,0)))&gt;12,0,D13*10.5%),0)</f>
        <v>0</v>
      </c>
      <c r="Y13" s="53">
        <f t="shared" ref="Y13" si="8">IFERROR(ROUND(IF(D13=4939000,D13*0.5%,0),-2),0)</f>
        <v>0</v>
      </c>
      <c r="Z13" s="54">
        <f t="shared" ref="Z13" si="9">IFERROR(ROUND(W13-X13-Y13,-2),0)</f>
        <v>0</v>
      </c>
      <c r="AA13" s="149">
        <f>IFERROR('Bang TH nop'!J11,0)+IFERROR('Bang TH nop'!V9,0)</f>
        <v>0</v>
      </c>
      <c r="AB13" s="140"/>
      <c r="AC13" s="55"/>
      <c r="AD13" s="152">
        <f t="shared" ref="AD13" si="10">IFERROR(AC13/AB13,0)</f>
        <v>0</v>
      </c>
      <c r="AE13" s="129">
        <f t="shared" ref="AE13" si="11">IFERROR(AG13/AA13,0)</f>
        <v>0</v>
      </c>
      <c r="AF13" s="120">
        <f t="shared" ref="AF13" si="12">IFERROR(AE13/AD13,0)</f>
        <v>0</v>
      </c>
      <c r="AG13" s="121">
        <f t="shared" ref="AG13" si="13">IFERROR(W13-L13,0)</f>
        <v>0</v>
      </c>
    </row>
    <row r="14" spans="1:33" ht="18" customHeight="1">
      <c r="A14" s="194">
        <v>3</v>
      </c>
      <c r="B14" s="196">
        <f>'Bang TH nop'!B13</f>
        <v>0</v>
      </c>
      <c r="C14" s="198">
        <f>'Bang TH nop'!C13</f>
        <v>0</v>
      </c>
      <c r="D14" s="199">
        <f>'Bang TH nop'!H13</f>
        <v>0</v>
      </c>
      <c r="E14" s="200"/>
      <c r="F14" s="46"/>
      <c r="G14" s="47"/>
      <c r="H14" s="47"/>
      <c r="I14" s="48">
        <f>'Bang TH nop'!J13</f>
        <v>0</v>
      </c>
      <c r="J14" s="48">
        <f>+'Bang TH nop'!O13</f>
        <v>0</v>
      </c>
      <c r="K14" s="48">
        <f>+'Bang TH nop'!K13</f>
        <v>0</v>
      </c>
      <c r="L14" s="48">
        <f>+'Bang TH nop'!L13</f>
        <v>0</v>
      </c>
      <c r="M14" s="48">
        <f>+'Bang TH nop'!M13</f>
        <v>0</v>
      </c>
      <c r="N14" s="48"/>
      <c r="O14" s="50">
        <f>+'Bang TH nop'!W13</f>
        <v>0</v>
      </c>
      <c r="P14" s="49"/>
      <c r="Q14" s="48"/>
      <c r="R14" s="47"/>
      <c r="S14" s="47"/>
      <c r="T14" s="47"/>
      <c r="U14" s="47"/>
      <c r="V14" s="47"/>
      <c r="W14" s="51"/>
      <c r="X14" s="51"/>
      <c r="Y14" s="47"/>
      <c r="Z14" s="51"/>
      <c r="AA14" s="148"/>
      <c r="AB14" s="140"/>
      <c r="AC14" s="113"/>
      <c r="AD14" s="114"/>
      <c r="AE14" s="115"/>
      <c r="AF14" s="114"/>
      <c r="AG14" s="110"/>
    </row>
    <row r="15" spans="1:33" ht="18" customHeight="1">
      <c r="A15" s="195"/>
      <c r="B15" s="197"/>
      <c r="C15" s="195"/>
      <c r="D15" s="201">
        <f>'Bang TH nop'!I13</f>
        <v>0</v>
      </c>
      <c r="E15" s="202"/>
      <c r="F15" s="52">
        <f>'Bang TH nop'!F13</f>
        <v>0</v>
      </c>
      <c r="G15" s="53"/>
      <c r="H15" s="53"/>
      <c r="I15" s="53">
        <f t="shared" ref="I15" si="14">IFERROR(F15*680*(((I14-M14)*8+M14*7))/(((I14-M14)*8+M14*7+J14))*$I$4,0)</f>
        <v>0</v>
      </c>
      <c r="J15" s="53">
        <f t="shared" ref="J15" si="15">IFERROR(F15*680*J14*150%/(((I14-M14)*8+M14*7+J14))*$I$4,0)</f>
        <v>0</v>
      </c>
      <c r="K15" s="54">
        <f t="shared" ref="K15" si="16">IFERROR(ROUND(D15/26*K14,0),0)</f>
        <v>0</v>
      </c>
      <c r="L15" s="54">
        <f t="shared" ref="L15" si="17">IFERROR(ROUND(D15/26*L14,0),0)</f>
        <v>0</v>
      </c>
      <c r="M15" s="54">
        <f t="shared" ref="M15" si="18">IFERROR(ROUND(D15/26*M14,0),0)</f>
        <v>0</v>
      </c>
      <c r="N15" s="53">
        <f>IFERROR('Bang TH nop'!T13,0)+IFERROR('Bang TH nop'!P13,0)</f>
        <v>0</v>
      </c>
      <c r="O15" s="54">
        <f>+'Bang TH nop'!X13</f>
        <v>0</v>
      </c>
      <c r="P15" s="54">
        <f>+'Bang TH nop'!Q13</f>
        <v>0</v>
      </c>
      <c r="Q15" s="53">
        <f>+'Bang TH nop'!R13</f>
        <v>0</v>
      </c>
      <c r="R15" s="53">
        <f t="shared" ref="R15" si="19">IFERROR(MAX(G15-I15,0),0)</f>
        <v>0</v>
      </c>
      <c r="S15" s="53">
        <f t="shared" ref="S15" si="20">IFERROR(MAX(H15-J15,0),0)</f>
        <v>0</v>
      </c>
      <c r="T15" s="53">
        <f>+'Bang TH nop'!W13</f>
        <v>0</v>
      </c>
      <c r="U15" s="53"/>
      <c r="V15" s="53">
        <f>+'Bang TH nop'!Y13</f>
        <v>0</v>
      </c>
      <c r="W15" s="54" cm="1">
        <f t="array" ref="W15">SUM(IFERROR(I15:Q15,0))+IFERROR(T15,0)+IFERROR(U15,0)+IFERROR(V15,0)</f>
        <v>0</v>
      </c>
      <c r="X15" s="53">
        <f t="shared" ref="X15" si="21">IFERROR(IF((26-(IFERROR(I14,0)+IFERROR(M14,0)+IFERROR(K14,0)+IFERROR(L14,0)))&gt;12,0,D15*10.5%),0)</f>
        <v>0</v>
      </c>
      <c r="Y15" s="53">
        <f t="shared" ref="Y15" si="22">IFERROR(ROUND(IF(D15=4939000,D15*0.5%,0),-2),0)</f>
        <v>0</v>
      </c>
      <c r="Z15" s="54">
        <f t="shared" ref="Z15" si="23">IFERROR(ROUND(W15-X15-Y15,-2),0)</f>
        <v>0</v>
      </c>
      <c r="AA15" s="149">
        <f>IFERROR('Bang TH nop'!J13,0)+IFERROR('Bang TH nop'!V11,0)</f>
        <v>0</v>
      </c>
      <c r="AB15" s="140"/>
      <c r="AC15" s="55"/>
      <c r="AD15" s="152">
        <f t="shared" ref="AD15" si="24">IFERROR(AC15/AB15,0)</f>
        <v>0</v>
      </c>
      <c r="AE15" s="129">
        <f t="shared" ref="AE15" si="25">IFERROR(AG15/AA15,0)</f>
        <v>0</v>
      </c>
      <c r="AF15" s="120">
        <f t="shared" ref="AF15" si="26">IFERROR(AE15/AD15,0)</f>
        <v>0</v>
      </c>
      <c r="AG15" s="121">
        <f t="shared" ref="AG15" si="27">IFERROR(W15-L15,0)</f>
        <v>0</v>
      </c>
    </row>
    <row r="16" spans="1:33" ht="18" customHeight="1">
      <c r="A16" s="194">
        <v>4</v>
      </c>
      <c r="B16" s="196">
        <f>'Bang TH nop'!B15</f>
        <v>0</v>
      </c>
      <c r="C16" s="198">
        <f>'Bang TH nop'!C15</f>
        <v>0</v>
      </c>
      <c r="D16" s="199">
        <f>'Bang TH nop'!H15</f>
        <v>0</v>
      </c>
      <c r="E16" s="200"/>
      <c r="F16" s="46"/>
      <c r="G16" s="47"/>
      <c r="H16" s="47"/>
      <c r="I16" s="48">
        <f>'Bang TH nop'!J15</f>
        <v>0</v>
      </c>
      <c r="J16" s="48">
        <f>+'Bang TH nop'!O15</f>
        <v>0</v>
      </c>
      <c r="K16" s="48">
        <f>+'Bang TH nop'!K15</f>
        <v>0</v>
      </c>
      <c r="L16" s="48">
        <f>+'Bang TH nop'!L15</f>
        <v>0</v>
      </c>
      <c r="M16" s="48">
        <f>+'Bang TH nop'!M15</f>
        <v>0</v>
      </c>
      <c r="N16" s="48"/>
      <c r="O16" s="50">
        <f>+'Bang TH nop'!W15</f>
        <v>0</v>
      </c>
      <c r="P16" s="49"/>
      <c r="Q16" s="48"/>
      <c r="R16" s="47"/>
      <c r="S16" s="47"/>
      <c r="T16" s="47"/>
      <c r="U16" s="47"/>
      <c r="V16" s="47"/>
      <c r="W16" s="51"/>
      <c r="X16" s="51"/>
      <c r="Y16" s="47"/>
      <c r="Z16" s="51"/>
      <c r="AA16" s="148"/>
      <c r="AB16" s="140"/>
      <c r="AC16" s="113"/>
      <c r="AD16" s="114"/>
      <c r="AE16" s="115"/>
      <c r="AF16" s="114"/>
      <c r="AG16" s="110"/>
    </row>
    <row r="17" spans="1:33" ht="18" customHeight="1">
      <c r="A17" s="195"/>
      <c r="B17" s="197"/>
      <c r="C17" s="195"/>
      <c r="D17" s="201">
        <f>'Bang TH nop'!I15</f>
        <v>0</v>
      </c>
      <c r="E17" s="202"/>
      <c r="F17" s="52">
        <f>'Bang TH nop'!F15</f>
        <v>0</v>
      </c>
      <c r="G17" s="53"/>
      <c r="H17" s="53"/>
      <c r="I17" s="53">
        <f t="shared" ref="I17" si="28">IFERROR(F17*680*(((I16-M16)*8+M16*7))/(((I16-M16)*8+M16*7+J16))*$I$4,0)</f>
        <v>0</v>
      </c>
      <c r="J17" s="53">
        <f t="shared" ref="J17" si="29">IFERROR(F17*680*J16*150%/(((I16-M16)*8+M16*7+J16))*$I$4,0)</f>
        <v>0</v>
      </c>
      <c r="K17" s="54">
        <f t="shared" ref="K17" si="30">IFERROR(ROUND(D17/26*K16,0),0)</f>
        <v>0</v>
      </c>
      <c r="L17" s="54">
        <f t="shared" ref="L17" si="31">IFERROR(ROUND(D17/26*L16,0),0)</f>
        <v>0</v>
      </c>
      <c r="M17" s="54">
        <f t="shared" ref="M17" si="32">IFERROR(ROUND(D17/26*M16,0),0)</f>
        <v>0</v>
      </c>
      <c r="N17" s="53">
        <f>IFERROR('Bang TH nop'!T15,0)+IFERROR('Bang TH nop'!P15,0)</f>
        <v>0</v>
      </c>
      <c r="O17" s="54">
        <f>+'Bang TH nop'!X15</f>
        <v>0</v>
      </c>
      <c r="P17" s="54">
        <f>+'Bang TH nop'!Q15</f>
        <v>0</v>
      </c>
      <c r="Q17" s="53">
        <f>+'Bang TH nop'!R15</f>
        <v>0</v>
      </c>
      <c r="R17" s="53">
        <f t="shared" ref="R17" si="33">IFERROR(MAX(G17-I17,0),0)</f>
        <v>0</v>
      </c>
      <c r="S17" s="53">
        <f t="shared" ref="S17" si="34">IFERROR(MAX(H17-J17,0),0)</f>
        <v>0</v>
      </c>
      <c r="T17" s="53">
        <f>+'Bang TH nop'!W15</f>
        <v>0</v>
      </c>
      <c r="U17" s="53"/>
      <c r="V17" s="53">
        <f>+'Bang TH nop'!Y15</f>
        <v>0</v>
      </c>
      <c r="W17" s="54" cm="1">
        <f t="array" ref="W17">SUM(IFERROR(I17:Q17,0))+IFERROR(T17,0)+IFERROR(U17,0)+IFERROR(V17,0)</f>
        <v>0</v>
      </c>
      <c r="X17" s="53">
        <f t="shared" ref="X17" si="35">IFERROR(IF((26-(IFERROR(I16,0)+IFERROR(M16,0)+IFERROR(K16,0)+IFERROR(L16,0)))&gt;12,0,D17*10.5%),0)</f>
        <v>0</v>
      </c>
      <c r="Y17" s="53">
        <f t="shared" ref="Y17" si="36">IFERROR(ROUND(IF(D17=4939000,D17*0.5%,0),-2),0)</f>
        <v>0</v>
      </c>
      <c r="Z17" s="54">
        <f t="shared" ref="Z17" si="37">IFERROR(ROUND(W17-X17-Y17,-2),0)</f>
        <v>0</v>
      </c>
      <c r="AA17" s="149">
        <f>IFERROR('Bang TH nop'!J15,0)+IFERROR('Bang TH nop'!V13,0)</f>
        <v>0</v>
      </c>
      <c r="AB17" s="140"/>
      <c r="AC17" s="55"/>
      <c r="AD17" s="152">
        <f t="shared" ref="AD17" si="38">IFERROR(AC17/AB17,0)</f>
        <v>0</v>
      </c>
      <c r="AE17" s="129">
        <f t="shared" ref="AE17" si="39">IFERROR(AG17/AA17,0)</f>
        <v>0</v>
      </c>
      <c r="AF17" s="120">
        <f t="shared" ref="AF17" si="40">IFERROR(AE17/AD17,0)</f>
        <v>0</v>
      </c>
      <c r="AG17" s="121">
        <f t="shared" ref="AG17" si="41">IFERROR(W17-L17,0)</f>
        <v>0</v>
      </c>
    </row>
    <row r="18" spans="1:33" ht="18" customHeight="1">
      <c r="A18" s="194">
        <v>5</v>
      </c>
      <c r="B18" s="196">
        <f>'Bang TH nop'!B17</f>
        <v>0</v>
      </c>
      <c r="C18" s="198">
        <f>'Bang TH nop'!C17</f>
        <v>0</v>
      </c>
      <c r="D18" s="199">
        <f>'Bang TH nop'!H17</f>
        <v>0</v>
      </c>
      <c r="E18" s="200"/>
      <c r="F18" s="46"/>
      <c r="G18" s="47"/>
      <c r="H18" s="47"/>
      <c r="I18" s="48">
        <f>'Bang TH nop'!J17</f>
        <v>0</v>
      </c>
      <c r="J18" s="48">
        <f>+'Bang TH nop'!O17</f>
        <v>0</v>
      </c>
      <c r="K18" s="48">
        <f>+'Bang TH nop'!K17</f>
        <v>0</v>
      </c>
      <c r="L18" s="48">
        <f>+'Bang TH nop'!L17</f>
        <v>0</v>
      </c>
      <c r="M18" s="48">
        <f>+'Bang TH nop'!M17</f>
        <v>0</v>
      </c>
      <c r="N18" s="48"/>
      <c r="O18" s="50">
        <f>+'Bang TH nop'!W17</f>
        <v>0</v>
      </c>
      <c r="P18" s="49"/>
      <c r="Q18" s="48"/>
      <c r="R18" s="47"/>
      <c r="S18" s="47"/>
      <c r="T18" s="47"/>
      <c r="U18" s="47"/>
      <c r="V18" s="47"/>
      <c r="W18" s="51"/>
      <c r="X18" s="51"/>
      <c r="Y18" s="47"/>
      <c r="Z18" s="51"/>
      <c r="AA18" s="148"/>
      <c r="AB18" s="140"/>
      <c r="AC18" s="113"/>
      <c r="AD18" s="114"/>
      <c r="AE18" s="115"/>
      <c r="AF18" s="114"/>
      <c r="AG18" s="110"/>
    </row>
    <row r="19" spans="1:33" ht="18" customHeight="1">
      <c r="A19" s="195"/>
      <c r="B19" s="197"/>
      <c r="C19" s="195"/>
      <c r="D19" s="201">
        <f>'Bang TH nop'!I17</f>
        <v>0</v>
      </c>
      <c r="E19" s="202"/>
      <c r="F19" s="52">
        <f>'Bang TH nop'!F17</f>
        <v>0</v>
      </c>
      <c r="G19" s="53"/>
      <c r="H19" s="53"/>
      <c r="I19" s="53">
        <f t="shared" ref="I19" si="42">IFERROR(F19*680*(((I18-M18)*8+M18*7))/(((I18-M18)*8+M18*7+J18))*$I$4,0)</f>
        <v>0</v>
      </c>
      <c r="J19" s="53">
        <f t="shared" ref="J19" si="43">IFERROR(F19*680*J18*150%/(((I18-M18)*8+M18*7+J18))*$I$4,0)</f>
        <v>0</v>
      </c>
      <c r="K19" s="54">
        <f t="shared" ref="K19" si="44">IFERROR(ROUND(D19/26*K18,0),0)</f>
        <v>0</v>
      </c>
      <c r="L19" s="54">
        <f t="shared" ref="L19" si="45">IFERROR(ROUND(D19/26*L18,0),0)</f>
        <v>0</v>
      </c>
      <c r="M19" s="54">
        <f t="shared" ref="M19" si="46">IFERROR(ROUND(D19/26*M18,0),0)</f>
        <v>0</v>
      </c>
      <c r="N19" s="53">
        <f>IFERROR('Bang TH nop'!T17,0)+IFERROR('Bang TH nop'!P17,0)</f>
        <v>0</v>
      </c>
      <c r="O19" s="54">
        <f>+'Bang TH nop'!X17</f>
        <v>0</v>
      </c>
      <c r="P19" s="54">
        <f>+'Bang TH nop'!Q17</f>
        <v>0</v>
      </c>
      <c r="Q19" s="53">
        <f>+'Bang TH nop'!R17</f>
        <v>0</v>
      </c>
      <c r="R19" s="53">
        <f t="shared" ref="R19" si="47">IFERROR(MAX(G19-I19,0),0)</f>
        <v>0</v>
      </c>
      <c r="S19" s="53">
        <f t="shared" ref="S19" si="48">IFERROR(MAX(H19-J19,0),0)</f>
        <v>0</v>
      </c>
      <c r="T19" s="53">
        <f>+'Bang TH nop'!W17</f>
        <v>0</v>
      </c>
      <c r="U19" s="53"/>
      <c r="V19" s="53">
        <f>+'Bang TH nop'!Y17</f>
        <v>0</v>
      </c>
      <c r="W19" s="54" cm="1">
        <f t="array" ref="W19">SUM(IFERROR(I19:Q19,0))+IFERROR(T19,0)+IFERROR(U19,0)+IFERROR(V19,0)</f>
        <v>0</v>
      </c>
      <c r="X19" s="53">
        <f t="shared" ref="X19" si="49">IFERROR(IF((26-(IFERROR(I18,0)+IFERROR(M18,0)+IFERROR(K18,0)+IFERROR(L18,0)))&gt;12,0,D19*10.5%),0)</f>
        <v>0</v>
      </c>
      <c r="Y19" s="53">
        <f t="shared" ref="Y19" si="50">IFERROR(ROUND(IF(D19=4939000,D19*0.5%,0),-2),0)</f>
        <v>0</v>
      </c>
      <c r="Z19" s="54">
        <f t="shared" ref="Z19" si="51">IFERROR(ROUND(W19-X19-Y19,-2),0)</f>
        <v>0</v>
      </c>
      <c r="AA19" s="149">
        <f>IFERROR('Bang TH nop'!J17,0)+IFERROR('Bang TH nop'!V15,0)</f>
        <v>0</v>
      </c>
      <c r="AB19" s="140"/>
      <c r="AC19" s="55"/>
      <c r="AD19" s="152">
        <f t="shared" ref="AD19" si="52">IFERROR(AC19/AB19,0)</f>
        <v>0</v>
      </c>
      <c r="AE19" s="129">
        <f t="shared" ref="AE19" si="53">IFERROR(AG19/AA19,0)</f>
        <v>0</v>
      </c>
      <c r="AF19" s="120">
        <f t="shared" ref="AF19" si="54">IFERROR(AE19/AD19,0)</f>
        <v>0</v>
      </c>
      <c r="AG19" s="121">
        <f t="shared" ref="AG19" si="55">IFERROR(W19-L19,0)</f>
        <v>0</v>
      </c>
    </row>
    <row r="20" spans="1:33" ht="18" customHeight="1">
      <c r="A20" s="194">
        <v>6</v>
      </c>
      <c r="B20" s="196">
        <f>'Bang TH nop'!B19</f>
        <v>0</v>
      </c>
      <c r="C20" s="198">
        <f>'Bang TH nop'!C19</f>
        <v>0</v>
      </c>
      <c r="D20" s="199">
        <f>'Bang TH nop'!H19</f>
        <v>0</v>
      </c>
      <c r="E20" s="200"/>
      <c r="F20" s="46"/>
      <c r="G20" s="47"/>
      <c r="H20" s="47"/>
      <c r="I20" s="48">
        <f>'Bang TH nop'!J19</f>
        <v>0</v>
      </c>
      <c r="J20" s="48">
        <f>+'Bang TH nop'!O19</f>
        <v>0</v>
      </c>
      <c r="K20" s="48">
        <f>+'Bang TH nop'!K19</f>
        <v>0</v>
      </c>
      <c r="L20" s="48">
        <f>+'Bang TH nop'!L19</f>
        <v>0</v>
      </c>
      <c r="M20" s="48">
        <f>+'Bang TH nop'!M19</f>
        <v>0</v>
      </c>
      <c r="N20" s="48"/>
      <c r="O20" s="50">
        <f>+'Bang TH nop'!W19</f>
        <v>0</v>
      </c>
      <c r="P20" s="49"/>
      <c r="Q20" s="48"/>
      <c r="R20" s="47"/>
      <c r="S20" s="47"/>
      <c r="T20" s="47"/>
      <c r="U20" s="47"/>
      <c r="V20" s="47"/>
      <c r="W20" s="51"/>
      <c r="X20" s="51"/>
      <c r="Y20" s="47"/>
      <c r="Z20" s="51"/>
      <c r="AA20" s="148"/>
      <c r="AB20" s="140"/>
      <c r="AC20" s="113"/>
      <c r="AD20" s="114"/>
      <c r="AE20" s="115"/>
      <c r="AF20" s="114"/>
      <c r="AG20" s="110"/>
    </row>
    <row r="21" spans="1:33" ht="18" customHeight="1">
      <c r="A21" s="195"/>
      <c r="B21" s="197"/>
      <c r="C21" s="195"/>
      <c r="D21" s="201">
        <f>'Bang TH nop'!I19</f>
        <v>0</v>
      </c>
      <c r="E21" s="202"/>
      <c r="F21" s="52">
        <f>'Bang TH nop'!F19</f>
        <v>0</v>
      </c>
      <c r="G21" s="53"/>
      <c r="H21" s="53"/>
      <c r="I21" s="53">
        <f t="shared" ref="I21" si="56">IFERROR(F21*680*(((I20-M20)*8+M20*7))/(((I20-M20)*8+M20*7+J20))*$I$4,0)</f>
        <v>0</v>
      </c>
      <c r="J21" s="53">
        <f t="shared" ref="J21" si="57">IFERROR(F21*680*J20*150%/(((I20-M20)*8+M20*7+J20))*$I$4,0)</f>
        <v>0</v>
      </c>
      <c r="K21" s="54">
        <f t="shared" ref="K21" si="58">IFERROR(ROUND(D21/26*K20,0),0)</f>
        <v>0</v>
      </c>
      <c r="L21" s="54">
        <f t="shared" ref="L21" si="59">IFERROR(ROUND(D21/26*L20,0),0)</f>
        <v>0</v>
      </c>
      <c r="M21" s="54">
        <f t="shared" ref="M21" si="60">IFERROR(ROUND(D21/26*M20,0),0)</f>
        <v>0</v>
      </c>
      <c r="N21" s="53">
        <f>IFERROR('Bang TH nop'!T19,0)+IFERROR('Bang TH nop'!P19,0)</f>
        <v>0</v>
      </c>
      <c r="O21" s="54">
        <f>+'Bang TH nop'!X19</f>
        <v>0</v>
      </c>
      <c r="P21" s="54">
        <f>+'Bang TH nop'!Q19</f>
        <v>0</v>
      </c>
      <c r="Q21" s="53">
        <f>+'Bang TH nop'!R19</f>
        <v>0</v>
      </c>
      <c r="R21" s="53">
        <f t="shared" ref="R21" si="61">IFERROR(MAX(G21-I21,0),0)</f>
        <v>0</v>
      </c>
      <c r="S21" s="53">
        <f t="shared" ref="S21" si="62">IFERROR(MAX(H21-J21,0),0)</f>
        <v>0</v>
      </c>
      <c r="T21" s="53">
        <f>+'Bang TH nop'!W19</f>
        <v>0</v>
      </c>
      <c r="U21" s="53"/>
      <c r="V21" s="53">
        <f>+'Bang TH nop'!Y19</f>
        <v>0</v>
      </c>
      <c r="W21" s="54" cm="1">
        <f t="array" ref="W21">SUM(IFERROR(I21:Q21,0))+IFERROR(T21,0)+IFERROR(U21,0)+IFERROR(V21,0)</f>
        <v>0</v>
      </c>
      <c r="X21" s="53">
        <f t="shared" ref="X21" si="63">IFERROR(IF((26-(IFERROR(I20,0)+IFERROR(M20,0)+IFERROR(K20,0)+IFERROR(L20,0)))&gt;12,0,D21*10.5%),0)</f>
        <v>0</v>
      </c>
      <c r="Y21" s="53">
        <f t="shared" ref="Y21" si="64">IFERROR(ROUND(IF(D21=4939000,D21*0.5%,0),-2),0)</f>
        <v>0</v>
      </c>
      <c r="Z21" s="54">
        <f t="shared" ref="Z21" si="65">IFERROR(ROUND(W21-X21-Y21,-2),0)</f>
        <v>0</v>
      </c>
      <c r="AA21" s="149">
        <f>IFERROR('Bang TH nop'!J19,0)+IFERROR('Bang TH nop'!V17,0)</f>
        <v>0</v>
      </c>
      <c r="AB21" s="140"/>
      <c r="AC21" s="55"/>
      <c r="AD21" s="152">
        <f t="shared" ref="AD21" si="66">IFERROR(AC21/AB21,0)</f>
        <v>0</v>
      </c>
      <c r="AE21" s="129">
        <f t="shared" ref="AE21" si="67">IFERROR(AG21/AA21,0)</f>
        <v>0</v>
      </c>
      <c r="AF21" s="120">
        <f t="shared" ref="AF21" si="68">IFERROR(AE21/AD21,0)</f>
        <v>0</v>
      </c>
      <c r="AG21" s="121">
        <f t="shared" ref="AG21" si="69">IFERROR(W21-L21,0)</f>
        <v>0</v>
      </c>
    </row>
    <row r="22" spans="1:33" ht="18" customHeight="1">
      <c r="A22" s="194">
        <v>7</v>
      </c>
      <c r="B22" s="196">
        <f>'Bang TH nop'!B21</f>
        <v>0</v>
      </c>
      <c r="C22" s="198">
        <f>'Bang TH nop'!C21</f>
        <v>0</v>
      </c>
      <c r="D22" s="199">
        <f>'Bang TH nop'!H21</f>
        <v>0</v>
      </c>
      <c r="E22" s="200"/>
      <c r="F22" s="46"/>
      <c r="G22" s="47"/>
      <c r="H22" s="47"/>
      <c r="I22" s="48">
        <f>'Bang TH nop'!J21</f>
        <v>0</v>
      </c>
      <c r="J22" s="48">
        <f>+'Bang TH nop'!O21</f>
        <v>0</v>
      </c>
      <c r="K22" s="48">
        <f>+'Bang TH nop'!K21</f>
        <v>0</v>
      </c>
      <c r="L22" s="48">
        <f>+'Bang TH nop'!L21</f>
        <v>0</v>
      </c>
      <c r="M22" s="48">
        <f>+'Bang TH nop'!M21</f>
        <v>0</v>
      </c>
      <c r="N22" s="48"/>
      <c r="O22" s="50">
        <f>+'Bang TH nop'!W21</f>
        <v>0</v>
      </c>
      <c r="P22" s="49"/>
      <c r="Q22" s="48"/>
      <c r="R22" s="47"/>
      <c r="S22" s="47"/>
      <c r="T22" s="47"/>
      <c r="U22" s="47"/>
      <c r="V22" s="47"/>
      <c r="W22" s="51"/>
      <c r="X22" s="51"/>
      <c r="Y22" s="47"/>
      <c r="Z22" s="51"/>
      <c r="AA22" s="148"/>
      <c r="AB22" s="140"/>
      <c r="AC22" s="113"/>
      <c r="AD22" s="114"/>
      <c r="AE22" s="115"/>
      <c r="AF22" s="114"/>
      <c r="AG22" s="110"/>
    </row>
    <row r="23" spans="1:33" ht="18" customHeight="1">
      <c r="A23" s="195"/>
      <c r="B23" s="197"/>
      <c r="C23" s="195"/>
      <c r="D23" s="201">
        <f>'Bang TH nop'!I21</f>
        <v>0</v>
      </c>
      <c r="E23" s="202"/>
      <c r="F23" s="52">
        <f>'Bang TH nop'!F21</f>
        <v>0</v>
      </c>
      <c r="G23" s="53"/>
      <c r="H23" s="53"/>
      <c r="I23" s="53">
        <f t="shared" ref="I23" si="70">IFERROR(F23*680*(((I22-M22)*8+M22*7))/(((I22-M22)*8+M22*7+J22))*$I$4,0)</f>
        <v>0</v>
      </c>
      <c r="J23" s="53">
        <f t="shared" ref="J23" si="71">IFERROR(F23*680*J22*150%/(((I22-M22)*8+M22*7+J22))*$I$4,0)</f>
        <v>0</v>
      </c>
      <c r="K23" s="54">
        <f t="shared" ref="K23" si="72">IFERROR(ROUND(D23/26*K22,0),0)</f>
        <v>0</v>
      </c>
      <c r="L23" s="54">
        <f t="shared" ref="L23" si="73">IFERROR(ROUND(D23/26*L22,0),0)</f>
        <v>0</v>
      </c>
      <c r="M23" s="54">
        <f t="shared" ref="M23" si="74">IFERROR(ROUND(D23/26*M22,0),0)</f>
        <v>0</v>
      </c>
      <c r="N23" s="53">
        <f>IFERROR('Bang TH nop'!T21,0)+IFERROR('Bang TH nop'!P21,0)</f>
        <v>0</v>
      </c>
      <c r="O23" s="54">
        <f>+'Bang TH nop'!X21</f>
        <v>0</v>
      </c>
      <c r="P23" s="54">
        <f>+'Bang TH nop'!Q21</f>
        <v>0</v>
      </c>
      <c r="Q23" s="53">
        <f>+'Bang TH nop'!R21</f>
        <v>0</v>
      </c>
      <c r="R23" s="53">
        <f t="shared" ref="R23" si="75">IFERROR(MAX(G23-I23,0),0)</f>
        <v>0</v>
      </c>
      <c r="S23" s="53">
        <f t="shared" ref="S23" si="76">IFERROR(MAX(H23-J23,0),0)</f>
        <v>0</v>
      </c>
      <c r="T23" s="53">
        <f>+'Bang TH nop'!W21</f>
        <v>0</v>
      </c>
      <c r="U23" s="53"/>
      <c r="V23" s="53">
        <f>+'Bang TH nop'!Y21</f>
        <v>0</v>
      </c>
      <c r="W23" s="54" cm="1">
        <f t="array" ref="W23">SUM(IFERROR(I23:Q23,0))+IFERROR(T23,0)+IFERROR(U23,0)+IFERROR(V23,0)</f>
        <v>0</v>
      </c>
      <c r="X23" s="53">
        <f t="shared" ref="X23" si="77">IFERROR(IF((26-(IFERROR(I22,0)+IFERROR(M22,0)+IFERROR(K22,0)+IFERROR(L22,0)))&gt;12,0,D23*10.5%),0)</f>
        <v>0</v>
      </c>
      <c r="Y23" s="53">
        <f t="shared" ref="Y23" si="78">IFERROR(ROUND(IF(D23=4939000,D23*0.5%,0),-2),0)</f>
        <v>0</v>
      </c>
      <c r="Z23" s="54">
        <f t="shared" ref="Z23" si="79">IFERROR(ROUND(W23-X23-Y23,-2),0)</f>
        <v>0</v>
      </c>
      <c r="AA23" s="149">
        <f>IFERROR('Bang TH nop'!J21,0)+IFERROR('Bang TH nop'!V19,0)</f>
        <v>0</v>
      </c>
      <c r="AB23" s="140"/>
      <c r="AC23" s="55"/>
      <c r="AD23" s="152">
        <f t="shared" ref="AD23" si="80">IFERROR(AC23/AB23,0)</f>
        <v>0</v>
      </c>
      <c r="AE23" s="129">
        <f t="shared" ref="AE23" si="81">IFERROR(AG23/AA23,0)</f>
        <v>0</v>
      </c>
      <c r="AF23" s="120">
        <f t="shared" ref="AF23" si="82">IFERROR(AE23/AD23,0)</f>
        <v>0</v>
      </c>
      <c r="AG23" s="121">
        <f t="shared" ref="AG23" si="83">IFERROR(W23-L23,0)</f>
        <v>0</v>
      </c>
    </row>
    <row r="24" spans="1:33" ht="18" customHeight="1">
      <c r="A24" s="194">
        <v>8</v>
      </c>
      <c r="B24" s="196">
        <f>'Bang TH nop'!B23</f>
        <v>0</v>
      </c>
      <c r="C24" s="198">
        <f>'Bang TH nop'!C23</f>
        <v>0</v>
      </c>
      <c r="D24" s="199">
        <f>'Bang TH nop'!H23</f>
        <v>0</v>
      </c>
      <c r="E24" s="200"/>
      <c r="F24" s="46"/>
      <c r="G24" s="47"/>
      <c r="H24" s="47"/>
      <c r="I24" s="48">
        <f>'Bang TH nop'!J23</f>
        <v>0</v>
      </c>
      <c r="J24" s="48">
        <f>+'Bang TH nop'!O23</f>
        <v>0</v>
      </c>
      <c r="K24" s="48">
        <f>+'Bang TH nop'!K23</f>
        <v>0</v>
      </c>
      <c r="L24" s="48">
        <f>+'Bang TH nop'!L23</f>
        <v>0</v>
      </c>
      <c r="M24" s="48">
        <f>+'Bang TH nop'!M23</f>
        <v>0</v>
      </c>
      <c r="N24" s="48"/>
      <c r="O24" s="50">
        <f>+'Bang TH nop'!W23</f>
        <v>0</v>
      </c>
      <c r="P24" s="49"/>
      <c r="Q24" s="48"/>
      <c r="R24" s="47"/>
      <c r="S24" s="47"/>
      <c r="T24" s="47"/>
      <c r="U24" s="47"/>
      <c r="V24" s="47"/>
      <c r="W24" s="51"/>
      <c r="X24" s="51"/>
      <c r="Y24" s="47"/>
      <c r="Z24" s="51"/>
      <c r="AA24" s="148"/>
      <c r="AB24" s="140"/>
      <c r="AC24" s="113"/>
      <c r="AD24" s="114"/>
      <c r="AE24" s="115"/>
      <c r="AF24" s="114"/>
      <c r="AG24" s="110"/>
    </row>
    <row r="25" spans="1:33" ht="18" customHeight="1">
      <c r="A25" s="195"/>
      <c r="B25" s="197"/>
      <c r="C25" s="195"/>
      <c r="D25" s="201">
        <f>'Bang TH nop'!I23</f>
        <v>0</v>
      </c>
      <c r="E25" s="202"/>
      <c r="F25" s="52">
        <f>'Bang TH nop'!F23</f>
        <v>0</v>
      </c>
      <c r="G25" s="53"/>
      <c r="H25" s="53"/>
      <c r="I25" s="53">
        <f t="shared" ref="I25" si="84">IFERROR(F25*680*(((I24-M24)*8+M24*7))/(((I24-M24)*8+M24*7+J24))*$I$4,0)</f>
        <v>0</v>
      </c>
      <c r="J25" s="53">
        <f t="shared" ref="J25" si="85">IFERROR(F25*680*J24*150%/(((I24-M24)*8+M24*7+J24))*$I$4,0)</f>
        <v>0</v>
      </c>
      <c r="K25" s="54">
        <f t="shared" ref="K25" si="86">IFERROR(ROUND(D25/26*K24,0),0)</f>
        <v>0</v>
      </c>
      <c r="L25" s="54">
        <f t="shared" ref="L25" si="87">IFERROR(ROUND(D25/26*L24,0),0)</f>
        <v>0</v>
      </c>
      <c r="M25" s="54">
        <f t="shared" ref="M25" si="88">IFERROR(ROUND(D25/26*M24,0),0)</f>
        <v>0</v>
      </c>
      <c r="N25" s="53">
        <f>IFERROR('Bang TH nop'!T23,0)+IFERROR('Bang TH nop'!P23,0)</f>
        <v>0</v>
      </c>
      <c r="O25" s="54">
        <f>+'Bang TH nop'!X23</f>
        <v>0</v>
      </c>
      <c r="P25" s="54">
        <f>+'Bang TH nop'!Q23</f>
        <v>0</v>
      </c>
      <c r="Q25" s="53">
        <f>+'Bang TH nop'!R23</f>
        <v>0</v>
      </c>
      <c r="R25" s="53">
        <f t="shared" ref="R25" si="89">IFERROR(MAX(G25-I25,0),0)</f>
        <v>0</v>
      </c>
      <c r="S25" s="53">
        <f t="shared" ref="S25" si="90">IFERROR(MAX(H25-J25,0),0)</f>
        <v>0</v>
      </c>
      <c r="T25" s="53">
        <f>+'Bang TH nop'!W23</f>
        <v>0</v>
      </c>
      <c r="U25" s="53"/>
      <c r="V25" s="53">
        <f>+'Bang TH nop'!Y23</f>
        <v>0</v>
      </c>
      <c r="W25" s="54" cm="1">
        <f t="array" ref="W25">SUM(IFERROR(I25:Q25,0))+IFERROR(T25,0)+IFERROR(U25,0)+IFERROR(V25,0)</f>
        <v>0</v>
      </c>
      <c r="X25" s="53">
        <f t="shared" ref="X25" si="91">IFERROR(IF((26-(IFERROR(I24,0)+IFERROR(M24,0)+IFERROR(K24,0)+IFERROR(L24,0)))&gt;12,0,D25*10.5%),0)</f>
        <v>0</v>
      </c>
      <c r="Y25" s="53">
        <f t="shared" ref="Y25" si="92">IFERROR(ROUND(IF(D25=4939000,D25*0.5%,0),-2),0)</f>
        <v>0</v>
      </c>
      <c r="Z25" s="54">
        <f t="shared" ref="Z25" si="93">IFERROR(ROUND(W25-X25-Y25,-2),0)</f>
        <v>0</v>
      </c>
      <c r="AA25" s="149">
        <f>IFERROR('Bang TH nop'!J23,0)+IFERROR('Bang TH nop'!V21,0)</f>
        <v>0</v>
      </c>
      <c r="AB25" s="140"/>
      <c r="AC25" s="55"/>
      <c r="AD25" s="152">
        <f t="shared" ref="AD25" si="94">IFERROR(AC25/AB25,0)</f>
        <v>0</v>
      </c>
      <c r="AE25" s="129">
        <f t="shared" ref="AE25" si="95">IFERROR(AG25/AA25,0)</f>
        <v>0</v>
      </c>
      <c r="AF25" s="120">
        <f t="shared" ref="AF25" si="96">IFERROR(AE25/AD25,0)</f>
        <v>0</v>
      </c>
      <c r="AG25" s="121">
        <f t="shared" ref="AG25" si="97">IFERROR(W25-L25,0)</f>
        <v>0</v>
      </c>
    </row>
    <row r="26" spans="1:33" ht="18" customHeight="1">
      <c r="A26" s="194">
        <v>9</v>
      </c>
      <c r="B26" s="196">
        <f>'Bang TH nop'!B25</f>
        <v>0</v>
      </c>
      <c r="C26" s="198">
        <f>'Bang TH nop'!C25</f>
        <v>0</v>
      </c>
      <c r="D26" s="199">
        <f>'Bang TH nop'!H25</f>
        <v>0</v>
      </c>
      <c r="E26" s="200"/>
      <c r="F26" s="46"/>
      <c r="G26" s="47"/>
      <c r="H26" s="47"/>
      <c r="I26" s="48">
        <f>'Bang TH nop'!J25</f>
        <v>0</v>
      </c>
      <c r="J26" s="48">
        <f>+'Bang TH nop'!O25</f>
        <v>0</v>
      </c>
      <c r="K26" s="48">
        <f>+'Bang TH nop'!K25</f>
        <v>0</v>
      </c>
      <c r="L26" s="48">
        <f>+'Bang TH nop'!L25</f>
        <v>0</v>
      </c>
      <c r="M26" s="48">
        <f>+'Bang TH nop'!M25</f>
        <v>0</v>
      </c>
      <c r="N26" s="48"/>
      <c r="O26" s="50">
        <f>+'Bang TH nop'!W25</f>
        <v>0</v>
      </c>
      <c r="P26" s="49"/>
      <c r="Q26" s="48"/>
      <c r="R26" s="47"/>
      <c r="S26" s="47"/>
      <c r="T26" s="47"/>
      <c r="U26" s="47"/>
      <c r="V26" s="47"/>
      <c r="W26" s="51"/>
      <c r="X26" s="51"/>
      <c r="Y26" s="47"/>
      <c r="Z26" s="51"/>
      <c r="AA26" s="148"/>
      <c r="AB26" s="140"/>
      <c r="AC26" s="113"/>
      <c r="AD26" s="114"/>
      <c r="AE26" s="115"/>
      <c r="AF26" s="114"/>
      <c r="AG26" s="110"/>
    </row>
    <row r="27" spans="1:33" ht="18" customHeight="1">
      <c r="A27" s="195"/>
      <c r="B27" s="197"/>
      <c r="C27" s="195"/>
      <c r="D27" s="201">
        <f>'Bang TH nop'!I25</f>
        <v>0</v>
      </c>
      <c r="E27" s="202"/>
      <c r="F27" s="52">
        <f>'Bang TH nop'!F25</f>
        <v>0</v>
      </c>
      <c r="G27" s="53"/>
      <c r="H27" s="53"/>
      <c r="I27" s="53">
        <f t="shared" ref="I27" si="98">IFERROR(F27*680*(((I26-M26)*8+M26*7))/(((I26-M26)*8+M26*7+J26))*$I$4,0)</f>
        <v>0</v>
      </c>
      <c r="J27" s="53">
        <f t="shared" ref="J27" si="99">IFERROR(F27*680*J26*150%/(((I26-M26)*8+M26*7+J26))*$I$4,0)</f>
        <v>0</v>
      </c>
      <c r="K27" s="54">
        <f t="shared" ref="K27" si="100">IFERROR(ROUND(D27/26*K26,0),0)</f>
        <v>0</v>
      </c>
      <c r="L27" s="54">
        <f t="shared" ref="L27" si="101">IFERROR(ROUND(D27/26*L26,0),0)</f>
        <v>0</v>
      </c>
      <c r="M27" s="54">
        <f t="shared" ref="M27" si="102">IFERROR(ROUND(D27/26*M26,0),0)</f>
        <v>0</v>
      </c>
      <c r="N27" s="53">
        <f>IFERROR('Bang TH nop'!T25,0)+IFERROR('Bang TH nop'!P25,0)</f>
        <v>0</v>
      </c>
      <c r="O27" s="54">
        <f>+'Bang TH nop'!X25</f>
        <v>0</v>
      </c>
      <c r="P27" s="54">
        <f>+'Bang TH nop'!Q25</f>
        <v>0</v>
      </c>
      <c r="Q27" s="53">
        <f>+'Bang TH nop'!R25</f>
        <v>0</v>
      </c>
      <c r="R27" s="53">
        <f t="shared" ref="R27:S27" si="103">IFERROR(MAX(G27-I27,0),0)</f>
        <v>0</v>
      </c>
      <c r="S27" s="53">
        <f t="shared" si="103"/>
        <v>0</v>
      </c>
      <c r="T27" s="53">
        <f>+'Bang TH nop'!W25</f>
        <v>0</v>
      </c>
      <c r="U27" s="53"/>
      <c r="V27" s="53">
        <f>+'Bang TH nop'!Y25</f>
        <v>0</v>
      </c>
      <c r="W27" s="54" cm="1">
        <f t="array" ref="W27">SUM(IFERROR(I27:Q27,0))+IFERROR(T27,0)+IFERROR(U27,0)+IFERROR(V27,0)</f>
        <v>0</v>
      </c>
      <c r="X27" s="53">
        <f t="shared" ref="X27" si="104">IFERROR(IF((26-(IFERROR(I26,0)+IFERROR(M26,0)+IFERROR(K26,0)+IFERROR(L26,0)))&gt;12,0,D27*10.5%),0)</f>
        <v>0</v>
      </c>
      <c r="Y27" s="53">
        <f t="shared" ref="Y27" si="105">IFERROR(ROUND(IF(D27=4939000,D27*0.5%,0),-2),0)</f>
        <v>0</v>
      </c>
      <c r="Z27" s="54">
        <f t="shared" ref="Z27" si="106">IFERROR(ROUND(W27-X27-Y27,-2),0)</f>
        <v>0</v>
      </c>
      <c r="AA27" s="149">
        <f>IFERROR('Bang TH nop'!J25,0)+IFERROR('Bang TH nop'!V23,0)</f>
        <v>0</v>
      </c>
      <c r="AB27" s="140"/>
      <c r="AC27" s="55"/>
      <c r="AD27" s="152">
        <f t="shared" ref="AD27" si="107">IFERROR(AC27/AB27,0)</f>
        <v>0</v>
      </c>
      <c r="AE27" s="129">
        <f t="shared" ref="AE27" si="108">IFERROR(AG27/AA27,0)</f>
        <v>0</v>
      </c>
      <c r="AF27" s="120">
        <f t="shared" ref="AF27" si="109">IFERROR(AE27/AD27,0)</f>
        <v>0</v>
      </c>
      <c r="AG27" s="121">
        <f t="shared" ref="AG27" si="110">IFERROR(W27-L27,0)</f>
        <v>0</v>
      </c>
    </row>
    <row r="28" spans="1:33" ht="18" hidden="1" customHeight="1">
      <c r="A28" s="194"/>
      <c r="B28" s="196"/>
      <c r="C28" s="198"/>
      <c r="D28" s="199"/>
      <c r="E28" s="200"/>
      <c r="F28" s="46"/>
      <c r="G28" s="47"/>
      <c r="H28" s="47"/>
      <c r="I28" s="48"/>
      <c r="J28" s="48"/>
      <c r="K28" s="48"/>
      <c r="L28" s="49"/>
      <c r="M28" s="48"/>
      <c r="N28" s="48"/>
      <c r="O28" s="50"/>
      <c r="P28" s="49"/>
      <c r="Q28" s="48"/>
      <c r="R28" s="47"/>
      <c r="S28" s="47"/>
      <c r="T28" s="47"/>
      <c r="U28" s="47"/>
      <c r="V28" s="47"/>
      <c r="W28" s="51"/>
      <c r="X28" s="51"/>
      <c r="Y28" s="47"/>
      <c r="Z28" s="51"/>
      <c r="AA28" s="148"/>
      <c r="AB28" s="140"/>
      <c r="AC28" s="113"/>
    </row>
    <row r="29" spans="1:33" ht="18" hidden="1" customHeight="1">
      <c r="A29" s="195"/>
      <c r="B29" s="197"/>
      <c r="C29" s="195"/>
      <c r="D29" s="201"/>
      <c r="E29" s="202"/>
      <c r="F29" s="52"/>
      <c r="G29" s="53"/>
      <c r="H29" s="53"/>
      <c r="I29" s="53"/>
      <c r="J29" s="54"/>
      <c r="K29" s="54"/>
      <c r="L29" s="54"/>
      <c r="M29" s="54"/>
      <c r="N29" s="53"/>
      <c r="O29" s="54"/>
      <c r="P29" s="54"/>
      <c r="Q29" s="53"/>
      <c r="R29" s="53"/>
      <c r="S29" s="53"/>
      <c r="T29" s="53"/>
      <c r="U29" s="53"/>
      <c r="V29" s="53"/>
      <c r="W29" s="54">
        <f t="shared" ref="W29" si="111">SUM(I29:Q29)+T29+U29+V29</f>
        <v>0</v>
      </c>
      <c r="X29" s="53"/>
      <c r="Y29" s="53">
        <f t="shared" ref="Y29" si="112">+ROUND(IF(D29=4939000,D29*0.5%,0),-2)</f>
        <v>0</v>
      </c>
      <c r="Z29" s="54"/>
      <c r="AA29" s="149">
        <f>'[1]Bang TH nop'!AO27</f>
        <v>0</v>
      </c>
      <c r="AB29" s="151">
        <f>+IFERROR(VLOOKUP(C28,'[2]Bản gốc T01'!$C$1:$M$1000,11,0),0)</f>
        <v>0</v>
      </c>
      <c r="AC29" s="55">
        <f>+IFERROR(VLOOKUP(C28,'[2]Bản gốc T01'!$C$1:$I$1000,7,0),0)</f>
        <v>0</v>
      </c>
    </row>
    <row r="30" spans="1:33" ht="18" hidden="1" customHeight="1">
      <c r="A30" s="194"/>
      <c r="B30" s="196"/>
      <c r="C30" s="198"/>
      <c r="D30" s="199"/>
      <c r="E30" s="200"/>
      <c r="F30" s="46"/>
      <c r="G30" s="47"/>
      <c r="H30" s="47"/>
      <c r="I30" s="48"/>
      <c r="J30" s="48"/>
      <c r="K30" s="48"/>
      <c r="L30" s="49"/>
      <c r="M30" s="48"/>
      <c r="N30" s="48"/>
      <c r="O30" s="50"/>
      <c r="P30" s="49"/>
      <c r="Q30" s="48"/>
      <c r="R30" s="47"/>
      <c r="S30" s="47"/>
      <c r="T30" s="47"/>
      <c r="U30" s="47"/>
      <c r="V30" s="47"/>
      <c r="W30" s="51"/>
      <c r="X30" s="51"/>
      <c r="Y30" s="47"/>
      <c r="Z30" s="51"/>
      <c r="AA30" s="148"/>
      <c r="AB30" s="140"/>
      <c r="AC30" s="113"/>
    </row>
    <row r="31" spans="1:33" ht="18" hidden="1" customHeight="1">
      <c r="A31" s="195"/>
      <c r="B31" s="197"/>
      <c r="C31" s="195"/>
      <c r="D31" s="201"/>
      <c r="E31" s="202"/>
      <c r="F31" s="52"/>
      <c r="G31" s="53"/>
      <c r="H31" s="53"/>
      <c r="I31" s="53"/>
      <c r="J31" s="54"/>
      <c r="K31" s="54"/>
      <c r="L31" s="54"/>
      <c r="M31" s="54"/>
      <c r="N31" s="53"/>
      <c r="O31" s="54"/>
      <c r="P31" s="54"/>
      <c r="Q31" s="53"/>
      <c r="R31" s="53"/>
      <c r="S31" s="53"/>
      <c r="T31" s="53"/>
      <c r="U31" s="53"/>
      <c r="V31" s="53"/>
      <c r="W31" s="54">
        <f t="shared" ref="W31" si="113">SUM(I31:Q31)+T31+U31+V31</f>
        <v>0</v>
      </c>
      <c r="X31" s="53"/>
      <c r="Y31" s="53">
        <f t="shared" ref="Y31" si="114">+ROUND(IF(D31=4939000,D31*0.5%,0),-2)</f>
        <v>0</v>
      </c>
      <c r="Z31" s="54"/>
      <c r="AA31" s="149">
        <f>'[1]Bang TH nop'!AO29</f>
        <v>0</v>
      </c>
      <c r="AB31" s="151">
        <f>+IFERROR(VLOOKUP(C30,'[2]Bản gốc T01'!$C$1:$M$1000,11,0),0)</f>
        <v>0</v>
      </c>
      <c r="AC31" s="55">
        <f>+IFERROR(VLOOKUP(C30,'[2]Bản gốc T01'!$C$1:$I$1000,7,0),0)</f>
        <v>0</v>
      </c>
    </row>
    <row r="32" spans="1:33" ht="18" hidden="1" customHeight="1">
      <c r="A32" s="194"/>
      <c r="B32" s="196"/>
      <c r="C32" s="198"/>
      <c r="D32" s="199"/>
      <c r="E32" s="200"/>
      <c r="F32" s="46"/>
      <c r="G32" s="47"/>
      <c r="H32" s="47"/>
      <c r="I32" s="48"/>
      <c r="J32" s="48"/>
      <c r="K32" s="48"/>
      <c r="L32" s="49"/>
      <c r="M32" s="48"/>
      <c r="N32" s="48"/>
      <c r="O32" s="50"/>
      <c r="P32" s="49"/>
      <c r="Q32" s="48"/>
      <c r="R32" s="47"/>
      <c r="S32" s="47"/>
      <c r="T32" s="47"/>
      <c r="U32" s="47"/>
      <c r="V32" s="47"/>
      <c r="W32" s="51"/>
      <c r="X32" s="51"/>
      <c r="Y32" s="47"/>
      <c r="Z32" s="51"/>
      <c r="AA32" s="148"/>
      <c r="AB32" s="140"/>
      <c r="AC32" s="113"/>
    </row>
    <row r="33" spans="1:29" ht="25.5" hidden="1" customHeight="1">
      <c r="A33" s="195"/>
      <c r="B33" s="197"/>
      <c r="C33" s="195"/>
      <c r="D33" s="201"/>
      <c r="E33" s="202"/>
      <c r="F33" s="52"/>
      <c r="G33" s="53"/>
      <c r="H33" s="53"/>
      <c r="I33" s="53"/>
      <c r="J33" s="54"/>
      <c r="K33" s="54"/>
      <c r="L33" s="54"/>
      <c r="M33" s="54"/>
      <c r="N33" s="53"/>
      <c r="O33" s="54"/>
      <c r="P33" s="54"/>
      <c r="Q33" s="53"/>
      <c r="R33" s="53"/>
      <c r="S33" s="53"/>
      <c r="T33" s="53"/>
      <c r="U33" s="53"/>
      <c r="V33" s="53"/>
      <c r="W33" s="54">
        <f t="shared" ref="W33" si="115">SUM(I33:Q33)+T33+U33+V33</f>
        <v>0</v>
      </c>
      <c r="X33" s="53"/>
      <c r="Y33" s="53">
        <f t="shared" ref="Y33" si="116">+ROUND(IF(D33=4939000,D33*0.5%,0),-2)</f>
        <v>0</v>
      </c>
      <c r="Z33" s="54"/>
      <c r="AA33" s="149">
        <f>'[1]Bang TH nop'!AO31</f>
        <v>0</v>
      </c>
      <c r="AB33" s="151">
        <f>+IFERROR(VLOOKUP(C32,'[2]Bản gốc T01'!$C$1:$M$1000,11,0),0)</f>
        <v>0</v>
      </c>
      <c r="AC33" s="55">
        <f>+IFERROR(VLOOKUP(C32,'[2]Bản gốc T01'!$C$1:$I$1000,7,0),0)</f>
        <v>0</v>
      </c>
    </row>
    <row r="34" spans="1:29" ht="18" hidden="1" customHeight="1">
      <c r="A34" s="194"/>
      <c r="B34" s="196"/>
      <c r="C34" s="198"/>
      <c r="D34" s="199"/>
      <c r="E34" s="200"/>
      <c r="F34" s="46"/>
      <c r="G34" s="47"/>
      <c r="H34" s="47"/>
      <c r="I34" s="48"/>
      <c r="J34" s="48"/>
      <c r="K34" s="48"/>
      <c r="L34" s="49"/>
      <c r="M34" s="48"/>
      <c r="N34" s="48"/>
      <c r="O34" s="50"/>
      <c r="P34" s="49"/>
      <c r="Q34" s="48"/>
      <c r="R34" s="47"/>
      <c r="S34" s="47"/>
      <c r="T34" s="47"/>
      <c r="U34" s="47"/>
      <c r="V34" s="47"/>
      <c r="W34" s="51"/>
      <c r="X34" s="51"/>
      <c r="Y34" s="47"/>
      <c r="Z34" s="51"/>
      <c r="AA34" s="148"/>
      <c r="AB34" s="140"/>
      <c r="AC34" s="113"/>
    </row>
    <row r="35" spans="1:29" ht="18" hidden="1" customHeight="1">
      <c r="A35" s="195"/>
      <c r="B35" s="197"/>
      <c r="C35" s="195"/>
      <c r="D35" s="201"/>
      <c r="E35" s="202"/>
      <c r="F35" s="52"/>
      <c r="G35" s="53"/>
      <c r="H35" s="53"/>
      <c r="I35" s="53"/>
      <c r="J35" s="54"/>
      <c r="K35" s="54"/>
      <c r="L35" s="54"/>
      <c r="M35" s="54"/>
      <c r="N35" s="53"/>
      <c r="O35" s="54"/>
      <c r="P35" s="54"/>
      <c r="Q35" s="53"/>
      <c r="R35" s="53"/>
      <c r="S35" s="53"/>
      <c r="T35" s="53"/>
      <c r="U35" s="53"/>
      <c r="V35" s="53"/>
      <c r="W35" s="54">
        <f t="shared" ref="W35" si="117">SUM(I35:Q35)+T35+U35+V35</f>
        <v>0</v>
      </c>
      <c r="X35" s="53"/>
      <c r="Y35" s="53">
        <f t="shared" ref="Y35" si="118">+ROUND(IF(D35=4939000,D35*0.5%,0),-2)</f>
        <v>0</v>
      </c>
      <c r="Z35" s="54"/>
      <c r="AA35" s="149">
        <f>'[1]Bang TH nop'!AO33</f>
        <v>0</v>
      </c>
      <c r="AB35" s="151">
        <f>+IFERROR(VLOOKUP(C34,'[2]Bản gốc T01'!$C$1:$M$1000,11,0),0)</f>
        <v>0</v>
      </c>
      <c r="AC35" s="55">
        <f>+IFERROR(VLOOKUP(C34,'[2]Bản gốc T01'!$C$1:$I$1000,7,0),0)</f>
        <v>0</v>
      </c>
    </row>
    <row r="36" spans="1:29" ht="18" hidden="1" customHeight="1">
      <c r="A36" s="194"/>
      <c r="B36" s="196"/>
      <c r="C36" s="198"/>
      <c r="D36" s="199"/>
      <c r="E36" s="200"/>
      <c r="F36" s="46"/>
      <c r="G36" s="47"/>
      <c r="H36" s="47"/>
      <c r="I36" s="48"/>
      <c r="J36" s="48"/>
      <c r="K36" s="48"/>
      <c r="L36" s="49"/>
      <c r="M36" s="48"/>
      <c r="N36" s="48"/>
      <c r="O36" s="50"/>
      <c r="P36" s="49"/>
      <c r="Q36" s="48"/>
      <c r="R36" s="47"/>
      <c r="S36" s="47"/>
      <c r="T36" s="47"/>
      <c r="U36" s="47"/>
      <c r="V36" s="47"/>
      <c r="W36" s="51"/>
      <c r="X36" s="51"/>
      <c r="Y36" s="47"/>
      <c r="Z36" s="51"/>
      <c r="AA36" s="148"/>
      <c r="AB36" s="140"/>
      <c r="AC36" s="113"/>
    </row>
    <row r="37" spans="1:29" ht="18" hidden="1" customHeight="1">
      <c r="A37" s="195"/>
      <c r="B37" s="197"/>
      <c r="C37" s="195"/>
      <c r="D37" s="201"/>
      <c r="E37" s="202"/>
      <c r="F37" s="52"/>
      <c r="G37" s="53"/>
      <c r="H37" s="53"/>
      <c r="I37" s="53"/>
      <c r="J37" s="54"/>
      <c r="K37" s="54"/>
      <c r="L37" s="54"/>
      <c r="M37" s="54"/>
      <c r="N37" s="53"/>
      <c r="O37" s="54"/>
      <c r="P37" s="54"/>
      <c r="Q37" s="53"/>
      <c r="R37" s="53"/>
      <c r="S37" s="53"/>
      <c r="T37" s="53"/>
      <c r="U37" s="53"/>
      <c r="V37" s="53"/>
      <c r="W37" s="54">
        <f t="shared" ref="W37" si="119">SUM(I37:Q37)+T37+U37+V37</f>
        <v>0</v>
      </c>
      <c r="X37" s="53"/>
      <c r="Y37" s="53">
        <f t="shared" ref="Y37" si="120">+ROUND(IF(D37=4939000,D37*0.5%,0),-2)</f>
        <v>0</v>
      </c>
      <c r="Z37" s="54"/>
      <c r="AA37" s="149">
        <f>'[1]Bang TH nop'!AO35</f>
        <v>0</v>
      </c>
      <c r="AB37" s="151">
        <f>+IFERROR(VLOOKUP(C36,'[2]Bản gốc T01'!$C$1:$M$1000,11,0),0)</f>
        <v>0</v>
      </c>
      <c r="AC37" s="55">
        <f>+IFERROR(VLOOKUP(C36,'[2]Bản gốc T01'!$C$1:$I$1000,7,0),0)</f>
        <v>0</v>
      </c>
    </row>
    <row r="38" spans="1:29" ht="14.25" hidden="1" customHeight="1">
      <c r="A38" s="194"/>
      <c r="B38" s="196"/>
      <c r="C38" s="198"/>
      <c r="D38" s="199"/>
      <c r="E38" s="200"/>
      <c r="F38" s="46"/>
      <c r="G38" s="47"/>
      <c r="H38" s="47"/>
      <c r="I38" s="48"/>
      <c r="J38" s="48"/>
      <c r="K38" s="48"/>
      <c r="L38" s="49"/>
      <c r="M38" s="48"/>
      <c r="N38" s="48"/>
      <c r="O38" s="50"/>
      <c r="P38" s="49"/>
      <c r="Q38" s="48"/>
      <c r="R38" s="47"/>
      <c r="S38" s="47"/>
      <c r="T38" s="47"/>
      <c r="U38" s="47"/>
      <c r="V38" s="47"/>
      <c r="W38" s="51"/>
      <c r="X38" s="51"/>
      <c r="Y38" s="47"/>
      <c r="Z38" s="51"/>
      <c r="AA38" s="148"/>
      <c r="AB38" s="140"/>
      <c r="AC38" s="113"/>
    </row>
    <row r="39" spans="1:29" ht="14.25" hidden="1" customHeight="1">
      <c r="A39" s="195"/>
      <c r="B39" s="197"/>
      <c r="C39" s="195"/>
      <c r="D39" s="201"/>
      <c r="E39" s="202"/>
      <c r="F39" s="52"/>
      <c r="G39" s="53"/>
      <c r="H39" s="53"/>
      <c r="I39" s="53"/>
      <c r="J39" s="54"/>
      <c r="K39" s="54"/>
      <c r="L39" s="54"/>
      <c r="M39" s="54"/>
      <c r="N39" s="53"/>
      <c r="O39" s="54"/>
      <c r="P39" s="54"/>
      <c r="Q39" s="53"/>
      <c r="R39" s="53"/>
      <c r="S39" s="53"/>
      <c r="T39" s="53"/>
      <c r="U39" s="53"/>
      <c r="V39" s="53"/>
      <c r="W39" s="54">
        <f t="shared" ref="W39" si="121">SUM(I39:Q39)+T39+U39+V39</f>
        <v>0</v>
      </c>
      <c r="X39" s="53"/>
      <c r="Y39" s="53">
        <f t="shared" ref="Y39" si="122">+ROUND(IF(D39=4939000,D39*0.5%,0),-2)</f>
        <v>0</v>
      </c>
      <c r="Z39" s="54"/>
      <c r="AA39" s="149">
        <f>'[1]Bang TH nop'!AO37</f>
        <v>0</v>
      </c>
      <c r="AB39" s="151">
        <f>+IFERROR(VLOOKUP(C38,'[2]Bản gốc T01'!$C$1:$M$1000,11,0),0)</f>
        <v>0</v>
      </c>
      <c r="AC39" s="55">
        <f>+IFERROR(VLOOKUP(C38,'[2]Bản gốc T01'!$C$1:$I$1000,7,0),0)</f>
        <v>0</v>
      </c>
    </row>
    <row r="40" spans="1:29" ht="14.25" hidden="1" customHeight="1">
      <c r="A40" s="194"/>
      <c r="B40" s="196"/>
      <c r="C40" s="198"/>
      <c r="D40" s="199"/>
      <c r="E40" s="200"/>
      <c r="F40" s="46"/>
      <c r="G40" s="47"/>
      <c r="H40" s="47"/>
      <c r="I40" s="48"/>
      <c r="J40" s="48"/>
      <c r="K40" s="48"/>
      <c r="L40" s="49"/>
      <c r="M40" s="48"/>
      <c r="N40" s="48"/>
      <c r="O40" s="50"/>
      <c r="P40" s="49"/>
      <c r="Q40" s="48"/>
      <c r="R40" s="47"/>
      <c r="S40" s="47"/>
      <c r="T40" s="47"/>
      <c r="U40" s="47"/>
      <c r="V40" s="47"/>
      <c r="W40" s="51"/>
      <c r="X40" s="51"/>
      <c r="Y40" s="47"/>
      <c r="Z40" s="51"/>
      <c r="AA40" s="148"/>
      <c r="AB40" s="140"/>
      <c r="AC40" s="113"/>
    </row>
    <row r="41" spans="1:29" ht="14.25" hidden="1" customHeight="1">
      <c r="A41" s="195"/>
      <c r="B41" s="197"/>
      <c r="C41" s="195"/>
      <c r="D41" s="201"/>
      <c r="E41" s="202"/>
      <c r="F41" s="52"/>
      <c r="G41" s="53"/>
      <c r="H41" s="53"/>
      <c r="I41" s="53"/>
      <c r="J41" s="54"/>
      <c r="K41" s="54"/>
      <c r="L41" s="54"/>
      <c r="M41" s="54"/>
      <c r="N41" s="53"/>
      <c r="O41" s="54"/>
      <c r="P41" s="54"/>
      <c r="Q41" s="53"/>
      <c r="R41" s="53"/>
      <c r="S41" s="53"/>
      <c r="T41" s="53"/>
      <c r="U41" s="53"/>
      <c r="V41" s="53"/>
      <c r="W41" s="54">
        <f t="shared" ref="W41" si="123">SUM(I41:Q41)+T41+U41+V41</f>
        <v>0</v>
      </c>
      <c r="X41" s="53"/>
      <c r="Y41" s="53">
        <f t="shared" ref="Y41" si="124">+ROUND(IF(D41=4939000,D41*0.5%,0),-2)</f>
        <v>0</v>
      </c>
      <c r="Z41" s="54"/>
      <c r="AA41" s="149">
        <f>'[1]Bang TH nop'!AO39</f>
        <v>0</v>
      </c>
      <c r="AB41" s="151">
        <f>+IFERROR(VLOOKUP(C40,'[2]Bản gốc T01'!$C$1:$M$1000,11,0),0)</f>
        <v>0</v>
      </c>
      <c r="AC41" s="55">
        <f>+IFERROR(VLOOKUP(C40,'[2]Bản gốc T01'!$C$1:$I$1000,7,0),0)</f>
        <v>0</v>
      </c>
    </row>
    <row r="42" spans="1:29" ht="14.25" hidden="1" customHeight="1">
      <c r="A42" s="194"/>
      <c r="B42" s="196"/>
      <c r="C42" s="198"/>
      <c r="D42" s="199"/>
      <c r="E42" s="200"/>
      <c r="F42" s="46"/>
      <c r="G42" s="47"/>
      <c r="H42" s="47"/>
      <c r="I42" s="48"/>
      <c r="J42" s="48"/>
      <c r="K42" s="48"/>
      <c r="L42" s="49"/>
      <c r="M42" s="48"/>
      <c r="N42" s="48"/>
      <c r="O42" s="50"/>
      <c r="P42" s="49"/>
      <c r="Q42" s="48"/>
      <c r="R42" s="47"/>
      <c r="S42" s="47"/>
      <c r="T42" s="47"/>
      <c r="U42" s="47"/>
      <c r="V42" s="47"/>
      <c r="W42" s="51"/>
      <c r="X42" s="51"/>
      <c r="Y42" s="47"/>
      <c r="Z42" s="51"/>
      <c r="AA42" s="148"/>
      <c r="AB42" s="140"/>
      <c r="AC42" s="113"/>
    </row>
    <row r="43" spans="1:29" ht="14.25" hidden="1" customHeight="1">
      <c r="A43" s="195"/>
      <c r="B43" s="197"/>
      <c r="C43" s="195"/>
      <c r="D43" s="201"/>
      <c r="E43" s="202"/>
      <c r="F43" s="52"/>
      <c r="G43" s="53"/>
      <c r="H43" s="53"/>
      <c r="I43" s="53"/>
      <c r="J43" s="54"/>
      <c r="K43" s="54"/>
      <c r="L43" s="54"/>
      <c r="M43" s="54"/>
      <c r="N43" s="53"/>
      <c r="O43" s="54"/>
      <c r="P43" s="54"/>
      <c r="Q43" s="53"/>
      <c r="R43" s="53"/>
      <c r="S43" s="53"/>
      <c r="T43" s="53"/>
      <c r="U43" s="53"/>
      <c r="V43" s="53"/>
      <c r="W43" s="54">
        <f t="shared" ref="W43" si="125">SUM(I43:Q43)+T43+U43+V43</f>
        <v>0</v>
      </c>
      <c r="X43" s="53"/>
      <c r="Y43" s="53">
        <f t="shared" ref="Y43" si="126">+ROUND(IF(D43=4939000,D43*0.5%,0),-2)</f>
        <v>0</v>
      </c>
      <c r="Z43" s="54"/>
      <c r="AA43" s="149">
        <f>'[1]Bang TH nop'!AO41</f>
        <v>0</v>
      </c>
      <c r="AB43" s="151">
        <f>+IFERROR(VLOOKUP(C42,'[2]Bản gốc T01'!$C$1:$M$1000,11,0),0)</f>
        <v>0</v>
      </c>
      <c r="AC43" s="55">
        <f>+IFERROR(VLOOKUP(C42,'[2]Bản gốc T01'!$C$1:$I$1000,7,0),0)</f>
        <v>0</v>
      </c>
    </row>
    <row r="44" spans="1:29" ht="14.25" hidden="1" customHeight="1">
      <c r="A44" s="194"/>
      <c r="B44" s="196"/>
      <c r="C44" s="198"/>
      <c r="D44" s="199"/>
      <c r="E44" s="200"/>
      <c r="F44" s="46"/>
      <c r="G44" s="47"/>
      <c r="H44" s="47"/>
      <c r="I44" s="48"/>
      <c r="J44" s="48"/>
      <c r="K44" s="48"/>
      <c r="L44" s="49"/>
      <c r="M44" s="48"/>
      <c r="N44" s="48"/>
      <c r="O44" s="50"/>
      <c r="P44" s="49"/>
      <c r="Q44" s="48"/>
      <c r="R44" s="47"/>
      <c r="S44" s="47"/>
      <c r="T44" s="47"/>
      <c r="U44" s="47"/>
      <c r="V44" s="47"/>
      <c r="W44" s="51"/>
      <c r="X44" s="51"/>
      <c r="Y44" s="47"/>
      <c r="Z44" s="51"/>
      <c r="AA44" s="148"/>
      <c r="AB44" s="140"/>
      <c r="AC44" s="113"/>
    </row>
    <row r="45" spans="1:29" ht="14.25" hidden="1" customHeight="1">
      <c r="A45" s="195"/>
      <c r="B45" s="197"/>
      <c r="C45" s="195"/>
      <c r="D45" s="201"/>
      <c r="E45" s="202"/>
      <c r="F45" s="52"/>
      <c r="G45" s="53"/>
      <c r="H45" s="53"/>
      <c r="I45" s="53"/>
      <c r="J45" s="54"/>
      <c r="K45" s="54"/>
      <c r="L45" s="54"/>
      <c r="M45" s="54"/>
      <c r="N45" s="53"/>
      <c r="O45" s="54"/>
      <c r="P45" s="54"/>
      <c r="Q45" s="53"/>
      <c r="R45" s="53"/>
      <c r="S45" s="53"/>
      <c r="T45" s="53"/>
      <c r="U45" s="53"/>
      <c r="V45" s="53"/>
      <c r="W45" s="54">
        <f t="shared" ref="W45" si="127">SUM(I45:Q45)+T45+U45+V45</f>
        <v>0</v>
      </c>
      <c r="X45" s="53"/>
      <c r="Y45" s="53">
        <f t="shared" ref="Y45" si="128">+ROUND(IF(D45=4939000,D45*0.5%,0),-2)</f>
        <v>0</v>
      </c>
      <c r="Z45" s="54"/>
      <c r="AA45" s="149">
        <f>'[1]Bang TH nop'!AO43</f>
        <v>0</v>
      </c>
      <c r="AB45" s="151">
        <f>+IFERROR(VLOOKUP(C44,'[2]Bản gốc T01'!$C$1:$M$1000,11,0),0)</f>
        <v>0</v>
      </c>
      <c r="AC45" s="55">
        <f>+IFERROR(VLOOKUP(C44,'[2]Bản gốc T01'!$C$1:$I$1000,7,0),0)</f>
        <v>0</v>
      </c>
    </row>
    <row r="46" spans="1:29" ht="14.25" hidden="1" customHeight="1">
      <c r="A46" s="194"/>
      <c r="B46" s="196"/>
      <c r="C46" s="198"/>
      <c r="D46" s="199"/>
      <c r="E46" s="200"/>
      <c r="F46" s="46"/>
      <c r="G46" s="47"/>
      <c r="H46" s="47"/>
      <c r="I46" s="48"/>
      <c r="J46" s="48"/>
      <c r="K46" s="48"/>
      <c r="L46" s="49"/>
      <c r="M46" s="48"/>
      <c r="N46" s="48"/>
      <c r="O46" s="50"/>
      <c r="P46" s="49"/>
      <c r="Q46" s="48"/>
      <c r="R46" s="47"/>
      <c r="S46" s="47"/>
      <c r="T46" s="47"/>
      <c r="U46" s="47"/>
      <c r="V46" s="47"/>
      <c r="W46" s="51"/>
      <c r="X46" s="51"/>
      <c r="Y46" s="47"/>
      <c r="Z46" s="51"/>
      <c r="AA46" s="148"/>
      <c r="AB46" s="140"/>
      <c r="AC46" s="113"/>
    </row>
    <row r="47" spans="1:29" ht="14.25" hidden="1" customHeight="1">
      <c r="A47" s="195"/>
      <c r="B47" s="197"/>
      <c r="C47" s="195"/>
      <c r="D47" s="201"/>
      <c r="E47" s="202"/>
      <c r="F47" s="52"/>
      <c r="G47" s="53"/>
      <c r="H47" s="53"/>
      <c r="I47" s="53"/>
      <c r="J47" s="54"/>
      <c r="K47" s="54"/>
      <c r="L47" s="54"/>
      <c r="M47" s="54"/>
      <c r="N47" s="53"/>
      <c r="O47" s="54"/>
      <c r="P47" s="54"/>
      <c r="Q47" s="53"/>
      <c r="R47" s="53"/>
      <c r="S47" s="53"/>
      <c r="T47" s="53"/>
      <c r="U47" s="53"/>
      <c r="V47" s="53"/>
      <c r="W47" s="54">
        <f t="shared" ref="W47" si="129">SUM(I47:Q47)+T47+U47+V47</f>
        <v>0</v>
      </c>
      <c r="X47" s="53"/>
      <c r="Y47" s="53">
        <f t="shared" ref="Y47" si="130">+ROUND(IF(D47=4939000,D47*0.5%,0),-2)</f>
        <v>0</v>
      </c>
      <c r="Z47" s="54"/>
      <c r="AA47" s="149">
        <f>'[1]Bang TH nop'!AO45</f>
        <v>0</v>
      </c>
      <c r="AB47" s="151">
        <f>+IFERROR(VLOOKUP(C46,'[2]Bản gốc T01'!$C$1:$M$1000,11,0),0)</f>
        <v>0</v>
      </c>
      <c r="AC47" s="55">
        <f>+IFERROR(VLOOKUP(C46,'[2]Bản gốc T01'!$C$1:$I$1000,7,0),0)</f>
        <v>0</v>
      </c>
    </row>
    <row r="48" spans="1:29" ht="14.25" hidden="1" customHeight="1">
      <c r="A48" s="194"/>
      <c r="B48" s="196"/>
      <c r="C48" s="198"/>
      <c r="D48" s="199"/>
      <c r="E48" s="200"/>
      <c r="F48" s="46"/>
      <c r="G48" s="47"/>
      <c r="H48" s="47"/>
      <c r="I48" s="48"/>
      <c r="J48" s="48"/>
      <c r="K48" s="48"/>
      <c r="L48" s="49"/>
      <c r="M48" s="48"/>
      <c r="N48" s="48"/>
      <c r="O48" s="50"/>
      <c r="P48" s="49"/>
      <c r="Q48" s="48"/>
      <c r="R48" s="47"/>
      <c r="S48" s="47"/>
      <c r="T48" s="47"/>
      <c r="U48" s="47"/>
      <c r="V48" s="47"/>
      <c r="W48" s="51"/>
      <c r="X48" s="51"/>
      <c r="Y48" s="47"/>
      <c r="Z48" s="51"/>
      <c r="AA48" s="148"/>
      <c r="AB48" s="140"/>
      <c r="AC48" s="113"/>
    </row>
    <row r="49" spans="1:29" ht="14.25" hidden="1" customHeight="1">
      <c r="A49" s="195"/>
      <c r="B49" s="197"/>
      <c r="C49" s="195"/>
      <c r="D49" s="201"/>
      <c r="E49" s="202"/>
      <c r="F49" s="52"/>
      <c r="G49" s="53"/>
      <c r="H49" s="53"/>
      <c r="I49" s="53"/>
      <c r="J49" s="54"/>
      <c r="K49" s="54"/>
      <c r="L49" s="54"/>
      <c r="M49" s="54"/>
      <c r="N49" s="53"/>
      <c r="O49" s="54"/>
      <c r="P49" s="54"/>
      <c r="Q49" s="53"/>
      <c r="R49" s="53"/>
      <c r="S49" s="53"/>
      <c r="T49" s="53"/>
      <c r="U49" s="53"/>
      <c r="V49" s="53"/>
      <c r="W49" s="54">
        <f t="shared" ref="W49" si="131">SUM(I49:Q49)+T49+U49+V49</f>
        <v>0</v>
      </c>
      <c r="X49" s="53"/>
      <c r="Y49" s="53">
        <f t="shared" ref="Y49" si="132">+ROUND(IF(D49=4939000,D49*0.5%,0),-2)</f>
        <v>0</v>
      </c>
      <c r="Z49" s="54"/>
      <c r="AA49" s="149">
        <f>'[1]Bang TH nop'!AO47</f>
        <v>0</v>
      </c>
      <c r="AB49" s="151">
        <f>+IFERROR(VLOOKUP(C48,'[2]Bản gốc T01'!$C$1:$M$1000,11,0),0)</f>
        <v>0</v>
      </c>
      <c r="AC49" s="55">
        <f>+IFERROR(VLOOKUP(C48,'[2]Bản gốc T01'!$C$1:$I$1000,7,0),0)</f>
        <v>0</v>
      </c>
    </row>
    <row r="50" spans="1:29" ht="14.25" hidden="1" customHeight="1">
      <c r="A50" s="194"/>
      <c r="B50" s="196"/>
      <c r="C50" s="198"/>
      <c r="D50" s="199"/>
      <c r="E50" s="200"/>
      <c r="F50" s="46"/>
      <c r="G50" s="47"/>
      <c r="H50" s="47"/>
      <c r="I50" s="48"/>
      <c r="J50" s="48"/>
      <c r="K50" s="48"/>
      <c r="L50" s="49"/>
      <c r="M50" s="48"/>
      <c r="N50" s="48"/>
      <c r="O50" s="50"/>
      <c r="P50" s="49"/>
      <c r="Q50" s="48"/>
      <c r="R50" s="47"/>
      <c r="S50" s="47"/>
      <c r="T50" s="47"/>
      <c r="U50" s="47"/>
      <c r="V50" s="47"/>
      <c r="W50" s="51"/>
      <c r="X50" s="51"/>
      <c r="Y50" s="47"/>
      <c r="Z50" s="51"/>
      <c r="AA50" s="148"/>
      <c r="AB50" s="140"/>
      <c r="AC50" s="113"/>
    </row>
    <row r="51" spans="1:29" ht="14.25" hidden="1" customHeight="1">
      <c r="A51" s="195"/>
      <c r="B51" s="197"/>
      <c r="C51" s="195"/>
      <c r="D51" s="201"/>
      <c r="E51" s="202"/>
      <c r="F51" s="52"/>
      <c r="G51" s="53"/>
      <c r="H51" s="53"/>
      <c r="I51" s="53"/>
      <c r="J51" s="54"/>
      <c r="K51" s="54"/>
      <c r="L51" s="54"/>
      <c r="M51" s="54"/>
      <c r="N51" s="53"/>
      <c r="O51" s="54"/>
      <c r="P51" s="54"/>
      <c r="Q51" s="53"/>
      <c r="R51" s="53"/>
      <c r="S51" s="53"/>
      <c r="T51" s="53"/>
      <c r="U51" s="53"/>
      <c r="V51" s="53"/>
      <c r="W51" s="54">
        <f t="shared" ref="W51" si="133">SUM(I51:Q51)+T51+U51+V51</f>
        <v>0</v>
      </c>
      <c r="X51" s="53"/>
      <c r="Y51" s="53">
        <f t="shared" ref="Y51" si="134">+ROUND(IF(D51=4939000,D51*0.5%,0),-2)</f>
        <v>0</v>
      </c>
      <c r="Z51" s="54"/>
      <c r="AA51" s="149">
        <f>'[1]Bang TH nop'!AO49</f>
        <v>0</v>
      </c>
      <c r="AB51" s="151">
        <f>+IFERROR(VLOOKUP(C50,'[2]Bản gốc T01'!$C$1:$M$1000,11,0),0)</f>
        <v>0</v>
      </c>
      <c r="AC51" s="55">
        <f>+IFERROR(VLOOKUP(C50,'[2]Bản gốc T01'!$C$1:$I$1000,7,0),0)</f>
        <v>0</v>
      </c>
    </row>
    <row r="52" spans="1:29" ht="14.25" hidden="1" customHeight="1">
      <c r="A52" s="194"/>
      <c r="B52" s="196"/>
      <c r="C52" s="198"/>
      <c r="D52" s="199"/>
      <c r="E52" s="200"/>
      <c r="F52" s="46"/>
      <c r="G52" s="47"/>
      <c r="H52" s="47"/>
      <c r="I52" s="48"/>
      <c r="J52" s="48"/>
      <c r="K52" s="48"/>
      <c r="L52" s="49"/>
      <c r="M52" s="48"/>
      <c r="N52" s="48"/>
      <c r="O52" s="50"/>
      <c r="P52" s="49"/>
      <c r="Q52" s="48"/>
      <c r="R52" s="47"/>
      <c r="S52" s="47"/>
      <c r="T52" s="47"/>
      <c r="U52" s="47"/>
      <c r="V52" s="47"/>
      <c r="W52" s="51"/>
      <c r="X52" s="51"/>
      <c r="Y52" s="47"/>
      <c r="Z52" s="51"/>
      <c r="AA52" s="148"/>
      <c r="AB52" s="140"/>
      <c r="AC52" s="113"/>
    </row>
    <row r="53" spans="1:29" ht="14.25" hidden="1" customHeight="1">
      <c r="A53" s="195"/>
      <c r="B53" s="197"/>
      <c r="C53" s="195"/>
      <c r="D53" s="201"/>
      <c r="E53" s="202"/>
      <c r="F53" s="52"/>
      <c r="G53" s="53"/>
      <c r="H53" s="53"/>
      <c r="I53" s="53"/>
      <c r="J53" s="54"/>
      <c r="K53" s="54"/>
      <c r="L53" s="54"/>
      <c r="M53" s="54"/>
      <c r="N53" s="53"/>
      <c r="O53" s="54"/>
      <c r="P53" s="54"/>
      <c r="Q53" s="53"/>
      <c r="R53" s="53"/>
      <c r="S53" s="53"/>
      <c r="T53" s="53"/>
      <c r="U53" s="53"/>
      <c r="V53" s="53"/>
      <c r="W53" s="54">
        <f t="shared" ref="W53" si="135">SUM(I53:Q53)+T53+U53+V53</f>
        <v>0</v>
      </c>
      <c r="X53" s="53"/>
      <c r="Y53" s="53">
        <f t="shared" ref="Y53" si="136">+ROUND(IF(D53=4939000,D53*0.5%,0),-2)</f>
        <v>0</v>
      </c>
      <c r="Z53" s="54"/>
      <c r="AA53" s="149">
        <f>'[1]Bang TH nop'!AO51</f>
        <v>0</v>
      </c>
      <c r="AB53" s="151">
        <f>+IFERROR(VLOOKUP(C52,'[2]Bản gốc T01'!$C$1:$M$1000,11,0),0)</f>
        <v>0</v>
      </c>
      <c r="AC53" s="55">
        <f>+IFERROR(VLOOKUP(C52,'[2]Bản gốc T01'!$C$1:$I$1000,7,0),0)</f>
        <v>0</v>
      </c>
    </row>
    <row r="54" spans="1:29" ht="14.25" hidden="1" customHeight="1">
      <c r="A54" s="194"/>
      <c r="B54" s="196"/>
      <c r="C54" s="198"/>
      <c r="D54" s="199"/>
      <c r="E54" s="200"/>
      <c r="F54" s="46"/>
      <c r="G54" s="47"/>
      <c r="H54" s="47"/>
      <c r="I54" s="48"/>
      <c r="J54" s="48"/>
      <c r="K54" s="48"/>
      <c r="L54" s="49"/>
      <c r="M54" s="48"/>
      <c r="N54" s="48"/>
      <c r="O54" s="50"/>
      <c r="P54" s="49"/>
      <c r="Q54" s="48"/>
      <c r="R54" s="47"/>
      <c r="S54" s="47"/>
      <c r="T54" s="47"/>
      <c r="U54" s="47"/>
      <c r="V54" s="47"/>
      <c r="W54" s="51"/>
      <c r="X54" s="51"/>
      <c r="Y54" s="47"/>
      <c r="Z54" s="51"/>
      <c r="AA54" s="148"/>
      <c r="AB54" s="140"/>
      <c r="AC54" s="113"/>
    </row>
    <row r="55" spans="1:29" ht="14.25" hidden="1" customHeight="1">
      <c r="A55" s="195"/>
      <c r="B55" s="197"/>
      <c r="C55" s="195"/>
      <c r="D55" s="201"/>
      <c r="E55" s="202"/>
      <c r="F55" s="52"/>
      <c r="G55" s="53"/>
      <c r="H55" s="53"/>
      <c r="I55" s="53"/>
      <c r="J55" s="54"/>
      <c r="K55" s="54"/>
      <c r="L55" s="54"/>
      <c r="M55" s="54"/>
      <c r="N55" s="53"/>
      <c r="O55" s="54"/>
      <c r="P55" s="54"/>
      <c r="Q55" s="53"/>
      <c r="R55" s="53"/>
      <c r="S55" s="53"/>
      <c r="T55" s="53"/>
      <c r="U55" s="53"/>
      <c r="V55" s="53"/>
      <c r="W55" s="54">
        <f t="shared" ref="W55" si="137">SUM(I55:Q55)+T55+U55+V55</f>
        <v>0</v>
      </c>
      <c r="X55" s="53"/>
      <c r="Y55" s="53">
        <f t="shared" ref="Y55" si="138">+ROUND(IF(D55=4939000,D55*0.5%,0),-2)</f>
        <v>0</v>
      </c>
      <c r="Z55" s="54"/>
      <c r="AA55" s="149">
        <f>'[1]Bang TH nop'!AO53</f>
        <v>0</v>
      </c>
      <c r="AB55" s="151">
        <f>+IFERROR(VLOOKUP(C54,'[2]Bản gốc T01'!$C$1:$M$1000,11,0),0)</f>
        <v>0</v>
      </c>
      <c r="AC55" s="55">
        <f>+IFERROR(VLOOKUP(C54,'[2]Bản gốc T01'!$C$1:$I$1000,7,0),0)</f>
        <v>0</v>
      </c>
    </row>
    <row r="56" spans="1:29" ht="14.25" hidden="1" customHeight="1">
      <c r="A56" s="194"/>
      <c r="B56" s="196"/>
      <c r="C56" s="198"/>
      <c r="D56" s="199"/>
      <c r="E56" s="200"/>
      <c r="F56" s="46"/>
      <c r="G56" s="47"/>
      <c r="H56" s="47"/>
      <c r="I56" s="48"/>
      <c r="J56" s="48"/>
      <c r="K56" s="48"/>
      <c r="L56" s="49"/>
      <c r="M56" s="48"/>
      <c r="N56" s="48"/>
      <c r="O56" s="50"/>
      <c r="P56" s="49"/>
      <c r="Q56" s="48"/>
      <c r="R56" s="47"/>
      <c r="S56" s="47"/>
      <c r="T56" s="47"/>
      <c r="U56" s="47"/>
      <c r="V56" s="47"/>
      <c r="W56" s="51"/>
      <c r="X56" s="51"/>
      <c r="Y56" s="47"/>
      <c r="Z56" s="51"/>
      <c r="AA56" s="148"/>
      <c r="AB56" s="140"/>
      <c r="AC56" s="113"/>
    </row>
    <row r="57" spans="1:29" ht="14.25" hidden="1" customHeight="1">
      <c r="A57" s="195"/>
      <c r="B57" s="197"/>
      <c r="C57" s="195"/>
      <c r="D57" s="201"/>
      <c r="E57" s="202"/>
      <c r="F57" s="52"/>
      <c r="G57" s="53"/>
      <c r="H57" s="53"/>
      <c r="I57" s="53"/>
      <c r="J57" s="54"/>
      <c r="K57" s="54"/>
      <c r="L57" s="54"/>
      <c r="M57" s="54"/>
      <c r="N57" s="53"/>
      <c r="O57" s="54"/>
      <c r="P57" s="54"/>
      <c r="Q57" s="53"/>
      <c r="R57" s="53"/>
      <c r="S57" s="53"/>
      <c r="T57" s="53"/>
      <c r="U57" s="53"/>
      <c r="V57" s="53"/>
      <c r="W57" s="54">
        <f t="shared" ref="W57" si="139">SUM(I57:Q57)+T57+U57+V57</f>
        <v>0</v>
      </c>
      <c r="X57" s="53"/>
      <c r="Y57" s="53">
        <f t="shared" ref="Y57" si="140">+ROUND(IF(D57=4939000,D57*0.5%,0),-2)</f>
        <v>0</v>
      </c>
      <c r="Z57" s="54"/>
      <c r="AA57" s="149">
        <f>'[1]Bang TH nop'!AO55</f>
        <v>0</v>
      </c>
      <c r="AB57" s="151">
        <f>+IFERROR(VLOOKUP(C56,'[2]Bản gốc T01'!$C$1:$M$1000,11,0),0)</f>
        <v>0</v>
      </c>
      <c r="AC57" s="55">
        <f>+IFERROR(VLOOKUP(C56,'[2]Bản gốc T01'!$C$1:$I$1000,7,0),0)</f>
        <v>0</v>
      </c>
    </row>
    <row r="58" spans="1:29" ht="14.25" hidden="1" customHeight="1">
      <c r="A58" s="194"/>
      <c r="B58" s="196"/>
      <c r="C58" s="198"/>
      <c r="D58" s="199"/>
      <c r="E58" s="200"/>
      <c r="F58" s="46"/>
      <c r="G58" s="47"/>
      <c r="H58" s="47"/>
      <c r="I58" s="48"/>
      <c r="J58" s="48"/>
      <c r="K58" s="48"/>
      <c r="L58" s="49"/>
      <c r="M58" s="48"/>
      <c r="N58" s="48"/>
      <c r="O58" s="50"/>
      <c r="P58" s="49"/>
      <c r="Q58" s="48"/>
      <c r="R58" s="47"/>
      <c r="S58" s="47"/>
      <c r="T58" s="47"/>
      <c r="U58" s="47"/>
      <c r="V58" s="47"/>
      <c r="W58" s="51"/>
      <c r="X58" s="51"/>
      <c r="Y58" s="47"/>
      <c r="Z58" s="51"/>
      <c r="AA58" s="148"/>
      <c r="AB58" s="140"/>
      <c r="AC58" s="113"/>
    </row>
    <row r="59" spans="1:29" ht="14.25" hidden="1" customHeight="1">
      <c r="A59" s="195"/>
      <c r="B59" s="197"/>
      <c r="C59" s="195"/>
      <c r="D59" s="201"/>
      <c r="E59" s="202"/>
      <c r="F59" s="52"/>
      <c r="G59" s="53"/>
      <c r="H59" s="53"/>
      <c r="I59" s="53"/>
      <c r="J59" s="54"/>
      <c r="K59" s="54"/>
      <c r="L59" s="54"/>
      <c r="M59" s="54"/>
      <c r="N59" s="53"/>
      <c r="O59" s="54"/>
      <c r="P59" s="54"/>
      <c r="Q59" s="53"/>
      <c r="R59" s="53"/>
      <c r="S59" s="53"/>
      <c r="T59" s="53"/>
      <c r="U59" s="53"/>
      <c r="V59" s="53"/>
      <c r="W59" s="54">
        <f t="shared" ref="W59" si="141">SUM(I59:Q59)+T59+U59+V59</f>
        <v>0</v>
      </c>
      <c r="X59" s="53"/>
      <c r="Y59" s="53">
        <f t="shared" ref="Y59" si="142">+ROUND(IF(D59=4939000,D59*0.5%,0),-2)</f>
        <v>0</v>
      </c>
      <c r="Z59" s="54"/>
      <c r="AA59" s="149">
        <f>'[1]Bang TH nop'!AO57</f>
        <v>0</v>
      </c>
      <c r="AB59" s="151">
        <f>+IFERROR(VLOOKUP(C58,'[2]Bản gốc T01'!$C$1:$M$1000,11,0),0)</f>
        <v>0</v>
      </c>
      <c r="AC59" s="55">
        <f>+IFERROR(VLOOKUP(C58,'[2]Bản gốc T01'!$C$1:$I$1000,7,0),0)</f>
        <v>0</v>
      </c>
    </row>
    <row r="60" spans="1:29" ht="17.25" hidden="1" customHeight="1">
      <c r="A60" s="194"/>
      <c r="B60" s="196"/>
      <c r="C60" s="198"/>
      <c r="D60" s="199"/>
      <c r="E60" s="200"/>
      <c r="F60" s="46"/>
      <c r="G60" s="47"/>
      <c r="H60" s="47"/>
      <c r="I60" s="48"/>
      <c r="J60" s="48"/>
      <c r="K60" s="48"/>
      <c r="L60" s="49"/>
      <c r="M60" s="48"/>
      <c r="N60" s="48"/>
      <c r="O60" s="50"/>
      <c r="P60" s="49"/>
      <c r="Q60" s="48"/>
      <c r="R60" s="47"/>
      <c r="S60" s="47"/>
      <c r="T60" s="47"/>
      <c r="U60" s="47"/>
      <c r="V60" s="47"/>
      <c r="W60" s="51"/>
      <c r="X60" s="51"/>
      <c r="Y60" s="47"/>
      <c r="Z60" s="51"/>
      <c r="AA60" s="148"/>
      <c r="AB60" s="140"/>
      <c r="AC60" s="113"/>
    </row>
    <row r="61" spans="1:29" ht="17.25" hidden="1" customHeight="1">
      <c r="A61" s="195"/>
      <c r="B61" s="197"/>
      <c r="C61" s="195"/>
      <c r="D61" s="201"/>
      <c r="E61" s="202"/>
      <c r="F61" s="52"/>
      <c r="G61" s="53"/>
      <c r="H61" s="53"/>
      <c r="I61" s="53"/>
      <c r="J61" s="54"/>
      <c r="K61" s="54"/>
      <c r="L61" s="54"/>
      <c r="M61" s="54"/>
      <c r="N61" s="53"/>
      <c r="O61" s="54"/>
      <c r="P61" s="54"/>
      <c r="Q61" s="53"/>
      <c r="R61" s="53"/>
      <c r="S61" s="53"/>
      <c r="T61" s="53"/>
      <c r="U61" s="53"/>
      <c r="V61" s="53"/>
      <c r="W61" s="54">
        <f t="shared" ref="W61" si="143">SUM(I61:Q61)+T61+U61+V61</f>
        <v>0</v>
      </c>
      <c r="X61" s="53"/>
      <c r="Y61" s="53">
        <f t="shared" ref="Y61" si="144">+ROUND(IF(D61=4939000,D61*0.5%,0),-2)</f>
        <v>0</v>
      </c>
      <c r="Z61" s="54"/>
      <c r="AA61" s="149">
        <f>'[1]Bang TH nop'!AO59</f>
        <v>0</v>
      </c>
      <c r="AB61" s="151">
        <f>+IFERROR(VLOOKUP(C60,'[2]Bản gốc T01'!$C$1:$M$1000,11,0),0)</f>
        <v>0</v>
      </c>
      <c r="AC61" s="55">
        <f>+IFERROR(VLOOKUP(C60,'[2]Bản gốc T01'!$C$1:$I$1000,7,0),0)</f>
        <v>0</v>
      </c>
    </row>
    <row r="62" spans="1:29" ht="17.25" hidden="1" customHeight="1">
      <c r="A62" s="194"/>
      <c r="B62" s="196"/>
      <c r="C62" s="198"/>
      <c r="D62" s="199"/>
      <c r="E62" s="200"/>
      <c r="F62" s="46"/>
      <c r="G62" s="47"/>
      <c r="H62" s="47"/>
      <c r="I62" s="48"/>
      <c r="J62" s="48"/>
      <c r="K62" s="48"/>
      <c r="L62" s="49"/>
      <c r="M62" s="48"/>
      <c r="N62" s="48"/>
      <c r="O62" s="50"/>
      <c r="P62" s="49"/>
      <c r="Q62" s="48"/>
      <c r="R62" s="47"/>
      <c r="S62" s="47"/>
      <c r="T62" s="47"/>
      <c r="U62" s="47"/>
      <c r="V62" s="47"/>
      <c r="W62" s="51"/>
      <c r="X62" s="51"/>
      <c r="Y62" s="47"/>
      <c r="Z62" s="51"/>
      <c r="AA62" s="148"/>
      <c r="AB62" s="140"/>
      <c r="AC62" s="113"/>
    </row>
    <row r="63" spans="1:29" ht="17.25" hidden="1" customHeight="1">
      <c r="A63" s="195"/>
      <c r="B63" s="197"/>
      <c r="C63" s="195"/>
      <c r="D63" s="201"/>
      <c r="E63" s="202"/>
      <c r="F63" s="52"/>
      <c r="G63" s="53"/>
      <c r="H63" s="53"/>
      <c r="I63" s="53"/>
      <c r="J63" s="54"/>
      <c r="K63" s="54"/>
      <c r="L63" s="54"/>
      <c r="M63" s="54"/>
      <c r="N63" s="53"/>
      <c r="O63" s="54"/>
      <c r="P63" s="54"/>
      <c r="Q63" s="53"/>
      <c r="R63" s="53"/>
      <c r="S63" s="53"/>
      <c r="T63" s="53"/>
      <c r="U63" s="53"/>
      <c r="V63" s="53"/>
      <c r="W63" s="54">
        <f t="shared" ref="W63" si="145">SUM(I63:Q63)+T63+U63+V63</f>
        <v>0</v>
      </c>
      <c r="X63" s="53"/>
      <c r="Y63" s="53">
        <f t="shared" ref="Y63" si="146">+ROUND(IF(D63=4939000,D63*0.5%,0),-2)</f>
        <v>0</v>
      </c>
      <c r="Z63" s="54"/>
      <c r="AA63" s="149">
        <f>'[1]Bang TH nop'!AO61</f>
        <v>0</v>
      </c>
      <c r="AB63" s="151">
        <f>+IFERROR(VLOOKUP(C62,'[2]Bản gốc T01'!$C$1:$M$1000,11,0),0)</f>
        <v>0</v>
      </c>
      <c r="AC63" s="55">
        <f>+IFERROR(VLOOKUP(C62,'[2]Bản gốc T01'!$C$1:$I$1000,7,0),0)</f>
        <v>0</v>
      </c>
    </row>
    <row r="64" spans="1:29" ht="15.2" hidden="1" customHeight="1">
      <c r="A64" s="194"/>
      <c r="B64" s="196"/>
      <c r="C64" s="198"/>
      <c r="D64" s="199"/>
      <c r="E64" s="200"/>
      <c r="F64" s="46"/>
      <c r="G64" s="47"/>
      <c r="H64" s="47"/>
      <c r="I64" s="48"/>
      <c r="J64" s="48"/>
      <c r="K64" s="48"/>
      <c r="L64" s="49"/>
      <c r="M64" s="48"/>
      <c r="N64" s="48"/>
      <c r="O64" s="50"/>
      <c r="P64" s="49"/>
      <c r="Q64" s="48"/>
      <c r="R64" s="47"/>
      <c r="S64" s="47"/>
      <c r="T64" s="47"/>
      <c r="U64" s="47"/>
      <c r="V64" s="47"/>
      <c r="W64" s="51"/>
      <c r="X64" s="51"/>
      <c r="Y64" s="47"/>
      <c r="Z64" s="51"/>
      <c r="AA64" s="148"/>
      <c r="AB64" s="140"/>
      <c r="AC64" s="113"/>
    </row>
    <row r="65" spans="1:29" ht="15.2" hidden="1" customHeight="1">
      <c r="A65" s="195"/>
      <c r="B65" s="197"/>
      <c r="C65" s="195"/>
      <c r="D65" s="201"/>
      <c r="E65" s="202"/>
      <c r="F65" s="52"/>
      <c r="G65" s="53"/>
      <c r="H65" s="53"/>
      <c r="I65" s="53"/>
      <c r="J65" s="54"/>
      <c r="K65" s="54"/>
      <c r="L65" s="54"/>
      <c r="M65" s="54"/>
      <c r="N65" s="53"/>
      <c r="O65" s="54"/>
      <c r="P65" s="54"/>
      <c r="Q65" s="53"/>
      <c r="R65" s="53"/>
      <c r="S65" s="53"/>
      <c r="T65" s="53"/>
      <c r="U65" s="53"/>
      <c r="V65" s="53"/>
      <c r="W65" s="54">
        <f t="shared" ref="W65" si="147">SUM(I65:Q65)+T65+U65+V65</f>
        <v>0</v>
      </c>
      <c r="X65" s="53"/>
      <c r="Y65" s="53">
        <f t="shared" ref="Y65" si="148">+ROUND(IF(D65=4939000,D65*0.5%,0),-2)</f>
        <v>0</v>
      </c>
      <c r="Z65" s="54"/>
      <c r="AA65" s="149">
        <f>'[1]Bang TH nop'!AO63</f>
        <v>0</v>
      </c>
      <c r="AB65" s="151">
        <f>+IFERROR(VLOOKUP(C64,'[2]Bản gốc T01'!$C$1:$M$1000,11,0),0)</f>
        <v>0</v>
      </c>
      <c r="AC65" s="55">
        <f>+IFERROR(VLOOKUP(C64,'[2]Bản gốc T01'!$C$1:$I$1000,7,0),0)</f>
        <v>0</v>
      </c>
    </row>
    <row r="66" spans="1:29" ht="15.2" hidden="1" customHeight="1">
      <c r="A66" s="194"/>
      <c r="B66" s="196"/>
      <c r="C66" s="198"/>
      <c r="D66" s="199"/>
      <c r="E66" s="200"/>
      <c r="F66" s="46"/>
      <c r="G66" s="47"/>
      <c r="H66" s="47"/>
      <c r="I66" s="48"/>
      <c r="J66" s="48"/>
      <c r="K66" s="48"/>
      <c r="L66" s="49"/>
      <c r="M66" s="48"/>
      <c r="N66" s="48"/>
      <c r="O66" s="50"/>
      <c r="P66" s="49"/>
      <c r="Q66" s="48"/>
      <c r="R66" s="47"/>
      <c r="S66" s="47"/>
      <c r="T66" s="47"/>
      <c r="U66" s="47"/>
      <c r="V66" s="47"/>
      <c r="W66" s="51"/>
      <c r="X66" s="51"/>
      <c r="Y66" s="47"/>
      <c r="Z66" s="51"/>
      <c r="AA66" s="148"/>
      <c r="AB66" s="140"/>
      <c r="AC66" s="113"/>
    </row>
    <row r="67" spans="1:29" ht="15.2" hidden="1" customHeight="1">
      <c r="A67" s="195"/>
      <c r="B67" s="197"/>
      <c r="C67" s="195"/>
      <c r="D67" s="201"/>
      <c r="E67" s="202"/>
      <c r="F67" s="52"/>
      <c r="G67" s="53"/>
      <c r="H67" s="53"/>
      <c r="I67" s="53"/>
      <c r="J67" s="54"/>
      <c r="K67" s="54"/>
      <c r="L67" s="54"/>
      <c r="M67" s="54"/>
      <c r="N67" s="53"/>
      <c r="O67" s="54"/>
      <c r="P67" s="54"/>
      <c r="Q67" s="53"/>
      <c r="R67" s="53"/>
      <c r="S67" s="53"/>
      <c r="T67" s="53"/>
      <c r="U67" s="53"/>
      <c r="V67" s="53"/>
      <c r="W67" s="54">
        <f t="shared" ref="W67" si="149">SUM(I67:Q67)+T67+U67+V67</f>
        <v>0</v>
      </c>
      <c r="X67" s="53"/>
      <c r="Y67" s="53">
        <f t="shared" ref="Y67" si="150">+ROUND(IF(D67=4939000,D67*0.5%,0),-2)</f>
        <v>0</v>
      </c>
      <c r="Z67" s="54"/>
      <c r="AA67" s="149">
        <f>'[1]Bang TH nop'!AO65</f>
        <v>0</v>
      </c>
      <c r="AB67" s="151">
        <f>+IFERROR(VLOOKUP(C66,'[2]Bản gốc T01'!$C$1:$M$1000,11,0),0)</f>
        <v>0</v>
      </c>
      <c r="AC67" s="55">
        <f>+IFERROR(VLOOKUP(C66,'[2]Bản gốc T01'!$C$1:$I$1000,7,0),0)</f>
        <v>0</v>
      </c>
    </row>
    <row r="68" spans="1:29" ht="15.75" hidden="1" customHeight="1">
      <c r="A68" s="194"/>
      <c r="B68" s="196"/>
      <c r="C68" s="198"/>
      <c r="D68" s="199"/>
      <c r="E68" s="200"/>
      <c r="F68" s="46"/>
      <c r="G68" s="47"/>
      <c r="H68" s="47"/>
      <c r="I68" s="48"/>
      <c r="J68" s="48"/>
      <c r="K68" s="48"/>
      <c r="L68" s="49"/>
      <c r="M68" s="48"/>
      <c r="N68" s="48"/>
      <c r="O68" s="50"/>
      <c r="P68" s="49"/>
      <c r="Q68" s="48"/>
      <c r="R68" s="47"/>
      <c r="S68" s="47"/>
      <c r="T68" s="47"/>
      <c r="U68" s="47"/>
      <c r="V68" s="47"/>
      <c r="W68" s="51"/>
      <c r="X68" s="51"/>
      <c r="Y68" s="47"/>
      <c r="Z68" s="51"/>
      <c r="AA68" s="148"/>
      <c r="AB68" s="140"/>
      <c r="AC68" s="113"/>
    </row>
    <row r="69" spans="1:29" ht="15.75" hidden="1" customHeight="1">
      <c r="A69" s="195"/>
      <c r="B69" s="197"/>
      <c r="C69" s="195"/>
      <c r="D69" s="201"/>
      <c r="E69" s="202"/>
      <c r="F69" s="52"/>
      <c r="G69" s="53"/>
      <c r="H69" s="53"/>
      <c r="I69" s="53"/>
      <c r="J69" s="54"/>
      <c r="K69" s="54"/>
      <c r="L69" s="54"/>
      <c r="M69" s="54"/>
      <c r="N69" s="53"/>
      <c r="O69" s="54"/>
      <c r="P69" s="54"/>
      <c r="Q69" s="53"/>
      <c r="R69" s="53"/>
      <c r="S69" s="53"/>
      <c r="T69" s="53"/>
      <c r="U69" s="53"/>
      <c r="V69" s="53"/>
      <c r="W69" s="54">
        <f t="shared" ref="W69" si="151">SUM(I69:Q69)+T69+U69+V69</f>
        <v>0</v>
      </c>
      <c r="X69" s="53"/>
      <c r="Y69" s="53">
        <f t="shared" ref="Y69" si="152">+ROUND(IF(D69=4939000,D69*0.5%,0),-2)</f>
        <v>0</v>
      </c>
      <c r="Z69" s="54"/>
      <c r="AA69" s="149">
        <f>'[1]Bang TH nop'!AO67</f>
        <v>0</v>
      </c>
      <c r="AB69" s="151">
        <f>+IFERROR(VLOOKUP(C68,'[2]Bản gốc T01'!$C$1:$M$1000,11,0),0)</f>
        <v>0</v>
      </c>
      <c r="AC69" s="55">
        <f>+IFERROR(VLOOKUP(C68,'[2]Bản gốc T01'!$C$1:$I$1000,7,0),0)</f>
        <v>0</v>
      </c>
    </row>
    <row r="70" spans="1:29" ht="15.75" hidden="1" customHeight="1">
      <c r="A70" s="194"/>
      <c r="B70" s="196"/>
      <c r="C70" s="198"/>
      <c r="D70" s="199"/>
      <c r="E70" s="200"/>
      <c r="F70" s="46"/>
      <c r="G70" s="47"/>
      <c r="H70" s="47"/>
      <c r="I70" s="48"/>
      <c r="J70" s="48"/>
      <c r="K70" s="48"/>
      <c r="L70" s="49"/>
      <c r="M70" s="48"/>
      <c r="N70" s="48"/>
      <c r="O70" s="50"/>
      <c r="P70" s="49"/>
      <c r="Q70" s="48"/>
      <c r="R70" s="47"/>
      <c r="S70" s="47"/>
      <c r="T70" s="47"/>
      <c r="U70" s="47"/>
      <c r="V70" s="47"/>
      <c r="W70" s="51"/>
      <c r="X70" s="51"/>
      <c r="Y70" s="47"/>
      <c r="Z70" s="51"/>
      <c r="AA70" s="148"/>
      <c r="AB70" s="140"/>
      <c r="AC70" s="113"/>
    </row>
    <row r="71" spans="1:29" ht="15.75" hidden="1" customHeight="1">
      <c r="A71" s="195"/>
      <c r="B71" s="197"/>
      <c r="C71" s="195"/>
      <c r="D71" s="201"/>
      <c r="E71" s="202"/>
      <c r="F71" s="52"/>
      <c r="G71" s="53"/>
      <c r="H71" s="53"/>
      <c r="I71" s="53"/>
      <c r="J71" s="54"/>
      <c r="K71" s="54"/>
      <c r="L71" s="54"/>
      <c r="M71" s="54"/>
      <c r="N71" s="53"/>
      <c r="O71" s="54"/>
      <c r="P71" s="54"/>
      <c r="Q71" s="53"/>
      <c r="R71" s="53"/>
      <c r="S71" s="53"/>
      <c r="T71" s="53"/>
      <c r="U71" s="53"/>
      <c r="V71" s="53"/>
      <c r="W71" s="54">
        <f t="shared" ref="W71" si="153">SUM(I71:Q71)+T71+U71+V71</f>
        <v>0</v>
      </c>
      <c r="X71" s="53"/>
      <c r="Y71" s="53">
        <f t="shared" ref="Y71" si="154">+ROUND(IF(D71=4939000,D71*0.5%,0),-2)</f>
        <v>0</v>
      </c>
      <c r="Z71" s="54"/>
      <c r="AA71" s="149">
        <f>'[1]Bang TH nop'!AO69</f>
        <v>0</v>
      </c>
      <c r="AB71" s="151">
        <f>+IFERROR(VLOOKUP(C70,'[2]Bản gốc T01'!$C$1:$M$1000,11,0),0)</f>
        <v>0</v>
      </c>
      <c r="AC71" s="55">
        <f>+IFERROR(VLOOKUP(C70,'[2]Bản gốc T01'!$C$1:$I$1000,7,0),0)</f>
        <v>0</v>
      </c>
    </row>
    <row r="72" spans="1:29" ht="14.25" hidden="1" customHeight="1">
      <c r="A72" s="194"/>
      <c r="B72" s="196"/>
      <c r="C72" s="198"/>
      <c r="D72" s="199"/>
      <c r="E72" s="200"/>
      <c r="F72" s="46"/>
      <c r="G72" s="47"/>
      <c r="H72" s="47"/>
      <c r="I72" s="48"/>
      <c r="J72" s="48"/>
      <c r="K72" s="48"/>
      <c r="L72" s="49"/>
      <c r="M72" s="48"/>
      <c r="N72" s="48"/>
      <c r="O72" s="50"/>
      <c r="P72" s="49"/>
      <c r="Q72" s="48"/>
      <c r="R72" s="47"/>
      <c r="S72" s="47"/>
      <c r="T72" s="47"/>
      <c r="U72" s="47"/>
      <c r="V72" s="47"/>
      <c r="W72" s="51"/>
      <c r="X72" s="51"/>
      <c r="Y72" s="47"/>
      <c r="Z72" s="51"/>
      <c r="AA72" s="148"/>
      <c r="AB72" s="140"/>
      <c r="AC72" s="113"/>
    </row>
    <row r="73" spans="1:29" ht="14.25" hidden="1" customHeight="1">
      <c r="A73" s="195"/>
      <c r="B73" s="197"/>
      <c r="C73" s="195"/>
      <c r="D73" s="201"/>
      <c r="E73" s="202"/>
      <c r="F73" s="52"/>
      <c r="G73" s="53"/>
      <c r="H73" s="53"/>
      <c r="I73" s="53"/>
      <c r="J73" s="54"/>
      <c r="K73" s="54"/>
      <c r="L73" s="54"/>
      <c r="M73" s="54"/>
      <c r="N73" s="53"/>
      <c r="O73" s="54"/>
      <c r="P73" s="54"/>
      <c r="Q73" s="53"/>
      <c r="R73" s="53"/>
      <c r="S73" s="53"/>
      <c r="T73" s="53"/>
      <c r="U73" s="53"/>
      <c r="V73" s="53"/>
      <c r="W73" s="54">
        <f t="shared" ref="W73" si="155">SUM(I73:Q73)+T73+U73+V73</f>
        <v>0</v>
      </c>
      <c r="X73" s="53"/>
      <c r="Y73" s="53">
        <f t="shared" ref="Y73" si="156">+ROUND(IF(D73=4939000,D73*0.5%,0),-2)</f>
        <v>0</v>
      </c>
      <c r="Z73" s="54"/>
      <c r="AA73" s="149">
        <f>'[1]Bang TH nop'!AO71</f>
        <v>0</v>
      </c>
      <c r="AB73" s="151">
        <f>+IFERROR(VLOOKUP(C72,'[2]Bản gốc T01'!$C$1:$M$1000,11,0),0)</f>
        <v>0</v>
      </c>
      <c r="AC73" s="55">
        <f>+IFERROR(VLOOKUP(C72,'[2]Bản gốc T01'!$C$1:$I$1000,7,0),0)</f>
        <v>0</v>
      </c>
    </row>
    <row r="74" spans="1:29" ht="14.25" hidden="1" customHeight="1">
      <c r="A74" s="194"/>
      <c r="B74" s="196"/>
      <c r="C74" s="198"/>
      <c r="D74" s="199"/>
      <c r="E74" s="200"/>
      <c r="F74" s="46"/>
      <c r="G74" s="47"/>
      <c r="H74" s="47"/>
      <c r="I74" s="48"/>
      <c r="J74" s="48"/>
      <c r="K74" s="48"/>
      <c r="L74" s="49"/>
      <c r="M74" s="48"/>
      <c r="N74" s="48"/>
      <c r="O74" s="50"/>
      <c r="P74" s="49"/>
      <c r="Q74" s="48"/>
      <c r="R74" s="47"/>
      <c r="S74" s="47"/>
      <c r="T74" s="47"/>
      <c r="U74" s="47"/>
      <c r="V74" s="47"/>
      <c r="W74" s="51"/>
      <c r="X74" s="51"/>
      <c r="Y74" s="47"/>
      <c r="Z74" s="51"/>
      <c r="AA74" s="148"/>
      <c r="AB74" s="140"/>
      <c r="AC74" s="113"/>
    </row>
    <row r="75" spans="1:29" ht="14.25" hidden="1" customHeight="1">
      <c r="A75" s="195"/>
      <c r="B75" s="197"/>
      <c r="C75" s="195"/>
      <c r="D75" s="201"/>
      <c r="E75" s="202"/>
      <c r="F75" s="52"/>
      <c r="G75" s="53"/>
      <c r="H75" s="53"/>
      <c r="I75" s="53"/>
      <c r="J75" s="54"/>
      <c r="K75" s="54"/>
      <c r="L75" s="54"/>
      <c r="M75" s="54"/>
      <c r="N75" s="53"/>
      <c r="O75" s="54"/>
      <c r="P75" s="54"/>
      <c r="Q75" s="53"/>
      <c r="R75" s="53"/>
      <c r="S75" s="53"/>
      <c r="T75" s="53"/>
      <c r="U75" s="53"/>
      <c r="V75" s="53"/>
      <c r="W75" s="54">
        <f t="shared" ref="W75" si="157">SUM(I75:Q75)+T75+U75+V75</f>
        <v>0</v>
      </c>
      <c r="X75" s="53"/>
      <c r="Y75" s="53">
        <f t="shared" ref="Y75" si="158">+ROUND(IF(D75=4939000,D75*0.5%,0),-2)</f>
        <v>0</v>
      </c>
      <c r="Z75" s="54"/>
      <c r="AA75" s="149">
        <f>'[1]Bang TH nop'!AO73</f>
        <v>0</v>
      </c>
      <c r="AB75" s="151">
        <f>+IFERROR(VLOOKUP(C74,'[2]Bản gốc T01'!$C$1:$M$1000,11,0),0)</f>
        <v>0</v>
      </c>
      <c r="AC75" s="55">
        <f>+IFERROR(VLOOKUP(C74,'[2]Bản gốc T01'!$C$1:$I$1000,7,0),0)</f>
        <v>0</v>
      </c>
    </row>
    <row r="76" spans="1:29" ht="14.25" hidden="1" customHeight="1">
      <c r="A76" s="194"/>
      <c r="B76" s="196"/>
      <c r="C76" s="198"/>
      <c r="D76" s="199"/>
      <c r="E76" s="200"/>
      <c r="F76" s="46"/>
      <c r="G76" s="47"/>
      <c r="H76" s="47"/>
      <c r="I76" s="48"/>
      <c r="J76" s="48"/>
      <c r="K76" s="48"/>
      <c r="L76" s="49"/>
      <c r="M76" s="48"/>
      <c r="N76" s="48"/>
      <c r="O76" s="50"/>
      <c r="P76" s="49"/>
      <c r="Q76" s="48"/>
      <c r="R76" s="47"/>
      <c r="S76" s="47"/>
      <c r="T76" s="47"/>
      <c r="U76" s="47"/>
      <c r="V76" s="47"/>
      <c r="W76" s="51"/>
      <c r="X76" s="51"/>
      <c r="Y76" s="47"/>
      <c r="Z76" s="51"/>
      <c r="AA76" s="148"/>
      <c r="AB76" s="140"/>
      <c r="AC76" s="113"/>
    </row>
    <row r="77" spans="1:29" ht="14.25" hidden="1" customHeight="1">
      <c r="A77" s="195"/>
      <c r="B77" s="197"/>
      <c r="C77" s="195"/>
      <c r="D77" s="201"/>
      <c r="E77" s="202"/>
      <c r="F77" s="52"/>
      <c r="G77" s="53"/>
      <c r="H77" s="53"/>
      <c r="I77" s="53"/>
      <c r="J77" s="54"/>
      <c r="K77" s="54"/>
      <c r="L77" s="54"/>
      <c r="M77" s="54"/>
      <c r="N77" s="53"/>
      <c r="O77" s="54"/>
      <c r="P77" s="54"/>
      <c r="Q77" s="53"/>
      <c r="R77" s="53"/>
      <c r="S77" s="53"/>
      <c r="T77" s="53"/>
      <c r="U77" s="53"/>
      <c r="V77" s="53"/>
      <c r="W77" s="54">
        <f t="shared" ref="W77" si="159">SUM(I77:Q77)+T77+U77+V77</f>
        <v>0</v>
      </c>
      <c r="X77" s="53"/>
      <c r="Y77" s="53">
        <f t="shared" ref="Y77" si="160">+ROUND(IF(D77=4939000,D77*0.5%,0),-2)</f>
        <v>0</v>
      </c>
      <c r="Z77" s="54"/>
      <c r="AA77" s="149">
        <f>'[1]Bang TH nop'!AO75</f>
        <v>0</v>
      </c>
      <c r="AB77" s="151">
        <f>+IFERROR(VLOOKUP(C76,'[2]Bản gốc T01'!$C$1:$M$1000,11,0),0)</f>
        <v>0</v>
      </c>
      <c r="AC77" s="55">
        <f>+IFERROR(VLOOKUP(C76,'[2]Bản gốc T01'!$C$1:$I$1000,7,0),0)</f>
        <v>0</v>
      </c>
    </row>
    <row r="78" spans="1:29" ht="14.25" hidden="1" customHeight="1">
      <c r="A78" s="194"/>
      <c r="B78" s="196"/>
      <c r="C78" s="198"/>
      <c r="D78" s="199"/>
      <c r="E78" s="200"/>
      <c r="F78" s="46"/>
      <c r="G78" s="47"/>
      <c r="H78" s="47"/>
      <c r="I78" s="48"/>
      <c r="J78" s="48"/>
      <c r="K78" s="48"/>
      <c r="L78" s="49"/>
      <c r="M78" s="48"/>
      <c r="N78" s="48"/>
      <c r="O78" s="50"/>
      <c r="P78" s="49"/>
      <c r="Q78" s="48"/>
      <c r="R78" s="47"/>
      <c r="S78" s="47"/>
      <c r="T78" s="47"/>
      <c r="U78" s="47"/>
      <c r="V78" s="47"/>
      <c r="W78" s="51"/>
      <c r="X78" s="51"/>
      <c r="Y78" s="47"/>
      <c r="Z78" s="51"/>
      <c r="AA78" s="148"/>
      <c r="AB78" s="140"/>
      <c r="AC78" s="113"/>
    </row>
    <row r="79" spans="1:29" ht="14.25" hidden="1" customHeight="1">
      <c r="A79" s="195"/>
      <c r="B79" s="197"/>
      <c r="C79" s="195"/>
      <c r="D79" s="201"/>
      <c r="E79" s="202"/>
      <c r="F79" s="52"/>
      <c r="G79" s="53"/>
      <c r="H79" s="53"/>
      <c r="I79" s="53"/>
      <c r="J79" s="54"/>
      <c r="K79" s="54"/>
      <c r="L79" s="54"/>
      <c r="M79" s="54"/>
      <c r="N79" s="53"/>
      <c r="O79" s="54"/>
      <c r="P79" s="54"/>
      <c r="Q79" s="53"/>
      <c r="R79" s="53"/>
      <c r="S79" s="53"/>
      <c r="T79" s="53"/>
      <c r="U79" s="53"/>
      <c r="V79" s="53"/>
      <c r="W79" s="54">
        <f t="shared" ref="W79" si="161">SUM(I79:Q79)+T79+U79+V79</f>
        <v>0</v>
      </c>
      <c r="X79" s="53"/>
      <c r="Y79" s="53">
        <f t="shared" ref="Y79" si="162">+ROUND(IF(D79=4939000,D79*0.5%,0),-2)</f>
        <v>0</v>
      </c>
      <c r="Z79" s="54"/>
      <c r="AA79" s="149">
        <f>'[1]Bang TH nop'!AO77</f>
        <v>0</v>
      </c>
      <c r="AB79" s="151">
        <f>+IFERROR(VLOOKUP(C78,'[2]Bản gốc T01'!$C$1:$M$1000,11,0),0)</f>
        <v>0</v>
      </c>
      <c r="AC79" s="55">
        <f>+IFERROR(VLOOKUP(C78,'[2]Bản gốc T01'!$C$1:$I$1000,7,0),0)</f>
        <v>0</v>
      </c>
    </row>
    <row r="80" spans="1:29" ht="14.25" hidden="1" customHeight="1">
      <c r="A80" s="194"/>
      <c r="B80" s="196"/>
      <c r="C80" s="198"/>
      <c r="D80" s="199"/>
      <c r="E80" s="200"/>
      <c r="F80" s="46"/>
      <c r="G80" s="47"/>
      <c r="H80" s="47"/>
      <c r="I80" s="48"/>
      <c r="J80" s="48"/>
      <c r="K80" s="48"/>
      <c r="L80" s="49"/>
      <c r="M80" s="48"/>
      <c r="N80" s="48"/>
      <c r="O80" s="50"/>
      <c r="P80" s="49"/>
      <c r="Q80" s="48"/>
      <c r="R80" s="47"/>
      <c r="S80" s="47"/>
      <c r="T80" s="47"/>
      <c r="U80" s="47"/>
      <c r="V80" s="47"/>
      <c r="W80" s="51"/>
      <c r="X80" s="51"/>
      <c r="Y80" s="47"/>
      <c r="Z80" s="51"/>
      <c r="AA80" s="148"/>
      <c r="AB80" s="140"/>
      <c r="AC80" s="113"/>
    </row>
    <row r="81" spans="1:29" ht="14.25" hidden="1" customHeight="1">
      <c r="A81" s="195"/>
      <c r="B81" s="197"/>
      <c r="C81" s="195"/>
      <c r="D81" s="201"/>
      <c r="E81" s="202"/>
      <c r="F81" s="52"/>
      <c r="G81" s="53"/>
      <c r="H81" s="53"/>
      <c r="I81" s="53"/>
      <c r="J81" s="54"/>
      <c r="K81" s="54"/>
      <c r="L81" s="54"/>
      <c r="M81" s="54"/>
      <c r="N81" s="53"/>
      <c r="O81" s="54"/>
      <c r="P81" s="54"/>
      <c r="Q81" s="53"/>
      <c r="R81" s="53"/>
      <c r="S81" s="53"/>
      <c r="T81" s="53"/>
      <c r="U81" s="53"/>
      <c r="V81" s="53"/>
      <c r="W81" s="54">
        <f t="shared" ref="W81" si="163">SUM(I81:Q81)+T81+U81+V81</f>
        <v>0</v>
      </c>
      <c r="X81" s="53"/>
      <c r="Y81" s="53">
        <f t="shared" ref="Y81" si="164">+ROUND(IF(D81=4939000,D81*0.5%,0),-2)</f>
        <v>0</v>
      </c>
      <c r="Z81" s="54"/>
      <c r="AA81" s="149">
        <f>'[1]Bang TH nop'!AO79</f>
        <v>0</v>
      </c>
      <c r="AB81" s="151">
        <f>+IFERROR(VLOOKUP(C80,'[2]Bản gốc T01'!$C$1:$M$1000,11,0),0)</f>
        <v>0</v>
      </c>
      <c r="AC81" s="55">
        <f>+IFERROR(VLOOKUP(C80,'[2]Bản gốc T01'!$C$1:$I$1000,7,0),0)</f>
        <v>0</v>
      </c>
    </row>
    <row r="82" spans="1:29" ht="14.25" hidden="1" customHeight="1">
      <c r="A82" s="194"/>
      <c r="B82" s="196"/>
      <c r="C82" s="198"/>
      <c r="D82" s="199"/>
      <c r="E82" s="200"/>
      <c r="F82" s="46"/>
      <c r="G82" s="47"/>
      <c r="H82" s="47"/>
      <c r="I82" s="48"/>
      <c r="J82" s="48"/>
      <c r="K82" s="48"/>
      <c r="L82" s="49"/>
      <c r="M82" s="48"/>
      <c r="N82" s="48"/>
      <c r="O82" s="50"/>
      <c r="P82" s="49"/>
      <c r="Q82" s="48"/>
      <c r="R82" s="47"/>
      <c r="S82" s="47"/>
      <c r="T82" s="47"/>
      <c r="U82" s="47"/>
      <c r="V82" s="47"/>
      <c r="W82" s="51"/>
      <c r="X82" s="51"/>
      <c r="Y82" s="47"/>
      <c r="Z82" s="51"/>
      <c r="AA82" s="148"/>
      <c r="AB82" s="140"/>
      <c r="AC82" s="113"/>
    </row>
    <row r="83" spans="1:29" ht="14.25" hidden="1" customHeight="1">
      <c r="A83" s="195"/>
      <c r="B83" s="197"/>
      <c r="C83" s="195"/>
      <c r="D83" s="201"/>
      <c r="E83" s="202"/>
      <c r="F83" s="52"/>
      <c r="G83" s="53"/>
      <c r="H83" s="53"/>
      <c r="I83" s="53"/>
      <c r="J83" s="54"/>
      <c r="K83" s="54"/>
      <c r="L83" s="54"/>
      <c r="M83" s="54"/>
      <c r="N83" s="53"/>
      <c r="O83" s="54"/>
      <c r="P83" s="54"/>
      <c r="Q83" s="53"/>
      <c r="R83" s="53"/>
      <c r="S83" s="53"/>
      <c r="T83" s="53"/>
      <c r="U83" s="53"/>
      <c r="V83" s="53"/>
      <c r="W83" s="54">
        <f t="shared" ref="W83" si="165">SUM(I83:Q83)+T83+U83+V83</f>
        <v>0</v>
      </c>
      <c r="X83" s="53"/>
      <c r="Y83" s="53">
        <f t="shared" ref="Y83" si="166">+ROUND(IF(D83=4939000,D83*0.5%,0),-2)</f>
        <v>0</v>
      </c>
      <c r="Z83" s="54"/>
      <c r="AA83" s="149">
        <f>'[1]Bang TH nop'!AO81</f>
        <v>0</v>
      </c>
      <c r="AB83" s="151">
        <f>+IFERROR(VLOOKUP(C82,'[2]Bản gốc T01'!$C$1:$M$1000,11,0),0)</f>
        <v>0</v>
      </c>
      <c r="AC83" s="55">
        <f>+IFERROR(VLOOKUP(C82,'[2]Bản gốc T01'!$C$1:$I$1000,7,0),0)</f>
        <v>0</v>
      </c>
    </row>
    <row r="84" spans="1:29" ht="14.25" hidden="1" customHeight="1">
      <c r="A84" s="194"/>
      <c r="B84" s="196"/>
      <c r="C84" s="198"/>
      <c r="D84" s="199"/>
      <c r="E84" s="200"/>
      <c r="F84" s="46"/>
      <c r="G84" s="47"/>
      <c r="H84" s="47"/>
      <c r="I84" s="48"/>
      <c r="J84" s="48"/>
      <c r="K84" s="48"/>
      <c r="L84" s="49"/>
      <c r="M84" s="48"/>
      <c r="N84" s="48"/>
      <c r="O84" s="50"/>
      <c r="P84" s="49"/>
      <c r="Q84" s="48"/>
      <c r="R84" s="47"/>
      <c r="S84" s="47"/>
      <c r="T84" s="47"/>
      <c r="U84" s="47"/>
      <c r="V84" s="47"/>
      <c r="W84" s="51"/>
      <c r="X84" s="51"/>
      <c r="Y84" s="47"/>
      <c r="Z84" s="51"/>
      <c r="AA84" s="148"/>
      <c r="AB84" s="140"/>
      <c r="AC84" s="113"/>
    </row>
    <row r="85" spans="1:29" ht="14.25" hidden="1" customHeight="1">
      <c r="A85" s="195"/>
      <c r="B85" s="197"/>
      <c r="C85" s="195"/>
      <c r="D85" s="201"/>
      <c r="E85" s="202"/>
      <c r="F85" s="52"/>
      <c r="G85" s="53"/>
      <c r="H85" s="53"/>
      <c r="I85" s="53"/>
      <c r="J85" s="54"/>
      <c r="K85" s="54"/>
      <c r="L85" s="54"/>
      <c r="M85" s="54"/>
      <c r="N85" s="53"/>
      <c r="O85" s="54"/>
      <c r="P85" s="54"/>
      <c r="Q85" s="53"/>
      <c r="R85" s="53"/>
      <c r="S85" s="53"/>
      <c r="T85" s="53"/>
      <c r="U85" s="53"/>
      <c r="V85" s="53"/>
      <c r="W85" s="54">
        <f t="shared" ref="W85" si="167">SUM(I85:Q85)+T85+U85+V85</f>
        <v>0</v>
      </c>
      <c r="X85" s="53"/>
      <c r="Y85" s="53">
        <f t="shared" ref="Y85" si="168">+ROUND(IF(D85=4939000,D85*0.5%,0),-2)</f>
        <v>0</v>
      </c>
      <c r="Z85" s="54"/>
      <c r="AA85" s="149">
        <f>'[1]Bang TH nop'!AO83</f>
        <v>0</v>
      </c>
      <c r="AB85" s="151">
        <f>+IFERROR(VLOOKUP(C84,'[2]Bản gốc T01'!$C$1:$M$1000,11,0),0)</f>
        <v>0</v>
      </c>
      <c r="AC85" s="55">
        <f>+IFERROR(VLOOKUP(C84,'[2]Bản gốc T01'!$C$1:$I$1000,7,0),0)</f>
        <v>0</v>
      </c>
    </row>
    <row r="86" spans="1:29" ht="14.25" hidden="1" customHeight="1">
      <c r="A86" s="194"/>
      <c r="B86" s="196"/>
      <c r="C86" s="198"/>
      <c r="D86" s="199"/>
      <c r="E86" s="200"/>
      <c r="F86" s="46"/>
      <c r="G86" s="47"/>
      <c r="H86" s="47"/>
      <c r="I86" s="48"/>
      <c r="J86" s="48"/>
      <c r="K86" s="48"/>
      <c r="L86" s="49"/>
      <c r="M86" s="48"/>
      <c r="N86" s="48"/>
      <c r="O86" s="50"/>
      <c r="P86" s="49"/>
      <c r="Q86" s="48"/>
      <c r="R86" s="47"/>
      <c r="S86" s="47"/>
      <c r="T86" s="47"/>
      <c r="U86" s="47"/>
      <c r="V86" s="47"/>
      <c r="W86" s="51"/>
      <c r="X86" s="51"/>
      <c r="Y86" s="47"/>
      <c r="Z86" s="51"/>
      <c r="AA86" s="148"/>
      <c r="AB86" s="140"/>
      <c r="AC86" s="113"/>
    </row>
    <row r="87" spans="1:29" ht="14.25" hidden="1" customHeight="1">
      <c r="A87" s="195"/>
      <c r="B87" s="197"/>
      <c r="C87" s="195"/>
      <c r="D87" s="201"/>
      <c r="E87" s="202"/>
      <c r="F87" s="52"/>
      <c r="G87" s="53"/>
      <c r="H87" s="53"/>
      <c r="I87" s="53"/>
      <c r="J87" s="54"/>
      <c r="K87" s="54"/>
      <c r="L87" s="54"/>
      <c r="M87" s="54"/>
      <c r="N87" s="53"/>
      <c r="O87" s="54"/>
      <c r="P87" s="54"/>
      <c r="Q87" s="53"/>
      <c r="R87" s="53"/>
      <c r="S87" s="53"/>
      <c r="T87" s="53"/>
      <c r="U87" s="53"/>
      <c r="V87" s="53"/>
      <c r="W87" s="54">
        <f t="shared" ref="W87" si="169">SUM(I87:Q87)+T87+U87+V87</f>
        <v>0</v>
      </c>
      <c r="X87" s="53"/>
      <c r="Y87" s="53">
        <f t="shared" ref="Y87" si="170">+ROUND(IF(D87=4939000,D87*0.5%,0),-2)</f>
        <v>0</v>
      </c>
      <c r="Z87" s="54"/>
      <c r="AA87" s="149">
        <f>'[1]Bang TH nop'!AO85</f>
        <v>0</v>
      </c>
      <c r="AB87" s="151">
        <f>+IFERROR(VLOOKUP(C86,'[2]Bản gốc T01'!$C$1:$M$1000,11,0),0)</f>
        <v>0</v>
      </c>
      <c r="AC87" s="55">
        <f>+IFERROR(VLOOKUP(C86,'[2]Bản gốc T01'!$C$1:$I$1000,7,0),0)</f>
        <v>0</v>
      </c>
    </row>
    <row r="88" spans="1:29" ht="14.25" hidden="1" customHeight="1">
      <c r="A88" s="194"/>
      <c r="B88" s="196"/>
      <c r="C88" s="198"/>
      <c r="D88" s="199"/>
      <c r="E88" s="200"/>
      <c r="F88" s="46"/>
      <c r="G88" s="47"/>
      <c r="H88" s="47"/>
      <c r="I88" s="48"/>
      <c r="J88" s="48"/>
      <c r="K88" s="48"/>
      <c r="L88" s="49"/>
      <c r="M88" s="48"/>
      <c r="N88" s="48"/>
      <c r="O88" s="50"/>
      <c r="P88" s="49"/>
      <c r="Q88" s="48"/>
      <c r="R88" s="47"/>
      <c r="S88" s="47"/>
      <c r="T88" s="47"/>
      <c r="U88" s="47"/>
      <c r="V88" s="47"/>
      <c r="W88" s="51"/>
      <c r="X88" s="51"/>
      <c r="Y88" s="47"/>
      <c r="Z88" s="51"/>
      <c r="AA88" s="148"/>
      <c r="AB88" s="140"/>
      <c r="AC88" s="113"/>
    </row>
    <row r="89" spans="1:29" ht="14.25" hidden="1" customHeight="1">
      <c r="A89" s="195"/>
      <c r="B89" s="197"/>
      <c r="C89" s="195"/>
      <c r="D89" s="201"/>
      <c r="E89" s="202"/>
      <c r="F89" s="52"/>
      <c r="G89" s="53"/>
      <c r="H89" s="53"/>
      <c r="I89" s="53"/>
      <c r="J89" s="54"/>
      <c r="K89" s="54"/>
      <c r="L89" s="54"/>
      <c r="M89" s="54"/>
      <c r="N89" s="53"/>
      <c r="O89" s="54"/>
      <c r="P89" s="54"/>
      <c r="Q89" s="53"/>
      <c r="R89" s="53"/>
      <c r="S89" s="53"/>
      <c r="T89" s="53"/>
      <c r="U89" s="53"/>
      <c r="V89" s="53"/>
      <c r="W89" s="54">
        <f t="shared" ref="W89" si="171">SUM(I89:Q89)+T89+U89+V89</f>
        <v>0</v>
      </c>
      <c r="X89" s="53"/>
      <c r="Y89" s="53">
        <f t="shared" ref="Y89" si="172">+ROUND(IF(D89=4939000,D89*0.5%,0),-2)</f>
        <v>0</v>
      </c>
      <c r="Z89" s="54"/>
      <c r="AA89" s="149">
        <f>'[1]Bang TH nop'!AO87</f>
        <v>0</v>
      </c>
      <c r="AB89" s="151">
        <f>+IFERROR(VLOOKUP(C88,'[2]Bản gốc T01'!$C$1:$M$1000,11,0),0)</f>
        <v>0</v>
      </c>
      <c r="AC89" s="55">
        <f>+IFERROR(VLOOKUP(C88,'[2]Bản gốc T01'!$C$1:$I$1000,7,0),0)</f>
        <v>0</v>
      </c>
    </row>
    <row r="90" spans="1:29" ht="14.25" hidden="1" customHeight="1">
      <c r="A90" s="194"/>
      <c r="B90" s="196"/>
      <c r="C90" s="198"/>
      <c r="D90" s="199"/>
      <c r="E90" s="200"/>
      <c r="F90" s="46"/>
      <c r="G90" s="47"/>
      <c r="H90" s="47"/>
      <c r="I90" s="48"/>
      <c r="J90" s="48"/>
      <c r="K90" s="48"/>
      <c r="L90" s="49"/>
      <c r="M90" s="48"/>
      <c r="N90" s="48"/>
      <c r="O90" s="50"/>
      <c r="P90" s="49"/>
      <c r="Q90" s="48"/>
      <c r="R90" s="47"/>
      <c r="S90" s="47"/>
      <c r="T90" s="47"/>
      <c r="U90" s="47"/>
      <c r="V90" s="47"/>
      <c r="W90" s="51"/>
      <c r="X90" s="51"/>
      <c r="Y90" s="47"/>
      <c r="Z90" s="51"/>
      <c r="AA90" s="148"/>
      <c r="AB90" s="140"/>
      <c r="AC90" s="113"/>
    </row>
    <row r="91" spans="1:29" ht="14.25" hidden="1" customHeight="1">
      <c r="A91" s="195"/>
      <c r="B91" s="197"/>
      <c r="C91" s="195"/>
      <c r="D91" s="201"/>
      <c r="E91" s="202"/>
      <c r="F91" s="52"/>
      <c r="G91" s="53"/>
      <c r="H91" s="53"/>
      <c r="I91" s="53"/>
      <c r="J91" s="54"/>
      <c r="K91" s="54"/>
      <c r="L91" s="54"/>
      <c r="M91" s="54"/>
      <c r="N91" s="53"/>
      <c r="O91" s="54"/>
      <c r="P91" s="54"/>
      <c r="Q91" s="53"/>
      <c r="R91" s="53"/>
      <c r="S91" s="53"/>
      <c r="T91" s="53"/>
      <c r="U91" s="53"/>
      <c r="V91" s="53"/>
      <c r="W91" s="54">
        <f t="shared" ref="W91" si="173">SUM(I91:Q91)+T91+U91+V91</f>
        <v>0</v>
      </c>
      <c r="X91" s="53"/>
      <c r="Y91" s="53">
        <f t="shared" ref="Y91" si="174">+ROUND(IF(D91=4939000,D91*0.5%,0),-2)</f>
        <v>0</v>
      </c>
      <c r="Z91" s="54"/>
      <c r="AA91" s="149">
        <f>'[1]Bang TH nop'!AO89</f>
        <v>0</v>
      </c>
      <c r="AB91" s="151">
        <f>+IFERROR(VLOOKUP(C90,'[2]Bản gốc T01'!$C$1:$M$1000,11,0),0)</f>
        <v>0</v>
      </c>
      <c r="AC91" s="55">
        <f>+IFERROR(VLOOKUP(C90,'[2]Bản gốc T01'!$C$1:$I$1000,7,0),0)</f>
        <v>0</v>
      </c>
    </row>
    <row r="92" spans="1:29" ht="15.75" hidden="1" customHeight="1">
      <c r="A92" s="194"/>
      <c r="B92" s="196"/>
      <c r="C92" s="198"/>
      <c r="D92" s="199"/>
      <c r="E92" s="200"/>
      <c r="F92" s="46"/>
      <c r="G92" s="47"/>
      <c r="H92" s="47"/>
      <c r="I92" s="48"/>
      <c r="J92" s="48"/>
      <c r="K92" s="48"/>
      <c r="L92" s="49"/>
      <c r="M92" s="48"/>
      <c r="N92" s="48"/>
      <c r="O92" s="50"/>
      <c r="P92" s="49"/>
      <c r="Q92" s="48"/>
      <c r="R92" s="47"/>
      <c r="S92" s="47"/>
      <c r="T92" s="47"/>
      <c r="U92" s="47"/>
      <c r="V92" s="47"/>
      <c r="W92" s="51"/>
      <c r="X92" s="51"/>
      <c r="Y92" s="47"/>
      <c r="Z92" s="51"/>
      <c r="AA92" s="148"/>
      <c r="AB92" s="140"/>
      <c r="AC92" s="113"/>
    </row>
    <row r="93" spans="1:29" ht="15.75" hidden="1" customHeight="1">
      <c r="A93" s="195"/>
      <c r="B93" s="197"/>
      <c r="C93" s="195"/>
      <c r="D93" s="201"/>
      <c r="E93" s="202"/>
      <c r="F93" s="52"/>
      <c r="G93" s="53"/>
      <c r="H93" s="53"/>
      <c r="I93" s="53"/>
      <c r="J93" s="54"/>
      <c r="K93" s="54"/>
      <c r="L93" s="54"/>
      <c r="M93" s="54"/>
      <c r="N93" s="53"/>
      <c r="O93" s="54"/>
      <c r="P93" s="54"/>
      <c r="Q93" s="53"/>
      <c r="R93" s="53"/>
      <c r="S93" s="53"/>
      <c r="T93" s="53"/>
      <c r="U93" s="53"/>
      <c r="V93" s="53"/>
      <c r="W93" s="54">
        <f t="shared" ref="W93" si="175">SUM(I93:Q93)+T93+U93+V93</f>
        <v>0</v>
      </c>
      <c r="X93" s="53"/>
      <c r="Y93" s="53">
        <f t="shared" ref="Y93" si="176">+ROUND(IF(D93=4939000,D93*0.5%,0),-2)</f>
        <v>0</v>
      </c>
      <c r="Z93" s="54"/>
      <c r="AA93" s="149">
        <f>'[1]Bang TH nop'!AO91</f>
        <v>0</v>
      </c>
      <c r="AB93" s="151">
        <f>+IFERROR(VLOOKUP(C92,'[2]Bản gốc T01'!$C$1:$M$1000,11,0),0)</f>
        <v>0</v>
      </c>
      <c r="AC93" s="55">
        <f>+IFERROR(VLOOKUP(C92,'[2]Bản gốc T01'!$C$1:$I$1000,7,0),0)</f>
        <v>0</v>
      </c>
    </row>
    <row r="94" spans="1:29" ht="15.75" hidden="1" customHeight="1">
      <c r="A94" s="194"/>
      <c r="B94" s="196"/>
      <c r="C94" s="198"/>
      <c r="D94" s="199"/>
      <c r="E94" s="200"/>
      <c r="F94" s="46"/>
      <c r="G94" s="47"/>
      <c r="H94" s="47"/>
      <c r="I94" s="48"/>
      <c r="J94" s="48"/>
      <c r="K94" s="48"/>
      <c r="L94" s="49"/>
      <c r="M94" s="48"/>
      <c r="N94" s="48"/>
      <c r="O94" s="50"/>
      <c r="P94" s="49"/>
      <c r="Q94" s="48"/>
      <c r="R94" s="47"/>
      <c r="S94" s="47"/>
      <c r="T94" s="47"/>
      <c r="U94" s="47"/>
      <c r="V94" s="47"/>
      <c r="W94" s="51"/>
      <c r="X94" s="51"/>
      <c r="Y94" s="47"/>
      <c r="Z94" s="51"/>
      <c r="AA94" s="148"/>
      <c r="AB94" s="140"/>
      <c r="AC94" s="113"/>
    </row>
    <row r="95" spans="1:29" ht="15.75" hidden="1" customHeight="1">
      <c r="A95" s="195"/>
      <c r="B95" s="197"/>
      <c r="C95" s="195"/>
      <c r="D95" s="201"/>
      <c r="E95" s="202"/>
      <c r="F95" s="52"/>
      <c r="G95" s="53"/>
      <c r="H95" s="53"/>
      <c r="I95" s="53"/>
      <c r="J95" s="54"/>
      <c r="K95" s="54"/>
      <c r="L95" s="54"/>
      <c r="M95" s="54"/>
      <c r="N95" s="53"/>
      <c r="O95" s="54"/>
      <c r="P95" s="54"/>
      <c r="Q95" s="53"/>
      <c r="R95" s="53"/>
      <c r="S95" s="53"/>
      <c r="T95" s="53"/>
      <c r="U95" s="53"/>
      <c r="V95" s="53"/>
      <c r="W95" s="54">
        <f t="shared" ref="W95" si="177">SUM(I95:Q95)+T95+U95+V95</f>
        <v>0</v>
      </c>
      <c r="X95" s="53"/>
      <c r="Y95" s="53">
        <f t="shared" ref="Y95" si="178">+ROUND(IF(D95=4939000,D95*0.5%,0),-2)</f>
        <v>0</v>
      </c>
      <c r="Z95" s="54"/>
      <c r="AA95" s="149">
        <f>'[1]Bang TH nop'!AO93</f>
        <v>0</v>
      </c>
      <c r="AB95" s="151">
        <f>+IFERROR(VLOOKUP(C94,'[2]Bản gốc T01'!$C$1:$M$1000,11,0),0)</f>
        <v>0</v>
      </c>
      <c r="AC95" s="55">
        <f>+IFERROR(VLOOKUP(C94,'[2]Bản gốc T01'!$C$1:$I$1000,7,0),0)</f>
        <v>0</v>
      </c>
    </row>
    <row r="96" spans="1:29" ht="16.5" hidden="1" customHeight="1">
      <c r="A96" s="194"/>
      <c r="B96" s="196"/>
      <c r="C96" s="198"/>
      <c r="D96" s="199"/>
      <c r="E96" s="200"/>
      <c r="F96" s="46"/>
      <c r="G96" s="47"/>
      <c r="H96" s="47"/>
      <c r="I96" s="48"/>
      <c r="J96" s="48"/>
      <c r="K96" s="48"/>
      <c r="L96" s="49"/>
      <c r="M96" s="48"/>
      <c r="N96" s="48"/>
      <c r="O96" s="50"/>
      <c r="P96" s="49"/>
      <c r="Q96" s="48"/>
      <c r="R96" s="47"/>
      <c r="S96" s="47"/>
      <c r="T96" s="47"/>
      <c r="U96" s="47"/>
      <c r="V96" s="47"/>
      <c r="W96" s="51"/>
      <c r="X96" s="51"/>
      <c r="Y96" s="47"/>
      <c r="Z96" s="51"/>
      <c r="AA96" s="148"/>
      <c r="AB96" s="140"/>
      <c r="AC96" s="113"/>
    </row>
    <row r="97" spans="1:29" ht="16.5" hidden="1" customHeight="1">
      <c r="A97" s="195"/>
      <c r="B97" s="197"/>
      <c r="C97" s="195"/>
      <c r="D97" s="201"/>
      <c r="E97" s="202"/>
      <c r="F97" s="52"/>
      <c r="G97" s="53"/>
      <c r="H97" s="53"/>
      <c r="I97" s="53"/>
      <c r="J97" s="54"/>
      <c r="K97" s="54"/>
      <c r="L97" s="54"/>
      <c r="M97" s="54"/>
      <c r="N97" s="53"/>
      <c r="O97" s="54"/>
      <c r="P97" s="54"/>
      <c r="Q97" s="53"/>
      <c r="R97" s="53"/>
      <c r="S97" s="53"/>
      <c r="T97" s="53"/>
      <c r="U97" s="53"/>
      <c r="V97" s="53"/>
      <c r="W97" s="54">
        <f t="shared" ref="W97" si="179">SUM(I97:Q97)+T97+U97+V97</f>
        <v>0</v>
      </c>
      <c r="X97" s="53"/>
      <c r="Y97" s="53">
        <f t="shared" ref="Y97" si="180">+ROUND(IF(D97=4939000,D97*0.5%,0),-2)</f>
        <v>0</v>
      </c>
      <c r="Z97" s="54"/>
      <c r="AA97" s="149">
        <f>'[1]Bang TH nop'!AO95</f>
        <v>0</v>
      </c>
      <c r="AB97" s="151">
        <f>+IFERROR(VLOOKUP(C96,'[2]Bản gốc T01'!$C$1:$M$1000,11,0),0)</f>
        <v>0</v>
      </c>
      <c r="AC97" s="55">
        <f>+IFERROR(VLOOKUP(C96,'[2]Bản gốc T01'!$C$1:$I$1000,7,0),0)</f>
        <v>0</v>
      </c>
    </row>
    <row r="98" spans="1:29" ht="15.75" hidden="1" customHeight="1">
      <c r="A98" s="194"/>
      <c r="B98" s="196"/>
      <c r="C98" s="198"/>
      <c r="D98" s="199"/>
      <c r="E98" s="200"/>
      <c r="F98" s="46"/>
      <c r="G98" s="47"/>
      <c r="H98" s="47"/>
      <c r="I98" s="48"/>
      <c r="J98" s="48"/>
      <c r="K98" s="48"/>
      <c r="L98" s="49"/>
      <c r="M98" s="48"/>
      <c r="N98" s="48"/>
      <c r="O98" s="50"/>
      <c r="P98" s="49"/>
      <c r="Q98" s="48"/>
      <c r="R98" s="47"/>
      <c r="S98" s="47"/>
      <c r="T98" s="47"/>
      <c r="U98" s="47"/>
      <c r="V98" s="47"/>
      <c r="W98" s="51"/>
      <c r="X98" s="51"/>
      <c r="Y98" s="47"/>
      <c r="Z98" s="51"/>
      <c r="AA98" s="148"/>
      <c r="AB98" s="140"/>
      <c r="AC98" s="113"/>
    </row>
    <row r="99" spans="1:29" ht="15.75" hidden="1" customHeight="1">
      <c r="A99" s="195"/>
      <c r="B99" s="197"/>
      <c r="C99" s="195"/>
      <c r="D99" s="201"/>
      <c r="E99" s="202"/>
      <c r="F99" s="52"/>
      <c r="G99" s="53"/>
      <c r="H99" s="53"/>
      <c r="I99" s="53"/>
      <c r="J99" s="54"/>
      <c r="K99" s="54"/>
      <c r="L99" s="54"/>
      <c r="M99" s="54"/>
      <c r="N99" s="53"/>
      <c r="O99" s="54"/>
      <c r="P99" s="54"/>
      <c r="Q99" s="53"/>
      <c r="R99" s="53"/>
      <c r="S99" s="53"/>
      <c r="T99" s="53"/>
      <c r="U99" s="53"/>
      <c r="V99" s="53"/>
      <c r="W99" s="54">
        <f t="shared" ref="W99" si="181">SUM(I99:Q99)+T99+U99+V99</f>
        <v>0</v>
      </c>
      <c r="X99" s="53"/>
      <c r="Y99" s="53">
        <f t="shared" ref="Y99" si="182">+ROUND(IF(D99=4939000,D99*0.5%,0),-2)</f>
        <v>0</v>
      </c>
      <c r="Z99" s="54"/>
      <c r="AA99" s="149">
        <f>'[1]Bang TH nop'!AO97</f>
        <v>0</v>
      </c>
      <c r="AB99" s="151">
        <f>+IFERROR(VLOOKUP(C98,'[2]Bản gốc T01'!$C$1:$M$1000,11,0),0)</f>
        <v>0</v>
      </c>
      <c r="AC99" s="55">
        <f>+IFERROR(VLOOKUP(C98,'[2]Bản gốc T01'!$C$1:$I$1000,7,0),0)</f>
        <v>0</v>
      </c>
    </row>
    <row r="100" spans="1:29" ht="19.5" hidden="1" customHeight="1">
      <c r="A100" s="194"/>
      <c r="B100" s="196"/>
      <c r="C100" s="198"/>
      <c r="D100" s="199"/>
      <c r="E100" s="200"/>
      <c r="F100" s="46"/>
      <c r="G100" s="47"/>
      <c r="H100" s="47"/>
      <c r="I100" s="48"/>
      <c r="J100" s="48"/>
      <c r="K100" s="48"/>
      <c r="L100" s="49"/>
      <c r="M100" s="48"/>
      <c r="N100" s="48"/>
      <c r="O100" s="50"/>
      <c r="P100" s="49"/>
      <c r="Q100" s="48"/>
      <c r="R100" s="47"/>
      <c r="S100" s="47"/>
      <c r="T100" s="47"/>
      <c r="U100" s="47"/>
      <c r="V100" s="47"/>
      <c r="W100" s="51"/>
      <c r="X100" s="51"/>
      <c r="Y100" s="47"/>
      <c r="Z100" s="51"/>
      <c r="AA100" s="148"/>
      <c r="AB100" s="140"/>
      <c r="AC100" s="113"/>
    </row>
    <row r="101" spans="1:29" ht="19.5" hidden="1" customHeight="1">
      <c r="A101" s="195"/>
      <c r="B101" s="197"/>
      <c r="C101" s="195"/>
      <c r="D101" s="201"/>
      <c r="E101" s="202"/>
      <c r="F101" s="52"/>
      <c r="G101" s="53"/>
      <c r="H101" s="53"/>
      <c r="I101" s="53"/>
      <c r="J101" s="54"/>
      <c r="K101" s="54"/>
      <c r="L101" s="54"/>
      <c r="M101" s="54"/>
      <c r="N101" s="53"/>
      <c r="O101" s="54"/>
      <c r="P101" s="54"/>
      <c r="Q101" s="53"/>
      <c r="R101" s="53"/>
      <c r="S101" s="53"/>
      <c r="T101" s="53"/>
      <c r="U101" s="53"/>
      <c r="V101" s="53"/>
      <c r="W101" s="54">
        <f t="shared" ref="W101" si="183">SUM(I101:Q101)+T101+U101+V101</f>
        <v>0</v>
      </c>
      <c r="X101" s="53"/>
      <c r="Y101" s="53">
        <f t="shared" ref="Y101" si="184">+ROUND(IF(D101=4939000,D101*0.5%,0),-2)</f>
        <v>0</v>
      </c>
      <c r="Z101" s="54"/>
      <c r="AA101" s="149">
        <f>'[1]Bang TH nop'!AO99</f>
        <v>0</v>
      </c>
      <c r="AB101" s="151">
        <f>+IFERROR(VLOOKUP(C100,'[2]Bản gốc T01'!$C$1:$M$1000,11,0),0)</f>
        <v>0</v>
      </c>
      <c r="AC101" s="55">
        <f>+IFERROR(VLOOKUP(C100,'[2]Bản gốc T01'!$C$1:$I$1000,7,0),0)</f>
        <v>0</v>
      </c>
    </row>
    <row r="102" spans="1:29" ht="16.5" hidden="1" customHeight="1">
      <c r="A102" s="194"/>
      <c r="B102" s="196"/>
      <c r="C102" s="198"/>
      <c r="D102" s="199"/>
      <c r="E102" s="200"/>
      <c r="F102" s="46"/>
      <c r="G102" s="47"/>
      <c r="H102" s="47"/>
      <c r="I102" s="48"/>
      <c r="J102" s="48"/>
      <c r="K102" s="48"/>
      <c r="L102" s="49"/>
      <c r="M102" s="48"/>
      <c r="N102" s="48"/>
      <c r="O102" s="50"/>
      <c r="P102" s="49"/>
      <c r="Q102" s="48"/>
      <c r="R102" s="47"/>
      <c r="S102" s="47"/>
      <c r="T102" s="47"/>
      <c r="U102" s="47"/>
      <c r="V102" s="47"/>
      <c r="W102" s="51"/>
      <c r="X102" s="51"/>
      <c r="Y102" s="47"/>
      <c r="Z102" s="51"/>
      <c r="AA102" s="148"/>
      <c r="AB102" s="140"/>
      <c r="AC102" s="113"/>
    </row>
    <row r="103" spans="1:29" ht="15.75" hidden="1" customHeight="1">
      <c r="A103" s="195"/>
      <c r="B103" s="197"/>
      <c r="C103" s="195"/>
      <c r="D103" s="201"/>
      <c r="E103" s="202"/>
      <c r="F103" s="52"/>
      <c r="G103" s="53"/>
      <c r="H103" s="53"/>
      <c r="I103" s="53"/>
      <c r="J103" s="54"/>
      <c r="K103" s="54"/>
      <c r="L103" s="54"/>
      <c r="M103" s="54"/>
      <c r="N103" s="53"/>
      <c r="O103" s="54"/>
      <c r="P103" s="54"/>
      <c r="Q103" s="53"/>
      <c r="R103" s="53"/>
      <c r="S103" s="53"/>
      <c r="T103" s="53"/>
      <c r="U103" s="53"/>
      <c r="V103" s="53"/>
      <c r="W103" s="54">
        <f t="shared" ref="W103" si="185">SUM(I103:Q103)+T103+U103+V103</f>
        <v>0</v>
      </c>
      <c r="X103" s="53"/>
      <c r="Y103" s="53">
        <f t="shared" ref="Y103" si="186">+ROUND(IF(D103=4939000,D103*0.5%,0),-2)</f>
        <v>0</v>
      </c>
      <c r="Z103" s="54"/>
      <c r="AA103" s="149">
        <f>'[1]Bang TH nop'!AO101</f>
        <v>0</v>
      </c>
      <c r="AB103" s="151">
        <f>+IFERROR(VLOOKUP(C102,'[2]Bản gốc T01'!$C$1:$M$1000,11,0),0)</f>
        <v>0</v>
      </c>
      <c r="AC103" s="55">
        <f>+IFERROR(VLOOKUP(C102,'[2]Bản gốc T01'!$C$1:$I$1000,7,0),0)</f>
        <v>0</v>
      </c>
    </row>
    <row r="104" spans="1:29" ht="16.5" hidden="1" customHeight="1">
      <c r="A104" s="194"/>
      <c r="B104" s="196"/>
      <c r="C104" s="198"/>
      <c r="D104" s="216"/>
      <c r="E104" s="200"/>
      <c r="F104" s="46"/>
      <c r="G104" s="47"/>
      <c r="H104" s="47"/>
      <c r="I104" s="48"/>
      <c r="J104" s="48"/>
      <c r="K104" s="48"/>
      <c r="L104" s="49"/>
      <c r="M104" s="48"/>
      <c r="N104" s="48"/>
      <c r="O104" s="50"/>
      <c r="P104" s="49"/>
      <c r="Q104" s="48"/>
      <c r="R104" s="47"/>
      <c r="S104" s="47"/>
      <c r="T104" s="47"/>
      <c r="U104" s="47"/>
      <c r="V104" s="47"/>
      <c r="W104" s="51"/>
      <c r="X104" s="51"/>
      <c r="Y104" s="47"/>
      <c r="Z104" s="51"/>
      <c r="AA104" s="148"/>
      <c r="AB104" s="140"/>
      <c r="AC104" s="113"/>
    </row>
    <row r="105" spans="1:29" ht="16.5" hidden="1" customHeight="1">
      <c r="A105" s="195"/>
      <c r="B105" s="197"/>
      <c r="C105" s="195"/>
      <c r="D105" s="201"/>
      <c r="E105" s="202"/>
      <c r="F105" s="52"/>
      <c r="G105" s="53"/>
      <c r="H105" s="53"/>
      <c r="I105" s="53"/>
      <c r="J105" s="54"/>
      <c r="K105" s="54"/>
      <c r="L105" s="54"/>
      <c r="M105" s="54"/>
      <c r="N105" s="53"/>
      <c r="O105" s="54"/>
      <c r="P105" s="54"/>
      <c r="Q105" s="53"/>
      <c r="R105" s="53"/>
      <c r="S105" s="53"/>
      <c r="T105" s="53"/>
      <c r="U105" s="53"/>
      <c r="V105" s="53"/>
      <c r="W105" s="54">
        <f t="shared" ref="W105" si="187">SUM(I105:Q105)+T105+U105+V105</f>
        <v>0</v>
      </c>
      <c r="X105" s="53"/>
      <c r="Y105" s="53">
        <f t="shared" ref="Y105" si="188">+ROUND(IF(D105=4939000,D105*0.5%,0),-2)</f>
        <v>0</v>
      </c>
      <c r="Z105" s="54"/>
      <c r="AA105" s="149">
        <f>'[1]Bang TH nop'!AO103</f>
        <v>0</v>
      </c>
      <c r="AB105" s="151">
        <f>+IFERROR(VLOOKUP(C104,'[2]Bản gốc T01'!$C$1:$M$1000,11,0),0)</f>
        <v>0</v>
      </c>
      <c r="AC105" s="55">
        <f>+IFERROR(VLOOKUP(C104,'[2]Bản gốc T01'!$C$1:$I$1000,7,0),0)</f>
        <v>0</v>
      </c>
    </row>
    <row r="106" spans="1:29" ht="14.25" hidden="1" customHeight="1">
      <c r="A106" s="194"/>
      <c r="B106" s="196"/>
      <c r="C106" s="198"/>
      <c r="D106" s="216"/>
      <c r="E106" s="200"/>
      <c r="F106" s="46"/>
      <c r="G106" s="47"/>
      <c r="H106" s="47"/>
      <c r="I106" s="48"/>
      <c r="J106" s="48"/>
      <c r="K106" s="48"/>
      <c r="L106" s="49"/>
      <c r="M106" s="48"/>
      <c r="N106" s="48"/>
      <c r="O106" s="50"/>
      <c r="P106" s="49"/>
      <c r="Q106" s="48"/>
      <c r="R106" s="47"/>
      <c r="S106" s="47"/>
      <c r="T106" s="47"/>
      <c r="U106" s="47"/>
      <c r="V106" s="47"/>
      <c r="W106" s="51"/>
      <c r="X106" s="51"/>
      <c r="Y106" s="47"/>
      <c r="Z106" s="51"/>
      <c r="AA106" s="148"/>
      <c r="AB106" s="140"/>
      <c r="AC106" s="113"/>
    </row>
    <row r="107" spans="1:29" ht="14.25" hidden="1" customHeight="1">
      <c r="A107" s="195"/>
      <c r="B107" s="197"/>
      <c r="C107" s="195"/>
      <c r="D107" s="201"/>
      <c r="E107" s="202"/>
      <c r="F107" s="52"/>
      <c r="G107" s="53"/>
      <c r="H107" s="53"/>
      <c r="I107" s="53"/>
      <c r="J107" s="54"/>
      <c r="K107" s="54"/>
      <c r="L107" s="54"/>
      <c r="M107" s="54"/>
      <c r="N107" s="53"/>
      <c r="O107" s="54"/>
      <c r="P107" s="54"/>
      <c r="Q107" s="53"/>
      <c r="R107" s="53"/>
      <c r="S107" s="53"/>
      <c r="T107" s="53"/>
      <c r="U107" s="53"/>
      <c r="V107" s="53"/>
      <c r="W107" s="54">
        <f t="shared" ref="W107" si="189">SUM(I107:Q107)+T107+U107+V107</f>
        <v>0</v>
      </c>
      <c r="X107" s="53"/>
      <c r="Y107" s="53">
        <f t="shared" ref="Y107" si="190">+ROUND(IF(D107=4939000,D107*0.5%,0),-2)</f>
        <v>0</v>
      </c>
      <c r="Z107" s="54"/>
      <c r="AA107" s="149">
        <f>'[1]Bang TH nop'!AO105</f>
        <v>0</v>
      </c>
      <c r="AB107" s="151">
        <f>+IFERROR(VLOOKUP(C106,'[2]Bản gốc T01'!$C$1:$M$1000,11,0),0)</f>
        <v>0</v>
      </c>
      <c r="AC107" s="55">
        <f>+IFERROR(VLOOKUP(C106,'[2]Bản gốc T01'!$C$1:$I$1000,7,0),0)</f>
        <v>0</v>
      </c>
    </row>
    <row r="108" spans="1:29" ht="14.25" hidden="1" customHeight="1">
      <c r="A108" s="194"/>
      <c r="B108" s="196"/>
      <c r="C108" s="198"/>
      <c r="D108" s="216"/>
      <c r="E108" s="200"/>
      <c r="F108" s="46"/>
      <c r="G108" s="47"/>
      <c r="H108" s="47"/>
      <c r="I108" s="48"/>
      <c r="J108" s="48"/>
      <c r="K108" s="48"/>
      <c r="L108" s="49"/>
      <c r="M108" s="48"/>
      <c r="N108" s="48"/>
      <c r="O108" s="50"/>
      <c r="P108" s="49"/>
      <c r="Q108" s="48"/>
      <c r="R108" s="47"/>
      <c r="S108" s="47"/>
      <c r="T108" s="47"/>
      <c r="U108" s="47"/>
      <c r="V108" s="47"/>
      <c r="W108" s="51"/>
      <c r="X108" s="51"/>
      <c r="Y108" s="47"/>
      <c r="Z108" s="51"/>
      <c r="AA108" s="148"/>
      <c r="AB108" s="140"/>
      <c r="AC108" s="113"/>
    </row>
    <row r="109" spans="1:29" ht="14.25" hidden="1" customHeight="1">
      <c r="A109" s="195"/>
      <c r="B109" s="197"/>
      <c r="C109" s="195"/>
      <c r="D109" s="201"/>
      <c r="E109" s="202"/>
      <c r="F109" s="52"/>
      <c r="G109" s="53"/>
      <c r="H109" s="53"/>
      <c r="I109" s="53"/>
      <c r="J109" s="54"/>
      <c r="K109" s="54"/>
      <c r="L109" s="54"/>
      <c r="M109" s="54"/>
      <c r="N109" s="53"/>
      <c r="O109" s="54"/>
      <c r="P109" s="54"/>
      <c r="Q109" s="53"/>
      <c r="R109" s="53"/>
      <c r="S109" s="53"/>
      <c r="T109" s="53"/>
      <c r="U109" s="53"/>
      <c r="V109" s="53"/>
      <c r="W109" s="54">
        <f t="shared" ref="W109" si="191">SUM(I109:Q109)+T109+U109+V109</f>
        <v>0</v>
      </c>
      <c r="X109" s="53"/>
      <c r="Y109" s="53">
        <f t="shared" ref="Y109" si="192">+ROUND(IF(D109=4939000,D109*0.5%,0),-2)</f>
        <v>0</v>
      </c>
      <c r="Z109" s="54"/>
      <c r="AA109" s="149">
        <f>'[1]Bang TH nop'!AO107</f>
        <v>0</v>
      </c>
      <c r="AB109" s="151">
        <f>+IFERROR(VLOOKUP(C108,'[2]Bản gốc T01'!$C$1:$M$1000,11,0),0)</f>
        <v>0</v>
      </c>
      <c r="AC109" s="55">
        <f>+IFERROR(VLOOKUP(C108,'[2]Bản gốc T01'!$C$1:$I$1000,7,0),0)</f>
        <v>0</v>
      </c>
    </row>
    <row r="110" spans="1:29" ht="14.25" hidden="1" customHeight="1">
      <c r="A110" s="194"/>
      <c r="B110" s="196"/>
      <c r="C110" s="198"/>
      <c r="D110" s="216"/>
      <c r="E110" s="200"/>
      <c r="F110" s="46"/>
      <c r="G110" s="47"/>
      <c r="H110" s="47"/>
      <c r="I110" s="48"/>
      <c r="J110" s="48"/>
      <c r="K110" s="48"/>
      <c r="L110" s="49"/>
      <c r="M110" s="48"/>
      <c r="N110" s="48"/>
      <c r="O110" s="50"/>
      <c r="P110" s="49"/>
      <c r="Q110" s="48"/>
      <c r="R110" s="47"/>
      <c r="S110" s="47"/>
      <c r="T110" s="47"/>
      <c r="U110" s="47"/>
      <c r="V110" s="47"/>
      <c r="W110" s="51"/>
      <c r="X110" s="51"/>
      <c r="Y110" s="47"/>
      <c r="Z110" s="51"/>
      <c r="AA110" s="148"/>
      <c r="AB110" s="140"/>
      <c r="AC110" s="113"/>
    </row>
    <row r="111" spans="1:29" ht="14.25" hidden="1" customHeight="1">
      <c r="A111" s="195"/>
      <c r="B111" s="197"/>
      <c r="C111" s="195"/>
      <c r="D111" s="201"/>
      <c r="E111" s="202"/>
      <c r="F111" s="52"/>
      <c r="G111" s="53"/>
      <c r="H111" s="53"/>
      <c r="I111" s="53"/>
      <c r="J111" s="54"/>
      <c r="K111" s="54"/>
      <c r="L111" s="54"/>
      <c r="M111" s="54"/>
      <c r="N111" s="53"/>
      <c r="O111" s="54"/>
      <c r="P111" s="54"/>
      <c r="Q111" s="53"/>
      <c r="R111" s="53"/>
      <c r="S111" s="53"/>
      <c r="T111" s="53"/>
      <c r="U111" s="53"/>
      <c r="V111" s="53"/>
      <c r="W111" s="54">
        <f t="shared" ref="W111" si="193">SUM(I111:Q111)+T111+U111+V111</f>
        <v>0</v>
      </c>
      <c r="X111" s="53"/>
      <c r="Y111" s="53">
        <f t="shared" ref="Y111" si="194">+ROUND(IF(D111=4939000,D111*0.5%,0),-2)</f>
        <v>0</v>
      </c>
      <c r="Z111" s="54"/>
      <c r="AA111" s="149">
        <f>'[1]Bang TH nop'!AO109</f>
        <v>0</v>
      </c>
      <c r="AB111" s="151">
        <f>+IFERROR(VLOOKUP(C110,'[2]Bản gốc T01'!$C$1:$M$1000,11,0),0)</f>
        <v>0</v>
      </c>
      <c r="AC111" s="55">
        <f>+IFERROR(VLOOKUP(C110,'[2]Bản gốc T01'!$C$1:$I$1000,7,0),0)</f>
        <v>0</v>
      </c>
    </row>
    <row r="112" spans="1:29" ht="14.25" hidden="1" customHeight="1">
      <c r="A112" s="194"/>
      <c r="B112" s="196"/>
      <c r="C112" s="198"/>
      <c r="D112" s="216"/>
      <c r="E112" s="200"/>
      <c r="F112" s="46"/>
      <c r="G112" s="47"/>
      <c r="H112" s="47"/>
      <c r="I112" s="48"/>
      <c r="J112" s="48"/>
      <c r="K112" s="48"/>
      <c r="L112" s="49"/>
      <c r="M112" s="48"/>
      <c r="N112" s="48"/>
      <c r="O112" s="50"/>
      <c r="P112" s="49"/>
      <c r="Q112" s="48"/>
      <c r="R112" s="47"/>
      <c r="S112" s="47"/>
      <c r="T112" s="47"/>
      <c r="U112" s="47"/>
      <c r="V112" s="47"/>
      <c r="W112" s="51"/>
      <c r="X112" s="51"/>
      <c r="Y112" s="47"/>
      <c r="Z112" s="51"/>
      <c r="AA112" s="148"/>
      <c r="AB112" s="140"/>
      <c r="AC112" s="113"/>
    </row>
    <row r="113" spans="1:29" ht="14.25" hidden="1" customHeight="1">
      <c r="A113" s="195"/>
      <c r="B113" s="197"/>
      <c r="C113" s="195"/>
      <c r="D113" s="201"/>
      <c r="E113" s="202"/>
      <c r="F113" s="52"/>
      <c r="G113" s="53"/>
      <c r="H113" s="53"/>
      <c r="I113" s="53"/>
      <c r="J113" s="54"/>
      <c r="K113" s="54"/>
      <c r="L113" s="54"/>
      <c r="M113" s="54"/>
      <c r="N113" s="53"/>
      <c r="O113" s="54"/>
      <c r="P113" s="54"/>
      <c r="Q113" s="53"/>
      <c r="R113" s="53"/>
      <c r="S113" s="53"/>
      <c r="T113" s="53"/>
      <c r="U113" s="53"/>
      <c r="V113" s="53"/>
      <c r="W113" s="54">
        <f t="shared" ref="W113" si="195">SUM(I113:Q113)+T113+U113+V113</f>
        <v>0</v>
      </c>
      <c r="X113" s="53"/>
      <c r="Y113" s="53">
        <f t="shared" ref="Y113" si="196">+ROUND(IF(D113=4939000,D113*0.5%,0),-2)</f>
        <v>0</v>
      </c>
      <c r="Z113" s="54"/>
      <c r="AA113" s="149">
        <f>'[1]Bang TH nop'!AO111</f>
        <v>0</v>
      </c>
      <c r="AB113" s="151">
        <f>+IFERROR(VLOOKUP(C112,'[2]Bản gốc T01'!$C$1:$M$1000,11,0),0)</f>
        <v>0</v>
      </c>
      <c r="AC113" s="55">
        <f>+IFERROR(VLOOKUP(C112,'[2]Bản gốc T01'!$C$1:$I$1000,7,0),0)</f>
        <v>0</v>
      </c>
    </row>
    <row r="114" spans="1:29" ht="14.25" hidden="1" customHeight="1">
      <c r="A114" s="194"/>
      <c r="B114" s="196"/>
      <c r="C114" s="198"/>
      <c r="D114" s="216"/>
      <c r="E114" s="200"/>
      <c r="F114" s="46"/>
      <c r="G114" s="47"/>
      <c r="H114" s="47"/>
      <c r="I114" s="48"/>
      <c r="J114" s="48"/>
      <c r="K114" s="48"/>
      <c r="L114" s="49"/>
      <c r="M114" s="48"/>
      <c r="N114" s="48"/>
      <c r="O114" s="50"/>
      <c r="P114" s="49"/>
      <c r="Q114" s="48"/>
      <c r="R114" s="47"/>
      <c r="S114" s="47"/>
      <c r="T114" s="47"/>
      <c r="U114" s="47"/>
      <c r="V114" s="47"/>
      <c r="W114" s="51"/>
      <c r="X114" s="51"/>
      <c r="Y114" s="47"/>
      <c r="Z114" s="51"/>
      <c r="AA114" s="148"/>
      <c r="AB114" s="140"/>
      <c r="AC114" s="113"/>
    </row>
    <row r="115" spans="1:29" ht="14.25" hidden="1" customHeight="1">
      <c r="A115" s="195"/>
      <c r="B115" s="197"/>
      <c r="C115" s="195"/>
      <c r="D115" s="201"/>
      <c r="E115" s="202"/>
      <c r="F115" s="52"/>
      <c r="G115" s="53"/>
      <c r="H115" s="53"/>
      <c r="I115" s="53"/>
      <c r="J115" s="54"/>
      <c r="K115" s="54"/>
      <c r="L115" s="54"/>
      <c r="M115" s="54"/>
      <c r="N115" s="53"/>
      <c r="O115" s="54"/>
      <c r="P115" s="54"/>
      <c r="Q115" s="53"/>
      <c r="R115" s="53"/>
      <c r="S115" s="53"/>
      <c r="T115" s="53"/>
      <c r="U115" s="53"/>
      <c r="V115" s="53"/>
      <c r="W115" s="54">
        <f t="shared" ref="W115" si="197">SUM(I115:Q115)+T115+U115+V115</f>
        <v>0</v>
      </c>
      <c r="X115" s="53"/>
      <c r="Y115" s="53">
        <f t="shared" ref="Y115" si="198">+ROUND(IF(D115=4939000,D115*0.5%,0),-2)</f>
        <v>0</v>
      </c>
      <c r="Z115" s="54"/>
      <c r="AA115" s="149">
        <f>'[1]Bang TH nop'!AO113</f>
        <v>0</v>
      </c>
      <c r="AB115" s="151">
        <f>+IFERROR(VLOOKUP(C114,'[2]Bản gốc T01'!$C$1:$M$1000,11,0),0)</f>
        <v>0</v>
      </c>
      <c r="AC115" s="55">
        <f>+IFERROR(VLOOKUP(C114,'[2]Bản gốc T01'!$C$1:$I$1000,7,0),0)</f>
        <v>0</v>
      </c>
    </row>
    <row r="116" spans="1:29" ht="14.25" hidden="1" customHeight="1">
      <c r="A116" s="194"/>
      <c r="B116" s="196"/>
      <c r="C116" s="198"/>
      <c r="D116" s="216"/>
      <c r="E116" s="200"/>
      <c r="F116" s="46"/>
      <c r="G116" s="47"/>
      <c r="H116" s="47"/>
      <c r="I116" s="48"/>
      <c r="J116" s="48"/>
      <c r="K116" s="48"/>
      <c r="L116" s="49"/>
      <c r="M116" s="48"/>
      <c r="N116" s="48"/>
      <c r="O116" s="50"/>
      <c r="P116" s="49"/>
      <c r="Q116" s="48"/>
      <c r="R116" s="47"/>
      <c r="S116" s="47"/>
      <c r="T116" s="47"/>
      <c r="U116" s="47"/>
      <c r="V116" s="47"/>
      <c r="W116" s="51"/>
      <c r="X116" s="51"/>
      <c r="Y116" s="47"/>
      <c r="Z116" s="51"/>
      <c r="AA116" s="148"/>
      <c r="AB116" s="140"/>
      <c r="AC116" s="113"/>
    </row>
    <row r="117" spans="1:29" ht="14.25" hidden="1" customHeight="1">
      <c r="A117" s="195"/>
      <c r="B117" s="197"/>
      <c r="C117" s="195"/>
      <c r="D117" s="201"/>
      <c r="E117" s="202"/>
      <c r="F117" s="52"/>
      <c r="G117" s="53"/>
      <c r="H117" s="53"/>
      <c r="I117" s="53"/>
      <c r="J117" s="54"/>
      <c r="K117" s="54"/>
      <c r="L117" s="54"/>
      <c r="M117" s="54"/>
      <c r="N117" s="53"/>
      <c r="O117" s="54"/>
      <c r="P117" s="54"/>
      <c r="Q117" s="53"/>
      <c r="R117" s="53"/>
      <c r="S117" s="53"/>
      <c r="T117" s="53"/>
      <c r="U117" s="53"/>
      <c r="V117" s="53"/>
      <c r="W117" s="54">
        <f t="shared" ref="W117" si="199">SUM(I117:Q117)+T117+U117+V117</f>
        <v>0</v>
      </c>
      <c r="X117" s="53"/>
      <c r="Y117" s="53">
        <f t="shared" ref="Y117" si="200">+ROUND(IF(D117=4939000,D117*0.5%,0),-2)</f>
        <v>0</v>
      </c>
      <c r="Z117" s="54"/>
      <c r="AA117" s="149">
        <f>'[1]Bang TH nop'!AO115</f>
        <v>0</v>
      </c>
      <c r="AB117" s="151">
        <f>+IFERROR(VLOOKUP(C116,'[2]Bản gốc T01'!$C$1:$M$1000,11,0),0)</f>
        <v>0</v>
      </c>
      <c r="AC117" s="55">
        <f>+IFERROR(VLOOKUP(C116,'[2]Bản gốc T01'!$C$1:$I$1000,7,0),0)</f>
        <v>0</v>
      </c>
    </row>
    <row r="118" spans="1:29" ht="14.25" hidden="1" customHeight="1">
      <c r="A118" s="194"/>
      <c r="B118" s="196"/>
      <c r="C118" s="198"/>
      <c r="D118" s="216"/>
      <c r="E118" s="200"/>
      <c r="F118" s="46"/>
      <c r="G118" s="47"/>
      <c r="H118" s="47"/>
      <c r="I118" s="48"/>
      <c r="J118" s="48"/>
      <c r="K118" s="48"/>
      <c r="L118" s="49"/>
      <c r="M118" s="48"/>
      <c r="N118" s="48"/>
      <c r="O118" s="50"/>
      <c r="P118" s="49"/>
      <c r="Q118" s="48"/>
      <c r="R118" s="47"/>
      <c r="S118" s="47"/>
      <c r="T118" s="47"/>
      <c r="U118" s="47"/>
      <c r="V118" s="47"/>
      <c r="W118" s="51"/>
      <c r="X118" s="51"/>
      <c r="Y118" s="47"/>
      <c r="Z118" s="51"/>
      <c r="AA118" s="148"/>
      <c r="AB118" s="140"/>
      <c r="AC118" s="113"/>
    </row>
    <row r="119" spans="1:29" ht="14.25" hidden="1" customHeight="1">
      <c r="A119" s="195"/>
      <c r="B119" s="197"/>
      <c r="C119" s="195"/>
      <c r="D119" s="201"/>
      <c r="E119" s="202"/>
      <c r="F119" s="52"/>
      <c r="G119" s="53"/>
      <c r="H119" s="53"/>
      <c r="I119" s="53"/>
      <c r="J119" s="54"/>
      <c r="K119" s="54"/>
      <c r="L119" s="54"/>
      <c r="M119" s="54"/>
      <c r="N119" s="53"/>
      <c r="O119" s="54"/>
      <c r="P119" s="54"/>
      <c r="Q119" s="53"/>
      <c r="R119" s="53"/>
      <c r="S119" s="53"/>
      <c r="T119" s="53"/>
      <c r="U119" s="53"/>
      <c r="V119" s="53"/>
      <c r="W119" s="54">
        <f t="shared" ref="W119" si="201">SUM(I119:Q119)+T119+U119+V119</f>
        <v>0</v>
      </c>
      <c r="X119" s="53"/>
      <c r="Y119" s="53">
        <f t="shared" ref="Y119" si="202">+ROUND(IF(D119=4939000,D119*0.5%,0),-2)</f>
        <v>0</v>
      </c>
      <c r="Z119" s="54"/>
      <c r="AA119" s="149">
        <f>'[1]Bang TH nop'!AO117</f>
        <v>0</v>
      </c>
      <c r="AB119" s="151">
        <f>+IFERROR(VLOOKUP(C118,'[2]Bản gốc T01'!$C$1:$M$1000,11,0),0)</f>
        <v>0</v>
      </c>
      <c r="AC119" s="55">
        <f>+IFERROR(VLOOKUP(C118,'[2]Bản gốc T01'!$C$1:$I$1000,7,0),0)</f>
        <v>0</v>
      </c>
    </row>
    <row r="120" spans="1:29" ht="14.25" hidden="1" customHeight="1">
      <c r="A120" s="194"/>
      <c r="B120" s="196"/>
      <c r="C120" s="198"/>
      <c r="D120" s="216"/>
      <c r="E120" s="200"/>
      <c r="F120" s="46"/>
      <c r="G120" s="47"/>
      <c r="H120" s="47"/>
      <c r="I120" s="48"/>
      <c r="J120" s="48"/>
      <c r="K120" s="48"/>
      <c r="L120" s="49"/>
      <c r="M120" s="48"/>
      <c r="N120" s="48"/>
      <c r="O120" s="50"/>
      <c r="P120" s="49"/>
      <c r="Q120" s="48"/>
      <c r="R120" s="47"/>
      <c r="S120" s="47"/>
      <c r="T120" s="47"/>
      <c r="U120" s="47"/>
      <c r="V120" s="47"/>
      <c r="W120" s="51"/>
      <c r="X120" s="51"/>
      <c r="Y120" s="47"/>
      <c r="Z120" s="51"/>
      <c r="AA120" s="148"/>
      <c r="AB120" s="140"/>
      <c r="AC120" s="113"/>
    </row>
    <row r="121" spans="1:29" ht="14.25" hidden="1" customHeight="1">
      <c r="A121" s="195"/>
      <c r="B121" s="197"/>
      <c r="C121" s="195"/>
      <c r="D121" s="201"/>
      <c r="E121" s="202"/>
      <c r="F121" s="52"/>
      <c r="G121" s="53"/>
      <c r="H121" s="53"/>
      <c r="I121" s="53"/>
      <c r="J121" s="54"/>
      <c r="K121" s="54"/>
      <c r="L121" s="54"/>
      <c r="M121" s="54"/>
      <c r="N121" s="53"/>
      <c r="O121" s="54"/>
      <c r="P121" s="54"/>
      <c r="Q121" s="53"/>
      <c r="R121" s="53"/>
      <c r="S121" s="53"/>
      <c r="T121" s="53"/>
      <c r="U121" s="53"/>
      <c r="V121" s="53"/>
      <c r="W121" s="54">
        <f t="shared" ref="W121" si="203">SUM(I121:Q121)+T121+U121+V121</f>
        <v>0</v>
      </c>
      <c r="X121" s="53"/>
      <c r="Y121" s="53">
        <f t="shared" ref="Y121" si="204">+ROUND(IF(D121=4939000,D121*0.5%,0),-2)</f>
        <v>0</v>
      </c>
      <c r="Z121" s="54"/>
      <c r="AA121" s="149">
        <f>'[1]Bang TH nop'!AO119</f>
        <v>0</v>
      </c>
      <c r="AB121" s="151">
        <f>+IFERROR(VLOOKUP(C120,'[2]Bản gốc T01'!$C$1:$M$1000,11,0),0)</f>
        <v>0</v>
      </c>
      <c r="AC121" s="55">
        <f>+IFERROR(VLOOKUP(C120,'[2]Bản gốc T01'!$C$1:$I$1000,7,0),0)</f>
        <v>0</v>
      </c>
    </row>
    <row r="122" spans="1:29" ht="14.25" hidden="1" customHeight="1">
      <c r="A122" s="194"/>
      <c r="B122" s="196"/>
      <c r="C122" s="198"/>
      <c r="D122" s="216"/>
      <c r="E122" s="200"/>
      <c r="F122" s="46"/>
      <c r="G122" s="47"/>
      <c r="H122" s="47"/>
      <c r="I122" s="48"/>
      <c r="J122" s="48"/>
      <c r="K122" s="48"/>
      <c r="L122" s="49"/>
      <c r="M122" s="48"/>
      <c r="N122" s="48"/>
      <c r="O122" s="50"/>
      <c r="P122" s="49"/>
      <c r="Q122" s="48"/>
      <c r="R122" s="47"/>
      <c r="S122" s="47"/>
      <c r="T122" s="47"/>
      <c r="U122" s="47"/>
      <c r="V122" s="47"/>
      <c r="W122" s="51"/>
      <c r="X122" s="51"/>
      <c r="Y122" s="47"/>
      <c r="Z122" s="51"/>
      <c r="AA122" s="148"/>
      <c r="AB122" s="140"/>
      <c r="AC122" s="113"/>
    </row>
    <row r="123" spans="1:29" ht="14.25" hidden="1" customHeight="1">
      <c r="A123" s="195"/>
      <c r="B123" s="197"/>
      <c r="C123" s="195"/>
      <c r="D123" s="201"/>
      <c r="E123" s="202"/>
      <c r="F123" s="52"/>
      <c r="G123" s="53"/>
      <c r="H123" s="53"/>
      <c r="I123" s="53"/>
      <c r="J123" s="54"/>
      <c r="K123" s="54"/>
      <c r="L123" s="54"/>
      <c r="M123" s="54"/>
      <c r="N123" s="53"/>
      <c r="O123" s="54"/>
      <c r="P123" s="54"/>
      <c r="Q123" s="53"/>
      <c r="R123" s="53"/>
      <c r="S123" s="53"/>
      <c r="T123" s="53"/>
      <c r="U123" s="53"/>
      <c r="V123" s="53"/>
      <c r="W123" s="54">
        <f t="shared" ref="W123" si="205">SUM(I123:Q123)+T123+U123+V123</f>
        <v>0</v>
      </c>
      <c r="X123" s="53"/>
      <c r="Y123" s="53">
        <f t="shared" ref="Y123" si="206">+ROUND(IF(D123=4939000,D123*0.5%,0),-2)</f>
        <v>0</v>
      </c>
      <c r="Z123" s="54"/>
      <c r="AA123" s="149">
        <f>'[1]Bang TH nop'!AO121</f>
        <v>0</v>
      </c>
      <c r="AB123" s="151">
        <f>+IFERROR(VLOOKUP(C122,'[2]Bản gốc T01'!$C$1:$M$1000,11,0),0)</f>
        <v>0</v>
      </c>
      <c r="AC123" s="55">
        <f>+IFERROR(VLOOKUP(C122,'[2]Bản gốc T01'!$C$1:$I$1000,7,0),0)</f>
        <v>0</v>
      </c>
    </row>
    <row r="124" spans="1:29" ht="14.25" hidden="1" customHeight="1">
      <c r="A124" s="194"/>
      <c r="B124" s="196"/>
      <c r="C124" s="198"/>
      <c r="D124" s="216"/>
      <c r="E124" s="200"/>
      <c r="F124" s="46"/>
      <c r="G124" s="47"/>
      <c r="H124" s="47"/>
      <c r="I124" s="48"/>
      <c r="J124" s="48"/>
      <c r="K124" s="48"/>
      <c r="L124" s="49"/>
      <c r="M124" s="48"/>
      <c r="N124" s="48"/>
      <c r="O124" s="50"/>
      <c r="P124" s="49"/>
      <c r="Q124" s="48"/>
      <c r="R124" s="47"/>
      <c r="S124" s="47"/>
      <c r="T124" s="47"/>
      <c r="U124" s="47"/>
      <c r="V124" s="47"/>
      <c r="W124" s="51"/>
      <c r="X124" s="51"/>
      <c r="Y124" s="47"/>
      <c r="Z124" s="51"/>
      <c r="AA124" s="148"/>
      <c r="AB124" s="140"/>
      <c r="AC124" s="113"/>
    </row>
    <row r="125" spans="1:29" ht="14.25" hidden="1" customHeight="1">
      <c r="A125" s="195"/>
      <c r="B125" s="197"/>
      <c r="C125" s="195"/>
      <c r="D125" s="201"/>
      <c r="E125" s="202"/>
      <c r="F125" s="52"/>
      <c r="G125" s="53"/>
      <c r="H125" s="53"/>
      <c r="I125" s="53"/>
      <c r="J125" s="54"/>
      <c r="K125" s="54"/>
      <c r="L125" s="54"/>
      <c r="M125" s="54"/>
      <c r="N125" s="53"/>
      <c r="O125" s="54"/>
      <c r="P125" s="54"/>
      <c r="Q125" s="53"/>
      <c r="R125" s="53"/>
      <c r="S125" s="53"/>
      <c r="T125" s="53"/>
      <c r="U125" s="53"/>
      <c r="V125" s="53"/>
      <c r="W125" s="54">
        <f t="shared" ref="W125" si="207">SUM(I125:Q125)+T125+U125+V125</f>
        <v>0</v>
      </c>
      <c r="X125" s="53"/>
      <c r="Y125" s="53">
        <f t="shared" ref="Y125" si="208">+ROUND(IF(D125=4939000,D125*0.5%,0),-2)</f>
        <v>0</v>
      </c>
      <c r="Z125" s="54"/>
      <c r="AA125" s="149">
        <f>'[1]Bang TH nop'!AO123</f>
        <v>0</v>
      </c>
      <c r="AB125" s="151">
        <f>+IFERROR(VLOOKUP(C124,'[2]Bản gốc T01'!$C$1:$M$1000,11,0),0)</f>
        <v>0</v>
      </c>
      <c r="AC125" s="55">
        <f>+IFERROR(VLOOKUP(C124,'[2]Bản gốc T01'!$C$1:$I$1000,7,0),0)</f>
        <v>0</v>
      </c>
    </row>
    <row r="126" spans="1:29" ht="14.25" hidden="1" customHeight="1">
      <c r="A126" s="194"/>
      <c r="B126" s="196"/>
      <c r="C126" s="198"/>
      <c r="D126" s="216"/>
      <c r="E126" s="200"/>
      <c r="F126" s="46"/>
      <c r="G126" s="47"/>
      <c r="H126" s="47"/>
      <c r="I126" s="48"/>
      <c r="J126" s="48"/>
      <c r="K126" s="48"/>
      <c r="L126" s="49"/>
      <c r="M126" s="48"/>
      <c r="N126" s="48"/>
      <c r="O126" s="50"/>
      <c r="P126" s="49"/>
      <c r="Q126" s="48"/>
      <c r="R126" s="47"/>
      <c r="S126" s="47"/>
      <c r="T126" s="47"/>
      <c r="U126" s="47"/>
      <c r="V126" s="47"/>
      <c r="W126" s="51"/>
      <c r="X126" s="51"/>
      <c r="Y126" s="47"/>
      <c r="Z126" s="51"/>
      <c r="AA126" s="148"/>
      <c r="AB126" s="140"/>
      <c r="AC126" s="113"/>
    </row>
    <row r="127" spans="1:29" ht="14.25" hidden="1" customHeight="1">
      <c r="A127" s="195"/>
      <c r="B127" s="197"/>
      <c r="C127" s="195"/>
      <c r="D127" s="201"/>
      <c r="E127" s="202"/>
      <c r="F127" s="52"/>
      <c r="G127" s="53"/>
      <c r="H127" s="53"/>
      <c r="I127" s="53"/>
      <c r="J127" s="54"/>
      <c r="K127" s="54"/>
      <c r="L127" s="54"/>
      <c r="M127" s="54"/>
      <c r="N127" s="53"/>
      <c r="O127" s="54"/>
      <c r="P127" s="54"/>
      <c r="Q127" s="53"/>
      <c r="R127" s="53"/>
      <c r="S127" s="53"/>
      <c r="T127" s="53"/>
      <c r="U127" s="53"/>
      <c r="V127" s="53"/>
      <c r="W127" s="54">
        <f t="shared" ref="W127" si="209">SUM(I127:Q127)+T127+U127+V127</f>
        <v>0</v>
      </c>
      <c r="X127" s="53"/>
      <c r="Y127" s="53">
        <f t="shared" ref="Y127" si="210">+ROUND(IF(D127=4939000,D127*0.5%,0),-2)</f>
        <v>0</v>
      </c>
      <c r="Z127" s="54"/>
      <c r="AA127" s="149">
        <f>'[1]Bang TH nop'!AO125</f>
        <v>0</v>
      </c>
      <c r="AB127" s="151">
        <f>+IFERROR(VLOOKUP(C126,'[2]Bản gốc T01'!$C$1:$M$1000,11,0),0)</f>
        <v>0</v>
      </c>
      <c r="AC127" s="55">
        <f>+IFERROR(VLOOKUP(C126,'[2]Bản gốc T01'!$C$1:$I$1000,7,0),0)</f>
        <v>0</v>
      </c>
    </row>
    <row r="128" spans="1:29" ht="17.25" hidden="1" customHeight="1">
      <c r="A128" s="194"/>
      <c r="B128" s="196"/>
      <c r="C128" s="198"/>
      <c r="D128" s="216"/>
      <c r="E128" s="200"/>
      <c r="F128" s="46"/>
      <c r="G128" s="47"/>
      <c r="H128" s="47"/>
      <c r="I128" s="48"/>
      <c r="J128" s="48"/>
      <c r="K128" s="48"/>
      <c r="L128" s="49"/>
      <c r="M128" s="48"/>
      <c r="N128" s="48"/>
      <c r="O128" s="50"/>
      <c r="P128" s="49"/>
      <c r="Q128" s="48"/>
      <c r="R128" s="47"/>
      <c r="S128" s="47"/>
      <c r="T128" s="47"/>
      <c r="U128" s="47"/>
      <c r="V128" s="47"/>
      <c r="W128" s="51"/>
      <c r="X128" s="51"/>
      <c r="Y128" s="47"/>
      <c r="Z128" s="51"/>
      <c r="AA128" s="148"/>
      <c r="AB128" s="140"/>
      <c r="AC128" s="113"/>
    </row>
    <row r="129" spans="1:33" ht="17.25" hidden="1" customHeight="1">
      <c r="A129" s="195"/>
      <c r="B129" s="197"/>
      <c r="C129" s="195"/>
      <c r="D129" s="201"/>
      <c r="E129" s="202"/>
      <c r="F129" s="52"/>
      <c r="G129" s="53"/>
      <c r="H129" s="53"/>
      <c r="I129" s="53"/>
      <c r="J129" s="54"/>
      <c r="K129" s="54"/>
      <c r="L129" s="54"/>
      <c r="M129" s="54"/>
      <c r="N129" s="53"/>
      <c r="O129" s="54"/>
      <c r="P129" s="54"/>
      <c r="Q129" s="53"/>
      <c r="R129" s="53"/>
      <c r="S129" s="53"/>
      <c r="T129" s="53"/>
      <c r="U129" s="53"/>
      <c r="V129" s="53"/>
      <c r="W129" s="54">
        <f t="shared" ref="W129" si="211">SUM(I129:Q129)+T129+U129+V129</f>
        <v>0</v>
      </c>
      <c r="X129" s="53"/>
      <c r="Y129" s="53">
        <f t="shared" ref="Y129" si="212">+ROUND(IF(D129=4939000,D129*0.5%,0),-2)</f>
        <v>0</v>
      </c>
      <c r="Z129" s="54"/>
      <c r="AA129" s="149">
        <f>'[1]Bang TH nop'!AO127</f>
        <v>0</v>
      </c>
      <c r="AB129" s="151">
        <f>+IFERROR(VLOOKUP(C128,'[2]Bản gốc T01'!$C$1:$M$1000,11,0),0)</f>
        <v>0</v>
      </c>
      <c r="AC129" s="55">
        <f>+IFERROR(VLOOKUP(C128,'[2]Bản gốc T01'!$C$1:$I$1000,7,0),0)</f>
        <v>0</v>
      </c>
    </row>
    <row r="130" spans="1:33" ht="17.25" hidden="1" customHeight="1">
      <c r="A130" s="194"/>
      <c r="B130" s="196"/>
      <c r="C130" s="198"/>
      <c r="D130" s="216"/>
      <c r="E130" s="200"/>
      <c r="F130" s="46"/>
      <c r="G130" s="47"/>
      <c r="H130" s="47"/>
      <c r="I130" s="48"/>
      <c r="J130" s="48"/>
      <c r="K130" s="48"/>
      <c r="L130" s="49"/>
      <c r="M130" s="48"/>
      <c r="N130" s="48"/>
      <c r="O130" s="50"/>
      <c r="P130" s="49"/>
      <c r="Q130" s="48"/>
      <c r="R130" s="47"/>
      <c r="S130" s="47"/>
      <c r="T130" s="47"/>
      <c r="U130" s="47"/>
      <c r="V130" s="47"/>
      <c r="W130" s="51"/>
      <c r="X130" s="51"/>
      <c r="Y130" s="47"/>
      <c r="Z130" s="51"/>
      <c r="AA130" s="148"/>
      <c r="AB130" s="140"/>
      <c r="AC130" s="113"/>
    </row>
    <row r="131" spans="1:33" ht="17.25" hidden="1" customHeight="1">
      <c r="A131" s="195"/>
      <c r="B131" s="197"/>
      <c r="C131" s="195"/>
      <c r="D131" s="201"/>
      <c r="E131" s="202"/>
      <c r="F131" s="52"/>
      <c r="G131" s="53"/>
      <c r="H131" s="53"/>
      <c r="I131" s="53"/>
      <c r="J131" s="54"/>
      <c r="K131" s="54"/>
      <c r="L131" s="54"/>
      <c r="M131" s="54"/>
      <c r="N131" s="53"/>
      <c r="O131" s="54"/>
      <c r="P131" s="54"/>
      <c r="Q131" s="53"/>
      <c r="R131" s="53"/>
      <c r="S131" s="53"/>
      <c r="T131" s="53"/>
      <c r="U131" s="53"/>
      <c r="V131" s="53"/>
      <c r="W131" s="54">
        <f t="shared" ref="W131" si="213">SUM(I131:Q131)+T131+U131+V131</f>
        <v>0</v>
      </c>
      <c r="X131" s="53"/>
      <c r="Y131" s="53">
        <f t="shared" ref="Y131" si="214">+ROUND(IF(D131=4939000,D131*0.5%,0),-2)</f>
        <v>0</v>
      </c>
      <c r="Z131" s="54"/>
      <c r="AA131" s="149">
        <f>'[1]Bang TH nop'!AO129</f>
        <v>0</v>
      </c>
      <c r="AB131" s="151">
        <f>+IFERROR(VLOOKUP(C130,'[2]Bản gốc T01'!$C$1:$M$1000,11,0),0)</f>
        <v>0</v>
      </c>
      <c r="AC131" s="55">
        <f>+IFERROR(VLOOKUP(C130,'[2]Bản gốc T01'!$C$1:$I$1000,7,0),0)</f>
        <v>0</v>
      </c>
    </row>
    <row r="132" spans="1:33" ht="17.25" hidden="1" customHeight="1">
      <c r="A132" s="194"/>
      <c r="B132" s="196"/>
      <c r="C132" s="198"/>
      <c r="D132" s="216"/>
      <c r="E132" s="200"/>
      <c r="F132" s="46"/>
      <c r="G132" s="47"/>
      <c r="H132" s="47"/>
      <c r="I132" s="48"/>
      <c r="J132" s="48"/>
      <c r="K132" s="48"/>
      <c r="L132" s="49"/>
      <c r="M132" s="48"/>
      <c r="N132" s="48"/>
      <c r="O132" s="50"/>
      <c r="P132" s="49"/>
      <c r="Q132" s="48"/>
      <c r="R132" s="47"/>
      <c r="S132" s="47"/>
      <c r="T132" s="47"/>
      <c r="U132" s="47"/>
      <c r="V132" s="47"/>
      <c r="W132" s="51"/>
      <c r="X132" s="51"/>
      <c r="Y132" s="47"/>
      <c r="Z132" s="51"/>
      <c r="AA132" s="148"/>
      <c r="AB132" s="140"/>
      <c r="AC132" s="113"/>
    </row>
    <row r="133" spans="1:33" ht="17.25" hidden="1" customHeight="1">
      <c r="A133" s="195"/>
      <c r="B133" s="197"/>
      <c r="C133" s="195"/>
      <c r="D133" s="201"/>
      <c r="E133" s="202"/>
      <c r="F133" s="52"/>
      <c r="G133" s="53"/>
      <c r="H133" s="53"/>
      <c r="I133" s="53"/>
      <c r="J133" s="54"/>
      <c r="K133" s="54"/>
      <c r="L133" s="54"/>
      <c r="M133" s="54"/>
      <c r="N133" s="53"/>
      <c r="O133" s="54"/>
      <c r="P133" s="54"/>
      <c r="Q133" s="53"/>
      <c r="R133" s="53"/>
      <c r="S133" s="53"/>
      <c r="T133" s="53"/>
      <c r="U133" s="53"/>
      <c r="V133" s="53"/>
      <c r="W133" s="54">
        <f t="shared" ref="W133" si="215">SUM(I133:Q133)+T133+U133+V133</f>
        <v>0</v>
      </c>
      <c r="X133" s="53"/>
      <c r="Y133" s="53">
        <f t="shared" ref="Y133" si="216">+ROUND(IF(D133=4939000,D133*0.5%,0),-2)</f>
        <v>0</v>
      </c>
      <c r="Z133" s="54"/>
      <c r="AA133" s="149">
        <f>'[1]Bang TH nop'!AO131</f>
        <v>0</v>
      </c>
      <c r="AB133" s="151">
        <f>+IFERROR(VLOOKUP(C132,'[2]Bản gốc T01'!$C$1:$M$1000,11,0),0)</f>
        <v>0</v>
      </c>
      <c r="AC133" s="55">
        <f>+IFERROR(VLOOKUP(C132,'[2]Bản gốc T01'!$C$1:$I$1000,7,0),0)</f>
        <v>0</v>
      </c>
    </row>
    <row r="134" spans="1:33" ht="17.100000000000001" hidden="1" customHeight="1">
      <c r="A134" s="56"/>
      <c r="B134" s="57"/>
      <c r="C134" s="56"/>
      <c r="D134" s="58"/>
      <c r="E134" s="59"/>
      <c r="F134" s="46"/>
      <c r="G134" s="60"/>
      <c r="H134" s="60"/>
      <c r="I134" s="60"/>
      <c r="J134" s="61"/>
      <c r="K134" s="61"/>
      <c r="L134" s="61"/>
      <c r="M134" s="60"/>
      <c r="N134" s="60"/>
      <c r="O134" s="51"/>
      <c r="P134" s="62"/>
      <c r="Q134" s="60"/>
      <c r="R134" s="60"/>
      <c r="S134" s="60"/>
      <c r="T134" s="47"/>
      <c r="U134" s="60"/>
      <c r="V134" s="47"/>
      <c r="W134" s="51"/>
      <c r="X134" s="51"/>
      <c r="Y134" s="47"/>
      <c r="Z134" s="63"/>
      <c r="AA134" s="150"/>
      <c r="AB134" s="140"/>
      <c r="AC134" s="113"/>
    </row>
    <row r="135" spans="1:33" ht="17.100000000000001" customHeight="1">
      <c r="A135" s="219"/>
      <c r="B135" s="221" t="s">
        <v>41</v>
      </c>
      <c r="C135" s="223"/>
      <c r="D135" s="64"/>
      <c r="E135" s="64"/>
      <c r="F135" s="64">
        <f t="shared" ref="F135:F136" si="217">SUM(F10+F12+F14+F16+F18+F20+F22+F24+F26+F28+F30+F32+F34+F36+F38+F40+F42+F44+F48+F50+F52+F54+F56+F58+F60+F62+F64+F66+F68+F70+F72+F74+F76+F78+F80+F82+F84+F86+F88+F90+F92+F94+F96+F98+F100+F132+F46+F102+F104+F106+F108+F110+F112+F114+F116+F126+F128+F130+F118+F120+F122+F124)</f>
        <v>0</v>
      </c>
      <c r="G135" s="64">
        <f t="shared" ref="G135:H135" si="218">SUM(G10+G12+G14+G16+G18+G20+G22+G24+G26+G28+G30+G32+G34+G36+G38+G40+G42+G44+G48+G50+G52+G54+G56+G58+G60+G62+G64+G66+G68+G70+G72+G74+G76+G78+G80+G82+G84+G86+G88+G90+G92+G94+G96+G98+G100+G132+G46+G102+G104+G106+G108+G110+G112+G114+G116+G126+G128+G130+G118+G120+G122+G124)</f>
        <v>0</v>
      </c>
      <c r="H135" s="64">
        <f t="shared" si="218"/>
        <v>0</v>
      </c>
      <c r="I135" s="64" cm="1">
        <f t="array" ref="I135">SUMPRODUCT((MOD(ROW(I10:I132),2)=0)*IFERROR(I10:I132,0))</f>
        <v>0</v>
      </c>
      <c r="J135" s="64" cm="1">
        <f t="array" ref="J135">SUMPRODUCT((MOD(ROW(J10:J132),2)=0)*IFERROR(J10:J132,0))</f>
        <v>0</v>
      </c>
      <c r="K135" s="64" cm="1">
        <f t="array" ref="K135">SUMPRODUCT((MOD(ROW(K10:K132),2)=0)*IFERROR(K10:K132,0))</f>
        <v>0</v>
      </c>
      <c r="L135" s="64" cm="1">
        <f t="array" ref="L135">SUMPRODUCT((MOD(ROW(L10:L132),2)=0)*IFERROR(L10:L132,0))</f>
        <v>0</v>
      </c>
      <c r="M135" s="64" cm="1">
        <f t="array" ref="M135">SUMPRODUCT((MOD(ROW(M10:M132),2)=0)*IFERROR(M10:M132,0))</f>
        <v>0</v>
      </c>
      <c r="N135" s="64" cm="1">
        <f t="array" ref="N135">SUMPRODUCT((MOD(ROW(N10:N132),2)=0)*IFERROR(N10:N132,0))</f>
        <v>0</v>
      </c>
      <c r="O135" s="64" cm="1">
        <f t="array" ref="O135">SUMPRODUCT((MOD(ROW(O10:O132),2)=0)*IFERROR(O10:O132,0))</f>
        <v>0</v>
      </c>
      <c r="P135" s="64" cm="1">
        <f t="array" ref="P135">SUMPRODUCT((MOD(ROW(P10:P132),2)=0)*IFERROR(P10:P132,0))</f>
        <v>0</v>
      </c>
      <c r="Q135" s="64" cm="1">
        <f t="array" ref="Q135">SUMPRODUCT((MOD(ROW(Q10:Q132),2)=0)*IFERROR(Q10:Q132,0))</f>
        <v>0</v>
      </c>
      <c r="R135" s="64" cm="1">
        <f t="array" ref="R135">SUMPRODUCT((MOD(ROW(R10:R132),2)=0)*IFERROR(R10:R132,0))</f>
        <v>0</v>
      </c>
      <c r="S135" s="64" cm="1">
        <f t="array" ref="S135">SUMPRODUCT((MOD(ROW(S10:S132),2)=0)*IFERROR(S10:S132,0))</f>
        <v>0</v>
      </c>
      <c r="T135" s="64" cm="1">
        <f t="array" ref="T135">SUMPRODUCT((MOD(ROW(T10:T132),2)=0)*IFERROR(T10:T132,0))</f>
        <v>0</v>
      </c>
      <c r="U135" s="64" cm="1">
        <f t="array" ref="U135">SUMPRODUCT((MOD(ROW(U10:U132),2)=0)*IFERROR(U10:U132,0))</f>
        <v>0</v>
      </c>
      <c r="V135" s="64" cm="1">
        <f t="array" ref="V135">SUMPRODUCT((MOD(ROW(V10:V132),2)=0)*IFERROR(V10:V132,0))</f>
        <v>0</v>
      </c>
      <c r="W135" s="64" cm="1">
        <f t="array" ref="W135">SUMPRODUCT((MOD(ROW(W10:W132),2)=0)*IFERROR(W10:W132,0))</f>
        <v>0</v>
      </c>
      <c r="X135" s="64" cm="1">
        <f t="array" ref="X135">SUMPRODUCT((MOD(ROW(X10:X132),2)=0)*IFERROR(X10:X132,0))</f>
        <v>0</v>
      </c>
      <c r="Y135" s="64" cm="1">
        <f t="array" ref="Y135">SUMPRODUCT((MOD(ROW(Y10:Y132),2)=0)*IFERROR(Y10:Y132,0))</f>
        <v>0</v>
      </c>
      <c r="Z135" s="64" cm="1">
        <f t="array" ref="Z135">SUMPRODUCT((MOD(ROW(Z10:Z132),2)=0)*IFERROR(Z10:Z132,0))</f>
        <v>0</v>
      </c>
      <c r="AA135" s="64" cm="1">
        <f t="array" ref="AA135">SUMPRODUCT((MOD(ROW(AA10:AA132),2)=0)*IFERROR(AA10:AA132,0))</f>
        <v>0</v>
      </c>
    </row>
    <row r="136" spans="1:33" ht="16.5" customHeight="1">
      <c r="A136" s="220"/>
      <c r="B136" s="222"/>
      <c r="C136" s="224"/>
      <c r="D136" s="64"/>
      <c r="E136" s="64"/>
      <c r="F136" s="65">
        <f t="shared" si="217"/>
        <v>0</v>
      </c>
      <c r="G136" s="65">
        <f t="shared" ref="G136:H136" si="219">SUM(G11+G13+G15+G17+G19+G21+G23+G25+G27+G29+G31+G33+G35+G37+G39+G41+G43+G45+G49+G51+G53+G55+G57+G59+G61+G63+G65+G67+G69+G71+G73+G75+G77+G79+G81+G83+G85+G87+G89+G91+G93+G95+G97+G99+G101+G133+G47+G103+G105+G107+G109+G111+G113+G115+G117+G127+G129+G131+G119+G121+G123+G125)</f>
        <v>0</v>
      </c>
      <c r="H136" s="65">
        <f t="shared" si="219"/>
        <v>0</v>
      </c>
      <c r="I136" s="65" cm="1">
        <f t="array" ref="I136">SUMPRODUCT((MOD(ROW(I11:I133),2)=1)*IFERROR(I11:I133,0))</f>
        <v>0</v>
      </c>
      <c r="J136" s="65" cm="1">
        <f t="array" ref="J136">SUMPRODUCT((MOD(ROW(J11:J133),2)=1)*IFERROR(J11:J133,0))</f>
        <v>0</v>
      </c>
      <c r="K136" s="65" cm="1">
        <f t="array" ref="K136">SUMPRODUCT((MOD(ROW(K11:K133),2)=1)*IFERROR(K11:K133,0))</f>
        <v>0</v>
      </c>
      <c r="L136" s="65" cm="1">
        <f t="array" ref="L136">SUMPRODUCT((MOD(ROW(L11:L133),2)=1)*IFERROR(L11:L133,0))</f>
        <v>0</v>
      </c>
      <c r="M136" s="65" cm="1">
        <f t="array" ref="M136">SUMPRODUCT((MOD(ROW(M11:M133),2)=1)*IFERROR(M11:M133,0))</f>
        <v>0</v>
      </c>
      <c r="N136" s="65" cm="1">
        <f t="array" ref="N136">SUMPRODUCT((MOD(ROW(N11:N133),2)=1)*IFERROR(N11:N133,0))</f>
        <v>0</v>
      </c>
      <c r="O136" s="65" cm="1">
        <f t="array" ref="O136">SUMPRODUCT((MOD(ROW(O11:O133),2)=1)*IFERROR(O11:O133,0))</f>
        <v>0</v>
      </c>
      <c r="P136" s="65" cm="1">
        <f t="array" ref="P136">SUMPRODUCT((MOD(ROW(P11:P133),2)=1)*IFERROR(P11:P133,0))</f>
        <v>0</v>
      </c>
      <c r="Q136" s="65" cm="1">
        <f t="array" ref="Q136">SUMPRODUCT((MOD(ROW(Q11:Q133),2)=1)*IFERROR(Q11:Q133,0))</f>
        <v>0</v>
      </c>
      <c r="R136" s="65" cm="1">
        <f t="array" ref="R136">SUMPRODUCT((MOD(ROW(R11:R133),2)=1)*IFERROR(R11:R133,0))</f>
        <v>0</v>
      </c>
      <c r="S136" s="65" cm="1">
        <f t="array" ref="S136">SUMPRODUCT((MOD(ROW(S11:S133),2)=1)*IFERROR(S11:S133,0))</f>
        <v>0</v>
      </c>
      <c r="T136" s="65" cm="1">
        <f t="array" ref="T136">SUMPRODUCT((MOD(ROW(T11:T133),2)=1)*IFERROR(T11:T133,0))</f>
        <v>0</v>
      </c>
      <c r="U136" s="65" cm="1">
        <f t="array" ref="U136">SUMPRODUCT((MOD(ROW(U11:U133),2)=1)*IFERROR(U11:U133,0))</f>
        <v>0</v>
      </c>
      <c r="V136" s="65" cm="1">
        <f t="array" ref="V136">SUMPRODUCT((MOD(ROW(V11:V133),2)=1)*IFERROR(V11:V133,0))</f>
        <v>0</v>
      </c>
      <c r="W136" s="65" cm="1">
        <f t="array" ref="W136">SUMPRODUCT((MOD(ROW(W11:W133),2)=1)*IFERROR(W11:W133,0))</f>
        <v>0</v>
      </c>
      <c r="X136" s="65" cm="1">
        <f t="array" ref="X136">SUMPRODUCT((MOD(ROW(X11:X133),2)=1)*IFERROR(X11:X133,0))</f>
        <v>0</v>
      </c>
      <c r="Y136" s="65" cm="1">
        <f t="array" ref="Y136">SUMPRODUCT((MOD(ROW(Y11:Y133),2)=1)*IFERROR(Y11:Y133,0))</f>
        <v>0</v>
      </c>
      <c r="Z136" s="65" cm="1">
        <f t="array" ref="Z136">SUMPRODUCT((MOD(ROW(Z11:Z133),2)=1)*IFERROR(Z11:Z133,0))</f>
        <v>0</v>
      </c>
      <c r="AA136" s="65" cm="1">
        <f t="array" ref="AA136">SUMPRODUCT((MOD(ROW(AA11:AA133),2)=1)*IFERROR(AA11:AA133,0))</f>
        <v>0</v>
      </c>
      <c r="AB136" s="116">
        <f>IFERROR(W136/(AA136+L135)*(AA140+2),0)</f>
        <v>0</v>
      </c>
      <c r="AC136" s="116">
        <f>IFERROR(AG136/AA136*AA140,0)</f>
        <v>0</v>
      </c>
      <c r="AD136" s="134"/>
      <c r="AE136" s="135"/>
      <c r="AG136" s="65" cm="1">
        <f t="array" ref="AG136">SUMPRODUCT((MOD(ROW(AG11:AG133),2)=1)*IFERROR(AG11:AG133,0))</f>
        <v>0</v>
      </c>
    </row>
    <row r="137" spans="1:33" ht="17.100000000000001" hidden="1" customHeight="1">
      <c r="A137" s="66"/>
      <c r="B137" s="67"/>
      <c r="C137" s="68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70"/>
      <c r="X137" s="69"/>
      <c r="Y137" s="69"/>
      <c r="Z137" s="70"/>
      <c r="AA137" s="71"/>
      <c r="AB137" s="122">
        <f>+AB136/27</f>
        <v>0</v>
      </c>
      <c r="AC137" s="122">
        <f>+AC136/27</f>
        <v>0</v>
      </c>
      <c r="AD137" s="135"/>
      <c r="AE137" s="135"/>
    </row>
    <row r="138" spans="1:33" ht="17.100000000000001" hidden="1" customHeight="1">
      <c r="A138" s="66"/>
      <c r="B138" s="67"/>
      <c r="C138" s="68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70"/>
      <c r="X138" s="69"/>
      <c r="Y138" s="69"/>
      <c r="Z138" s="70"/>
      <c r="AA138" s="71"/>
      <c r="AD138" s="135"/>
      <c r="AE138" s="135"/>
    </row>
    <row r="139" spans="1:33" ht="17.100000000000001" hidden="1" customHeight="1">
      <c r="A139" s="66"/>
      <c r="B139" s="67"/>
      <c r="C139" s="68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70"/>
      <c r="X139" s="69"/>
      <c r="Y139" s="69"/>
      <c r="Z139" s="70"/>
      <c r="AA139" s="71"/>
      <c r="AD139" s="135"/>
      <c r="AE139" s="135"/>
    </row>
    <row r="140" spans="1:33" s="1" customFormat="1" ht="23.25" customHeight="1">
      <c r="A140" s="17"/>
      <c r="C140" s="225" t="s">
        <v>172</v>
      </c>
      <c r="D140" s="225"/>
      <c r="E140" s="225"/>
      <c r="F140" s="225" t="e" cm="1">
        <f t="array" aca="1" ref="F140" ca="1">+_xll.VND(Z136)</f>
        <v>#NAME?</v>
      </c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AA140" s="117" cm="1">
        <f t="array" ref="AA140">IFERROR(AVERAGE(_xlfn._xlws.FILTER(AA10:AA133,ISNUMBER(AA10:AA133))),0)</f>
        <v>0</v>
      </c>
      <c r="AB140" s="126">
        <f>IFERROR(AB136/26,0)</f>
        <v>0</v>
      </c>
      <c r="AC140" s="126">
        <f>IFERROR(AC136/AA140,0)</f>
        <v>0</v>
      </c>
      <c r="AD140" s="136"/>
      <c r="AE140" s="137"/>
    </row>
    <row r="141" spans="1:33" ht="17.10000000000000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W141" s="243" t="s">
        <v>206</v>
      </c>
      <c r="X141" s="243"/>
      <c r="Y141" s="243"/>
      <c r="Z141" s="243"/>
      <c r="AA141" s="138"/>
      <c r="AB141" s="138"/>
      <c r="AC141" s="138"/>
      <c r="AD141" s="138"/>
    </row>
    <row r="142" spans="1:33" ht="17.100000000000001" customHeight="1">
      <c r="A142" s="32"/>
      <c r="D142" s="217" t="s">
        <v>42</v>
      </c>
      <c r="E142" s="217"/>
      <c r="F142" s="217"/>
      <c r="G142" s="32"/>
      <c r="H142" s="32"/>
      <c r="I142" s="32"/>
      <c r="J142" s="32"/>
      <c r="K142" s="32"/>
      <c r="L142" s="32"/>
      <c r="M142" s="32"/>
      <c r="O142" s="32"/>
      <c r="P142" s="32"/>
      <c r="R142" s="32"/>
      <c r="S142" s="32"/>
      <c r="T142" s="32"/>
      <c r="U142" s="32"/>
      <c r="V142" s="32"/>
      <c r="W142" s="72"/>
      <c r="X142" s="118" t="s">
        <v>173</v>
      </c>
      <c r="Y142" s="73"/>
      <c r="Z142" s="33"/>
      <c r="AB142" s="33"/>
      <c r="AC142" s="34"/>
    </row>
    <row r="143" spans="1:33" ht="17.100000000000001" customHeight="1">
      <c r="A143" s="1"/>
      <c r="B143" s="1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7"/>
      <c r="R143" s="1"/>
      <c r="S143" s="1"/>
      <c r="T143" s="1"/>
      <c r="U143" s="1"/>
      <c r="V143" s="1"/>
      <c r="W143" s="36"/>
      <c r="X143" s="1"/>
      <c r="Y143" s="1"/>
      <c r="Z143" s="36"/>
      <c r="AA143" s="74"/>
      <c r="AB143" s="36"/>
      <c r="AC143" s="74"/>
    </row>
    <row r="144" spans="1:33" ht="17.100000000000001" customHeight="1">
      <c r="A144" s="1"/>
      <c r="B144" s="1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7"/>
      <c r="R144" s="1"/>
      <c r="S144" s="1"/>
      <c r="T144" s="1"/>
      <c r="U144" s="1"/>
      <c r="V144" s="1"/>
      <c r="W144" s="36"/>
      <c r="X144" s="1"/>
      <c r="Y144" s="1"/>
      <c r="Z144" s="36"/>
      <c r="AA144" s="74"/>
      <c r="AB144" s="36"/>
      <c r="AC144" s="74"/>
    </row>
    <row r="145" spans="1:29" ht="17.100000000000001" customHeight="1">
      <c r="A145" s="1"/>
      <c r="B145" s="1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7"/>
      <c r="R145" s="1"/>
      <c r="S145" s="1"/>
      <c r="T145" s="1"/>
      <c r="U145" s="1"/>
      <c r="V145" s="1"/>
      <c r="W145" s="36"/>
      <c r="X145" s="1"/>
      <c r="Y145" s="1"/>
      <c r="Z145" s="36"/>
      <c r="AB145" s="36"/>
      <c r="AC145" s="34"/>
    </row>
    <row r="146" spans="1:29" s="79" customFormat="1" ht="17.100000000000001" customHeight="1">
      <c r="A146" s="75"/>
      <c r="D146" s="218" t="s">
        <v>191</v>
      </c>
      <c r="E146" s="218"/>
      <c r="F146" s="218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R146" s="76"/>
      <c r="S146" s="76"/>
      <c r="T146" s="76"/>
      <c r="U146" s="76"/>
      <c r="V146" s="76"/>
      <c r="W146" s="77"/>
      <c r="X146" s="119" t="s">
        <v>194</v>
      </c>
      <c r="Y146" s="76"/>
      <c r="Z146" s="77"/>
      <c r="AA146" s="78"/>
      <c r="AB146" s="77"/>
      <c r="AC146" s="78"/>
    </row>
    <row r="147" spans="1:29" ht="17.100000000000001" customHeight="1">
      <c r="A147" s="1"/>
      <c r="B147" s="1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7"/>
      <c r="R147" s="1"/>
      <c r="S147" s="1"/>
      <c r="T147" s="1"/>
      <c r="U147" s="1"/>
      <c r="V147" s="1"/>
      <c r="W147" s="36"/>
      <c r="X147" s="1"/>
      <c r="Y147" s="1"/>
      <c r="Z147" s="36"/>
    </row>
    <row r="148" spans="1:29" s="79" customFormat="1" ht="17.100000000000001" customHeight="1">
      <c r="A148" s="76"/>
      <c r="R148" s="76"/>
      <c r="S148" s="76"/>
      <c r="T148" s="76"/>
      <c r="U148" s="76"/>
      <c r="W148" s="77"/>
      <c r="X148" s="76"/>
      <c r="Y148" s="76"/>
      <c r="Z148" s="77"/>
      <c r="AA148" s="78"/>
    </row>
  </sheetData>
  <mergeCells count="352">
    <mergeCell ref="R7:R8"/>
    <mergeCell ref="S7:S8"/>
    <mergeCell ref="X7:X8"/>
    <mergeCell ref="Y7:Y8"/>
    <mergeCell ref="W6:W8"/>
    <mergeCell ref="X6:Y6"/>
    <mergeCell ref="P6:U6"/>
    <mergeCell ref="V6:V8"/>
    <mergeCell ref="U7:U8"/>
    <mergeCell ref="T7:T8"/>
    <mergeCell ref="AG6:AG8"/>
    <mergeCell ref="AF6:AF8"/>
    <mergeCell ref="AE6:AE8"/>
    <mergeCell ref="AD6:AD8"/>
    <mergeCell ref="AC6:AC8"/>
    <mergeCell ref="AB6:AB8"/>
    <mergeCell ref="AA6:AA8"/>
    <mergeCell ref="Z6:Z8"/>
    <mergeCell ref="W141:Z141"/>
    <mergeCell ref="D142:F142"/>
    <mergeCell ref="D146:F146"/>
    <mergeCell ref="A132:A133"/>
    <mergeCell ref="B132:B133"/>
    <mergeCell ref="C132:C133"/>
    <mergeCell ref="D132:E132"/>
    <mergeCell ref="D133:E133"/>
    <mergeCell ref="A135:A136"/>
    <mergeCell ref="B135:B136"/>
    <mergeCell ref="C135:C136"/>
    <mergeCell ref="C140:E140"/>
    <mergeCell ref="F140:Y140"/>
    <mergeCell ref="A128:A129"/>
    <mergeCell ref="B128:B129"/>
    <mergeCell ref="C128:C129"/>
    <mergeCell ref="D128:E128"/>
    <mergeCell ref="D129:E129"/>
    <mergeCell ref="A130:A131"/>
    <mergeCell ref="B130:B131"/>
    <mergeCell ref="C130:C131"/>
    <mergeCell ref="B122:B123"/>
    <mergeCell ref="C122:C123"/>
    <mergeCell ref="D122:E122"/>
    <mergeCell ref="D123:E123"/>
    <mergeCell ref="D130:E130"/>
    <mergeCell ref="D131:E131"/>
    <mergeCell ref="A124:A125"/>
    <mergeCell ref="B124:B125"/>
    <mergeCell ref="C124:C125"/>
    <mergeCell ref="D124:E124"/>
    <mergeCell ref="D125:E125"/>
    <mergeCell ref="A126:A127"/>
    <mergeCell ref="B126:B127"/>
    <mergeCell ref="C126:C127"/>
    <mergeCell ref="D126:E126"/>
    <mergeCell ref="D127:E127"/>
    <mergeCell ref="A116:A117"/>
    <mergeCell ref="B116:B117"/>
    <mergeCell ref="C116:C117"/>
    <mergeCell ref="D116:E116"/>
    <mergeCell ref="D117:E117"/>
    <mergeCell ref="A122:A123"/>
    <mergeCell ref="A118:A119"/>
    <mergeCell ref="B118:B119"/>
    <mergeCell ref="C118:C119"/>
    <mergeCell ref="D118:E118"/>
    <mergeCell ref="D119:E119"/>
    <mergeCell ref="A120:A121"/>
    <mergeCell ref="B120:B121"/>
    <mergeCell ref="C120:C121"/>
    <mergeCell ref="D120:E120"/>
    <mergeCell ref="D121:E121"/>
    <mergeCell ref="A112:A113"/>
    <mergeCell ref="B112:B113"/>
    <mergeCell ref="C112:C113"/>
    <mergeCell ref="D112:E112"/>
    <mergeCell ref="D113:E113"/>
    <mergeCell ref="A114:A115"/>
    <mergeCell ref="B114:B115"/>
    <mergeCell ref="C114:C115"/>
    <mergeCell ref="D114:E114"/>
    <mergeCell ref="D115:E115"/>
    <mergeCell ref="A108:A109"/>
    <mergeCell ref="B108:B109"/>
    <mergeCell ref="C108:C109"/>
    <mergeCell ref="D108:E108"/>
    <mergeCell ref="D109:E109"/>
    <mergeCell ref="A110:A111"/>
    <mergeCell ref="B110:B111"/>
    <mergeCell ref="C110:C111"/>
    <mergeCell ref="D110:E110"/>
    <mergeCell ref="D111:E111"/>
    <mergeCell ref="A104:A105"/>
    <mergeCell ref="B104:B105"/>
    <mergeCell ref="C104:C105"/>
    <mergeCell ref="D104:E104"/>
    <mergeCell ref="D105:E105"/>
    <mergeCell ref="A106:A107"/>
    <mergeCell ref="B106:B107"/>
    <mergeCell ref="C106:C107"/>
    <mergeCell ref="D106:E106"/>
    <mergeCell ref="D107:E107"/>
    <mergeCell ref="A100:A101"/>
    <mergeCell ref="B100:B101"/>
    <mergeCell ref="C100:C101"/>
    <mergeCell ref="D100:E100"/>
    <mergeCell ref="D101:E101"/>
    <mergeCell ref="A102:A103"/>
    <mergeCell ref="B102:B103"/>
    <mergeCell ref="C102:C103"/>
    <mergeCell ref="D102:E102"/>
    <mergeCell ref="D103:E103"/>
    <mergeCell ref="A96:A97"/>
    <mergeCell ref="B96:B97"/>
    <mergeCell ref="C96:C97"/>
    <mergeCell ref="D96:E96"/>
    <mergeCell ref="D97:E97"/>
    <mergeCell ref="A98:A99"/>
    <mergeCell ref="B98:B99"/>
    <mergeCell ref="C98:C99"/>
    <mergeCell ref="D98:E98"/>
    <mergeCell ref="D99:E99"/>
    <mergeCell ref="A92:A93"/>
    <mergeCell ref="B92:B93"/>
    <mergeCell ref="C92:C93"/>
    <mergeCell ref="D92:E92"/>
    <mergeCell ref="D93:E93"/>
    <mergeCell ref="A94:A95"/>
    <mergeCell ref="B94:B95"/>
    <mergeCell ref="C94:C95"/>
    <mergeCell ref="D94:E94"/>
    <mergeCell ref="D95:E95"/>
    <mergeCell ref="A88:A89"/>
    <mergeCell ref="B88:B89"/>
    <mergeCell ref="C88:C89"/>
    <mergeCell ref="D88:E88"/>
    <mergeCell ref="D89:E89"/>
    <mergeCell ref="A90:A91"/>
    <mergeCell ref="B90:B91"/>
    <mergeCell ref="C90:C91"/>
    <mergeCell ref="D90:E90"/>
    <mergeCell ref="D91:E91"/>
    <mergeCell ref="A84:A85"/>
    <mergeCell ref="B84:B85"/>
    <mergeCell ref="C84:C85"/>
    <mergeCell ref="D84:E84"/>
    <mergeCell ref="D85:E85"/>
    <mergeCell ref="A86:A87"/>
    <mergeCell ref="B86:B87"/>
    <mergeCell ref="C86:C87"/>
    <mergeCell ref="D86:E86"/>
    <mergeCell ref="D87:E87"/>
    <mergeCell ref="A80:A81"/>
    <mergeCell ref="B80:B81"/>
    <mergeCell ref="C80:C81"/>
    <mergeCell ref="D80:E80"/>
    <mergeCell ref="D81:E81"/>
    <mergeCell ref="A82:A83"/>
    <mergeCell ref="B82:B83"/>
    <mergeCell ref="C82:C83"/>
    <mergeCell ref="D82:E82"/>
    <mergeCell ref="D83:E83"/>
    <mergeCell ref="A76:A77"/>
    <mergeCell ref="B76:B77"/>
    <mergeCell ref="C76:C77"/>
    <mergeCell ref="D76:E76"/>
    <mergeCell ref="D77:E77"/>
    <mergeCell ref="A78:A79"/>
    <mergeCell ref="B78:B79"/>
    <mergeCell ref="C78:C79"/>
    <mergeCell ref="D78:E78"/>
    <mergeCell ref="D79:E79"/>
    <mergeCell ref="A72:A73"/>
    <mergeCell ref="B72:B73"/>
    <mergeCell ref="C72:C73"/>
    <mergeCell ref="D72:E72"/>
    <mergeCell ref="D73:E73"/>
    <mergeCell ref="A74:A75"/>
    <mergeCell ref="B74:B75"/>
    <mergeCell ref="C74:C75"/>
    <mergeCell ref="D74:E74"/>
    <mergeCell ref="D75:E75"/>
    <mergeCell ref="A68:A69"/>
    <mergeCell ref="B68:B69"/>
    <mergeCell ref="C68:C69"/>
    <mergeCell ref="D68:E68"/>
    <mergeCell ref="D69:E69"/>
    <mergeCell ref="A70:A71"/>
    <mergeCell ref="B70:B71"/>
    <mergeCell ref="C70:C71"/>
    <mergeCell ref="D70:E70"/>
    <mergeCell ref="D71:E71"/>
    <mergeCell ref="A64:A65"/>
    <mergeCell ref="B64:B65"/>
    <mergeCell ref="C64:C65"/>
    <mergeCell ref="D64:E64"/>
    <mergeCell ref="D65:E65"/>
    <mergeCell ref="A66:A67"/>
    <mergeCell ref="B66:B67"/>
    <mergeCell ref="C66:C67"/>
    <mergeCell ref="D66:E66"/>
    <mergeCell ref="D67:E67"/>
    <mergeCell ref="A60:A61"/>
    <mergeCell ref="B60:B61"/>
    <mergeCell ref="C60:C61"/>
    <mergeCell ref="D60:E60"/>
    <mergeCell ref="D61:E61"/>
    <mergeCell ref="A62:A63"/>
    <mergeCell ref="B62:B63"/>
    <mergeCell ref="C62:C63"/>
    <mergeCell ref="D62:E62"/>
    <mergeCell ref="D63:E63"/>
    <mergeCell ref="A56:A57"/>
    <mergeCell ref="B56:B57"/>
    <mergeCell ref="C56:C57"/>
    <mergeCell ref="D56:E56"/>
    <mergeCell ref="D57:E57"/>
    <mergeCell ref="A58:A59"/>
    <mergeCell ref="B58:B59"/>
    <mergeCell ref="C58:C59"/>
    <mergeCell ref="D58:E58"/>
    <mergeCell ref="D59:E59"/>
    <mergeCell ref="A52:A53"/>
    <mergeCell ref="B52:B53"/>
    <mergeCell ref="C52:C53"/>
    <mergeCell ref="D52:E52"/>
    <mergeCell ref="D53:E53"/>
    <mergeCell ref="A54:A55"/>
    <mergeCell ref="B54:B55"/>
    <mergeCell ref="C54:C55"/>
    <mergeCell ref="D54:E54"/>
    <mergeCell ref="D55:E55"/>
    <mergeCell ref="A48:A49"/>
    <mergeCell ref="B48:B49"/>
    <mergeCell ref="C48:C49"/>
    <mergeCell ref="D48:E48"/>
    <mergeCell ref="D49:E49"/>
    <mergeCell ref="A50:A51"/>
    <mergeCell ref="B50:B51"/>
    <mergeCell ref="C50:C51"/>
    <mergeCell ref="D50:E50"/>
    <mergeCell ref="D51:E51"/>
    <mergeCell ref="A44:A45"/>
    <mergeCell ref="B44:B45"/>
    <mergeCell ref="C44:C45"/>
    <mergeCell ref="D44:E44"/>
    <mergeCell ref="D45:E45"/>
    <mergeCell ref="A46:A47"/>
    <mergeCell ref="B46:B47"/>
    <mergeCell ref="C46:C47"/>
    <mergeCell ref="D46:E46"/>
    <mergeCell ref="D47:E47"/>
    <mergeCell ref="A40:A41"/>
    <mergeCell ref="B40:B41"/>
    <mergeCell ref="C40:C41"/>
    <mergeCell ref="D40:E40"/>
    <mergeCell ref="D41:E41"/>
    <mergeCell ref="A42:A43"/>
    <mergeCell ref="B42:B43"/>
    <mergeCell ref="C42:C43"/>
    <mergeCell ref="D42:E42"/>
    <mergeCell ref="D43:E43"/>
    <mergeCell ref="A36:A37"/>
    <mergeCell ref="B36:B37"/>
    <mergeCell ref="C36:C37"/>
    <mergeCell ref="D36:E36"/>
    <mergeCell ref="D37:E37"/>
    <mergeCell ref="A38:A39"/>
    <mergeCell ref="B38:B39"/>
    <mergeCell ref="C38:C39"/>
    <mergeCell ref="D38:E38"/>
    <mergeCell ref="D39:E39"/>
    <mergeCell ref="A32:A33"/>
    <mergeCell ref="B32:B33"/>
    <mergeCell ref="C32:C33"/>
    <mergeCell ref="D32:E32"/>
    <mergeCell ref="D33:E33"/>
    <mergeCell ref="A34:A35"/>
    <mergeCell ref="B34:B35"/>
    <mergeCell ref="C34:C35"/>
    <mergeCell ref="D34:E34"/>
    <mergeCell ref="D35:E35"/>
    <mergeCell ref="A28:A29"/>
    <mergeCell ref="B28:B29"/>
    <mergeCell ref="C28:C29"/>
    <mergeCell ref="D28:E28"/>
    <mergeCell ref="D29:E29"/>
    <mergeCell ref="A30:A31"/>
    <mergeCell ref="B30:B31"/>
    <mergeCell ref="C30:C31"/>
    <mergeCell ref="D30:E30"/>
    <mergeCell ref="D31:E31"/>
    <mergeCell ref="A24:A25"/>
    <mergeCell ref="B24:B25"/>
    <mergeCell ref="C24:C25"/>
    <mergeCell ref="D24:E24"/>
    <mergeCell ref="D25:E25"/>
    <mergeCell ref="A26:A27"/>
    <mergeCell ref="B26:B27"/>
    <mergeCell ref="C26:C27"/>
    <mergeCell ref="D26:E26"/>
    <mergeCell ref="D27:E27"/>
    <mergeCell ref="A20:A21"/>
    <mergeCell ref="B20:B21"/>
    <mergeCell ref="C20:C21"/>
    <mergeCell ref="D20:E20"/>
    <mergeCell ref="D21:E21"/>
    <mergeCell ref="A22:A23"/>
    <mergeCell ref="B22:B23"/>
    <mergeCell ref="C22:C23"/>
    <mergeCell ref="D22:E22"/>
    <mergeCell ref="D23:E23"/>
    <mergeCell ref="A16:A17"/>
    <mergeCell ref="B16:B17"/>
    <mergeCell ref="C16:C17"/>
    <mergeCell ref="D16:E16"/>
    <mergeCell ref="D17:E17"/>
    <mergeCell ref="A18:A19"/>
    <mergeCell ref="B18:B19"/>
    <mergeCell ref="C18:C19"/>
    <mergeCell ref="D18:E18"/>
    <mergeCell ref="D19:E19"/>
    <mergeCell ref="A14:A15"/>
    <mergeCell ref="B14:B15"/>
    <mergeCell ref="C14:C15"/>
    <mergeCell ref="D14:E14"/>
    <mergeCell ref="D15:E15"/>
    <mergeCell ref="B10:B11"/>
    <mergeCell ref="C10:C11"/>
    <mergeCell ref="D10:E10"/>
    <mergeCell ref="D11:E11"/>
    <mergeCell ref="O7:O8"/>
    <mergeCell ref="Q7:Q8"/>
    <mergeCell ref="A12:A13"/>
    <mergeCell ref="B12:B13"/>
    <mergeCell ref="C12:C13"/>
    <mergeCell ref="D12:E12"/>
    <mergeCell ref="D13:E13"/>
    <mergeCell ref="P7:P8"/>
    <mergeCell ref="A6:A8"/>
    <mergeCell ref="B6:B8"/>
    <mergeCell ref="C6:C8"/>
    <mergeCell ref="D6:E8"/>
    <mergeCell ref="I6:N6"/>
    <mergeCell ref="G8:H8"/>
    <mergeCell ref="I7:I8"/>
    <mergeCell ref="J7:J8"/>
    <mergeCell ref="N7:N8"/>
    <mergeCell ref="D9:E9"/>
    <mergeCell ref="K7:K8"/>
    <mergeCell ref="L7:L8"/>
    <mergeCell ref="M7:M8"/>
    <mergeCell ref="A10:A11"/>
  </mergeCells>
  <phoneticPr fontId="25" type="noConversion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DCC7-F20E-4117-8ED7-BCA548392B36}">
  <dimension ref="A1:X1184"/>
  <sheetViews>
    <sheetView view="pageBreakPreview" topLeftCell="A103" zoomScale="85" zoomScaleNormal="100" workbookViewId="0">
      <selection activeCell="I59" sqref="I59:K59"/>
    </sheetView>
  </sheetViews>
  <sheetFormatPr defaultRowHeight="18.75" customHeight="1"/>
  <cols>
    <col min="1" max="1" width="13.5703125" style="80" customWidth="1"/>
    <col min="2" max="2" width="5.140625" style="80" customWidth="1"/>
    <col min="3" max="3" width="6.85546875" style="80" customWidth="1"/>
    <col min="4" max="4" width="4.7109375" style="80" customWidth="1"/>
    <col min="5" max="9" width="5" style="80" customWidth="1"/>
    <col min="10" max="10" width="6.7109375" style="80" customWidth="1"/>
    <col min="11" max="11" width="20.28515625" style="80" customWidth="1"/>
    <col min="12" max="12" width="11.140625" style="80" customWidth="1"/>
    <col min="13" max="13" width="13.28515625" style="80" customWidth="1"/>
    <col min="14" max="14" width="4.140625" style="80" customWidth="1"/>
    <col min="15" max="15" width="6.28515625" style="80" customWidth="1"/>
    <col min="16" max="18" width="4.140625" style="80" customWidth="1"/>
    <col min="19" max="19" width="10.28515625" style="80" bestFit="1" customWidth="1"/>
    <col min="20" max="20" width="4.42578125" style="80" customWidth="1"/>
    <col min="21" max="22" width="10.28515625" style="80" bestFit="1" customWidth="1"/>
    <col min="23" max="23" width="17" style="80" customWidth="1"/>
    <col min="24" max="256" width="9.140625" style="80"/>
    <col min="257" max="257" width="13.5703125" style="80" customWidth="1"/>
    <col min="258" max="258" width="5.140625" style="80" customWidth="1"/>
    <col min="259" max="259" width="6.85546875" style="80" customWidth="1"/>
    <col min="260" max="260" width="4.7109375" style="80" customWidth="1"/>
    <col min="261" max="265" width="5" style="80" customWidth="1"/>
    <col min="266" max="266" width="6.7109375" style="80" customWidth="1"/>
    <col min="267" max="267" width="20.28515625" style="80" customWidth="1"/>
    <col min="268" max="268" width="11.140625" style="80" customWidth="1"/>
    <col min="269" max="269" width="13.28515625" style="80" customWidth="1"/>
    <col min="270" max="270" width="4.140625" style="80" customWidth="1"/>
    <col min="271" max="271" width="6.28515625" style="80" customWidth="1"/>
    <col min="272" max="274" width="4.140625" style="80" customWidth="1"/>
    <col min="275" max="275" width="10.28515625" style="80" bestFit="1" customWidth="1"/>
    <col min="276" max="276" width="4.42578125" style="80" customWidth="1"/>
    <col min="277" max="278" width="10.28515625" style="80" bestFit="1" customWidth="1"/>
    <col min="279" max="279" width="17" style="80" customWidth="1"/>
    <col min="280" max="512" width="9.140625" style="80"/>
    <col min="513" max="513" width="13.5703125" style="80" customWidth="1"/>
    <col min="514" max="514" width="5.140625" style="80" customWidth="1"/>
    <col min="515" max="515" width="6.85546875" style="80" customWidth="1"/>
    <col min="516" max="516" width="4.7109375" style="80" customWidth="1"/>
    <col min="517" max="521" width="5" style="80" customWidth="1"/>
    <col min="522" max="522" width="6.7109375" style="80" customWidth="1"/>
    <col min="523" max="523" width="20.28515625" style="80" customWidth="1"/>
    <col min="524" max="524" width="11.140625" style="80" customWidth="1"/>
    <col min="525" max="525" width="13.28515625" style="80" customWidth="1"/>
    <col min="526" max="526" width="4.140625" style="80" customWidth="1"/>
    <col min="527" max="527" width="6.28515625" style="80" customWidth="1"/>
    <col min="528" max="530" width="4.140625" style="80" customWidth="1"/>
    <col min="531" max="531" width="10.28515625" style="80" bestFit="1" customWidth="1"/>
    <col min="532" max="532" width="4.42578125" style="80" customWidth="1"/>
    <col min="533" max="534" width="10.28515625" style="80" bestFit="1" customWidth="1"/>
    <col min="535" max="535" width="17" style="80" customWidth="1"/>
    <col min="536" max="768" width="9.140625" style="80"/>
    <col min="769" max="769" width="13.5703125" style="80" customWidth="1"/>
    <col min="770" max="770" width="5.140625" style="80" customWidth="1"/>
    <col min="771" max="771" width="6.85546875" style="80" customWidth="1"/>
    <col min="772" max="772" width="4.7109375" style="80" customWidth="1"/>
    <col min="773" max="777" width="5" style="80" customWidth="1"/>
    <col min="778" max="778" width="6.7109375" style="80" customWidth="1"/>
    <col min="779" max="779" width="20.28515625" style="80" customWidth="1"/>
    <col min="780" max="780" width="11.140625" style="80" customWidth="1"/>
    <col min="781" max="781" width="13.28515625" style="80" customWidth="1"/>
    <col min="782" max="782" width="4.140625" style="80" customWidth="1"/>
    <col min="783" max="783" width="6.28515625" style="80" customWidth="1"/>
    <col min="784" max="786" width="4.140625" style="80" customWidth="1"/>
    <col min="787" max="787" width="10.28515625" style="80" bestFit="1" customWidth="1"/>
    <col min="788" max="788" width="4.42578125" style="80" customWidth="1"/>
    <col min="789" max="790" width="10.28515625" style="80" bestFit="1" customWidth="1"/>
    <col min="791" max="791" width="17" style="80" customWidth="1"/>
    <col min="792" max="1024" width="9.140625" style="80"/>
    <col min="1025" max="1025" width="13.5703125" style="80" customWidth="1"/>
    <col min="1026" max="1026" width="5.140625" style="80" customWidth="1"/>
    <col min="1027" max="1027" width="6.85546875" style="80" customWidth="1"/>
    <col min="1028" max="1028" width="4.7109375" style="80" customWidth="1"/>
    <col min="1029" max="1033" width="5" style="80" customWidth="1"/>
    <col min="1034" max="1034" width="6.7109375" style="80" customWidth="1"/>
    <col min="1035" max="1035" width="20.28515625" style="80" customWidth="1"/>
    <col min="1036" max="1036" width="11.140625" style="80" customWidth="1"/>
    <col min="1037" max="1037" width="13.28515625" style="80" customWidth="1"/>
    <col min="1038" max="1038" width="4.140625" style="80" customWidth="1"/>
    <col min="1039" max="1039" width="6.28515625" style="80" customWidth="1"/>
    <col min="1040" max="1042" width="4.140625" style="80" customWidth="1"/>
    <col min="1043" max="1043" width="10.28515625" style="80" bestFit="1" customWidth="1"/>
    <col min="1044" max="1044" width="4.42578125" style="80" customWidth="1"/>
    <col min="1045" max="1046" width="10.28515625" style="80" bestFit="1" customWidth="1"/>
    <col min="1047" max="1047" width="17" style="80" customWidth="1"/>
    <col min="1048" max="1280" width="9.140625" style="80"/>
    <col min="1281" max="1281" width="13.5703125" style="80" customWidth="1"/>
    <col min="1282" max="1282" width="5.140625" style="80" customWidth="1"/>
    <col min="1283" max="1283" width="6.85546875" style="80" customWidth="1"/>
    <col min="1284" max="1284" width="4.7109375" style="80" customWidth="1"/>
    <col min="1285" max="1289" width="5" style="80" customWidth="1"/>
    <col min="1290" max="1290" width="6.7109375" style="80" customWidth="1"/>
    <col min="1291" max="1291" width="20.28515625" style="80" customWidth="1"/>
    <col min="1292" max="1292" width="11.140625" style="80" customWidth="1"/>
    <col min="1293" max="1293" width="13.28515625" style="80" customWidth="1"/>
    <col min="1294" max="1294" width="4.140625" style="80" customWidth="1"/>
    <col min="1295" max="1295" width="6.28515625" style="80" customWidth="1"/>
    <col min="1296" max="1298" width="4.140625" style="80" customWidth="1"/>
    <col min="1299" max="1299" width="10.28515625" style="80" bestFit="1" customWidth="1"/>
    <col min="1300" max="1300" width="4.42578125" style="80" customWidth="1"/>
    <col min="1301" max="1302" width="10.28515625" style="80" bestFit="1" customWidth="1"/>
    <col min="1303" max="1303" width="17" style="80" customWidth="1"/>
    <col min="1304" max="1536" width="9.140625" style="80"/>
    <col min="1537" max="1537" width="13.5703125" style="80" customWidth="1"/>
    <col min="1538" max="1538" width="5.140625" style="80" customWidth="1"/>
    <col min="1539" max="1539" width="6.85546875" style="80" customWidth="1"/>
    <col min="1540" max="1540" width="4.7109375" style="80" customWidth="1"/>
    <col min="1541" max="1545" width="5" style="80" customWidth="1"/>
    <col min="1546" max="1546" width="6.7109375" style="80" customWidth="1"/>
    <col min="1547" max="1547" width="20.28515625" style="80" customWidth="1"/>
    <col min="1548" max="1548" width="11.140625" style="80" customWidth="1"/>
    <col min="1549" max="1549" width="13.28515625" style="80" customWidth="1"/>
    <col min="1550" max="1550" width="4.140625" style="80" customWidth="1"/>
    <col min="1551" max="1551" width="6.28515625" style="80" customWidth="1"/>
    <col min="1552" max="1554" width="4.140625" style="80" customWidth="1"/>
    <col min="1555" max="1555" width="10.28515625" style="80" bestFit="1" customWidth="1"/>
    <col min="1556" max="1556" width="4.42578125" style="80" customWidth="1"/>
    <col min="1557" max="1558" width="10.28515625" style="80" bestFit="1" customWidth="1"/>
    <col min="1559" max="1559" width="17" style="80" customWidth="1"/>
    <col min="1560" max="1792" width="9.140625" style="80"/>
    <col min="1793" max="1793" width="13.5703125" style="80" customWidth="1"/>
    <col min="1794" max="1794" width="5.140625" style="80" customWidth="1"/>
    <col min="1795" max="1795" width="6.85546875" style="80" customWidth="1"/>
    <col min="1796" max="1796" width="4.7109375" style="80" customWidth="1"/>
    <col min="1797" max="1801" width="5" style="80" customWidth="1"/>
    <col min="1802" max="1802" width="6.7109375" style="80" customWidth="1"/>
    <col min="1803" max="1803" width="20.28515625" style="80" customWidth="1"/>
    <col min="1804" max="1804" width="11.140625" style="80" customWidth="1"/>
    <col min="1805" max="1805" width="13.28515625" style="80" customWidth="1"/>
    <col min="1806" max="1806" width="4.140625" style="80" customWidth="1"/>
    <col min="1807" max="1807" width="6.28515625" style="80" customWidth="1"/>
    <col min="1808" max="1810" width="4.140625" style="80" customWidth="1"/>
    <col min="1811" max="1811" width="10.28515625" style="80" bestFit="1" customWidth="1"/>
    <col min="1812" max="1812" width="4.42578125" style="80" customWidth="1"/>
    <col min="1813" max="1814" width="10.28515625" style="80" bestFit="1" customWidth="1"/>
    <col min="1815" max="1815" width="17" style="80" customWidth="1"/>
    <col min="1816" max="2048" width="9.140625" style="80"/>
    <col min="2049" max="2049" width="13.5703125" style="80" customWidth="1"/>
    <col min="2050" max="2050" width="5.140625" style="80" customWidth="1"/>
    <col min="2051" max="2051" width="6.85546875" style="80" customWidth="1"/>
    <col min="2052" max="2052" width="4.7109375" style="80" customWidth="1"/>
    <col min="2053" max="2057" width="5" style="80" customWidth="1"/>
    <col min="2058" max="2058" width="6.7109375" style="80" customWidth="1"/>
    <col min="2059" max="2059" width="20.28515625" style="80" customWidth="1"/>
    <col min="2060" max="2060" width="11.140625" style="80" customWidth="1"/>
    <col min="2061" max="2061" width="13.28515625" style="80" customWidth="1"/>
    <col min="2062" max="2062" width="4.140625" style="80" customWidth="1"/>
    <col min="2063" max="2063" width="6.28515625" style="80" customWidth="1"/>
    <col min="2064" max="2066" width="4.140625" style="80" customWidth="1"/>
    <col min="2067" max="2067" width="10.28515625" style="80" bestFit="1" customWidth="1"/>
    <col min="2068" max="2068" width="4.42578125" style="80" customWidth="1"/>
    <col min="2069" max="2070" width="10.28515625" style="80" bestFit="1" customWidth="1"/>
    <col min="2071" max="2071" width="17" style="80" customWidth="1"/>
    <col min="2072" max="2304" width="9.140625" style="80"/>
    <col min="2305" max="2305" width="13.5703125" style="80" customWidth="1"/>
    <col min="2306" max="2306" width="5.140625" style="80" customWidth="1"/>
    <col min="2307" max="2307" width="6.85546875" style="80" customWidth="1"/>
    <col min="2308" max="2308" width="4.7109375" style="80" customWidth="1"/>
    <col min="2309" max="2313" width="5" style="80" customWidth="1"/>
    <col min="2314" max="2314" width="6.7109375" style="80" customWidth="1"/>
    <col min="2315" max="2315" width="20.28515625" style="80" customWidth="1"/>
    <col min="2316" max="2316" width="11.140625" style="80" customWidth="1"/>
    <col min="2317" max="2317" width="13.28515625" style="80" customWidth="1"/>
    <col min="2318" max="2318" width="4.140625" style="80" customWidth="1"/>
    <col min="2319" max="2319" width="6.28515625" style="80" customWidth="1"/>
    <col min="2320" max="2322" width="4.140625" style="80" customWidth="1"/>
    <col min="2323" max="2323" width="10.28515625" style="80" bestFit="1" customWidth="1"/>
    <col min="2324" max="2324" width="4.42578125" style="80" customWidth="1"/>
    <col min="2325" max="2326" width="10.28515625" style="80" bestFit="1" customWidth="1"/>
    <col min="2327" max="2327" width="17" style="80" customWidth="1"/>
    <col min="2328" max="2560" width="9.140625" style="80"/>
    <col min="2561" max="2561" width="13.5703125" style="80" customWidth="1"/>
    <col min="2562" max="2562" width="5.140625" style="80" customWidth="1"/>
    <col min="2563" max="2563" width="6.85546875" style="80" customWidth="1"/>
    <col min="2564" max="2564" width="4.7109375" style="80" customWidth="1"/>
    <col min="2565" max="2569" width="5" style="80" customWidth="1"/>
    <col min="2570" max="2570" width="6.7109375" style="80" customWidth="1"/>
    <col min="2571" max="2571" width="20.28515625" style="80" customWidth="1"/>
    <col min="2572" max="2572" width="11.140625" style="80" customWidth="1"/>
    <col min="2573" max="2573" width="13.28515625" style="80" customWidth="1"/>
    <col min="2574" max="2574" width="4.140625" style="80" customWidth="1"/>
    <col min="2575" max="2575" width="6.28515625" style="80" customWidth="1"/>
    <col min="2576" max="2578" width="4.140625" style="80" customWidth="1"/>
    <col min="2579" max="2579" width="10.28515625" style="80" bestFit="1" customWidth="1"/>
    <col min="2580" max="2580" width="4.42578125" style="80" customWidth="1"/>
    <col min="2581" max="2582" width="10.28515625" style="80" bestFit="1" customWidth="1"/>
    <col min="2583" max="2583" width="17" style="80" customWidth="1"/>
    <col min="2584" max="2816" width="9.140625" style="80"/>
    <col min="2817" max="2817" width="13.5703125" style="80" customWidth="1"/>
    <col min="2818" max="2818" width="5.140625" style="80" customWidth="1"/>
    <col min="2819" max="2819" width="6.85546875" style="80" customWidth="1"/>
    <col min="2820" max="2820" width="4.7109375" style="80" customWidth="1"/>
    <col min="2821" max="2825" width="5" style="80" customWidth="1"/>
    <col min="2826" max="2826" width="6.7109375" style="80" customWidth="1"/>
    <col min="2827" max="2827" width="20.28515625" style="80" customWidth="1"/>
    <col min="2828" max="2828" width="11.140625" style="80" customWidth="1"/>
    <col min="2829" max="2829" width="13.28515625" style="80" customWidth="1"/>
    <col min="2830" max="2830" width="4.140625" style="80" customWidth="1"/>
    <col min="2831" max="2831" width="6.28515625" style="80" customWidth="1"/>
    <col min="2832" max="2834" width="4.140625" style="80" customWidth="1"/>
    <col min="2835" max="2835" width="10.28515625" style="80" bestFit="1" customWidth="1"/>
    <col min="2836" max="2836" width="4.42578125" style="80" customWidth="1"/>
    <col min="2837" max="2838" width="10.28515625" style="80" bestFit="1" customWidth="1"/>
    <col min="2839" max="2839" width="17" style="80" customWidth="1"/>
    <col min="2840" max="3072" width="9.140625" style="80"/>
    <col min="3073" max="3073" width="13.5703125" style="80" customWidth="1"/>
    <col min="3074" max="3074" width="5.140625" style="80" customWidth="1"/>
    <col min="3075" max="3075" width="6.85546875" style="80" customWidth="1"/>
    <col min="3076" max="3076" width="4.7109375" style="80" customWidth="1"/>
    <col min="3077" max="3081" width="5" style="80" customWidth="1"/>
    <col min="3082" max="3082" width="6.7109375" style="80" customWidth="1"/>
    <col min="3083" max="3083" width="20.28515625" style="80" customWidth="1"/>
    <col min="3084" max="3084" width="11.140625" style="80" customWidth="1"/>
    <col min="3085" max="3085" width="13.28515625" style="80" customWidth="1"/>
    <col min="3086" max="3086" width="4.140625" style="80" customWidth="1"/>
    <col min="3087" max="3087" width="6.28515625" style="80" customWidth="1"/>
    <col min="3088" max="3090" width="4.140625" style="80" customWidth="1"/>
    <col min="3091" max="3091" width="10.28515625" style="80" bestFit="1" customWidth="1"/>
    <col min="3092" max="3092" width="4.42578125" style="80" customWidth="1"/>
    <col min="3093" max="3094" width="10.28515625" style="80" bestFit="1" customWidth="1"/>
    <col min="3095" max="3095" width="17" style="80" customWidth="1"/>
    <col min="3096" max="3328" width="9.140625" style="80"/>
    <col min="3329" max="3329" width="13.5703125" style="80" customWidth="1"/>
    <col min="3330" max="3330" width="5.140625" style="80" customWidth="1"/>
    <col min="3331" max="3331" width="6.85546875" style="80" customWidth="1"/>
    <col min="3332" max="3332" width="4.7109375" style="80" customWidth="1"/>
    <col min="3333" max="3337" width="5" style="80" customWidth="1"/>
    <col min="3338" max="3338" width="6.7109375" style="80" customWidth="1"/>
    <col min="3339" max="3339" width="20.28515625" style="80" customWidth="1"/>
    <col min="3340" max="3340" width="11.140625" style="80" customWidth="1"/>
    <col min="3341" max="3341" width="13.28515625" style="80" customWidth="1"/>
    <col min="3342" max="3342" width="4.140625" style="80" customWidth="1"/>
    <col min="3343" max="3343" width="6.28515625" style="80" customWidth="1"/>
    <col min="3344" max="3346" width="4.140625" style="80" customWidth="1"/>
    <col min="3347" max="3347" width="10.28515625" style="80" bestFit="1" customWidth="1"/>
    <col min="3348" max="3348" width="4.42578125" style="80" customWidth="1"/>
    <col min="3349" max="3350" width="10.28515625" style="80" bestFit="1" customWidth="1"/>
    <col min="3351" max="3351" width="17" style="80" customWidth="1"/>
    <col min="3352" max="3584" width="9.140625" style="80"/>
    <col min="3585" max="3585" width="13.5703125" style="80" customWidth="1"/>
    <col min="3586" max="3586" width="5.140625" style="80" customWidth="1"/>
    <col min="3587" max="3587" width="6.85546875" style="80" customWidth="1"/>
    <col min="3588" max="3588" width="4.7109375" style="80" customWidth="1"/>
    <col min="3589" max="3593" width="5" style="80" customWidth="1"/>
    <col min="3594" max="3594" width="6.7109375" style="80" customWidth="1"/>
    <col min="3595" max="3595" width="20.28515625" style="80" customWidth="1"/>
    <col min="3596" max="3596" width="11.140625" style="80" customWidth="1"/>
    <col min="3597" max="3597" width="13.28515625" style="80" customWidth="1"/>
    <col min="3598" max="3598" width="4.140625" style="80" customWidth="1"/>
    <col min="3599" max="3599" width="6.28515625" style="80" customWidth="1"/>
    <col min="3600" max="3602" width="4.140625" style="80" customWidth="1"/>
    <col min="3603" max="3603" width="10.28515625" style="80" bestFit="1" customWidth="1"/>
    <col min="3604" max="3604" width="4.42578125" style="80" customWidth="1"/>
    <col min="3605" max="3606" width="10.28515625" style="80" bestFit="1" customWidth="1"/>
    <col min="3607" max="3607" width="17" style="80" customWidth="1"/>
    <col min="3608" max="3840" width="9.140625" style="80"/>
    <col min="3841" max="3841" width="13.5703125" style="80" customWidth="1"/>
    <col min="3842" max="3842" width="5.140625" style="80" customWidth="1"/>
    <col min="3843" max="3843" width="6.85546875" style="80" customWidth="1"/>
    <col min="3844" max="3844" width="4.7109375" style="80" customWidth="1"/>
    <col min="3845" max="3849" width="5" style="80" customWidth="1"/>
    <col min="3850" max="3850" width="6.7109375" style="80" customWidth="1"/>
    <col min="3851" max="3851" width="20.28515625" style="80" customWidth="1"/>
    <col min="3852" max="3852" width="11.140625" style="80" customWidth="1"/>
    <col min="3853" max="3853" width="13.28515625" style="80" customWidth="1"/>
    <col min="3854" max="3854" width="4.140625" style="80" customWidth="1"/>
    <col min="3855" max="3855" width="6.28515625" style="80" customWidth="1"/>
    <col min="3856" max="3858" width="4.140625" style="80" customWidth="1"/>
    <col min="3859" max="3859" width="10.28515625" style="80" bestFit="1" customWidth="1"/>
    <col min="3860" max="3860" width="4.42578125" style="80" customWidth="1"/>
    <col min="3861" max="3862" width="10.28515625" style="80" bestFit="1" customWidth="1"/>
    <col min="3863" max="3863" width="17" style="80" customWidth="1"/>
    <col min="3864" max="4096" width="9.140625" style="80"/>
    <col min="4097" max="4097" width="13.5703125" style="80" customWidth="1"/>
    <col min="4098" max="4098" width="5.140625" style="80" customWidth="1"/>
    <col min="4099" max="4099" width="6.85546875" style="80" customWidth="1"/>
    <col min="4100" max="4100" width="4.7109375" style="80" customWidth="1"/>
    <col min="4101" max="4105" width="5" style="80" customWidth="1"/>
    <col min="4106" max="4106" width="6.7109375" style="80" customWidth="1"/>
    <col min="4107" max="4107" width="20.28515625" style="80" customWidth="1"/>
    <col min="4108" max="4108" width="11.140625" style="80" customWidth="1"/>
    <col min="4109" max="4109" width="13.28515625" style="80" customWidth="1"/>
    <col min="4110" max="4110" width="4.140625" style="80" customWidth="1"/>
    <col min="4111" max="4111" width="6.28515625" style="80" customWidth="1"/>
    <col min="4112" max="4114" width="4.140625" style="80" customWidth="1"/>
    <col min="4115" max="4115" width="10.28515625" style="80" bestFit="1" customWidth="1"/>
    <col min="4116" max="4116" width="4.42578125" style="80" customWidth="1"/>
    <col min="4117" max="4118" width="10.28515625" style="80" bestFit="1" customWidth="1"/>
    <col min="4119" max="4119" width="17" style="80" customWidth="1"/>
    <col min="4120" max="4352" width="9.140625" style="80"/>
    <col min="4353" max="4353" width="13.5703125" style="80" customWidth="1"/>
    <col min="4354" max="4354" width="5.140625" style="80" customWidth="1"/>
    <col min="4355" max="4355" width="6.85546875" style="80" customWidth="1"/>
    <col min="4356" max="4356" width="4.7109375" style="80" customWidth="1"/>
    <col min="4357" max="4361" width="5" style="80" customWidth="1"/>
    <col min="4362" max="4362" width="6.7109375" style="80" customWidth="1"/>
    <col min="4363" max="4363" width="20.28515625" style="80" customWidth="1"/>
    <col min="4364" max="4364" width="11.140625" style="80" customWidth="1"/>
    <col min="4365" max="4365" width="13.28515625" style="80" customWidth="1"/>
    <col min="4366" max="4366" width="4.140625" style="80" customWidth="1"/>
    <col min="4367" max="4367" width="6.28515625" style="80" customWidth="1"/>
    <col min="4368" max="4370" width="4.140625" style="80" customWidth="1"/>
    <col min="4371" max="4371" width="10.28515625" style="80" bestFit="1" customWidth="1"/>
    <col min="4372" max="4372" width="4.42578125" style="80" customWidth="1"/>
    <col min="4373" max="4374" width="10.28515625" style="80" bestFit="1" customWidth="1"/>
    <col min="4375" max="4375" width="17" style="80" customWidth="1"/>
    <col min="4376" max="4608" width="9.140625" style="80"/>
    <col min="4609" max="4609" width="13.5703125" style="80" customWidth="1"/>
    <col min="4610" max="4610" width="5.140625" style="80" customWidth="1"/>
    <col min="4611" max="4611" width="6.85546875" style="80" customWidth="1"/>
    <col min="4612" max="4612" width="4.7109375" style="80" customWidth="1"/>
    <col min="4613" max="4617" width="5" style="80" customWidth="1"/>
    <col min="4618" max="4618" width="6.7109375" style="80" customWidth="1"/>
    <col min="4619" max="4619" width="20.28515625" style="80" customWidth="1"/>
    <col min="4620" max="4620" width="11.140625" style="80" customWidth="1"/>
    <col min="4621" max="4621" width="13.28515625" style="80" customWidth="1"/>
    <col min="4622" max="4622" width="4.140625" style="80" customWidth="1"/>
    <col min="4623" max="4623" width="6.28515625" style="80" customWidth="1"/>
    <col min="4624" max="4626" width="4.140625" style="80" customWidth="1"/>
    <col min="4627" max="4627" width="10.28515625" style="80" bestFit="1" customWidth="1"/>
    <col min="4628" max="4628" width="4.42578125" style="80" customWidth="1"/>
    <col min="4629" max="4630" width="10.28515625" style="80" bestFit="1" customWidth="1"/>
    <col min="4631" max="4631" width="17" style="80" customWidth="1"/>
    <col min="4632" max="4864" width="9.140625" style="80"/>
    <col min="4865" max="4865" width="13.5703125" style="80" customWidth="1"/>
    <col min="4866" max="4866" width="5.140625" style="80" customWidth="1"/>
    <col min="4867" max="4867" width="6.85546875" style="80" customWidth="1"/>
    <col min="4868" max="4868" width="4.7109375" style="80" customWidth="1"/>
    <col min="4869" max="4873" width="5" style="80" customWidth="1"/>
    <col min="4874" max="4874" width="6.7109375" style="80" customWidth="1"/>
    <col min="4875" max="4875" width="20.28515625" style="80" customWidth="1"/>
    <col min="4876" max="4876" width="11.140625" style="80" customWidth="1"/>
    <col min="4877" max="4877" width="13.28515625" style="80" customWidth="1"/>
    <col min="4878" max="4878" width="4.140625" style="80" customWidth="1"/>
    <col min="4879" max="4879" width="6.28515625" style="80" customWidth="1"/>
    <col min="4880" max="4882" width="4.140625" style="80" customWidth="1"/>
    <col min="4883" max="4883" width="10.28515625" style="80" bestFit="1" customWidth="1"/>
    <col min="4884" max="4884" width="4.42578125" style="80" customWidth="1"/>
    <col min="4885" max="4886" width="10.28515625" style="80" bestFit="1" customWidth="1"/>
    <col min="4887" max="4887" width="17" style="80" customWidth="1"/>
    <col min="4888" max="5120" width="9.140625" style="80"/>
    <col min="5121" max="5121" width="13.5703125" style="80" customWidth="1"/>
    <col min="5122" max="5122" width="5.140625" style="80" customWidth="1"/>
    <col min="5123" max="5123" width="6.85546875" style="80" customWidth="1"/>
    <col min="5124" max="5124" width="4.7109375" style="80" customWidth="1"/>
    <col min="5125" max="5129" width="5" style="80" customWidth="1"/>
    <col min="5130" max="5130" width="6.7109375" style="80" customWidth="1"/>
    <col min="5131" max="5131" width="20.28515625" style="80" customWidth="1"/>
    <col min="5132" max="5132" width="11.140625" style="80" customWidth="1"/>
    <col min="5133" max="5133" width="13.28515625" style="80" customWidth="1"/>
    <col min="5134" max="5134" width="4.140625" style="80" customWidth="1"/>
    <col min="5135" max="5135" width="6.28515625" style="80" customWidth="1"/>
    <col min="5136" max="5138" width="4.140625" style="80" customWidth="1"/>
    <col min="5139" max="5139" width="10.28515625" style="80" bestFit="1" customWidth="1"/>
    <col min="5140" max="5140" width="4.42578125" style="80" customWidth="1"/>
    <col min="5141" max="5142" width="10.28515625" style="80" bestFit="1" customWidth="1"/>
    <col min="5143" max="5143" width="17" style="80" customWidth="1"/>
    <col min="5144" max="5376" width="9.140625" style="80"/>
    <col min="5377" max="5377" width="13.5703125" style="80" customWidth="1"/>
    <col min="5378" max="5378" width="5.140625" style="80" customWidth="1"/>
    <col min="5379" max="5379" width="6.85546875" style="80" customWidth="1"/>
    <col min="5380" max="5380" width="4.7109375" style="80" customWidth="1"/>
    <col min="5381" max="5385" width="5" style="80" customWidth="1"/>
    <col min="5386" max="5386" width="6.7109375" style="80" customWidth="1"/>
    <col min="5387" max="5387" width="20.28515625" style="80" customWidth="1"/>
    <col min="5388" max="5388" width="11.140625" style="80" customWidth="1"/>
    <col min="5389" max="5389" width="13.28515625" style="80" customWidth="1"/>
    <col min="5390" max="5390" width="4.140625" style="80" customWidth="1"/>
    <col min="5391" max="5391" width="6.28515625" style="80" customWidth="1"/>
    <col min="5392" max="5394" width="4.140625" style="80" customWidth="1"/>
    <col min="5395" max="5395" width="10.28515625" style="80" bestFit="1" customWidth="1"/>
    <col min="5396" max="5396" width="4.42578125" style="80" customWidth="1"/>
    <col min="5397" max="5398" width="10.28515625" style="80" bestFit="1" customWidth="1"/>
    <col min="5399" max="5399" width="17" style="80" customWidth="1"/>
    <col min="5400" max="5632" width="9.140625" style="80"/>
    <col min="5633" max="5633" width="13.5703125" style="80" customWidth="1"/>
    <col min="5634" max="5634" width="5.140625" style="80" customWidth="1"/>
    <col min="5635" max="5635" width="6.85546875" style="80" customWidth="1"/>
    <col min="5636" max="5636" width="4.7109375" style="80" customWidth="1"/>
    <col min="5637" max="5641" width="5" style="80" customWidth="1"/>
    <col min="5642" max="5642" width="6.7109375" style="80" customWidth="1"/>
    <col min="5643" max="5643" width="20.28515625" style="80" customWidth="1"/>
    <col min="5644" max="5644" width="11.140625" style="80" customWidth="1"/>
    <col min="5645" max="5645" width="13.28515625" style="80" customWidth="1"/>
    <col min="5646" max="5646" width="4.140625" style="80" customWidth="1"/>
    <col min="5647" max="5647" width="6.28515625" style="80" customWidth="1"/>
    <col min="5648" max="5650" width="4.140625" style="80" customWidth="1"/>
    <col min="5651" max="5651" width="10.28515625" style="80" bestFit="1" customWidth="1"/>
    <col min="5652" max="5652" width="4.42578125" style="80" customWidth="1"/>
    <col min="5653" max="5654" width="10.28515625" style="80" bestFit="1" customWidth="1"/>
    <col min="5655" max="5655" width="17" style="80" customWidth="1"/>
    <col min="5656" max="5888" width="9.140625" style="80"/>
    <col min="5889" max="5889" width="13.5703125" style="80" customWidth="1"/>
    <col min="5890" max="5890" width="5.140625" style="80" customWidth="1"/>
    <col min="5891" max="5891" width="6.85546875" style="80" customWidth="1"/>
    <col min="5892" max="5892" width="4.7109375" style="80" customWidth="1"/>
    <col min="5893" max="5897" width="5" style="80" customWidth="1"/>
    <col min="5898" max="5898" width="6.7109375" style="80" customWidth="1"/>
    <col min="5899" max="5899" width="20.28515625" style="80" customWidth="1"/>
    <col min="5900" max="5900" width="11.140625" style="80" customWidth="1"/>
    <col min="5901" max="5901" width="13.28515625" style="80" customWidth="1"/>
    <col min="5902" max="5902" width="4.140625" style="80" customWidth="1"/>
    <col min="5903" max="5903" width="6.28515625" style="80" customWidth="1"/>
    <col min="5904" max="5906" width="4.140625" style="80" customWidth="1"/>
    <col min="5907" max="5907" width="10.28515625" style="80" bestFit="1" customWidth="1"/>
    <col min="5908" max="5908" width="4.42578125" style="80" customWidth="1"/>
    <col min="5909" max="5910" width="10.28515625" style="80" bestFit="1" customWidth="1"/>
    <col min="5911" max="5911" width="17" style="80" customWidth="1"/>
    <col min="5912" max="6144" width="9.140625" style="80"/>
    <col min="6145" max="6145" width="13.5703125" style="80" customWidth="1"/>
    <col min="6146" max="6146" width="5.140625" style="80" customWidth="1"/>
    <col min="6147" max="6147" width="6.85546875" style="80" customWidth="1"/>
    <col min="6148" max="6148" width="4.7109375" style="80" customWidth="1"/>
    <col min="6149" max="6153" width="5" style="80" customWidth="1"/>
    <col min="6154" max="6154" width="6.7109375" style="80" customWidth="1"/>
    <col min="6155" max="6155" width="20.28515625" style="80" customWidth="1"/>
    <col min="6156" max="6156" width="11.140625" style="80" customWidth="1"/>
    <col min="6157" max="6157" width="13.28515625" style="80" customWidth="1"/>
    <col min="6158" max="6158" width="4.140625" style="80" customWidth="1"/>
    <col min="6159" max="6159" width="6.28515625" style="80" customWidth="1"/>
    <col min="6160" max="6162" width="4.140625" style="80" customWidth="1"/>
    <col min="6163" max="6163" width="10.28515625" style="80" bestFit="1" customWidth="1"/>
    <col min="6164" max="6164" width="4.42578125" style="80" customWidth="1"/>
    <col min="6165" max="6166" width="10.28515625" style="80" bestFit="1" customWidth="1"/>
    <col min="6167" max="6167" width="17" style="80" customWidth="1"/>
    <col min="6168" max="6400" width="9.140625" style="80"/>
    <col min="6401" max="6401" width="13.5703125" style="80" customWidth="1"/>
    <col min="6402" max="6402" width="5.140625" style="80" customWidth="1"/>
    <col min="6403" max="6403" width="6.85546875" style="80" customWidth="1"/>
    <col min="6404" max="6404" width="4.7109375" style="80" customWidth="1"/>
    <col min="6405" max="6409" width="5" style="80" customWidth="1"/>
    <col min="6410" max="6410" width="6.7109375" style="80" customWidth="1"/>
    <col min="6411" max="6411" width="20.28515625" style="80" customWidth="1"/>
    <col min="6412" max="6412" width="11.140625" style="80" customWidth="1"/>
    <col min="6413" max="6413" width="13.28515625" style="80" customWidth="1"/>
    <col min="6414" max="6414" width="4.140625" style="80" customWidth="1"/>
    <col min="6415" max="6415" width="6.28515625" style="80" customWidth="1"/>
    <col min="6416" max="6418" width="4.140625" style="80" customWidth="1"/>
    <col min="6419" max="6419" width="10.28515625" style="80" bestFit="1" customWidth="1"/>
    <col min="6420" max="6420" width="4.42578125" style="80" customWidth="1"/>
    <col min="6421" max="6422" width="10.28515625" style="80" bestFit="1" customWidth="1"/>
    <col min="6423" max="6423" width="17" style="80" customWidth="1"/>
    <col min="6424" max="6656" width="9.140625" style="80"/>
    <col min="6657" max="6657" width="13.5703125" style="80" customWidth="1"/>
    <col min="6658" max="6658" width="5.140625" style="80" customWidth="1"/>
    <col min="6659" max="6659" width="6.85546875" style="80" customWidth="1"/>
    <col min="6660" max="6660" width="4.7109375" style="80" customWidth="1"/>
    <col min="6661" max="6665" width="5" style="80" customWidth="1"/>
    <col min="6666" max="6666" width="6.7109375" style="80" customWidth="1"/>
    <col min="6667" max="6667" width="20.28515625" style="80" customWidth="1"/>
    <col min="6668" max="6668" width="11.140625" style="80" customWidth="1"/>
    <col min="6669" max="6669" width="13.28515625" style="80" customWidth="1"/>
    <col min="6670" max="6670" width="4.140625" style="80" customWidth="1"/>
    <col min="6671" max="6671" width="6.28515625" style="80" customWidth="1"/>
    <col min="6672" max="6674" width="4.140625" style="80" customWidth="1"/>
    <col min="6675" max="6675" width="10.28515625" style="80" bestFit="1" customWidth="1"/>
    <col min="6676" max="6676" width="4.42578125" style="80" customWidth="1"/>
    <col min="6677" max="6678" width="10.28515625" style="80" bestFit="1" customWidth="1"/>
    <col min="6679" max="6679" width="17" style="80" customWidth="1"/>
    <col min="6680" max="6912" width="9.140625" style="80"/>
    <col min="6913" max="6913" width="13.5703125" style="80" customWidth="1"/>
    <col min="6914" max="6914" width="5.140625" style="80" customWidth="1"/>
    <col min="6915" max="6915" width="6.85546875" style="80" customWidth="1"/>
    <col min="6916" max="6916" width="4.7109375" style="80" customWidth="1"/>
    <col min="6917" max="6921" width="5" style="80" customWidth="1"/>
    <col min="6922" max="6922" width="6.7109375" style="80" customWidth="1"/>
    <col min="6923" max="6923" width="20.28515625" style="80" customWidth="1"/>
    <col min="6924" max="6924" width="11.140625" style="80" customWidth="1"/>
    <col min="6925" max="6925" width="13.28515625" style="80" customWidth="1"/>
    <col min="6926" max="6926" width="4.140625" style="80" customWidth="1"/>
    <col min="6927" max="6927" width="6.28515625" style="80" customWidth="1"/>
    <col min="6928" max="6930" width="4.140625" style="80" customWidth="1"/>
    <col min="6931" max="6931" width="10.28515625" style="80" bestFit="1" customWidth="1"/>
    <col min="6932" max="6932" width="4.42578125" style="80" customWidth="1"/>
    <col min="6933" max="6934" width="10.28515625" style="80" bestFit="1" customWidth="1"/>
    <col min="6935" max="6935" width="17" style="80" customWidth="1"/>
    <col min="6936" max="7168" width="9.140625" style="80"/>
    <col min="7169" max="7169" width="13.5703125" style="80" customWidth="1"/>
    <col min="7170" max="7170" width="5.140625" style="80" customWidth="1"/>
    <col min="7171" max="7171" width="6.85546875" style="80" customWidth="1"/>
    <col min="7172" max="7172" width="4.7109375" style="80" customWidth="1"/>
    <col min="7173" max="7177" width="5" style="80" customWidth="1"/>
    <col min="7178" max="7178" width="6.7109375" style="80" customWidth="1"/>
    <col min="7179" max="7179" width="20.28515625" style="80" customWidth="1"/>
    <col min="7180" max="7180" width="11.140625" style="80" customWidth="1"/>
    <col min="7181" max="7181" width="13.28515625" style="80" customWidth="1"/>
    <col min="7182" max="7182" width="4.140625" style="80" customWidth="1"/>
    <col min="7183" max="7183" width="6.28515625" style="80" customWidth="1"/>
    <col min="7184" max="7186" width="4.140625" style="80" customWidth="1"/>
    <col min="7187" max="7187" width="10.28515625" style="80" bestFit="1" customWidth="1"/>
    <col min="7188" max="7188" width="4.42578125" style="80" customWidth="1"/>
    <col min="7189" max="7190" width="10.28515625" style="80" bestFit="1" customWidth="1"/>
    <col min="7191" max="7191" width="17" style="80" customWidth="1"/>
    <col min="7192" max="7424" width="9.140625" style="80"/>
    <col min="7425" max="7425" width="13.5703125" style="80" customWidth="1"/>
    <col min="7426" max="7426" width="5.140625" style="80" customWidth="1"/>
    <col min="7427" max="7427" width="6.85546875" style="80" customWidth="1"/>
    <col min="7428" max="7428" width="4.7109375" style="80" customWidth="1"/>
    <col min="7429" max="7433" width="5" style="80" customWidth="1"/>
    <col min="7434" max="7434" width="6.7109375" style="80" customWidth="1"/>
    <col min="7435" max="7435" width="20.28515625" style="80" customWidth="1"/>
    <col min="7436" max="7436" width="11.140625" style="80" customWidth="1"/>
    <col min="7437" max="7437" width="13.28515625" style="80" customWidth="1"/>
    <col min="7438" max="7438" width="4.140625" style="80" customWidth="1"/>
    <col min="7439" max="7439" width="6.28515625" style="80" customWidth="1"/>
    <col min="7440" max="7442" width="4.140625" style="80" customWidth="1"/>
    <col min="7443" max="7443" width="10.28515625" style="80" bestFit="1" customWidth="1"/>
    <col min="7444" max="7444" width="4.42578125" style="80" customWidth="1"/>
    <col min="7445" max="7446" width="10.28515625" style="80" bestFit="1" customWidth="1"/>
    <col min="7447" max="7447" width="17" style="80" customWidth="1"/>
    <col min="7448" max="7680" width="9.140625" style="80"/>
    <col min="7681" max="7681" width="13.5703125" style="80" customWidth="1"/>
    <col min="7682" max="7682" width="5.140625" style="80" customWidth="1"/>
    <col min="7683" max="7683" width="6.85546875" style="80" customWidth="1"/>
    <col min="7684" max="7684" width="4.7109375" style="80" customWidth="1"/>
    <col min="7685" max="7689" width="5" style="80" customWidth="1"/>
    <col min="7690" max="7690" width="6.7109375" style="80" customWidth="1"/>
    <col min="7691" max="7691" width="20.28515625" style="80" customWidth="1"/>
    <col min="7692" max="7692" width="11.140625" style="80" customWidth="1"/>
    <col min="7693" max="7693" width="13.28515625" style="80" customWidth="1"/>
    <col min="7694" max="7694" width="4.140625" style="80" customWidth="1"/>
    <col min="7695" max="7695" width="6.28515625" style="80" customWidth="1"/>
    <col min="7696" max="7698" width="4.140625" style="80" customWidth="1"/>
    <col min="7699" max="7699" width="10.28515625" style="80" bestFit="1" customWidth="1"/>
    <col min="7700" max="7700" width="4.42578125" style="80" customWidth="1"/>
    <col min="7701" max="7702" width="10.28515625" style="80" bestFit="1" customWidth="1"/>
    <col min="7703" max="7703" width="17" style="80" customWidth="1"/>
    <col min="7704" max="7936" width="9.140625" style="80"/>
    <col min="7937" max="7937" width="13.5703125" style="80" customWidth="1"/>
    <col min="7938" max="7938" width="5.140625" style="80" customWidth="1"/>
    <col min="7939" max="7939" width="6.85546875" style="80" customWidth="1"/>
    <col min="7940" max="7940" width="4.7109375" style="80" customWidth="1"/>
    <col min="7941" max="7945" width="5" style="80" customWidth="1"/>
    <col min="7946" max="7946" width="6.7109375" style="80" customWidth="1"/>
    <col min="7947" max="7947" width="20.28515625" style="80" customWidth="1"/>
    <col min="7948" max="7948" width="11.140625" style="80" customWidth="1"/>
    <col min="7949" max="7949" width="13.28515625" style="80" customWidth="1"/>
    <col min="7950" max="7950" width="4.140625" style="80" customWidth="1"/>
    <col min="7951" max="7951" width="6.28515625" style="80" customWidth="1"/>
    <col min="7952" max="7954" width="4.140625" style="80" customWidth="1"/>
    <col min="7955" max="7955" width="10.28515625" style="80" bestFit="1" customWidth="1"/>
    <col min="7956" max="7956" width="4.42578125" style="80" customWidth="1"/>
    <col min="7957" max="7958" width="10.28515625" style="80" bestFit="1" customWidth="1"/>
    <col min="7959" max="7959" width="17" style="80" customWidth="1"/>
    <col min="7960" max="8192" width="9.140625" style="80"/>
    <col min="8193" max="8193" width="13.5703125" style="80" customWidth="1"/>
    <col min="8194" max="8194" width="5.140625" style="80" customWidth="1"/>
    <col min="8195" max="8195" width="6.85546875" style="80" customWidth="1"/>
    <col min="8196" max="8196" width="4.7109375" style="80" customWidth="1"/>
    <col min="8197" max="8201" width="5" style="80" customWidth="1"/>
    <col min="8202" max="8202" width="6.7109375" style="80" customWidth="1"/>
    <col min="8203" max="8203" width="20.28515625" style="80" customWidth="1"/>
    <col min="8204" max="8204" width="11.140625" style="80" customWidth="1"/>
    <col min="8205" max="8205" width="13.28515625" style="80" customWidth="1"/>
    <col min="8206" max="8206" width="4.140625" style="80" customWidth="1"/>
    <col min="8207" max="8207" width="6.28515625" style="80" customWidth="1"/>
    <col min="8208" max="8210" width="4.140625" style="80" customWidth="1"/>
    <col min="8211" max="8211" width="10.28515625" style="80" bestFit="1" customWidth="1"/>
    <col min="8212" max="8212" width="4.42578125" style="80" customWidth="1"/>
    <col min="8213" max="8214" width="10.28515625" style="80" bestFit="1" customWidth="1"/>
    <col min="8215" max="8215" width="17" style="80" customWidth="1"/>
    <col min="8216" max="8448" width="9.140625" style="80"/>
    <col min="8449" max="8449" width="13.5703125" style="80" customWidth="1"/>
    <col min="8450" max="8450" width="5.140625" style="80" customWidth="1"/>
    <col min="8451" max="8451" width="6.85546875" style="80" customWidth="1"/>
    <col min="8452" max="8452" width="4.7109375" style="80" customWidth="1"/>
    <col min="8453" max="8457" width="5" style="80" customWidth="1"/>
    <col min="8458" max="8458" width="6.7109375" style="80" customWidth="1"/>
    <col min="8459" max="8459" width="20.28515625" style="80" customWidth="1"/>
    <col min="8460" max="8460" width="11.140625" style="80" customWidth="1"/>
    <col min="8461" max="8461" width="13.28515625" style="80" customWidth="1"/>
    <col min="8462" max="8462" width="4.140625" style="80" customWidth="1"/>
    <col min="8463" max="8463" width="6.28515625" style="80" customWidth="1"/>
    <col min="8464" max="8466" width="4.140625" style="80" customWidth="1"/>
    <col min="8467" max="8467" width="10.28515625" style="80" bestFit="1" customWidth="1"/>
    <col min="8468" max="8468" width="4.42578125" style="80" customWidth="1"/>
    <col min="8469" max="8470" width="10.28515625" style="80" bestFit="1" customWidth="1"/>
    <col min="8471" max="8471" width="17" style="80" customWidth="1"/>
    <col min="8472" max="8704" width="9.140625" style="80"/>
    <col min="8705" max="8705" width="13.5703125" style="80" customWidth="1"/>
    <col min="8706" max="8706" width="5.140625" style="80" customWidth="1"/>
    <col min="8707" max="8707" width="6.85546875" style="80" customWidth="1"/>
    <col min="8708" max="8708" width="4.7109375" style="80" customWidth="1"/>
    <col min="8709" max="8713" width="5" style="80" customWidth="1"/>
    <col min="8714" max="8714" width="6.7109375" style="80" customWidth="1"/>
    <col min="8715" max="8715" width="20.28515625" style="80" customWidth="1"/>
    <col min="8716" max="8716" width="11.140625" style="80" customWidth="1"/>
    <col min="8717" max="8717" width="13.28515625" style="80" customWidth="1"/>
    <col min="8718" max="8718" width="4.140625" style="80" customWidth="1"/>
    <col min="8719" max="8719" width="6.28515625" style="80" customWidth="1"/>
    <col min="8720" max="8722" width="4.140625" style="80" customWidth="1"/>
    <col min="8723" max="8723" width="10.28515625" style="80" bestFit="1" customWidth="1"/>
    <col min="8724" max="8724" width="4.42578125" style="80" customWidth="1"/>
    <col min="8725" max="8726" width="10.28515625" style="80" bestFit="1" customWidth="1"/>
    <col min="8727" max="8727" width="17" style="80" customWidth="1"/>
    <col min="8728" max="8960" width="9.140625" style="80"/>
    <col min="8961" max="8961" width="13.5703125" style="80" customWidth="1"/>
    <col min="8962" max="8962" width="5.140625" style="80" customWidth="1"/>
    <col min="8963" max="8963" width="6.85546875" style="80" customWidth="1"/>
    <col min="8964" max="8964" width="4.7109375" style="80" customWidth="1"/>
    <col min="8965" max="8969" width="5" style="80" customWidth="1"/>
    <col min="8970" max="8970" width="6.7109375" style="80" customWidth="1"/>
    <col min="8971" max="8971" width="20.28515625" style="80" customWidth="1"/>
    <col min="8972" max="8972" width="11.140625" style="80" customWidth="1"/>
    <col min="8973" max="8973" width="13.28515625" style="80" customWidth="1"/>
    <col min="8974" max="8974" width="4.140625" style="80" customWidth="1"/>
    <col min="8975" max="8975" width="6.28515625" style="80" customWidth="1"/>
    <col min="8976" max="8978" width="4.140625" style="80" customWidth="1"/>
    <col min="8979" max="8979" width="10.28515625" style="80" bestFit="1" customWidth="1"/>
    <col min="8980" max="8980" width="4.42578125" style="80" customWidth="1"/>
    <col min="8981" max="8982" width="10.28515625" style="80" bestFit="1" customWidth="1"/>
    <col min="8983" max="8983" width="17" style="80" customWidth="1"/>
    <col min="8984" max="9216" width="9.140625" style="80"/>
    <col min="9217" max="9217" width="13.5703125" style="80" customWidth="1"/>
    <col min="9218" max="9218" width="5.140625" style="80" customWidth="1"/>
    <col min="9219" max="9219" width="6.85546875" style="80" customWidth="1"/>
    <col min="9220" max="9220" width="4.7109375" style="80" customWidth="1"/>
    <col min="9221" max="9225" width="5" style="80" customWidth="1"/>
    <col min="9226" max="9226" width="6.7109375" style="80" customWidth="1"/>
    <col min="9227" max="9227" width="20.28515625" style="80" customWidth="1"/>
    <col min="9228" max="9228" width="11.140625" style="80" customWidth="1"/>
    <col min="9229" max="9229" width="13.28515625" style="80" customWidth="1"/>
    <col min="9230" max="9230" width="4.140625" style="80" customWidth="1"/>
    <col min="9231" max="9231" width="6.28515625" style="80" customWidth="1"/>
    <col min="9232" max="9234" width="4.140625" style="80" customWidth="1"/>
    <col min="9235" max="9235" width="10.28515625" style="80" bestFit="1" customWidth="1"/>
    <col min="9236" max="9236" width="4.42578125" style="80" customWidth="1"/>
    <col min="9237" max="9238" width="10.28515625" style="80" bestFit="1" customWidth="1"/>
    <col min="9239" max="9239" width="17" style="80" customWidth="1"/>
    <col min="9240" max="9472" width="9.140625" style="80"/>
    <col min="9473" max="9473" width="13.5703125" style="80" customWidth="1"/>
    <col min="9474" max="9474" width="5.140625" style="80" customWidth="1"/>
    <col min="9475" max="9475" width="6.85546875" style="80" customWidth="1"/>
    <col min="9476" max="9476" width="4.7109375" style="80" customWidth="1"/>
    <col min="9477" max="9481" width="5" style="80" customWidth="1"/>
    <col min="9482" max="9482" width="6.7109375" style="80" customWidth="1"/>
    <col min="9483" max="9483" width="20.28515625" style="80" customWidth="1"/>
    <col min="9484" max="9484" width="11.140625" style="80" customWidth="1"/>
    <col min="9485" max="9485" width="13.28515625" style="80" customWidth="1"/>
    <col min="9486" max="9486" width="4.140625" style="80" customWidth="1"/>
    <col min="9487" max="9487" width="6.28515625" style="80" customWidth="1"/>
    <col min="9488" max="9490" width="4.140625" style="80" customWidth="1"/>
    <col min="9491" max="9491" width="10.28515625" style="80" bestFit="1" customWidth="1"/>
    <col min="9492" max="9492" width="4.42578125" style="80" customWidth="1"/>
    <col min="9493" max="9494" width="10.28515625" style="80" bestFit="1" customWidth="1"/>
    <col min="9495" max="9495" width="17" style="80" customWidth="1"/>
    <col min="9496" max="9728" width="9.140625" style="80"/>
    <col min="9729" max="9729" width="13.5703125" style="80" customWidth="1"/>
    <col min="9730" max="9730" width="5.140625" style="80" customWidth="1"/>
    <col min="9731" max="9731" width="6.85546875" style="80" customWidth="1"/>
    <col min="9732" max="9732" width="4.7109375" style="80" customWidth="1"/>
    <col min="9733" max="9737" width="5" style="80" customWidth="1"/>
    <col min="9738" max="9738" width="6.7109375" style="80" customWidth="1"/>
    <col min="9739" max="9739" width="20.28515625" style="80" customWidth="1"/>
    <col min="9740" max="9740" width="11.140625" style="80" customWidth="1"/>
    <col min="9741" max="9741" width="13.28515625" style="80" customWidth="1"/>
    <col min="9742" max="9742" width="4.140625" style="80" customWidth="1"/>
    <col min="9743" max="9743" width="6.28515625" style="80" customWidth="1"/>
    <col min="9744" max="9746" width="4.140625" style="80" customWidth="1"/>
    <col min="9747" max="9747" width="10.28515625" style="80" bestFit="1" customWidth="1"/>
    <col min="9748" max="9748" width="4.42578125" style="80" customWidth="1"/>
    <col min="9749" max="9750" width="10.28515625" style="80" bestFit="1" customWidth="1"/>
    <col min="9751" max="9751" width="17" style="80" customWidth="1"/>
    <col min="9752" max="9984" width="9.140625" style="80"/>
    <col min="9985" max="9985" width="13.5703125" style="80" customWidth="1"/>
    <col min="9986" max="9986" width="5.140625" style="80" customWidth="1"/>
    <col min="9987" max="9987" width="6.85546875" style="80" customWidth="1"/>
    <col min="9988" max="9988" width="4.7109375" style="80" customWidth="1"/>
    <col min="9989" max="9993" width="5" style="80" customWidth="1"/>
    <col min="9994" max="9994" width="6.7109375" style="80" customWidth="1"/>
    <col min="9995" max="9995" width="20.28515625" style="80" customWidth="1"/>
    <col min="9996" max="9996" width="11.140625" style="80" customWidth="1"/>
    <col min="9997" max="9997" width="13.28515625" style="80" customWidth="1"/>
    <col min="9998" max="9998" width="4.140625" style="80" customWidth="1"/>
    <col min="9999" max="9999" width="6.28515625" style="80" customWidth="1"/>
    <col min="10000" max="10002" width="4.140625" style="80" customWidth="1"/>
    <col min="10003" max="10003" width="10.28515625" style="80" bestFit="1" customWidth="1"/>
    <col min="10004" max="10004" width="4.42578125" style="80" customWidth="1"/>
    <col min="10005" max="10006" width="10.28515625" style="80" bestFit="1" customWidth="1"/>
    <col min="10007" max="10007" width="17" style="80" customWidth="1"/>
    <col min="10008" max="10240" width="9.140625" style="80"/>
    <col min="10241" max="10241" width="13.5703125" style="80" customWidth="1"/>
    <col min="10242" max="10242" width="5.140625" style="80" customWidth="1"/>
    <col min="10243" max="10243" width="6.85546875" style="80" customWidth="1"/>
    <col min="10244" max="10244" width="4.7109375" style="80" customWidth="1"/>
    <col min="10245" max="10249" width="5" style="80" customWidth="1"/>
    <col min="10250" max="10250" width="6.7109375" style="80" customWidth="1"/>
    <col min="10251" max="10251" width="20.28515625" style="80" customWidth="1"/>
    <col min="10252" max="10252" width="11.140625" style="80" customWidth="1"/>
    <col min="10253" max="10253" width="13.28515625" style="80" customWidth="1"/>
    <col min="10254" max="10254" width="4.140625" style="80" customWidth="1"/>
    <col min="10255" max="10255" width="6.28515625" style="80" customWidth="1"/>
    <col min="10256" max="10258" width="4.140625" style="80" customWidth="1"/>
    <col min="10259" max="10259" width="10.28515625" style="80" bestFit="1" customWidth="1"/>
    <col min="10260" max="10260" width="4.42578125" style="80" customWidth="1"/>
    <col min="10261" max="10262" width="10.28515625" style="80" bestFit="1" customWidth="1"/>
    <col min="10263" max="10263" width="17" style="80" customWidth="1"/>
    <col min="10264" max="10496" width="9.140625" style="80"/>
    <col min="10497" max="10497" width="13.5703125" style="80" customWidth="1"/>
    <col min="10498" max="10498" width="5.140625" style="80" customWidth="1"/>
    <col min="10499" max="10499" width="6.85546875" style="80" customWidth="1"/>
    <col min="10500" max="10500" width="4.7109375" style="80" customWidth="1"/>
    <col min="10501" max="10505" width="5" style="80" customWidth="1"/>
    <col min="10506" max="10506" width="6.7109375" style="80" customWidth="1"/>
    <col min="10507" max="10507" width="20.28515625" style="80" customWidth="1"/>
    <col min="10508" max="10508" width="11.140625" style="80" customWidth="1"/>
    <col min="10509" max="10509" width="13.28515625" style="80" customWidth="1"/>
    <col min="10510" max="10510" width="4.140625" style="80" customWidth="1"/>
    <col min="10511" max="10511" width="6.28515625" style="80" customWidth="1"/>
    <col min="10512" max="10514" width="4.140625" style="80" customWidth="1"/>
    <col min="10515" max="10515" width="10.28515625" style="80" bestFit="1" customWidth="1"/>
    <col min="10516" max="10516" width="4.42578125" style="80" customWidth="1"/>
    <col min="10517" max="10518" width="10.28515625" style="80" bestFit="1" customWidth="1"/>
    <col min="10519" max="10519" width="17" style="80" customWidth="1"/>
    <col min="10520" max="10752" width="9.140625" style="80"/>
    <col min="10753" max="10753" width="13.5703125" style="80" customWidth="1"/>
    <col min="10754" max="10754" width="5.140625" style="80" customWidth="1"/>
    <col min="10755" max="10755" width="6.85546875" style="80" customWidth="1"/>
    <col min="10756" max="10756" width="4.7109375" style="80" customWidth="1"/>
    <col min="10757" max="10761" width="5" style="80" customWidth="1"/>
    <col min="10762" max="10762" width="6.7109375" style="80" customWidth="1"/>
    <col min="10763" max="10763" width="20.28515625" style="80" customWidth="1"/>
    <col min="10764" max="10764" width="11.140625" style="80" customWidth="1"/>
    <col min="10765" max="10765" width="13.28515625" style="80" customWidth="1"/>
    <col min="10766" max="10766" width="4.140625" style="80" customWidth="1"/>
    <col min="10767" max="10767" width="6.28515625" style="80" customWidth="1"/>
    <col min="10768" max="10770" width="4.140625" style="80" customWidth="1"/>
    <col min="10771" max="10771" width="10.28515625" style="80" bestFit="1" customWidth="1"/>
    <col min="10772" max="10772" width="4.42578125" style="80" customWidth="1"/>
    <col min="10773" max="10774" width="10.28515625" style="80" bestFit="1" customWidth="1"/>
    <col min="10775" max="10775" width="17" style="80" customWidth="1"/>
    <col min="10776" max="11008" width="9.140625" style="80"/>
    <col min="11009" max="11009" width="13.5703125" style="80" customWidth="1"/>
    <col min="11010" max="11010" width="5.140625" style="80" customWidth="1"/>
    <col min="11011" max="11011" width="6.85546875" style="80" customWidth="1"/>
    <col min="11012" max="11012" width="4.7109375" style="80" customWidth="1"/>
    <col min="11013" max="11017" width="5" style="80" customWidth="1"/>
    <col min="11018" max="11018" width="6.7109375" style="80" customWidth="1"/>
    <col min="11019" max="11019" width="20.28515625" style="80" customWidth="1"/>
    <col min="11020" max="11020" width="11.140625" style="80" customWidth="1"/>
    <col min="11021" max="11021" width="13.28515625" style="80" customWidth="1"/>
    <col min="11022" max="11022" width="4.140625" style="80" customWidth="1"/>
    <col min="11023" max="11023" width="6.28515625" style="80" customWidth="1"/>
    <col min="11024" max="11026" width="4.140625" style="80" customWidth="1"/>
    <col min="11027" max="11027" width="10.28515625" style="80" bestFit="1" customWidth="1"/>
    <col min="11028" max="11028" width="4.42578125" style="80" customWidth="1"/>
    <col min="11029" max="11030" width="10.28515625" style="80" bestFit="1" customWidth="1"/>
    <col min="11031" max="11031" width="17" style="80" customWidth="1"/>
    <col min="11032" max="11264" width="9.140625" style="80"/>
    <col min="11265" max="11265" width="13.5703125" style="80" customWidth="1"/>
    <col min="11266" max="11266" width="5.140625" style="80" customWidth="1"/>
    <col min="11267" max="11267" width="6.85546875" style="80" customWidth="1"/>
    <col min="11268" max="11268" width="4.7109375" style="80" customWidth="1"/>
    <col min="11269" max="11273" width="5" style="80" customWidth="1"/>
    <col min="11274" max="11274" width="6.7109375" style="80" customWidth="1"/>
    <col min="11275" max="11275" width="20.28515625" style="80" customWidth="1"/>
    <col min="11276" max="11276" width="11.140625" style="80" customWidth="1"/>
    <col min="11277" max="11277" width="13.28515625" style="80" customWidth="1"/>
    <col min="11278" max="11278" width="4.140625" style="80" customWidth="1"/>
    <col min="11279" max="11279" width="6.28515625" style="80" customWidth="1"/>
    <col min="11280" max="11282" width="4.140625" style="80" customWidth="1"/>
    <col min="11283" max="11283" width="10.28515625" style="80" bestFit="1" customWidth="1"/>
    <col min="11284" max="11284" width="4.42578125" style="80" customWidth="1"/>
    <col min="11285" max="11286" width="10.28515625" style="80" bestFit="1" customWidth="1"/>
    <col min="11287" max="11287" width="17" style="80" customWidth="1"/>
    <col min="11288" max="11520" width="9.140625" style="80"/>
    <col min="11521" max="11521" width="13.5703125" style="80" customWidth="1"/>
    <col min="11522" max="11522" width="5.140625" style="80" customWidth="1"/>
    <col min="11523" max="11523" width="6.85546875" style="80" customWidth="1"/>
    <col min="11524" max="11524" width="4.7109375" style="80" customWidth="1"/>
    <col min="11525" max="11529" width="5" style="80" customWidth="1"/>
    <col min="11530" max="11530" width="6.7109375" style="80" customWidth="1"/>
    <col min="11531" max="11531" width="20.28515625" style="80" customWidth="1"/>
    <col min="11532" max="11532" width="11.140625" style="80" customWidth="1"/>
    <col min="11533" max="11533" width="13.28515625" style="80" customWidth="1"/>
    <col min="11534" max="11534" width="4.140625" style="80" customWidth="1"/>
    <col min="11535" max="11535" width="6.28515625" style="80" customWidth="1"/>
    <col min="11536" max="11538" width="4.140625" style="80" customWidth="1"/>
    <col min="11539" max="11539" width="10.28515625" style="80" bestFit="1" customWidth="1"/>
    <col min="11540" max="11540" width="4.42578125" style="80" customWidth="1"/>
    <col min="11541" max="11542" width="10.28515625" style="80" bestFit="1" customWidth="1"/>
    <col min="11543" max="11543" width="17" style="80" customWidth="1"/>
    <col min="11544" max="11776" width="9.140625" style="80"/>
    <col min="11777" max="11777" width="13.5703125" style="80" customWidth="1"/>
    <col min="11778" max="11778" width="5.140625" style="80" customWidth="1"/>
    <col min="11779" max="11779" width="6.85546875" style="80" customWidth="1"/>
    <col min="11780" max="11780" width="4.7109375" style="80" customWidth="1"/>
    <col min="11781" max="11785" width="5" style="80" customWidth="1"/>
    <col min="11786" max="11786" width="6.7109375" style="80" customWidth="1"/>
    <col min="11787" max="11787" width="20.28515625" style="80" customWidth="1"/>
    <col min="11788" max="11788" width="11.140625" style="80" customWidth="1"/>
    <col min="11789" max="11789" width="13.28515625" style="80" customWidth="1"/>
    <col min="11790" max="11790" width="4.140625" style="80" customWidth="1"/>
    <col min="11791" max="11791" width="6.28515625" style="80" customWidth="1"/>
    <col min="11792" max="11794" width="4.140625" style="80" customWidth="1"/>
    <col min="11795" max="11795" width="10.28515625" style="80" bestFit="1" customWidth="1"/>
    <col min="11796" max="11796" width="4.42578125" style="80" customWidth="1"/>
    <col min="11797" max="11798" width="10.28515625" style="80" bestFit="1" customWidth="1"/>
    <col min="11799" max="11799" width="17" style="80" customWidth="1"/>
    <col min="11800" max="12032" width="9.140625" style="80"/>
    <col min="12033" max="12033" width="13.5703125" style="80" customWidth="1"/>
    <col min="12034" max="12034" width="5.140625" style="80" customWidth="1"/>
    <col min="12035" max="12035" width="6.85546875" style="80" customWidth="1"/>
    <col min="12036" max="12036" width="4.7109375" style="80" customWidth="1"/>
    <col min="12037" max="12041" width="5" style="80" customWidth="1"/>
    <col min="12042" max="12042" width="6.7109375" style="80" customWidth="1"/>
    <col min="12043" max="12043" width="20.28515625" style="80" customWidth="1"/>
    <col min="12044" max="12044" width="11.140625" style="80" customWidth="1"/>
    <col min="12045" max="12045" width="13.28515625" style="80" customWidth="1"/>
    <col min="12046" max="12046" width="4.140625" style="80" customWidth="1"/>
    <col min="12047" max="12047" width="6.28515625" style="80" customWidth="1"/>
    <col min="12048" max="12050" width="4.140625" style="80" customWidth="1"/>
    <col min="12051" max="12051" width="10.28515625" style="80" bestFit="1" customWidth="1"/>
    <col min="12052" max="12052" width="4.42578125" style="80" customWidth="1"/>
    <col min="12053" max="12054" width="10.28515625" style="80" bestFit="1" customWidth="1"/>
    <col min="12055" max="12055" width="17" style="80" customWidth="1"/>
    <col min="12056" max="12288" width="9.140625" style="80"/>
    <col min="12289" max="12289" width="13.5703125" style="80" customWidth="1"/>
    <col min="12290" max="12290" width="5.140625" style="80" customWidth="1"/>
    <col min="12291" max="12291" width="6.85546875" style="80" customWidth="1"/>
    <col min="12292" max="12292" width="4.7109375" style="80" customWidth="1"/>
    <col min="12293" max="12297" width="5" style="80" customWidth="1"/>
    <col min="12298" max="12298" width="6.7109375" style="80" customWidth="1"/>
    <col min="12299" max="12299" width="20.28515625" style="80" customWidth="1"/>
    <col min="12300" max="12300" width="11.140625" style="80" customWidth="1"/>
    <col min="12301" max="12301" width="13.28515625" style="80" customWidth="1"/>
    <col min="12302" max="12302" width="4.140625" style="80" customWidth="1"/>
    <col min="12303" max="12303" width="6.28515625" style="80" customWidth="1"/>
    <col min="12304" max="12306" width="4.140625" style="80" customWidth="1"/>
    <col min="12307" max="12307" width="10.28515625" style="80" bestFit="1" customWidth="1"/>
    <col min="12308" max="12308" width="4.42578125" style="80" customWidth="1"/>
    <col min="12309" max="12310" width="10.28515625" style="80" bestFit="1" customWidth="1"/>
    <col min="12311" max="12311" width="17" style="80" customWidth="1"/>
    <col min="12312" max="12544" width="9.140625" style="80"/>
    <col min="12545" max="12545" width="13.5703125" style="80" customWidth="1"/>
    <col min="12546" max="12546" width="5.140625" style="80" customWidth="1"/>
    <col min="12547" max="12547" width="6.85546875" style="80" customWidth="1"/>
    <col min="12548" max="12548" width="4.7109375" style="80" customWidth="1"/>
    <col min="12549" max="12553" width="5" style="80" customWidth="1"/>
    <col min="12554" max="12554" width="6.7109375" style="80" customWidth="1"/>
    <col min="12555" max="12555" width="20.28515625" style="80" customWidth="1"/>
    <col min="12556" max="12556" width="11.140625" style="80" customWidth="1"/>
    <col min="12557" max="12557" width="13.28515625" style="80" customWidth="1"/>
    <col min="12558" max="12558" width="4.140625" style="80" customWidth="1"/>
    <col min="12559" max="12559" width="6.28515625" style="80" customWidth="1"/>
    <col min="12560" max="12562" width="4.140625" style="80" customWidth="1"/>
    <col min="12563" max="12563" width="10.28515625" style="80" bestFit="1" customWidth="1"/>
    <col min="12564" max="12564" width="4.42578125" style="80" customWidth="1"/>
    <col min="12565" max="12566" width="10.28515625" style="80" bestFit="1" customWidth="1"/>
    <col min="12567" max="12567" width="17" style="80" customWidth="1"/>
    <col min="12568" max="12800" width="9.140625" style="80"/>
    <col min="12801" max="12801" width="13.5703125" style="80" customWidth="1"/>
    <col min="12802" max="12802" width="5.140625" style="80" customWidth="1"/>
    <col min="12803" max="12803" width="6.85546875" style="80" customWidth="1"/>
    <col min="12804" max="12804" width="4.7109375" style="80" customWidth="1"/>
    <col min="12805" max="12809" width="5" style="80" customWidth="1"/>
    <col min="12810" max="12810" width="6.7109375" style="80" customWidth="1"/>
    <col min="12811" max="12811" width="20.28515625" style="80" customWidth="1"/>
    <col min="12812" max="12812" width="11.140625" style="80" customWidth="1"/>
    <col min="12813" max="12813" width="13.28515625" style="80" customWidth="1"/>
    <col min="12814" max="12814" width="4.140625" style="80" customWidth="1"/>
    <col min="12815" max="12815" width="6.28515625" style="80" customWidth="1"/>
    <col min="12816" max="12818" width="4.140625" style="80" customWidth="1"/>
    <col min="12819" max="12819" width="10.28515625" style="80" bestFit="1" customWidth="1"/>
    <col min="12820" max="12820" width="4.42578125" style="80" customWidth="1"/>
    <col min="12821" max="12822" width="10.28515625" style="80" bestFit="1" customWidth="1"/>
    <col min="12823" max="12823" width="17" style="80" customWidth="1"/>
    <col min="12824" max="13056" width="9.140625" style="80"/>
    <col min="13057" max="13057" width="13.5703125" style="80" customWidth="1"/>
    <col min="13058" max="13058" width="5.140625" style="80" customWidth="1"/>
    <col min="13059" max="13059" width="6.85546875" style="80" customWidth="1"/>
    <col min="13060" max="13060" width="4.7109375" style="80" customWidth="1"/>
    <col min="13061" max="13065" width="5" style="80" customWidth="1"/>
    <col min="13066" max="13066" width="6.7109375" style="80" customWidth="1"/>
    <col min="13067" max="13067" width="20.28515625" style="80" customWidth="1"/>
    <col min="13068" max="13068" width="11.140625" style="80" customWidth="1"/>
    <col min="13069" max="13069" width="13.28515625" style="80" customWidth="1"/>
    <col min="13070" max="13070" width="4.140625" style="80" customWidth="1"/>
    <col min="13071" max="13071" width="6.28515625" style="80" customWidth="1"/>
    <col min="13072" max="13074" width="4.140625" style="80" customWidth="1"/>
    <col min="13075" max="13075" width="10.28515625" style="80" bestFit="1" customWidth="1"/>
    <col min="13076" max="13076" width="4.42578125" style="80" customWidth="1"/>
    <col min="13077" max="13078" width="10.28515625" style="80" bestFit="1" customWidth="1"/>
    <col min="13079" max="13079" width="17" style="80" customWidth="1"/>
    <col min="13080" max="13312" width="9.140625" style="80"/>
    <col min="13313" max="13313" width="13.5703125" style="80" customWidth="1"/>
    <col min="13314" max="13314" width="5.140625" style="80" customWidth="1"/>
    <col min="13315" max="13315" width="6.85546875" style="80" customWidth="1"/>
    <col min="13316" max="13316" width="4.7109375" style="80" customWidth="1"/>
    <col min="13317" max="13321" width="5" style="80" customWidth="1"/>
    <col min="13322" max="13322" width="6.7109375" style="80" customWidth="1"/>
    <col min="13323" max="13323" width="20.28515625" style="80" customWidth="1"/>
    <col min="13324" max="13324" width="11.140625" style="80" customWidth="1"/>
    <col min="13325" max="13325" width="13.28515625" style="80" customWidth="1"/>
    <col min="13326" max="13326" width="4.140625" style="80" customWidth="1"/>
    <col min="13327" max="13327" width="6.28515625" style="80" customWidth="1"/>
    <col min="13328" max="13330" width="4.140625" style="80" customWidth="1"/>
    <col min="13331" max="13331" width="10.28515625" style="80" bestFit="1" customWidth="1"/>
    <col min="13332" max="13332" width="4.42578125" style="80" customWidth="1"/>
    <col min="13333" max="13334" width="10.28515625" style="80" bestFit="1" customWidth="1"/>
    <col min="13335" max="13335" width="17" style="80" customWidth="1"/>
    <col min="13336" max="13568" width="9.140625" style="80"/>
    <col min="13569" max="13569" width="13.5703125" style="80" customWidth="1"/>
    <col min="13570" max="13570" width="5.140625" style="80" customWidth="1"/>
    <col min="13571" max="13571" width="6.85546875" style="80" customWidth="1"/>
    <col min="13572" max="13572" width="4.7109375" style="80" customWidth="1"/>
    <col min="13573" max="13577" width="5" style="80" customWidth="1"/>
    <col min="13578" max="13578" width="6.7109375" style="80" customWidth="1"/>
    <col min="13579" max="13579" width="20.28515625" style="80" customWidth="1"/>
    <col min="13580" max="13580" width="11.140625" style="80" customWidth="1"/>
    <col min="13581" max="13581" width="13.28515625" style="80" customWidth="1"/>
    <col min="13582" max="13582" width="4.140625" style="80" customWidth="1"/>
    <col min="13583" max="13583" width="6.28515625" style="80" customWidth="1"/>
    <col min="13584" max="13586" width="4.140625" style="80" customWidth="1"/>
    <col min="13587" max="13587" width="10.28515625" style="80" bestFit="1" customWidth="1"/>
    <col min="13588" max="13588" width="4.42578125" style="80" customWidth="1"/>
    <col min="13589" max="13590" width="10.28515625" style="80" bestFit="1" customWidth="1"/>
    <col min="13591" max="13591" width="17" style="80" customWidth="1"/>
    <col min="13592" max="13824" width="9.140625" style="80"/>
    <col min="13825" max="13825" width="13.5703125" style="80" customWidth="1"/>
    <col min="13826" max="13826" width="5.140625" style="80" customWidth="1"/>
    <col min="13827" max="13827" width="6.85546875" style="80" customWidth="1"/>
    <col min="13828" max="13828" width="4.7109375" style="80" customWidth="1"/>
    <col min="13829" max="13833" width="5" style="80" customWidth="1"/>
    <col min="13834" max="13834" width="6.7109375" style="80" customWidth="1"/>
    <col min="13835" max="13835" width="20.28515625" style="80" customWidth="1"/>
    <col min="13836" max="13836" width="11.140625" style="80" customWidth="1"/>
    <col min="13837" max="13837" width="13.28515625" style="80" customWidth="1"/>
    <col min="13838" max="13838" width="4.140625" style="80" customWidth="1"/>
    <col min="13839" max="13839" width="6.28515625" style="80" customWidth="1"/>
    <col min="13840" max="13842" width="4.140625" style="80" customWidth="1"/>
    <col min="13843" max="13843" width="10.28515625" style="80" bestFit="1" customWidth="1"/>
    <col min="13844" max="13844" width="4.42578125" style="80" customWidth="1"/>
    <col min="13845" max="13846" width="10.28515625" style="80" bestFit="1" customWidth="1"/>
    <col min="13847" max="13847" width="17" style="80" customWidth="1"/>
    <col min="13848" max="14080" width="9.140625" style="80"/>
    <col min="14081" max="14081" width="13.5703125" style="80" customWidth="1"/>
    <col min="14082" max="14082" width="5.140625" style="80" customWidth="1"/>
    <col min="14083" max="14083" width="6.85546875" style="80" customWidth="1"/>
    <col min="14084" max="14084" width="4.7109375" style="80" customWidth="1"/>
    <col min="14085" max="14089" width="5" style="80" customWidth="1"/>
    <col min="14090" max="14090" width="6.7109375" style="80" customWidth="1"/>
    <col min="14091" max="14091" width="20.28515625" style="80" customWidth="1"/>
    <col min="14092" max="14092" width="11.140625" style="80" customWidth="1"/>
    <col min="14093" max="14093" width="13.28515625" style="80" customWidth="1"/>
    <col min="14094" max="14094" width="4.140625" style="80" customWidth="1"/>
    <col min="14095" max="14095" width="6.28515625" style="80" customWidth="1"/>
    <col min="14096" max="14098" width="4.140625" style="80" customWidth="1"/>
    <col min="14099" max="14099" width="10.28515625" style="80" bestFit="1" customWidth="1"/>
    <col min="14100" max="14100" width="4.42578125" style="80" customWidth="1"/>
    <col min="14101" max="14102" width="10.28515625" style="80" bestFit="1" customWidth="1"/>
    <col min="14103" max="14103" width="17" style="80" customWidth="1"/>
    <col min="14104" max="14336" width="9.140625" style="80"/>
    <col min="14337" max="14337" width="13.5703125" style="80" customWidth="1"/>
    <col min="14338" max="14338" width="5.140625" style="80" customWidth="1"/>
    <col min="14339" max="14339" width="6.85546875" style="80" customWidth="1"/>
    <col min="14340" max="14340" width="4.7109375" style="80" customWidth="1"/>
    <col min="14341" max="14345" width="5" style="80" customWidth="1"/>
    <col min="14346" max="14346" width="6.7109375" style="80" customWidth="1"/>
    <col min="14347" max="14347" width="20.28515625" style="80" customWidth="1"/>
    <col min="14348" max="14348" width="11.140625" style="80" customWidth="1"/>
    <col min="14349" max="14349" width="13.28515625" style="80" customWidth="1"/>
    <col min="14350" max="14350" width="4.140625" style="80" customWidth="1"/>
    <col min="14351" max="14351" width="6.28515625" style="80" customWidth="1"/>
    <col min="14352" max="14354" width="4.140625" style="80" customWidth="1"/>
    <col min="14355" max="14355" width="10.28515625" style="80" bestFit="1" customWidth="1"/>
    <col min="14356" max="14356" width="4.42578125" style="80" customWidth="1"/>
    <col min="14357" max="14358" width="10.28515625" style="80" bestFit="1" customWidth="1"/>
    <col min="14359" max="14359" width="17" style="80" customWidth="1"/>
    <col min="14360" max="14592" width="9.140625" style="80"/>
    <col min="14593" max="14593" width="13.5703125" style="80" customWidth="1"/>
    <col min="14594" max="14594" width="5.140625" style="80" customWidth="1"/>
    <col min="14595" max="14595" width="6.85546875" style="80" customWidth="1"/>
    <col min="14596" max="14596" width="4.7109375" style="80" customWidth="1"/>
    <col min="14597" max="14601" width="5" style="80" customWidth="1"/>
    <col min="14602" max="14602" width="6.7109375" style="80" customWidth="1"/>
    <col min="14603" max="14603" width="20.28515625" style="80" customWidth="1"/>
    <col min="14604" max="14604" width="11.140625" style="80" customWidth="1"/>
    <col min="14605" max="14605" width="13.28515625" style="80" customWidth="1"/>
    <col min="14606" max="14606" width="4.140625" style="80" customWidth="1"/>
    <col min="14607" max="14607" width="6.28515625" style="80" customWidth="1"/>
    <col min="14608" max="14610" width="4.140625" style="80" customWidth="1"/>
    <col min="14611" max="14611" width="10.28515625" style="80" bestFit="1" customWidth="1"/>
    <col min="14612" max="14612" width="4.42578125" style="80" customWidth="1"/>
    <col min="14613" max="14614" width="10.28515625" style="80" bestFit="1" customWidth="1"/>
    <col min="14615" max="14615" width="17" style="80" customWidth="1"/>
    <col min="14616" max="14848" width="9.140625" style="80"/>
    <col min="14849" max="14849" width="13.5703125" style="80" customWidth="1"/>
    <col min="14850" max="14850" width="5.140625" style="80" customWidth="1"/>
    <col min="14851" max="14851" width="6.85546875" style="80" customWidth="1"/>
    <col min="14852" max="14852" width="4.7109375" style="80" customWidth="1"/>
    <col min="14853" max="14857" width="5" style="80" customWidth="1"/>
    <col min="14858" max="14858" width="6.7109375" style="80" customWidth="1"/>
    <col min="14859" max="14859" width="20.28515625" style="80" customWidth="1"/>
    <col min="14860" max="14860" width="11.140625" style="80" customWidth="1"/>
    <col min="14861" max="14861" width="13.28515625" style="80" customWidth="1"/>
    <col min="14862" max="14862" width="4.140625" style="80" customWidth="1"/>
    <col min="14863" max="14863" width="6.28515625" style="80" customWidth="1"/>
    <col min="14864" max="14866" width="4.140625" style="80" customWidth="1"/>
    <col min="14867" max="14867" width="10.28515625" style="80" bestFit="1" customWidth="1"/>
    <col min="14868" max="14868" width="4.42578125" style="80" customWidth="1"/>
    <col min="14869" max="14870" width="10.28515625" style="80" bestFit="1" customWidth="1"/>
    <col min="14871" max="14871" width="17" style="80" customWidth="1"/>
    <col min="14872" max="15104" width="9.140625" style="80"/>
    <col min="15105" max="15105" width="13.5703125" style="80" customWidth="1"/>
    <col min="15106" max="15106" width="5.140625" style="80" customWidth="1"/>
    <col min="15107" max="15107" width="6.85546875" style="80" customWidth="1"/>
    <col min="15108" max="15108" width="4.7109375" style="80" customWidth="1"/>
    <col min="15109" max="15113" width="5" style="80" customWidth="1"/>
    <col min="15114" max="15114" width="6.7109375" style="80" customWidth="1"/>
    <col min="15115" max="15115" width="20.28515625" style="80" customWidth="1"/>
    <col min="15116" max="15116" width="11.140625" style="80" customWidth="1"/>
    <col min="15117" max="15117" width="13.28515625" style="80" customWidth="1"/>
    <col min="15118" max="15118" width="4.140625" style="80" customWidth="1"/>
    <col min="15119" max="15119" width="6.28515625" style="80" customWidth="1"/>
    <col min="15120" max="15122" width="4.140625" style="80" customWidth="1"/>
    <col min="15123" max="15123" width="10.28515625" style="80" bestFit="1" customWidth="1"/>
    <col min="15124" max="15124" width="4.42578125" style="80" customWidth="1"/>
    <col min="15125" max="15126" width="10.28515625" style="80" bestFit="1" customWidth="1"/>
    <col min="15127" max="15127" width="17" style="80" customWidth="1"/>
    <col min="15128" max="15360" width="9.140625" style="80"/>
    <col min="15361" max="15361" width="13.5703125" style="80" customWidth="1"/>
    <col min="15362" max="15362" width="5.140625" style="80" customWidth="1"/>
    <col min="15363" max="15363" width="6.85546875" style="80" customWidth="1"/>
    <col min="15364" max="15364" width="4.7109375" style="80" customWidth="1"/>
    <col min="15365" max="15369" width="5" style="80" customWidth="1"/>
    <col min="15370" max="15370" width="6.7109375" style="80" customWidth="1"/>
    <col min="15371" max="15371" width="20.28515625" style="80" customWidth="1"/>
    <col min="15372" max="15372" width="11.140625" style="80" customWidth="1"/>
    <col min="15373" max="15373" width="13.28515625" style="80" customWidth="1"/>
    <col min="15374" max="15374" width="4.140625" style="80" customWidth="1"/>
    <col min="15375" max="15375" width="6.28515625" style="80" customWidth="1"/>
    <col min="15376" max="15378" width="4.140625" style="80" customWidth="1"/>
    <col min="15379" max="15379" width="10.28515625" style="80" bestFit="1" customWidth="1"/>
    <col min="15380" max="15380" width="4.42578125" style="80" customWidth="1"/>
    <col min="15381" max="15382" width="10.28515625" style="80" bestFit="1" customWidth="1"/>
    <col min="15383" max="15383" width="17" style="80" customWidth="1"/>
    <col min="15384" max="15616" width="9.140625" style="80"/>
    <col min="15617" max="15617" width="13.5703125" style="80" customWidth="1"/>
    <col min="15618" max="15618" width="5.140625" style="80" customWidth="1"/>
    <col min="15619" max="15619" width="6.85546875" style="80" customWidth="1"/>
    <col min="15620" max="15620" width="4.7109375" style="80" customWidth="1"/>
    <col min="15621" max="15625" width="5" style="80" customWidth="1"/>
    <col min="15626" max="15626" width="6.7109375" style="80" customWidth="1"/>
    <col min="15627" max="15627" width="20.28515625" style="80" customWidth="1"/>
    <col min="15628" max="15628" width="11.140625" style="80" customWidth="1"/>
    <col min="15629" max="15629" width="13.28515625" style="80" customWidth="1"/>
    <col min="15630" max="15630" width="4.140625" style="80" customWidth="1"/>
    <col min="15631" max="15631" width="6.28515625" style="80" customWidth="1"/>
    <col min="15632" max="15634" width="4.140625" style="80" customWidth="1"/>
    <col min="15635" max="15635" width="10.28515625" style="80" bestFit="1" customWidth="1"/>
    <col min="15636" max="15636" width="4.42578125" style="80" customWidth="1"/>
    <col min="15637" max="15638" width="10.28515625" style="80" bestFit="1" customWidth="1"/>
    <col min="15639" max="15639" width="17" style="80" customWidth="1"/>
    <col min="15640" max="15872" width="9.140625" style="80"/>
    <col min="15873" max="15873" width="13.5703125" style="80" customWidth="1"/>
    <col min="15874" max="15874" width="5.140625" style="80" customWidth="1"/>
    <col min="15875" max="15875" width="6.85546875" style="80" customWidth="1"/>
    <col min="15876" max="15876" width="4.7109375" style="80" customWidth="1"/>
    <col min="15877" max="15881" width="5" style="80" customWidth="1"/>
    <col min="15882" max="15882" width="6.7109375" style="80" customWidth="1"/>
    <col min="15883" max="15883" width="20.28515625" style="80" customWidth="1"/>
    <col min="15884" max="15884" width="11.140625" style="80" customWidth="1"/>
    <col min="15885" max="15885" width="13.28515625" style="80" customWidth="1"/>
    <col min="15886" max="15886" width="4.140625" style="80" customWidth="1"/>
    <col min="15887" max="15887" width="6.28515625" style="80" customWidth="1"/>
    <col min="15888" max="15890" width="4.140625" style="80" customWidth="1"/>
    <col min="15891" max="15891" width="10.28515625" style="80" bestFit="1" customWidth="1"/>
    <col min="15892" max="15892" width="4.42578125" style="80" customWidth="1"/>
    <col min="15893" max="15894" width="10.28515625" style="80" bestFit="1" customWidth="1"/>
    <col min="15895" max="15895" width="17" style="80" customWidth="1"/>
    <col min="15896" max="16128" width="9.140625" style="80"/>
    <col min="16129" max="16129" width="13.5703125" style="80" customWidth="1"/>
    <col min="16130" max="16130" width="5.140625" style="80" customWidth="1"/>
    <col min="16131" max="16131" width="6.85546875" style="80" customWidth="1"/>
    <col min="16132" max="16132" width="4.7109375" style="80" customWidth="1"/>
    <col min="16133" max="16137" width="5" style="80" customWidth="1"/>
    <col min="16138" max="16138" width="6.7109375" style="80" customWidth="1"/>
    <col min="16139" max="16139" width="20.28515625" style="80" customWidth="1"/>
    <col min="16140" max="16140" width="11.140625" style="80" customWidth="1"/>
    <col min="16141" max="16141" width="13.28515625" style="80" customWidth="1"/>
    <col min="16142" max="16142" width="4.140625" style="80" customWidth="1"/>
    <col min="16143" max="16143" width="6.28515625" style="80" customWidth="1"/>
    <col min="16144" max="16146" width="4.140625" style="80" customWidth="1"/>
    <col min="16147" max="16147" width="10.28515625" style="80" bestFit="1" customWidth="1"/>
    <col min="16148" max="16148" width="4.42578125" style="80" customWidth="1"/>
    <col min="16149" max="16150" width="10.28515625" style="80" bestFit="1" customWidth="1"/>
    <col min="16151" max="16151" width="17" style="80" customWidth="1"/>
    <col min="16152" max="16384" width="9.140625" style="80"/>
  </cols>
  <sheetData>
    <row r="1" spans="1:24" ht="18.75" customHeight="1" thickTop="1">
      <c r="A1" s="253" t="s">
        <v>43</v>
      </c>
      <c r="B1" s="254"/>
      <c r="C1" s="254"/>
      <c r="D1" s="254"/>
      <c r="E1" s="254"/>
      <c r="F1" s="254"/>
      <c r="G1" s="254"/>
      <c r="H1" s="254"/>
      <c r="I1" s="254"/>
      <c r="J1" s="254"/>
      <c r="K1" s="255"/>
      <c r="L1" s="80">
        <v>26</v>
      </c>
      <c r="M1" s="253" t="s">
        <v>43</v>
      </c>
      <c r="N1" s="254"/>
      <c r="O1" s="254"/>
      <c r="P1" s="254"/>
      <c r="Q1" s="254"/>
      <c r="R1" s="254"/>
      <c r="S1" s="254"/>
      <c r="T1" s="254"/>
      <c r="U1" s="254"/>
      <c r="V1" s="254"/>
      <c r="W1" s="255"/>
      <c r="X1" s="80">
        <v>25</v>
      </c>
    </row>
    <row r="2" spans="1:24" ht="18.75" customHeight="1">
      <c r="A2" s="81" t="s">
        <v>44</v>
      </c>
      <c r="B2" s="82"/>
      <c r="C2" s="82"/>
      <c r="D2" s="82"/>
      <c r="E2" s="82"/>
      <c r="F2" s="82"/>
      <c r="G2" s="82"/>
      <c r="H2" s="82"/>
      <c r="I2" s="82"/>
      <c r="J2" s="82"/>
      <c r="K2" s="83"/>
      <c r="L2" s="80" t="s">
        <v>45</v>
      </c>
      <c r="M2" s="81" t="s">
        <v>46</v>
      </c>
      <c r="N2" s="82"/>
      <c r="O2" s="82"/>
      <c r="P2" s="82"/>
      <c r="Q2" s="82"/>
      <c r="R2" s="82"/>
      <c r="S2" s="82"/>
      <c r="T2" s="82"/>
      <c r="U2" s="82"/>
      <c r="V2" s="82"/>
      <c r="W2" s="83"/>
    </row>
    <row r="3" spans="1:24" ht="18.75" customHeight="1">
      <c r="A3" s="256" t="s">
        <v>47</v>
      </c>
      <c r="B3" s="257"/>
      <c r="C3" s="257"/>
      <c r="D3" s="257"/>
      <c r="E3" s="257"/>
      <c r="F3" s="257"/>
      <c r="G3" s="257"/>
      <c r="H3" s="257"/>
      <c r="I3" s="257"/>
      <c r="J3" s="257"/>
      <c r="K3" s="258"/>
      <c r="M3" s="256" t="s">
        <v>47</v>
      </c>
      <c r="N3" s="257"/>
      <c r="O3" s="257"/>
      <c r="P3" s="257"/>
      <c r="Q3" s="257"/>
      <c r="R3" s="257"/>
      <c r="S3" s="257"/>
      <c r="T3" s="257"/>
      <c r="U3" s="257"/>
      <c r="V3" s="257"/>
      <c r="W3" s="258"/>
    </row>
    <row r="4" spans="1:24" ht="18.75" customHeight="1">
      <c r="A4" s="248" t="s">
        <v>48</v>
      </c>
      <c r="B4" s="249"/>
      <c r="C4" s="249"/>
      <c r="D4" s="249"/>
      <c r="E4" s="84" t="s">
        <v>49</v>
      </c>
      <c r="F4" s="250" t="str">
        <f>'[1]Bang TH nop'!B9</f>
        <v>Nguyễn Văn Bình</v>
      </c>
      <c r="G4" s="249"/>
      <c r="H4" s="249"/>
      <c r="I4" s="249"/>
      <c r="J4" s="249"/>
      <c r="K4" s="252"/>
      <c r="M4" s="248" t="s">
        <v>48</v>
      </c>
      <c r="N4" s="249"/>
      <c r="O4" s="249"/>
      <c r="P4" s="249"/>
      <c r="Q4" s="84" t="s">
        <v>49</v>
      </c>
      <c r="R4" s="250" t="s">
        <v>19</v>
      </c>
      <c r="S4" s="249"/>
      <c r="T4" s="249"/>
      <c r="U4" s="249"/>
      <c r="V4" s="249"/>
      <c r="W4" s="252"/>
    </row>
    <row r="5" spans="1:24" ht="18.75" customHeight="1">
      <c r="A5" s="248" t="s">
        <v>50</v>
      </c>
      <c r="B5" s="249"/>
      <c r="C5" s="249"/>
      <c r="D5" s="249"/>
      <c r="E5" s="84" t="s">
        <v>49</v>
      </c>
      <c r="F5" s="250">
        <f>'[1]Bang TH nop'!C9</f>
        <v>50015</v>
      </c>
      <c r="G5" s="250"/>
      <c r="H5" s="250"/>
      <c r="I5" s="250"/>
      <c r="J5" s="250"/>
      <c r="K5" s="251"/>
      <c r="M5" s="248" t="s">
        <v>50</v>
      </c>
      <c r="N5" s="249"/>
      <c r="O5" s="249"/>
      <c r="P5" s="249"/>
      <c r="Q5" s="84" t="s">
        <v>49</v>
      </c>
      <c r="R5" s="250">
        <v>50018</v>
      </c>
      <c r="S5" s="250"/>
      <c r="T5" s="250"/>
      <c r="U5" s="250"/>
      <c r="V5" s="250"/>
      <c r="W5" s="251"/>
    </row>
    <row r="6" spans="1:24" ht="18.75" customHeight="1">
      <c r="A6" s="248" t="s">
        <v>51</v>
      </c>
      <c r="B6" s="249"/>
      <c r="C6" s="249"/>
      <c r="D6" s="249"/>
      <c r="E6" s="84" t="s">
        <v>49</v>
      </c>
      <c r="F6" s="249" t="str">
        <f>$L$2</f>
        <v>Gián tiếp</v>
      </c>
      <c r="G6" s="249"/>
      <c r="H6" s="249"/>
      <c r="I6" s="249"/>
      <c r="J6" s="249"/>
      <c r="K6" s="252"/>
      <c r="M6" s="248" t="s">
        <v>51</v>
      </c>
      <c r="N6" s="249"/>
      <c r="O6" s="249"/>
      <c r="P6" s="249"/>
      <c r="Q6" s="84" t="s">
        <v>49</v>
      </c>
      <c r="R6" s="249" t="str">
        <f>$L$2</f>
        <v>Gián tiếp</v>
      </c>
      <c r="S6" s="249"/>
      <c r="T6" s="249"/>
      <c r="U6" s="249"/>
      <c r="V6" s="249"/>
      <c r="W6" s="252"/>
    </row>
    <row r="7" spans="1:24" ht="18.75" customHeight="1">
      <c r="A7" s="256" t="s">
        <v>52</v>
      </c>
      <c r="B7" s="257"/>
      <c r="C7" s="257"/>
      <c r="D7" s="257"/>
      <c r="E7" s="257"/>
      <c r="F7" s="257"/>
      <c r="G7" s="257"/>
      <c r="H7" s="257"/>
      <c r="I7" s="257"/>
      <c r="J7" s="257"/>
      <c r="K7" s="258"/>
      <c r="M7" s="256" t="s">
        <v>52</v>
      </c>
      <c r="N7" s="257"/>
      <c r="O7" s="257"/>
      <c r="P7" s="257"/>
      <c r="Q7" s="257"/>
      <c r="R7" s="257"/>
      <c r="S7" s="257"/>
      <c r="T7" s="257"/>
      <c r="U7" s="257"/>
      <c r="V7" s="257"/>
      <c r="W7" s="258"/>
    </row>
    <row r="8" spans="1:24" ht="18.75" customHeight="1">
      <c r="A8" s="248" t="s">
        <v>53</v>
      </c>
      <c r="B8" s="249"/>
      <c r="C8" s="249"/>
      <c r="D8" s="249"/>
      <c r="E8" s="84" t="s">
        <v>49</v>
      </c>
      <c r="F8" s="263">
        <v>3876000</v>
      </c>
      <c r="G8" s="263"/>
      <c r="H8" s="263"/>
      <c r="I8" s="263"/>
      <c r="J8" s="84" t="s">
        <v>54</v>
      </c>
      <c r="K8" s="85"/>
      <c r="M8" s="248" t="s">
        <v>53</v>
      </c>
      <c r="N8" s="249"/>
      <c r="O8" s="249"/>
      <c r="P8" s="249"/>
      <c r="Q8" s="84" t="s">
        <v>49</v>
      </c>
      <c r="R8" s="263">
        <v>3876000</v>
      </c>
      <c r="S8" s="263"/>
      <c r="T8" s="263"/>
      <c r="U8" s="263"/>
      <c r="V8" s="84" t="s">
        <v>54</v>
      </c>
      <c r="W8" s="85"/>
    </row>
    <row r="9" spans="1:24" ht="18.75" customHeight="1">
      <c r="A9" s="86" t="s">
        <v>55</v>
      </c>
      <c r="B9" s="84"/>
      <c r="C9" s="87"/>
      <c r="D9" s="88"/>
      <c r="E9" s="89"/>
      <c r="F9" s="89"/>
      <c r="G9" s="89"/>
      <c r="H9" s="84"/>
      <c r="I9" s="90">
        <f>'[1]LUONG T7'!F11</f>
        <v>8232.4</v>
      </c>
      <c r="J9" s="91"/>
      <c r="K9" s="92"/>
      <c r="M9" s="86" t="s">
        <v>55</v>
      </c>
      <c r="N9" s="84"/>
      <c r="O9" s="87"/>
      <c r="P9" s="88"/>
      <c r="Q9" s="89"/>
      <c r="R9" s="89"/>
      <c r="S9" s="89"/>
      <c r="T9" s="84"/>
      <c r="U9" s="90">
        <f>'[1]LUONG T7'!F13</f>
        <v>8553.4000000000015</v>
      </c>
      <c r="V9" s="91"/>
      <c r="W9" s="92"/>
    </row>
    <row r="10" spans="1:24" ht="18.75" customHeight="1">
      <c r="A10" s="86" t="s">
        <v>56</v>
      </c>
      <c r="B10" s="84"/>
      <c r="C10" s="87"/>
      <c r="D10" s="88"/>
      <c r="E10" s="89"/>
      <c r="F10" s="89"/>
      <c r="G10" s="89"/>
      <c r="H10" s="84"/>
      <c r="I10" s="90">
        <f>I11/C11/8</f>
        <v>20516.347643979061</v>
      </c>
      <c r="J10" s="91"/>
      <c r="K10" s="92"/>
      <c r="M10" s="86" t="s">
        <v>56</v>
      </c>
      <c r="N10" s="84"/>
      <c r="O10" s="87"/>
      <c r="P10" s="88"/>
      <c r="Q10" s="89"/>
      <c r="R10" s="89"/>
      <c r="S10" s="89"/>
      <c r="T10" s="84"/>
      <c r="U10" s="90">
        <f>U11/O11/8</f>
        <v>24478.723165467629</v>
      </c>
      <c r="V10" s="91"/>
      <c r="W10" s="92"/>
    </row>
    <row r="11" spans="1:24" ht="18.75" customHeight="1">
      <c r="A11" s="86" t="s">
        <v>57</v>
      </c>
      <c r="B11" s="84" t="s">
        <v>49</v>
      </c>
      <c r="C11" s="87">
        <f>'[1]LUONG T7'!I10</f>
        <v>26</v>
      </c>
      <c r="D11" s="88" t="s">
        <v>58</v>
      </c>
      <c r="E11" s="261" t="s">
        <v>59</v>
      </c>
      <c r="F11" s="261"/>
      <c r="G11" s="261"/>
      <c r="H11" s="84" t="s">
        <v>49</v>
      </c>
      <c r="I11" s="262">
        <f>'[1]LUONG T7'!I11</f>
        <v>4267400.3099476444</v>
      </c>
      <c r="J11" s="262"/>
      <c r="K11" s="92" t="s">
        <v>54</v>
      </c>
      <c r="L11" s="93">
        <f>F8/L1*C11</f>
        <v>3875999.9999999995</v>
      </c>
      <c r="M11" s="86" t="s">
        <v>57</v>
      </c>
      <c r="N11" s="84" t="s">
        <v>49</v>
      </c>
      <c r="O11" s="87">
        <f>'[1]LUONG T7'!I12</f>
        <v>26</v>
      </c>
      <c r="P11" s="88" t="s">
        <v>58</v>
      </c>
      <c r="Q11" s="261" t="s">
        <v>59</v>
      </c>
      <c r="R11" s="261"/>
      <c r="S11" s="261"/>
      <c r="T11" s="84" t="s">
        <v>49</v>
      </c>
      <c r="U11" s="262">
        <f>'[1]LUONG T7'!I13</f>
        <v>5091574.4184172666</v>
      </c>
      <c r="V11" s="262"/>
      <c r="W11" s="92" t="s">
        <v>54</v>
      </c>
      <c r="X11" s="93">
        <f>R8/X1*O11</f>
        <v>4031040</v>
      </c>
    </row>
    <row r="12" spans="1:24" ht="18.75" customHeight="1">
      <c r="A12" s="86" t="s">
        <v>60</v>
      </c>
      <c r="B12" s="84" t="s">
        <v>49</v>
      </c>
      <c r="C12" s="87">
        <f>'[1]LUONG T7'!J10</f>
        <v>0</v>
      </c>
      <c r="D12" s="88" t="s">
        <v>58</v>
      </c>
      <c r="E12" s="249" t="s">
        <v>61</v>
      </c>
      <c r="F12" s="249"/>
      <c r="G12" s="249"/>
      <c r="H12" s="84" t="s">
        <v>49</v>
      </c>
      <c r="I12" s="260">
        <f>$F$8/$L$1*C12</f>
        <v>0</v>
      </c>
      <c r="J12" s="260"/>
      <c r="K12" s="92" t="s">
        <v>54</v>
      </c>
      <c r="L12" s="93"/>
      <c r="M12" s="86" t="s">
        <v>60</v>
      </c>
      <c r="N12" s="84" t="s">
        <v>49</v>
      </c>
      <c r="O12" s="87">
        <f>'[1]LUONG T7'!J12</f>
        <v>0</v>
      </c>
      <c r="P12" s="88" t="s">
        <v>58</v>
      </c>
      <c r="Q12" s="249" t="s">
        <v>61</v>
      </c>
      <c r="R12" s="249"/>
      <c r="S12" s="249"/>
      <c r="T12" s="84" t="s">
        <v>49</v>
      </c>
      <c r="U12" s="260">
        <f>$F$8/$L$1*O12</f>
        <v>0</v>
      </c>
      <c r="V12" s="260"/>
      <c r="W12" s="92" t="s">
        <v>54</v>
      </c>
      <c r="X12" s="93"/>
    </row>
    <row r="13" spans="1:24" ht="18.75" customHeight="1">
      <c r="A13" s="86" t="s">
        <v>62</v>
      </c>
      <c r="B13" s="84" t="s">
        <v>49</v>
      </c>
      <c r="C13" s="87">
        <f>'[1]LUONG T7'!K10</f>
        <v>0</v>
      </c>
      <c r="D13" s="88" t="s">
        <v>58</v>
      </c>
      <c r="E13" s="259" t="s">
        <v>63</v>
      </c>
      <c r="F13" s="259"/>
      <c r="G13" s="259"/>
      <c r="H13" s="84" t="s">
        <v>49</v>
      </c>
      <c r="I13" s="260">
        <f>$F$8/$L$1*C13</f>
        <v>0</v>
      </c>
      <c r="J13" s="260"/>
      <c r="K13" s="92" t="s">
        <v>54</v>
      </c>
      <c r="L13" s="93"/>
      <c r="M13" s="86" t="s">
        <v>62</v>
      </c>
      <c r="N13" s="84" t="s">
        <v>49</v>
      </c>
      <c r="O13" s="87">
        <f>'[1]LUONG T7'!K12</f>
        <v>0</v>
      </c>
      <c r="P13" s="88" t="s">
        <v>58</v>
      </c>
      <c r="Q13" s="259" t="s">
        <v>63</v>
      </c>
      <c r="R13" s="259"/>
      <c r="S13" s="259"/>
      <c r="T13" s="84" t="s">
        <v>49</v>
      </c>
      <c r="U13" s="260">
        <f>$F$8/$L$1*O13</f>
        <v>0</v>
      </c>
      <c r="V13" s="260"/>
      <c r="W13" s="92" t="s">
        <v>54</v>
      </c>
      <c r="X13" s="93"/>
    </row>
    <row r="14" spans="1:24" ht="18.75" customHeight="1">
      <c r="A14" s="86" t="s">
        <v>64</v>
      </c>
      <c r="B14" s="84" t="s">
        <v>49</v>
      </c>
      <c r="C14" s="87">
        <f>'[1]LUONG T7'!L10</f>
        <v>0</v>
      </c>
      <c r="D14" s="88" t="s">
        <v>58</v>
      </c>
      <c r="E14" s="259" t="s">
        <v>65</v>
      </c>
      <c r="F14" s="259"/>
      <c r="G14" s="259"/>
      <c r="H14" s="84" t="s">
        <v>49</v>
      </c>
      <c r="I14" s="260">
        <f>$F$8/$L$1*C14</f>
        <v>0</v>
      </c>
      <c r="J14" s="260"/>
      <c r="K14" s="92" t="s">
        <v>54</v>
      </c>
      <c r="L14" s="93"/>
      <c r="M14" s="86" t="s">
        <v>64</v>
      </c>
      <c r="N14" s="84" t="s">
        <v>49</v>
      </c>
      <c r="O14" s="87">
        <f>'[1]LUONG T7'!L12</f>
        <v>0</v>
      </c>
      <c r="P14" s="88" t="s">
        <v>58</v>
      </c>
      <c r="Q14" s="259" t="s">
        <v>65</v>
      </c>
      <c r="R14" s="259"/>
      <c r="S14" s="259"/>
      <c r="T14" s="84" t="s">
        <v>49</v>
      </c>
      <c r="U14" s="260">
        <f>$F$8/$L$1*O14</f>
        <v>0</v>
      </c>
      <c r="V14" s="260"/>
      <c r="W14" s="92" t="s">
        <v>54</v>
      </c>
      <c r="X14" s="93"/>
    </row>
    <row r="15" spans="1:24" ht="18.75" customHeight="1">
      <c r="A15" s="86" t="s">
        <v>66</v>
      </c>
      <c r="B15" s="84" t="s">
        <v>49</v>
      </c>
      <c r="C15" s="87">
        <f>'[1]LUONG T7'!Q10</f>
        <v>78.5</v>
      </c>
      <c r="D15" s="88" t="s">
        <v>67</v>
      </c>
      <c r="E15" s="249" t="s">
        <v>68</v>
      </c>
      <c r="F15" s="249"/>
      <c r="G15" s="249"/>
      <c r="H15" s="84" t="s">
        <v>49</v>
      </c>
      <c r="I15" s="260">
        <f>'[1]LUONG T7'!Q11</f>
        <v>2415799.9350785338</v>
      </c>
      <c r="J15" s="260"/>
      <c r="K15" s="92" t="s">
        <v>54</v>
      </c>
      <c r="L15" s="93">
        <f>F8*C15/L1/8*1.5</f>
        <v>2194225.9615384615</v>
      </c>
      <c r="M15" s="86" t="s">
        <v>66</v>
      </c>
      <c r="N15" s="84" t="s">
        <v>49</v>
      </c>
      <c r="O15" s="87">
        <f>'[1]LUONG T7'!Q12</f>
        <v>70</v>
      </c>
      <c r="P15" s="88" t="s">
        <v>67</v>
      </c>
      <c r="Q15" s="249" t="s">
        <v>68</v>
      </c>
      <c r="R15" s="249"/>
      <c r="S15" s="249"/>
      <c r="T15" s="84" t="s">
        <v>49</v>
      </c>
      <c r="U15" s="260">
        <f>'[1]LUONG T7'!Q13</f>
        <v>2570265.9323741011</v>
      </c>
      <c r="V15" s="260"/>
      <c r="W15" s="92" t="s">
        <v>54</v>
      </c>
      <c r="X15" s="93">
        <f>R8*O15/X1/8*1.5</f>
        <v>2034900</v>
      </c>
    </row>
    <row r="16" spans="1:24" ht="18.75" customHeight="1">
      <c r="A16" s="248" t="s">
        <v>69</v>
      </c>
      <c r="B16" s="249"/>
      <c r="C16" s="87"/>
      <c r="D16" s="88" t="s">
        <v>58</v>
      </c>
      <c r="E16" s="249" t="s">
        <v>70</v>
      </c>
      <c r="F16" s="249"/>
      <c r="G16" s="249"/>
      <c r="H16" s="94" t="s">
        <v>49</v>
      </c>
      <c r="I16" s="260"/>
      <c r="J16" s="260"/>
      <c r="K16" s="92" t="s">
        <v>54</v>
      </c>
      <c r="L16" s="93"/>
      <c r="M16" s="248" t="s">
        <v>69</v>
      </c>
      <c r="N16" s="249"/>
      <c r="O16" s="87"/>
      <c r="P16" s="88" t="s">
        <v>58</v>
      </c>
      <c r="Q16" s="249" t="s">
        <v>70</v>
      </c>
      <c r="R16" s="249"/>
      <c r="S16" s="249"/>
      <c r="T16" s="94" t="s">
        <v>49</v>
      </c>
      <c r="U16" s="260"/>
      <c r="V16" s="260"/>
      <c r="W16" s="92" t="s">
        <v>54</v>
      </c>
      <c r="X16" s="93"/>
    </row>
    <row r="17" spans="1:24" ht="18.75" customHeight="1">
      <c r="A17" s="86" t="s">
        <v>71</v>
      </c>
      <c r="B17" s="84" t="s">
        <v>49</v>
      </c>
      <c r="C17" s="87"/>
      <c r="D17" s="88" t="s">
        <v>58</v>
      </c>
      <c r="E17" s="249" t="s">
        <v>72</v>
      </c>
      <c r="F17" s="249"/>
      <c r="G17" s="249"/>
      <c r="H17" s="84" t="s">
        <v>49</v>
      </c>
      <c r="I17" s="260"/>
      <c r="J17" s="260"/>
      <c r="K17" s="92" t="s">
        <v>54</v>
      </c>
      <c r="L17" s="93"/>
      <c r="M17" s="86" t="s">
        <v>71</v>
      </c>
      <c r="N17" s="84" t="s">
        <v>49</v>
      </c>
      <c r="O17" s="87"/>
      <c r="P17" s="88" t="s">
        <v>58</v>
      </c>
      <c r="Q17" s="249" t="s">
        <v>72</v>
      </c>
      <c r="R17" s="249"/>
      <c r="S17" s="249"/>
      <c r="T17" s="84" t="s">
        <v>49</v>
      </c>
      <c r="U17" s="260"/>
      <c r="V17" s="260"/>
      <c r="W17" s="92" t="s">
        <v>54</v>
      </c>
      <c r="X17" s="93"/>
    </row>
    <row r="18" spans="1:24" ht="18.75" customHeight="1">
      <c r="A18" s="95" t="s">
        <v>73</v>
      </c>
      <c r="B18" s="84"/>
      <c r="C18" s="87">
        <f>'[1]LUONG T7'!M10</f>
        <v>0</v>
      </c>
      <c r="D18" s="88" t="s">
        <v>67</v>
      </c>
      <c r="E18" s="249" t="s">
        <v>74</v>
      </c>
      <c r="F18" s="249"/>
      <c r="G18" s="249"/>
      <c r="H18" s="84" t="s">
        <v>49</v>
      </c>
      <c r="I18" s="260">
        <f>$F$8*C18/8/$L$1</f>
        <v>0</v>
      </c>
      <c r="J18" s="260"/>
      <c r="K18" s="92" t="s">
        <v>54</v>
      </c>
      <c r="L18" s="93"/>
      <c r="M18" s="95" t="s">
        <v>73</v>
      </c>
      <c r="N18" s="84"/>
      <c r="O18" s="87">
        <f>'[1]LUONG T7'!M12</f>
        <v>0</v>
      </c>
      <c r="P18" s="88" t="s">
        <v>67</v>
      </c>
      <c r="Q18" s="249" t="s">
        <v>74</v>
      </c>
      <c r="R18" s="249"/>
      <c r="S18" s="249"/>
      <c r="T18" s="84" t="s">
        <v>49</v>
      </c>
      <c r="U18" s="260">
        <v>10000</v>
      </c>
      <c r="V18" s="260"/>
      <c r="W18" s="92" t="s">
        <v>54</v>
      </c>
      <c r="X18" s="93"/>
    </row>
    <row r="19" spans="1:24" ht="18.75" customHeight="1">
      <c r="A19" s="86" t="s">
        <v>75</v>
      </c>
      <c r="B19" s="84" t="s">
        <v>49</v>
      </c>
      <c r="C19" s="87"/>
      <c r="D19" s="88" t="s">
        <v>67</v>
      </c>
      <c r="E19" s="249" t="s">
        <v>76</v>
      </c>
      <c r="F19" s="249"/>
      <c r="G19" s="249"/>
      <c r="H19" s="84" t="s">
        <v>49</v>
      </c>
      <c r="I19" s="260">
        <v>240000</v>
      </c>
      <c r="J19" s="260"/>
      <c r="K19" s="92" t="s">
        <v>54</v>
      </c>
      <c r="L19" s="93"/>
      <c r="M19" s="86" t="s">
        <v>75</v>
      </c>
      <c r="N19" s="84" t="s">
        <v>49</v>
      </c>
      <c r="O19" s="87"/>
      <c r="P19" s="88" t="s">
        <v>67</v>
      </c>
      <c r="Q19" s="249" t="s">
        <v>76</v>
      </c>
      <c r="R19" s="249"/>
      <c r="S19" s="249"/>
      <c r="T19" s="84" t="s">
        <v>49</v>
      </c>
      <c r="U19" s="260">
        <v>240000</v>
      </c>
      <c r="V19" s="260"/>
      <c r="W19" s="92" t="s">
        <v>54</v>
      </c>
      <c r="X19" s="93"/>
    </row>
    <row r="20" spans="1:24" ht="18.75" customHeight="1">
      <c r="A20" s="86" t="s">
        <v>77</v>
      </c>
      <c r="B20" s="84" t="s">
        <v>49</v>
      </c>
      <c r="C20" s="87"/>
      <c r="D20" s="88" t="s">
        <v>78</v>
      </c>
      <c r="E20" s="96" t="s">
        <v>79</v>
      </c>
      <c r="F20" s="96"/>
      <c r="G20" s="96"/>
      <c r="H20" s="84" t="s">
        <v>49</v>
      </c>
      <c r="I20" s="260"/>
      <c r="J20" s="260"/>
      <c r="K20" s="92" t="s">
        <v>54</v>
      </c>
      <c r="L20" s="93">
        <f>+IF(L11-I11&lt;0,0,L11-I11)+IF(L15-I15&lt;0,0,L15-I15)</f>
        <v>0</v>
      </c>
      <c r="M20" s="86" t="s">
        <v>77</v>
      </c>
      <c r="N20" s="84" t="s">
        <v>49</v>
      </c>
      <c r="O20" s="87"/>
      <c r="P20" s="88" t="s">
        <v>78</v>
      </c>
      <c r="Q20" s="96" t="s">
        <v>79</v>
      </c>
      <c r="R20" s="96"/>
      <c r="S20" s="96"/>
      <c r="T20" s="84" t="s">
        <v>49</v>
      </c>
      <c r="U20" s="260"/>
      <c r="V20" s="260"/>
      <c r="W20" s="92" t="s">
        <v>54</v>
      </c>
      <c r="X20" s="93">
        <f>+IF(X11-U11&lt;0,0,X11-U11)+IF(X15-U15&lt;0,0,X15-U15)</f>
        <v>0</v>
      </c>
    </row>
    <row r="21" spans="1:24" ht="18.75" customHeight="1">
      <c r="A21" s="97" t="s">
        <v>80</v>
      </c>
      <c r="B21" s="98"/>
      <c r="C21" s="87"/>
      <c r="D21" s="88" t="s">
        <v>58</v>
      </c>
      <c r="E21" s="249" t="s">
        <v>81</v>
      </c>
      <c r="F21" s="249"/>
      <c r="G21" s="249"/>
      <c r="H21" s="84" t="s">
        <v>49</v>
      </c>
      <c r="I21" s="260">
        <v>324000</v>
      </c>
      <c r="J21" s="260"/>
      <c r="K21" s="92" t="s">
        <v>54</v>
      </c>
      <c r="L21" s="93"/>
      <c r="M21" s="97" t="s">
        <v>80</v>
      </c>
      <c r="N21" s="98"/>
      <c r="O21" s="87"/>
      <c r="P21" s="88" t="s">
        <v>58</v>
      </c>
      <c r="Q21" s="249" t="s">
        <v>81</v>
      </c>
      <c r="R21" s="249"/>
      <c r="S21" s="249"/>
      <c r="T21" s="84" t="s">
        <v>49</v>
      </c>
      <c r="U21" s="260">
        <v>324000</v>
      </c>
      <c r="V21" s="260"/>
      <c r="W21" s="92" t="s">
        <v>54</v>
      </c>
      <c r="X21" s="93"/>
    </row>
    <row r="22" spans="1:24" ht="18.75" customHeight="1">
      <c r="A22" s="267" t="s">
        <v>82</v>
      </c>
      <c r="B22" s="261"/>
      <c r="C22" s="87"/>
      <c r="D22" s="88"/>
      <c r="E22" s="89"/>
      <c r="F22" s="89"/>
      <c r="G22" s="89"/>
      <c r="H22" s="84" t="s">
        <v>49</v>
      </c>
      <c r="I22" s="260">
        <f>'[1]LUONG T7'!P11</f>
        <v>0</v>
      </c>
      <c r="J22" s="260"/>
      <c r="K22" s="92" t="s">
        <v>54</v>
      </c>
      <c r="L22" s="93"/>
      <c r="M22" s="267" t="s">
        <v>82</v>
      </c>
      <c r="N22" s="261"/>
      <c r="O22" s="87"/>
      <c r="P22" s="88"/>
      <c r="Q22" s="89"/>
      <c r="R22" s="89"/>
      <c r="S22" s="89"/>
      <c r="T22" s="84" t="s">
        <v>49</v>
      </c>
      <c r="U22" s="260">
        <f>'[1]LUONG T7'!P13</f>
        <v>0</v>
      </c>
      <c r="V22" s="260"/>
      <c r="W22" s="92" t="s">
        <v>54</v>
      </c>
      <c r="X22" s="93"/>
    </row>
    <row r="23" spans="1:24" ht="18.75" customHeight="1">
      <c r="A23" s="86" t="s">
        <v>83</v>
      </c>
      <c r="B23" s="84" t="s">
        <v>49</v>
      </c>
      <c r="C23" s="87"/>
      <c r="D23" s="88"/>
      <c r="E23" s="89" t="s">
        <v>84</v>
      </c>
      <c r="F23" s="89"/>
      <c r="G23" s="89"/>
      <c r="H23" s="84" t="s">
        <v>49</v>
      </c>
      <c r="I23" s="260">
        <f>L20</f>
        <v>0</v>
      </c>
      <c r="J23" s="260"/>
      <c r="K23" s="92" t="s">
        <v>54</v>
      </c>
      <c r="L23" s="93"/>
      <c r="M23" s="86" t="s">
        <v>83</v>
      </c>
      <c r="N23" s="84" t="s">
        <v>49</v>
      </c>
      <c r="O23" s="87"/>
      <c r="P23" s="88"/>
      <c r="Q23" s="89" t="s">
        <v>84</v>
      </c>
      <c r="R23" s="89"/>
      <c r="S23" s="89"/>
      <c r="T23" s="84" t="s">
        <v>49</v>
      </c>
      <c r="U23" s="260">
        <f>X20</f>
        <v>0</v>
      </c>
      <c r="V23" s="260"/>
      <c r="W23" s="92" t="s">
        <v>54</v>
      </c>
      <c r="X23" s="93"/>
    </row>
    <row r="24" spans="1:24" ht="18.75" customHeight="1">
      <c r="A24" s="264" t="s">
        <v>85</v>
      </c>
      <c r="B24" s="265"/>
      <c r="C24" s="265"/>
      <c r="D24" s="265"/>
      <c r="E24" s="265"/>
      <c r="F24" s="265"/>
      <c r="G24" s="84" t="s">
        <v>49</v>
      </c>
      <c r="H24" s="266">
        <f>+I21+I11+I12+I13+I14+I15+I18+I22+I23+I19</f>
        <v>7247200.2450261787</v>
      </c>
      <c r="I24" s="266"/>
      <c r="J24" s="266"/>
      <c r="K24" s="92" t="s">
        <v>54</v>
      </c>
      <c r="M24" s="264" t="s">
        <v>85</v>
      </c>
      <c r="N24" s="265"/>
      <c r="O24" s="265"/>
      <c r="P24" s="265"/>
      <c r="Q24" s="265"/>
      <c r="R24" s="265"/>
      <c r="S24" s="84" t="s">
        <v>49</v>
      </c>
      <c r="T24" s="266">
        <f>+U21+U11+U12+U13+U14+U15+U18+U22+U23+U19</f>
        <v>8235840.3507913677</v>
      </c>
      <c r="U24" s="266"/>
      <c r="V24" s="266"/>
      <c r="W24" s="92" t="s">
        <v>54</v>
      </c>
    </row>
    <row r="25" spans="1:24" ht="18.75" customHeight="1">
      <c r="A25" s="99"/>
      <c r="B25" s="100"/>
      <c r="C25" s="100"/>
      <c r="D25" s="100"/>
      <c r="E25" s="100"/>
      <c r="F25" s="100"/>
      <c r="G25" s="100"/>
      <c r="H25" s="100"/>
      <c r="I25" s="100"/>
      <c r="J25" s="100"/>
      <c r="K25" s="101"/>
      <c r="M25" s="99"/>
      <c r="N25" s="100"/>
      <c r="O25" s="100"/>
      <c r="P25" s="100"/>
      <c r="Q25" s="100"/>
      <c r="R25" s="100"/>
      <c r="S25" s="100"/>
      <c r="T25" s="100"/>
      <c r="U25" s="100"/>
      <c r="V25" s="100"/>
      <c r="W25" s="101"/>
    </row>
    <row r="26" spans="1:24" ht="18.75" customHeight="1">
      <c r="A26" s="274" t="s">
        <v>86</v>
      </c>
      <c r="B26" s="275"/>
      <c r="C26" s="275"/>
      <c r="D26" s="275"/>
      <c r="E26" s="275"/>
      <c r="F26" s="275"/>
      <c r="G26" s="84"/>
      <c r="H26" s="84"/>
      <c r="I26" s="84"/>
      <c r="J26" s="84"/>
      <c r="K26" s="92"/>
      <c r="M26" s="274" t="s">
        <v>86</v>
      </c>
      <c r="N26" s="275"/>
      <c r="O26" s="275"/>
      <c r="P26" s="275"/>
      <c r="Q26" s="275"/>
      <c r="R26" s="275"/>
      <c r="S26" s="84"/>
      <c r="T26" s="84"/>
      <c r="U26" s="84"/>
      <c r="V26" s="84"/>
      <c r="W26" s="92"/>
    </row>
    <row r="27" spans="1:24" ht="18.75" customHeight="1">
      <c r="A27" s="268" t="s">
        <v>87</v>
      </c>
      <c r="B27" s="269"/>
      <c r="C27" s="269"/>
      <c r="D27" s="269"/>
      <c r="E27" s="269"/>
      <c r="F27" s="269"/>
      <c r="G27" s="84" t="s">
        <v>49</v>
      </c>
      <c r="H27" s="276">
        <f>IF(($L$1-(C11+C12+C13+C14))&gt;12,0,F8*8%)</f>
        <v>310080</v>
      </c>
      <c r="I27" s="276"/>
      <c r="J27" s="276"/>
      <c r="K27" s="92" t="s">
        <v>54</v>
      </c>
      <c r="M27" s="268" t="s">
        <v>87</v>
      </c>
      <c r="N27" s="269"/>
      <c r="O27" s="269"/>
      <c r="P27" s="269"/>
      <c r="Q27" s="269"/>
      <c r="R27" s="269"/>
      <c r="S27" s="84" t="s">
        <v>49</v>
      </c>
      <c r="T27" s="276">
        <f>IF(($L$1-(O11+O12+O13+O14))&gt;12,0,R8*8%)</f>
        <v>310080</v>
      </c>
      <c r="U27" s="276"/>
      <c r="V27" s="276"/>
      <c r="W27" s="92" t="s">
        <v>54</v>
      </c>
    </row>
    <row r="28" spans="1:24" ht="18.75" customHeight="1">
      <c r="A28" s="268" t="s">
        <v>88</v>
      </c>
      <c r="B28" s="269"/>
      <c r="C28" s="269"/>
      <c r="D28" s="269"/>
      <c r="E28" s="269"/>
      <c r="F28" s="269"/>
      <c r="G28" s="84" t="s">
        <v>49</v>
      </c>
      <c r="H28" s="270">
        <f>IF(($L$1-(C11+C12+C13+C14))&gt;12,0,F8*1.5%)</f>
        <v>58140</v>
      </c>
      <c r="I28" s="270"/>
      <c r="J28" s="270"/>
      <c r="K28" s="92" t="s">
        <v>54</v>
      </c>
      <c r="M28" s="268" t="s">
        <v>88</v>
      </c>
      <c r="N28" s="269"/>
      <c r="O28" s="269"/>
      <c r="P28" s="269"/>
      <c r="Q28" s="269"/>
      <c r="R28" s="269"/>
      <c r="S28" s="84" t="s">
        <v>49</v>
      </c>
      <c r="T28" s="270">
        <f>IF(($L$1-(O11+O12+O13+O14))&gt;12,0,R8*1.5%)</f>
        <v>58140</v>
      </c>
      <c r="U28" s="270"/>
      <c r="V28" s="270"/>
      <c r="W28" s="92" t="s">
        <v>54</v>
      </c>
    </row>
    <row r="29" spans="1:24" ht="18.75" customHeight="1">
      <c r="A29" s="268" t="s">
        <v>89</v>
      </c>
      <c r="B29" s="269"/>
      <c r="C29" s="269"/>
      <c r="D29" s="269"/>
      <c r="E29" s="269"/>
      <c r="F29" s="269"/>
      <c r="G29" s="84" t="s">
        <v>49</v>
      </c>
      <c r="H29" s="270">
        <f>IF(($L$1-(C11+C12+C13+C14))&gt;12,0,F8*1%)</f>
        <v>38760</v>
      </c>
      <c r="I29" s="270"/>
      <c r="J29" s="270"/>
      <c r="K29" s="92" t="s">
        <v>54</v>
      </c>
      <c r="M29" s="268" t="s">
        <v>89</v>
      </c>
      <c r="N29" s="269"/>
      <c r="O29" s="269"/>
      <c r="P29" s="269"/>
      <c r="Q29" s="269"/>
      <c r="R29" s="269"/>
      <c r="S29" s="84" t="s">
        <v>49</v>
      </c>
      <c r="T29" s="270">
        <f>IF(($L$1-(O11+O12+O13+O14))&gt;12,0,R8*1%)</f>
        <v>38760</v>
      </c>
      <c r="U29" s="270"/>
      <c r="V29" s="270"/>
      <c r="W29" s="92" t="s">
        <v>54</v>
      </c>
    </row>
    <row r="30" spans="1:24" ht="18.75" customHeight="1">
      <c r="A30" s="268" t="s">
        <v>90</v>
      </c>
      <c r="B30" s="269"/>
      <c r="C30" s="269"/>
      <c r="D30" s="269"/>
      <c r="E30" s="269"/>
      <c r="F30" s="269"/>
      <c r="G30" s="84" t="s">
        <v>49</v>
      </c>
      <c r="H30" s="270">
        <v>0</v>
      </c>
      <c r="I30" s="270"/>
      <c r="J30" s="270"/>
      <c r="K30" s="92" t="s">
        <v>54</v>
      </c>
      <c r="M30" s="268" t="s">
        <v>90</v>
      </c>
      <c r="N30" s="269"/>
      <c r="O30" s="269"/>
      <c r="P30" s="269"/>
      <c r="Q30" s="269"/>
      <c r="R30" s="269"/>
      <c r="S30" s="84" t="s">
        <v>49</v>
      </c>
      <c r="T30" s="270">
        <v>0</v>
      </c>
      <c r="U30" s="270"/>
      <c r="V30" s="270"/>
      <c r="W30" s="92" t="s">
        <v>54</v>
      </c>
    </row>
    <row r="31" spans="1:24" ht="18.75" customHeight="1">
      <c r="A31" s="271" t="s">
        <v>91</v>
      </c>
      <c r="B31" s="272"/>
      <c r="C31" s="272"/>
      <c r="D31" s="272"/>
      <c r="E31" s="272"/>
      <c r="F31" s="272"/>
      <c r="G31" s="84" t="s">
        <v>49</v>
      </c>
      <c r="H31" s="273">
        <f>SUM(H27:J30)</f>
        <v>406980</v>
      </c>
      <c r="I31" s="273"/>
      <c r="J31" s="273"/>
      <c r="K31" s="92" t="s">
        <v>54</v>
      </c>
      <c r="M31" s="271" t="s">
        <v>91</v>
      </c>
      <c r="N31" s="272"/>
      <c r="O31" s="272"/>
      <c r="P31" s="272"/>
      <c r="Q31" s="272"/>
      <c r="R31" s="272"/>
      <c r="S31" s="84" t="s">
        <v>49</v>
      </c>
      <c r="T31" s="273">
        <f>SUM(T27:V30)</f>
        <v>406980</v>
      </c>
      <c r="U31" s="273"/>
      <c r="V31" s="273"/>
      <c r="W31" s="92" t="s">
        <v>54</v>
      </c>
    </row>
    <row r="32" spans="1:24" ht="18.75" customHeight="1">
      <c r="A32" s="268" t="s">
        <v>92</v>
      </c>
      <c r="B32" s="269"/>
      <c r="C32" s="269"/>
      <c r="D32" s="269"/>
      <c r="E32" s="269"/>
      <c r="F32" s="269"/>
      <c r="G32" s="84" t="s">
        <v>49</v>
      </c>
      <c r="H32" s="280">
        <f>ROUND(H24-H31,-2)</f>
        <v>6840200</v>
      </c>
      <c r="I32" s="280"/>
      <c r="J32" s="280"/>
      <c r="K32" s="92" t="s">
        <v>54</v>
      </c>
      <c r="M32" s="268" t="s">
        <v>92</v>
      </c>
      <c r="N32" s="269"/>
      <c r="O32" s="269"/>
      <c r="P32" s="269"/>
      <c r="Q32" s="269"/>
      <c r="R32" s="269"/>
      <c r="S32" s="84" t="s">
        <v>49</v>
      </c>
      <c r="T32" s="280">
        <f>ROUND(T24-T31,-2)</f>
        <v>7828900</v>
      </c>
      <c r="U32" s="280"/>
      <c r="V32" s="280"/>
      <c r="W32" s="92" t="s">
        <v>54</v>
      </c>
    </row>
    <row r="33" spans="1:24" ht="18.75" customHeight="1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4"/>
      <c r="M33" s="102"/>
      <c r="N33" s="103"/>
      <c r="O33" s="103"/>
      <c r="P33" s="103"/>
      <c r="Q33" s="103"/>
      <c r="R33" s="103"/>
      <c r="S33" s="103"/>
      <c r="T33" s="103"/>
      <c r="U33" s="103"/>
      <c r="V33" s="103"/>
      <c r="W33" s="104"/>
    </row>
    <row r="34" spans="1:24" ht="18.75" customHeight="1">
      <c r="A34" s="105"/>
      <c r="B34" s="84"/>
      <c r="C34" s="84"/>
      <c r="D34" s="84"/>
      <c r="E34" s="84"/>
      <c r="F34" s="84"/>
      <c r="G34" s="84"/>
      <c r="H34" s="84"/>
      <c r="I34" s="277" t="s">
        <v>93</v>
      </c>
      <c r="J34" s="277"/>
      <c r="K34" s="281"/>
      <c r="M34" s="105"/>
      <c r="N34" s="84"/>
      <c r="O34" s="84"/>
      <c r="P34" s="84"/>
      <c r="Q34" s="84"/>
      <c r="R34" s="84"/>
      <c r="S34" s="84"/>
      <c r="T34" s="84"/>
      <c r="U34" s="277" t="s">
        <v>93</v>
      </c>
      <c r="V34" s="277"/>
      <c r="W34" s="281"/>
    </row>
    <row r="35" spans="1:24" ht="18.75" customHeight="1">
      <c r="A35" s="105"/>
      <c r="B35" s="277"/>
      <c r="C35" s="277"/>
      <c r="D35" s="277"/>
      <c r="E35" s="277"/>
      <c r="F35" s="84"/>
      <c r="G35" s="84"/>
      <c r="H35" s="84"/>
      <c r="I35" s="84"/>
      <c r="J35" s="84"/>
      <c r="K35" s="85"/>
      <c r="M35" s="105"/>
      <c r="N35" s="277"/>
      <c r="O35" s="277"/>
      <c r="P35" s="277"/>
      <c r="Q35" s="277"/>
      <c r="R35" s="84"/>
      <c r="S35" s="84"/>
      <c r="T35" s="84"/>
      <c r="U35" s="84"/>
      <c r="V35" s="84"/>
      <c r="W35" s="85"/>
    </row>
    <row r="36" spans="1:24" ht="18.75" customHeight="1" thickBot="1">
      <c r="A36" s="106"/>
      <c r="B36" s="107"/>
      <c r="C36" s="107"/>
      <c r="D36" s="107"/>
      <c r="E36" s="107"/>
      <c r="F36" s="107"/>
      <c r="G36" s="107"/>
      <c r="H36" s="107"/>
      <c r="I36" s="278" t="s">
        <v>94</v>
      </c>
      <c r="J36" s="278"/>
      <c r="K36" s="279"/>
      <c r="M36" s="106"/>
      <c r="N36" s="107"/>
      <c r="O36" s="107"/>
      <c r="P36" s="107"/>
      <c r="Q36" s="107"/>
      <c r="R36" s="107"/>
      <c r="S36" s="107"/>
      <c r="T36" s="107"/>
      <c r="U36" s="278" t="s">
        <v>94</v>
      </c>
      <c r="V36" s="278"/>
      <c r="W36" s="279"/>
    </row>
    <row r="39" spans="1:24" ht="18.75" customHeight="1" thickTop="1">
      <c r="A39" s="253" t="s">
        <v>43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5"/>
      <c r="L39" s="80">
        <v>25</v>
      </c>
      <c r="M39" s="253" t="s">
        <v>43</v>
      </c>
      <c r="N39" s="254"/>
      <c r="O39" s="254"/>
      <c r="P39" s="254"/>
      <c r="Q39" s="254"/>
      <c r="R39" s="254"/>
      <c r="S39" s="254"/>
      <c r="T39" s="254"/>
      <c r="U39" s="254"/>
      <c r="V39" s="254"/>
      <c r="W39" s="255"/>
      <c r="X39" s="80">
        <v>25</v>
      </c>
    </row>
    <row r="40" spans="1:24" ht="18.75" customHeight="1">
      <c r="A40" s="81" t="s">
        <v>95</v>
      </c>
      <c r="B40" s="82"/>
      <c r="C40" s="82"/>
      <c r="D40" s="82"/>
      <c r="E40" s="82"/>
      <c r="F40" s="82"/>
      <c r="G40" s="82"/>
      <c r="H40" s="82"/>
      <c r="I40" s="82"/>
      <c r="J40" s="82"/>
      <c r="K40" s="83"/>
      <c r="M40" s="81" t="s">
        <v>96</v>
      </c>
      <c r="N40" s="82"/>
      <c r="O40" s="82"/>
      <c r="P40" s="82"/>
      <c r="Q40" s="82"/>
      <c r="R40" s="82"/>
      <c r="S40" s="82"/>
      <c r="T40" s="82"/>
      <c r="U40" s="82"/>
      <c r="V40" s="82"/>
      <c r="W40" s="83"/>
    </row>
    <row r="41" spans="1:24" ht="18.75" customHeight="1">
      <c r="A41" s="256" t="s">
        <v>47</v>
      </c>
      <c r="B41" s="257"/>
      <c r="C41" s="257"/>
      <c r="D41" s="257"/>
      <c r="E41" s="257"/>
      <c r="F41" s="257"/>
      <c r="G41" s="257"/>
      <c r="H41" s="257"/>
      <c r="I41" s="257"/>
      <c r="J41" s="257"/>
      <c r="K41" s="258"/>
      <c r="M41" s="256" t="s">
        <v>47</v>
      </c>
      <c r="N41" s="257"/>
      <c r="O41" s="257"/>
      <c r="P41" s="257"/>
      <c r="Q41" s="257"/>
      <c r="R41" s="257"/>
      <c r="S41" s="257"/>
      <c r="T41" s="257"/>
      <c r="U41" s="257"/>
      <c r="V41" s="257"/>
      <c r="W41" s="258"/>
    </row>
    <row r="42" spans="1:24" ht="18.75" customHeight="1">
      <c r="A42" s="248" t="s">
        <v>48</v>
      </c>
      <c r="B42" s="249"/>
      <c r="C42" s="249"/>
      <c r="D42" s="249"/>
      <c r="E42" s="84" t="s">
        <v>49</v>
      </c>
      <c r="F42" s="250" t="s">
        <v>20</v>
      </c>
      <c r="G42" s="249"/>
      <c r="H42" s="249"/>
      <c r="I42" s="249"/>
      <c r="J42" s="249"/>
      <c r="K42" s="252"/>
      <c r="M42" s="248" t="s">
        <v>48</v>
      </c>
      <c r="N42" s="249"/>
      <c r="O42" s="249"/>
      <c r="P42" s="249"/>
      <c r="Q42" s="84" t="s">
        <v>49</v>
      </c>
      <c r="R42" s="250" t="s">
        <v>21</v>
      </c>
      <c r="S42" s="249"/>
      <c r="T42" s="249"/>
      <c r="U42" s="249"/>
      <c r="V42" s="249"/>
      <c r="W42" s="252"/>
    </row>
    <row r="43" spans="1:24" ht="18.75" customHeight="1">
      <c r="A43" s="248" t="s">
        <v>50</v>
      </c>
      <c r="B43" s="249"/>
      <c r="C43" s="249"/>
      <c r="D43" s="249"/>
      <c r="E43" s="84" t="s">
        <v>49</v>
      </c>
      <c r="F43" s="250">
        <v>50038</v>
      </c>
      <c r="G43" s="250"/>
      <c r="H43" s="250"/>
      <c r="I43" s="250"/>
      <c r="J43" s="250"/>
      <c r="K43" s="251"/>
      <c r="M43" s="248" t="s">
        <v>50</v>
      </c>
      <c r="N43" s="249"/>
      <c r="O43" s="249"/>
      <c r="P43" s="249"/>
      <c r="Q43" s="84" t="s">
        <v>49</v>
      </c>
      <c r="R43" s="250">
        <v>50041</v>
      </c>
      <c r="S43" s="250"/>
      <c r="T43" s="250"/>
      <c r="U43" s="250"/>
      <c r="V43" s="250"/>
      <c r="W43" s="251"/>
    </row>
    <row r="44" spans="1:24" ht="18.75" customHeight="1">
      <c r="A44" s="248" t="s">
        <v>51</v>
      </c>
      <c r="B44" s="249"/>
      <c r="C44" s="249"/>
      <c r="D44" s="249"/>
      <c r="E44" s="84" t="s">
        <v>49</v>
      </c>
      <c r="F44" s="249" t="str">
        <f>$L$2</f>
        <v>Gián tiếp</v>
      </c>
      <c r="G44" s="249"/>
      <c r="H44" s="249"/>
      <c r="I44" s="249"/>
      <c r="J44" s="249"/>
      <c r="K44" s="252"/>
      <c r="M44" s="248" t="s">
        <v>51</v>
      </c>
      <c r="N44" s="249"/>
      <c r="O44" s="249"/>
      <c r="P44" s="249"/>
      <c r="Q44" s="84" t="s">
        <v>49</v>
      </c>
      <c r="R44" s="249" t="str">
        <f>$L$2</f>
        <v>Gián tiếp</v>
      </c>
      <c r="S44" s="249"/>
      <c r="T44" s="249"/>
      <c r="U44" s="249"/>
      <c r="V44" s="249"/>
      <c r="W44" s="252"/>
    </row>
    <row r="45" spans="1:24" ht="18.75" customHeight="1">
      <c r="A45" s="256" t="s">
        <v>52</v>
      </c>
      <c r="B45" s="257"/>
      <c r="C45" s="257"/>
      <c r="D45" s="257"/>
      <c r="E45" s="257"/>
      <c r="F45" s="257"/>
      <c r="G45" s="257"/>
      <c r="H45" s="257"/>
      <c r="I45" s="257"/>
      <c r="J45" s="257"/>
      <c r="K45" s="258"/>
      <c r="M45" s="256" t="s">
        <v>52</v>
      </c>
      <c r="N45" s="257"/>
      <c r="O45" s="257"/>
      <c r="P45" s="257"/>
      <c r="Q45" s="257"/>
      <c r="R45" s="257"/>
      <c r="S45" s="257"/>
      <c r="T45" s="257"/>
      <c r="U45" s="257"/>
      <c r="V45" s="257"/>
      <c r="W45" s="258"/>
    </row>
    <row r="46" spans="1:24" ht="18.75" customHeight="1">
      <c r="A46" s="248" t="s">
        <v>53</v>
      </c>
      <c r="B46" s="249"/>
      <c r="C46" s="249"/>
      <c r="D46" s="249"/>
      <c r="E46" s="84" t="s">
        <v>49</v>
      </c>
      <c r="F46" s="263">
        <v>3876000</v>
      </c>
      <c r="G46" s="263"/>
      <c r="H46" s="263"/>
      <c r="I46" s="263"/>
      <c r="J46" s="84" t="s">
        <v>54</v>
      </c>
      <c r="K46" s="85"/>
      <c r="M46" s="248" t="s">
        <v>53</v>
      </c>
      <c r="N46" s="249"/>
      <c r="O46" s="249"/>
      <c r="P46" s="249"/>
      <c r="Q46" s="84" t="s">
        <v>49</v>
      </c>
      <c r="R46" s="263">
        <v>3876000</v>
      </c>
      <c r="S46" s="263"/>
      <c r="T46" s="263"/>
      <c r="U46" s="263"/>
      <c r="V46" s="84" t="s">
        <v>54</v>
      </c>
      <c r="W46" s="85"/>
    </row>
    <row r="47" spans="1:24" ht="18.75" customHeight="1">
      <c r="A47" s="86" t="s">
        <v>55</v>
      </c>
      <c r="B47" s="84"/>
      <c r="C47" s="87"/>
      <c r="D47" s="88"/>
      <c r="E47" s="89"/>
      <c r="F47" s="89"/>
      <c r="G47" s="89"/>
      <c r="H47" s="84"/>
      <c r="I47" s="90">
        <f>'[1]LUONG T7'!F15</f>
        <v>8081.7769230769227</v>
      </c>
      <c r="J47" s="91"/>
      <c r="K47" s="92"/>
      <c r="M47" s="86" t="s">
        <v>55</v>
      </c>
      <c r="N47" s="84"/>
      <c r="O47" s="87"/>
      <c r="P47" s="88"/>
      <c r="Q47" s="89"/>
      <c r="R47" s="89"/>
      <c r="S47" s="89"/>
      <c r="T47" s="84"/>
      <c r="U47" s="90">
        <f>'[1]LUONG T7'!F17</f>
        <v>8763.2692307692323</v>
      </c>
      <c r="V47" s="91"/>
      <c r="W47" s="92"/>
    </row>
    <row r="48" spans="1:24" ht="18.75" customHeight="1">
      <c r="A48" s="86" t="s">
        <v>56</v>
      </c>
      <c r="B48" s="84"/>
      <c r="C48" s="87"/>
      <c r="D48" s="88"/>
      <c r="E48" s="89"/>
      <c r="F48" s="89"/>
      <c r="G48" s="89"/>
      <c r="H48" s="84"/>
      <c r="I48" s="90">
        <f>I49/C49/8</f>
        <v>23128.998992805748</v>
      </c>
      <c r="J48" s="91"/>
      <c r="K48" s="92"/>
      <c r="M48" s="86" t="s">
        <v>56</v>
      </c>
      <c r="N48" s="84"/>
      <c r="O48" s="87"/>
      <c r="P48" s="88"/>
      <c r="Q48" s="89"/>
      <c r="R48" s="89"/>
      <c r="S48" s="89"/>
      <c r="T48" s="84"/>
      <c r="U48" s="90">
        <f>U49/O49/8</f>
        <v>26560.217142857149</v>
      </c>
      <c r="V48" s="91"/>
      <c r="W48" s="92"/>
    </row>
    <row r="49" spans="1:24" ht="18.75" customHeight="1">
      <c r="A49" s="86" t="s">
        <v>57</v>
      </c>
      <c r="B49" s="84" t="s">
        <v>49</v>
      </c>
      <c r="C49" s="87">
        <f>'[1]LUONG T7'!I14</f>
        <v>25.5</v>
      </c>
      <c r="D49" s="88" t="s">
        <v>58</v>
      </c>
      <c r="E49" s="261" t="s">
        <v>59</v>
      </c>
      <c r="F49" s="261"/>
      <c r="G49" s="261"/>
      <c r="H49" s="84" t="s">
        <v>49</v>
      </c>
      <c r="I49" s="262">
        <f>'[1]LUONG T7'!I15</f>
        <v>4718315.7945323726</v>
      </c>
      <c r="J49" s="262"/>
      <c r="K49" s="92" t="s">
        <v>54</v>
      </c>
      <c r="L49" s="93">
        <f>F46/L39*C49</f>
        <v>3953520</v>
      </c>
      <c r="M49" s="86" t="s">
        <v>57</v>
      </c>
      <c r="N49" s="84" t="s">
        <v>49</v>
      </c>
      <c r="O49" s="87">
        <f>'[1]LUONG T7'!I16</f>
        <v>25</v>
      </c>
      <c r="P49" s="88" t="s">
        <v>58</v>
      </c>
      <c r="Q49" s="261" t="s">
        <v>59</v>
      </c>
      <c r="R49" s="261"/>
      <c r="S49" s="261"/>
      <c r="T49" s="84" t="s">
        <v>49</v>
      </c>
      <c r="U49" s="262">
        <f>'[1]LUONG T7'!I17</f>
        <v>5312043.42857143</v>
      </c>
      <c r="V49" s="262"/>
      <c r="W49" s="92" t="s">
        <v>54</v>
      </c>
      <c r="X49" s="93">
        <f>R46/X39*O49</f>
        <v>3876000</v>
      </c>
    </row>
    <row r="50" spans="1:24" ht="18.75" customHeight="1">
      <c r="A50" s="86" t="s">
        <v>60</v>
      </c>
      <c r="B50" s="84" t="s">
        <v>49</v>
      </c>
      <c r="C50" s="87">
        <f>'[1]LUONG T7'!J14</f>
        <v>0.5</v>
      </c>
      <c r="D50" s="88" t="s">
        <v>58</v>
      </c>
      <c r="E50" s="249" t="s">
        <v>61</v>
      </c>
      <c r="F50" s="249"/>
      <c r="G50" s="249"/>
      <c r="H50" s="84" t="s">
        <v>49</v>
      </c>
      <c r="I50" s="260">
        <f>$F$8/$L$1*C50</f>
        <v>74538.461538461532</v>
      </c>
      <c r="J50" s="260"/>
      <c r="K50" s="92" t="s">
        <v>54</v>
      </c>
      <c r="L50" s="93"/>
      <c r="M50" s="86" t="s">
        <v>60</v>
      </c>
      <c r="N50" s="84" t="s">
        <v>49</v>
      </c>
      <c r="O50" s="87">
        <f>'[1]LUONG T7'!J16</f>
        <v>1</v>
      </c>
      <c r="P50" s="88" t="s">
        <v>58</v>
      </c>
      <c r="Q50" s="249" t="s">
        <v>61</v>
      </c>
      <c r="R50" s="249"/>
      <c r="S50" s="249"/>
      <c r="T50" s="84" t="s">
        <v>49</v>
      </c>
      <c r="U50" s="260">
        <f>$F$8/$L$1*O50</f>
        <v>149076.92307692306</v>
      </c>
      <c r="V50" s="260"/>
      <c r="W50" s="92" t="s">
        <v>54</v>
      </c>
      <c r="X50" s="93"/>
    </row>
    <row r="51" spans="1:24" ht="18.75" customHeight="1">
      <c r="A51" s="86" t="s">
        <v>62</v>
      </c>
      <c r="B51" s="84" t="s">
        <v>49</v>
      </c>
      <c r="C51" s="87">
        <f>'[1]LUONG T7'!K14</f>
        <v>0</v>
      </c>
      <c r="D51" s="88" t="s">
        <v>58</v>
      </c>
      <c r="E51" s="259" t="s">
        <v>63</v>
      </c>
      <c r="F51" s="259"/>
      <c r="G51" s="259"/>
      <c r="H51" s="84" t="s">
        <v>49</v>
      </c>
      <c r="I51" s="260">
        <f>$F$8/$L$1*C51</f>
        <v>0</v>
      </c>
      <c r="J51" s="260"/>
      <c r="K51" s="92" t="s">
        <v>54</v>
      </c>
      <c r="L51" s="93"/>
      <c r="M51" s="86" t="s">
        <v>62</v>
      </c>
      <c r="N51" s="84" t="s">
        <v>49</v>
      </c>
      <c r="O51" s="87">
        <f>'[1]LUONG T7'!K16</f>
        <v>0</v>
      </c>
      <c r="P51" s="88" t="s">
        <v>58</v>
      </c>
      <c r="Q51" s="259" t="s">
        <v>63</v>
      </c>
      <c r="R51" s="259"/>
      <c r="S51" s="259"/>
      <c r="T51" s="84" t="s">
        <v>49</v>
      </c>
      <c r="U51" s="260">
        <f>$F$8/$L$1*O51</f>
        <v>0</v>
      </c>
      <c r="V51" s="260"/>
      <c r="W51" s="92" t="s">
        <v>54</v>
      </c>
      <c r="X51" s="93"/>
    </row>
    <row r="52" spans="1:24" ht="18.75" customHeight="1">
      <c r="A52" s="86" t="s">
        <v>64</v>
      </c>
      <c r="B52" s="84" t="s">
        <v>49</v>
      </c>
      <c r="C52" s="87">
        <f>'[1]LUONG T7'!L14</f>
        <v>0</v>
      </c>
      <c r="D52" s="88" t="s">
        <v>58</v>
      </c>
      <c r="E52" s="259" t="s">
        <v>65</v>
      </c>
      <c r="F52" s="259"/>
      <c r="G52" s="259"/>
      <c r="H52" s="84" t="s">
        <v>49</v>
      </c>
      <c r="I52" s="260">
        <f>$F$8/$L$1*C52</f>
        <v>0</v>
      </c>
      <c r="J52" s="260"/>
      <c r="K52" s="92" t="s">
        <v>54</v>
      </c>
      <c r="L52" s="93"/>
      <c r="M52" s="86" t="s">
        <v>64</v>
      </c>
      <c r="N52" s="84" t="s">
        <v>49</v>
      </c>
      <c r="O52" s="87">
        <f>'[1]LUONG T7'!L16</f>
        <v>0</v>
      </c>
      <c r="P52" s="88" t="s">
        <v>58</v>
      </c>
      <c r="Q52" s="259" t="s">
        <v>65</v>
      </c>
      <c r="R52" s="259"/>
      <c r="S52" s="259"/>
      <c r="T52" s="84" t="s">
        <v>49</v>
      </c>
      <c r="U52" s="260">
        <f>$F$8/$L$1*O52</f>
        <v>0</v>
      </c>
      <c r="V52" s="260"/>
      <c r="W52" s="92" t="s">
        <v>54</v>
      </c>
      <c r="X52" s="93"/>
    </row>
    <row r="53" spans="1:24" ht="18.75" customHeight="1">
      <c r="A53" s="86" t="s">
        <v>66</v>
      </c>
      <c r="B53" s="84" t="s">
        <v>49</v>
      </c>
      <c r="C53" s="87">
        <f>'[1]LUONG T7'!Q14</f>
        <v>74</v>
      </c>
      <c r="D53" s="88" t="s">
        <v>67</v>
      </c>
      <c r="E53" s="249" t="s">
        <v>68</v>
      </c>
      <c r="F53" s="249"/>
      <c r="G53" s="249"/>
      <c r="H53" s="84" t="s">
        <v>49</v>
      </c>
      <c r="I53" s="260">
        <f>'[1]LUONG T7'!Q15</f>
        <v>2567318.8882014379</v>
      </c>
      <c r="J53" s="260"/>
      <c r="K53" s="92" t="s">
        <v>54</v>
      </c>
      <c r="L53" s="93">
        <f>F46*C53/L39/8*1.5</f>
        <v>2151180</v>
      </c>
      <c r="M53" s="86" t="s">
        <v>66</v>
      </c>
      <c r="N53" s="84" t="s">
        <v>49</v>
      </c>
      <c r="O53" s="87">
        <f>'[1]LUONG T7'!Q16</f>
        <v>62.5</v>
      </c>
      <c r="P53" s="88" t="s">
        <v>67</v>
      </c>
      <c r="Q53" s="249" t="s">
        <v>68</v>
      </c>
      <c r="R53" s="249"/>
      <c r="S53" s="249"/>
      <c r="T53" s="84" t="s">
        <v>49</v>
      </c>
      <c r="U53" s="260">
        <f>'[1]LUONG T7'!Q17</f>
        <v>2490020.3571428573</v>
      </c>
      <c r="V53" s="260"/>
      <c r="W53" s="92" t="s">
        <v>54</v>
      </c>
      <c r="X53" s="93">
        <f>R46*O53/X39/8*1.5</f>
        <v>1816875</v>
      </c>
    </row>
    <row r="54" spans="1:24" ht="18.75" customHeight="1">
      <c r="A54" s="248" t="s">
        <v>69</v>
      </c>
      <c r="B54" s="249"/>
      <c r="C54" s="87"/>
      <c r="D54" s="88" t="s">
        <v>58</v>
      </c>
      <c r="E54" s="249" t="s">
        <v>70</v>
      </c>
      <c r="F54" s="249"/>
      <c r="G54" s="249"/>
      <c r="H54" s="94" t="s">
        <v>49</v>
      </c>
      <c r="I54" s="260"/>
      <c r="J54" s="260"/>
      <c r="K54" s="92" t="s">
        <v>54</v>
      </c>
      <c r="L54" s="93"/>
      <c r="M54" s="248" t="s">
        <v>69</v>
      </c>
      <c r="N54" s="249"/>
      <c r="O54" s="87"/>
      <c r="P54" s="88" t="s">
        <v>58</v>
      </c>
      <c r="Q54" s="249" t="s">
        <v>70</v>
      </c>
      <c r="R54" s="249"/>
      <c r="S54" s="249"/>
      <c r="T54" s="94" t="s">
        <v>49</v>
      </c>
      <c r="U54" s="260"/>
      <c r="V54" s="260"/>
      <c r="W54" s="92" t="s">
        <v>54</v>
      </c>
      <c r="X54" s="93"/>
    </row>
    <row r="55" spans="1:24" ht="18.75" customHeight="1">
      <c r="A55" s="86" t="s">
        <v>71</v>
      </c>
      <c r="B55" s="84" t="s">
        <v>49</v>
      </c>
      <c r="C55" s="87"/>
      <c r="D55" s="88" t="s">
        <v>58</v>
      </c>
      <c r="E55" s="249" t="s">
        <v>72</v>
      </c>
      <c r="F55" s="249"/>
      <c r="G55" s="249"/>
      <c r="H55" s="84" t="s">
        <v>49</v>
      </c>
      <c r="I55" s="260"/>
      <c r="J55" s="260"/>
      <c r="K55" s="92" t="s">
        <v>54</v>
      </c>
      <c r="L55" s="93"/>
      <c r="M55" s="86" t="s">
        <v>71</v>
      </c>
      <c r="N55" s="84" t="s">
        <v>49</v>
      </c>
      <c r="O55" s="87"/>
      <c r="P55" s="88" t="s">
        <v>58</v>
      </c>
      <c r="Q55" s="249" t="s">
        <v>72</v>
      </c>
      <c r="R55" s="249"/>
      <c r="S55" s="249"/>
      <c r="T55" s="84" t="s">
        <v>49</v>
      </c>
      <c r="U55" s="260"/>
      <c r="V55" s="260"/>
      <c r="W55" s="92" t="s">
        <v>54</v>
      </c>
      <c r="X55" s="93"/>
    </row>
    <row r="56" spans="1:24" ht="18.75" customHeight="1">
      <c r="A56" s="95" t="s">
        <v>73</v>
      </c>
      <c r="B56" s="84"/>
      <c r="C56" s="87">
        <f>'[1]LUONG T7'!M14</f>
        <v>0</v>
      </c>
      <c r="D56" s="88" t="s">
        <v>67</v>
      </c>
      <c r="E56" s="249" t="s">
        <v>74</v>
      </c>
      <c r="F56" s="249"/>
      <c r="G56" s="249"/>
      <c r="H56" s="84" t="s">
        <v>49</v>
      </c>
      <c r="I56" s="260">
        <f>$F$8*C56/8/$L$1</f>
        <v>0</v>
      </c>
      <c r="J56" s="260"/>
      <c r="K56" s="92" t="s">
        <v>54</v>
      </c>
      <c r="L56" s="93"/>
      <c r="M56" s="95" t="s">
        <v>73</v>
      </c>
      <c r="N56" s="84"/>
      <c r="O56" s="87">
        <f>'[1]LUONG T7'!M16</f>
        <v>0</v>
      </c>
      <c r="P56" s="88" t="s">
        <v>67</v>
      </c>
      <c r="Q56" s="249" t="s">
        <v>74</v>
      </c>
      <c r="R56" s="249"/>
      <c r="S56" s="249"/>
      <c r="T56" s="84" t="s">
        <v>49</v>
      </c>
      <c r="U56" s="260">
        <f>$F$8*O56/8/$L$1</f>
        <v>0</v>
      </c>
      <c r="V56" s="260"/>
      <c r="W56" s="92" t="s">
        <v>54</v>
      </c>
      <c r="X56" s="93"/>
    </row>
    <row r="57" spans="1:24" ht="18.75" customHeight="1">
      <c r="A57" s="86" t="s">
        <v>75</v>
      </c>
      <c r="B57" s="84" t="s">
        <v>49</v>
      </c>
      <c r="C57" s="87"/>
      <c r="D57" s="88" t="s">
        <v>67</v>
      </c>
      <c r="E57" s="249" t="s">
        <v>97</v>
      </c>
      <c r="F57" s="249"/>
      <c r="G57" s="249"/>
      <c r="H57" s="84" t="s">
        <v>49</v>
      </c>
      <c r="I57" s="262">
        <v>240000</v>
      </c>
      <c r="J57" s="262"/>
      <c r="K57" s="92" t="s">
        <v>54</v>
      </c>
      <c r="L57" s="93"/>
      <c r="M57" s="86" t="s">
        <v>75</v>
      </c>
      <c r="N57" s="84" t="s">
        <v>49</v>
      </c>
      <c r="O57" s="87"/>
      <c r="P57" s="88" t="s">
        <v>67</v>
      </c>
      <c r="Q57" s="249" t="s">
        <v>76</v>
      </c>
      <c r="R57" s="249"/>
      <c r="S57" s="249"/>
      <c r="T57" s="84" t="s">
        <v>49</v>
      </c>
      <c r="U57" s="262">
        <v>232500</v>
      </c>
      <c r="V57" s="262"/>
      <c r="W57" s="92" t="s">
        <v>54</v>
      </c>
      <c r="X57" s="93"/>
    </row>
    <row r="58" spans="1:24" ht="18.75" customHeight="1">
      <c r="A58" s="86" t="s">
        <v>77</v>
      </c>
      <c r="B58" s="84" t="s">
        <v>49</v>
      </c>
      <c r="C58" s="87"/>
      <c r="D58" s="88" t="s">
        <v>78</v>
      </c>
      <c r="E58" s="96" t="s">
        <v>79</v>
      </c>
      <c r="F58" s="96"/>
      <c r="G58" s="96"/>
      <c r="H58" s="84" t="s">
        <v>49</v>
      </c>
      <c r="I58" s="260"/>
      <c r="J58" s="260"/>
      <c r="K58" s="92" t="s">
        <v>54</v>
      </c>
      <c r="L58" s="93">
        <f>+IF(L49-I49&lt;0,0,L49-I49)+IF(L53-I53&lt;0,0,L53-I53)</f>
        <v>0</v>
      </c>
      <c r="M58" s="86" t="s">
        <v>77</v>
      </c>
      <c r="N58" s="84" t="s">
        <v>49</v>
      </c>
      <c r="O58" s="87"/>
      <c r="P58" s="88" t="s">
        <v>78</v>
      </c>
      <c r="Q58" s="96" t="s">
        <v>79</v>
      </c>
      <c r="R58" s="96"/>
      <c r="S58" s="96"/>
      <c r="T58" s="84" t="s">
        <v>49</v>
      </c>
      <c r="U58" s="260"/>
      <c r="V58" s="260"/>
      <c r="W58" s="92" t="s">
        <v>54</v>
      </c>
      <c r="X58" s="93">
        <f>+IF(X49-U49&lt;0,0,X49-U49)+IF(X53-U53&lt;0,0,X53-U53)</f>
        <v>0</v>
      </c>
    </row>
    <row r="59" spans="1:24" ht="18.75" customHeight="1">
      <c r="A59" s="97" t="s">
        <v>80</v>
      </c>
      <c r="B59" s="98"/>
      <c r="C59" s="87"/>
      <c r="D59" s="88" t="s">
        <v>58</v>
      </c>
      <c r="E59" s="249" t="s">
        <v>81</v>
      </c>
      <c r="F59" s="249"/>
      <c r="G59" s="249"/>
      <c r="H59" s="84" t="s">
        <v>49</v>
      </c>
      <c r="I59" s="260">
        <v>324000</v>
      </c>
      <c r="J59" s="260"/>
      <c r="K59" s="92" t="s">
        <v>54</v>
      </c>
      <c r="L59" s="93"/>
      <c r="M59" s="97" t="s">
        <v>80</v>
      </c>
      <c r="N59" s="98"/>
      <c r="O59" s="87"/>
      <c r="P59" s="88" t="s">
        <v>58</v>
      </c>
      <c r="Q59" s="249" t="s">
        <v>81</v>
      </c>
      <c r="R59" s="249"/>
      <c r="S59" s="249"/>
      <c r="T59" s="84" t="s">
        <v>49</v>
      </c>
      <c r="U59" s="260">
        <v>318000</v>
      </c>
      <c r="V59" s="260"/>
      <c r="W59" s="92" t="s">
        <v>54</v>
      </c>
      <c r="X59" s="93"/>
    </row>
    <row r="60" spans="1:24" ht="18.75" customHeight="1">
      <c r="A60" s="267" t="s">
        <v>82</v>
      </c>
      <c r="B60" s="261"/>
      <c r="C60" s="87"/>
      <c r="D60" s="88"/>
      <c r="E60" s="89"/>
      <c r="F60" s="89"/>
      <c r="G60" s="89"/>
      <c r="H60" s="84" t="s">
        <v>49</v>
      </c>
      <c r="I60" s="260">
        <f>'[1]LUONG T7'!P15</f>
        <v>0</v>
      </c>
      <c r="J60" s="260"/>
      <c r="K60" s="92" t="s">
        <v>54</v>
      </c>
      <c r="L60" s="93"/>
      <c r="M60" s="267" t="s">
        <v>82</v>
      </c>
      <c r="N60" s="261"/>
      <c r="O60" s="87"/>
      <c r="P60" s="88"/>
      <c r="Q60" s="89"/>
      <c r="R60" s="89"/>
      <c r="S60" s="89"/>
      <c r="T60" s="84" t="s">
        <v>49</v>
      </c>
      <c r="U60" s="260">
        <f>'[1]LUONG T7'!P17</f>
        <v>0</v>
      </c>
      <c r="V60" s="260"/>
      <c r="W60" s="92" t="s">
        <v>54</v>
      </c>
      <c r="X60" s="93"/>
    </row>
    <row r="61" spans="1:24" ht="18.75" customHeight="1">
      <c r="A61" s="86" t="s">
        <v>83</v>
      </c>
      <c r="B61" s="84" t="s">
        <v>49</v>
      </c>
      <c r="C61" s="87"/>
      <c r="D61" s="88"/>
      <c r="E61" s="89" t="s">
        <v>84</v>
      </c>
      <c r="F61" s="89"/>
      <c r="G61" s="89"/>
      <c r="H61" s="84" t="s">
        <v>49</v>
      </c>
      <c r="I61" s="260">
        <f>L58</f>
        <v>0</v>
      </c>
      <c r="J61" s="260"/>
      <c r="K61" s="92" t="s">
        <v>54</v>
      </c>
      <c r="L61" s="93"/>
      <c r="M61" s="86" t="s">
        <v>83</v>
      </c>
      <c r="N61" s="84" t="s">
        <v>49</v>
      </c>
      <c r="O61" s="87"/>
      <c r="P61" s="88"/>
      <c r="Q61" s="89" t="s">
        <v>84</v>
      </c>
      <c r="R61" s="89"/>
      <c r="S61" s="89"/>
      <c r="T61" s="84" t="s">
        <v>49</v>
      </c>
      <c r="U61" s="260">
        <f>X58</f>
        <v>0</v>
      </c>
      <c r="V61" s="260"/>
      <c r="W61" s="92" t="s">
        <v>54</v>
      </c>
      <c r="X61" s="93"/>
    </row>
    <row r="62" spans="1:24" ht="18.75" customHeight="1">
      <c r="A62" s="264" t="s">
        <v>85</v>
      </c>
      <c r="B62" s="265"/>
      <c r="C62" s="265"/>
      <c r="D62" s="265"/>
      <c r="E62" s="265"/>
      <c r="F62" s="265"/>
      <c r="G62" s="84" t="s">
        <v>49</v>
      </c>
      <c r="H62" s="266">
        <f>+I59+I49+I50+I51+I52+I53+I56+I60+I61+I57</f>
        <v>7924173.1442722725</v>
      </c>
      <c r="I62" s="266"/>
      <c r="J62" s="266"/>
      <c r="K62" s="92" t="s">
        <v>54</v>
      </c>
      <c r="M62" s="264" t="s">
        <v>85</v>
      </c>
      <c r="N62" s="265"/>
      <c r="O62" s="265"/>
      <c r="P62" s="265"/>
      <c r="Q62" s="265"/>
      <c r="R62" s="265"/>
      <c r="S62" s="84" t="s">
        <v>49</v>
      </c>
      <c r="T62" s="266">
        <f>+U59+U49+U50+U51+U52+U53+U56+U60+U61+U57</f>
        <v>8501640.7087912112</v>
      </c>
      <c r="U62" s="266"/>
      <c r="V62" s="266"/>
      <c r="W62" s="92" t="s">
        <v>54</v>
      </c>
    </row>
    <row r="63" spans="1:24" ht="18.75" customHeight="1">
      <c r="A63" s="99"/>
      <c r="B63" s="100"/>
      <c r="C63" s="100"/>
      <c r="D63" s="100"/>
      <c r="E63" s="100"/>
      <c r="F63" s="100"/>
      <c r="G63" s="100"/>
      <c r="H63" s="100"/>
      <c r="I63" s="100"/>
      <c r="J63" s="100"/>
      <c r="K63" s="101"/>
      <c r="M63" s="99"/>
      <c r="N63" s="100"/>
      <c r="O63" s="100"/>
      <c r="P63" s="100"/>
      <c r="Q63" s="100"/>
      <c r="R63" s="100"/>
      <c r="S63" s="100"/>
      <c r="T63" s="100"/>
      <c r="U63" s="100"/>
      <c r="V63" s="100"/>
      <c r="W63" s="101"/>
    </row>
    <row r="64" spans="1:24" ht="18.75" customHeight="1">
      <c r="A64" s="274" t="s">
        <v>86</v>
      </c>
      <c r="B64" s="275"/>
      <c r="C64" s="275"/>
      <c r="D64" s="275"/>
      <c r="E64" s="275"/>
      <c r="F64" s="275"/>
      <c r="G64" s="84"/>
      <c r="H64" s="84"/>
      <c r="I64" s="84"/>
      <c r="J64" s="84"/>
      <c r="K64" s="92"/>
      <c r="M64" s="274" t="s">
        <v>86</v>
      </c>
      <c r="N64" s="275"/>
      <c r="O64" s="275"/>
      <c r="P64" s="275"/>
      <c r="Q64" s="275"/>
      <c r="R64" s="275"/>
      <c r="S64" s="84"/>
      <c r="T64" s="84"/>
      <c r="U64" s="84"/>
      <c r="V64" s="84"/>
      <c r="W64" s="92"/>
    </row>
    <row r="65" spans="1:24" ht="18.75" customHeight="1">
      <c r="A65" s="268" t="s">
        <v>87</v>
      </c>
      <c r="B65" s="269"/>
      <c r="C65" s="269"/>
      <c r="D65" s="269"/>
      <c r="E65" s="269"/>
      <c r="F65" s="269"/>
      <c r="G65" s="84" t="s">
        <v>49</v>
      </c>
      <c r="H65" s="276">
        <f>IF(($L$1-(C49+C50+C51+C52))&gt;12,0,F46*8%)</f>
        <v>310080</v>
      </c>
      <c r="I65" s="276"/>
      <c r="J65" s="276"/>
      <c r="K65" s="92" t="s">
        <v>54</v>
      </c>
      <c r="M65" s="268" t="s">
        <v>87</v>
      </c>
      <c r="N65" s="269"/>
      <c r="O65" s="269"/>
      <c r="P65" s="269"/>
      <c r="Q65" s="269"/>
      <c r="R65" s="269"/>
      <c r="S65" s="84" t="s">
        <v>49</v>
      </c>
      <c r="T65" s="276">
        <f>IF(($L$1-(O49+O50+O51+O52))&gt;12,0,R46*8%)</f>
        <v>310080</v>
      </c>
      <c r="U65" s="276"/>
      <c r="V65" s="276"/>
      <c r="W65" s="92" t="s">
        <v>54</v>
      </c>
    </row>
    <row r="66" spans="1:24" ht="18.75" customHeight="1">
      <c r="A66" s="268" t="s">
        <v>88</v>
      </c>
      <c r="B66" s="269"/>
      <c r="C66" s="269"/>
      <c r="D66" s="269"/>
      <c r="E66" s="269"/>
      <c r="F66" s="269"/>
      <c r="G66" s="84" t="s">
        <v>49</v>
      </c>
      <c r="H66" s="270">
        <f>IF(($L$1-(C49+C50+C51+C52))&gt;12,0,F46*1.5%)</f>
        <v>58140</v>
      </c>
      <c r="I66" s="270"/>
      <c r="J66" s="270"/>
      <c r="K66" s="92" t="s">
        <v>54</v>
      </c>
      <c r="M66" s="268" t="s">
        <v>88</v>
      </c>
      <c r="N66" s="269"/>
      <c r="O66" s="269"/>
      <c r="P66" s="269"/>
      <c r="Q66" s="269"/>
      <c r="R66" s="269"/>
      <c r="S66" s="84" t="s">
        <v>49</v>
      </c>
      <c r="T66" s="270">
        <f>IF(($L$1-(O49+O50+O51+O52))&gt;12,0,R46*1.5%)</f>
        <v>58140</v>
      </c>
      <c r="U66" s="270"/>
      <c r="V66" s="270"/>
      <c r="W66" s="92" t="s">
        <v>54</v>
      </c>
    </row>
    <row r="67" spans="1:24" ht="18.75" customHeight="1">
      <c r="A67" s="268" t="s">
        <v>89</v>
      </c>
      <c r="B67" s="269"/>
      <c r="C67" s="269"/>
      <c r="D67" s="269"/>
      <c r="E67" s="269"/>
      <c r="F67" s="269"/>
      <c r="G67" s="84" t="s">
        <v>49</v>
      </c>
      <c r="H67" s="270">
        <f>IF(($L$1-(C49+C50+C51+C52))&gt;12,0,F46*1%)</f>
        <v>38760</v>
      </c>
      <c r="I67" s="270"/>
      <c r="J67" s="270"/>
      <c r="K67" s="92" t="s">
        <v>54</v>
      </c>
      <c r="M67" s="268" t="s">
        <v>89</v>
      </c>
      <c r="N67" s="269"/>
      <c r="O67" s="269"/>
      <c r="P67" s="269"/>
      <c r="Q67" s="269"/>
      <c r="R67" s="269"/>
      <c r="S67" s="84" t="s">
        <v>49</v>
      </c>
      <c r="T67" s="270">
        <f>IF(($L$1-(O49+O50+O51+O52))&gt;12,0,R46*1%)</f>
        <v>38760</v>
      </c>
      <c r="U67" s="270"/>
      <c r="V67" s="270"/>
      <c r="W67" s="92" t="s">
        <v>54</v>
      </c>
    </row>
    <row r="68" spans="1:24" ht="18.75" customHeight="1">
      <c r="A68" s="268" t="s">
        <v>90</v>
      </c>
      <c r="B68" s="269"/>
      <c r="C68" s="269"/>
      <c r="D68" s="269"/>
      <c r="E68" s="269"/>
      <c r="F68" s="269"/>
      <c r="G68" s="84" t="s">
        <v>49</v>
      </c>
      <c r="H68" s="270">
        <v>0</v>
      </c>
      <c r="I68" s="270"/>
      <c r="J68" s="270"/>
      <c r="K68" s="92" t="s">
        <v>54</v>
      </c>
      <c r="M68" s="268" t="s">
        <v>90</v>
      </c>
      <c r="N68" s="269"/>
      <c r="O68" s="269"/>
      <c r="P68" s="269"/>
      <c r="Q68" s="269"/>
      <c r="R68" s="269"/>
      <c r="S68" s="84" t="s">
        <v>49</v>
      </c>
      <c r="T68" s="270">
        <v>0</v>
      </c>
      <c r="U68" s="270"/>
      <c r="V68" s="270"/>
      <c r="W68" s="92" t="s">
        <v>54</v>
      </c>
    </row>
    <row r="69" spans="1:24" ht="18.75" customHeight="1">
      <c r="A69" s="271" t="s">
        <v>91</v>
      </c>
      <c r="B69" s="272"/>
      <c r="C69" s="272"/>
      <c r="D69" s="272"/>
      <c r="E69" s="272"/>
      <c r="F69" s="272"/>
      <c r="G69" s="84" t="s">
        <v>49</v>
      </c>
      <c r="H69" s="273">
        <f>SUM(H65:J68)</f>
        <v>406980</v>
      </c>
      <c r="I69" s="273"/>
      <c r="J69" s="273"/>
      <c r="K69" s="92" t="s">
        <v>54</v>
      </c>
      <c r="M69" s="271" t="s">
        <v>91</v>
      </c>
      <c r="N69" s="272"/>
      <c r="O69" s="272"/>
      <c r="P69" s="272"/>
      <c r="Q69" s="272"/>
      <c r="R69" s="272"/>
      <c r="S69" s="84" t="s">
        <v>49</v>
      </c>
      <c r="T69" s="273">
        <f>SUM(T65:V68)</f>
        <v>406980</v>
      </c>
      <c r="U69" s="273"/>
      <c r="V69" s="273"/>
      <c r="W69" s="92" t="s">
        <v>54</v>
      </c>
    </row>
    <row r="70" spans="1:24" ht="18.75" customHeight="1">
      <c r="A70" s="268" t="s">
        <v>92</v>
      </c>
      <c r="B70" s="269"/>
      <c r="C70" s="269"/>
      <c r="D70" s="269"/>
      <c r="E70" s="269"/>
      <c r="F70" s="269"/>
      <c r="G70" s="84" t="s">
        <v>49</v>
      </c>
      <c r="H70" s="280">
        <f>ROUND(H62-H69,-2)</f>
        <v>7517200</v>
      </c>
      <c r="I70" s="280"/>
      <c r="J70" s="280"/>
      <c r="K70" s="92" t="s">
        <v>54</v>
      </c>
      <c r="M70" s="268" t="s">
        <v>92</v>
      </c>
      <c r="N70" s="269"/>
      <c r="O70" s="269"/>
      <c r="P70" s="269"/>
      <c r="Q70" s="269"/>
      <c r="R70" s="269"/>
      <c r="S70" s="84" t="s">
        <v>49</v>
      </c>
      <c r="T70" s="280">
        <f>ROUND(T62-T69,-2)</f>
        <v>8094700</v>
      </c>
      <c r="U70" s="280"/>
      <c r="V70" s="280"/>
      <c r="W70" s="92" t="s">
        <v>54</v>
      </c>
    </row>
    <row r="71" spans="1:24" ht="18.75" customHeight="1">
      <c r="A71" s="102"/>
      <c r="B71" s="103"/>
      <c r="C71" s="103"/>
      <c r="D71" s="103"/>
      <c r="E71" s="103"/>
      <c r="F71" s="103"/>
      <c r="G71" s="103"/>
      <c r="H71" s="103"/>
      <c r="I71" s="103"/>
      <c r="J71" s="103"/>
      <c r="K71" s="104"/>
      <c r="M71" s="102"/>
      <c r="N71" s="103"/>
      <c r="O71" s="103"/>
      <c r="P71" s="103"/>
      <c r="Q71" s="103"/>
      <c r="R71" s="103"/>
      <c r="S71" s="103"/>
      <c r="T71" s="103"/>
      <c r="U71" s="103"/>
      <c r="V71" s="103"/>
      <c r="W71" s="104"/>
    </row>
    <row r="72" spans="1:24" ht="18.75" customHeight="1">
      <c r="A72" s="105"/>
      <c r="B72" s="84"/>
      <c r="C72" s="84"/>
      <c r="D72" s="84"/>
      <c r="E72" s="84"/>
      <c r="F72" s="84"/>
      <c r="G72" s="84"/>
      <c r="H72" s="84"/>
      <c r="I72" s="277" t="s">
        <v>93</v>
      </c>
      <c r="J72" s="277"/>
      <c r="K72" s="281"/>
      <c r="M72" s="105"/>
      <c r="N72" s="84"/>
      <c r="O72" s="84"/>
      <c r="P72" s="84"/>
      <c r="Q72" s="84"/>
      <c r="R72" s="84"/>
      <c r="S72" s="84"/>
      <c r="T72" s="84"/>
      <c r="U72" s="277" t="s">
        <v>93</v>
      </c>
      <c r="V72" s="277"/>
      <c r="W72" s="281"/>
    </row>
    <row r="73" spans="1:24" ht="18.75" customHeight="1">
      <c r="A73" s="105"/>
      <c r="B73" s="277"/>
      <c r="C73" s="277"/>
      <c r="D73" s="277"/>
      <c r="E73" s="277"/>
      <c r="F73" s="84"/>
      <c r="G73" s="84"/>
      <c r="H73" s="84"/>
      <c r="I73" s="84"/>
      <c r="J73" s="84"/>
      <c r="K73" s="85"/>
      <c r="M73" s="105"/>
      <c r="N73" s="277"/>
      <c r="O73" s="277"/>
      <c r="P73" s="277"/>
      <c r="Q73" s="277"/>
      <c r="R73" s="84"/>
      <c r="S73" s="84"/>
      <c r="T73" s="84"/>
      <c r="U73" s="84"/>
      <c r="V73" s="84"/>
      <c r="W73" s="85"/>
    </row>
    <row r="74" spans="1:24" ht="18.75" customHeight="1" thickBot="1">
      <c r="A74" s="106"/>
      <c r="B74" s="107"/>
      <c r="C74" s="107"/>
      <c r="D74" s="107"/>
      <c r="E74" s="107"/>
      <c r="F74" s="107"/>
      <c r="G74" s="107"/>
      <c r="H74" s="107"/>
      <c r="I74" s="278" t="s">
        <v>94</v>
      </c>
      <c r="J74" s="278"/>
      <c r="K74" s="279"/>
      <c r="M74" s="106"/>
      <c r="N74" s="107"/>
      <c r="O74" s="107"/>
      <c r="P74" s="107"/>
      <c r="Q74" s="107"/>
      <c r="R74" s="107"/>
      <c r="S74" s="107"/>
      <c r="T74" s="107"/>
      <c r="U74" s="278" t="s">
        <v>94</v>
      </c>
      <c r="V74" s="278"/>
      <c r="W74" s="279"/>
    </row>
    <row r="76" spans="1:24" ht="18.75" customHeight="1" thickTop="1">
      <c r="A76" s="253" t="s">
        <v>43</v>
      </c>
      <c r="B76" s="254"/>
      <c r="C76" s="254"/>
      <c r="D76" s="254"/>
      <c r="E76" s="254"/>
      <c r="F76" s="254"/>
      <c r="G76" s="254"/>
      <c r="H76" s="254"/>
      <c r="I76" s="254"/>
      <c r="J76" s="254"/>
      <c r="K76" s="255"/>
      <c r="L76" s="80">
        <v>25</v>
      </c>
      <c r="M76" s="253" t="s">
        <v>43</v>
      </c>
      <c r="N76" s="254"/>
      <c r="O76" s="254"/>
      <c r="P76" s="254"/>
      <c r="Q76" s="254"/>
      <c r="R76" s="254"/>
      <c r="S76" s="254"/>
      <c r="T76" s="254"/>
      <c r="U76" s="254"/>
      <c r="V76" s="254"/>
      <c r="W76" s="255"/>
      <c r="X76" s="80">
        <v>25</v>
      </c>
    </row>
    <row r="77" spans="1:24" ht="18.75" customHeight="1">
      <c r="A77" s="81" t="s">
        <v>98</v>
      </c>
      <c r="B77" s="82"/>
      <c r="C77" s="82"/>
      <c r="D77" s="82"/>
      <c r="E77" s="82"/>
      <c r="F77" s="82"/>
      <c r="G77" s="82"/>
      <c r="H77" s="82"/>
      <c r="I77" s="82"/>
      <c r="J77" s="82"/>
      <c r="K77" s="83"/>
      <c r="M77" s="81" t="s">
        <v>99</v>
      </c>
      <c r="N77" s="82"/>
      <c r="O77" s="82"/>
      <c r="P77" s="82"/>
      <c r="Q77" s="82"/>
      <c r="R77" s="82"/>
      <c r="S77" s="82"/>
      <c r="T77" s="82"/>
      <c r="U77" s="82"/>
      <c r="V77" s="82"/>
      <c r="W77" s="83"/>
    </row>
    <row r="78" spans="1:24" ht="18.75" customHeight="1">
      <c r="A78" s="256" t="s">
        <v>47</v>
      </c>
      <c r="B78" s="257"/>
      <c r="C78" s="257"/>
      <c r="D78" s="257"/>
      <c r="E78" s="257"/>
      <c r="F78" s="257"/>
      <c r="G78" s="257"/>
      <c r="H78" s="257"/>
      <c r="I78" s="257"/>
      <c r="J78" s="257"/>
      <c r="K78" s="258"/>
      <c r="M78" s="256" t="s">
        <v>47</v>
      </c>
      <c r="N78" s="257"/>
      <c r="O78" s="257"/>
      <c r="P78" s="257"/>
      <c r="Q78" s="257"/>
      <c r="R78" s="257"/>
      <c r="S78" s="257"/>
      <c r="T78" s="257"/>
      <c r="U78" s="257"/>
      <c r="V78" s="257"/>
      <c r="W78" s="258"/>
    </row>
    <row r="79" spans="1:24" ht="18.75" customHeight="1">
      <c r="A79" s="248" t="s">
        <v>48</v>
      </c>
      <c r="B79" s="249"/>
      <c r="C79" s="249"/>
      <c r="D79" s="249"/>
      <c r="E79" s="84" t="s">
        <v>49</v>
      </c>
      <c r="F79" s="250" t="s">
        <v>100</v>
      </c>
      <c r="G79" s="249"/>
      <c r="H79" s="249"/>
      <c r="I79" s="249"/>
      <c r="J79" s="249"/>
      <c r="K79" s="252"/>
      <c r="M79" s="248" t="s">
        <v>48</v>
      </c>
      <c r="N79" s="249"/>
      <c r="O79" s="249"/>
      <c r="P79" s="249"/>
      <c r="Q79" s="84" t="s">
        <v>49</v>
      </c>
      <c r="R79" s="250" t="s">
        <v>101</v>
      </c>
      <c r="S79" s="249"/>
      <c r="T79" s="249"/>
      <c r="U79" s="249"/>
      <c r="V79" s="249"/>
      <c r="W79" s="252"/>
    </row>
    <row r="80" spans="1:24" ht="18.75" customHeight="1">
      <c r="A80" s="248" t="s">
        <v>50</v>
      </c>
      <c r="B80" s="249"/>
      <c r="C80" s="249"/>
      <c r="D80" s="249"/>
      <c r="E80" s="84" t="s">
        <v>49</v>
      </c>
      <c r="F80" s="250">
        <v>50091</v>
      </c>
      <c r="G80" s="250"/>
      <c r="H80" s="250"/>
      <c r="I80" s="250"/>
      <c r="J80" s="250"/>
      <c r="K80" s="251"/>
      <c r="M80" s="248" t="s">
        <v>50</v>
      </c>
      <c r="N80" s="249"/>
      <c r="O80" s="249"/>
      <c r="P80" s="249"/>
      <c r="Q80" s="84" t="s">
        <v>49</v>
      </c>
      <c r="R80" s="250">
        <v>50112</v>
      </c>
      <c r="S80" s="250"/>
      <c r="T80" s="250"/>
      <c r="U80" s="250"/>
      <c r="V80" s="250"/>
      <c r="W80" s="251"/>
    </row>
    <row r="81" spans="1:24" ht="18.75" customHeight="1">
      <c r="A81" s="248" t="s">
        <v>51</v>
      </c>
      <c r="B81" s="249"/>
      <c r="C81" s="249"/>
      <c r="D81" s="249"/>
      <c r="E81" s="84" t="s">
        <v>49</v>
      </c>
      <c r="F81" s="249" t="str">
        <f>$L$2</f>
        <v>Gián tiếp</v>
      </c>
      <c r="G81" s="249"/>
      <c r="H81" s="249"/>
      <c r="I81" s="249"/>
      <c r="J81" s="249"/>
      <c r="K81" s="252"/>
      <c r="M81" s="248" t="s">
        <v>51</v>
      </c>
      <c r="N81" s="249"/>
      <c r="O81" s="249"/>
      <c r="P81" s="249"/>
      <c r="Q81" s="84" t="s">
        <v>49</v>
      </c>
      <c r="R81" s="249" t="str">
        <f>$L$2</f>
        <v>Gián tiếp</v>
      </c>
      <c r="S81" s="249"/>
      <c r="T81" s="249"/>
      <c r="U81" s="249"/>
      <c r="V81" s="249"/>
      <c r="W81" s="252"/>
    </row>
    <row r="82" spans="1:24" ht="18.75" customHeight="1">
      <c r="A82" s="256" t="s">
        <v>52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8"/>
      <c r="M82" s="256" t="s">
        <v>52</v>
      </c>
      <c r="N82" s="257"/>
      <c r="O82" s="257"/>
      <c r="P82" s="257"/>
      <c r="Q82" s="257"/>
      <c r="R82" s="257"/>
      <c r="S82" s="257"/>
      <c r="T82" s="257"/>
      <c r="U82" s="257"/>
      <c r="V82" s="257"/>
      <c r="W82" s="258"/>
    </row>
    <row r="83" spans="1:24" ht="18.75" customHeight="1">
      <c r="A83" s="248" t="s">
        <v>53</v>
      </c>
      <c r="B83" s="249"/>
      <c r="C83" s="249"/>
      <c r="D83" s="249"/>
      <c r="E83" s="84" t="s">
        <v>49</v>
      </c>
      <c r="F83" s="263">
        <v>3876000</v>
      </c>
      <c r="G83" s="263"/>
      <c r="H83" s="263"/>
      <c r="I83" s="263"/>
      <c r="J83" s="84" t="s">
        <v>54</v>
      </c>
      <c r="K83" s="85"/>
      <c r="M83" s="248" t="s">
        <v>53</v>
      </c>
      <c r="N83" s="249"/>
      <c r="O83" s="249"/>
      <c r="P83" s="249"/>
      <c r="Q83" s="84" t="s">
        <v>49</v>
      </c>
      <c r="R83" s="263">
        <v>3876000</v>
      </c>
      <c r="S83" s="263"/>
      <c r="T83" s="263"/>
      <c r="U83" s="263"/>
      <c r="V83" s="84" t="s">
        <v>54</v>
      </c>
      <c r="W83" s="85"/>
    </row>
    <row r="84" spans="1:24" ht="18.75" customHeight="1">
      <c r="A84" s="86" t="s">
        <v>55</v>
      </c>
      <c r="B84" s="84"/>
      <c r="C84" s="87"/>
      <c r="D84" s="88"/>
      <c r="E84" s="89"/>
      <c r="F84" s="89"/>
      <c r="G84" s="89"/>
      <c r="H84" s="84"/>
      <c r="I84" s="90">
        <f>'[1]LUONG T7'!F19</f>
        <v>7499.038461538461</v>
      </c>
      <c r="J84" s="91"/>
      <c r="K84" s="92"/>
      <c r="M84" s="86" t="s">
        <v>55</v>
      </c>
      <c r="N84" s="84"/>
      <c r="O84" s="87"/>
      <c r="P84" s="88"/>
      <c r="Q84" s="89"/>
      <c r="R84" s="89"/>
      <c r="S84" s="89"/>
      <c r="T84" s="84"/>
      <c r="U84" s="90">
        <f>'[1]LUONG T7'!F21</f>
        <v>6029.8461538461543</v>
      </c>
      <c r="V84" s="91"/>
      <c r="W84" s="92"/>
    </row>
    <row r="85" spans="1:24" ht="18.75" customHeight="1">
      <c r="A85" s="86" t="s">
        <v>56</v>
      </c>
      <c r="B85" s="84"/>
      <c r="C85" s="87"/>
      <c r="D85" s="88"/>
      <c r="E85" s="89"/>
      <c r="F85" s="89"/>
      <c r="G85" s="89"/>
      <c r="H85" s="84"/>
      <c r="I85" s="90">
        <f>I86/C86/8</f>
        <v>25068.214285714283</v>
      </c>
      <c r="J85" s="91"/>
      <c r="K85" s="92"/>
      <c r="M85" s="86" t="s">
        <v>56</v>
      </c>
      <c r="N85" s="84"/>
      <c r="O85" s="87"/>
      <c r="P85" s="88"/>
      <c r="Q85" s="89"/>
      <c r="R85" s="89"/>
      <c r="S85" s="89"/>
      <c r="T85" s="84"/>
      <c r="U85" s="90">
        <f>U86/O86/8</f>
        <v>24352.008121827414</v>
      </c>
      <c r="V85" s="91"/>
      <c r="W85" s="92"/>
    </row>
    <row r="86" spans="1:24" ht="18.75" customHeight="1">
      <c r="A86" s="86" t="s">
        <v>57</v>
      </c>
      <c r="B86" s="84" t="s">
        <v>49</v>
      </c>
      <c r="C86" s="87">
        <f>'[1]LUONG T7'!I18</f>
        <v>23</v>
      </c>
      <c r="D86" s="88" t="s">
        <v>58</v>
      </c>
      <c r="E86" s="261" t="s">
        <v>59</v>
      </c>
      <c r="F86" s="261"/>
      <c r="G86" s="261"/>
      <c r="H86" s="84" t="s">
        <v>49</v>
      </c>
      <c r="I86" s="262">
        <f>'[1]LUONG T7'!I19</f>
        <v>4612551.4285714282</v>
      </c>
      <c r="J86" s="262"/>
      <c r="K86" s="92" t="s">
        <v>54</v>
      </c>
      <c r="L86" s="93">
        <f>F83/L76*C86</f>
        <v>3565920</v>
      </c>
      <c r="M86" s="86" t="s">
        <v>57</v>
      </c>
      <c r="N86" s="84" t="s">
        <v>49</v>
      </c>
      <c r="O86" s="87">
        <f>'[1]LUONG T7'!I20</f>
        <v>19</v>
      </c>
      <c r="P86" s="88" t="s">
        <v>58</v>
      </c>
      <c r="Q86" s="261" t="s">
        <v>59</v>
      </c>
      <c r="R86" s="261"/>
      <c r="S86" s="261"/>
      <c r="T86" s="84" t="s">
        <v>49</v>
      </c>
      <c r="U86" s="262">
        <f>'[1]LUONG T7'!I21</f>
        <v>3701505.2345177671</v>
      </c>
      <c r="V86" s="262"/>
      <c r="W86" s="92" t="s">
        <v>54</v>
      </c>
      <c r="X86" s="93">
        <f>R83/X76*O86</f>
        <v>2945760</v>
      </c>
    </row>
    <row r="87" spans="1:24" ht="18.75" customHeight="1">
      <c r="A87" s="86" t="s">
        <v>60</v>
      </c>
      <c r="B87" s="84" t="s">
        <v>49</v>
      </c>
      <c r="C87" s="87">
        <f>'[1]LUONG T7'!J18</f>
        <v>3</v>
      </c>
      <c r="D87" s="88" t="s">
        <v>58</v>
      </c>
      <c r="E87" s="249" t="s">
        <v>61</v>
      </c>
      <c r="F87" s="249"/>
      <c r="G87" s="249"/>
      <c r="H87" s="84" t="s">
        <v>49</v>
      </c>
      <c r="I87" s="260">
        <f>$F$8/$L$1*C87</f>
        <v>447230.76923076919</v>
      </c>
      <c r="J87" s="260"/>
      <c r="K87" s="92" t="s">
        <v>54</v>
      </c>
      <c r="L87" s="93"/>
      <c r="M87" s="86" t="s">
        <v>60</v>
      </c>
      <c r="N87" s="84" t="s">
        <v>49</v>
      </c>
      <c r="O87" s="87">
        <f>'[1]LUONG T7'!J20</f>
        <v>1</v>
      </c>
      <c r="P87" s="88" t="s">
        <v>58</v>
      </c>
      <c r="Q87" s="249" t="s">
        <v>61</v>
      </c>
      <c r="R87" s="249"/>
      <c r="S87" s="249"/>
      <c r="T87" s="84" t="s">
        <v>49</v>
      </c>
      <c r="U87" s="260">
        <f>$F$8/$L$1*O87</f>
        <v>149076.92307692306</v>
      </c>
      <c r="V87" s="260"/>
      <c r="W87" s="92" t="s">
        <v>54</v>
      </c>
      <c r="X87" s="93"/>
    </row>
    <row r="88" spans="1:24" ht="18.75" customHeight="1">
      <c r="A88" s="86" t="s">
        <v>62</v>
      </c>
      <c r="B88" s="84" t="s">
        <v>49</v>
      </c>
      <c r="C88" s="87">
        <f>'[1]LUONG T7'!K18</f>
        <v>0</v>
      </c>
      <c r="D88" s="88" t="s">
        <v>58</v>
      </c>
      <c r="E88" s="259" t="s">
        <v>63</v>
      </c>
      <c r="F88" s="259"/>
      <c r="G88" s="259"/>
      <c r="H88" s="84" t="s">
        <v>49</v>
      </c>
      <c r="I88" s="260">
        <f>$F$8/$L$1*C88</f>
        <v>0</v>
      </c>
      <c r="J88" s="260"/>
      <c r="K88" s="92" t="s">
        <v>54</v>
      </c>
      <c r="L88" s="93"/>
      <c r="M88" s="86" t="s">
        <v>62</v>
      </c>
      <c r="N88" s="84" t="s">
        <v>49</v>
      </c>
      <c r="O88" s="87">
        <f>'[1]LUONG T7'!K20</f>
        <v>0</v>
      </c>
      <c r="P88" s="88" t="s">
        <v>58</v>
      </c>
      <c r="Q88" s="259" t="s">
        <v>63</v>
      </c>
      <c r="R88" s="259"/>
      <c r="S88" s="259"/>
      <c r="T88" s="84" t="s">
        <v>49</v>
      </c>
      <c r="U88" s="260">
        <f>$F$8/$L$1*O88</f>
        <v>0</v>
      </c>
      <c r="V88" s="260"/>
      <c r="W88" s="92" t="s">
        <v>54</v>
      </c>
      <c r="X88" s="93"/>
    </row>
    <row r="89" spans="1:24" ht="18.75" customHeight="1">
      <c r="A89" s="86" t="s">
        <v>64</v>
      </c>
      <c r="B89" s="84" t="s">
        <v>49</v>
      </c>
      <c r="C89" s="87">
        <f>'[1]LUONG T7'!L18</f>
        <v>0</v>
      </c>
      <c r="D89" s="88" t="s">
        <v>58</v>
      </c>
      <c r="E89" s="259" t="s">
        <v>65</v>
      </c>
      <c r="F89" s="259"/>
      <c r="G89" s="259"/>
      <c r="H89" s="84" t="s">
        <v>49</v>
      </c>
      <c r="I89" s="260">
        <f>$F$8/$L$1*C89</f>
        <v>0</v>
      </c>
      <c r="J89" s="260"/>
      <c r="K89" s="92" t="s">
        <v>54</v>
      </c>
      <c r="L89" s="93"/>
      <c r="M89" s="86" t="s">
        <v>64</v>
      </c>
      <c r="N89" s="84" t="s">
        <v>49</v>
      </c>
      <c r="O89" s="87">
        <f>'[1]LUONG T7'!L20</f>
        <v>0</v>
      </c>
      <c r="P89" s="88" t="s">
        <v>58</v>
      </c>
      <c r="Q89" s="259" t="s">
        <v>65</v>
      </c>
      <c r="R89" s="259"/>
      <c r="S89" s="259"/>
      <c r="T89" s="84" t="s">
        <v>49</v>
      </c>
      <c r="U89" s="260">
        <f>$F$8/$L$1*O89</f>
        <v>0</v>
      </c>
      <c r="V89" s="260"/>
      <c r="W89" s="92" t="s">
        <v>54</v>
      </c>
      <c r="X89" s="93"/>
    </row>
    <row r="90" spans="1:24" ht="18.75" customHeight="1">
      <c r="A90" s="86" t="s">
        <v>66</v>
      </c>
      <c r="B90" s="84" t="s">
        <v>49</v>
      </c>
      <c r="C90" s="87">
        <f>'[1]LUONG T7'!Q18</f>
        <v>54</v>
      </c>
      <c r="D90" s="88" t="s">
        <v>67</v>
      </c>
      <c r="E90" s="249" t="s">
        <v>68</v>
      </c>
      <c r="F90" s="249"/>
      <c r="G90" s="249"/>
      <c r="H90" s="84" t="s">
        <v>49</v>
      </c>
      <c r="I90" s="260">
        <f>'[1]LUONG T7'!Q19</f>
        <v>2030525.357142857</v>
      </c>
      <c r="J90" s="260"/>
      <c r="K90" s="92" t="s">
        <v>54</v>
      </c>
      <c r="L90" s="93">
        <f>F83*C90/L76/8*1.5</f>
        <v>1569780</v>
      </c>
      <c r="M90" s="86" t="s">
        <v>66</v>
      </c>
      <c r="N90" s="84" t="s">
        <v>49</v>
      </c>
      <c r="O90" s="87">
        <f>'[1]LUONG T7'!Q20</f>
        <v>45</v>
      </c>
      <c r="P90" s="88" t="s">
        <v>67</v>
      </c>
      <c r="Q90" s="249" t="s">
        <v>68</v>
      </c>
      <c r="R90" s="249"/>
      <c r="S90" s="249"/>
      <c r="T90" s="84" t="s">
        <v>49</v>
      </c>
      <c r="U90" s="260">
        <f>'[1]LUONG T7'!Q21</f>
        <v>1643760.5482233502</v>
      </c>
      <c r="V90" s="260"/>
      <c r="W90" s="92" t="s">
        <v>54</v>
      </c>
      <c r="X90" s="93">
        <f>R83*O90/X76/8*1.5</f>
        <v>1308150</v>
      </c>
    </row>
    <row r="91" spans="1:24" ht="18.75" customHeight="1">
      <c r="A91" s="248" t="s">
        <v>69</v>
      </c>
      <c r="B91" s="249"/>
      <c r="C91" s="87"/>
      <c r="D91" s="88" t="s">
        <v>58</v>
      </c>
      <c r="E91" s="249" t="s">
        <v>70</v>
      </c>
      <c r="F91" s="249"/>
      <c r="G91" s="249"/>
      <c r="H91" s="94" t="s">
        <v>49</v>
      </c>
      <c r="I91" s="260"/>
      <c r="J91" s="260"/>
      <c r="K91" s="92" t="s">
        <v>54</v>
      </c>
      <c r="L91" s="93"/>
      <c r="M91" s="248" t="s">
        <v>69</v>
      </c>
      <c r="N91" s="249"/>
      <c r="O91" s="87"/>
      <c r="P91" s="88" t="s">
        <v>58</v>
      </c>
      <c r="Q91" s="249" t="s">
        <v>70</v>
      </c>
      <c r="R91" s="249"/>
      <c r="S91" s="249"/>
      <c r="T91" s="94" t="s">
        <v>49</v>
      </c>
      <c r="U91" s="260"/>
      <c r="V91" s="260"/>
      <c r="W91" s="92" t="s">
        <v>54</v>
      </c>
      <c r="X91" s="93"/>
    </row>
    <row r="92" spans="1:24" ht="18.75" customHeight="1">
      <c r="A92" s="86" t="s">
        <v>71</v>
      </c>
      <c r="B92" s="84" t="s">
        <v>49</v>
      </c>
      <c r="C92" s="87"/>
      <c r="D92" s="88" t="s">
        <v>58</v>
      </c>
      <c r="E92" s="249" t="s">
        <v>72</v>
      </c>
      <c r="F92" s="249"/>
      <c r="G92" s="249"/>
      <c r="H92" s="84" t="s">
        <v>49</v>
      </c>
      <c r="I92" s="260"/>
      <c r="J92" s="260"/>
      <c r="K92" s="92" t="s">
        <v>54</v>
      </c>
      <c r="L92" s="93"/>
      <c r="M92" s="86" t="s">
        <v>71</v>
      </c>
      <c r="N92" s="84" t="s">
        <v>49</v>
      </c>
      <c r="O92" s="87"/>
      <c r="P92" s="88" t="s">
        <v>58</v>
      </c>
      <c r="Q92" s="249" t="s">
        <v>72</v>
      </c>
      <c r="R92" s="249"/>
      <c r="S92" s="249"/>
      <c r="T92" s="84" t="s">
        <v>49</v>
      </c>
      <c r="U92" s="260"/>
      <c r="V92" s="260"/>
      <c r="W92" s="92" t="s">
        <v>54</v>
      </c>
      <c r="X92" s="93"/>
    </row>
    <row r="93" spans="1:24" ht="18.75" customHeight="1">
      <c r="A93" s="95" t="s">
        <v>73</v>
      </c>
      <c r="B93" s="84"/>
      <c r="C93" s="87">
        <f>'[1]LUONG T7'!M18</f>
        <v>0</v>
      </c>
      <c r="D93" s="88" t="s">
        <v>67</v>
      </c>
      <c r="E93" s="249" t="s">
        <v>74</v>
      </c>
      <c r="F93" s="249"/>
      <c r="G93" s="249"/>
      <c r="H93" s="84" t="s">
        <v>49</v>
      </c>
      <c r="I93" s="260">
        <f>$F$8*C93/8/$L$1</f>
        <v>0</v>
      </c>
      <c r="J93" s="260"/>
      <c r="K93" s="92" t="s">
        <v>54</v>
      </c>
      <c r="L93" s="93"/>
      <c r="M93" s="95" t="s">
        <v>73</v>
      </c>
      <c r="N93" s="84"/>
      <c r="O93" s="87">
        <f>'[1]LUONG T7'!M20</f>
        <v>0</v>
      </c>
      <c r="P93" s="88" t="s">
        <v>67</v>
      </c>
      <c r="Q93" s="249" t="s">
        <v>74</v>
      </c>
      <c r="R93" s="249"/>
      <c r="S93" s="249"/>
      <c r="T93" s="84" t="s">
        <v>49</v>
      </c>
      <c r="U93" s="260">
        <f>$F$8*O93/8/$L$1</f>
        <v>0</v>
      </c>
      <c r="V93" s="260"/>
      <c r="W93" s="92" t="s">
        <v>54</v>
      </c>
      <c r="X93" s="93"/>
    </row>
    <row r="94" spans="1:24" ht="18.75" customHeight="1">
      <c r="A94" s="86" t="s">
        <v>75</v>
      </c>
      <c r="B94" s="84" t="s">
        <v>49</v>
      </c>
      <c r="C94" s="87"/>
      <c r="D94" s="88" t="s">
        <v>67</v>
      </c>
      <c r="E94" s="249" t="s">
        <v>76</v>
      </c>
      <c r="F94" s="249"/>
      <c r="G94" s="249"/>
      <c r="H94" s="84" t="s">
        <v>49</v>
      </c>
      <c r="I94" s="262"/>
      <c r="J94" s="262"/>
      <c r="K94" s="92" t="s">
        <v>54</v>
      </c>
      <c r="L94" s="93"/>
      <c r="M94" s="86" t="s">
        <v>102</v>
      </c>
      <c r="N94" s="84" t="s">
        <v>49</v>
      </c>
      <c r="O94" s="87"/>
      <c r="P94" s="88" t="s">
        <v>67</v>
      </c>
      <c r="Q94" s="249" t="s">
        <v>76</v>
      </c>
      <c r="R94" s="249"/>
      <c r="S94" s="249"/>
      <c r="T94" s="84" t="s">
        <v>49</v>
      </c>
      <c r="U94" s="262"/>
      <c r="V94" s="262"/>
      <c r="W94" s="92" t="s">
        <v>54</v>
      </c>
      <c r="X94" s="93"/>
    </row>
    <row r="95" spans="1:24" ht="18.75" customHeight="1">
      <c r="A95" s="86" t="s">
        <v>77</v>
      </c>
      <c r="B95" s="84" t="s">
        <v>49</v>
      </c>
      <c r="C95" s="87"/>
      <c r="D95" s="88" t="s">
        <v>78</v>
      </c>
      <c r="E95" s="96" t="s">
        <v>79</v>
      </c>
      <c r="F95" s="96"/>
      <c r="G95" s="96"/>
      <c r="H95" s="84" t="s">
        <v>49</v>
      </c>
      <c r="I95" s="260"/>
      <c r="J95" s="260"/>
      <c r="K95" s="92" t="s">
        <v>54</v>
      </c>
      <c r="L95" s="93">
        <f>+IF(L86-I86&lt;0,0,L86-I86)+IF(L90-I90&lt;0,0,L90-I90)</f>
        <v>0</v>
      </c>
      <c r="M95" s="86" t="s">
        <v>77</v>
      </c>
      <c r="N95" s="84" t="s">
        <v>49</v>
      </c>
      <c r="O95" s="87"/>
      <c r="P95" s="88" t="s">
        <v>78</v>
      </c>
      <c r="Q95" s="96" t="s">
        <v>79</v>
      </c>
      <c r="R95" s="96"/>
      <c r="S95" s="96"/>
      <c r="T95" s="84" t="s">
        <v>49</v>
      </c>
      <c r="U95" s="260"/>
      <c r="V95" s="260"/>
      <c r="W95" s="92" t="s">
        <v>54</v>
      </c>
      <c r="X95" s="93">
        <f>+IF(X86-U86&lt;0,0,X86-U86)+IF(X90-U90&lt;0,0,X90-U90)</f>
        <v>0</v>
      </c>
    </row>
    <row r="96" spans="1:24" ht="18.75" customHeight="1">
      <c r="A96" s="97" t="s">
        <v>80</v>
      </c>
      <c r="B96" s="98"/>
      <c r="C96" s="87"/>
      <c r="D96" s="88" t="s">
        <v>58</v>
      </c>
      <c r="E96" s="249" t="s">
        <v>81</v>
      </c>
      <c r="F96" s="249"/>
      <c r="G96" s="249"/>
      <c r="H96" s="84" t="s">
        <v>49</v>
      </c>
      <c r="I96" s="260">
        <v>324000</v>
      </c>
      <c r="J96" s="260"/>
      <c r="K96" s="92" t="s">
        <v>54</v>
      </c>
      <c r="L96" s="93"/>
      <c r="M96" s="97" t="s">
        <v>80</v>
      </c>
      <c r="N96" s="98"/>
      <c r="O96" s="87"/>
      <c r="P96" s="88" t="s">
        <v>58</v>
      </c>
      <c r="Q96" s="249" t="s">
        <v>81</v>
      </c>
      <c r="R96" s="249"/>
      <c r="S96" s="249"/>
      <c r="T96" s="84" t="s">
        <v>49</v>
      </c>
      <c r="U96" s="260">
        <v>324000</v>
      </c>
      <c r="V96" s="260"/>
      <c r="W96" s="92" t="s">
        <v>54</v>
      </c>
      <c r="X96" s="93"/>
    </row>
    <row r="97" spans="1:24" ht="18.75" customHeight="1">
      <c r="A97" s="267" t="s">
        <v>82</v>
      </c>
      <c r="B97" s="261"/>
      <c r="C97" s="87"/>
      <c r="D97" s="88"/>
      <c r="E97" s="89"/>
      <c r="F97" s="89"/>
      <c r="G97" s="89"/>
      <c r="H97" s="84" t="s">
        <v>49</v>
      </c>
      <c r="I97" s="260">
        <f>'[1]LUONG T7'!P19</f>
        <v>0</v>
      </c>
      <c r="J97" s="260"/>
      <c r="K97" s="92" t="s">
        <v>54</v>
      </c>
      <c r="L97" s="93"/>
      <c r="M97" s="267" t="s">
        <v>82</v>
      </c>
      <c r="N97" s="261"/>
      <c r="O97" s="87"/>
      <c r="P97" s="88"/>
      <c r="Q97" s="89"/>
      <c r="R97" s="89"/>
      <c r="S97" s="89"/>
      <c r="T97" s="84" t="s">
        <v>49</v>
      </c>
      <c r="U97" s="260">
        <f>'[1]LUONG T7'!P21</f>
        <v>0</v>
      </c>
      <c r="V97" s="260"/>
      <c r="W97" s="92" t="s">
        <v>54</v>
      </c>
      <c r="X97" s="93"/>
    </row>
    <row r="98" spans="1:24" ht="18.75" customHeight="1">
      <c r="A98" s="86" t="s">
        <v>83</v>
      </c>
      <c r="B98" s="84" t="s">
        <v>49</v>
      </c>
      <c r="C98" s="87"/>
      <c r="D98" s="88"/>
      <c r="E98" s="89" t="s">
        <v>84</v>
      </c>
      <c r="F98" s="89"/>
      <c r="G98" s="89"/>
      <c r="H98" s="84" t="s">
        <v>49</v>
      </c>
      <c r="I98" s="260">
        <f>L95</f>
        <v>0</v>
      </c>
      <c r="J98" s="260"/>
      <c r="K98" s="92" t="s">
        <v>54</v>
      </c>
      <c r="L98" s="93"/>
      <c r="M98" s="86" t="s">
        <v>83</v>
      </c>
      <c r="N98" s="84" t="s">
        <v>49</v>
      </c>
      <c r="O98" s="87"/>
      <c r="P98" s="88"/>
      <c r="Q98" s="89" t="s">
        <v>84</v>
      </c>
      <c r="R98" s="89"/>
      <c r="S98" s="89"/>
      <c r="T98" s="84" t="s">
        <v>49</v>
      </c>
      <c r="U98" s="260">
        <f>X95</f>
        <v>0</v>
      </c>
      <c r="V98" s="260"/>
      <c r="W98" s="92" t="s">
        <v>54</v>
      </c>
      <c r="X98" s="93"/>
    </row>
    <row r="99" spans="1:24" ht="18.75" customHeight="1">
      <c r="A99" s="264" t="s">
        <v>85</v>
      </c>
      <c r="B99" s="265"/>
      <c r="C99" s="265"/>
      <c r="D99" s="265"/>
      <c r="E99" s="265"/>
      <c r="F99" s="265"/>
      <c r="G99" s="84" t="s">
        <v>49</v>
      </c>
      <c r="H99" s="266">
        <f>+I96+I86+I87+I88+I89+I90+I93+I97+I98+I94</f>
        <v>7414307.5549450545</v>
      </c>
      <c r="I99" s="266"/>
      <c r="J99" s="266"/>
      <c r="K99" s="92" t="s">
        <v>54</v>
      </c>
      <c r="M99" s="264" t="s">
        <v>85</v>
      </c>
      <c r="N99" s="265"/>
      <c r="O99" s="265"/>
      <c r="P99" s="265"/>
      <c r="Q99" s="265"/>
      <c r="R99" s="265"/>
      <c r="S99" s="84" t="s">
        <v>49</v>
      </c>
      <c r="T99" s="266">
        <f>+U96+U86+U87+U88+U89+U90+U93+U97+U98+U94</f>
        <v>5818342.7058180403</v>
      </c>
      <c r="U99" s="266"/>
      <c r="V99" s="266"/>
      <c r="W99" s="92" t="s">
        <v>54</v>
      </c>
    </row>
    <row r="100" spans="1:24" ht="18.75" customHeight="1">
      <c r="A100" s="99"/>
      <c r="B100" s="100"/>
      <c r="C100" s="100"/>
      <c r="D100" s="100"/>
      <c r="E100" s="100"/>
      <c r="F100" s="100"/>
      <c r="G100" s="100"/>
      <c r="H100" s="100"/>
      <c r="I100" s="100"/>
      <c r="J100" s="100"/>
      <c r="K100" s="101"/>
      <c r="M100" s="99"/>
      <c r="N100" s="100"/>
      <c r="O100" s="100"/>
      <c r="P100" s="100"/>
      <c r="Q100" s="100"/>
      <c r="R100" s="100"/>
      <c r="S100" s="100"/>
      <c r="T100" s="100"/>
      <c r="U100" s="100"/>
      <c r="V100" s="100"/>
      <c r="W100" s="101"/>
    </row>
    <row r="101" spans="1:24" ht="18.75" customHeight="1">
      <c r="A101" s="274" t="s">
        <v>86</v>
      </c>
      <c r="B101" s="275"/>
      <c r="C101" s="275"/>
      <c r="D101" s="275"/>
      <c r="E101" s="275"/>
      <c r="F101" s="275"/>
      <c r="G101" s="84"/>
      <c r="H101" s="84"/>
      <c r="I101" s="84"/>
      <c r="J101" s="84"/>
      <c r="K101" s="92"/>
      <c r="M101" s="274" t="s">
        <v>86</v>
      </c>
      <c r="N101" s="275"/>
      <c r="O101" s="275"/>
      <c r="P101" s="275"/>
      <c r="Q101" s="275"/>
      <c r="R101" s="275"/>
      <c r="S101" s="84"/>
      <c r="T101" s="84"/>
      <c r="U101" s="84"/>
      <c r="V101" s="84"/>
      <c r="W101" s="92"/>
    </row>
    <row r="102" spans="1:24" ht="18.75" customHeight="1">
      <c r="A102" s="268" t="s">
        <v>87</v>
      </c>
      <c r="B102" s="269"/>
      <c r="C102" s="269"/>
      <c r="D102" s="269"/>
      <c r="E102" s="269"/>
      <c r="F102" s="269"/>
      <c r="G102" s="84" t="s">
        <v>49</v>
      </c>
      <c r="H102" s="276">
        <f>IF(($L$1-(C86+C87+C88+C89))&gt;12,0,F83*8%)</f>
        <v>310080</v>
      </c>
      <c r="I102" s="276"/>
      <c r="J102" s="276"/>
      <c r="K102" s="92" t="s">
        <v>54</v>
      </c>
      <c r="M102" s="268" t="s">
        <v>87</v>
      </c>
      <c r="N102" s="269"/>
      <c r="O102" s="269"/>
      <c r="P102" s="269"/>
      <c r="Q102" s="269"/>
      <c r="R102" s="269"/>
      <c r="S102" s="84" t="s">
        <v>49</v>
      </c>
      <c r="T102" s="276">
        <f>IF(($L$1-(O86+O87+O88+O89))&gt;12,0,R83*8%)</f>
        <v>310080</v>
      </c>
      <c r="U102" s="276"/>
      <c r="V102" s="276"/>
      <c r="W102" s="92" t="s">
        <v>54</v>
      </c>
    </row>
    <row r="103" spans="1:24" ht="18.75" customHeight="1">
      <c r="A103" s="268" t="s">
        <v>88</v>
      </c>
      <c r="B103" s="269"/>
      <c r="C103" s="269"/>
      <c r="D103" s="269"/>
      <c r="E103" s="269"/>
      <c r="F103" s="269"/>
      <c r="G103" s="84" t="s">
        <v>49</v>
      </c>
      <c r="H103" s="270">
        <f>IF(($L$1-(C86+C87+C88+C89))&gt;12,0,F83*1.5%)</f>
        <v>58140</v>
      </c>
      <c r="I103" s="270"/>
      <c r="J103" s="270"/>
      <c r="K103" s="92" t="s">
        <v>54</v>
      </c>
      <c r="M103" s="268" t="s">
        <v>88</v>
      </c>
      <c r="N103" s="269"/>
      <c r="O103" s="269"/>
      <c r="P103" s="269"/>
      <c r="Q103" s="269"/>
      <c r="R103" s="269"/>
      <c r="S103" s="84" t="s">
        <v>49</v>
      </c>
      <c r="T103" s="270">
        <f>IF(($L$1-(O86+O87+O88+O89))&gt;12,0,R83*1.5%)</f>
        <v>58140</v>
      </c>
      <c r="U103" s="270"/>
      <c r="V103" s="270"/>
      <c r="W103" s="92" t="s">
        <v>54</v>
      </c>
    </row>
    <row r="104" spans="1:24" ht="18.75" customHeight="1">
      <c r="A104" s="268" t="s">
        <v>89</v>
      </c>
      <c r="B104" s="269"/>
      <c r="C104" s="269"/>
      <c r="D104" s="269"/>
      <c r="E104" s="269"/>
      <c r="F104" s="269"/>
      <c r="G104" s="84" t="s">
        <v>49</v>
      </c>
      <c r="H104" s="270">
        <f>IF(($L$1-(C86+C87+C88+C89))&gt;12,0,F83*1%)</f>
        <v>38760</v>
      </c>
      <c r="I104" s="270"/>
      <c r="J104" s="270"/>
      <c r="K104" s="92" t="s">
        <v>54</v>
      </c>
      <c r="M104" s="268" t="s">
        <v>89</v>
      </c>
      <c r="N104" s="269"/>
      <c r="O104" s="269"/>
      <c r="P104" s="269"/>
      <c r="Q104" s="269"/>
      <c r="R104" s="269"/>
      <c r="S104" s="84" t="s">
        <v>49</v>
      </c>
      <c r="T104" s="270">
        <f>IF(($L$1-(O86+O87+O88+O89))&gt;12,0,R83*1%)</f>
        <v>38760</v>
      </c>
      <c r="U104" s="270"/>
      <c r="V104" s="270"/>
      <c r="W104" s="92" t="s">
        <v>54</v>
      </c>
    </row>
    <row r="105" spans="1:24" ht="18.75" customHeight="1">
      <c r="A105" s="268" t="s">
        <v>90</v>
      </c>
      <c r="B105" s="269"/>
      <c r="C105" s="269"/>
      <c r="D105" s="269"/>
      <c r="E105" s="269"/>
      <c r="F105" s="269"/>
      <c r="G105" s="84" t="s">
        <v>49</v>
      </c>
      <c r="H105" s="270">
        <v>0</v>
      </c>
      <c r="I105" s="270"/>
      <c r="J105" s="270"/>
      <c r="K105" s="92" t="s">
        <v>54</v>
      </c>
      <c r="M105" s="268" t="s">
        <v>90</v>
      </c>
      <c r="N105" s="269"/>
      <c r="O105" s="269"/>
      <c r="P105" s="269"/>
      <c r="Q105" s="269"/>
      <c r="R105" s="269"/>
      <c r="S105" s="84" t="s">
        <v>49</v>
      </c>
      <c r="T105" s="270">
        <v>0</v>
      </c>
      <c r="U105" s="270"/>
      <c r="V105" s="270"/>
      <c r="W105" s="92" t="s">
        <v>54</v>
      </c>
    </row>
    <row r="106" spans="1:24" ht="18.75" customHeight="1">
      <c r="A106" s="271" t="s">
        <v>91</v>
      </c>
      <c r="B106" s="272"/>
      <c r="C106" s="272"/>
      <c r="D106" s="272"/>
      <c r="E106" s="272"/>
      <c r="F106" s="272"/>
      <c r="G106" s="84" t="s">
        <v>49</v>
      </c>
      <c r="H106" s="273">
        <f>SUM(H102:J105)</f>
        <v>406980</v>
      </c>
      <c r="I106" s="273"/>
      <c r="J106" s="273"/>
      <c r="K106" s="92" t="s">
        <v>54</v>
      </c>
      <c r="M106" s="271" t="s">
        <v>91</v>
      </c>
      <c r="N106" s="272"/>
      <c r="O106" s="272"/>
      <c r="P106" s="272"/>
      <c r="Q106" s="272"/>
      <c r="R106" s="272"/>
      <c r="S106" s="84" t="s">
        <v>49</v>
      </c>
      <c r="T106" s="273">
        <f>SUM(T102:V105)</f>
        <v>406980</v>
      </c>
      <c r="U106" s="273"/>
      <c r="V106" s="273"/>
      <c r="W106" s="92" t="s">
        <v>54</v>
      </c>
    </row>
    <row r="107" spans="1:24" ht="18.75" customHeight="1">
      <c r="A107" s="268" t="s">
        <v>92</v>
      </c>
      <c r="B107" s="269"/>
      <c r="C107" s="269"/>
      <c r="D107" s="269"/>
      <c r="E107" s="269"/>
      <c r="F107" s="269"/>
      <c r="G107" s="84" t="s">
        <v>49</v>
      </c>
      <c r="H107" s="280">
        <f>ROUND(H99-H106,-2)</f>
        <v>7007300</v>
      </c>
      <c r="I107" s="280"/>
      <c r="J107" s="280"/>
      <c r="K107" s="92" t="s">
        <v>54</v>
      </c>
      <c r="M107" s="268" t="s">
        <v>92</v>
      </c>
      <c r="N107" s="269"/>
      <c r="O107" s="269"/>
      <c r="P107" s="269"/>
      <c r="Q107" s="269"/>
      <c r="R107" s="269"/>
      <c r="S107" s="84" t="s">
        <v>49</v>
      </c>
      <c r="T107" s="280">
        <f>ROUND(T99-T106,-2)</f>
        <v>5411400</v>
      </c>
      <c r="U107" s="280"/>
      <c r="V107" s="280"/>
      <c r="W107" s="92" t="s">
        <v>54</v>
      </c>
    </row>
    <row r="108" spans="1:24" ht="18.75" customHeight="1">
      <c r="A108" s="102"/>
      <c r="B108" s="103"/>
      <c r="C108" s="103"/>
      <c r="D108" s="103"/>
      <c r="E108" s="103"/>
      <c r="F108" s="103"/>
      <c r="G108" s="103"/>
      <c r="H108" s="103"/>
      <c r="I108" s="103"/>
      <c r="J108" s="103"/>
      <c r="K108" s="104"/>
      <c r="M108" s="102"/>
      <c r="N108" s="103"/>
      <c r="O108" s="103"/>
      <c r="P108" s="103"/>
      <c r="Q108" s="103"/>
      <c r="R108" s="103"/>
      <c r="S108" s="103"/>
      <c r="T108" s="103"/>
      <c r="U108" s="103"/>
      <c r="V108" s="103"/>
      <c r="W108" s="104"/>
    </row>
    <row r="109" spans="1:24" ht="18.75" customHeight="1">
      <c r="A109" s="105"/>
      <c r="B109" s="84"/>
      <c r="C109" s="84"/>
      <c r="D109" s="84"/>
      <c r="E109" s="84"/>
      <c r="F109" s="84"/>
      <c r="G109" s="84"/>
      <c r="H109" s="84"/>
      <c r="I109" s="277" t="s">
        <v>93</v>
      </c>
      <c r="J109" s="277"/>
      <c r="K109" s="281"/>
      <c r="M109" s="105"/>
      <c r="N109" s="84"/>
      <c r="O109" s="84"/>
      <c r="P109" s="84"/>
      <c r="Q109" s="84"/>
      <c r="R109" s="84"/>
      <c r="S109" s="84"/>
      <c r="T109" s="84"/>
      <c r="U109" s="277" t="s">
        <v>93</v>
      </c>
      <c r="V109" s="277"/>
      <c r="W109" s="281"/>
    </row>
    <row r="110" spans="1:24" ht="18.75" customHeight="1">
      <c r="A110" s="105"/>
      <c r="B110" s="277"/>
      <c r="C110" s="277"/>
      <c r="D110" s="277"/>
      <c r="E110" s="277"/>
      <c r="F110" s="84"/>
      <c r="G110" s="84"/>
      <c r="H110" s="84"/>
      <c r="I110" s="84"/>
      <c r="J110" s="84"/>
      <c r="K110" s="85"/>
      <c r="M110" s="105"/>
      <c r="N110" s="277"/>
      <c r="O110" s="277"/>
      <c r="P110" s="277"/>
      <c r="Q110" s="277"/>
      <c r="R110" s="84"/>
      <c r="S110" s="84"/>
      <c r="T110" s="84"/>
      <c r="U110" s="84"/>
      <c r="V110" s="84"/>
      <c r="W110" s="85"/>
    </row>
    <row r="111" spans="1:24" ht="18.75" customHeight="1" thickBot="1">
      <c r="A111" s="106"/>
      <c r="B111" s="107"/>
      <c r="C111" s="107"/>
      <c r="D111" s="107"/>
      <c r="E111" s="107"/>
      <c r="F111" s="107"/>
      <c r="G111" s="107"/>
      <c r="H111" s="107"/>
      <c r="I111" s="278" t="s">
        <v>94</v>
      </c>
      <c r="J111" s="278"/>
      <c r="K111" s="279"/>
      <c r="M111" s="106"/>
      <c r="N111" s="107"/>
      <c r="O111" s="107"/>
      <c r="P111" s="107"/>
      <c r="Q111" s="107"/>
      <c r="R111" s="107"/>
      <c r="S111" s="107"/>
      <c r="T111" s="107"/>
      <c r="U111" s="278" t="s">
        <v>94</v>
      </c>
      <c r="V111" s="278"/>
      <c r="W111" s="279"/>
    </row>
    <row r="113" spans="1:24" ht="18.75" customHeight="1" thickTop="1">
      <c r="A113" s="253" t="s">
        <v>43</v>
      </c>
      <c r="B113" s="254"/>
      <c r="C113" s="254"/>
      <c r="D113" s="254"/>
      <c r="E113" s="254"/>
      <c r="F113" s="254"/>
      <c r="G113" s="254"/>
      <c r="H113" s="254"/>
      <c r="I113" s="254"/>
      <c r="J113" s="254"/>
      <c r="K113" s="255"/>
      <c r="L113" s="80">
        <v>25</v>
      </c>
      <c r="M113" s="253" t="s">
        <v>43</v>
      </c>
      <c r="N113" s="254"/>
      <c r="O113" s="254"/>
      <c r="P113" s="254"/>
      <c r="Q113" s="254"/>
      <c r="R113" s="254"/>
      <c r="S113" s="254"/>
      <c r="T113" s="254"/>
      <c r="U113" s="254"/>
      <c r="V113" s="254"/>
      <c r="W113" s="255"/>
      <c r="X113" s="80">
        <v>25</v>
      </c>
    </row>
    <row r="114" spans="1:24" ht="18.75" customHeight="1">
      <c r="A114" s="81" t="s">
        <v>103</v>
      </c>
      <c r="B114" s="82"/>
      <c r="C114" s="82"/>
      <c r="D114" s="82"/>
      <c r="E114" s="82"/>
      <c r="F114" s="82"/>
      <c r="G114" s="82"/>
      <c r="H114" s="82"/>
      <c r="I114" s="82"/>
      <c r="J114" s="82"/>
      <c r="K114" s="83"/>
      <c r="M114" s="81" t="s">
        <v>104</v>
      </c>
      <c r="N114" s="82"/>
      <c r="O114" s="82"/>
      <c r="P114" s="82"/>
      <c r="Q114" s="82"/>
      <c r="R114" s="82"/>
      <c r="S114" s="82"/>
      <c r="T114" s="82"/>
      <c r="U114" s="82"/>
      <c r="V114" s="82"/>
      <c r="W114" s="83"/>
    </row>
    <row r="115" spans="1:24" ht="18.75" customHeight="1">
      <c r="A115" s="256" t="s">
        <v>47</v>
      </c>
      <c r="B115" s="257"/>
      <c r="C115" s="257"/>
      <c r="D115" s="257"/>
      <c r="E115" s="257"/>
      <c r="F115" s="257"/>
      <c r="G115" s="257"/>
      <c r="H115" s="257"/>
      <c r="I115" s="257"/>
      <c r="J115" s="257"/>
      <c r="K115" s="258"/>
      <c r="M115" s="256" t="s">
        <v>47</v>
      </c>
      <c r="N115" s="257"/>
      <c r="O115" s="257"/>
      <c r="P115" s="257"/>
      <c r="Q115" s="257"/>
      <c r="R115" s="257"/>
      <c r="S115" s="257"/>
      <c r="T115" s="257"/>
      <c r="U115" s="257"/>
      <c r="V115" s="257"/>
      <c r="W115" s="258"/>
    </row>
    <row r="116" spans="1:24" ht="18.75" customHeight="1">
      <c r="A116" s="248" t="s">
        <v>48</v>
      </c>
      <c r="B116" s="249"/>
      <c r="C116" s="249"/>
      <c r="D116" s="249"/>
      <c r="E116" s="84" t="s">
        <v>49</v>
      </c>
      <c r="F116" s="250" t="str">
        <f>'[1]Bang TH nop'!B17</f>
        <v>Tống Văn Hoà</v>
      </c>
      <c r="G116" s="249"/>
      <c r="H116" s="249"/>
      <c r="I116" s="249"/>
      <c r="J116" s="249"/>
      <c r="K116" s="252"/>
      <c r="M116" s="248" t="s">
        <v>48</v>
      </c>
      <c r="N116" s="249"/>
      <c r="O116" s="249"/>
      <c r="P116" s="249"/>
      <c r="Q116" s="84" t="s">
        <v>49</v>
      </c>
      <c r="R116" s="250" t="s">
        <v>105</v>
      </c>
      <c r="S116" s="249"/>
      <c r="T116" s="249"/>
      <c r="U116" s="249"/>
      <c r="V116" s="249"/>
      <c r="W116" s="252"/>
    </row>
    <row r="117" spans="1:24" ht="18.75" customHeight="1">
      <c r="A117" s="248" t="s">
        <v>50</v>
      </c>
      <c r="B117" s="249"/>
      <c r="C117" s="249"/>
      <c r="D117" s="249"/>
      <c r="E117" s="84" t="s">
        <v>49</v>
      </c>
      <c r="F117" s="250">
        <f>'[1]Bang TH nop'!C17</f>
        <v>50601</v>
      </c>
      <c r="G117" s="250"/>
      <c r="H117" s="250"/>
      <c r="I117" s="250"/>
      <c r="J117" s="250"/>
      <c r="K117" s="251"/>
      <c r="M117" s="248" t="s">
        <v>50</v>
      </c>
      <c r="N117" s="249"/>
      <c r="O117" s="249"/>
      <c r="P117" s="249"/>
      <c r="Q117" s="84" t="s">
        <v>49</v>
      </c>
      <c r="R117" s="250">
        <v>50184</v>
      </c>
      <c r="S117" s="250"/>
      <c r="T117" s="250"/>
      <c r="U117" s="250"/>
      <c r="V117" s="250"/>
      <c r="W117" s="251"/>
    </row>
    <row r="118" spans="1:24" ht="18.75" customHeight="1">
      <c r="A118" s="248" t="s">
        <v>51</v>
      </c>
      <c r="B118" s="249"/>
      <c r="C118" s="249"/>
      <c r="D118" s="249"/>
      <c r="E118" s="84" t="s">
        <v>49</v>
      </c>
      <c r="F118" s="249" t="str">
        <f>$L$2</f>
        <v>Gián tiếp</v>
      </c>
      <c r="G118" s="249"/>
      <c r="H118" s="249"/>
      <c r="I118" s="249"/>
      <c r="J118" s="249"/>
      <c r="K118" s="252"/>
      <c r="M118" s="248" t="s">
        <v>51</v>
      </c>
      <c r="N118" s="249"/>
      <c r="O118" s="249"/>
      <c r="P118" s="249"/>
      <c r="Q118" s="84" t="s">
        <v>49</v>
      </c>
      <c r="R118" s="249" t="str">
        <f>$L$2</f>
        <v>Gián tiếp</v>
      </c>
      <c r="S118" s="249"/>
      <c r="T118" s="249"/>
      <c r="U118" s="249"/>
      <c r="V118" s="249"/>
      <c r="W118" s="252"/>
    </row>
    <row r="119" spans="1:24" ht="18.75" customHeight="1">
      <c r="A119" s="256" t="s">
        <v>52</v>
      </c>
      <c r="B119" s="257"/>
      <c r="C119" s="257"/>
      <c r="D119" s="257"/>
      <c r="E119" s="257"/>
      <c r="F119" s="257"/>
      <c r="G119" s="257"/>
      <c r="H119" s="257"/>
      <c r="I119" s="257"/>
      <c r="J119" s="257"/>
      <c r="K119" s="258"/>
      <c r="L119" s="80">
        <f>8390+4277+3685</f>
        <v>16352</v>
      </c>
      <c r="M119" s="256" t="s">
        <v>52</v>
      </c>
      <c r="N119" s="257"/>
      <c r="O119" s="257"/>
      <c r="P119" s="257"/>
      <c r="Q119" s="257"/>
      <c r="R119" s="257"/>
      <c r="S119" s="257"/>
      <c r="T119" s="257"/>
      <c r="U119" s="257"/>
      <c r="V119" s="257"/>
      <c r="W119" s="258"/>
    </row>
    <row r="120" spans="1:24" ht="18.75" customHeight="1">
      <c r="A120" s="248" t="s">
        <v>53</v>
      </c>
      <c r="B120" s="249"/>
      <c r="C120" s="249"/>
      <c r="D120" s="249"/>
      <c r="E120" s="84" t="s">
        <v>49</v>
      </c>
      <c r="F120" s="263">
        <v>3876000</v>
      </c>
      <c r="G120" s="263"/>
      <c r="H120" s="263"/>
      <c r="I120" s="263"/>
      <c r="J120" s="84" t="s">
        <v>54</v>
      </c>
      <c r="K120" s="85"/>
      <c r="M120" s="248" t="s">
        <v>53</v>
      </c>
      <c r="N120" s="249"/>
      <c r="O120" s="249"/>
      <c r="P120" s="249"/>
      <c r="Q120" s="84" t="s">
        <v>49</v>
      </c>
      <c r="R120" s="263">
        <v>3876000</v>
      </c>
      <c r="S120" s="263"/>
      <c r="T120" s="263"/>
      <c r="U120" s="263"/>
      <c r="V120" s="84" t="s">
        <v>54</v>
      </c>
      <c r="W120" s="85"/>
    </row>
    <row r="121" spans="1:24" ht="18.75" customHeight="1">
      <c r="A121" s="86" t="s">
        <v>55</v>
      </c>
      <c r="B121" s="84"/>
      <c r="C121" s="87"/>
      <c r="D121" s="88"/>
      <c r="E121" s="89"/>
      <c r="F121" s="89"/>
      <c r="G121" s="89"/>
      <c r="H121" s="84"/>
      <c r="I121" s="90">
        <f>'[1]Bang TH nop'!F17</f>
        <v>7499.038461538461</v>
      </c>
      <c r="J121" s="91"/>
      <c r="K121" s="92"/>
      <c r="L121" s="80">
        <f>3*40*2</f>
        <v>240</v>
      </c>
      <c r="M121" s="86" t="s">
        <v>55</v>
      </c>
      <c r="N121" s="84"/>
      <c r="O121" s="87"/>
      <c r="P121" s="88"/>
      <c r="Q121" s="89"/>
      <c r="R121" s="89"/>
      <c r="S121" s="89"/>
      <c r="T121" s="84"/>
      <c r="U121" s="90">
        <f>'[1]LUONG T7'!F25</f>
        <v>0</v>
      </c>
      <c r="V121" s="91"/>
      <c r="W121" s="92"/>
    </row>
    <row r="122" spans="1:24" ht="18.75" customHeight="1">
      <c r="A122" s="86" t="s">
        <v>56</v>
      </c>
      <c r="B122" s="84"/>
      <c r="C122" s="87"/>
      <c r="D122" s="88"/>
      <c r="E122" s="89"/>
      <c r="F122" s="89"/>
      <c r="G122" s="89"/>
      <c r="H122" s="84"/>
      <c r="I122" s="90">
        <f>I123/C123/8</f>
        <v>19834.096153846152</v>
      </c>
      <c r="J122" s="91"/>
      <c r="K122" s="92"/>
      <c r="L122" s="80">
        <v>1000</v>
      </c>
      <c r="M122" s="86" t="s">
        <v>56</v>
      </c>
      <c r="N122" s="84"/>
      <c r="O122" s="87"/>
      <c r="P122" s="88"/>
      <c r="Q122" s="89"/>
      <c r="R122" s="89"/>
      <c r="S122" s="89"/>
      <c r="T122" s="84"/>
      <c r="U122" s="90" t="e">
        <f>U123/O123/8</f>
        <v>#DIV/0!</v>
      </c>
      <c r="V122" s="91"/>
      <c r="W122" s="92"/>
    </row>
    <row r="123" spans="1:24" ht="18.75" customHeight="1">
      <c r="A123" s="86" t="s">
        <v>57</v>
      </c>
      <c r="B123" s="84" t="s">
        <v>49</v>
      </c>
      <c r="C123" s="87">
        <f>'[1]LUONG T7'!I22</f>
        <v>10.5</v>
      </c>
      <c r="D123" s="88" t="s">
        <v>58</v>
      </c>
      <c r="E123" s="261" t="s">
        <v>59</v>
      </c>
      <c r="F123" s="261"/>
      <c r="G123" s="261"/>
      <c r="H123" s="84" t="s">
        <v>49</v>
      </c>
      <c r="I123" s="262">
        <f>'[1]LUONG T7'!I23</f>
        <v>1666064.0769230768</v>
      </c>
      <c r="J123" s="262"/>
      <c r="K123" s="92" t="s">
        <v>54</v>
      </c>
      <c r="L123" s="93">
        <f>F120/L113*C123</f>
        <v>1627920</v>
      </c>
      <c r="M123" s="86" t="s">
        <v>57</v>
      </c>
      <c r="N123" s="84" t="s">
        <v>49</v>
      </c>
      <c r="O123" s="87">
        <f>'[1]LUONG T7'!I24</f>
        <v>0</v>
      </c>
      <c r="P123" s="88" t="s">
        <v>58</v>
      </c>
      <c r="Q123" s="261" t="s">
        <v>59</v>
      </c>
      <c r="R123" s="261"/>
      <c r="S123" s="261"/>
      <c r="T123" s="84" t="s">
        <v>49</v>
      </c>
      <c r="U123" s="262">
        <f>'[1]LUONG T7'!I25</f>
        <v>0</v>
      </c>
      <c r="V123" s="262"/>
      <c r="W123" s="92" t="s">
        <v>54</v>
      </c>
      <c r="X123" s="93">
        <f>R120/X113*O123</f>
        <v>0</v>
      </c>
    </row>
    <row r="124" spans="1:24" ht="18.75" customHeight="1">
      <c r="A124" s="86" t="s">
        <v>60</v>
      </c>
      <c r="B124" s="84" t="s">
        <v>49</v>
      </c>
      <c r="C124" s="87">
        <f>'[1]LUONG T7'!J22</f>
        <v>0</v>
      </c>
      <c r="D124" s="88" t="s">
        <v>58</v>
      </c>
      <c r="E124" s="249" t="s">
        <v>61</v>
      </c>
      <c r="F124" s="249"/>
      <c r="G124" s="249"/>
      <c r="H124" s="84" t="s">
        <v>49</v>
      </c>
      <c r="I124" s="260">
        <f>$F$8/$L$1*C124</f>
        <v>0</v>
      </c>
      <c r="J124" s="260"/>
      <c r="K124" s="92" t="s">
        <v>54</v>
      </c>
      <c r="L124" s="93"/>
      <c r="M124" s="86" t="s">
        <v>60</v>
      </c>
      <c r="N124" s="84" t="s">
        <v>49</v>
      </c>
      <c r="O124" s="87">
        <f>'[1]LUONG T7'!J24</f>
        <v>0</v>
      </c>
      <c r="P124" s="88" t="s">
        <v>58</v>
      </c>
      <c r="Q124" s="249" t="s">
        <v>61</v>
      </c>
      <c r="R124" s="249"/>
      <c r="S124" s="249"/>
      <c r="T124" s="84" t="s">
        <v>49</v>
      </c>
      <c r="U124" s="260">
        <f>$F$8/$L$1*O124</f>
        <v>0</v>
      </c>
      <c r="V124" s="260"/>
      <c r="W124" s="92" t="s">
        <v>54</v>
      </c>
      <c r="X124" s="93"/>
    </row>
    <row r="125" spans="1:24" ht="18.75" customHeight="1">
      <c r="A125" s="86" t="s">
        <v>62</v>
      </c>
      <c r="B125" s="84" t="s">
        <v>49</v>
      </c>
      <c r="C125" s="87">
        <f>'[1]LUONG T7'!K22</f>
        <v>0</v>
      </c>
      <c r="D125" s="88" t="s">
        <v>58</v>
      </c>
      <c r="E125" s="259" t="s">
        <v>63</v>
      </c>
      <c r="F125" s="259"/>
      <c r="G125" s="259"/>
      <c r="H125" s="84" t="s">
        <v>49</v>
      </c>
      <c r="I125" s="260">
        <f>3602000/$L$1*C125</f>
        <v>0</v>
      </c>
      <c r="J125" s="260"/>
      <c r="K125" s="92" t="s">
        <v>54</v>
      </c>
      <c r="L125" s="93"/>
      <c r="M125" s="86" t="s">
        <v>62</v>
      </c>
      <c r="N125" s="84" t="s">
        <v>49</v>
      </c>
      <c r="O125" s="87">
        <f>'[1]LUONG T7'!K24</f>
        <v>0</v>
      </c>
      <c r="P125" s="88" t="s">
        <v>58</v>
      </c>
      <c r="Q125" s="259" t="s">
        <v>63</v>
      </c>
      <c r="R125" s="259"/>
      <c r="S125" s="259"/>
      <c r="T125" s="84" t="s">
        <v>49</v>
      </c>
      <c r="U125" s="260">
        <f>R120/$L$1*O125</f>
        <v>0</v>
      </c>
      <c r="V125" s="260"/>
      <c r="W125" s="92" t="s">
        <v>54</v>
      </c>
      <c r="X125" s="93"/>
    </row>
    <row r="126" spans="1:24" ht="18.75" customHeight="1">
      <c r="A126" s="86" t="s">
        <v>64</v>
      </c>
      <c r="B126" s="84" t="s">
        <v>49</v>
      </c>
      <c r="C126" s="87">
        <f>'[1]LUONG T7'!L22</f>
        <v>0</v>
      </c>
      <c r="D126" s="88" t="s">
        <v>58</v>
      </c>
      <c r="E126" s="259" t="s">
        <v>65</v>
      </c>
      <c r="F126" s="259"/>
      <c r="G126" s="259"/>
      <c r="H126" s="84" t="s">
        <v>49</v>
      </c>
      <c r="I126" s="260">
        <f>$F$8/$L$1*C126</f>
        <v>0</v>
      </c>
      <c r="J126" s="260"/>
      <c r="K126" s="92" t="s">
        <v>54</v>
      </c>
      <c r="L126" s="93"/>
      <c r="M126" s="86" t="s">
        <v>64</v>
      </c>
      <c r="N126" s="84" t="s">
        <v>49</v>
      </c>
      <c r="O126" s="87">
        <f>'[1]LUONG T7'!L24</f>
        <v>0</v>
      </c>
      <c r="P126" s="88" t="s">
        <v>58</v>
      </c>
      <c r="Q126" s="259" t="s">
        <v>65</v>
      </c>
      <c r="R126" s="259"/>
      <c r="S126" s="259"/>
      <c r="T126" s="84" t="s">
        <v>49</v>
      </c>
      <c r="U126" s="260">
        <f>$F$8/$L$1*O126</f>
        <v>0</v>
      </c>
      <c r="V126" s="260"/>
      <c r="W126" s="92" t="s">
        <v>54</v>
      </c>
      <c r="X126" s="93"/>
    </row>
    <row r="127" spans="1:24" ht="18.75" customHeight="1">
      <c r="A127" s="86" t="s">
        <v>66</v>
      </c>
      <c r="B127" s="84" t="s">
        <v>49</v>
      </c>
      <c r="C127" s="87">
        <f>'[1]LUONG T7'!Q22</f>
        <v>20</v>
      </c>
      <c r="D127" s="88" t="s">
        <v>67</v>
      </c>
      <c r="E127" s="249" t="s">
        <v>68</v>
      </c>
      <c r="F127" s="249"/>
      <c r="G127" s="249"/>
      <c r="H127" s="84" t="s">
        <v>49</v>
      </c>
      <c r="I127" s="260">
        <f>'[1]LUONG T7'!Q23-12000</f>
        <v>583022.88461538451</v>
      </c>
      <c r="J127" s="260"/>
      <c r="K127" s="92" t="s">
        <v>54</v>
      </c>
      <c r="L127" s="93">
        <f>F120*C127/L113/8*1.5</f>
        <v>581400</v>
      </c>
      <c r="M127" s="86" t="s">
        <v>66</v>
      </c>
      <c r="N127" s="84" t="s">
        <v>49</v>
      </c>
      <c r="O127" s="87">
        <f>'[1]LUONG T7'!Q24</f>
        <v>0</v>
      </c>
      <c r="P127" s="88" t="s">
        <v>67</v>
      </c>
      <c r="Q127" s="249" t="s">
        <v>68</v>
      </c>
      <c r="R127" s="249"/>
      <c r="S127" s="249"/>
      <c r="T127" s="84" t="s">
        <v>49</v>
      </c>
      <c r="U127" s="260">
        <f>'[1]LUONG T7'!Q25</f>
        <v>0</v>
      </c>
      <c r="V127" s="260"/>
      <c r="W127" s="92" t="s">
        <v>54</v>
      </c>
      <c r="X127" s="93">
        <f>R120*O127/X113/8*1.5</f>
        <v>0</v>
      </c>
    </row>
    <row r="128" spans="1:24" ht="18.75" customHeight="1">
      <c r="A128" s="248" t="s">
        <v>69</v>
      </c>
      <c r="B128" s="249"/>
      <c r="C128" s="87"/>
      <c r="D128" s="88" t="s">
        <v>58</v>
      </c>
      <c r="E128" s="249" t="s">
        <v>70</v>
      </c>
      <c r="F128" s="249"/>
      <c r="G128" s="249"/>
      <c r="H128" s="94" t="s">
        <v>49</v>
      </c>
      <c r="I128" s="260"/>
      <c r="J128" s="260"/>
      <c r="K128" s="92" t="s">
        <v>54</v>
      </c>
      <c r="L128" s="93"/>
      <c r="M128" s="248" t="s">
        <v>69</v>
      </c>
      <c r="N128" s="249"/>
      <c r="O128" s="87"/>
      <c r="P128" s="88" t="s">
        <v>58</v>
      </c>
      <c r="Q128" s="249" t="s">
        <v>70</v>
      </c>
      <c r="R128" s="249"/>
      <c r="S128" s="249"/>
      <c r="T128" s="94" t="s">
        <v>49</v>
      </c>
      <c r="U128" s="260"/>
      <c r="V128" s="260"/>
      <c r="W128" s="92" t="s">
        <v>54</v>
      </c>
      <c r="X128" s="93"/>
    </row>
    <row r="129" spans="1:24" ht="18.75" customHeight="1">
      <c r="A129" s="86" t="s">
        <v>71</v>
      </c>
      <c r="B129" s="84" t="s">
        <v>49</v>
      </c>
      <c r="C129" s="87"/>
      <c r="D129" s="88" t="s">
        <v>58</v>
      </c>
      <c r="E129" s="249" t="s">
        <v>72</v>
      </c>
      <c r="F129" s="249"/>
      <c r="G129" s="249"/>
      <c r="H129" s="84" t="s">
        <v>49</v>
      </c>
      <c r="I129" s="260"/>
      <c r="J129" s="260"/>
      <c r="K129" s="92" t="s">
        <v>54</v>
      </c>
      <c r="L129" s="93"/>
      <c r="M129" s="86" t="s">
        <v>71</v>
      </c>
      <c r="N129" s="84" t="s">
        <v>49</v>
      </c>
      <c r="O129" s="87"/>
      <c r="P129" s="88" t="s">
        <v>58</v>
      </c>
      <c r="Q129" s="249" t="s">
        <v>72</v>
      </c>
      <c r="R129" s="249"/>
      <c r="S129" s="249"/>
      <c r="T129" s="84" t="s">
        <v>49</v>
      </c>
      <c r="U129" s="260"/>
      <c r="V129" s="260"/>
      <c r="W129" s="92" t="s">
        <v>54</v>
      </c>
      <c r="X129" s="93"/>
    </row>
    <row r="130" spans="1:24" ht="18.75" customHeight="1">
      <c r="A130" s="95" t="s">
        <v>73</v>
      </c>
      <c r="B130" s="84"/>
      <c r="C130" s="87">
        <f>'[1]LUONG T7'!M22</f>
        <v>0</v>
      </c>
      <c r="D130" s="88" t="s">
        <v>67</v>
      </c>
      <c r="E130" s="249" t="s">
        <v>74</v>
      </c>
      <c r="F130" s="249"/>
      <c r="G130" s="249"/>
      <c r="H130" s="84" t="s">
        <v>49</v>
      </c>
      <c r="I130" s="260">
        <f>$F$8*C130/8/$L$1</f>
        <v>0</v>
      </c>
      <c r="J130" s="260"/>
      <c r="K130" s="92" t="s">
        <v>54</v>
      </c>
      <c r="L130" s="93"/>
      <c r="M130" s="95" t="s">
        <v>73</v>
      </c>
      <c r="N130" s="84"/>
      <c r="O130" s="87">
        <f>'[1]LUONG T7'!M24</f>
        <v>0</v>
      </c>
      <c r="P130" s="88" t="s">
        <v>67</v>
      </c>
      <c r="Q130" s="249" t="s">
        <v>74</v>
      </c>
      <c r="R130" s="249"/>
      <c r="S130" s="249"/>
      <c r="T130" s="84" t="s">
        <v>49</v>
      </c>
      <c r="U130" s="260">
        <f>$F$8*O130/8/$L$1</f>
        <v>0</v>
      </c>
      <c r="V130" s="260"/>
      <c r="W130" s="92" t="s">
        <v>54</v>
      </c>
      <c r="X130" s="93"/>
    </row>
    <row r="131" spans="1:24" ht="18.75" customHeight="1">
      <c r="A131" s="86" t="s">
        <v>106</v>
      </c>
      <c r="B131" s="84" t="s">
        <v>49</v>
      </c>
      <c r="C131" s="87"/>
      <c r="D131" s="88" t="s">
        <v>67</v>
      </c>
      <c r="E131" s="249" t="s">
        <v>76</v>
      </c>
      <c r="F131" s="249"/>
      <c r="G131" s="249"/>
      <c r="H131" s="84" t="s">
        <v>49</v>
      </c>
      <c r="I131" s="262"/>
      <c r="J131" s="262"/>
      <c r="K131" s="92" t="s">
        <v>54</v>
      </c>
      <c r="L131" s="93"/>
      <c r="M131" s="86" t="s">
        <v>75</v>
      </c>
      <c r="N131" s="84" t="s">
        <v>49</v>
      </c>
      <c r="O131" s="87"/>
      <c r="P131" s="88" t="s">
        <v>67</v>
      </c>
      <c r="Q131" s="249" t="s">
        <v>76</v>
      </c>
      <c r="R131" s="249"/>
      <c r="S131" s="249"/>
      <c r="T131" s="84" t="s">
        <v>49</v>
      </c>
      <c r="U131" s="262"/>
      <c r="V131" s="262"/>
      <c r="W131" s="92" t="s">
        <v>54</v>
      </c>
      <c r="X131" s="93"/>
    </row>
    <row r="132" spans="1:24" ht="18.75" customHeight="1">
      <c r="A132" s="86" t="s">
        <v>77</v>
      </c>
      <c r="B132" s="84" t="s">
        <v>49</v>
      </c>
      <c r="C132" s="87"/>
      <c r="D132" s="88" t="s">
        <v>78</v>
      </c>
      <c r="E132" s="96" t="s">
        <v>79</v>
      </c>
      <c r="F132" s="96"/>
      <c r="G132" s="96"/>
      <c r="H132" s="84" t="s">
        <v>49</v>
      </c>
      <c r="I132" s="260"/>
      <c r="J132" s="260"/>
      <c r="K132" s="92" t="s">
        <v>54</v>
      </c>
      <c r="L132" s="93">
        <f>+IF(L123-I123&lt;0,0,L123-I123)+IF(L127-I127&lt;0,0,L127-I127)</f>
        <v>0</v>
      </c>
      <c r="M132" s="86" t="s">
        <v>77</v>
      </c>
      <c r="N132" s="84" t="s">
        <v>49</v>
      </c>
      <c r="O132" s="87"/>
      <c r="P132" s="88" t="s">
        <v>78</v>
      </c>
      <c r="Q132" s="96" t="s">
        <v>79</v>
      </c>
      <c r="R132" s="96"/>
      <c r="S132" s="96"/>
      <c r="T132" s="84" t="s">
        <v>49</v>
      </c>
      <c r="U132" s="260"/>
      <c r="V132" s="260"/>
      <c r="W132" s="92" t="s">
        <v>54</v>
      </c>
      <c r="X132" s="93">
        <f>+IF(X123-U123&lt;0,0,X123-U123)+IF(X127-U127&lt;0,0,X127-U127)</f>
        <v>0</v>
      </c>
    </row>
    <row r="133" spans="1:24" ht="18.75" customHeight="1">
      <c r="A133" s="97" t="s">
        <v>80</v>
      </c>
      <c r="B133" s="98"/>
      <c r="C133" s="87"/>
      <c r="D133" s="88" t="s">
        <v>58</v>
      </c>
      <c r="E133" s="249" t="s">
        <v>81</v>
      </c>
      <c r="F133" s="249"/>
      <c r="G133" s="249"/>
      <c r="H133" s="84" t="s">
        <v>49</v>
      </c>
      <c r="I133" s="260">
        <v>312000</v>
      </c>
      <c r="J133" s="260"/>
      <c r="K133" s="92" t="s">
        <v>54</v>
      </c>
      <c r="L133" s="93"/>
      <c r="M133" s="97" t="s">
        <v>80</v>
      </c>
      <c r="N133" s="98"/>
      <c r="O133" s="87"/>
      <c r="P133" s="88" t="s">
        <v>58</v>
      </c>
      <c r="Q133" s="249" t="s">
        <v>81</v>
      </c>
      <c r="R133" s="249"/>
      <c r="S133" s="249"/>
      <c r="T133" s="84" t="s">
        <v>49</v>
      </c>
      <c r="U133" s="260">
        <v>324000</v>
      </c>
      <c r="V133" s="260"/>
      <c r="W133" s="92" t="s">
        <v>54</v>
      </c>
      <c r="X133" s="93"/>
    </row>
    <row r="134" spans="1:24" ht="18.75" customHeight="1">
      <c r="A134" s="267" t="s">
        <v>82</v>
      </c>
      <c r="B134" s="261"/>
      <c r="C134" s="87"/>
      <c r="D134" s="88"/>
      <c r="E134" s="89"/>
      <c r="F134" s="89"/>
      <c r="G134" s="89"/>
      <c r="H134" s="84" t="s">
        <v>49</v>
      </c>
      <c r="I134" s="260">
        <f>'[1]LUONG T7'!P23</f>
        <v>0</v>
      </c>
      <c r="J134" s="260"/>
      <c r="K134" s="92" t="s">
        <v>54</v>
      </c>
      <c r="L134" s="93"/>
      <c r="M134" s="267" t="s">
        <v>82</v>
      </c>
      <c r="N134" s="261"/>
      <c r="O134" s="87"/>
      <c r="P134" s="88"/>
      <c r="Q134" s="89"/>
      <c r="R134" s="89"/>
      <c r="S134" s="89"/>
      <c r="T134" s="84" t="s">
        <v>49</v>
      </c>
      <c r="U134" s="260">
        <f>'[1]LUONG T7'!P25</f>
        <v>0</v>
      </c>
      <c r="V134" s="260"/>
      <c r="W134" s="92" t="s">
        <v>54</v>
      </c>
      <c r="X134" s="93"/>
    </row>
    <row r="135" spans="1:24" ht="18.75" customHeight="1">
      <c r="A135" s="86" t="s">
        <v>83</v>
      </c>
      <c r="B135" s="84" t="s">
        <v>49</v>
      </c>
      <c r="C135" s="87"/>
      <c r="D135" s="88"/>
      <c r="E135" s="89" t="s">
        <v>84</v>
      </c>
      <c r="F135" s="89"/>
      <c r="G135" s="89"/>
      <c r="H135" s="84" t="s">
        <v>49</v>
      </c>
      <c r="I135" s="260">
        <f>L132</f>
        <v>0</v>
      </c>
      <c r="J135" s="260"/>
      <c r="K135" s="92" t="s">
        <v>54</v>
      </c>
      <c r="L135" s="93"/>
      <c r="M135" s="86" t="s">
        <v>83</v>
      </c>
      <c r="N135" s="84" t="s">
        <v>49</v>
      </c>
      <c r="O135" s="87"/>
      <c r="P135" s="88"/>
      <c r="Q135" s="89" t="s">
        <v>84</v>
      </c>
      <c r="R135" s="89"/>
      <c r="S135" s="89"/>
      <c r="T135" s="84" t="s">
        <v>49</v>
      </c>
      <c r="U135" s="260">
        <f>X132</f>
        <v>0</v>
      </c>
      <c r="V135" s="260"/>
      <c r="W135" s="92" t="s">
        <v>54</v>
      </c>
      <c r="X135" s="93"/>
    </row>
    <row r="136" spans="1:24" ht="18.75" customHeight="1">
      <c r="A136" s="264" t="s">
        <v>85</v>
      </c>
      <c r="B136" s="265"/>
      <c r="C136" s="265"/>
      <c r="D136" s="265"/>
      <c r="E136" s="265"/>
      <c r="F136" s="265"/>
      <c r="G136" s="84" t="s">
        <v>49</v>
      </c>
      <c r="H136" s="266">
        <f>I123+I124+I125+I126+I127+I130+I134+I135+I133+I131</f>
        <v>2561086.961538461</v>
      </c>
      <c r="I136" s="266"/>
      <c r="J136" s="266"/>
      <c r="K136" s="92" t="s">
        <v>54</v>
      </c>
      <c r="M136" s="264" t="s">
        <v>85</v>
      </c>
      <c r="N136" s="265"/>
      <c r="O136" s="265"/>
      <c r="P136" s="265"/>
      <c r="Q136" s="265"/>
      <c r="R136" s="265"/>
      <c r="S136" s="84" t="s">
        <v>49</v>
      </c>
      <c r="T136" s="266">
        <f>U123+U124+U125+U126+U127+U130+U134+U135+U133</f>
        <v>324000</v>
      </c>
      <c r="U136" s="266"/>
      <c r="V136" s="266"/>
      <c r="W136" s="92" t="s">
        <v>54</v>
      </c>
    </row>
    <row r="137" spans="1:24" ht="18.75" customHeight="1">
      <c r="A137" s="99"/>
      <c r="B137" s="100"/>
      <c r="C137" s="100"/>
      <c r="D137" s="100"/>
      <c r="E137" s="100"/>
      <c r="F137" s="100"/>
      <c r="G137" s="100"/>
      <c r="H137" s="100"/>
      <c r="I137" s="100"/>
      <c r="J137" s="100"/>
      <c r="K137" s="101"/>
      <c r="M137" s="99"/>
      <c r="N137" s="100"/>
      <c r="O137" s="100"/>
      <c r="P137" s="100"/>
      <c r="Q137" s="100"/>
      <c r="R137" s="100"/>
      <c r="S137" s="100"/>
      <c r="T137" s="100"/>
      <c r="U137" s="100"/>
      <c r="V137" s="100"/>
      <c r="W137" s="101"/>
    </row>
    <row r="138" spans="1:24" ht="18.75" customHeight="1">
      <c r="A138" s="274" t="s">
        <v>86</v>
      </c>
      <c r="B138" s="275"/>
      <c r="C138" s="275"/>
      <c r="D138" s="275"/>
      <c r="E138" s="275"/>
      <c r="F138" s="275"/>
      <c r="G138" s="84"/>
      <c r="H138" s="84"/>
      <c r="I138" s="84"/>
      <c r="J138" s="84"/>
      <c r="K138" s="92"/>
      <c r="M138" s="274" t="s">
        <v>86</v>
      </c>
      <c r="N138" s="275"/>
      <c r="O138" s="275"/>
      <c r="P138" s="275"/>
      <c r="Q138" s="275"/>
      <c r="R138" s="275"/>
      <c r="S138" s="84"/>
      <c r="T138" s="84"/>
      <c r="U138" s="84"/>
      <c r="V138" s="84"/>
      <c r="W138" s="92"/>
    </row>
    <row r="139" spans="1:24" ht="18.75" customHeight="1">
      <c r="A139" s="268" t="s">
        <v>87</v>
      </c>
      <c r="B139" s="269"/>
      <c r="C139" s="269"/>
      <c r="D139" s="269"/>
      <c r="E139" s="269"/>
      <c r="F139" s="269"/>
      <c r="G139" s="84" t="s">
        <v>49</v>
      </c>
      <c r="H139" s="276">
        <f>IF(($L$1-(C123+C124+C125+C126))&gt;12,0,F120*8%)</f>
        <v>0</v>
      </c>
      <c r="I139" s="276"/>
      <c r="J139" s="276"/>
      <c r="K139" s="92" t="s">
        <v>54</v>
      </c>
      <c r="M139" s="268" t="s">
        <v>87</v>
      </c>
      <c r="N139" s="269"/>
      <c r="O139" s="269"/>
      <c r="P139" s="269"/>
      <c r="Q139" s="269"/>
      <c r="R139" s="269"/>
      <c r="S139" s="84" t="s">
        <v>49</v>
      </c>
      <c r="T139" s="276">
        <f>IF(($L$1-(O123+O124+O125+O126))&gt;12,0,R120*8%)</f>
        <v>0</v>
      </c>
      <c r="U139" s="276"/>
      <c r="V139" s="276"/>
      <c r="W139" s="92" t="s">
        <v>54</v>
      </c>
    </row>
    <row r="140" spans="1:24" ht="18.75" customHeight="1">
      <c r="A140" s="268" t="s">
        <v>88</v>
      </c>
      <c r="B140" s="269"/>
      <c r="C140" s="269"/>
      <c r="D140" s="269"/>
      <c r="E140" s="269"/>
      <c r="F140" s="269"/>
      <c r="G140" s="84" t="s">
        <v>49</v>
      </c>
      <c r="H140" s="270">
        <f>IF(($L$1-(C123+C124+C125+C126))&gt;12,0,F120*1.5%)</f>
        <v>0</v>
      </c>
      <c r="I140" s="270"/>
      <c r="J140" s="270"/>
      <c r="K140" s="92" t="s">
        <v>54</v>
      </c>
      <c r="M140" s="268" t="s">
        <v>88</v>
      </c>
      <c r="N140" s="269"/>
      <c r="O140" s="269"/>
      <c r="P140" s="269"/>
      <c r="Q140" s="269"/>
      <c r="R140" s="269"/>
      <c r="S140" s="84" t="s">
        <v>49</v>
      </c>
      <c r="T140" s="270">
        <f>IF(($L$1-(O123+O124+O125+O126))&gt;12,0,R120*1.5%)</f>
        <v>0</v>
      </c>
      <c r="U140" s="270"/>
      <c r="V140" s="270"/>
      <c r="W140" s="92" t="s">
        <v>54</v>
      </c>
    </row>
    <row r="141" spans="1:24" ht="18.75" customHeight="1">
      <c r="A141" s="268" t="s">
        <v>89</v>
      </c>
      <c r="B141" s="269"/>
      <c r="C141" s="269"/>
      <c r="D141" s="269"/>
      <c r="E141" s="269"/>
      <c r="F141" s="269"/>
      <c r="G141" s="84" t="s">
        <v>49</v>
      </c>
      <c r="H141" s="270">
        <f>IF(($L$1-(C123+C124+C125+C126))&gt;12,0,F120*1%)</f>
        <v>0</v>
      </c>
      <c r="I141" s="270"/>
      <c r="J141" s="270"/>
      <c r="K141" s="92" t="s">
        <v>54</v>
      </c>
      <c r="M141" s="268" t="s">
        <v>89</v>
      </c>
      <c r="N141" s="269"/>
      <c r="O141" s="269"/>
      <c r="P141" s="269"/>
      <c r="Q141" s="269"/>
      <c r="R141" s="269"/>
      <c r="S141" s="84" t="s">
        <v>49</v>
      </c>
      <c r="T141" s="270">
        <f>IF(($L$1-(O123+O124+O125+O126))&gt;12,0,R120*1%)</f>
        <v>0</v>
      </c>
      <c r="U141" s="270"/>
      <c r="V141" s="270"/>
      <c r="W141" s="92" t="s">
        <v>54</v>
      </c>
    </row>
    <row r="142" spans="1:24" ht="18.75" customHeight="1">
      <c r="A142" s="268" t="s">
        <v>90</v>
      </c>
      <c r="B142" s="269"/>
      <c r="C142" s="269"/>
      <c r="D142" s="269"/>
      <c r="E142" s="269"/>
      <c r="F142" s="269"/>
      <c r="G142" s="84" t="s">
        <v>49</v>
      </c>
      <c r="H142" s="270">
        <v>0</v>
      </c>
      <c r="I142" s="270"/>
      <c r="J142" s="270"/>
      <c r="K142" s="92" t="s">
        <v>54</v>
      </c>
      <c r="M142" s="268" t="s">
        <v>90</v>
      </c>
      <c r="N142" s="269"/>
      <c r="O142" s="269"/>
      <c r="P142" s="269"/>
      <c r="Q142" s="269"/>
      <c r="R142" s="269"/>
      <c r="S142" s="84" t="s">
        <v>49</v>
      </c>
      <c r="T142" s="270">
        <v>0</v>
      </c>
      <c r="U142" s="270"/>
      <c r="V142" s="270"/>
      <c r="W142" s="92" t="s">
        <v>54</v>
      </c>
    </row>
    <row r="143" spans="1:24" ht="18.75" customHeight="1">
      <c r="A143" s="271" t="s">
        <v>91</v>
      </c>
      <c r="B143" s="272"/>
      <c r="C143" s="272"/>
      <c r="D143" s="272"/>
      <c r="E143" s="272"/>
      <c r="F143" s="272"/>
      <c r="G143" s="84" t="s">
        <v>49</v>
      </c>
      <c r="H143" s="273">
        <f>SUM(H139:J142)</f>
        <v>0</v>
      </c>
      <c r="I143" s="273"/>
      <c r="J143" s="273"/>
      <c r="K143" s="92" t="s">
        <v>54</v>
      </c>
      <c r="M143" s="271" t="s">
        <v>91</v>
      </c>
      <c r="N143" s="272"/>
      <c r="O143" s="272"/>
      <c r="P143" s="272"/>
      <c r="Q143" s="272"/>
      <c r="R143" s="272"/>
      <c r="S143" s="84" t="s">
        <v>49</v>
      </c>
      <c r="T143" s="273">
        <f>SUM(T139:V142)</f>
        <v>0</v>
      </c>
      <c r="U143" s="273"/>
      <c r="V143" s="273"/>
      <c r="W143" s="92" t="s">
        <v>54</v>
      </c>
    </row>
    <row r="144" spans="1:24" ht="18.75" customHeight="1">
      <c r="A144" s="268" t="s">
        <v>92</v>
      </c>
      <c r="B144" s="269"/>
      <c r="C144" s="269"/>
      <c r="D144" s="269"/>
      <c r="E144" s="269"/>
      <c r="F144" s="269"/>
      <c r="G144" s="84" t="s">
        <v>49</v>
      </c>
      <c r="H144" s="280">
        <f>ROUND(H136-H143,-2)</f>
        <v>2561100</v>
      </c>
      <c r="I144" s="280"/>
      <c r="J144" s="280"/>
      <c r="K144" s="92" t="s">
        <v>54</v>
      </c>
      <c r="M144" s="268" t="s">
        <v>92</v>
      </c>
      <c r="N144" s="269"/>
      <c r="O144" s="269"/>
      <c r="P144" s="269"/>
      <c r="Q144" s="269"/>
      <c r="R144" s="269"/>
      <c r="S144" s="84" t="s">
        <v>49</v>
      </c>
      <c r="T144" s="280">
        <f>ROUND(T136-T143,-2)</f>
        <v>324000</v>
      </c>
      <c r="U144" s="280"/>
      <c r="V144" s="280"/>
      <c r="W144" s="92" t="s">
        <v>54</v>
      </c>
    </row>
    <row r="145" spans="1:24" ht="18.75" customHeight="1">
      <c r="A145" s="102"/>
      <c r="B145" s="103"/>
      <c r="C145" s="103"/>
      <c r="D145" s="103"/>
      <c r="E145" s="103"/>
      <c r="F145" s="103"/>
      <c r="G145" s="103"/>
      <c r="H145" s="103"/>
      <c r="I145" s="103"/>
      <c r="J145" s="103"/>
      <c r="K145" s="104"/>
      <c r="M145" s="102"/>
      <c r="N145" s="103"/>
      <c r="O145" s="103"/>
      <c r="P145" s="103"/>
      <c r="Q145" s="103"/>
      <c r="R145" s="103"/>
      <c r="S145" s="103"/>
      <c r="T145" s="103"/>
      <c r="U145" s="103"/>
      <c r="V145" s="103"/>
      <c r="W145" s="104"/>
    </row>
    <row r="146" spans="1:24" ht="18.75" customHeight="1">
      <c r="A146" s="105"/>
      <c r="B146" s="84"/>
      <c r="C146" s="84"/>
      <c r="D146" s="84"/>
      <c r="E146" s="84"/>
      <c r="F146" s="84"/>
      <c r="G146" s="84"/>
      <c r="H146" s="84"/>
      <c r="I146" s="277" t="s">
        <v>93</v>
      </c>
      <c r="J146" s="277"/>
      <c r="K146" s="281"/>
      <c r="M146" s="105"/>
      <c r="N146" s="84"/>
      <c r="O146" s="84"/>
      <c r="P146" s="84"/>
      <c r="Q146" s="84"/>
      <c r="R146" s="84"/>
      <c r="S146" s="84"/>
      <c r="T146" s="84"/>
      <c r="U146" s="277" t="s">
        <v>93</v>
      </c>
      <c r="V146" s="277"/>
      <c r="W146" s="281"/>
    </row>
    <row r="147" spans="1:24" ht="18.75" customHeight="1">
      <c r="A147" s="105"/>
      <c r="B147" s="277"/>
      <c r="C147" s="277"/>
      <c r="D147" s="277"/>
      <c r="E147" s="277"/>
      <c r="F147" s="84"/>
      <c r="G147" s="84"/>
      <c r="H147" s="84"/>
      <c r="I147" s="84"/>
      <c r="J147" s="84"/>
      <c r="K147" s="85"/>
      <c r="M147" s="105"/>
      <c r="N147" s="277"/>
      <c r="O147" s="277"/>
      <c r="P147" s="277"/>
      <c r="Q147" s="277"/>
      <c r="R147" s="84"/>
      <c r="S147" s="84"/>
      <c r="T147" s="84"/>
      <c r="U147" s="84"/>
      <c r="V147" s="84"/>
      <c r="W147" s="85"/>
    </row>
    <row r="148" spans="1:24" ht="18.75" customHeight="1" thickBot="1">
      <c r="A148" s="106"/>
      <c r="B148" s="107"/>
      <c r="C148" s="107"/>
      <c r="D148" s="107"/>
      <c r="E148" s="107"/>
      <c r="F148" s="107"/>
      <c r="G148" s="107"/>
      <c r="H148" s="107"/>
      <c r="I148" s="278" t="s">
        <v>94</v>
      </c>
      <c r="J148" s="278"/>
      <c r="K148" s="279"/>
      <c r="M148" s="106"/>
      <c r="N148" s="107"/>
      <c r="O148" s="107"/>
      <c r="P148" s="107"/>
      <c r="Q148" s="107"/>
      <c r="R148" s="107"/>
      <c r="S148" s="107"/>
      <c r="T148" s="107"/>
      <c r="U148" s="278" t="s">
        <v>94</v>
      </c>
      <c r="V148" s="278"/>
      <c r="W148" s="279"/>
    </row>
    <row r="150" spans="1:24" ht="18.75" customHeight="1" thickTop="1">
      <c r="A150" s="253" t="s">
        <v>43</v>
      </c>
      <c r="B150" s="254"/>
      <c r="C150" s="254"/>
      <c r="D150" s="254"/>
      <c r="E150" s="254"/>
      <c r="F150" s="254"/>
      <c r="G150" s="254"/>
      <c r="H150" s="254"/>
      <c r="I150" s="254"/>
      <c r="J150" s="254"/>
      <c r="K150" s="255"/>
      <c r="L150" s="80">
        <v>25</v>
      </c>
      <c r="M150" s="253" t="s">
        <v>43</v>
      </c>
      <c r="N150" s="254"/>
      <c r="O150" s="254"/>
      <c r="P150" s="254"/>
      <c r="Q150" s="254"/>
      <c r="R150" s="254"/>
      <c r="S150" s="254"/>
      <c r="T150" s="254"/>
      <c r="U150" s="254"/>
      <c r="V150" s="254"/>
      <c r="W150" s="255"/>
      <c r="X150" s="80">
        <v>25</v>
      </c>
    </row>
    <row r="151" spans="1:24" ht="18.75" customHeight="1">
      <c r="A151" s="81" t="s">
        <v>107</v>
      </c>
      <c r="B151" s="82"/>
      <c r="C151" s="82"/>
      <c r="D151" s="82"/>
      <c r="E151" s="82"/>
      <c r="F151" s="82"/>
      <c r="G151" s="82"/>
      <c r="H151" s="82"/>
      <c r="I151" s="82"/>
      <c r="J151" s="82"/>
      <c r="K151" s="83"/>
      <c r="M151" s="81" t="s">
        <v>108</v>
      </c>
      <c r="N151" s="82"/>
      <c r="O151" s="82"/>
      <c r="P151" s="82"/>
      <c r="Q151" s="82"/>
      <c r="R151" s="82"/>
      <c r="S151" s="82"/>
      <c r="T151" s="82"/>
      <c r="U151" s="82"/>
      <c r="V151" s="82"/>
      <c r="W151" s="83"/>
    </row>
    <row r="152" spans="1:24" ht="18.75" customHeight="1">
      <c r="A152" s="256" t="s">
        <v>47</v>
      </c>
      <c r="B152" s="257"/>
      <c r="C152" s="257"/>
      <c r="D152" s="257"/>
      <c r="E152" s="257"/>
      <c r="F152" s="257"/>
      <c r="G152" s="257"/>
      <c r="H152" s="257"/>
      <c r="I152" s="257"/>
      <c r="J152" s="257"/>
      <c r="K152" s="258"/>
      <c r="M152" s="256" t="s">
        <v>47</v>
      </c>
      <c r="N152" s="257"/>
      <c r="O152" s="257"/>
      <c r="P152" s="257"/>
      <c r="Q152" s="257"/>
      <c r="R152" s="257"/>
      <c r="S152" s="257"/>
      <c r="T152" s="257"/>
      <c r="U152" s="257"/>
      <c r="V152" s="257"/>
      <c r="W152" s="258"/>
    </row>
    <row r="153" spans="1:24" ht="18.75" customHeight="1">
      <c r="A153" s="248" t="s">
        <v>48</v>
      </c>
      <c r="B153" s="249"/>
      <c r="C153" s="249"/>
      <c r="D153" s="249"/>
      <c r="E153" s="84" t="s">
        <v>49</v>
      </c>
      <c r="F153" s="250" t="s">
        <v>109</v>
      </c>
      <c r="G153" s="249"/>
      <c r="H153" s="249"/>
      <c r="I153" s="249"/>
      <c r="J153" s="249"/>
      <c r="K153" s="252"/>
      <c r="M153" s="248" t="s">
        <v>48</v>
      </c>
      <c r="N153" s="249"/>
      <c r="O153" s="249"/>
      <c r="P153" s="249"/>
      <c r="Q153" s="84" t="s">
        <v>49</v>
      </c>
      <c r="R153" s="250" t="s">
        <v>100</v>
      </c>
      <c r="S153" s="249"/>
      <c r="T153" s="249"/>
      <c r="U153" s="249"/>
      <c r="V153" s="249"/>
      <c r="W153" s="252"/>
    </row>
    <row r="154" spans="1:24" ht="18.75" customHeight="1">
      <c r="A154" s="248" t="s">
        <v>50</v>
      </c>
      <c r="B154" s="249"/>
      <c r="C154" s="249"/>
      <c r="D154" s="249"/>
      <c r="E154" s="84" t="s">
        <v>49</v>
      </c>
      <c r="F154" s="250">
        <v>5007</v>
      </c>
      <c r="G154" s="250"/>
      <c r="H154" s="250"/>
      <c r="I154" s="250"/>
      <c r="J154" s="250"/>
      <c r="K154" s="251"/>
      <c r="M154" s="248" t="s">
        <v>50</v>
      </c>
      <c r="N154" s="249"/>
      <c r="O154" s="249"/>
      <c r="P154" s="249"/>
      <c r="Q154" s="84" t="s">
        <v>49</v>
      </c>
      <c r="R154" s="250">
        <v>50079</v>
      </c>
      <c r="S154" s="250"/>
      <c r="T154" s="250"/>
      <c r="U154" s="250"/>
      <c r="V154" s="250"/>
      <c r="W154" s="251"/>
    </row>
    <row r="155" spans="1:24" ht="18.75" customHeight="1">
      <c r="A155" s="248" t="s">
        <v>51</v>
      </c>
      <c r="B155" s="249"/>
      <c r="C155" s="249"/>
      <c r="D155" s="249"/>
      <c r="E155" s="84" t="s">
        <v>49</v>
      </c>
      <c r="F155" s="249" t="str">
        <f>$L$2</f>
        <v>Gián tiếp</v>
      </c>
      <c r="G155" s="249"/>
      <c r="H155" s="249"/>
      <c r="I155" s="249"/>
      <c r="J155" s="249"/>
      <c r="K155" s="252"/>
      <c r="M155" s="248" t="s">
        <v>51</v>
      </c>
      <c r="N155" s="249"/>
      <c r="O155" s="249"/>
      <c r="P155" s="249"/>
      <c r="Q155" s="84" t="s">
        <v>49</v>
      </c>
      <c r="R155" s="249" t="str">
        <f>$L$2</f>
        <v>Gián tiếp</v>
      </c>
      <c r="S155" s="249"/>
      <c r="T155" s="249"/>
      <c r="U155" s="249"/>
      <c r="V155" s="249"/>
      <c r="W155" s="252"/>
    </row>
    <row r="156" spans="1:24" ht="18.75" customHeight="1">
      <c r="A156" s="256" t="s">
        <v>52</v>
      </c>
      <c r="B156" s="257"/>
      <c r="C156" s="257"/>
      <c r="D156" s="257"/>
      <c r="E156" s="257"/>
      <c r="F156" s="257"/>
      <c r="G156" s="257"/>
      <c r="H156" s="257"/>
      <c r="I156" s="257"/>
      <c r="J156" s="257"/>
      <c r="K156" s="258"/>
      <c r="M156" s="256" t="s">
        <v>52</v>
      </c>
      <c r="N156" s="257"/>
      <c r="O156" s="257"/>
      <c r="P156" s="257"/>
      <c r="Q156" s="257"/>
      <c r="R156" s="257"/>
      <c r="S156" s="257"/>
      <c r="T156" s="257"/>
      <c r="U156" s="257"/>
      <c r="V156" s="257"/>
      <c r="W156" s="258"/>
    </row>
    <row r="157" spans="1:24" ht="18.75" customHeight="1">
      <c r="A157" s="248" t="s">
        <v>53</v>
      </c>
      <c r="B157" s="249"/>
      <c r="C157" s="249"/>
      <c r="D157" s="249"/>
      <c r="E157" s="84" t="s">
        <v>49</v>
      </c>
      <c r="F157" s="263">
        <v>3876000</v>
      </c>
      <c r="G157" s="263"/>
      <c r="H157" s="263"/>
      <c r="I157" s="263"/>
      <c r="J157" s="84" t="s">
        <v>54</v>
      </c>
      <c r="K157" s="85"/>
      <c r="M157" s="248" t="s">
        <v>53</v>
      </c>
      <c r="N157" s="249"/>
      <c r="O157" s="249"/>
      <c r="P157" s="249"/>
      <c r="Q157" s="84" t="s">
        <v>49</v>
      </c>
      <c r="R157" s="263">
        <v>3876000</v>
      </c>
      <c r="S157" s="263"/>
      <c r="T157" s="263"/>
      <c r="U157" s="263"/>
      <c r="V157" s="84" t="s">
        <v>54</v>
      </c>
      <c r="W157" s="85"/>
    </row>
    <row r="158" spans="1:24" ht="18.75" customHeight="1">
      <c r="A158" s="86" t="s">
        <v>55</v>
      </c>
      <c r="B158" s="84"/>
      <c r="C158" s="87"/>
      <c r="D158" s="88"/>
      <c r="E158" s="89"/>
      <c r="F158" s="89"/>
      <c r="G158" s="89"/>
      <c r="H158" s="84"/>
      <c r="I158" s="90">
        <f>'[1]LUONG T7'!F27</f>
        <v>0</v>
      </c>
      <c r="J158" s="91"/>
      <c r="K158" s="92"/>
      <c r="M158" s="86" t="s">
        <v>55</v>
      </c>
      <c r="N158" s="84"/>
      <c r="O158" s="87"/>
      <c r="P158" s="88"/>
      <c r="Q158" s="89"/>
      <c r="R158" s="89"/>
      <c r="S158" s="89"/>
      <c r="T158" s="84"/>
      <c r="U158" s="90">
        <f>'[1]LUONG T7'!F29</f>
        <v>0</v>
      </c>
      <c r="V158" s="91"/>
      <c r="W158" s="92"/>
    </row>
    <row r="159" spans="1:24" ht="18.75" customHeight="1">
      <c r="A159" s="86" t="s">
        <v>56</v>
      </c>
      <c r="B159" s="84"/>
      <c r="C159" s="87"/>
      <c r="D159" s="88"/>
      <c r="E159" s="89"/>
      <c r="F159" s="89"/>
      <c r="G159" s="89"/>
      <c r="H159" s="84"/>
      <c r="I159" s="90" t="e">
        <f>I160/C160/8</f>
        <v>#DIV/0!</v>
      </c>
      <c r="J159" s="91"/>
      <c r="K159" s="92"/>
      <c r="M159" s="86" t="s">
        <v>56</v>
      </c>
      <c r="N159" s="84"/>
      <c r="O159" s="87"/>
      <c r="P159" s="88"/>
      <c r="Q159" s="89"/>
      <c r="R159" s="89"/>
      <c r="S159" s="89"/>
      <c r="T159" s="84"/>
      <c r="U159" s="90" t="e">
        <f>U160/O160/8</f>
        <v>#DIV/0!</v>
      </c>
      <c r="V159" s="91"/>
      <c r="W159" s="92"/>
    </row>
    <row r="160" spans="1:24" ht="18.75" customHeight="1">
      <c r="A160" s="86" t="s">
        <v>57</v>
      </c>
      <c r="B160" s="84" t="s">
        <v>49</v>
      </c>
      <c r="C160" s="87">
        <f>'[1]LUONG T7'!I26</f>
        <v>0</v>
      </c>
      <c r="D160" s="88" t="s">
        <v>58</v>
      </c>
      <c r="E160" s="261" t="s">
        <v>59</v>
      </c>
      <c r="F160" s="261"/>
      <c r="G160" s="261"/>
      <c r="H160" s="84" t="s">
        <v>49</v>
      </c>
      <c r="I160" s="262">
        <f>'[1]LUONG T7'!I27</f>
        <v>0</v>
      </c>
      <c r="J160" s="262"/>
      <c r="K160" s="92" t="s">
        <v>54</v>
      </c>
      <c r="L160" s="93">
        <f>F157/L150*C160</f>
        <v>0</v>
      </c>
      <c r="M160" s="86" t="s">
        <v>57</v>
      </c>
      <c r="N160" s="84" t="s">
        <v>49</v>
      </c>
      <c r="O160" s="87">
        <f>'[1]LUONG T7'!I28</f>
        <v>0</v>
      </c>
      <c r="P160" s="88" t="s">
        <v>58</v>
      </c>
      <c r="Q160" s="261" t="s">
        <v>59</v>
      </c>
      <c r="R160" s="261"/>
      <c r="S160" s="261"/>
      <c r="T160" s="84" t="s">
        <v>49</v>
      </c>
      <c r="U160" s="262">
        <f>'[1]LUONG T7'!I29</f>
        <v>0</v>
      </c>
      <c r="V160" s="262"/>
      <c r="W160" s="92" t="s">
        <v>54</v>
      </c>
      <c r="X160" s="93">
        <f>R157/X150*O160</f>
        <v>0</v>
      </c>
    </row>
    <row r="161" spans="1:24" ht="18.75" customHeight="1">
      <c r="A161" s="86" t="s">
        <v>60</v>
      </c>
      <c r="B161" s="84" t="s">
        <v>49</v>
      </c>
      <c r="C161" s="87">
        <f>'[1]LUONG T7'!J26</f>
        <v>0</v>
      </c>
      <c r="D161" s="88" t="s">
        <v>58</v>
      </c>
      <c r="E161" s="249" t="s">
        <v>61</v>
      </c>
      <c r="F161" s="249"/>
      <c r="G161" s="249"/>
      <c r="H161" s="84" t="s">
        <v>49</v>
      </c>
      <c r="I161" s="260">
        <f>$F$8/$L$1*C161</f>
        <v>0</v>
      </c>
      <c r="J161" s="260"/>
      <c r="K161" s="92" t="s">
        <v>54</v>
      </c>
      <c r="L161" s="93"/>
      <c r="M161" s="86" t="s">
        <v>60</v>
      </c>
      <c r="N161" s="84" t="s">
        <v>49</v>
      </c>
      <c r="O161" s="87">
        <f>'[1]LUONG T7'!J28</f>
        <v>0</v>
      </c>
      <c r="P161" s="88" t="s">
        <v>58</v>
      </c>
      <c r="Q161" s="249" t="s">
        <v>61</v>
      </c>
      <c r="R161" s="249"/>
      <c r="S161" s="249"/>
      <c r="T161" s="84" t="s">
        <v>49</v>
      </c>
      <c r="U161" s="260">
        <f>$F$8/$L$1*O161</f>
        <v>0</v>
      </c>
      <c r="V161" s="260"/>
      <c r="W161" s="92" t="s">
        <v>54</v>
      </c>
      <c r="X161" s="93"/>
    </row>
    <row r="162" spans="1:24" ht="18.75" customHeight="1">
      <c r="A162" s="86" t="s">
        <v>62</v>
      </c>
      <c r="B162" s="84" t="s">
        <v>49</v>
      </c>
      <c r="C162" s="87">
        <f>'[1]LUONG T7'!K26</f>
        <v>0</v>
      </c>
      <c r="D162" s="88" t="s">
        <v>58</v>
      </c>
      <c r="E162" s="259" t="s">
        <v>63</v>
      </c>
      <c r="F162" s="259"/>
      <c r="G162" s="259"/>
      <c r="H162" s="84" t="s">
        <v>49</v>
      </c>
      <c r="I162" s="260">
        <f>F157/$L$1*C162</f>
        <v>0</v>
      </c>
      <c r="J162" s="260"/>
      <c r="K162" s="92" t="s">
        <v>54</v>
      </c>
      <c r="L162" s="93"/>
      <c r="M162" s="86" t="s">
        <v>62</v>
      </c>
      <c r="N162" s="84" t="s">
        <v>49</v>
      </c>
      <c r="O162" s="87">
        <f>'[1]LUONG T7'!K28</f>
        <v>0</v>
      </c>
      <c r="P162" s="88" t="s">
        <v>58</v>
      </c>
      <c r="Q162" s="259" t="s">
        <v>63</v>
      </c>
      <c r="R162" s="259"/>
      <c r="S162" s="259"/>
      <c r="T162" s="84" t="s">
        <v>49</v>
      </c>
      <c r="U162" s="260">
        <f>$F$8/$L$1*O162</f>
        <v>0</v>
      </c>
      <c r="V162" s="260"/>
      <c r="W162" s="92" t="s">
        <v>54</v>
      </c>
      <c r="X162" s="93"/>
    </row>
    <row r="163" spans="1:24" ht="18.75" customHeight="1">
      <c r="A163" s="86" t="s">
        <v>64</v>
      </c>
      <c r="B163" s="84" t="s">
        <v>49</v>
      </c>
      <c r="C163" s="87">
        <f>'[1]LUONG T7'!L26</f>
        <v>0</v>
      </c>
      <c r="D163" s="88" t="s">
        <v>58</v>
      </c>
      <c r="E163" s="259" t="s">
        <v>65</v>
      </c>
      <c r="F163" s="259"/>
      <c r="G163" s="259"/>
      <c r="H163" s="84" t="s">
        <v>49</v>
      </c>
      <c r="I163" s="260">
        <f>$F$8/$L$1*C163</f>
        <v>0</v>
      </c>
      <c r="J163" s="260"/>
      <c r="K163" s="92" t="s">
        <v>54</v>
      </c>
      <c r="L163" s="93"/>
      <c r="M163" s="86" t="s">
        <v>64</v>
      </c>
      <c r="N163" s="84" t="s">
        <v>49</v>
      </c>
      <c r="O163" s="87">
        <f>'[1]LUONG T7'!L28</f>
        <v>0</v>
      </c>
      <c r="P163" s="88" t="s">
        <v>58</v>
      </c>
      <c r="Q163" s="259" t="s">
        <v>65</v>
      </c>
      <c r="R163" s="259"/>
      <c r="S163" s="259"/>
      <c r="T163" s="84" t="s">
        <v>49</v>
      </c>
      <c r="U163" s="260">
        <f>$F$8/$L$1*O163</f>
        <v>0</v>
      </c>
      <c r="V163" s="260"/>
      <c r="W163" s="92" t="s">
        <v>54</v>
      </c>
      <c r="X163" s="93"/>
    </row>
    <row r="164" spans="1:24" ht="18.75" customHeight="1">
      <c r="A164" s="86" t="s">
        <v>66</v>
      </c>
      <c r="B164" s="84" t="s">
        <v>49</v>
      </c>
      <c r="C164" s="87">
        <f>'[1]LUONG T7'!Q26</f>
        <v>0</v>
      </c>
      <c r="D164" s="88" t="s">
        <v>67</v>
      </c>
      <c r="E164" s="249" t="s">
        <v>68</v>
      </c>
      <c r="F164" s="249"/>
      <c r="G164" s="249"/>
      <c r="H164" s="84" t="s">
        <v>49</v>
      </c>
      <c r="I164" s="260">
        <f>'[1]LUONG T7'!Q27</f>
        <v>0</v>
      </c>
      <c r="J164" s="260"/>
      <c r="K164" s="92" t="s">
        <v>54</v>
      </c>
      <c r="L164" s="93">
        <f>F157*C164/L150/8*1.5</f>
        <v>0</v>
      </c>
      <c r="M164" s="86" t="s">
        <v>66</v>
      </c>
      <c r="N164" s="84" t="s">
        <v>49</v>
      </c>
      <c r="O164" s="87">
        <f>'[1]LUONG T7'!Q28</f>
        <v>0</v>
      </c>
      <c r="P164" s="88" t="s">
        <v>67</v>
      </c>
      <c r="Q164" s="249" t="s">
        <v>68</v>
      </c>
      <c r="R164" s="249"/>
      <c r="S164" s="249"/>
      <c r="T164" s="84" t="s">
        <v>49</v>
      </c>
      <c r="U164" s="260">
        <f>'[1]LUONG T7'!Q29</f>
        <v>0</v>
      </c>
      <c r="V164" s="260"/>
      <c r="W164" s="92" t="s">
        <v>54</v>
      </c>
      <c r="X164" s="93">
        <f>R157*O164/X150/8*1.5</f>
        <v>0</v>
      </c>
    </row>
    <row r="165" spans="1:24" ht="18.75" customHeight="1">
      <c r="A165" s="248" t="s">
        <v>69</v>
      </c>
      <c r="B165" s="249"/>
      <c r="C165" s="87"/>
      <c r="D165" s="88" t="s">
        <v>58</v>
      </c>
      <c r="E165" s="249" t="s">
        <v>70</v>
      </c>
      <c r="F165" s="249"/>
      <c r="G165" s="249"/>
      <c r="H165" s="94" t="s">
        <v>49</v>
      </c>
      <c r="I165" s="260"/>
      <c r="J165" s="260"/>
      <c r="K165" s="92" t="s">
        <v>54</v>
      </c>
      <c r="L165" s="93"/>
      <c r="M165" s="248" t="s">
        <v>69</v>
      </c>
      <c r="N165" s="249"/>
      <c r="O165" s="87"/>
      <c r="P165" s="88" t="s">
        <v>58</v>
      </c>
      <c r="Q165" s="249" t="s">
        <v>70</v>
      </c>
      <c r="R165" s="249"/>
      <c r="S165" s="249"/>
      <c r="T165" s="94" t="s">
        <v>49</v>
      </c>
      <c r="U165" s="260"/>
      <c r="V165" s="260"/>
      <c r="W165" s="92" t="s">
        <v>54</v>
      </c>
      <c r="X165" s="93"/>
    </row>
    <row r="166" spans="1:24" ht="18.75" customHeight="1">
      <c r="A166" s="86" t="s">
        <v>71</v>
      </c>
      <c r="B166" s="84" t="s">
        <v>49</v>
      </c>
      <c r="C166" s="87"/>
      <c r="D166" s="88" t="s">
        <v>58</v>
      </c>
      <c r="E166" s="249" t="s">
        <v>72</v>
      </c>
      <c r="F166" s="249"/>
      <c r="G166" s="249"/>
      <c r="H166" s="84" t="s">
        <v>49</v>
      </c>
      <c r="I166" s="260"/>
      <c r="J166" s="260"/>
      <c r="K166" s="92" t="s">
        <v>54</v>
      </c>
      <c r="L166" s="93"/>
      <c r="M166" s="86" t="s">
        <v>71</v>
      </c>
      <c r="N166" s="84" t="s">
        <v>49</v>
      </c>
      <c r="O166" s="87"/>
      <c r="P166" s="88" t="s">
        <v>58</v>
      </c>
      <c r="Q166" s="249" t="s">
        <v>72</v>
      </c>
      <c r="R166" s="249"/>
      <c r="S166" s="249"/>
      <c r="T166" s="84" t="s">
        <v>49</v>
      </c>
      <c r="U166" s="260"/>
      <c r="V166" s="260"/>
      <c r="W166" s="92" t="s">
        <v>54</v>
      </c>
      <c r="X166" s="93"/>
    </row>
    <row r="167" spans="1:24" ht="18.75" customHeight="1">
      <c r="A167" s="95" t="s">
        <v>73</v>
      </c>
      <c r="B167" s="84"/>
      <c r="C167" s="87">
        <f>'[1]LUONG T7'!M26</f>
        <v>0</v>
      </c>
      <c r="D167" s="88" t="s">
        <v>67</v>
      </c>
      <c r="E167" s="249" t="s">
        <v>74</v>
      </c>
      <c r="F167" s="249"/>
      <c r="G167" s="249"/>
      <c r="H167" s="84" t="s">
        <v>49</v>
      </c>
      <c r="I167" s="260">
        <v>10000</v>
      </c>
      <c r="J167" s="260"/>
      <c r="K167" s="92" t="s">
        <v>54</v>
      </c>
      <c r="L167" s="93"/>
      <c r="M167" s="95" t="s">
        <v>73</v>
      </c>
      <c r="N167" s="84"/>
      <c r="O167" s="87">
        <f>'[1]LUONG T7'!M28</f>
        <v>0</v>
      </c>
      <c r="P167" s="88" t="s">
        <v>67</v>
      </c>
      <c r="Q167" s="249" t="s">
        <v>74</v>
      </c>
      <c r="R167" s="249"/>
      <c r="S167" s="249"/>
      <c r="T167" s="84" t="s">
        <v>49</v>
      </c>
      <c r="U167" s="260">
        <v>20000</v>
      </c>
      <c r="V167" s="260"/>
      <c r="W167" s="92" t="s">
        <v>54</v>
      </c>
      <c r="X167" s="93"/>
    </row>
    <row r="168" spans="1:24" ht="18.75" customHeight="1">
      <c r="A168" s="86" t="s">
        <v>102</v>
      </c>
      <c r="B168" s="84" t="s">
        <v>49</v>
      </c>
      <c r="C168" s="87"/>
      <c r="D168" s="88" t="s">
        <v>67</v>
      </c>
      <c r="E168" s="249" t="s">
        <v>110</v>
      </c>
      <c r="F168" s="249"/>
      <c r="G168" s="249"/>
      <c r="H168" s="84" t="s">
        <v>49</v>
      </c>
      <c r="I168" s="262">
        <v>232500</v>
      </c>
      <c r="J168" s="262"/>
      <c r="K168" s="92" t="s">
        <v>54</v>
      </c>
      <c r="L168" s="93"/>
      <c r="M168" s="86" t="s">
        <v>75</v>
      </c>
      <c r="N168" s="84" t="s">
        <v>49</v>
      </c>
      <c r="O168" s="87"/>
      <c r="P168" s="88" t="s">
        <v>67</v>
      </c>
      <c r="Q168" s="249" t="s">
        <v>110</v>
      </c>
      <c r="R168" s="249"/>
      <c r="S168" s="249"/>
      <c r="T168" s="84" t="s">
        <v>49</v>
      </c>
      <c r="U168" s="262">
        <v>240000</v>
      </c>
      <c r="V168" s="262"/>
      <c r="W168" s="92" t="s">
        <v>54</v>
      </c>
      <c r="X168" s="93"/>
    </row>
    <row r="169" spans="1:24" ht="18.75" customHeight="1">
      <c r="A169" s="86" t="s">
        <v>77</v>
      </c>
      <c r="B169" s="84" t="s">
        <v>49</v>
      </c>
      <c r="C169" s="87"/>
      <c r="D169" s="88" t="s">
        <v>78</v>
      </c>
      <c r="E169" s="96" t="s">
        <v>79</v>
      </c>
      <c r="F169" s="96"/>
      <c r="G169" s="96"/>
      <c r="H169" s="84" t="s">
        <v>49</v>
      </c>
      <c r="I169" s="260"/>
      <c r="J169" s="260"/>
      <c r="K169" s="92" t="s">
        <v>54</v>
      </c>
      <c r="L169" s="93">
        <f>+IF(L160-I160&lt;0,0,L160-I160)+IF(L164-I164&lt;0,0,L164-I164)</f>
        <v>0</v>
      </c>
      <c r="M169" s="86" t="s">
        <v>77</v>
      </c>
      <c r="N169" s="84" t="s">
        <v>49</v>
      </c>
      <c r="O169" s="87"/>
      <c r="P169" s="88" t="s">
        <v>78</v>
      </c>
      <c r="Q169" s="96" t="s">
        <v>79</v>
      </c>
      <c r="R169" s="96"/>
      <c r="S169" s="96"/>
      <c r="T169" s="84" t="s">
        <v>49</v>
      </c>
      <c r="U169" s="260"/>
      <c r="V169" s="260"/>
      <c r="W169" s="92" t="s">
        <v>54</v>
      </c>
      <c r="X169" s="93">
        <f>+IF(X160-U160&lt;0,0,X160-U160)+IF(X164-U164&lt;0,0,X164-U164)</f>
        <v>0</v>
      </c>
    </row>
    <row r="170" spans="1:24" ht="18.75" customHeight="1">
      <c r="A170" s="97" t="s">
        <v>80</v>
      </c>
      <c r="B170" s="98"/>
      <c r="C170" s="87"/>
      <c r="D170" s="88" t="s">
        <v>58</v>
      </c>
      <c r="E170" s="249" t="s">
        <v>81</v>
      </c>
      <c r="F170" s="249"/>
      <c r="G170" s="249"/>
      <c r="H170" s="84" t="s">
        <v>49</v>
      </c>
      <c r="I170" s="260">
        <v>318000</v>
      </c>
      <c r="J170" s="260"/>
      <c r="K170" s="92" t="s">
        <v>54</v>
      </c>
      <c r="L170" s="93"/>
      <c r="M170" s="97" t="s">
        <v>80</v>
      </c>
      <c r="N170" s="98"/>
      <c r="O170" s="87"/>
      <c r="P170" s="88" t="s">
        <v>58</v>
      </c>
      <c r="Q170" s="249" t="s">
        <v>81</v>
      </c>
      <c r="R170" s="249"/>
      <c r="S170" s="249"/>
      <c r="T170" s="84" t="s">
        <v>49</v>
      </c>
      <c r="U170" s="260">
        <v>324000</v>
      </c>
      <c r="V170" s="260"/>
      <c r="W170" s="92" t="s">
        <v>54</v>
      </c>
      <c r="X170" s="93"/>
    </row>
    <row r="171" spans="1:24" ht="18.75" customHeight="1">
      <c r="A171" s="267" t="s">
        <v>82</v>
      </c>
      <c r="B171" s="261"/>
      <c r="C171" s="87"/>
      <c r="D171" s="88"/>
      <c r="E171" s="89"/>
      <c r="F171" s="89"/>
      <c r="G171" s="89"/>
      <c r="H171" s="84" t="s">
        <v>49</v>
      </c>
      <c r="I171" s="260">
        <f>'[1]LUONG T7'!P27</f>
        <v>0</v>
      </c>
      <c r="J171" s="260"/>
      <c r="K171" s="92" t="s">
        <v>54</v>
      </c>
      <c r="L171" s="93"/>
      <c r="M171" s="267" t="s">
        <v>82</v>
      </c>
      <c r="N171" s="261"/>
      <c r="O171" s="87"/>
      <c r="P171" s="88"/>
      <c r="Q171" s="89"/>
      <c r="R171" s="89"/>
      <c r="S171" s="89"/>
      <c r="T171" s="84" t="s">
        <v>49</v>
      </c>
      <c r="U171" s="260">
        <f>'[1]LUONG T7'!P29</f>
        <v>0</v>
      </c>
      <c r="V171" s="260"/>
      <c r="W171" s="92" t="s">
        <v>54</v>
      </c>
      <c r="X171" s="93"/>
    </row>
    <row r="172" spans="1:24" ht="18.75" customHeight="1">
      <c r="A172" s="86" t="s">
        <v>83</v>
      </c>
      <c r="B172" s="84" t="s">
        <v>49</v>
      </c>
      <c r="C172" s="87"/>
      <c r="D172" s="88"/>
      <c r="E172" s="89" t="s">
        <v>84</v>
      </c>
      <c r="F172" s="89"/>
      <c r="G172" s="89"/>
      <c r="H172" s="84" t="s">
        <v>49</v>
      </c>
      <c r="I172" s="260">
        <f>L169</f>
        <v>0</v>
      </c>
      <c r="J172" s="260"/>
      <c r="K172" s="92" t="s">
        <v>54</v>
      </c>
      <c r="L172" s="93"/>
      <c r="M172" s="86" t="s">
        <v>83</v>
      </c>
      <c r="N172" s="84" t="s">
        <v>49</v>
      </c>
      <c r="O172" s="87"/>
      <c r="P172" s="88"/>
      <c r="Q172" s="89" t="s">
        <v>84</v>
      </c>
      <c r="R172" s="89"/>
      <c r="S172" s="89"/>
      <c r="T172" s="84" t="s">
        <v>49</v>
      </c>
      <c r="U172" s="260">
        <f>X169</f>
        <v>0</v>
      </c>
      <c r="V172" s="260"/>
      <c r="W172" s="92" t="s">
        <v>54</v>
      </c>
      <c r="X172" s="93"/>
    </row>
    <row r="173" spans="1:24" ht="18.75" customHeight="1">
      <c r="A173" s="264" t="s">
        <v>85</v>
      </c>
      <c r="B173" s="265"/>
      <c r="C173" s="265"/>
      <c r="D173" s="265"/>
      <c r="E173" s="265"/>
      <c r="F173" s="265"/>
      <c r="G173" s="84" t="s">
        <v>49</v>
      </c>
      <c r="H173" s="266">
        <f>I160+I161+I162+I163+I164+I167+I171+I172+I170+I168</f>
        <v>560500</v>
      </c>
      <c r="I173" s="266"/>
      <c r="J173" s="266"/>
      <c r="K173" s="92" t="s">
        <v>54</v>
      </c>
      <c r="M173" s="264" t="s">
        <v>85</v>
      </c>
      <c r="N173" s="265"/>
      <c r="O173" s="265"/>
      <c r="P173" s="265"/>
      <c r="Q173" s="265"/>
      <c r="R173" s="265"/>
      <c r="S173" s="84" t="s">
        <v>49</v>
      </c>
      <c r="T173" s="266">
        <f>U160+U161+U162+U163+U164+U167+U171+U172+U170+U168</f>
        <v>584000</v>
      </c>
      <c r="U173" s="266"/>
      <c r="V173" s="266"/>
      <c r="W173" s="92" t="s">
        <v>54</v>
      </c>
    </row>
    <row r="174" spans="1:24" ht="18.75" customHeight="1">
      <c r="A174" s="99"/>
      <c r="B174" s="100"/>
      <c r="C174" s="100"/>
      <c r="D174" s="100"/>
      <c r="E174" s="100"/>
      <c r="F174" s="100"/>
      <c r="G174" s="100"/>
      <c r="H174" s="100"/>
      <c r="I174" s="100"/>
      <c r="J174" s="100"/>
      <c r="K174" s="101"/>
      <c r="M174" s="99"/>
      <c r="N174" s="100"/>
      <c r="O174" s="100"/>
      <c r="P174" s="100"/>
      <c r="Q174" s="100"/>
      <c r="R174" s="100"/>
      <c r="S174" s="100"/>
      <c r="T174" s="100"/>
      <c r="U174" s="100"/>
      <c r="V174" s="100"/>
      <c r="W174" s="101"/>
    </row>
    <row r="175" spans="1:24" ht="18.75" customHeight="1">
      <c r="A175" s="274" t="s">
        <v>86</v>
      </c>
      <c r="B175" s="275"/>
      <c r="C175" s="275"/>
      <c r="D175" s="275"/>
      <c r="E175" s="275"/>
      <c r="F175" s="275"/>
      <c r="G175" s="84"/>
      <c r="H175" s="84"/>
      <c r="I175" s="84"/>
      <c r="J175" s="84"/>
      <c r="K175" s="92"/>
      <c r="M175" s="274" t="s">
        <v>86</v>
      </c>
      <c r="N175" s="275"/>
      <c r="O175" s="275"/>
      <c r="P175" s="275"/>
      <c r="Q175" s="275"/>
      <c r="R175" s="275"/>
      <c r="S175" s="84"/>
      <c r="T175" s="84"/>
      <c r="U175" s="84"/>
      <c r="V175" s="84"/>
      <c r="W175" s="92"/>
    </row>
    <row r="176" spans="1:24" ht="18.75" customHeight="1">
      <c r="A176" s="268" t="s">
        <v>87</v>
      </c>
      <c r="B176" s="269"/>
      <c r="C176" s="269"/>
      <c r="D176" s="269"/>
      <c r="E176" s="269"/>
      <c r="F176" s="269"/>
      <c r="G176" s="84" t="s">
        <v>49</v>
      </c>
      <c r="H176" s="276">
        <f>IF(($L$1-(C160+C161+C162+C163))&gt;12,0,F157*8%)</f>
        <v>0</v>
      </c>
      <c r="I176" s="276"/>
      <c r="J176" s="276"/>
      <c r="K176" s="92" t="s">
        <v>54</v>
      </c>
      <c r="M176" s="268" t="s">
        <v>87</v>
      </c>
      <c r="N176" s="269"/>
      <c r="O176" s="269"/>
      <c r="P176" s="269"/>
      <c r="Q176" s="269"/>
      <c r="R176" s="269"/>
      <c r="S176" s="84" t="s">
        <v>49</v>
      </c>
      <c r="T176" s="276">
        <f>IF(($L$1-(O160+O161+O162+O163))&gt;12,0,R157*8%)</f>
        <v>0</v>
      </c>
      <c r="U176" s="276"/>
      <c r="V176" s="276"/>
      <c r="W176" s="92" t="s">
        <v>54</v>
      </c>
    </row>
    <row r="177" spans="1:24" ht="18.75" customHeight="1">
      <c r="A177" s="268" t="s">
        <v>88</v>
      </c>
      <c r="B177" s="269"/>
      <c r="C177" s="269"/>
      <c r="D177" s="269"/>
      <c r="E177" s="269"/>
      <c r="F177" s="269"/>
      <c r="G177" s="84" t="s">
        <v>49</v>
      </c>
      <c r="H177" s="270">
        <f>IF(($L$1-(C160+C161+C162+C163))&gt;12,0,F157*1.5%)</f>
        <v>0</v>
      </c>
      <c r="I177" s="270"/>
      <c r="J177" s="270"/>
      <c r="K177" s="92" t="s">
        <v>54</v>
      </c>
      <c r="M177" s="268" t="s">
        <v>88</v>
      </c>
      <c r="N177" s="269"/>
      <c r="O177" s="269"/>
      <c r="P177" s="269"/>
      <c r="Q177" s="269"/>
      <c r="R177" s="269"/>
      <c r="S177" s="84" t="s">
        <v>49</v>
      </c>
      <c r="T177" s="270">
        <f>IF(($L$1-(O160+O161+O162+O163))&gt;12,0,R157*1.5%)</f>
        <v>0</v>
      </c>
      <c r="U177" s="270"/>
      <c r="V177" s="270"/>
      <c r="W177" s="92" t="s">
        <v>54</v>
      </c>
    </row>
    <row r="178" spans="1:24" ht="18.75" customHeight="1">
      <c r="A178" s="268" t="s">
        <v>89</v>
      </c>
      <c r="B178" s="269"/>
      <c r="C178" s="269"/>
      <c r="D178" s="269"/>
      <c r="E178" s="269"/>
      <c r="F178" s="269"/>
      <c r="G178" s="84" t="s">
        <v>49</v>
      </c>
      <c r="H178" s="270">
        <f>IF(($L$1-(C160+C161+C162+C163))&gt;12,0,F157*1%)</f>
        <v>0</v>
      </c>
      <c r="I178" s="270"/>
      <c r="J178" s="270"/>
      <c r="K178" s="92" t="s">
        <v>54</v>
      </c>
      <c r="M178" s="268" t="s">
        <v>89</v>
      </c>
      <c r="N178" s="269"/>
      <c r="O178" s="269"/>
      <c r="P178" s="269"/>
      <c r="Q178" s="269"/>
      <c r="R178" s="269"/>
      <c r="S178" s="84" t="s">
        <v>49</v>
      </c>
      <c r="T178" s="270">
        <f>IF(($L$1-(O160+O161+O162+O163))&gt;12,0,R157*1%)</f>
        <v>0</v>
      </c>
      <c r="U178" s="270"/>
      <c r="V178" s="270"/>
      <c r="W178" s="92" t="s">
        <v>54</v>
      </c>
    </row>
    <row r="179" spans="1:24" ht="18.75" customHeight="1">
      <c r="A179" s="268" t="s">
        <v>90</v>
      </c>
      <c r="B179" s="269"/>
      <c r="C179" s="269"/>
      <c r="D179" s="269"/>
      <c r="E179" s="269"/>
      <c r="F179" s="269"/>
      <c r="G179" s="84" t="s">
        <v>49</v>
      </c>
      <c r="H179" s="270">
        <v>0</v>
      </c>
      <c r="I179" s="270"/>
      <c r="J179" s="270"/>
      <c r="K179" s="92" t="s">
        <v>54</v>
      </c>
      <c r="M179" s="268" t="s">
        <v>90</v>
      </c>
      <c r="N179" s="269"/>
      <c r="O179" s="269"/>
      <c r="P179" s="269"/>
      <c r="Q179" s="269"/>
      <c r="R179" s="269"/>
      <c r="S179" s="84" t="s">
        <v>49</v>
      </c>
      <c r="T179" s="270">
        <v>0</v>
      </c>
      <c r="U179" s="270"/>
      <c r="V179" s="270"/>
      <c r="W179" s="92" t="s">
        <v>54</v>
      </c>
    </row>
    <row r="180" spans="1:24" ht="18.75" customHeight="1">
      <c r="A180" s="271" t="s">
        <v>91</v>
      </c>
      <c r="B180" s="272"/>
      <c r="C180" s="272"/>
      <c r="D180" s="272"/>
      <c r="E180" s="272"/>
      <c r="F180" s="272"/>
      <c r="G180" s="84" t="s">
        <v>49</v>
      </c>
      <c r="H180" s="273">
        <f>SUM(H176:J179)</f>
        <v>0</v>
      </c>
      <c r="I180" s="273"/>
      <c r="J180" s="273"/>
      <c r="K180" s="92" t="s">
        <v>54</v>
      </c>
      <c r="M180" s="271" t="s">
        <v>91</v>
      </c>
      <c r="N180" s="272"/>
      <c r="O180" s="272"/>
      <c r="P180" s="272"/>
      <c r="Q180" s="272"/>
      <c r="R180" s="272"/>
      <c r="S180" s="84" t="s">
        <v>49</v>
      </c>
      <c r="T180" s="273">
        <f>SUM(T176:V179)</f>
        <v>0</v>
      </c>
      <c r="U180" s="273"/>
      <c r="V180" s="273"/>
      <c r="W180" s="92" t="s">
        <v>54</v>
      </c>
    </row>
    <row r="181" spans="1:24" ht="18.75" customHeight="1">
      <c r="A181" s="268" t="s">
        <v>92</v>
      </c>
      <c r="B181" s="269"/>
      <c r="C181" s="269"/>
      <c r="D181" s="269"/>
      <c r="E181" s="269"/>
      <c r="F181" s="269"/>
      <c r="G181" s="84" t="s">
        <v>49</v>
      </c>
      <c r="H181" s="280">
        <f>ROUND(H173-H180,-2)</f>
        <v>560500</v>
      </c>
      <c r="I181" s="280"/>
      <c r="J181" s="280"/>
      <c r="K181" s="92" t="s">
        <v>54</v>
      </c>
      <c r="M181" s="268" t="s">
        <v>92</v>
      </c>
      <c r="N181" s="269"/>
      <c r="O181" s="269"/>
      <c r="P181" s="269"/>
      <c r="Q181" s="269"/>
      <c r="R181" s="269"/>
      <c r="S181" s="84" t="s">
        <v>49</v>
      </c>
      <c r="T181" s="280">
        <f>ROUND(T173-T180,-2)</f>
        <v>584000</v>
      </c>
      <c r="U181" s="280"/>
      <c r="V181" s="280"/>
      <c r="W181" s="92" t="s">
        <v>54</v>
      </c>
    </row>
    <row r="182" spans="1:24" ht="18.75" customHeight="1">
      <c r="A182" s="102"/>
      <c r="B182" s="103"/>
      <c r="C182" s="103"/>
      <c r="D182" s="103"/>
      <c r="E182" s="103"/>
      <c r="F182" s="103"/>
      <c r="G182" s="103"/>
      <c r="H182" s="103"/>
      <c r="I182" s="103"/>
      <c r="J182" s="103"/>
      <c r="K182" s="104"/>
      <c r="M182" s="102"/>
      <c r="N182" s="103"/>
      <c r="O182" s="103"/>
      <c r="P182" s="103"/>
      <c r="Q182" s="103"/>
      <c r="R182" s="103"/>
      <c r="S182" s="103"/>
      <c r="T182" s="103"/>
      <c r="U182" s="103"/>
      <c r="V182" s="103"/>
      <c r="W182" s="104"/>
    </row>
    <row r="183" spans="1:24" ht="18.75" customHeight="1">
      <c r="A183" s="105"/>
      <c r="B183" s="84"/>
      <c r="C183" s="84"/>
      <c r="D183" s="84"/>
      <c r="E183" s="84"/>
      <c r="F183" s="84"/>
      <c r="G183" s="84"/>
      <c r="H183" s="84"/>
      <c r="I183" s="277" t="s">
        <v>93</v>
      </c>
      <c r="J183" s="277"/>
      <c r="K183" s="281"/>
      <c r="M183" s="105"/>
      <c r="N183" s="84"/>
      <c r="O183" s="84"/>
      <c r="P183" s="84"/>
      <c r="Q183" s="84"/>
      <c r="R183" s="84"/>
      <c r="S183" s="84"/>
      <c r="T183" s="84"/>
      <c r="U183" s="277" t="s">
        <v>93</v>
      </c>
      <c r="V183" s="277"/>
      <c r="W183" s="281"/>
    </row>
    <row r="184" spans="1:24" ht="18.75" customHeight="1">
      <c r="A184" s="105"/>
      <c r="B184" s="277"/>
      <c r="C184" s="277"/>
      <c r="D184" s="277"/>
      <c r="E184" s="277"/>
      <c r="F184" s="84"/>
      <c r="G184" s="84"/>
      <c r="H184" s="84"/>
      <c r="I184" s="84"/>
      <c r="J184" s="84"/>
      <c r="K184" s="85"/>
      <c r="M184" s="105"/>
      <c r="N184" s="277"/>
      <c r="O184" s="277"/>
      <c r="P184" s="277"/>
      <c r="Q184" s="277"/>
      <c r="R184" s="84"/>
      <c r="S184" s="84"/>
      <c r="T184" s="84"/>
      <c r="U184" s="84"/>
      <c r="V184" s="84"/>
      <c r="W184" s="85"/>
    </row>
    <row r="185" spans="1:24" ht="18.75" customHeight="1" thickBot="1">
      <c r="A185" s="106"/>
      <c r="B185" s="107"/>
      <c r="C185" s="107"/>
      <c r="D185" s="107"/>
      <c r="E185" s="107"/>
      <c r="F185" s="107"/>
      <c r="G185" s="107"/>
      <c r="H185" s="107"/>
      <c r="I185" s="278" t="s">
        <v>94</v>
      </c>
      <c r="J185" s="278"/>
      <c r="K185" s="279"/>
      <c r="M185" s="106"/>
      <c r="N185" s="107"/>
      <c r="O185" s="107"/>
      <c r="P185" s="107"/>
      <c r="Q185" s="107"/>
      <c r="R185" s="107"/>
      <c r="S185" s="107"/>
      <c r="T185" s="107"/>
      <c r="U185" s="278" t="s">
        <v>94</v>
      </c>
      <c r="V185" s="278"/>
      <c r="W185" s="279"/>
    </row>
    <row r="187" spans="1:24" ht="18.75" customHeight="1" thickTop="1">
      <c r="A187" s="253" t="s">
        <v>43</v>
      </c>
      <c r="B187" s="254"/>
      <c r="C187" s="254"/>
      <c r="D187" s="254"/>
      <c r="E187" s="254"/>
      <c r="F187" s="254"/>
      <c r="G187" s="254"/>
      <c r="H187" s="254"/>
      <c r="I187" s="254"/>
      <c r="J187" s="254"/>
      <c r="K187" s="255"/>
      <c r="L187" s="80">
        <v>25</v>
      </c>
      <c r="M187" s="253" t="s">
        <v>43</v>
      </c>
      <c r="N187" s="254"/>
      <c r="O187" s="254"/>
      <c r="P187" s="254"/>
      <c r="Q187" s="254"/>
      <c r="R187" s="254"/>
      <c r="S187" s="254"/>
      <c r="T187" s="254"/>
      <c r="U187" s="254"/>
      <c r="V187" s="254"/>
      <c r="W187" s="255"/>
      <c r="X187" s="80">
        <v>25</v>
      </c>
    </row>
    <row r="188" spans="1:24" ht="18.75" customHeight="1">
      <c r="A188" s="81" t="s">
        <v>111</v>
      </c>
      <c r="B188" s="82"/>
      <c r="C188" s="82"/>
      <c r="D188" s="82"/>
      <c r="E188" s="82"/>
      <c r="F188" s="82"/>
      <c r="G188" s="82"/>
      <c r="H188" s="82"/>
      <c r="I188" s="82"/>
      <c r="J188" s="82"/>
      <c r="K188" s="83"/>
      <c r="M188" s="81" t="s">
        <v>112</v>
      </c>
      <c r="N188" s="82"/>
      <c r="O188" s="82"/>
      <c r="P188" s="82"/>
      <c r="Q188" s="82"/>
      <c r="R188" s="82"/>
      <c r="S188" s="82"/>
      <c r="T188" s="82"/>
      <c r="U188" s="82"/>
      <c r="V188" s="82"/>
      <c r="W188" s="83"/>
    </row>
    <row r="189" spans="1:24" ht="18.75" customHeight="1">
      <c r="A189" s="256" t="s">
        <v>47</v>
      </c>
      <c r="B189" s="257"/>
      <c r="C189" s="257"/>
      <c r="D189" s="257"/>
      <c r="E189" s="257"/>
      <c r="F189" s="257"/>
      <c r="G189" s="257"/>
      <c r="H189" s="257"/>
      <c r="I189" s="257"/>
      <c r="J189" s="257"/>
      <c r="K189" s="258"/>
      <c r="M189" s="256" t="s">
        <v>47</v>
      </c>
      <c r="N189" s="257"/>
      <c r="O189" s="257"/>
      <c r="P189" s="257"/>
      <c r="Q189" s="257"/>
      <c r="R189" s="257"/>
      <c r="S189" s="257"/>
      <c r="T189" s="257"/>
      <c r="U189" s="257"/>
      <c r="V189" s="257"/>
      <c r="W189" s="258"/>
    </row>
    <row r="190" spans="1:24" ht="18.75" customHeight="1">
      <c r="A190" s="248" t="s">
        <v>48</v>
      </c>
      <c r="B190" s="249"/>
      <c r="C190" s="249"/>
      <c r="D190" s="249"/>
      <c r="E190" s="84" t="s">
        <v>49</v>
      </c>
      <c r="F190" s="250" t="s">
        <v>113</v>
      </c>
      <c r="G190" s="249"/>
      <c r="H190" s="249"/>
      <c r="I190" s="249"/>
      <c r="J190" s="249"/>
      <c r="K190" s="252"/>
      <c r="M190" s="248" t="s">
        <v>48</v>
      </c>
      <c r="N190" s="249"/>
      <c r="O190" s="249"/>
      <c r="P190" s="249"/>
      <c r="Q190" s="84" t="s">
        <v>49</v>
      </c>
      <c r="R190" s="250" t="s">
        <v>114</v>
      </c>
      <c r="S190" s="249"/>
      <c r="T190" s="249"/>
      <c r="U190" s="249"/>
      <c r="V190" s="249"/>
      <c r="W190" s="252"/>
    </row>
    <row r="191" spans="1:24" ht="18.75" customHeight="1">
      <c r="A191" s="248" t="s">
        <v>50</v>
      </c>
      <c r="B191" s="249"/>
      <c r="C191" s="249"/>
      <c r="D191" s="249"/>
      <c r="E191" s="84" t="s">
        <v>49</v>
      </c>
      <c r="F191" s="250">
        <v>50169</v>
      </c>
      <c r="G191" s="250"/>
      <c r="H191" s="250"/>
      <c r="I191" s="250"/>
      <c r="J191" s="250"/>
      <c r="K191" s="251"/>
      <c r="M191" s="248" t="s">
        <v>50</v>
      </c>
      <c r="N191" s="249"/>
      <c r="O191" s="249"/>
      <c r="P191" s="249"/>
      <c r="Q191" s="84" t="s">
        <v>49</v>
      </c>
      <c r="R191" s="250">
        <v>50175</v>
      </c>
      <c r="S191" s="250"/>
      <c r="T191" s="250"/>
      <c r="U191" s="250"/>
      <c r="V191" s="250"/>
      <c r="W191" s="251"/>
    </row>
    <row r="192" spans="1:24" ht="18.75" customHeight="1">
      <c r="A192" s="248" t="s">
        <v>51</v>
      </c>
      <c r="B192" s="249"/>
      <c r="C192" s="249"/>
      <c r="D192" s="249"/>
      <c r="E192" s="84" t="s">
        <v>49</v>
      </c>
      <c r="F192" s="249" t="str">
        <f>$L$2</f>
        <v>Gián tiếp</v>
      </c>
      <c r="G192" s="249"/>
      <c r="H192" s="249"/>
      <c r="I192" s="249"/>
      <c r="J192" s="249"/>
      <c r="K192" s="252"/>
      <c r="M192" s="248" t="s">
        <v>51</v>
      </c>
      <c r="N192" s="249"/>
      <c r="O192" s="249"/>
      <c r="P192" s="249"/>
      <c r="Q192" s="84" t="s">
        <v>49</v>
      </c>
      <c r="R192" s="249" t="str">
        <f>$L$2</f>
        <v>Gián tiếp</v>
      </c>
      <c r="S192" s="249"/>
      <c r="T192" s="249"/>
      <c r="U192" s="249"/>
      <c r="V192" s="249"/>
      <c r="W192" s="252"/>
    </row>
    <row r="193" spans="1:24" ht="18.75" customHeight="1">
      <c r="A193" s="256" t="s">
        <v>52</v>
      </c>
      <c r="B193" s="257"/>
      <c r="C193" s="257"/>
      <c r="D193" s="257"/>
      <c r="E193" s="257"/>
      <c r="F193" s="257"/>
      <c r="G193" s="257"/>
      <c r="H193" s="257"/>
      <c r="I193" s="257"/>
      <c r="J193" s="257"/>
      <c r="K193" s="258"/>
      <c r="M193" s="256" t="s">
        <v>52</v>
      </c>
      <c r="N193" s="257"/>
      <c r="O193" s="257"/>
      <c r="P193" s="257"/>
      <c r="Q193" s="257"/>
      <c r="R193" s="257"/>
      <c r="S193" s="257"/>
      <c r="T193" s="257"/>
      <c r="U193" s="257"/>
      <c r="V193" s="257"/>
      <c r="W193" s="258"/>
    </row>
    <row r="194" spans="1:24" ht="18.75" customHeight="1">
      <c r="A194" s="248" t="s">
        <v>53</v>
      </c>
      <c r="B194" s="249"/>
      <c r="C194" s="249"/>
      <c r="D194" s="249"/>
      <c r="E194" s="84" t="s">
        <v>49</v>
      </c>
      <c r="F194" s="263">
        <v>3671000</v>
      </c>
      <c r="G194" s="263"/>
      <c r="H194" s="263"/>
      <c r="I194" s="263"/>
      <c r="J194" s="84" t="s">
        <v>54</v>
      </c>
      <c r="K194" s="85"/>
      <c r="M194" s="248" t="s">
        <v>53</v>
      </c>
      <c r="N194" s="249"/>
      <c r="O194" s="249"/>
      <c r="P194" s="249"/>
      <c r="Q194" s="84" t="s">
        <v>49</v>
      </c>
      <c r="R194" s="263">
        <v>3876000</v>
      </c>
      <c r="S194" s="263"/>
      <c r="T194" s="263"/>
      <c r="U194" s="263"/>
      <c r="V194" s="84" t="s">
        <v>54</v>
      </c>
      <c r="W194" s="85"/>
    </row>
    <row r="195" spans="1:24" ht="18.75" customHeight="1">
      <c r="A195" s="86" t="s">
        <v>55</v>
      </c>
      <c r="B195" s="84"/>
      <c r="C195" s="87"/>
      <c r="D195" s="88"/>
      <c r="E195" s="89"/>
      <c r="F195" s="89"/>
      <c r="G195" s="89"/>
      <c r="H195" s="84"/>
      <c r="I195" s="90">
        <f>'[1]LUONG T7'!F31</f>
        <v>0</v>
      </c>
      <c r="J195" s="91"/>
      <c r="K195" s="92"/>
      <c r="M195" s="86" t="s">
        <v>55</v>
      </c>
      <c r="N195" s="84"/>
      <c r="O195" s="87"/>
      <c r="P195" s="88"/>
      <c r="Q195" s="89"/>
      <c r="R195" s="89"/>
      <c r="S195" s="89"/>
      <c r="T195" s="84"/>
      <c r="U195" s="90">
        <f>'[1]LUONG T7'!F33</f>
        <v>0</v>
      </c>
      <c r="V195" s="91"/>
      <c r="W195" s="92"/>
    </row>
    <row r="196" spans="1:24" ht="18.75" customHeight="1">
      <c r="A196" s="86" t="s">
        <v>56</v>
      </c>
      <c r="B196" s="84"/>
      <c r="C196" s="87"/>
      <c r="D196" s="88"/>
      <c r="E196" s="89"/>
      <c r="F196" s="89"/>
      <c r="G196" s="89"/>
      <c r="H196" s="84"/>
      <c r="I196" s="90" t="e">
        <f>I197/C197/8</f>
        <v>#DIV/0!</v>
      </c>
      <c r="J196" s="91"/>
      <c r="K196" s="92"/>
      <c r="M196" s="86" t="s">
        <v>56</v>
      </c>
      <c r="N196" s="84"/>
      <c r="O196" s="87"/>
      <c r="P196" s="88"/>
      <c r="Q196" s="89"/>
      <c r="R196" s="89"/>
      <c r="S196" s="89"/>
      <c r="T196" s="84"/>
      <c r="U196" s="90" t="e">
        <f>U197/O197/8</f>
        <v>#DIV/0!</v>
      </c>
      <c r="V196" s="91"/>
      <c r="W196" s="92"/>
    </row>
    <row r="197" spans="1:24" ht="18.75" customHeight="1">
      <c r="A197" s="86" t="s">
        <v>57</v>
      </c>
      <c r="B197" s="84" t="s">
        <v>49</v>
      </c>
      <c r="C197" s="87">
        <f>'[1]LUONG T7'!I30</f>
        <v>0</v>
      </c>
      <c r="D197" s="88" t="s">
        <v>58</v>
      </c>
      <c r="E197" s="261" t="s">
        <v>59</v>
      </c>
      <c r="F197" s="261"/>
      <c r="G197" s="261"/>
      <c r="H197" s="84" t="s">
        <v>49</v>
      </c>
      <c r="I197" s="262">
        <f>'[1]LUONG T7'!I31</f>
        <v>0</v>
      </c>
      <c r="J197" s="262"/>
      <c r="K197" s="92" t="s">
        <v>54</v>
      </c>
      <c r="L197" s="93">
        <f>F194/L187*C197</f>
        <v>0</v>
      </c>
      <c r="M197" s="86" t="s">
        <v>57</v>
      </c>
      <c r="N197" s="84" t="s">
        <v>49</v>
      </c>
      <c r="O197" s="87">
        <f>'[1]LUONG T7'!I32</f>
        <v>0</v>
      </c>
      <c r="P197" s="88" t="s">
        <v>58</v>
      </c>
      <c r="Q197" s="261" t="s">
        <v>59</v>
      </c>
      <c r="R197" s="261"/>
      <c r="S197" s="261"/>
      <c r="T197" s="84" t="s">
        <v>49</v>
      </c>
      <c r="U197" s="262">
        <f>'[1]LUONG T7'!I33</f>
        <v>0</v>
      </c>
      <c r="V197" s="262"/>
      <c r="W197" s="92" t="s">
        <v>54</v>
      </c>
      <c r="X197" s="93">
        <f>R194/X187*O197</f>
        <v>0</v>
      </c>
    </row>
    <row r="198" spans="1:24" ht="18.75" customHeight="1">
      <c r="A198" s="86" t="s">
        <v>60</v>
      </c>
      <c r="B198" s="84" t="s">
        <v>49</v>
      </c>
      <c r="C198" s="87">
        <f>'[1]LUONG T7'!J30</f>
        <v>0</v>
      </c>
      <c r="D198" s="88" t="s">
        <v>58</v>
      </c>
      <c r="E198" s="249" t="s">
        <v>61</v>
      </c>
      <c r="F198" s="249"/>
      <c r="G198" s="249"/>
      <c r="H198" s="84" t="s">
        <v>49</v>
      </c>
      <c r="I198" s="260">
        <f>$F$8/$L$1*C198</f>
        <v>0</v>
      </c>
      <c r="J198" s="260"/>
      <c r="K198" s="92" t="s">
        <v>54</v>
      </c>
      <c r="L198" s="93"/>
      <c r="M198" s="86" t="s">
        <v>60</v>
      </c>
      <c r="N198" s="84" t="s">
        <v>49</v>
      </c>
      <c r="O198" s="87">
        <f>'[1]LUONG T7'!J32</f>
        <v>0</v>
      </c>
      <c r="P198" s="88" t="s">
        <v>58</v>
      </c>
      <c r="Q198" s="249" t="s">
        <v>61</v>
      </c>
      <c r="R198" s="249"/>
      <c r="S198" s="249"/>
      <c r="T198" s="84" t="s">
        <v>49</v>
      </c>
      <c r="U198" s="260">
        <f>$F$8/$L$1*O198</f>
        <v>0</v>
      </c>
      <c r="V198" s="260"/>
      <c r="W198" s="92" t="s">
        <v>54</v>
      </c>
      <c r="X198" s="93"/>
    </row>
    <row r="199" spans="1:24" ht="18.75" customHeight="1">
      <c r="A199" s="86" t="s">
        <v>62</v>
      </c>
      <c r="B199" s="84" t="s">
        <v>49</v>
      </c>
      <c r="C199" s="87">
        <f>'[1]LUONG T7'!K30</f>
        <v>0</v>
      </c>
      <c r="D199" s="88" t="s">
        <v>58</v>
      </c>
      <c r="E199" s="259" t="s">
        <v>63</v>
      </c>
      <c r="F199" s="259"/>
      <c r="G199" s="259"/>
      <c r="H199" s="84" t="s">
        <v>49</v>
      </c>
      <c r="I199" s="260">
        <f>F194/$L$1*C199</f>
        <v>0</v>
      </c>
      <c r="J199" s="260"/>
      <c r="K199" s="92" t="s">
        <v>54</v>
      </c>
      <c r="L199" s="93"/>
      <c r="M199" s="86" t="s">
        <v>62</v>
      </c>
      <c r="N199" s="84" t="s">
        <v>49</v>
      </c>
      <c r="O199" s="87">
        <f>'[1]LUONG T7'!K32</f>
        <v>0</v>
      </c>
      <c r="P199" s="88" t="s">
        <v>58</v>
      </c>
      <c r="Q199" s="259" t="s">
        <v>63</v>
      </c>
      <c r="R199" s="259"/>
      <c r="S199" s="259"/>
      <c r="T199" s="84" t="s">
        <v>49</v>
      </c>
      <c r="U199" s="260">
        <f>$F$8/$L$1*O199</f>
        <v>0</v>
      </c>
      <c r="V199" s="260"/>
      <c r="W199" s="92" t="s">
        <v>54</v>
      </c>
      <c r="X199" s="93"/>
    </row>
    <row r="200" spans="1:24" ht="18.75" customHeight="1">
      <c r="A200" s="86" t="s">
        <v>64</v>
      </c>
      <c r="B200" s="84" t="s">
        <v>49</v>
      </c>
      <c r="C200" s="87">
        <f>'[1]LUONG T7'!L30</f>
        <v>0</v>
      </c>
      <c r="D200" s="88" t="s">
        <v>58</v>
      </c>
      <c r="E200" s="259" t="s">
        <v>65</v>
      </c>
      <c r="F200" s="259"/>
      <c r="G200" s="259"/>
      <c r="H200" s="84" t="s">
        <v>49</v>
      </c>
      <c r="I200" s="260">
        <f>$F$8/$L$1*C200</f>
        <v>0</v>
      </c>
      <c r="J200" s="260"/>
      <c r="K200" s="92" t="s">
        <v>54</v>
      </c>
      <c r="L200" s="93"/>
      <c r="M200" s="86" t="s">
        <v>64</v>
      </c>
      <c r="N200" s="84" t="s">
        <v>49</v>
      </c>
      <c r="O200" s="87">
        <f>'[1]LUONG T7'!L32</f>
        <v>0</v>
      </c>
      <c r="P200" s="88" t="s">
        <v>58</v>
      </c>
      <c r="Q200" s="259" t="s">
        <v>65</v>
      </c>
      <c r="R200" s="259"/>
      <c r="S200" s="259"/>
      <c r="T200" s="84" t="s">
        <v>49</v>
      </c>
      <c r="U200" s="260">
        <f>$F$8/$L$1*O200</f>
        <v>0</v>
      </c>
      <c r="V200" s="260"/>
      <c r="W200" s="92" t="s">
        <v>54</v>
      </c>
      <c r="X200" s="93"/>
    </row>
    <row r="201" spans="1:24" ht="18.75" customHeight="1">
      <c r="A201" s="86" t="s">
        <v>66</v>
      </c>
      <c r="B201" s="84" t="s">
        <v>49</v>
      </c>
      <c r="C201" s="87">
        <f>'[1]LUONG T7'!Q30</f>
        <v>0</v>
      </c>
      <c r="D201" s="88" t="s">
        <v>67</v>
      </c>
      <c r="E201" s="249" t="s">
        <v>68</v>
      </c>
      <c r="F201" s="249"/>
      <c r="G201" s="249"/>
      <c r="H201" s="84" t="s">
        <v>49</v>
      </c>
      <c r="I201" s="260">
        <f>'[1]LUONG T7'!Q31</f>
        <v>0</v>
      </c>
      <c r="J201" s="260"/>
      <c r="K201" s="92" t="s">
        <v>54</v>
      </c>
      <c r="L201" s="93">
        <f>F194*C201/L187/8*1.5</f>
        <v>0</v>
      </c>
      <c r="M201" s="86" t="s">
        <v>66</v>
      </c>
      <c r="N201" s="84" t="s">
        <v>49</v>
      </c>
      <c r="O201" s="87">
        <f>'[1]LUONG T7'!Q32</f>
        <v>0</v>
      </c>
      <c r="P201" s="88" t="s">
        <v>67</v>
      </c>
      <c r="Q201" s="249" t="s">
        <v>68</v>
      </c>
      <c r="R201" s="249"/>
      <c r="S201" s="249"/>
      <c r="T201" s="84" t="s">
        <v>49</v>
      </c>
      <c r="U201" s="260">
        <f>'[1]LUONG T7'!Q33</f>
        <v>0</v>
      </c>
      <c r="V201" s="260"/>
      <c r="W201" s="92" t="s">
        <v>54</v>
      </c>
      <c r="X201" s="93">
        <f>R194*O201/X187/8*1.5</f>
        <v>0</v>
      </c>
    </row>
    <row r="202" spans="1:24" ht="18.75" customHeight="1">
      <c r="A202" s="248" t="s">
        <v>69</v>
      </c>
      <c r="B202" s="249"/>
      <c r="C202" s="87"/>
      <c r="D202" s="88" t="s">
        <v>58</v>
      </c>
      <c r="E202" s="249" t="s">
        <v>70</v>
      </c>
      <c r="F202" s="249"/>
      <c r="G202" s="249"/>
      <c r="H202" s="94" t="s">
        <v>49</v>
      </c>
      <c r="I202" s="260"/>
      <c r="J202" s="260"/>
      <c r="K202" s="92" t="s">
        <v>54</v>
      </c>
      <c r="L202" s="93"/>
      <c r="M202" s="248" t="s">
        <v>69</v>
      </c>
      <c r="N202" s="249"/>
      <c r="O202" s="87"/>
      <c r="P202" s="88" t="s">
        <v>58</v>
      </c>
      <c r="Q202" s="249" t="s">
        <v>70</v>
      </c>
      <c r="R202" s="249"/>
      <c r="S202" s="249"/>
      <c r="T202" s="94" t="s">
        <v>49</v>
      </c>
      <c r="U202" s="260"/>
      <c r="V202" s="260"/>
      <c r="W202" s="92" t="s">
        <v>54</v>
      </c>
      <c r="X202" s="93"/>
    </row>
    <row r="203" spans="1:24" ht="18.75" customHeight="1">
      <c r="A203" s="86" t="s">
        <v>71</v>
      </c>
      <c r="B203" s="84" t="s">
        <v>49</v>
      </c>
      <c r="C203" s="87"/>
      <c r="D203" s="88" t="s">
        <v>58</v>
      </c>
      <c r="E203" s="249" t="s">
        <v>72</v>
      </c>
      <c r="F203" s="249"/>
      <c r="G203" s="249"/>
      <c r="H203" s="84" t="s">
        <v>49</v>
      </c>
      <c r="I203" s="260"/>
      <c r="J203" s="260"/>
      <c r="K203" s="92" t="s">
        <v>54</v>
      </c>
      <c r="L203" s="93"/>
      <c r="M203" s="86" t="s">
        <v>71</v>
      </c>
      <c r="N203" s="84" t="s">
        <v>49</v>
      </c>
      <c r="O203" s="87"/>
      <c r="P203" s="88" t="s">
        <v>58</v>
      </c>
      <c r="Q203" s="249" t="s">
        <v>72</v>
      </c>
      <c r="R203" s="249"/>
      <c r="S203" s="249"/>
      <c r="T203" s="84" t="s">
        <v>49</v>
      </c>
      <c r="U203" s="260"/>
      <c r="V203" s="260"/>
      <c r="W203" s="92" t="s">
        <v>54</v>
      </c>
      <c r="X203" s="93"/>
    </row>
    <row r="204" spans="1:24" ht="18.75" customHeight="1">
      <c r="A204" s="95" t="s">
        <v>73</v>
      </c>
      <c r="B204" s="84"/>
      <c r="C204" s="87">
        <f>'[1]LUONG T7'!M30</f>
        <v>0</v>
      </c>
      <c r="D204" s="88" t="s">
        <v>67</v>
      </c>
      <c r="E204" s="249" t="s">
        <v>74</v>
      </c>
      <c r="F204" s="249"/>
      <c r="G204" s="249"/>
      <c r="H204" s="84" t="s">
        <v>49</v>
      </c>
      <c r="I204" s="260">
        <f>$F$8*C204/8/$L$1</f>
        <v>0</v>
      </c>
      <c r="J204" s="260"/>
      <c r="K204" s="92" t="s">
        <v>54</v>
      </c>
      <c r="L204" s="93"/>
      <c r="M204" s="95" t="s">
        <v>73</v>
      </c>
      <c r="N204" s="84"/>
      <c r="O204" s="87">
        <f>'[1]LUONG T7'!M32</f>
        <v>0</v>
      </c>
      <c r="P204" s="88" t="s">
        <v>67</v>
      </c>
      <c r="Q204" s="249" t="s">
        <v>74</v>
      </c>
      <c r="R204" s="249"/>
      <c r="S204" s="249"/>
      <c r="T204" s="84" t="s">
        <v>49</v>
      </c>
      <c r="U204" s="260">
        <f>$F$8*O204/8/$L$1</f>
        <v>0</v>
      </c>
      <c r="V204" s="260"/>
      <c r="W204" s="92" t="s">
        <v>54</v>
      </c>
      <c r="X204" s="93"/>
    </row>
    <row r="205" spans="1:24" ht="18.75" customHeight="1">
      <c r="A205" s="86" t="s">
        <v>102</v>
      </c>
      <c r="B205" s="84" t="s">
        <v>49</v>
      </c>
      <c r="C205" s="87"/>
      <c r="D205" s="88" t="s">
        <v>67</v>
      </c>
      <c r="E205" s="249" t="s">
        <v>110</v>
      </c>
      <c r="F205" s="249"/>
      <c r="G205" s="249"/>
      <c r="H205" s="84" t="s">
        <v>49</v>
      </c>
      <c r="I205" s="262">
        <v>240000</v>
      </c>
      <c r="J205" s="262"/>
      <c r="K205" s="92" t="s">
        <v>54</v>
      </c>
      <c r="L205" s="93"/>
      <c r="M205" s="86" t="s">
        <v>102</v>
      </c>
      <c r="N205" s="84" t="s">
        <v>49</v>
      </c>
      <c r="O205" s="87"/>
      <c r="P205" s="88" t="s">
        <v>67</v>
      </c>
      <c r="Q205" s="249" t="s">
        <v>110</v>
      </c>
      <c r="R205" s="249"/>
      <c r="S205" s="249"/>
      <c r="T205" s="84" t="s">
        <v>49</v>
      </c>
      <c r="U205" s="262">
        <v>324000</v>
      </c>
      <c r="V205" s="262"/>
      <c r="W205" s="92" t="s">
        <v>54</v>
      </c>
      <c r="X205" s="93"/>
    </row>
    <row r="206" spans="1:24" ht="18.75" customHeight="1">
      <c r="A206" s="86" t="s">
        <v>77</v>
      </c>
      <c r="B206" s="84" t="s">
        <v>49</v>
      </c>
      <c r="C206" s="87"/>
      <c r="D206" s="88" t="s">
        <v>78</v>
      </c>
      <c r="E206" s="96" t="s">
        <v>79</v>
      </c>
      <c r="F206" s="96"/>
      <c r="G206" s="96"/>
      <c r="H206" s="84" t="s">
        <v>49</v>
      </c>
      <c r="I206" s="260"/>
      <c r="J206" s="260"/>
      <c r="K206" s="92" t="s">
        <v>54</v>
      </c>
      <c r="L206" s="93">
        <f>+IF(L197-I197&lt;0,0,L197-I197)+IF(L201-I201&lt;0,0,L201-I201)</f>
        <v>0</v>
      </c>
      <c r="M206" s="86" t="s">
        <v>77</v>
      </c>
      <c r="N206" s="84" t="s">
        <v>49</v>
      </c>
      <c r="O206" s="87"/>
      <c r="P206" s="88" t="s">
        <v>78</v>
      </c>
      <c r="Q206" s="96" t="s">
        <v>79</v>
      </c>
      <c r="R206" s="96"/>
      <c r="S206" s="96"/>
      <c r="T206" s="84" t="s">
        <v>49</v>
      </c>
      <c r="U206" s="260"/>
      <c r="V206" s="260"/>
      <c r="W206" s="92" t="s">
        <v>54</v>
      </c>
      <c r="X206" s="93">
        <f>+IF(X197-U197&lt;0,0,X197-U197)+IF(X201-U201&lt;0,0,X201-U201)</f>
        <v>0</v>
      </c>
    </row>
    <row r="207" spans="1:24" ht="18.75" customHeight="1">
      <c r="A207" s="97" t="s">
        <v>80</v>
      </c>
      <c r="B207" s="98"/>
      <c r="C207" s="87"/>
      <c r="D207" s="88" t="s">
        <v>58</v>
      </c>
      <c r="E207" s="249" t="s">
        <v>81</v>
      </c>
      <c r="F207" s="249"/>
      <c r="G207" s="249"/>
      <c r="H207" s="84" t="s">
        <v>49</v>
      </c>
      <c r="I207" s="260">
        <v>324000</v>
      </c>
      <c r="J207" s="260"/>
      <c r="K207" s="92" t="s">
        <v>54</v>
      </c>
      <c r="L207" s="93"/>
      <c r="M207" s="97" t="s">
        <v>80</v>
      </c>
      <c r="N207" s="98"/>
      <c r="O207" s="87"/>
      <c r="P207" s="88" t="s">
        <v>58</v>
      </c>
      <c r="Q207" s="249" t="s">
        <v>81</v>
      </c>
      <c r="R207" s="249"/>
      <c r="S207" s="249"/>
      <c r="T207" s="84" t="s">
        <v>49</v>
      </c>
      <c r="U207" s="260"/>
      <c r="V207" s="260"/>
      <c r="W207" s="92" t="s">
        <v>54</v>
      </c>
      <c r="X207" s="93"/>
    </row>
    <row r="208" spans="1:24" ht="18.75" customHeight="1">
      <c r="A208" s="267" t="s">
        <v>82</v>
      </c>
      <c r="B208" s="261"/>
      <c r="C208" s="87"/>
      <c r="D208" s="88"/>
      <c r="E208" s="89"/>
      <c r="F208" s="89"/>
      <c r="G208" s="89"/>
      <c r="H208" s="84" t="s">
        <v>49</v>
      </c>
      <c r="I208" s="260">
        <f>'[1]LUONG T7'!P31</f>
        <v>0</v>
      </c>
      <c r="J208" s="260"/>
      <c r="K208" s="92" t="s">
        <v>54</v>
      </c>
      <c r="L208" s="93"/>
      <c r="M208" s="267" t="s">
        <v>82</v>
      </c>
      <c r="N208" s="261"/>
      <c r="O208" s="87"/>
      <c r="P208" s="88"/>
      <c r="Q208" s="89"/>
      <c r="R208" s="89"/>
      <c r="S208" s="89"/>
      <c r="T208" s="84" t="s">
        <v>49</v>
      </c>
      <c r="U208" s="260">
        <f>'[1]LUONG T7'!P33</f>
        <v>0</v>
      </c>
      <c r="V208" s="260"/>
      <c r="W208" s="92" t="s">
        <v>54</v>
      </c>
      <c r="X208" s="93"/>
    </row>
    <row r="209" spans="1:24" ht="18.75" customHeight="1">
      <c r="A209" s="86" t="s">
        <v>83</v>
      </c>
      <c r="B209" s="84" t="s">
        <v>49</v>
      </c>
      <c r="C209" s="87"/>
      <c r="D209" s="88"/>
      <c r="E209" s="89" t="s">
        <v>84</v>
      </c>
      <c r="F209" s="89"/>
      <c r="G209" s="89"/>
      <c r="H209" s="84" t="s">
        <v>49</v>
      </c>
      <c r="I209" s="260">
        <f>L206</f>
        <v>0</v>
      </c>
      <c r="J209" s="260"/>
      <c r="K209" s="92" t="s">
        <v>54</v>
      </c>
      <c r="L209" s="93"/>
      <c r="M209" s="86" t="s">
        <v>83</v>
      </c>
      <c r="N209" s="84" t="s">
        <v>49</v>
      </c>
      <c r="O209" s="87"/>
      <c r="P209" s="88"/>
      <c r="Q209" s="89" t="s">
        <v>84</v>
      </c>
      <c r="R209" s="89"/>
      <c r="S209" s="89"/>
      <c r="T209" s="84" t="s">
        <v>49</v>
      </c>
      <c r="U209" s="260">
        <f>X206</f>
        <v>0</v>
      </c>
      <c r="V209" s="260"/>
      <c r="W209" s="92" t="s">
        <v>54</v>
      </c>
      <c r="X209" s="93"/>
    </row>
    <row r="210" spans="1:24" ht="18.75" customHeight="1">
      <c r="A210" s="264" t="s">
        <v>85</v>
      </c>
      <c r="B210" s="265"/>
      <c r="C210" s="265"/>
      <c r="D210" s="265"/>
      <c r="E210" s="265"/>
      <c r="F210" s="265"/>
      <c r="G210" s="84" t="s">
        <v>49</v>
      </c>
      <c r="H210" s="266">
        <f>I197+I198+I199+I200+I201+I204+I208+I209+I207+I205</f>
        <v>564000</v>
      </c>
      <c r="I210" s="266"/>
      <c r="J210" s="266"/>
      <c r="K210" s="92" t="s">
        <v>54</v>
      </c>
      <c r="M210" s="264" t="s">
        <v>85</v>
      </c>
      <c r="N210" s="265"/>
      <c r="O210" s="265"/>
      <c r="P210" s="265"/>
      <c r="Q210" s="265"/>
      <c r="R210" s="265"/>
      <c r="S210" s="84" t="s">
        <v>49</v>
      </c>
      <c r="T210" s="266">
        <f>U197+U198+U199+U200+U201+U204+U208+U209+U207+U205</f>
        <v>324000</v>
      </c>
      <c r="U210" s="266"/>
      <c r="V210" s="266"/>
      <c r="W210" s="92" t="s">
        <v>54</v>
      </c>
    </row>
    <row r="211" spans="1:24" ht="18.75" customHeight="1">
      <c r="A211" s="99"/>
      <c r="B211" s="100"/>
      <c r="C211" s="100"/>
      <c r="D211" s="100"/>
      <c r="E211" s="100"/>
      <c r="F211" s="100"/>
      <c r="G211" s="100"/>
      <c r="H211" s="100"/>
      <c r="I211" s="100"/>
      <c r="J211" s="100"/>
      <c r="K211" s="101"/>
      <c r="M211" s="99"/>
      <c r="N211" s="100"/>
      <c r="O211" s="100"/>
      <c r="P211" s="100"/>
      <c r="Q211" s="100"/>
      <c r="R211" s="100"/>
      <c r="S211" s="100"/>
      <c r="T211" s="100"/>
      <c r="U211" s="100"/>
      <c r="V211" s="100"/>
      <c r="W211" s="101"/>
    </row>
    <row r="212" spans="1:24" ht="18.75" customHeight="1">
      <c r="A212" s="274" t="s">
        <v>86</v>
      </c>
      <c r="B212" s="275"/>
      <c r="C212" s="275"/>
      <c r="D212" s="275"/>
      <c r="E212" s="275"/>
      <c r="F212" s="275"/>
      <c r="G212" s="84"/>
      <c r="H212" s="84"/>
      <c r="I212" s="84"/>
      <c r="J212" s="84"/>
      <c r="K212" s="92"/>
      <c r="M212" s="274" t="s">
        <v>86</v>
      </c>
      <c r="N212" s="275"/>
      <c r="O212" s="275"/>
      <c r="P212" s="275"/>
      <c r="Q212" s="275"/>
      <c r="R212" s="275"/>
      <c r="S212" s="84"/>
      <c r="T212" s="84"/>
      <c r="U212" s="84"/>
      <c r="V212" s="84"/>
      <c r="W212" s="92"/>
    </row>
    <row r="213" spans="1:24" ht="18.75" customHeight="1">
      <c r="A213" s="268" t="s">
        <v>87</v>
      </c>
      <c r="B213" s="269"/>
      <c r="C213" s="269"/>
      <c r="D213" s="269"/>
      <c r="E213" s="269"/>
      <c r="F213" s="269"/>
      <c r="G213" s="84" t="s">
        <v>49</v>
      </c>
      <c r="H213" s="276">
        <f>IF(($L$1-(C197+C198+C199+C200))&gt;12,0,F194*8%)</f>
        <v>0</v>
      </c>
      <c r="I213" s="276"/>
      <c r="J213" s="276"/>
      <c r="K213" s="92" t="s">
        <v>54</v>
      </c>
      <c r="M213" s="268" t="s">
        <v>87</v>
      </c>
      <c r="N213" s="269"/>
      <c r="O213" s="269"/>
      <c r="P213" s="269"/>
      <c r="Q213" s="269"/>
      <c r="R213" s="269"/>
      <c r="S213" s="84" t="s">
        <v>49</v>
      </c>
      <c r="T213" s="276">
        <f>IF(($L$1-(O197+O198+O199+O200))&gt;12,0,R194*8%)</f>
        <v>0</v>
      </c>
      <c r="U213" s="276"/>
      <c r="V213" s="276"/>
      <c r="W213" s="92" t="s">
        <v>54</v>
      </c>
    </row>
    <row r="214" spans="1:24" ht="18.75" customHeight="1">
      <c r="A214" s="268" t="s">
        <v>88</v>
      </c>
      <c r="B214" s="269"/>
      <c r="C214" s="269"/>
      <c r="D214" s="269"/>
      <c r="E214" s="269"/>
      <c r="F214" s="269"/>
      <c r="G214" s="84" t="s">
        <v>49</v>
      </c>
      <c r="H214" s="270">
        <f>IF(($L$1-(C197+C198+C199+C200))&gt;12,0,F194*1.5%)</f>
        <v>0</v>
      </c>
      <c r="I214" s="270"/>
      <c r="J214" s="270"/>
      <c r="K214" s="92" t="s">
        <v>54</v>
      </c>
      <c r="M214" s="268" t="s">
        <v>88</v>
      </c>
      <c r="N214" s="269"/>
      <c r="O214" s="269"/>
      <c r="P214" s="269"/>
      <c r="Q214" s="269"/>
      <c r="R214" s="269"/>
      <c r="S214" s="84" t="s">
        <v>49</v>
      </c>
      <c r="T214" s="270">
        <f>IF(($L$1-(O197+O198+O199+O200))&gt;12,0,R194*1.5%)</f>
        <v>0</v>
      </c>
      <c r="U214" s="270"/>
      <c r="V214" s="270"/>
      <c r="W214" s="92" t="s">
        <v>54</v>
      </c>
    </row>
    <row r="215" spans="1:24" ht="18.75" customHeight="1">
      <c r="A215" s="268" t="s">
        <v>89</v>
      </c>
      <c r="B215" s="269"/>
      <c r="C215" s="269"/>
      <c r="D215" s="269"/>
      <c r="E215" s="269"/>
      <c r="F215" s="269"/>
      <c r="G215" s="84" t="s">
        <v>49</v>
      </c>
      <c r="H215" s="270">
        <f>IF(($L$1-(C197+C198+C199+C200))&gt;12,0,F194*1%)</f>
        <v>0</v>
      </c>
      <c r="I215" s="270"/>
      <c r="J215" s="270"/>
      <c r="K215" s="92" t="s">
        <v>54</v>
      </c>
      <c r="M215" s="268" t="s">
        <v>89</v>
      </c>
      <c r="N215" s="269"/>
      <c r="O215" s="269"/>
      <c r="P215" s="269"/>
      <c r="Q215" s="269"/>
      <c r="R215" s="269"/>
      <c r="S215" s="84" t="s">
        <v>49</v>
      </c>
      <c r="T215" s="270">
        <f>IF(($L$1-(O197+O198+O199+O200))&gt;12,0,R194*1%)</f>
        <v>0</v>
      </c>
      <c r="U215" s="270"/>
      <c r="V215" s="270"/>
      <c r="W215" s="92" t="s">
        <v>54</v>
      </c>
    </row>
    <row r="216" spans="1:24" ht="18.75" customHeight="1">
      <c r="A216" s="268" t="s">
        <v>90</v>
      </c>
      <c r="B216" s="269"/>
      <c r="C216" s="269"/>
      <c r="D216" s="269"/>
      <c r="E216" s="269"/>
      <c r="F216" s="269"/>
      <c r="G216" s="84" t="s">
        <v>49</v>
      </c>
      <c r="H216" s="270">
        <v>0</v>
      </c>
      <c r="I216" s="270"/>
      <c r="J216" s="270"/>
      <c r="K216" s="92" t="s">
        <v>54</v>
      </c>
      <c r="M216" s="268" t="s">
        <v>90</v>
      </c>
      <c r="N216" s="269"/>
      <c r="O216" s="269"/>
      <c r="P216" s="269"/>
      <c r="Q216" s="269"/>
      <c r="R216" s="269"/>
      <c r="S216" s="84" t="s">
        <v>49</v>
      </c>
      <c r="T216" s="270">
        <v>0</v>
      </c>
      <c r="U216" s="270"/>
      <c r="V216" s="270"/>
      <c r="W216" s="92" t="s">
        <v>54</v>
      </c>
    </row>
    <row r="217" spans="1:24" ht="18.75" customHeight="1">
      <c r="A217" s="271" t="s">
        <v>91</v>
      </c>
      <c r="B217" s="272"/>
      <c r="C217" s="272"/>
      <c r="D217" s="272"/>
      <c r="E217" s="272"/>
      <c r="F217" s="272"/>
      <c r="G217" s="84" t="s">
        <v>49</v>
      </c>
      <c r="H217" s="273">
        <f>SUM(H213:J216)</f>
        <v>0</v>
      </c>
      <c r="I217" s="273"/>
      <c r="J217" s="273"/>
      <c r="K217" s="92" t="s">
        <v>54</v>
      </c>
      <c r="M217" s="271" t="s">
        <v>91</v>
      </c>
      <c r="N217" s="272"/>
      <c r="O217" s="272"/>
      <c r="P217" s="272"/>
      <c r="Q217" s="272"/>
      <c r="R217" s="272"/>
      <c r="S217" s="84" t="s">
        <v>49</v>
      </c>
      <c r="T217" s="273">
        <f>SUM(T213:V216)</f>
        <v>0</v>
      </c>
      <c r="U217" s="273"/>
      <c r="V217" s="273"/>
      <c r="W217" s="92" t="s">
        <v>54</v>
      </c>
    </row>
    <row r="218" spans="1:24" ht="18.75" customHeight="1">
      <c r="A218" s="268" t="s">
        <v>92</v>
      </c>
      <c r="B218" s="269"/>
      <c r="C218" s="269"/>
      <c r="D218" s="269"/>
      <c r="E218" s="269"/>
      <c r="F218" s="269"/>
      <c r="G218" s="84" t="s">
        <v>49</v>
      </c>
      <c r="H218" s="280">
        <f>ROUND(H210-H217,-2)</f>
        <v>564000</v>
      </c>
      <c r="I218" s="280"/>
      <c r="J218" s="280"/>
      <c r="K218" s="92" t="s">
        <v>54</v>
      </c>
      <c r="M218" s="268" t="s">
        <v>92</v>
      </c>
      <c r="N218" s="269"/>
      <c r="O218" s="269"/>
      <c r="P218" s="269"/>
      <c r="Q218" s="269"/>
      <c r="R218" s="269"/>
      <c r="S218" s="84" t="s">
        <v>49</v>
      </c>
      <c r="T218" s="280">
        <f>ROUND(T210-T217,-2)</f>
        <v>324000</v>
      </c>
      <c r="U218" s="280"/>
      <c r="V218" s="280"/>
      <c r="W218" s="92" t="s">
        <v>54</v>
      </c>
    </row>
    <row r="219" spans="1:24" ht="18.75" customHeight="1">
      <c r="A219" s="102"/>
      <c r="B219" s="103"/>
      <c r="C219" s="103"/>
      <c r="D219" s="103"/>
      <c r="E219" s="103"/>
      <c r="F219" s="103"/>
      <c r="G219" s="103"/>
      <c r="H219" s="103"/>
      <c r="I219" s="103"/>
      <c r="J219" s="103"/>
      <c r="K219" s="104"/>
      <c r="M219" s="102"/>
      <c r="N219" s="103"/>
      <c r="O219" s="103"/>
      <c r="P219" s="103"/>
      <c r="Q219" s="103"/>
      <c r="R219" s="103"/>
      <c r="S219" s="103"/>
      <c r="T219" s="103"/>
      <c r="U219" s="103"/>
      <c r="V219" s="103"/>
      <c r="W219" s="104"/>
    </row>
    <row r="220" spans="1:24" ht="18.75" customHeight="1">
      <c r="A220" s="105"/>
      <c r="B220" s="84"/>
      <c r="C220" s="84"/>
      <c r="D220" s="84"/>
      <c r="E220" s="84"/>
      <c r="F220" s="84"/>
      <c r="G220" s="84"/>
      <c r="H220" s="84"/>
      <c r="I220" s="277" t="s">
        <v>93</v>
      </c>
      <c r="J220" s="277"/>
      <c r="K220" s="281"/>
      <c r="M220" s="105"/>
      <c r="N220" s="84"/>
      <c r="O220" s="84"/>
      <c r="P220" s="84"/>
      <c r="Q220" s="84"/>
      <c r="R220" s="84"/>
      <c r="S220" s="84"/>
      <c r="T220" s="84"/>
      <c r="U220" s="277" t="s">
        <v>93</v>
      </c>
      <c r="V220" s="277"/>
      <c r="W220" s="281"/>
    </row>
    <row r="221" spans="1:24" ht="18.75" customHeight="1">
      <c r="A221" s="105"/>
      <c r="B221" s="277"/>
      <c r="C221" s="277"/>
      <c r="D221" s="277"/>
      <c r="E221" s="277"/>
      <c r="F221" s="84"/>
      <c r="G221" s="84"/>
      <c r="H221" s="84"/>
      <c r="I221" s="84"/>
      <c r="J221" s="84"/>
      <c r="K221" s="85"/>
      <c r="M221" s="105"/>
      <c r="N221" s="277"/>
      <c r="O221" s="277"/>
      <c r="P221" s="277"/>
      <c r="Q221" s="277"/>
      <c r="R221" s="84"/>
      <c r="S221" s="84"/>
      <c r="T221" s="84"/>
      <c r="U221" s="84"/>
      <c r="V221" s="84"/>
      <c r="W221" s="85"/>
    </row>
    <row r="222" spans="1:24" ht="18.75" customHeight="1" thickBot="1">
      <c r="A222" s="106"/>
      <c r="B222" s="107"/>
      <c r="C222" s="107"/>
      <c r="D222" s="107"/>
      <c r="E222" s="107"/>
      <c r="F222" s="107"/>
      <c r="G222" s="107"/>
      <c r="H222" s="107"/>
      <c r="I222" s="278" t="s">
        <v>94</v>
      </c>
      <c r="J222" s="278"/>
      <c r="K222" s="279"/>
      <c r="M222" s="106"/>
      <c r="N222" s="107"/>
      <c r="O222" s="107"/>
      <c r="P222" s="107"/>
      <c r="Q222" s="107"/>
      <c r="R222" s="107"/>
      <c r="S222" s="107"/>
      <c r="T222" s="107"/>
      <c r="U222" s="278" t="s">
        <v>94</v>
      </c>
      <c r="V222" s="278"/>
      <c r="W222" s="279"/>
    </row>
    <row r="224" spans="1:24" ht="18.75" customHeight="1" thickTop="1">
      <c r="A224" s="253" t="s">
        <v>43</v>
      </c>
      <c r="B224" s="254"/>
      <c r="C224" s="254"/>
      <c r="D224" s="254"/>
      <c r="E224" s="254"/>
      <c r="F224" s="254"/>
      <c r="G224" s="254"/>
      <c r="H224" s="254"/>
      <c r="I224" s="254"/>
      <c r="J224" s="254"/>
      <c r="K224" s="255"/>
      <c r="L224" s="80">
        <v>25</v>
      </c>
      <c r="M224" s="253" t="s">
        <v>43</v>
      </c>
      <c r="N224" s="254"/>
      <c r="O224" s="254"/>
      <c r="P224" s="254"/>
      <c r="Q224" s="254"/>
      <c r="R224" s="254"/>
      <c r="S224" s="254"/>
      <c r="T224" s="254"/>
      <c r="U224" s="254"/>
      <c r="V224" s="254"/>
      <c r="W224" s="255"/>
      <c r="X224" s="80">
        <v>25</v>
      </c>
    </row>
    <row r="225" spans="1:24" ht="18.75" customHeight="1">
      <c r="A225" s="81" t="s">
        <v>115</v>
      </c>
      <c r="B225" s="82"/>
      <c r="C225" s="82"/>
      <c r="D225" s="82"/>
      <c r="E225" s="82"/>
      <c r="F225" s="82"/>
      <c r="G225" s="82"/>
      <c r="H225" s="82"/>
      <c r="I225" s="82"/>
      <c r="J225" s="82"/>
      <c r="K225" s="83"/>
      <c r="M225" s="81" t="s">
        <v>116</v>
      </c>
      <c r="N225" s="82"/>
      <c r="O225" s="82"/>
      <c r="P225" s="82"/>
      <c r="Q225" s="82"/>
      <c r="R225" s="82"/>
      <c r="S225" s="82"/>
      <c r="T225" s="82"/>
      <c r="U225" s="82"/>
      <c r="V225" s="82"/>
      <c r="W225" s="83"/>
    </row>
    <row r="226" spans="1:24" ht="18.75" customHeight="1">
      <c r="A226" s="256" t="s">
        <v>47</v>
      </c>
      <c r="B226" s="257"/>
      <c r="C226" s="257"/>
      <c r="D226" s="257"/>
      <c r="E226" s="257"/>
      <c r="F226" s="257"/>
      <c r="G226" s="257"/>
      <c r="H226" s="257"/>
      <c r="I226" s="257"/>
      <c r="J226" s="257"/>
      <c r="K226" s="258"/>
      <c r="M226" s="256" t="s">
        <v>47</v>
      </c>
      <c r="N226" s="257"/>
      <c r="O226" s="257"/>
      <c r="P226" s="257"/>
      <c r="Q226" s="257"/>
      <c r="R226" s="257"/>
      <c r="S226" s="257"/>
      <c r="T226" s="257"/>
      <c r="U226" s="257"/>
      <c r="V226" s="257"/>
      <c r="W226" s="258"/>
    </row>
    <row r="227" spans="1:24" ht="18.75" customHeight="1">
      <c r="A227" s="248" t="s">
        <v>48</v>
      </c>
      <c r="B227" s="249"/>
      <c r="C227" s="249"/>
      <c r="D227" s="249"/>
      <c r="E227" s="84" t="s">
        <v>49</v>
      </c>
      <c r="F227" s="250" t="s">
        <v>117</v>
      </c>
      <c r="G227" s="249"/>
      <c r="H227" s="249"/>
      <c r="I227" s="249"/>
      <c r="J227" s="249"/>
      <c r="K227" s="252"/>
      <c r="M227" s="248" t="s">
        <v>48</v>
      </c>
      <c r="N227" s="249"/>
      <c r="O227" s="249"/>
      <c r="P227" s="249"/>
      <c r="Q227" s="84" t="s">
        <v>49</v>
      </c>
      <c r="R227" s="250" t="s">
        <v>118</v>
      </c>
      <c r="S227" s="249"/>
      <c r="T227" s="249"/>
      <c r="U227" s="249"/>
      <c r="V227" s="249"/>
      <c r="W227" s="252"/>
    </row>
    <row r="228" spans="1:24" ht="18.75" customHeight="1">
      <c r="A228" s="248" t="s">
        <v>50</v>
      </c>
      <c r="B228" s="249"/>
      <c r="C228" s="249"/>
      <c r="D228" s="249"/>
      <c r="E228" s="84" t="s">
        <v>49</v>
      </c>
      <c r="F228" s="250">
        <v>50228</v>
      </c>
      <c r="G228" s="250"/>
      <c r="H228" s="250"/>
      <c r="I228" s="250"/>
      <c r="J228" s="250"/>
      <c r="K228" s="251"/>
      <c r="M228" s="248" t="s">
        <v>50</v>
      </c>
      <c r="N228" s="249"/>
      <c r="O228" s="249"/>
      <c r="P228" s="249"/>
      <c r="Q228" s="84" t="s">
        <v>49</v>
      </c>
      <c r="R228" s="250">
        <v>50257</v>
      </c>
      <c r="S228" s="250"/>
      <c r="T228" s="250"/>
      <c r="U228" s="250"/>
      <c r="V228" s="250"/>
      <c r="W228" s="251"/>
    </row>
    <row r="229" spans="1:24" ht="18.75" customHeight="1">
      <c r="A229" s="248" t="s">
        <v>51</v>
      </c>
      <c r="B229" s="249"/>
      <c r="C229" s="249"/>
      <c r="D229" s="249"/>
      <c r="E229" s="84" t="s">
        <v>49</v>
      </c>
      <c r="F229" s="249" t="s">
        <v>45</v>
      </c>
      <c r="G229" s="249"/>
      <c r="H229" s="249"/>
      <c r="I229" s="249"/>
      <c r="J229" s="249"/>
      <c r="K229" s="252"/>
      <c r="M229" s="248" t="s">
        <v>51</v>
      </c>
      <c r="N229" s="249"/>
      <c r="O229" s="249"/>
      <c r="P229" s="249"/>
      <c r="Q229" s="84" t="s">
        <v>49</v>
      </c>
      <c r="R229" s="249" t="s">
        <v>45</v>
      </c>
      <c r="S229" s="249"/>
      <c r="T229" s="249"/>
      <c r="U229" s="249"/>
      <c r="V229" s="249"/>
      <c r="W229" s="252"/>
    </row>
    <row r="230" spans="1:24" ht="18.75" customHeight="1">
      <c r="A230" s="256" t="s">
        <v>52</v>
      </c>
      <c r="B230" s="257"/>
      <c r="C230" s="257"/>
      <c r="D230" s="257"/>
      <c r="E230" s="257"/>
      <c r="F230" s="257"/>
      <c r="G230" s="257"/>
      <c r="H230" s="257"/>
      <c r="I230" s="257"/>
      <c r="J230" s="257"/>
      <c r="K230" s="258"/>
      <c r="M230" s="256" t="s">
        <v>52</v>
      </c>
      <c r="N230" s="257"/>
      <c r="O230" s="257"/>
      <c r="P230" s="257"/>
      <c r="Q230" s="257"/>
      <c r="R230" s="257"/>
      <c r="S230" s="257"/>
      <c r="T230" s="257"/>
      <c r="U230" s="257"/>
      <c r="V230" s="257"/>
      <c r="W230" s="258"/>
    </row>
    <row r="231" spans="1:24" ht="18.75" customHeight="1">
      <c r="A231" s="248" t="s">
        <v>53</v>
      </c>
      <c r="B231" s="249"/>
      <c r="C231" s="249"/>
      <c r="D231" s="249"/>
      <c r="E231" s="84" t="s">
        <v>49</v>
      </c>
      <c r="F231" s="263">
        <v>3671000</v>
      </c>
      <c r="G231" s="263"/>
      <c r="H231" s="263"/>
      <c r="I231" s="263"/>
      <c r="J231" s="84" t="s">
        <v>54</v>
      </c>
      <c r="K231" s="85"/>
      <c r="M231" s="248" t="s">
        <v>53</v>
      </c>
      <c r="N231" s="249"/>
      <c r="O231" s="249"/>
      <c r="P231" s="249"/>
      <c r="Q231" s="84" t="s">
        <v>49</v>
      </c>
      <c r="R231" s="263">
        <v>3876000</v>
      </c>
      <c r="S231" s="263"/>
      <c r="T231" s="263"/>
      <c r="U231" s="263"/>
      <c r="V231" s="84" t="s">
        <v>54</v>
      </c>
      <c r="W231" s="85"/>
    </row>
    <row r="232" spans="1:24" ht="18.75" customHeight="1">
      <c r="A232" s="86" t="s">
        <v>55</v>
      </c>
      <c r="B232" s="84"/>
      <c r="C232" s="87"/>
      <c r="D232" s="88"/>
      <c r="E232" s="89"/>
      <c r="F232" s="89"/>
      <c r="G232" s="89"/>
      <c r="H232" s="84"/>
      <c r="I232" s="90">
        <f>'[1]LUONG T7'!F35</f>
        <v>0</v>
      </c>
      <c r="J232" s="91"/>
      <c r="K232" s="92"/>
      <c r="M232" s="86" t="s">
        <v>55</v>
      </c>
      <c r="N232" s="84"/>
      <c r="O232" s="87"/>
      <c r="P232" s="88"/>
      <c r="Q232" s="89"/>
      <c r="R232" s="89"/>
      <c r="S232" s="89"/>
      <c r="T232" s="84"/>
      <c r="U232" s="90">
        <f>'[1]LUONG T7'!F37</f>
        <v>0</v>
      </c>
      <c r="V232" s="91"/>
      <c r="W232" s="92"/>
    </row>
    <row r="233" spans="1:24" ht="18.75" customHeight="1">
      <c r="A233" s="86" t="s">
        <v>56</v>
      </c>
      <c r="B233" s="84"/>
      <c r="C233" s="87"/>
      <c r="D233" s="88"/>
      <c r="E233" s="89"/>
      <c r="F233" s="89"/>
      <c r="G233" s="89"/>
      <c r="H233" s="84"/>
      <c r="I233" s="90" t="e">
        <f>I234/C234/8</f>
        <v>#DIV/0!</v>
      </c>
      <c r="J233" s="91"/>
      <c r="K233" s="92"/>
      <c r="M233" s="86" t="s">
        <v>56</v>
      </c>
      <c r="N233" s="84"/>
      <c r="O233" s="87"/>
      <c r="P233" s="88"/>
      <c r="Q233" s="89"/>
      <c r="R233" s="89"/>
      <c r="S233" s="89"/>
      <c r="T233" s="84"/>
      <c r="U233" s="90" t="e">
        <f>U234/O234/8</f>
        <v>#DIV/0!</v>
      </c>
      <c r="V233" s="91"/>
      <c r="W233" s="92"/>
    </row>
    <row r="234" spans="1:24" ht="18.75" customHeight="1">
      <c r="A234" s="86" t="s">
        <v>57</v>
      </c>
      <c r="B234" s="84" t="s">
        <v>49</v>
      </c>
      <c r="C234" s="87">
        <f>'[1]LUONG T7'!I34</f>
        <v>0</v>
      </c>
      <c r="D234" s="88" t="s">
        <v>58</v>
      </c>
      <c r="E234" s="261" t="s">
        <v>59</v>
      </c>
      <c r="F234" s="261"/>
      <c r="G234" s="261"/>
      <c r="H234" s="84" t="s">
        <v>49</v>
      </c>
      <c r="I234" s="262">
        <f>'[1]LUONG T7'!I35</f>
        <v>0</v>
      </c>
      <c r="J234" s="262"/>
      <c r="K234" s="92" t="s">
        <v>54</v>
      </c>
      <c r="L234" s="93">
        <f>F231/L224*C234</f>
        <v>0</v>
      </c>
      <c r="M234" s="86" t="s">
        <v>57</v>
      </c>
      <c r="N234" s="84" t="s">
        <v>49</v>
      </c>
      <c r="O234" s="87">
        <f>'[1]LUONG T7'!I36</f>
        <v>0</v>
      </c>
      <c r="P234" s="88" t="s">
        <v>58</v>
      </c>
      <c r="Q234" s="261" t="s">
        <v>59</v>
      </c>
      <c r="R234" s="261"/>
      <c r="S234" s="261"/>
      <c r="T234" s="84" t="s">
        <v>49</v>
      </c>
      <c r="U234" s="262">
        <f>'[1]LUONG T7'!I37</f>
        <v>0</v>
      </c>
      <c r="V234" s="262"/>
      <c r="W234" s="92" t="s">
        <v>54</v>
      </c>
      <c r="X234" s="93">
        <f>R231/X224*O234</f>
        <v>0</v>
      </c>
    </row>
    <row r="235" spans="1:24" ht="18.75" customHeight="1">
      <c r="A235" s="86" t="s">
        <v>60</v>
      </c>
      <c r="B235" s="84" t="s">
        <v>49</v>
      </c>
      <c r="C235" s="87">
        <f>'[1]LUONG T7'!J34</f>
        <v>0</v>
      </c>
      <c r="D235" s="88" t="s">
        <v>58</v>
      </c>
      <c r="E235" s="249" t="s">
        <v>61</v>
      </c>
      <c r="F235" s="249"/>
      <c r="G235" s="249"/>
      <c r="H235" s="84" t="s">
        <v>49</v>
      </c>
      <c r="I235" s="260">
        <f>$F$8/$L$1*C235</f>
        <v>0</v>
      </c>
      <c r="J235" s="260"/>
      <c r="K235" s="92" t="s">
        <v>54</v>
      </c>
      <c r="L235" s="93"/>
      <c r="M235" s="86" t="s">
        <v>60</v>
      </c>
      <c r="N235" s="84" t="s">
        <v>49</v>
      </c>
      <c r="O235" s="87">
        <f>'[1]LUONG T7'!J36</f>
        <v>0</v>
      </c>
      <c r="P235" s="88" t="s">
        <v>58</v>
      </c>
      <c r="Q235" s="249" t="s">
        <v>61</v>
      </c>
      <c r="R235" s="249"/>
      <c r="S235" s="249"/>
      <c r="T235" s="84" t="s">
        <v>49</v>
      </c>
      <c r="U235" s="260">
        <f>$F$8/$L$1*O235</f>
        <v>0</v>
      </c>
      <c r="V235" s="260"/>
      <c r="W235" s="92" t="s">
        <v>54</v>
      </c>
      <c r="X235" s="93"/>
    </row>
    <row r="236" spans="1:24" ht="18.75" customHeight="1">
      <c r="A236" s="86" t="s">
        <v>62</v>
      </c>
      <c r="B236" s="84" t="s">
        <v>49</v>
      </c>
      <c r="C236" s="87">
        <f>'[1]LUONG T7'!K34</f>
        <v>0</v>
      </c>
      <c r="D236" s="88" t="s">
        <v>58</v>
      </c>
      <c r="E236" s="259" t="s">
        <v>63</v>
      </c>
      <c r="F236" s="259"/>
      <c r="G236" s="259"/>
      <c r="H236" s="84" t="s">
        <v>49</v>
      </c>
      <c r="I236" s="260">
        <f>F231/$L$1*C236</f>
        <v>0</v>
      </c>
      <c r="J236" s="260"/>
      <c r="K236" s="92" t="s">
        <v>54</v>
      </c>
      <c r="L236" s="93"/>
      <c r="M236" s="86" t="s">
        <v>62</v>
      </c>
      <c r="N236" s="84" t="s">
        <v>49</v>
      </c>
      <c r="O236" s="87">
        <f>'[1]LUONG T7'!K36</f>
        <v>0</v>
      </c>
      <c r="P236" s="88" t="s">
        <v>58</v>
      </c>
      <c r="Q236" s="259" t="s">
        <v>63</v>
      </c>
      <c r="R236" s="259"/>
      <c r="S236" s="259"/>
      <c r="T236" s="84" t="s">
        <v>49</v>
      </c>
      <c r="U236" s="260">
        <f>$F$8/$L$1*O236</f>
        <v>0</v>
      </c>
      <c r="V236" s="260"/>
      <c r="W236" s="92" t="s">
        <v>54</v>
      </c>
      <c r="X236" s="93"/>
    </row>
    <row r="237" spans="1:24" ht="18.75" customHeight="1">
      <c r="A237" s="86" t="s">
        <v>64</v>
      </c>
      <c r="B237" s="84" t="s">
        <v>49</v>
      </c>
      <c r="C237" s="87">
        <f>'[1]LUONG T7'!L34</f>
        <v>0</v>
      </c>
      <c r="D237" s="88" t="s">
        <v>58</v>
      </c>
      <c r="E237" s="259" t="s">
        <v>65</v>
      </c>
      <c r="F237" s="259"/>
      <c r="G237" s="259"/>
      <c r="H237" s="84" t="s">
        <v>49</v>
      </c>
      <c r="I237" s="260">
        <f>$F$8/$L$1*C237</f>
        <v>0</v>
      </c>
      <c r="J237" s="260"/>
      <c r="K237" s="92" t="s">
        <v>54</v>
      </c>
      <c r="L237" s="93"/>
      <c r="M237" s="86" t="s">
        <v>64</v>
      </c>
      <c r="N237" s="84" t="s">
        <v>49</v>
      </c>
      <c r="O237" s="87">
        <f>'[1]LUONG T7'!L36</f>
        <v>0</v>
      </c>
      <c r="P237" s="88" t="s">
        <v>58</v>
      </c>
      <c r="Q237" s="259" t="s">
        <v>65</v>
      </c>
      <c r="R237" s="259"/>
      <c r="S237" s="259"/>
      <c r="T237" s="84" t="s">
        <v>49</v>
      </c>
      <c r="U237" s="260">
        <f>1150000/$L$1*O237</f>
        <v>0</v>
      </c>
      <c r="V237" s="260"/>
      <c r="W237" s="92" t="s">
        <v>54</v>
      </c>
      <c r="X237" s="93"/>
    </row>
    <row r="238" spans="1:24" ht="18.75" customHeight="1">
      <c r="A238" s="86" t="s">
        <v>66</v>
      </c>
      <c r="B238" s="84" t="s">
        <v>49</v>
      </c>
      <c r="C238" s="87">
        <f>'[1]LUONG T7'!Q34</f>
        <v>0</v>
      </c>
      <c r="D238" s="88" t="s">
        <v>67</v>
      </c>
      <c r="E238" s="249" t="s">
        <v>68</v>
      </c>
      <c r="F238" s="249"/>
      <c r="G238" s="249"/>
      <c r="H238" s="84" t="s">
        <v>49</v>
      </c>
      <c r="I238" s="260">
        <f>'[1]LUONG T7'!Q35</f>
        <v>0</v>
      </c>
      <c r="J238" s="260"/>
      <c r="K238" s="92" t="s">
        <v>54</v>
      </c>
      <c r="L238" s="93">
        <f>F231*C238/L224/8*1.5</f>
        <v>0</v>
      </c>
      <c r="M238" s="86" t="s">
        <v>66</v>
      </c>
      <c r="N238" s="84" t="s">
        <v>49</v>
      </c>
      <c r="O238" s="87">
        <f>'[1]LUONG T7'!Q36</f>
        <v>0</v>
      </c>
      <c r="P238" s="88" t="s">
        <v>67</v>
      </c>
      <c r="Q238" s="249" t="s">
        <v>68</v>
      </c>
      <c r="R238" s="249"/>
      <c r="S238" s="249"/>
      <c r="T238" s="84" t="s">
        <v>49</v>
      </c>
      <c r="U238" s="260">
        <f>'[1]LUONG T7'!Q37</f>
        <v>0</v>
      </c>
      <c r="V238" s="260"/>
      <c r="W238" s="92" t="s">
        <v>54</v>
      </c>
      <c r="X238" s="93">
        <f>R231*O238/X224/8*1.5</f>
        <v>0</v>
      </c>
    </row>
    <row r="239" spans="1:24" ht="18.75" customHeight="1">
      <c r="A239" s="248" t="s">
        <v>69</v>
      </c>
      <c r="B239" s="249"/>
      <c r="C239" s="87"/>
      <c r="D239" s="88" t="s">
        <v>58</v>
      </c>
      <c r="E239" s="249" t="s">
        <v>70</v>
      </c>
      <c r="F239" s="249"/>
      <c r="G239" s="249"/>
      <c r="H239" s="94" t="s">
        <v>49</v>
      </c>
      <c r="I239" s="260"/>
      <c r="J239" s="260"/>
      <c r="K239" s="92" t="s">
        <v>54</v>
      </c>
      <c r="L239" s="93"/>
      <c r="M239" s="248" t="s">
        <v>69</v>
      </c>
      <c r="N239" s="249"/>
      <c r="O239" s="87"/>
      <c r="P239" s="88" t="s">
        <v>58</v>
      </c>
      <c r="Q239" s="249" t="s">
        <v>70</v>
      </c>
      <c r="R239" s="249"/>
      <c r="S239" s="249"/>
      <c r="T239" s="94" t="s">
        <v>49</v>
      </c>
      <c r="U239" s="260"/>
      <c r="V239" s="260"/>
      <c r="W239" s="92" t="s">
        <v>54</v>
      </c>
      <c r="X239" s="93"/>
    </row>
    <row r="240" spans="1:24" ht="18.75" customHeight="1">
      <c r="A240" s="86" t="s">
        <v>71</v>
      </c>
      <c r="B240" s="84" t="s">
        <v>49</v>
      </c>
      <c r="C240" s="87"/>
      <c r="D240" s="88" t="s">
        <v>58</v>
      </c>
      <c r="E240" s="249" t="s">
        <v>72</v>
      </c>
      <c r="F240" s="249"/>
      <c r="G240" s="249"/>
      <c r="H240" s="84" t="s">
        <v>49</v>
      </c>
      <c r="I240" s="260"/>
      <c r="J240" s="260"/>
      <c r="K240" s="92" t="s">
        <v>54</v>
      </c>
      <c r="L240" s="93"/>
      <c r="M240" s="86" t="s">
        <v>71</v>
      </c>
      <c r="N240" s="84" t="s">
        <v>49</v>
      </c>
      <c r="O240" s="87"/>
      <c r="P240" s="88" t="s">
        <v>58</v>
      </c>
      <c r="Q240" s="249" t="s">
        <v>72</v>
      </c>
      <c r="R240" s="249"/>
      <c r="S240" s="249"/>
      <c r="T240" s="84" t="s">
        <v>49</v>
      </c>
      <c r="U240" s="260"/>
      <c r="V240" s="260"/>
      <c r="W240" s="92" t="s">
        <v>54</v>
      </c>
      <c r="X240" s="93"/>
    </row>
    <row r="241" spans="1:24" ht="18.75" customHeight="1">
      <c r="A241" s="95" t="s">
        <v>73</v>
      </c>
      <c r="B241" s="84"/>
      <c r="C241" s="87">
        <f>'[1]LUONG T7'!M34</f>
        <v>0</v>
      </c>
      <c r="D241" s="88" t="s">
        <v>67</v>
      </c>
      <c r="E241" s="249" t="s">
        <v>74</v>
      </c>
      <c r="F241" s="249"/>
      <c r="G241" s="249"/>
      <c r="H241" s="84" t="s">
        <v>49</v>
      </c>
      <c r="I241" s="260">
        <f>$F$8*C241/8/$L$1</f>
        <v>0</v>
      </c>
      <c r="J241" s="260"/>
      <c r="K241" s="92" t="s">
        <v>54</v>
      </c>
      <c r="L241" s="93"/>
      <c r="M241" s="95" t="s">
        <v>73</v>
      </c>
      <c r="N241" s="84"/>
      <c r="O241" s="87">
        <f>'[1]LUONG T7'!M36</f>
        <v>0</v>
      </c>
      <c r="P241" s="88" t="s">
        <v>67</v>
      </c>
      <c r="Q241" s="249" t="s">
        <v>74</v>
      </c>
      <c r="R241" s="249"/>
      <c r="S241" s="249"/>
      <c r="T241" s="84" t="s">
        <v>49</v>
      </c>
      <c r="U241" s="260">
        <f>$F$8*O241/8/$L$1</f>
        <v>0</v>
      </c>
      <c r="V241" s="260"/>
      <c r="W241" s="92" t="s">
        <v>54</v>
      </c>
      <c r="X241" s="93"/>
    </row>
    <row r="242" spans="1:24" ht="18.75" customHeight="1">
      <c r="A242" s="86" t="s">
        <v>75</v>
      </c>
      <c r="B242" s="84" t="s">
        <v>49</v>
      </c>
      <c r="C242" s="87"/>
      <c r="D242" s="88" t="s">
        <v>67</v>
      </c>
      <c r="E242" s="249" t="s">
        <v>97</v>
      </c>
      <c r="F242" s="249"/>
      <c r="G242" s="249"/>
      <c r="H242" s="84" t="s">
        <v>49</v>
      </c>
      <c r="I242" s="262"/>
      <c r="J242" s="262"/>
      <c r="K242" s="92" t="s">
        <v>54</v>
      </c>
      <c r="L242" s="93"/>
      <c r="M242" s="86" t="s">
        <v>102</v>
      </c>
      <c r="N242" s="84" t="s">
        <v>49</v>
      </c>
      <c r="O242" s="87"/>
      <c r="P242" s="88" t="s">
        <v>67</v>
      </c>
      <c r="Q242" s="249" t="s">
        <v>110</v>
      </c>
      <c r="R242" s="249"/>
      <c r="S242" s="249"/>
      <c r="T242" s="84" t="s">
        <v>49</v>
      </c>
      <c r="U242" s="262">
        <v>240000</v>
      </c>
      <c r="V242" s="262"/>
      <c r="W242" s="92" t="s">
        <v>54</v>
      </c>
      <c r="X242" s="93"/>
    </row>
    <row r="243" spans="1:24" ht="18.75" customHeight="1">
      <c r="A243" s="86" t="s">
        <v>77</v>
      </c>
      <c r="B243" s="84" t="s">
        <v>49</v>
      </c>
      <c r="C243" s="87"/>
      <c r="D243" s="88" t="s">
        <v>78</v>
      </c>
      <c r="E243" s="96" t="s">
        <v>79</v>
      </c>
      <c r="F243" s="96"/>
      <c r="G243" s="96"/>
      <c r="H243" s="84" t="s">
        <v>49</v>
      </c>
      <c r="I243" s="260"/>
      <c r="J243" s="260"/>
      <c r="K243" s="92" t="s">
        <v>54</v>
      </c>
      <c r="L243" s="93">
        <f>+IF(L234-I234&lt;0,0,L234-I234)+IF(L238-I238&lt;0,0,L238-I238)</f>
        <v>0</v>
      </c>
      <c r="M243" s="86" t="s">
        <v>77</v>
      </c>
      <c r="N243" s="84" t="s">
        <v>49</v>
      </c>
      <c r="O243" s="87"/>
      <c r="P243" s="88" t="s">
        <v>78</v>
      </c>
      <c r="Q243" s="96" t="s">
        <v>79</v>
      </c>
      <c r="R243" s="96"/>
      <c r="S243" s="96"/>
      <c r="T243" s="84" t="s">
        <v>49</v>
      </c>
      <c r="U243" s="260"/>
      <c r="V243" s="260"/>
      <c r="W243" s="92" t="s">
        <v>54</v>
      </c>
      <c r="X243" s="93">
        <f>+IF(X234-U234&lt;0,0,X234-U234)+IF(X238-U238&lt;0,0,X238-U238)</f>
        <v>0</v>
      </c>
    </row>
    <row r="244" spans="1:24" ht="18.75" customHeight="1">
      <c r="A244" s="97" t="s">
        <v>80</v>
      </c>
      <c r="B244" s="98"/>
      <c r="C244" s="87"/>
      <c r="D244" s="88" t="s">
        <v>58</v>
      </c>
      <c r="E244" s="249" t="s">
        <v>81</v>
      </c>
      <c r="F244" s="249"/>
      <c r="G244" s="249"/>
      <c r="H244" s="84" t="s">
        <v>49</v>
      </c>
      <c r="I244" s="260">
        <v>324000</v>
      </c>
      <c r="J244" s="260"/>
      <c r="K244" s="92" t="s">
        <v>54</v>
      </c>
      <c r="L244" s="93"/>
      <c r="M244" s="97" t="s">
        <v>80</v>
      </c>
      <c r="N244" s="98"/>
      <c r="O244" s="87"/>
      <c r="P244" s="88" t="s">
        <v>58</v>
      </c>
      <c r="Q244" s="249" t="s">
        <v>81</v>
      </c>
      <c r="R244" s="249"/>
      <c r="S244" s="249"/>
      <c r="T244" s="84" t="s">
        <v>49</v>
      </c>
      <c r="U244" s="260">
        <v>324000</v>
      </c>
      <c r="V244" s="260"/>
      <c r="W244" s="92" t="s">
        <v>54</v>
      </c>
      <c r="X244" s="93"/>
    </row>
    <row r="245" spans="1:24" ht="18.75" customHeight="1">
      <c r="A245" s="267" t="s">
        <v>82</v>
      </c>
      <c r="B245" s="261"/>
      <c r="C245" s="87"/>
      <c r="D245" s="88"/>
      <c r="E245" s="89"/>
      <c r="F245" s="89"/>
      <c r="G245" s="89"/>
      <c r="H245" s="84" t="s">
        <v>49</v>
      </c>
      <c r="I245" s="260">
        <f>'[1]LUONG T7'!P35</f>
        <v>0</v>
      </c>
      <c r="J245" s="260"/>
      <c r="K245" s="92" t="s">
        <v>54</v>
      </c>
      <c r="L245" s="93"/>
      <c r="M245" s="267" t="s">
        <v>82</v>
      </c>
      <c r="N245" s="261"/>
      <c r="O245" s="87"/>
      <c r="P245" s="88"/>
      <c r="Q245" s="89"/>
      <c r="R245" s="89"/>
      <c r="S245" s="89"/>
      <c r="T245" s="84" t="s">
        <v>49</v>
      </c>
      <c r="U245" s="260">
        <f>'[1]LUONG T7'!P37</f>
        <v>0</v>
      </c>
      <c r="V245" s="260"/>
      <c r="W245" s="92" t="s">
        <v>54</v>
      </c>
      <c r="X245" s="93"/>
    </row>
    <row r="246" spans="1:24" ht="18.75" customHeight="1">
      <c r="A246" s="86" t="s">
        <v>83</v>
      </c>
      <c r="B246" s="84" t="s">
        <v>49</v>
      </c>
      <c r="C246" s="87"/>
      <c r="D246" s="88"/>
      <c r="E246" s="89" t="s">
        <v>84</v>
      </c>
      <c r="F246" s="89"/>
      <c r="G246" s="89"/>
      <c r="H246" s="84" t="s">
        <v>49</v>
      </c>
      <c r="I246" s="260">
        <f>L243</f>
        <v>0</v>
      </c>
      <c r="J246" s="260"/>
      <c r="K246" s="92" t="s">
        <v>54</v>
      </c>
      <c r="L246" s="93"/>
      <c r="M246" s="86" t="s">
        <v>83</v>
      </c>
      <c r="N246" s="84" t="s">
        <v>49</v>
      </c>
      <c r="O246" s="87"/>
      <c r="P246" s="88"/>
      <c r="Q246" s="89" t="s">
        <v>84</v>
      </c>
      <c r="R246" s="89"/>
      <c r="S246" s="89"/>
      <c r="T246" s="84" t="s">
        <v>49</v>
      </c>
      <c r="U246" s="260">
        <f>X243</f>
        <v>0</v>
      </c>
      <c r="V246" s="260"/>
      <c r="W246" s="92" t="s">
        <v>54</v>
      </c>
      <c r="X246" s="93"/>
    </row>
    <row r="247" spans="1:24" ht="18.75" customHeight="1">
      <c r="A247" s="264" t="s">
        <v>85</v>
      </c>
      <c r="B247" s="265"/>
      <c r="C247" s="265"/>
      <c r="D247" s="265"/>
      <c r="E247" s="265"/>
      <c r="F247" s="265"/>
      <c r="G247" s="84" t="s">
        <v>49</v>
      </c>
      <c r="H247" s="266">
        <f>I234+I235+I236+I237+I238+I241+I245+I246+I244+I242</f>
        <v>324000</v>
      </c>
      <c r="I247" s="266"/>
      <c r="J247" s="266"/>
      <c r="K247" s="92" t="s">
        <v>54</v>
      </c>
      <c r="M247" s="264" t="s">
        <v>85</v>
      </c>
      <c r="N247" s="265"/>
      <c r="O247" s="265"/>
      <c r="P247" s="265"/>
      <c r="Q247" s="265"/>
      <c r="R247" s="265"/>
      <c r="S247" s="84" t="s">
        <v>49</v>
      </c>
      <c r="T247" s="266">
        <f>U234+U235+U236+U237+U238+U241+U245+U246+U244+U242</f>
        <v>564000</v>
      </c>
      <c r="U247" s="266"/>
      <c r="V247" s="266"/>
      <c r="W247" s="92" t="s">
        <v>54</v>
      </c>
    </row>
    <row r="248" spans="1:24" ht="18.75" customHeight="1">
      <c r="A248" s="99"/>
      <c r="B248" s="100"/>
      <c r="C248" s="100"/>
      <c r="D248" s="100"/>
      <c r="E248" s="100"/>
      <c r="F248" s="100"/>
      <c r="G248" s="100"/>
      <c r="H248" s="100"/>
      <c r="I248" s="100"/>
      <c r="J248" s="100"/>
      <c r="K248" s="101"/>
      <c r="M248" s="99"/>
      <c r="N248" s="100"/>
      <c r="O248" s="100"/>
      <c r="P248" s="100"/>
      <c r="Q248" s="100"/>
      <c r="R248" s="100"/>
      <c r="S248" s="100"/>
      <c r="T248" s="100"/>
      <c r="U248" s="100"/>
      <c r="V248" s="100"/>
      <c r="W248" s="101"/>
    </row>
    <row r="249" spans="1:24" ht="18.75" customHeight="1">
      <c r="A249" s="274" t="s">
        <v>86</v>
      </c>
      <c r="B249" s="275"/>
      <c r="C249" s="275"/>
      <c r="D249" s="275"/>
      <c r="E249" s="275"/>
      <c r="F249" s="275"/>
      <c r="G249" s="84"/>
      <c r="H249" s="84"/>
      <c r="I249" s="84"/>
      <c r="J249" s="84"/>
      <c r="K249" s="92"/>
      <c r="M249" s="274" t="s">
        <v>86</v>
      </c>
      <c r="N249" s="275"/>
      <c r="O249" s="275"/>
      <c r="P249" s="275"/>
      <c r="Q249" s="275"/>
      <c r="R249" s="275"/>
      <c r="S249" s="84"/>
      <c r="T249" s="84"/>
      <c r="U249" s="84"/>
      <c r="V249" s="84"/>
      <c r="W249" s="92"/>
    </row>
    <row r="250" spans="1:24" ht="18.75" customHeight="1">
      <c r="A250" s="268" t="s">
        <v>87</v>
      </c>
      <c r="B250" s="269"/>
      <c r="C250" s="269"/>
      <c r="D250" s="269"/>
      <c r="E250" s="269"/>
      <c r="F250" s="269"/>
      <c r="G250" s="84" t="s">
        <v>49</v>
      </c>
      <c r="H250" s="276">
        <f>IF(($L$1-(C234+C235+C236+C237))&gt;12,0,F231*8%)</f>
        <v>0</v>
      </c>
      <c r="I250" s="276"/>
      <c r="J250" s="276"/>
      <c r="K250" s="92" t="s">
        <v>54</v>
      </c>
      <c r="M250" s="268" t="s">
        <v>87</v>
      </c>
      <c r="N250" s="269"/>
      <c r="O250" s="269"/>
      <c r="P250" s="269"/>
      <c r="Q250" s="269"/>
      <c r="R250" s="269"/>
      <c r="S250" s="84" t="s">
        <v>49</v>
      </c>
      <c r="T250" s="276">
        <f>IF(($L$1-(O234+O235+O236+O237))&gt;12,0,R231*8%)</f>
        <v>0</v>
      </c>
      <c r="U250" s="276"/>
      <c r="V250" s="276"/>
      <c r="W250" s="92" t="s">
        <v>54</v>
      </c>
    </row>
    <row r="251" spans="1:24" ht="18.75" customHeight="1">
      <c r="A251" s="268" t="s">
        <v>88</v>
      </c>
      <c r="B251" s="269"/>
      <c r="C251" s="269"/>
      <c r="D251" s="269"/>
      <c r="E251" s="269"/>
      <c r="F251" s="269"/>
      <c r="G251" s="84" t="s">
        <v>49</v>
      </c>
      <c r="H251" s="270">
        <f>IF(($L$1-(C234+C235+C236+C237))&gt;12,0,F231*1.5%)</f>
        <v>0</v>
      </c>
      <c r="I251" s="270"/>
      <c r="J251" s="270"/>
      <c r="K251" s="92" t="s">
        <v>54</v>
      </c>
      <c r="M251" s="268" t="s">
        <v>88</v>
      </c>
      <c r="N251" s="269"/>
      <c r="O251" s="269"/>
      <c r="P251" s="269"/>
      <c r="Q251" s="269"/>
      <c r="R251" s="269"/>
      <c r="S251" s="84" t="s">
        <v>49</v>
      </c>
      <c r="T251" s="270">
        <f>IF(($L$1-(O234+O235+O236+O237))&gt;12,0,R231*1.5%)</f>
        <v>0</v>
      </c>
      <c r="U251" s="270"/>
      <c r="V251" s="270"/>
      <c r="W251" s="92" t="s">
        <v>54</v>
      </c>
    </row>
    <row r="252" spans="1:24" ht="18.75" customHeight="1">
      <c r="A252" s="268" t="s">
        <v>89</v>
      </c>
      <c r="B252" s="269"/>
      <c r="C252" s="269"/>
      <c r="D252" s="269"/>
      <c r="E252" s="269"/>
      <c r="F252" s="269"/>
      <c r="G252" s="84" t="s">
        <v>49</v>
      </c>
      <c r="H252" s="270">
        <f>IF(($L$1-(C234+C235+C236+C237))&gt;12,0,F231*1%)</f>
        <v>0</v>
      </c>
      <c r="I252" s="270"/>
      <c r="J252" s="270"/>
      <c r="K252" s="92" t="s">
        <v>54</v>
      </c>
      <c r="M252" s="268" t="s">
        <v>89</v>
      </c>
      <c r="N252" s="269"/>
      <c r="O252" s="269"/>
      <c r="P252" s="269"/>
      <c r="Q252" s="269"/>
      <c r="R252" s="269"/>
      <c r="S252" s="84" t="s">
        <v>49</v>
      </c>
      <c r="T252" s="270">
        <f>IF(($L$1-(O234+O235+O236+O237))&gt;12,0,R231*1%)</f>
        <v>0</v>
      </c>
      <c r="U252" s="270"/>
      <c r="V252" s="270"/>
      <c r="W252" s="92" t="s">
        <v>54</v>
      </c>
    </row>
    <row r="253" spans="1:24" ht="18.75" customHeight="1">
      <c r="A253" s="268" t="s">
        <v>90</v>
      </c>
      <c r="B253" s="269"/>
      <c r="C253" s="269"/>
      <c r="D253" s="269"/>
      <c r="E253" s="269"/>
      <c r="F253" s="269"/>
      <c r="G253" s="84" t="s">
        <v>49</v>
      </c>
      <c r="H253" s="270">
        <v>0</v>
      </c>
      <c r="I253" s="270"/>
      <c r="J253" s="270"/>
      <c r="K253" s="92" t="s">
        <v>54</v>
      </c>
      <c r="M253" s="268" t="s">
        <v>90</v>
      </c>
      <c r="N253" s="269"/>
      <c r="O253" s="269"/>
      <c r="P253" s="269"/>
      <c r="Q253" s="269"/>
      <c r="R253" s="269"/>
      <c r="S253" s="84" t="s">
        <v>49</v>
      </c>
      <c r="T253" s="270">
        <v>0</v>
      </c>
      <c r="U253" s="270"/>
      <c r="V253" s="270"/>
      <c r="W253" s="92" t="s">
        <v>54</v>
      </c>
    </row>
    <row r="254" spans="1:24" ht="18.75" customHeight="1">
      <c r="A254" s="271" t="s">
        <v>91</v>
      </c>
      <c r="B254" s="272"/>
      <c r="C254" s="272"/>
      <c r="D254" s="272"/>
      <c r="E254" s="272"/>
      <c r="F254" s="272"/>
      <c r="G254" s="84" t="s">
        <v>49</v>
      </c>
      <c r="H254" s="273">
        <f>SUM(H250:J253)</f>
        <v>0</v>
      </c>
      <c r="I254" s="273"/>
      <c r="J254" s="273"/>
      <c r="K254" s="92" t="s">
        <v>54</v>
      </c>
      <c r="M254" s="271" t="s">
        <v>91</v>
      </c>
      <c r="N254" s="272"/>
      <c r="O254" s="272"/>
      <c r="P254" s="272"/>
      <c r="Q254" s="272"/>
      <c r="R254" s="272"/>
      <c r="S254" s="84" t="s">
        <v>49</v>
      </c>
      <c r="T254" s="273">
        <f>SUM(T250:V253)</f>
        <v>0</v>
      </c>
      <c r="U254" s="273"/>
      <c r="V254" s="273"/>
      <c r="W254" s="92" t="s">
        <v>54</v>
      </c>
    </row>
    <row r="255" spans="1:24" ht="18.75" customHeight="1">
      <c r="A255" s="268" t="s">
        <v>92</v>
      </c>
      <c r="B255" s="269"/>
      <c r="C255" s="269"/>
      <c r="D255" s="269"/>
      <c r="E255" s="269"/>
      <c r="F255" s="269"/>
      <c r="G255" s="84" t="s">
        <v>49</v>
      </c>
      <c r="H255" s="280">
        <f>ROUND(H247-H254,-2)</f>
        <v>324000</v>
      </c>
      <c r="I255" s="280"/>
      <c r="J255" s="280"/>
      <c r="K255" s="92" t="s">
        <v>54</v>
      </c>
      <c r="M255" s="268" t="s">
        <v>92</v>
      </c>
      <c r="N255" s="269"/>
      <c r="O255" s="269"/>
      <c r="P255" s="269"/>
      <c r="Q255" s="269"/>
      <c r="R255" s="269"/>
      <c r="S255" s="84" t="s">
        <v>49</v>
      </c>
      <c r="T255" s="280">
        <f>ROUND(T247-T254,-2)</f>
        <v>564000</v>
      </c>
      <c r="U255" s="280"/>
      <c r="V255" s="280"/>
      <c r="W255" s="92" t="s">
        <v>54</v>
      </c>
    </row>
    <row r="256" spans="1:24" ht="18.75" customHeight="1">
      <c r="A256" s="102"/>
      <c r="B256" s="103"/>
      <c r="C256" s="103"/>
      <c r="D256" s="103"/>
      <c r="E256" s="103"/>
      <c r="F256" s="103"/>
      <c r="G256" s="103"/>
      <c r="H256" s="103"/>
      <c r="I256" s="103"/>
      <c r="J256" s="103"/>
      <c r="K256" s="104"/>
      <c r="M256" s="102"/>
      <c r="N256" s="103"/>
      <c r="O256" s="103"/>
      <c r="P256" s="103"/>
      <c r="Q256" s="103"/>
      <c r="R256" s="103"/>
      <c r="S256" s="103"/>
      <c r="T256" s="103"/>
      <c r="U256" s="103"/>
      <c r="V256" s="103"/>
      <c r="W256" s="104"/>
    </row>
    <row r="257" spans="1:24" ht="18.75" customHeight="1">
      <c r="A257" s="105"/>
      <c r="B257" s="84"/>
      <c r="C257" s="84"/>
      <c r="D257" s="84"/>
      <c r="E257" s="84"/>
      <c r="F257" s="84"/>
      <c r="G257" s="84"/>
      <c r="H257" s="84"/>
      <c r="I257" s="277" t="s">
        <v>93</v>
      </c>
      <c r="J257" s="277"/>
      <c r="K257" s="281"/>
      <c r="M257" s="105"/>
      <c r="N257" s="84"/>
      <c r="O257" s="84"/>
      <c r="P257" s="84"/>
      <c r="Q257" s="84"/>
      <c r="R257" s="84"/>
      <c r="S257" s="84"/>
      <c r="T257" s="84"/>
      <c r="U257" s="277" t="s">
        <v>93</v>
      </c>
      <c r="V257" s="277"/>
      <c r="W257" s="281"/>
    </row>
    <row r="258" spans="1:24" ht="18.75" customHeight="1">
      <c r="A258" s="105"/>
      <c r="B258" s="277"/>
      <c r="C258" s="277"/>
      <c r="D258" s="277"/>
      <c r="E258" s="277"/>
      <c r="F258" s="84"/>
      <c r="G258" s="84"/>
      <c r="H258" s="84"/>
      <c r="I258" s="84"/>
      <c r="J258" s="84"/>
      <c r="K258" s="85"/>
      <c r="M258" s="105"/>
      <c r="N258" s="277"/>
      <c r="O258" s="277"/>
      <c r="P258" s="277"/>
      <c r="Q258" s="277"/>
      <c r="R258" s="84"/>
      <c r="S258" s="84"/>
      <c r="T258" s="84"/>
      <c r="U258" s="84"/>
      <c r="V258" s="84"/>
      <c r="W258" s="85"/>
    </row>
    <row r="259" spans="1:24" ht="18.75" customHeight="1" thickBot="1">
      <c r="A259" s="106"/>
      <c r="B259" s="107"/>
      <c r="C259" s="107"/>
      <c r="D259" s="107"/>
      <c r="E259" s="107"/>
      <c r="F259" s="107"/>
      <c r="G259" s="107"/>
      <c r="H259" s="107"/>
      <c r="I259" s="278" t="s">
        <v>94</v>
      </c>
      <c r="J259" s="278"/>
      <c r="K259" s="279"/>
      <c r="M259" s="106"/>
      <c r="N259" s="107"/>
      <c r="O259" s="107"/>
      <c r="P259" s="107"/>
      <c r="Q259" s="107"/>
      <c r="R259" s="107"/>
      <c r="S259" s="107"/>
      <c r="T259" s="107"/>
      <c r="U259" s="278" t="s">
        <v>94</v>
      </c>
      <c r="V259" s="278"/>
      <c r="W259" s="279"/>
    </row>
    <row r="261" spans="1:24" ht="18.75" customHeight="1" thickTop="1">
      <c r="A261" s="253" t="s">
        <v>43</v>
      </c>
      <c r="B261" s="254"/>
      <c r="C261" s="254"/>
      <c r="D261" s="254"/>
      <c r="E261" s="254"/>
      <c r="F261" s="254"/>
      <c r="G261" s="254"/>
      <c r="H261" s="254"/>
      <c r="I261" s="254"/>
      <c r="J261" s="254"/>
      <c r="K261" s="255"/>
      <c r="L261" s="80">
        <v>25</v>
      </c>
      <c r="M261" s="253" t="s">
        <v>43</v>
      </c>
      <c r="N261" s="254"/>
      <c r="O261" s="254"/>
      <c r="P261" s="254"/>
      <c r="Q261" s="254"/>
      <c r="R261" s="254"/>
      <c r="S261" s="254"/>
      <c r="T261" s="254"/>
      <c r="U261" s="254"/>
      <c r="V261" s="254"/>
      <c r="W261" s="255"/>
      <c r="X261" s="80">
        <v>25</v>
      </c>
    </row>
    <row r="262" spans="1:24" ht="18.75" customHeight="1">
      <c r="A262" s="81" t="s">
        <v>119</v>
      </c>
      <c r="B262" s="82"/>
      <c r="C262" s="82"/>
      <c r="D262" s="82"/>
      <c r="E262" s="82"/>
      <c r="F262" s="82"/>
      <c r="G262" s="82"/>
      <c r="H262" s="82"/>
      <c r="I262" s="82"/>
      <c r="J262" s="82"/>
      <c r="K262" s="83"/>
      <c r="M262" s="81" t="s">
        <v>120</v>
      </c>
      <c r="N262" s="82"/>
      <c r="O262" s="82"/>
      <c r="P262" s="82"/>
      <c r="Q262" s="82"/>
      <c r="R262" s="82"/>
      <c r="S262" s="82"/>
      <c r="T262" s="82"/>
      <c r="U262" s="82"/>
      <c r="V262" s="82"/>
      <c r="W262" s="83"/>
    </row>
    <row r="263" spans="1:24" ht="18.75" customHeight="1">
      <c r="A263" s="256" t="s">
        <v>47</v>
      </c>
      <c r="B263" s="257"/>
      <c r="C263" s="257"/>
      <c r="D263" s="257"/>
      <c r="E263" s="257"/>
      <c r="F263" s="257"/>
      <c r="G263" s="257"/>
      <c r="H263" s="257"/>
      <c r="I263" s="257"/>
      <c r="J263" s="257"/>
      <c r="K263" s="258"/>
      <c r="M263" s="256" t="s">
        <v>47</v>
      </c>
      <c r="N263" s="257"/>
      <c r="O263" s="257"/>
      <c r="P263" s="257"/>
      <c r="Q263" s="257"/>
      <c r="R263" s="257"/>
      <c r="S263" s="257"/>
      <c r="T263" s="257"/>
      <c r="U263" s="257"/>
      <c r="V263" s="257"/>
      <c r="W263" s="258"/>
    </row>
    <row r="264" spans="1:24" ht="18.75" customHeight="1">
      <c r="A264" s="248" t="s">
        <v>48</v>
      </c>
      <c r="B264" s="249"/>
      <c r="C264" s="249"/>
      <c r="D264" s="249"/>
      <c r="E264" s="84" t="s">
        <v>49</v>
      </c>
      <c r="F264" s="250">
        <f>'[1]Bang TH nop'!B26</f>
        <v>0</v>
      </c>
      <c r="G264" s="249"/>
      <c r="H264" s="249"/>
      <c r="I264" s="249"/>
      <c r="J264" s="249"/>
      <c r="K264" s="252"/>
      <c r="M264" s="248" t="s">
        <v>48</v>
      </c>
      <c r="N264" s="249"/>
      <c r="O264" s="249"/>
      <c r="P264" s="249"/>
      <c r="Q264" s="84" t="s">
        <v>49</v>
      </c>
      <c r="R264" s="250">
        <f>'[1]Bang TH nop'!B28</f>
        <v>0</v>
      </c>
      <c r="S264" s="249"/>
      <c r="T264" s="249"/>
      <c r="U264" s="249"/>
      <c r="V264" s="249"/>
      <c r="W264" s="252"/>
    </row>
    <row r="265" spans="1:24" ht="18.75" customHeight="1">
      <c r="A265" s="248" t="s">
        <v>50</v>
      </c>
      <c r="B265" s="249"/>
      <c r="C265" s="249"/>
      <c r="D265" s="249"/>
      <c r="E265" s="84" t="s">
        <v>49</v>
      </c>
      <c r="F265" s="250">
        <f>'[1]Bang TH nop'!C26</f>
        <v>0</v>
      </c>
      <c r="G265" s="250"/>
      <c r="H265" s="250"/>
      <c r="I265" s="250"/>
      <c r="J265" s="250"/>
      <c r="K265" s="251"/>
      <c r="M265" s="248" t="s">
        <v>50</v>
      </c>
      <c r="N265" s="249"/>
      <c r="O265" s="249"/>
      <c r="P265" s="249"/>
      <c r="Q265" s="84" t="s">
        <v>49</v>
      </c>
      <c r="R265" s="250">
        <f>'[1]Bang TH nop'!C28</f>
        <v>0</v>
      </c>
      <c r="S265" s="250"/>
      <c r="T265" s="250"/>
      <c r="U265" s="250"/>
      <c r="V265" s="250"/>
      <c r="W265" s="251"/>
    </row>
    <row r="266" spans="1:24" ht="18.75" customHeight="1">
      <c r="A266" s="248" t="s">
        <v>51</v>
      </c>
      <c r="B266" s="249"/>
      <c r="C266" s="249"/>
      <c r="D266" s="249"/>
      <c r="E266" s="84" t="s">
        <v>49</v>
      </c>
      <c r="F266" s="249" t="s">
        <v>121</v>
      </c>
      <c r="G266" s="249"/>
      <c r="H266" s="249"/>
      <c r="I266" s="249"/>
      <c r="J266" s="249"/>
      <c r="K266" s="252"/>
      <c r="M266" s="248" t="s">
        <v>51</v>
      </c>
      <c r="N266" s="249"/>
      <c r="O266" s="249"/>
      <c r="P266" s="249"/>
      <c r="Q266" s="84" t="s">
        <v>49</v>
      </c>
      <c r="R266" s="249" t="s">
        <v>121</v>
      </c>
      <c r="S266" s="249"/>
      <c r="T266" s="249"/>
      <c r="U266" s="249"/>
      <c r="V266" s="249"/>
      <c r="W266" s="252"/>
    </row>
    <row r="267" spans="1:24" ht="18.75" customHeight="1">
      <c r="A267" s="256" t="s">
        <v>52</v>
      </c>
      <c r="B267" s="257"/>
      <c r="C267" s="257"/>
      <c r="D267" s="257"/>
      <c r="E267" s="257"/>
      <c r="F267" s="257"/>
      <c r="G267" s="257"/>
      <c r="H267" s="257"/>
      <c r="I267" s="257"/>
      <c r="J267" s="257"/>
      <c r="K267" s="258"/>
      <c r="M267" s="256" t="s">
        <v>52</v>
      </c>
      <c r="N267" s="257"/>
      <c r="O267" s="257"/>
      <c r="P267" s="257"/>
      <c r="Q267" s="257"/>
      <c r="R267" s="257"/>
      <c r="S267" s="257"/>
      <c r="T267" s="257"/>
      <c r="U267" s="257"/>
      <c r="V267" s="257"/>
      <c r="W267" s="258"/>
    </row>
    <row r="268" spans="1:24" ht="18.75" customHeight="1">
      <c r="A268" s="248" t="s">
        <v>53</v>
      </c>
      <c r="B268" s="249"/>
      <c r="C268" s="249"/>
      <c r="D268" s="249"/>
      <c r="E268" s="84" t="s">
        <v>49</v>
      </c>
      <c r="F268" s="263">
        <v>2915400</v>
      </c>
      <c r="G268" s="263"/>
      <c r="H268" s="263"/>
      <c r="I268" s="263"/>
      <c r="J268" s="84" t="s">
        <v>54</v>
      </c>
      <c r="K268" s="85"/>
      <c r="M268" s="248" t="s">
        <v>53</v>
      </c>
      <c r="N268" s="249"/>
      <c r="O268" s="249"/>
      <c r="P268" s="249"/>
      <c r="Q268" s="84" t="s">
        <v>49</v>
      </c>
      <c r="R268" s="263">
        <v>2915400</v>
      </c>
      <c r="S268" s="263"/>
      <c r="T268" s="263"/>
      <c r="U268" s="263"/>
      <c r="V268" s="84" t="s">
        <v>54</v>
      </c>
      <c r="W268" s="85"/>
    </row>
    <row r="269" spans="1:24" ht="18.75" customHeight="1">
      <c r="A269" s="86" t="s">
        <v>55</v>
      </c>
      <c r="B269" s="84"/>
      <c r="C269" s="87"/>
      <c r="D269" s="88"/>
      <c r="E269" s="89"/>
      <c r="F269" s="89"/>
      <c r="G269" s="89"/>
      <c r="H269" s="84"/>
      <c r="I269" s="90">
        <f>'[1]LUONG T7'!F39</f>
        <v>0</v>
      </c>
      <c r="J269" s="91"/>
      <c r="K269" s="92"/>
      <c r="M269" s="86" t="s">
        <v>55</v>
      </c>
      <c r="N269" s="84"/>
      <c r="O269" s="87"/>
      <c r="P269" s="88"/>
      <c r="Q269" s="89"/>
      <c r="R269" s="89"/>
      <c r="S269" s="89"/>
      <c r="T269" s="84"/>
      <c r="U269" s="90">
        <f>'[1]LUONG T7'!F41</f>
        <v>0</v>
      </c>
      <c r="V269" s="91"/>
      <c r="W269" s="92"/>
    </row>
    <row r="270" spans="1:24" ht="18.75" customHeight="1">
      <c r="A270" s="86" t="s">
        <v>56</v>
      </c>
      <c r="B270" s="84"/>
      <c r="C270" s="87"/>
      <c r="D270" s="88"/>
      <c r="E270" s="89"/>
      <c r="F270" s="89"/>
      <c r="G270" s="89"/>
      <c r="H270" s="84"/>
      <c r="I270" s="90" t="e">
        <f>I271/C271/8</f>
        <v>#DIV/0!</v>
      </c>
      <c r="J270" s="91"/>
      <c r="K270" s="92"/>
      <c r="M270" s="86" t="s">
        <v>56</v>
      </c>
      <c r="N270" s="84"/>
      <c r="O270" s="87"/>
      <c r="P270" s="88"/>
      <c r="Q270" s="89"/>
      <c r="R270" s="89"/>
      <c r="S270" s="89"/>
      <c r="T270" s="84"/>
      <c r="U270" s="90" t="e">
        <f>U271/O271/8</f>
        <v>#DIV/0!</v>
      </c>
      <c r="V270" s="91"/>
      <c r="W270" s="92"/>
    </row>
    <row r="271" spans="1:24" ht="18.75" customHeight="1">
      <c r="A271" s="86" t="s">
        <v>57</v>
      </c>
      <c r="B271" s="84" t="s">
        <v>49</v>
      </c>
      <c r="C271" s="87">
        <f>'[1]LUONG T7'!I38</f>
        <v>0</v>
      </c>
      <c r="D271" s="88" t="s">
        <v>58</v>
      </c>
      <c r="E271" s="261" t="s">
        <v>59</v>
      </c>
      <c r="F271" s="261"/>
      <c r="G271" s="261"/>
      <c r="H271" s="84" t="s">
        <v>49</v>
      </c>
      <c r="I271" s="262">
        <f>'[1]LUONG T7'!I39</f>
        <v>0</v>
      </c>
      <c r="J271" s="262"/>
      <c r="K271" s="92" t="s">
        <v>54</v>
      </c>
      <c r="L271" s="93">
        <f>F268/L261*C271</f>
        <v>0</v>
      </c>
      <c r="M271" s="86" t="s">
        <v>57</v>
      </c>
      <c r="N271" s="84" t="s">
        <v>49</v>
      </c>
      <c r="O271" s="87">
        <f>'[1]LUONG T7'!I40</f>
        <v>0</v>
      </c>
      <c r="P271" s="88" t="s">
        <v>58</v>
      </c>
      <c r="Q271" s="261" t="s">
        <v>59</v>
      </c>
      <c r="R271" s="261"/>
      <c r="S271" s="261"/>
      <c r="T271" s="84" t="s">
        <v>49</v>
      </c>
      <c r="U271" s="262">
        <f>'[1]LUONG T7'!I41</f>
        <v>0</v>
      </c>
      <c r="V271" s="262"/>
      <c r="W271" s="92" t="s">
        <v>54</v>
      </c>
      <c r="X271" s="93">
        <f>R268/X261*O271</f>
        <v>0</v>
      </c>
    </row>
    <row r="272" spans="1:24" ht="18.75" customHeight="1">
      <c r="A272" s="86" t="s">
        <v>60</v>
      </c>
      <c r="B272" s="84" t="s">
        <v>49</v>
      </c>
      <c r="C272" s="87">
        <f>'[1]LUONG T7'!J38</f>
        <v>0</v>
      </c>
      <c r="D272" s="88" t="s">
        <v>58</v>
      </c>
      <c r="E272" s="249" t="s">
        <v>61</v>
      </c>
      <c r="F272" s="249"/>
      <c r="G272" s="249"/>
      <c r="H272" s="84" t="s">
        <v>49</v>
      </c>
      <c r="I272" s="260">
        <f>$F$8/$L$1*C272</f>
        <v>0</v>
      </c>
      <c r="J272" s="260"/>
      <c r="K272" s="92" t="s">
        <v>54</v>
      </c>
      <c r="L272" s="93"/>
      <c r="M272" s="86" t="s">
        <v>60</v>
      </c>
      <c r="N272" s="84" t="s">
        <v>49</v>
      </c>
      <c r="O272" s="87">
        <f>'[1]LUONG T7'!J40</f>
        <v>0</v>
      </c>
      <c r="P272" s="88" t="s">
        <v>58</v>
      </c>
      <c r="Q272" s="249" t="s">
        <v>61</v>
      </c>
      <c r="R272" s="249"/>
      <c r="S272" s="249"/>
      <c r="T272" s="84" t="s">
        <v>49</v>
      </c>
      <c r="U272" s="260">
        <f>$F$8/$L$1*O272</f>
        <v>0</v>
      </c>
      <c r="V272" s="260"/>
      <c r="W272" s="92" t="s">
        <v>54</v>
      </c>
      <c r="X272" s="93"/>
    </row>
    <row r="273" spans="1:24" ht="18.75" customHeight="1">
      <c r="A273" s="86" t="s">
        <v>62</v>
      </c>
      <c r="B273" s="84" t="s">
        <v>49</v>
      </c>
      <c r="C273" s="87">
        <f>'[1]LUONG T7'!K38</f>
        <v>0</v>
      </c>
      <c r="D273" s="88" t="s">
        <v>58</v>
      </c>
      <c r="E273" s="259" t="s">
        <v>63</v>
      </c>
      <c r="F273" s="259"/>
      <c r="G273" s="259"/>
      <c r="H273" s="84" t="s">
        <v>49</v>
      </c>
      <c r="I273" s="260">
        <f>$F$8/$L$1*C273</f>
        <v>0</v>
      </c>
      <c r="J273" s="260"/>
      <c r="K273" s="92" t="s">
        <v>54</v>
      </c>
      <c r="L273" s="93"/>
      <c r="M273" s="86" t="s">
        <v>62</v>
      </c>
      <c r="N273" s="84" t="s">
        <v>49</v>
      </c>
      <c r="O273" s="87">
        <f>'[1]LUONG T7'!K40</f>
        <v>0</v>
      </c>
      <c r="P273" s="88" t="s">
        <v>58</v>
      </c>
      <c r="Q273" s="259" t="s">
        <v>63</v>
      </c>
      <c r="R273" s="259"/>
      <c r="S273" s="259"/>
      <c r="T273" s="84" t="s">
        <v>49</v>
      </c>
      <c r="U273" s="260">
        <f>$F$8/$L$1*O273</f>
        <v>0</v>
      </c>
      <c r="V273" s="260"/>
      <c r="W273" s="92" t="s">
        <v>54</v>
      </c>
      <c r="X273" s="93"/>
    </row>
    <row r="274" spans="1:24" ht="18.75" customHeight="1">
      <c r="A274" s="86" t="s">
        <v>64</v>
      </c>
      <c r="B274" s="84" t="s">
        <v>49</v>
      </c>
      <c r="C274" s="87">
        <f>'[1]LUONG T7'!L38</f>
        <v>0</v>
      </c>
      <c r="D274" s="88" t="s">
        <v>58</v>
      </c>
      <c r="E274" s="259" t="s">
        <v>65</v>
      </c>
      <c r="F274" s="259"/>
      <c r="G274" s="259"/>
      <c r="H274" s="84" t="s">
        <v>49</v>
      </c>
      <c r="I274" s="260">
        <f>$F$8/$L$1*C274</f>
        <v>0</v>
      </c>
      <c r="J274" s="260"/>
      <c r="K274" s="92" t="s">
        <v>54</v>
      </c>
      <c r="L274" s="93"/>
      <c r="M274" s="86" t="s">
        <v>64</v>
      </c>
      <c r="N274" s="84" t="s">
        <v>49</v>
      </c>
      <c r="O274" s="87">
        <f>'[1]LUONG T7'!L40</f>
        <v>0</v>
      </c>
      <c r="P274" s="88" t="s">
        <v>58</v>
      </c>
      <c r="Q274" s="259" t="s">
        <v>65</v>
      </c>
      <c r="R274" s="259"/>
      <c r="S274" s="259"/>
      <c r="T274" s="84" t="s">
        <v>49</v>
      </c>
      <c r="U274" s="260">
        <f>$F$8/$L$1*O274</f>
        <v>0</v>
      </c>
      <c r="V274" s="260"/>
      <c r="W274" s="92" t="s">
        <v>54</v>
      </c>
      <c r="X274" s="93"/>
    </row>
    <row r="275" spans="1:24" ht="18.75" customHeight="1">
      <c r="A275" s="86" t="s">
        <v>66</v>
      </c>
      <c r="B275" s="84" t="s">
        <v>49</v>
      </c>
      <c r="C275" s="87">
        <f>'[1]LUONG T7'!Q38</f>
        <v>0</v>
      </c>
      <c r="D275" s="88" t="s">
        <v>67</v>
      </c>
      <c r="E275" s="249" t="s">
        <v>68</v>
      </c>
      <c r="F275" s="249"/>
      <c r="G275" s="249"/>
      <c r="H275" s="84" t="s">
        <v>49</v>
      </c>
      <c r="I275" s="260">
        <f>'[1]LUONG T7'!Q39</f>
        <v>0</v>
      </c>
      <c r="J275" s="260"/>
      <c r="K275" s="92" t="s">
        <v>54</v>
      </c>
      <c r="L275" s="93">
        <f>F268*C275/L261/8*1.5</f>
        <v>0</v>
      </c>
      <c r="M275" s="86" t="s">
        <v>66</v>
      </c>
      <c r="N275" s="84" t="s">
        <v>49</v>
      </c>
      <c r="O275" s="87">
        <f>'[1]LUONG T7'!Q40</f>
        <v>0</v>
      </c>
      <c r="P275" s="88" t="s">
        <v>67</v>
      </c>
      <c r="Q275" s="249" t="s">
        <v>68</v>
      </c>
      <c r="R275" s="249"/>
      <c r="S275" s="249"/>
      <c r="T275" s="84" t="s">
        <v>49</v>
      </c>
      <c r="U275" s="260">
        <f>'[1]LUONG T7'!Q41</f>
        <v>0</v>
      </c>
      <c r="V275" s="260"/>
      <c r="W275" s="92" t="s">
        <v>54</v>
      </c>
      <c r="X275" s="93">
        <f>R268*O275/X261/8*1.5</f>
        <v>0</v>
      </c>
    </row>
    <row r="276" spans="1:24" ht="18.75" customHeight="1">
      <c r="A276" s="248" t="s">
        <v>69</v>
      </c>
      <c r="B276" s="249"/>
      <c r="C276" s="87"/>
      <c r="D276" s="88" t="s">
        <v>58</v>
      </c>
      <c r="E276" s="249" t="s">
        <v>70</v>
      </c>
      <c r="F276" s="249"/>
      <c r="G276" s="249"/>
      <c r="H276" s="94" t="s">
        <v>49</v>
      </c>
      <c r="I276" s="260"/>
      <c r="J276" s="260"/>
      <c r="K276" s="92" t="s">
        <v>54</v>
      </c>
      <c r="L276" s="93"/>
      <c r="M276" s="248" t="s">
        <v>69</v>
      </c>
      <c r="N276" s="249"/>
      <c r="O276" s="87"/>
      <c r="P276" s="88" t="s">
        <v>58</v>
      </c>
      <c r="Q276" s="249" t="s">
        <v>70</v>
      </c>
      <c r="R276" s="249"/>
      <c r="S276" s="249"/>
      <c r="T276" s="94" t="s">
        <v>49</v>
      </c>
      <c r="U276" s="260"/>
      <c r="V276" s="260"/>
      <c r="W276" s="92" t="s">
        <v>54</v>
      </c>
      <c r="X276" s="93"/>
    </row>
    <row r="277" spans="1:24" ht="18.75" customHeight="1">
      <c r="A277" s="86" t="s">
        <v>71</v>
      </c>
      <c r="B277" s="84" t="s">
        <v>49</v>
      </c>
      <c r="C277" s="87"/>
      <c r="D277" s="88" t="s">
        <v>58</v>
      </c>
      <c r="E277" s="249" t="s">
        <v>72</v>
      </c>
      <c r="F277" s="249"/>
      <c r="G277" s="249"/>
      <c r="H277" s="84" t="s">
        <v>49</v>
      </c>
      <c r="I277" s="260"/>
      <c r="J277" s="260"/>
      <c r="K277" s="92" t="s">
        <v>54</v>
      </c>
      <c r="L277" s="93"/>
      <c r="M277" s="86" t="s">
        <v>71</v>
      </c>
      <c r="N277" s="84" t="s">
        <v>49</v>
      </c>
      <c r="O277" s="87"/>
      <c r="P277" s="88" t="s">
        <v>58</v>
      </c>
      <c r="Q277" s="249" t="s">
        <v>72</v>
      </c>
      <c r="R277" s="249"/>
      <c r="S277" s="249"/>
      <c r="T277" s="84" t="s">
        <v>49</v>
      </c>
      <c r="U277" s="260"/>
      <c r="V277" s="260"/>
      <c r="W277" s="92" t="s">
        <v>54</v>
      </c>
      <c r="X277" s="93"/>
    </row>
    <row r="278" spans="1:24" ht="18.75" customHeight="1">
      <c r="A278" s="95" t="s">
        <v>73</v>
      </c>
      <c r="B278" s="84"/>
      <c r="C278" s="87">
        <f>'[1]LUONG T7'!M38</f>
        <v>0</v>
      </c>
      <c r="D278" s="88" t="s">
        <v>67</v>
      </c>
      <c r="E278" s="249" t="s">
        <v>74</v>
      </c>
      <c r="F278" s="249"/>
      <c r="G278" s="249"/>
      <c r="H278" s="84" t="s">
        <v>49</v>
      </c>
      <c r="I278" s="260">
        <f>$F$8*C278/8/$L$1</f>
        <v>0</v>
      </c>
      <c r="J278" s="260"/>
      <c r="K278" s="92" t="s">
        <v>54</v>
      </c>
      <c r="L278" s="93"/>
      <c r="M278" s="95" t="s">
        <v>73</v>
      </c>
      <c r="N278" s="84"/>
      <c r="O278" s="87">
        <f>'[1]LUONG T7'!M40</f>
        <v>0</v>
      </c>
      <c r="P278" s="88" t="s">
        <v>67</v>
      </c>
      <c r="Q278" s="249" t="s">
        <v>74</v>
      </c>
      <c r="R278" s="249"/>
      <c r="S278" s="249"/>
      <c r="T278" s="84" t="s">
        <v>49</v>
      </c>
      <c r="U278" s="260">
        <f>$F$8*O278/8/$L$1</f>
        <v>0</v>
      </c>
      <c r="V278" s="260"/>
      <c r="W278" s="92" t="s">
        <v>54</v>
      </c>
      <c r="X278" s="93"/>
    </row>
    <row r="279" spans="1:24" ht="18.75" customHeight="1">
      <c r="A279" s="86" t="s">
        <v>75</v>
      </c>
      <c r="B279" s="84" t="s">
        <v>49</v>
      </c>
      <c r="C279" s="87"/>
      <c r="D279" s="88" t="s">
        <v>67</v>
      </c>
      <c r="E279" s="249" t="s">
        <v>97</v>
      </c>
      <c r="F279" s="249"/>
      <c r="G279" s="249"/>
      <c r="H279" s="84" t="s">
        <v>49</v>
      </c>
      <c r="I279" s="262"/>
      <c r="J279" s="262"/>
      <c r="K279" s="92" t="s">
        <v>54</v>
      </c>
      <c r="L279" s="93"/>
      <c r="M279" s="86" t="s">
        <v>75</v>
      </c>
      <c r="N279" s="84" t="s">
        <v>49</v>
      </c>
      <c r="O279" s="87"/>
      <c r="P279" s="88" t="s">
        <v>67</v>
      </c>
      <c r="Q279" s="249" t="s">
        <v>97</v>
      </c>
      <c r="R279" s="249"/>
      <c r="S279" s="249"/>
      <c r="T279" s="84" t="s">
        <v>49</v>
      </c>
      <c r="U279" s="262"/>
      <c r="V279" s="262"/>
      <c r="W279" s="92" t="s">
        <v>54</v>
      </c>
      <c r="X279" s="93"/>
    </row>
    <row r="280" spans="1:24" ht="18.75" customHeight="1">
      <c r="A280" s="86" t="s">
        <v>77</v>
      </c>
      <c r="B280" s="84" t="s">
        <v>49</v>
      </c>
      <c r="C280" s="87"/>
      <c r="D280" s="88" t="s">
        <v>78</v>
      </c>
      <c r="E280" s="96" t="s">
        <v>79</v>
      </c>
      <c r="F280" s="96"/>
      <c r="G280" s="96"/>
      <c r="H280" s="84" t="s">
        <v>49</v>
      </c>
      <c r="I280" s="260"/>
      <c r="J280" s="260"/>
      <c r="K280" s="92" t="s">
        <v>54</v>
      </c>
      <c r="L280" s="93">
        <f>+IF(L271-I271&lt;0,0,L271-I271)+IF(L275-I275&lt;0,0,L275-I275)</f>
        <v>0</v>
      </c>
      <c r="M280" s="86" t="s">
        <v>77</v>
      </c>
      <c r="N280" s="84" t="s">
        <v>49</v>
      </c>
      <c r="O280" s="87"/>
      <c r="P280" s="88" t="s">
        <v>78</v>
      </c>
      <c r="Q280" s="96" t="s">
        <v>79</v>
      </c>
      <c r="R280" s="96"/>
      <c r="S280" s="96"/>
      <c r="T280" s="84" t="s">
        <v>49</v>
      </c>
      <c r="U280" s="260"/>
      <c r="V280" s="260"/>
      <c r="W280" s="92" t="s">
        <v>54</v>
      </c>
      <c r="X280" s="93">
        <f>+IF(X271-U271&lt;0,0,X271-U271)+IF(X275-U275&lt;0,0,X275-U275)</f>
        <v>0</v>
      </c>
    </row>
    <row r="281" spans="1:24" ht="18.75" customHeight="1">
      <c r="A281" s="97" t="s">
        <v>122</v>
      </c>
      <c r="B281" s="98"/>
      <c r="C281" s="87"/>
      <c r="D281" s="88" t="s">
        <v>58</v>
      </c>
      <c r="E281" s="249" t="s">
        <v>123</v>
      </c>
      <c r="F281" s="249"/>
      <c r="G281" s="249"/>
      <c r="H281" s="84" t="s">
        <v>49</v>
      </c>
      <c r="I281" s="260"/>
      <c r="J281" s="260"/>
      <c r="K281" s="92" t="s">
        <v>54</v>
      </c>
      <c r="L281" s="93"/>
      <c r="M281" s="97" t="s">
        <v>122</v>
      </c>
      <c r="N281" s="98"/>
      <c r="O281" s="87"/>
      <c r="P281" s="88" t="s">
        <v>58</v>
      </c>
      <c r="Q281" s="249" t="s">
        <v>123</v>
      </c>
      <c r="R281" s="249"/>
      <c r="S281" s="249"/>
      <c r="T281" s="84" t="s">
        <v>49</v>
      </c>
      <c r="U281" s="260"/>
      <c r="V281" s="260"/>
      <c r="W281" s="92" t="s">
        <v>54</v>
      </c>
      <c r="X281" s="93"/>
    </row>
    <row r="282" spans="1:24" ht="18.75" customHeight="1">
      <c r="A282" s="267" t="s">
        <v>82</v>
      </c>
      <c r="B282" s="261"/>
      <c r="C282" s="87"/>
      <c r="D282" s="88"/>
      <c r="E282" s="89"/>
      <c r="F282" s="89"/>
      <c r="G282" s="89"/>
      <c r="H282" s="84" t="s">
        <v>49</v>
      </c>
      <c r="I282" s="260">
        <f>'[1]LUONG T7'!P39</f>
        <v>0</v>
      </c>
      <c r="J282" s="260"/>
      <c r="K282" s="92" t="s">
        <v>54</v>
      </c>
      <c r="L282" s="93"/>
      <c r="M282" s="267" t="s">
        <v>82</v>
      </c>
      <c r="N282" s="261"/>
      <c r="O282" s="87"/>
      <c r="P282" s="88"/>
      <c r="Q282" s="89"/>
      <c r="R282" s="89"/>
      <c r="S282" s="89"/>
      <c r="T282" s="84" t="s">
        <v>49</v>
      </c>
      <c r="U282" s="260">
        <f>'[1]LUONG T7'!P41</f>
        <v>0</v>
      </c>
      <c r="V282" s="260"/>
      <c r="W282" s="92" t="s">
        <v>54</v>
      </c>
      <c r="X282" s="93"/>
    </row>
    <row r="283" spans="1:24" ht="18.75" customHeight="1">
      <c r="A283" s="86" t="s">
        <v>83</v>
      </c>
      <c r="B283" s="84" t="s">
        <v>49</v>
      </c>
      <c r="C283" s="87"/>
      <c r="D283" s="88"/>
      <c r="E283" s="89" t="s">
        <v>84</v>
      </c>
      <c r="F283" s="89"/>
      <c r="G283" s="89"/>
      <c r="H283" s="84" t="s">
        <v>49</v>
      </c>
      <c r="I283" s="260">
        <f>L280</f>
        <v>0</v>
      </c>
      <c r="J283" s="260"/>
      <c r="K283" s="92" t="s">
        <v>54</v>
      </c>
      <c r="L283" s="93"/>
      <c r="M283" s="86" t="s">
        <v>83</v>
      </c>
      <c r="N283" s="84" t="s">
        <v>49</v>
      </c>
      <c r="O283" s="87"/>
      <c r="P283" s="88"/>
      <c r="Q283" s="89" t="s">
        <v>84</v>
      </c>
      <c r="R283" s="89"/>
      <c r="S283" s="89"/>
      <c r="T283" s="84" t="s">
        <v>49</v>
      </c>
      <c r="U283" s="260">
        <f>X280</f>
        <v>0</v>
      </c>
      <c r="V283" s="260"/>
      <c r="W283" s="92" t="s">
        <v>54</v>
      </c>
      <c r="X283" s="93"/>
    </row>
    <row r="284" spans="1:24" ht="18.75" customHeight="1">
      <c r="A284" s="264" t="s">
        <v>85</v>
      </c>
      <c r="B284" s="265"/>
      <c r="C284" s="265"/>
      <c r="D284" s="265"/>
      <c r="E284" s="265"/>
      <c r="F284" s="265"/>
      <c r="G284" s="84" t="s">
        <v>49</v>
      </c>
      <c r="H284" s="266">
        <f>I271+I272+I273+I274+I275+I278+I282+I283</f>
        <v>0</v>
      </c>
      <c r="I284" s="266"/>
      <c r="J284" s="266"/>
      <c r="K284" s="92" t="s">
        <v>54</v>
      </c>
      <c r="M284" s="264" t="s">
        <v>85</v>
      </c>
      <c r="N284" s="265"/>
      <c r="O284" s="265"/>
      <c r="P284" s="265"/>
      <c r="Q284" s="265"/>
      <c r="R284" s="265"/>
      <c r="S284" s="84" t="s">
        <v>49</v>
      </c>
      <c r="T284" s="266">
        <f>U271+U272+U273+U274+U275+U278+U282+U283</f>
        <v>0</v>
      </c>
      <c r="U284" s="266"/>
      <c r="V284" s="266"/>
      <c r="W284" s="92" t="s">
        <v>54</v>
      </c>
    </row>
    <row r="285" spans="1:24" ht="18.75" customHeight="1">
      <c r="A285" s="99"/>
      <c r="B285" s="100"/>
      <c r="C285" s="100"/>
      <c r="D285" s="100"/>
      <c r="E285" s="100"/>
      <c r="F285" s="100"/>
      <c r="G285" s="100"/>
      <c r="H285" s="100"/>
      <c r="I285" s="100"/>
      <c r="J285" s="100"/>
      <c r="K285" s="101"/>
      <c r="M285" s="99"/>
      <c r="N285" s="100"/>
      <c r="O285" s="100"/>
      <c r="P285" s="100"/>
      <c r="Q285" s="100"/>
      <c r="R285" s="100"/>
      <c r="S285" s="100"/>
      <c r="T285" s="100"/>
      <c r="U285" s="100"/>
      <c r="V285" s="100"/>
      <c r="W285" s="101"/>
    </row>
    <row r="286" spans="1:24" ht="18.75" customHeight="1">
      <c r="A286" s="274" t="s">
        <v>86</v>
      </c>
      <c r="B286" s="275"/>
      <c r="C286" s="275"/>
      <c r="D286" s="275"/>
      <c r="E286" s="275"/>
      <c r="F286" s="275"/>
      <c r="G286" s="84"/>
      <c r="H286" s="84"/>
      <c r="I286" s="84"/>
      <c r="J286" s="84"/>
      <c r="K286" s="92"/>
      <c r="M286" s="274" t="s">
        <v>86</v>
      </c>
      <c r="N286" s="275"/>
      <c r="O286" s="275"/>
      <c r="P286" s="275"/>
      <c r="Q286" s="275"/>
      <c r="R286" s="275"/>
      <c r="S286" s="84"/>
      <c r="T286" s="84"/>
      <c r="U286" s="84"/>
      <c r="V286" s="84"/>
      <c r="W286" s="92"/>
    </row>
    <row r="287" spans="1:24" ht="18.75" customHeight="1">
      <c r="A287" s="268" t="s">
        <v>87</v>
      </c>
      <c r="B287" s="269"/>
      <c r="C287" s="269"/>
      <c r="D287" s="269"/>
      <c r="E287" s="269"/>
      <c r="F287" s="269"/>
      <c r="G287" s="84" t="s">
        <v>49</v>
      </c>
      <c r="H287" s="276">
        <f>IF(($L$1-(C271+C272+C273+C274))&gt;12,0,F268*8%)</f>
        <v>0</v>
      </c>
      <c r="I287" s="276"/>
      <c r="J287" s="276"/>
      <c r="K287" s="92" t="s">
        <v>54</v>
      </c>
      <c r="M287" s="268" t="s">
        <v>87</v>
      </c>
      <c r="N287" s="269"/>
      <c r="O287" s="269"/>
      <c r="P287" s="269"/>
      <c r="Q287" s="269"/>
      <c r="R287" s="269"/>
      <c r="S287" s="84" t="s">
        <v>49</v>
      </c>
      <c r="T287" s="276">
        <f>IF(($L$1-(O271+O272+O273+O274))&gt;12,0,R268*8%)</f>
        <v>0</v>
      </c>
      <c r="U287" s="276"/>
      <c r="V287" s="276"/>
      <c r="W287" s="92" t="s">
        <v>54</v>
      </c>
    </row>
    <row r="288" spans="1:24" ht="18.75" customHeight="1">
      <c r="A288" s="268" t="s">
        <v>88</v>
      </c>
      <c r="B288" s="269"/>
      <c r="C288" s="269"/>
      <c r="D288" s="269"/>
      <c r="E288" s="269"/>
      <c r="F288" s="269"/>
      <c r="G288" s="84" t="s">
        <v>49</v>
      </c>
      <c r="H288" s="270">
        <f>IF(($L$1-(C271+C272+C273+C274))&gt;12,0,F268*1.5%)</f>
        <v>0</v>
      </c>
      <c r="I288" s="270"/>
      <c r="J288" s="270"/>
      <c r="K288" s="92" t="s">
        <v>54</v>
      </c>
      <c r="M288" s="268" t="s">
        <v>88</v>
      </c>
      <c r="N288" s="269"/>
      <c r="O288" s="269"/>
      <c r="P288" s="269"/>
      <c r="Q288" s="269"/>
      <c r="R288" s="269"/>
      <c r="S288" s="84" t="s">
        <v>49</v>
      </c>
      <c r="T288" s="270">
        <f>IF(($L$1-(O271+O272+O273+O274))&gt;12,0,R268*1.5%)</f>
        <v>0</v>
      </c>
      <c r="U288" s="270"/>
      <c r="V288" s="270"/>
      <c r="W288" s="92" t="s">
        <v>54</v>
      </c>
    </row>
    <row r="289" spans="1:24" ht="18.75" customHeight="1">
      <c r="A289" s="268" t="s">
        <v>89</v>
      </c>
      <c r="B289" s="269"/>
      <c r="C289" s="269"/>
      <c r="D289" s="269"/>
      <c r="E289" s="269"/>
      <c r="F289" s="269"/>
      <c r="G289" s="84" t="s">
        <v>49</v>
      </c>
      <c r="H289" s="270">
        <f>IF(($L$1-(C271+C272+C273+C274))&gt;12,0,F268*1%)</f>
        <v>0</v>
      </c>
      <c r="I289" s="270"/>
      <c r="J289" s="270"/>
      <c r="K289" s="92" t="s">
        <v>54</v>
      </c>
      <c r="M289" s="268" t="s">
        <v>89</v>
      </c>
      <c r="N289" s="269"/>
      <c r="O289" s="269"/>
      <c r="P289" s="269"/>
      <c r="Q289" s="269"/>
      <c r="R289" s="269"/>
      <c r="S289" s="84" t="s">
        <v>49</v>
      </c>
      <c r="T289" s="270">
        <f>IF(($L$1-(O271+O272+O273+O274))&gt;12,0,R268*1%)</f>
        <v>0</v>
      </c>
      <c r="U289" s="270"/>
      <c r="V289" s="270"/>
      <c r="W289" s="92" t="s">
        <v>54</v>
      </c>
    </row>
    <row r="290" spans="1:24" ht="18.75" customHeight="1">
      <c r="A290" s="268" t="s">
        <v>90</v>
      </c>
      <c r="B290" s="269"/>
      <c r="C290" s="269"/>
      <c r="D290" s="269"/>
      <c r="E290" s="269"/>
      <c r="F290" s="269"/>
      <c r="G290" s="84" t="s">
        <v>49</v>
      </c>
      <c r="H290" s="270">
        <v>0</v>
      </c>
      <c r="I290" s="270"/>
      <c r="J290" s="270"/>
      <c r="K290" s="92" t="s">
        <v>54</v>
      </c>
      <c r="M290" s="268" t="s">
        <v>90</v>
      </c>
      <c r="N290" s="269"/>
      <c r="O290" s="269"/>
      <c r="P290" s="269"/>
      <c r="Q290" s="269"/>
      <c r="R290" s="269"/>
      <c r="S290" s="84" t="s">
        <v>49</v>
      </c>
      <c r="T290" s="270">
        <v>0</v>
      </c>
      <c r="U290" s="270"/>
      <c r="V290" s="270"/>
      <c r="W290" s="92" t="s">
        <v>54</v>
      </c>
    </row>
    <row r="291" spans="1:24" ht="18.75" customHeight="1">
      <c r="A291" s="271" t="s">
        <v>91</v>
      </c>
      <c r="B291" s="272"/>
      <c r="C291" s="272"/>
      <c r="D291" s="272"/>
      <c r="E291" s="272"/>
      <c r="F291" s="272"/>
      <c r="G291" s="84" t="s">
        <v>49</v>
      </c>
      <c r="H291" s="273">
        <f>SUM(H287:J290)</f>
        <v>0</v>
      </c>
      <c r="I291" s="273"/>
      <c r="J291" s="273"/>
      <c r="K291" s="92" t="s">
        <v>54</v>
      </c>
      <c r="M291" s="271" t="s">
        <v>91</v>
      </c>
      <c r="N291" s="272"/>
      <c r="O291" s="272"/>
      <c r="P291" s="272"/>
      <c r="Q291" s="272"/>
      <c r="R291" s="272"/>
      <c r="S291" s="84" t="s">
        <v>49</v>
      </c>
      <c r="T291" s="273">
        <f>SUM(T287:V290)</f>
        <v>0</v>
      </c>
      <c r="U291" s="273"/>
      <c r="V291" s="273"/>
      <c r="W291" s="92" t="s">
        <v>54</v>
      </c>
    </row>
    <row r="292" spans="1:24" ht="18.75" customHeight="1">
      <c r="A292" s="268" t="s">
        <v>92</v>
      </c>
      <c r="B292" s="269"/>
      <c r="C292" s="269"/>
      <c r="D292" s="269"/>
      <c r="E292" s="269"/>
      <c r="F292" s="269"/>
      <c r="G292" s="84" t="s">
        <v>49</v>
      </c>
      <c r="H292" s="280">
        <f>ROUND(H284-H291,-2)</f>
        <v>0</v>
      </c>
      <c r="I292" s="280"/>
      <c r="J292" s="280"/>
      <c r="K292" s="92" t="s">
        <v>54</v>
      </c>
      <c r="M292" s="268" t="s">
        <v>92</v>
      </c>
      <c r="N292" s="269"/>
      <c r="O292" s="269"/>
      <c r="P292" s="269"/>
      <c r="Q292" s="269"/>
      <c r="R292" s="269"/>
      <c r="S292" s="84" t="s">
        <v>49</v>
      </c>
      <c r="T292" s="280">
        <f>ROUND(T284-T291,-2)</f>
        <v>0</v>
      </c>
      <c r="U292" s="280"/>
      <c r="V292" s="280"/>
      <c r="W292" s="92" t="s">
        <v>54</v>
      </c>
    </row>
    <row r="293" spans="1:24" ht="18.75" customHeight="1">
      <c r="A293" s="102"/>
      <c r="B293" s="103"/>
      <c r="C293" s="103"/>
      <c r="D293" s="103"/>
      <c r="E293" s="103"/>
      <c r="F293" s="103"/>
      <c r="G293" s="103"/>
      <c r="H293" s="103"/>
      <c r="I293" s="103"/>
      <c r="J293" s="103"/>
      <c r="K293" s="104"/>
      <c r="M293" s="102"/>
      <c r="N293" s="103"/>
      <c r="O293" s="103"/>
      <c r="P293" s="103"/>
      <c r="Q293" s="103"/>
      <c r="R293" s="103"/>
      <c r="S293" s="103"/>
      <c r="T293" s="103"/>
      <c r="U293" s="103"/>
      <c r="V293" s="103"/>
      <c r="W293" s="104"/>
    </row>
    <row r="294" spans="1:24" ht="18.75" customHeight="1">
      <c r="A294" s="105"/>
      <c r="B294" s="84"/>
      <c r="C294" s="84"/>
      <c r="D294" s="84"/>
      <c r="E294" s="84"/>
      <c r="F294" s="84"/>
      <c r="G294" s="84"/>
      <c r="H294" s="84"/>
      <c r="I294" s="277" t="s">
        <v>93</v>
      </c>
      <c r="J294" s="277"/>
      <c r="K294" s="281"/>
      <c r="M294" s="105"/>
      <c r="N294" s="84"/>
      <c r="O294" s="84"/>
      <c r="P294" s="84"/>
      <c r="Q294" s="84"/>
      <c r="R294" s="84"/>
      <c r="S294" s="84"/>
      <c r="T294" s="84"/>
      <c r="U294" s="277" t="s">
        <v>93</v>
      </c>
      <c r="V294" s="277"/>
      <c r="W294" s="281"/>
    </row>
    <row r="295" spans="1:24" ht="18.75" customHeight="1">
      <c r="A295" s="105"/>
      <c r="B295" s="277"/>
      <c r="C295" s="277"/>
      <c r="D295" s="277"/>
      <c r="E295" s="277"/>
      <c r="F295" s="84"/>
      <c r="G295" s="84"/>
      <c r="H295" s="84"/>
      <c r="I295" s="84"/>
      <c r="J295" s="84"/>
      <c r="K295" s="85"/>
      <c r="M295" s="105"/>
      <c r="N295" s="277"/>
      <c r="O295" s="277"/>
      <c r="P295" s="277"/>
      <c r="Q295" s="277"/>
      <c r="R295" s="84"/>
      <c r="S295" s="84"/>
      <c r="T295" s="84"/>
      <c r="U295" s="84"/>
      <c r="V295" s="84"/>
      <c r="W295" s="85"/>
    </row>
    <row r="296" spans="1:24" ht="18.75" customHeight="1" thickBot="1">
      <c r="A296" s="106"/>
      <c r="B296" s="107"/>
      <c r="C296" s="107"/>
      <c r="D296" s="107"/>
      <c r="E296" s="107"/>
      <c r="F296" s="107"/>
      <c r="G296" s="107"/>
      <c r="H296" s="107"/>
      <c r="I296" s="278" t="s">
        <v>94</v>
      </c>
      <c r="J296" s="278"/>
      <c r="K296" s="279"/>
      <c r="M296" s="106"/>
      <c r="N296" s="107"/>
      <c r="O296" s="107"/>
      <c r="P296" s="107"/>
      <c r="Q296" s="107"/>
      <c r="R296" s="107"/>
      <c r="S296" s="107"/>
      <c r="T296" s="107"/>
      <c r="U296" s="278" t="s">
        <v>94</v>
      </c>
      <c r="V296" s="278"/>
      <c r="W296" s="279"/>
    </row>
    <row r="298" spans="1:24" ht="18.75" customHeight="1" thickTop="1">
      <c r="A298" s="253" t="s">
        <v>43</v>
      </c>
      <c r="B298" s="254"/>
      <c r="C298" s="254"/>
      <c r="D298" s="254"/>
      <c r="E298" s="254"/>
      <c r="F298" s="254"/>
      <c r="G298" s="254"/>
      <c r="H298" s="254"/>
      <c r="I298" s="254"/>
      <c r="J298" s="254"/>
      <c r="K298" s="255"/>
      <c r="L298" s="80">
        <v>25</v>
      </c>
      <c r="M298" s="253" t="s">
        <v>43</v>
      </c>
      <c r="N298" s="254"/>
      <c r="O298" s="254"/>
      <c r="P298" s="254"/>
      <c r="Q298" s="254"/>
      <c r="R298" s="254"/>
      <c r="S298" s="254"/>
      <c r="T298" s="254"/>
      <c r="U298" s="254"/>
      <c r="V298" s="254"/>
      <c r="W298" s="255"/>
      <c r="X298" s="80">
        <v>25</v>
      </c>
    </row>
    <row r="299" spans="1:24" ht="18.75" customHeight="1">
      <c r="A299" s="81" t="s">
        <v>124</v>
      </c>
      <c r="B299" s="82"/>
      <c r="C299" s="82"/>
      <c r="D299" s="82"/>
      <c r="E299" s="82"/>
      <c r="F299" s="82"/>
      <c r="G299" s="82"/>
      <c r="H299" s="82"/>
      <c r="I299" s="82"/>
      <c r="J299" s="82"/>
      <c r="K299" s="83"/>
      <c r="M299" s="81" t="s">
        <v>125</v>
      </c>
      <c r="N299" s="82"/>
      <c r="O299" s="82"/>
      <c r="P299" s="82"/>
      <c r="Q299" s="82"/>
      <c r="R299" s="82"/>
      <c r="S299" s="82"/>
      <c r="T299" s="82"/>
      <c r="U299" s="82"/>
      <c r="V299" s="82"/>
      <c r="W299" s="83"/>
    </row>
    <row r="300" spans="1:24" ht="18.75" customHeight="1">
      <c r="A300" s="256" t="s">
        <v>47</v>
      </c>
      <c r="B300" s="257"/>
      <c r="C300" s="257"/>
      <c r="D300" s="257"/>
      <c r="E300" s="257"/>
      <c r="F300" s="257"/>
      <c r="G300" s="257"/>
      <c r="H300" s="257"/>
      <c r="I300" s="257"/>
      <c r="J300" s="257"/>
      <c r="K300" s="258"/>
      <c r="M300" s="256" t="s">
        <v>47</v>
      </c>
      <c r="N300" s="257"/>
      <c r="O300" s="257"/>
      <c r="P300" s="257"/>
      <c r="Q300" s="257"/>
      <c r="R300" s="257"/>
      <c r="S300" s="257"/>
      <c r="T300" s="257"/>
      <c r="U300" s="257"/>
      <c r="V300" s="257"/>
      <c r="W300" s="258"/>
    </row>
    <row r="301" spans="1:24" ht="18.75" customHeight="1">
      <c r="A301" s="248" t="s">
        <v>48</v>
      </c>
      <c r="B301" s="249"/>
      <c r="C301" s="249"/>
      <c r="D301" s="249"/>
      <c r="E301" s="84" t="s">
        <v>49</v>
      </c>
      <c r="F301" s="250">
        <f>'[1]Bang TH nop'!B30</f>
        <v>0</v>
      </c>
      <c r="G301" s="249"/>
      <c r="H301" s="249"/>
      <c r="I301" s="249"/>
      <c r="J301" s="249"/>
      <c r="K301" s="252"/>
      <c r="M301" s="248" t="s">
        <v>48</v>
      </c>
      <c r="N301" s="249"/>
      <c r="O301" s="249"/>
      <c r="P301" s="249"/>
      <c r="Q301" s="84" t="s">
        <v>49</v>
      </c>
      <c r="R301" s="250">
        <f>'[1]Bang TH nop'!B32</f>
        <v>0</v>
      </c>
      <c r="S301" s="249"/>
      <c r="T301" s="249"/>
      <c r="U301" s="249"/>
      <c r="V301" s="249"/>
      <c r="W301" s="252"/>
    </row>
    <row r="302" spans="1:24" ht="18.75" customHeight="1">
      <c r="A302" s="248" t="s">
        <v>50</v>
      </c>
      <c r="B302" s="249"/>
      <c r="C302" s="249"/>
      <c r="D302" s="249"/>
      <c r="E302" s="84" t="s">
        <v>49</v>
      </c>
      <c r="F302" s="250">
        <f>'[1]Bang TH nop'!C30</f>
        <v>0</v>
      </c>
      <c r="G302" s="250"/>
      <c r="H302" s="250"/>
      <c r="I302" s="250"/>
      <c r="J302" s="250"/>
      <c r="K302" s="251"/>
      <c r="M302" s="248" t="s">
        <v>50</v>
      </c>
      <c r="N302" s="249"/>
      <c r="O302" s="249"/>
      <c r="P302" s="249"/>
      <c r="Q302" s="84" t="s">
        <v>49</v>
      </c>
      <c r="R302" s="250">
        <f>'[1]Bang TH nop'!C32</f>
        <v>0</v>
      </c>
      <c r="S302" s="250"/>
      <c r="T302" s="250"/>
      <c r="U302" s="250"/>
      <c r="V302" s="250"/>
      <c r="W302" s="251"/>
    </row>
    <row r="303" spans="1:24" ht="18.75" customHeight="1">
      <c r="A303" s="248" t="s">
        <v>51</v>
      </c>
      <c r="B303" s="249"/>
      <c r="C303" s="249"/>
      <c r="D303" s="249"/>
      <c r="E303" s="84" t="s">
        <v>49</v>
      </c>
      <c r="F303" s="249" t="s">
        <v>121</v>
      </c>
      <c r="G303" s="249"/>
      <c r="H303" s="249"/>
      <c r="I303" s="249"/>
      <c r="J303" s="249"/>
      <c r="K303" s="252"/>
      <c r="M303" s="248" t="s">
        <v>51</v>
      </c>
      <c r="N303" s="249"/>
      <c r="O303" s="249"/>
      <c r="P303" s="249"/>
      <c r="Q303" s="84" t="s">
        <v>49</v>
      </c>
      <c r="R303" s="249" t="s">
        <v>121</v>
      </c>
      <c r="S303" s="249"/>
      <c r="T303" s="249"/>
      <c r="U303" s="249"/>
      <c r="V303" s="249"/>
      <c r="W303" s="252"/>
    </row>
    <row r="304" spans="1:24" ht="18.75" customHeight="1">
      <c r="A304" s="256" t="s">
        <v>52</v>
      </c>
      <c r="B304" s="257"/>
      <c r="C304" s="257"/>
      <c r="D304" s="257"/>
      <c r="E304" s="257"/>
      <c r="F304" s="257"/>
      <c r="G304" s="257"/>
      <c r="H304" s="257"/>
      <c r="I304" s="257"/>
      <c r="J304" s="257"/>
      <c r="K304" s="258"/>
      <c r="M304" s="256" t="s">
        <v>52</v>
      </c>
      <c r="N304" s="257"/>
      <c r="O304" s="257"/>
      <c r="P304" s="257"/>
      <c r="Q304" s="257"/>
      <c r="R304" s="257"/>
      <c r="S304" s="257"/>
      <c r="T304" s="257"/>
      <c r="U304" s="257"/>
      <c r="V304" s="257"/>
      <c r="W304" s="258"/>
    </row>
    <row r="305" spans="1:24" ht="18.75" customHeight="1">
      <c r="A305" s="248" t="s">
        <v>53</v>
      </c>
      <c r="B305" s="249"/>
      <c r="C305" s="249"/>
      <c r="D305" s="249"/>
      <c r="E305" s="84" t="s">
        <v>49</v>
      </c>
      <c r="F305" s="263">
        <v>2915400</v>
      </c>
      <c r="G305" s="263"/>
      <c r="H305" s="263"/>
      <c r="I305" s="263"/>
      <c r="J305" s="84" t="s">
        <v>54</v>
      </c>
      <c r="K305" s="85"/>
      <c r="M305" s="248" t="s">
        <v>53</v>
      </c>
      <c r="N305" s="249"/>
      <c r="O305" s="249"/>
      <c r="P305" s="249"/>
      <c r="Q305" s="84" t="s">
        <v>49</v>
      </c>
      <c r="R305" s="263">
        <v>2915400</v>
      </c>
      <c r="S305" s="263"/>
      <c r="T305" s="263"/>
      <c r="U305" s="263"/>
      <c r="V305" s="84" t="s">
        <v>54</v>
      </c>
      <c r="W305" s="85"/>
    </row>
    <row r="306" spans="1:24" ht="18.75" customHeight="1">
      <c r="A306" s="86" t="s">
        <v>55</v>
      </c>
      <c r="B306" s="84"/>
      <c r="C306" s="87"/>
      <c r="D306" s="88"/>
      <c r="E306" s="89"/>
      <c r="F306" s="89"/>
      <c r="G306" s="89"/>
      <c r="H306" s="84"/>
      <c r="I306" s="90">
        <f>'[1]LUONG T7'!F43</f>
        <v>0</v>
      </c>
      <c r="J306" s="91"/>
      <c r="K306" s="92"/>
      <c r="M306" s="86" t="s">
        <v>55</v>
      </c>
      <c r="N306" s="84"/>
      <c r="O306" s="87"/>
      <c r="P306" s="88"/>
      <c r="Q306" s="89"/>
      <c r="R306" s="89"/>
      <c r="S306" s="89"/>
      <c r="T306" s="84"/>
      <c r="U306" s="90">
        <f>'[1]LUONG T7'!F45</f>
        <v>0</v>
      </c>
      <c r="V306" s="91"/>
      <c r="W306" s="92"/>
    </row>
    <row r="307" spans="1:24" ht="18.75" customHeight="1">
      <c r="A307" s="86" t="s">
        <v>56</v>
      </c>
      <c r="B307" s="84"/>
      <c r="C307" s="87"/>
      <c r="D307" s="88"/>
      <c r="E307" s="89"/>
      <c r="F307" s="89"/>
      <c r="G307" s="89"/>
      <c r="H307" s="84"/>
      <c r="I307" s="90" t="e">
        <f>I308/C308/8</f>
        <v>#DIV/0!</v>
      </c>
      <c r="J307" s="91"/>
      <c r="K307" s="92"/>
      <c r="M307" s="86" t="s">
        <v>56</v>
      </c>
      <c r="N307" s="84"/>
      <c r="O307" s="87"/>
      <c r="P307" s="88"/>
      <c r="Q307" s="89"/>
      <c r="R307" s="89"/>
      <c r="S307" s="89"/>
      <c r="T307" s="84"/>
      <c r="U307" s="90" t="e">
        <f>U308/O308/8</f>
        <v>#DIV/0!</v>
      </c>
      <c r="V307" s="91"/>
      <c r="W307" s="92"/>
    </row>
    <row r="308" spans="1:24" ht="18.75" customHeight="1">
      <c r="A308" s="86" t="s">
        <v>57</v>
      </c>
      <c r="B308" s="84" t="s">
        <v>49</v>
      </c>
      <c r="C308" s="87">
        <f>'[1]LUONG T7'!I42</f>
        <v>0</v>
      </c>
      <c r="D308" s="88" t="s">
        <v>58</v>
      </c>
      <c r="E308" s="261" t="s">
        <v>59</v>
      </c>
      <c r="F308" s="261"/>
      <c r="G308" s="261"/>
      <c r="H308" s="84" t="s">
        <v>49</v>
      </c>
      <c r="I308" s="262">
        <f>'[1]LUONG T7'!I43</f>
        <v>0</v>
      </c>
      <c r="J308" s="262"/>
      <c r="K308" s="92" t="s">
        <v>54</v>
      </c>
      <c r="L308" s="93">
        <f>F305/L298*C308</f>
        <v>0</v>
      </c>
      <c r="M308" s="86" t="s">
        <v>57</v>
      </c>
      <c r="N308" s="84" t="s">
        <v>49</v>
      </c>
      <c r="O308" s="87">
        <f>'[1]LUONG T7'!I44</f>
        <v>0</v>
      </c>
      <c r="P308" s="88" t="s">
        <v>58</v>
      </c>
      <c r="Q308" s="261" t="s">
        <v>59</v>
      </c>
      <c r="R308" s="261"/>
      <c r="S308" s="261"/>
      <c r="T308" s="84" t="s">
        <v>49</v>
      </c>
      <c r="U308" s="262">
        <f>'[1]LUONG T7'!I45</f>
        <v>0</v>
      </c>
      <c r="V308" s="262"/>
      <c r="W308" s="92" t="s">
        <v>54</v>
      </c>
      <c r="X308" s="93">
        <f>R305/X298*O308</f>
        <v>0</v>
      </c>
    </row>
    <row r="309" spans="1:24" ht="18.75" customHeight="1">
      <c r="A309" s="86" t="s">
        <v>60</v>
      </c>
      <c r="B309" s="84" t="s">
        <v>49</v>
      </c>
      <c r="C309" s="87">
        <f>'[1]LUONG T7'!J42</f>
        <v>0</v>
      </c>
      <c r="D309" s="88" t="s">
        <v>58</v>
      </c>
      <c r="E309" s="249" t="s">
        <v>61</v>
      </c>
      <c r="F309" s="249"/>
      <c r="G309" s="249"/>
      <c r="H309" s="84" t="s">
        <v>49</v>
      </c>
      <c r="I309" s="260">
        <f>$F$8/$L$1*C309</f>
        <v>0</v>
      </c>
      <c r="J309" s="260"/>
      <c r="K309" s="92" t="s">
        <v>54</v>
      </c>
      <c r="L309" s="93"/>
      <c r="M309" s="86" t="s">
        <v>60</v>
      </c>
      <c r="N309" s="84" t="s">
        <v>49</v>
      </c>
      <c r="O309" s="87">
        <f>'[1]LUONG T7'!J44</f>
        <v>0</v>
      </c>
      <c r="P309" s="88" t="s">
        <v>58</v>
      </c>
      <c r="Q309" s="249" t="s">
        <v>61</v>
      </c>
      <c r="R309" s="249"/>
      <c r="S309" s="249"/>
      <c r="T309" s="84" t="s">
        <v>49</v>
      </c>
      <c r="U309" s="260">
        <f>$F$8/$L$1*O309</f>
        <v>0</v>
      </c>
      <c r="V309" s="260"/>
      <c r="W309" s="92" t="s">
        <v>54</v>
      </c>
      <c r="X309" s="93"/>
    </row>
    <row r="310" spans="1:24" ht="18.75" customHeight="1">
      <c r="A310" s="86" t="s">
        <v>62</v>
      </c>
      <c r="B310" s="84" t="s">
        <v>49</v>
      </c>
      <c r="C310" s="87">
        <f>'[1]LUONG T7'!K42</f>
        <v>0</v>
      </c>
      <c r="D310" s="88" t="s">
        <v>58</v>
      </c>
      <c r="E310" s="259" t="s">
        <v>63</v>
      </c>
      <c r="F310" s="259"/>
      <c r="G310" s="259"/>
      <c r="H310" s="84" t="s">
        <v>49</v>
      </c>
      <c r="I310" s="260">
        <f>$F$8/$L$1*C310</f>
        <v>0</v>
      </c>
      <c r="J310" s="260"/>
      <c r="K310" s="92" t="s">
        <v>54</v>
      </c>
      <c r="L310" s="93"/>
      <c r="M310" s="86" t="s">
        <v>62</v>
      </c>
      <c r="N310" s="84" t="s">
        <v>49</v>
      </c>
      <c r="O310" s="87">
        <f>'[1]LUONG T7'!K44</f>
        <v>0</v>
      </c>
      <c r="P310" s="88" t="s">
        <v>58</v>
      </c>
      <c r="Q310" s="259" t="s">
        <v>63</v>
      </c>
      <c r="R310" s="259"/>
      <c r="S310" s="259"/>
      <c r="T310" s="84" t="s">
        <v>49</v>
      </c>
      <c r="U310" s="260">
        <f>$F$8/$L$1*O310</f>
        <v>0</v>
      </c>
      <c r="V310" s="260"/>
      <c r="W310" s="92" t="s">
        <v>54</v>
      </c>
      <c r="X310" s="93"/>
    </row>
    <row r="311" spans="1:24" ht="18.75" customHeight="1">
      <c r="A311" s="86" t="s">
        <v>64</v>
      </c>
      <c r="B311" s="84" t="s">
        <v>49</v>
      </c>
      <c r="C311" s="87">
        <f>'[1]LUONG T7'!L42</f>
        <v>0</v>
      </c>
      <c r="D311" s="88" t="s">
        <v>58</v>
      </c>
      <c r="E311" s="259" t="s">
        <v>65</v>
      </c>
      <c r="F311" s="259"/>
      <c r="G311" s="259"/>
      <c r="H311" s="84" t="s">
        <v>49</v>
      </c>
      <c r="I311" s="260">
        <f>$F$8/$L$1*C311</f>
        <v>0</v>
      </c>
      <c r="J311" s="260"/>
      <c r="K311" s="92" t="s">
        <v>54</v>
      </c>
      <c r="L311" s="93"/>
      <c r="M311" s="86" t="s">
        <v>64</v>
      </c>
      <c r="N311" s="84" t="s">
        <v>49</v>
      </c>
      <c r="O311" s="87">
        <f>'[1]LUONG T7'!L44</f>
        <v>0</v>
      </c>
      <c r="P311" s="88" t="s">
        <v>58</v>
      </c>
      <c r="Q311" s="259" t="s">
        <v>65</v>
      </c>
      <c r="R311" s="259"/>
      <c r="S311" s="259"/>
      <c r="T311" s="84" t="s">
        <v>49</v>
      </c>
      <c r="U311" s="260">
        <f>$F$8/$L$1*O311</f>
        <v>0</v>
      </c>
      <c r="V311" s="260"/>
      <c r="W311" s="92" t="s">
        <v>54</v>
      </c>
      <c r="X311" s="93"/>
    </row>
    <row r="312" spans="1:24" ht="18.75" customHeight="1">
      <c r="A312" s="86" t="s">
        <v>66</v>
      </c>
      <c r="B312" s="84" t="s">
        <v>49</v>
      </c>
      <c r="C312" s="87">
        <f>'[1]LUONG T7'!Q42</f>
        <v>0</v>
      </c>
      <c r="D312" s="88" t="s">
        <v>67</v>
      </c>
      <c r="E312" s="249" t="s">
        <v>68</v>
      </c>
      <c r="F312" s="249"/>
      <c r="G312" s="249"/>
      <c r="H312" s="84" t="s">
        <v>49</v>
      </c>
      <c r="I312" s="260">
        <f>'[1]LUONG T7'!Q43</f>
        <v>0</v>
      </c>
      <c r="J312" s="260"/>
      <c r="K312" s="92" t="s">
        <v>54</v>
      </c>
      <c r="L312" s="93">
        <f>F305*C312/L298/8*1.5</f>
        <v>0</v>
      </c>
      <c r="M312" s="86" t="s">
        <v>66</v>
      </c>
      <c r="N312" s="84" t="s">
        <v>49</v>
      </c>
      <c r="O312" s="87">
        <f>'[1]LUONG T7'!Q44</f>
        <v>0</v>
      </c>
      <c r="P312" s="88" t="s">
        <v>67</v>
      </c>
      <c r="Q312" s="249" t="s">
        <v>68</v>
      </c>
      <c r="R312" s="249"/>
      <c r="S312" s="249"/>
      <c r="T312" s="84" t="s">
        <v>49</v>
      </c>
      <c r="U312" s="260">
        <f>'[1]LUONG T7'!Q45</f>
        <v>0</v>
      </c>
      <c r="V312" s="260"/>
      <c r="W312" s="92" t="s">
        <v>54</v>
      </c>
      <c r="X312" s="93">
        <f>R305*O312/X298/8*1.5</f>
        <v>0</v>
      </c>
    </row>
    <row r="313" spans="1:24" ht="18.75" customHeight="1">
      <c r="A313" s="248" t="s">
        <v>69</v>
      </c>
      <c r="B313" s="249"/>
      <c r="C313" s="87"/>
      <c r="D313" s="88" t="s">
        <v>58</v>
      </c>
      <c r="E313" s="249" t="s">
        <v>70</v>
      </c>
      <c r="F313" s="249"/>
      <c r="G313" s="249"/>
      <c r="H313" s="94" t="s">
        <v>49</v>
      </c>
      <c r="I313" s="260"/>
      <c r="J313" s="260"/>
      <c r="K313" s="92" t="s">
        <v>54</v>
      </c>
      <c r="L313" s="93"/>
      <c r="M313" s="248" t="s">
        <v>69</v>
      </c>
      <c r="N313" s="249"/>
      <c r="O313" s="87"/>
      <c r="P313" s="88" t="s">
        <v>58</v>
      </c>
      <c r="Q313" s="249" t="s">
        <v>70</v>
      </c>
      <c r="R313" s="249"/>
      <c r="S313" s="249"/>
      <c r="T313" s="94" t="s">
        <v>49</v>
      </c>
      <c r="U313" s="260"/>
      <c r="V313" s="260"/>
      <c r="W313" s="92" t="s">
        <v>54</v>
      </c>
      <c r="X313" s="93"/>
    </row>
    <row r="314" spans="1:24" ht="18.75" customHeight="1">
      <c r="A314" s="86" t="s">
        <v>71</v>
      </c>
      <c r="B314" s="84" t="s">
        <v>49</v>
      </c>
      <c r="C314" s="87"/>
      <c r="D314" s="88" t="s">
        <v>58</v>
      </c>
      <c r="E314" s="249" t="s">
        <v>72</v>
      </c>
      <c r="F314" s="249"/>
      <c r="G314" s="249"/>
      <c r="H314" s="84" t="s">
        <v>49</v>
      </c>
      <c r="I314" s="260"/>
      <c r="J314" s="260"/>
      <c r="K314" s="92" t="s">
        <v>54</v>
      </c>
      <c r="L314" s="93"/>
      <c r="M314" s="86" t="s">
        <v>71</v>
      </c>
      <c r="N314" s="84" t="s">
        <v>49</v>
      </c>
      <c r="O314" s="87"/>
      <c r="P314" s="88" t="s">
        <v>58</v>
      </c>
      <c r="Q314" s="249" t="s">
        <v>72</v>
      </c>
      <c r="R314" s="249"/>
      <c r="S314" s="249"/>
      <c r="T314" s="84" t="s">
        <v>49</v>
      </c>
      <c r="U314" s="260"/>
      <c r="V314" s="260"/>
      <c r="W314" s="92" t="s">
        <v>54</v>
      </c>
      <c r="X314" s="93"/>
    </row>
    <row r="315" spans="1:24" ht="18.75" customHeight="1">
      <c r="A315" s="95" t="s">
        <v>73</v>
      </c>
      <c r="B315" s="84"/>
      <c r="C315" s="87">
        <f>'[1]LUONG T7'!M42</f>
        <v>0</v>
      </c>
      <c r="D315" s="88" t="s">
        <v>67</v>
      </c>
      <c r="E315" s="249" t="s">
        <v>74</v>
      </c>
      <c r="F315" s="249"/>
      <c r="G315" s="249"/>
      <c r="H315" s="84" t="s">
        <v>49</v>
      </c>
      <c r="I315" s="260">
        <f>$F$8*C315/8/$L$1</f>
        <v>0</v>
      </c>
      <c r="J315" s="260"/>
      <c r="K315" s="92" t="s">
        <v>54</v>
      </c>
      <c r="L315" s="93"/>
      <c r="M315" s="95" t="s">
        <v>73</v>
      </c>
      <c r="N315" s="84"/>
      <c r="O315" s="87">
        <f>'[1]LUONG T7'!M44</f>
        <v>0</v>
      </c>
      <c r="P315" s="88" t="s">
        <v>67</v>
      </c>
      <c r="Q315" s="249" t="s">
        <v>74</v>
      </c>
      <c r="R315" s="249"/>
      <c r="S315" s="249"/>
      <c r="T315" s="84" t="s">
        <v>49</v>
      </c>
      <c r="U315" s="260">
        <f>$F$8*O315/8/$L$1</f>
        <v>0</v>
      </c>
      <c r="V315" s="260"/>
      <c r="W315" s="92" t="s">
        <v>54</v>
      </c>
      <c r="X315" s="93"/>
    </row>
    <row r="316" spans="1:24" ht="18.75" customHeight="1">
      <c r="A316" s="86" t="s">
        <v>75</v>
      </c>
      <c r="B316" s="84" t="s">
        <v>49</v>
      </c>
      <c r="C316" s="87"/>
      <c r="D316" s="88" t="s">
        <v>67</v>
      </c>
      <c r="E316" s="249" t="s">
        <v>97</v>
      </c>
      <c r="F316" s="249"/>
      <c r="G316" s="249"/>
      <c r="H316" s="84" t="s">
        <v>49</v>
      </c>
      <c r="I316" s="262"/>
      <c r="J316" s="262"/>
      <c r="K316" s="92" t="s">
        <v>54</v>
      </c>
      <c r="L316" s="93"/>
      <c r="M316" s="86" t="s">
        <v>75</v>
      </c>
      <c r="N316" s="84" t="s">
        <v>49</v>
      </c>
      <c r="O316" s="87"/>
      <c r="P316" s="88" t="s">
        <v>67</v>
      </c>
      <c r="Q316" s="249" t="s">
        <v>97</v>
      </c>
      <c r="R316" s="249"/>
      <c r="S316" s="249"/>
      <c r="T316" s="84" t="s">
        <v>49</v>
      </c>
      <c r="U316" s="262"/>
      <c r="V316" s="262"/>
      <c r="W316" s="92" t="s">
        <v>54</v>
      </c>
      <c r="X316" s="93"/>
    </row>
    <row r="317" spans="1:24" ht="18.75" customHeight="1">
      <c r="A317" s="86" t="s">
        <v>77</v>
      </c>
      <c r="B317" s="84" t="s">
        <v>49</v>
      </c>
      <c r="C317" s="87"/>
      <c r="D317" s="88" t="s">
        <v>78</v>
      </c>
      <c r="E317" s="96" t="s">
        <v>79</v>
      </c>
      <c r="F317" s="96"/>
      <c r="G317" s="96"/>
      <c r="H317" s="84" t="s">
        <v>49</v>
      </c>
      <c r="I317" s="260"/>
      <c r="J317" s="260"/>
      <c r="K317" s="92" t="s">
        <v>54</v>
      </c>
      <c r="L317" s="93">
        <f>+IF(L308-I308&lt;0,0,L308-I308)+IF(L312-I312&lt;0,0,L312-I312)</f>
        <v>0</v>
      </c>
      <c r="M317" s="86" t="s">
        <v>77</v>
      </c>
      <c r="N317" s="84" t="s">
        <v>49</v>
      </c>
      <c r="O317" s="87"/>
      <c r="P317" s="88" t="s">
        <v>78</v>
      </c>
      <c r="Q317" s="96" t="s">
        <v>79</v>
      </c>
      <c r="R317" s="96"/>
      <c r="S317" s="96"/>
      <c r="T317" s="84" t="s">
        <v>49</v>
      </c>
      <c r="U317" s="260"/>
      <c r="V317" s="260"/>
      <c r="W317" s="92" t="s">
        <v>54</v>
      </c>
      <c r="X317" s="93">
        <f>+IF(X308-U308&lt;0,0,X308-U308)+IF(X312-U312&lt;0,0,X312-U312)</f>
        <v>0</v>
      </c>
    </row>
    <row r="318" spans="1:24" ht="18.75" customHeight="1">
      <c r="A318" s="97" t="s">
        <v>122</v>
      </c>
      <c r="B318" s="98"/>
      <c r="C318" s="87"/>
      <c r="D318" s="88" t="s">
        <v>58</v>
      </c>
      <c r="E318" s="249" t="s">
        <v>123</v>
      </c>
      <c r="F318" s="249"/>
      <c r="G318" s="249"/>
      <c r="H318" s="84" t="s">
        <v>49</v>
      </c>
      <c r="I318" s="260"/>
      <c r="J318" s="260"/>
      <c r="K318" s="92" t="s">
        <v>54</v>
      </c>
      <c r="L318" s="93"/>
      <c r="M318" s="97" t="s">
        <v>122</v>
      </c>
      <c r="N318" s="98"/>
      <c r="O318" s="87"/>
      <c r="P318" s="88" t="s">
        <v>58</v>
      </c>
      <c r="Q318" s="249" t="s">
        <v>123</v>
      </c>
      <c r="R318" s="249"/>
      <c r="S318" s="249"/>
      <c r="T318" s="84" t="s">
        <v>49</v>
      </c>
      <c r="U318" s="260"/>
      <c r="V318" s="260"/>
      <c r="W318" s="92" t="s">
        <v>54</v>
      </c>
      <c r="X318" s="93"/>
    </row>
    <row r="319" spans="1:24" ht="18.75" customHeight="1">
      <c r="A319" s="267" t="s">
        <v>82</v>
      </c>
      <c r="B319" s="261"/>
      <c r="C319" s="87"/>
      <c r="D319" s="88"/>
      <c r="E319" s="89"/>
      <c r="F319" s="89"/>
      <c r="G319" s="89"/>
      <c r="H319" s="84" t="s">
        <v>49</v>
      </c>
      <c r="I319" s="260">
        <f>'[1]LUONG T7'!P43</f>
        <v>0</v>
      </c>
      <c r="J319" s="260"/>
      <c r="K319" s="92" t="s">
        <v>54</v>
      </c>
      <c r="L319" s="93"/>
      <c r="M319" s="267" t="s">
        <v>82</v>
      </c>
      <c r="N319" s="261"/>
      <c r="O319" s="87"/>
      <c r="P319" s="88"/>
      <c r="Q319" s="89"/>
      <c r="R319" s="89"/>
      <c r="S319" s="89"/>
      <c r="T319" s="84" t="s">
        <v>49</v>
      </c>
      <c r="U319" s="260">
        <f>'[1]LUONG T7'!P45</f>
        <v>0</v>
      </c>
      <c r="V319" s="260"/>
      <c r="W319" s="92" t="s">
        <v>54</v>
      </c>
      <c r="X319" s="93"/>
    </row>
    <row r="320" spans="1:24" ht="18.75" customHeight="1">
      <c r="A320" s="86" t="s">
        <v>83</v>
      </c>
      <c r="B320" s="84" t="s">
        <v>49</v>
      </c>
      <c r="C320" s="87"/>
      <c r="D320" s="88"/>
      <c r="E320" s="89" t="s">
        <v>84</v>
      </c>
      <c r="F320" s="89"/>
      <c r="G320" s="89"/>
      <c r="H320" s="84" t="s">
        <v>49</v>
      </c>
      <c r="I320" s="260">
        <f>L317</f>
        <v>0</v>
      </c>
      <c r="J320" s="260"/>
      <c r="K320" s="92" t="s">
        <v>54</v>
      </c>
      <c r="L320" s="93"/>
      <c r="M320" s="86" t="s">
        <v>83</v>
      </c>
      <c r="N320" s="84" t="s">
        <v>49</v>
      </c>
      <c r="O320" s="87"/>
      <c r="P320" s="88"/>
      <c r="Q320" s="89" t="s">
        <v>84</v>
      </c>
      <c r="R320" s="89"/>
      <c r="S320" s="89"/>
      <c r="T320" s="84" t="s">
        <v>49</v>
      </c>
      <c r="U320" s="260">
        <f>X317</f>
        <v>0</v>
      </c>
      <c r="V320" s="260"/>
      <c r="W320" s="92" t="s">
        <v>54</v>
      </c>
      <c r="X320" s="93"/>
    </row>
    <row r="321" spans="1:24" ht="18.75" customHeight="1">
      <c r="A321" s="264" t="s">
        <v>85</v>
      </c>
      <c r="B321" s="265"/>
      <c r="C321" s="265"/>
      <c r="D321" s="265"/>
      <c r="E321" s="265"/>
      <c r="F321" s="265"/>
      <c r="G321" s="84" t="s">
        <v>49</v>
      </c>
      <c r="H321" s="266">
        <f>I308+I309+I310+I311+I312+I315+I319+I320</f>
        <v>0</v>
      </c>
      <c r="I321" s="266"/>
      <c r="J321" s="266"/>
      <c r="K321" s="92" t="s">
        <v>54</v>
      </c>
      <c r="M321" s="264" t="s">
        <v>85</v>
      </c>
      <c r="N321" s="265"/>
      <c r="O321" s="265"/>
      <c r="P321" s="265"/>
      <c r="Q321" s="265"/>
      <c r="R321" s="265"/>
      <c r="S321" s="84" t="s">
        <v>49</v>
      </c>
      <c r="T321" s="266">
        <f>U308+U309+U310+U311+U312+U315+U319+U320</f>
        <v>0</v>
      </c>
      <c r="U321" s="266"/>
      <c r="V321" s="266"/>
      <c r="W321" s="92" t="s">
        <v>54</v>
      </c>
    </row>
    <row r="322" spans="1:24" ht="18.75" customHeight="1">
      <c r="A322" s="99"/>
      <c r="B322" s="100"/>
      <c r="C322" s="100"/>
      <c r="D322" s="100"/>
      <c r="E322" s="100"/>
      <c r="F322" s="100"/>
      <c r="G322" s="100"/>
      <c r="H322" s="100"/>
      <c r="I322" s="100"/>
      <c r="J322" s="100"/>
      <c r="K322" s="101"/>
      <c r="M322" s="99"/>
      <c r="N322" s="100"/>
      <c r="O322" s="100"/>
      <c r="P322" s="100"/>
      <c r="Q322" s="100"/>
      <c r="R322" s="100"/>
      <c r="S322" s="100"/>
      <c r="T322" s="100"/>
      <c r="U322" s="100"/>
      <c r="V322" s="100"/>
      <c r="W322" s="101"/>
    </row>
    <row r="323" spans="1:24" ht="18.75" customHeight="1">
      <c r="A323" s="274" t="s">
        <v>86</v>
      </c>
      <c r="B323" s="275"/>
      <c r="C323" s="275"/>
      <c r="D323" s="275"/>
      <c r="E323" s="275"/>
      <c r="F323" s="275"/>
      <c r="G323" s="84"/>
      <c r="H323" s="84"/>
      <c r="I323" s="84"/>
      <c r="J323" s="84"/>
      <c r="K323" s="92"/>
      <c r="M323" s="274" t="s">
        <v>86</v>
      </c>
      <c r="N323" s="275"/>
      <c r="O323" s="275"/>
      <c r="P323" s="275"/>
      <c r="Q323" s="275"/>
      <c r="R323" s="275"/>
      <c r="S323" s="84"/>
      <c r="T323" s="84"/>
      <c r="U323" s="84"/>
      <c r="V323" s="84"/>
      <c r="W323" s="92"/>
    </row>
    <row r="324" spans="1:24" ht="18.75" customHeight="1">
      <c r="A324" s="268" t="s">
        <v>87</v>
      </c>
      <c r="B324" s="269"/>
      <c r="C324" s="269"/>
      <c r="D324" s="269"/>
      <c r="E324" s="269"/>
      <c r="F324" s="269"/>
      <c r="G324" s="84" t="s">
        <v>49</v>
      </c>
      <c r="H324" s="276">
        <f>IF(($L$1-(C308+C309+C310+C311))&gt;12,0,F305*8%)</f>
        <v>0</v>
      </c>
      <c r="I324" s="276"/>
      <c r="J324" s="276"/>
      <c r="K324" s="92" t="s">
        <v>54</v>
      </c>
      <c r="M324" s="268" t="s">
        <v>87</v>
      </c>
      <c r="N324" s="269"/>
      <c r="O324" s="269"/>
      <c r="P324" s="269"/>
      <c r="Q324" s="269"/>
      <c r="R324" s="269"/>
      <c r="S324" s="84" t="s">
        <v>49</v>
      </c>
      <c r="T324" s="276">
        <f>IF(($L$1-(O308+O309+O310+O311))&gt;12,0,R305*8%)</f>
        <v>0</v>
      </c>
      <c r="U324" s="276"/>
      <c r="V324" s="276"/>
      <c r="W324" s="92" t="s">
        <v>54</v>
      </c>
    </row>
    <row r="325" spans="1:24" ht="18.75" customHeight="1">
      <c r="A325" s="268" t="s">
        <v>88</v>
      </c>
      <c r="B325" s="269"/>
      <c r="C325" s="269"/>
      <c r="D325" s="269"/>
      <c r="E325" s="269"/>
      <c r="F325" s="269"/>
      <c r="G325" s="84" t="s">
        <v>49</v>
      </c>
      <c r="H325" s="270">
        <f>IF(($L$1-(C308+C309+C310+C311))&gt;12,0,F305*1.5%)</f>
        <v>0</v>
      </c>
      <c r="I325" s="270"/>
      <c r="J325" s="270"/>
      <c r="K325" s="92" t="s">
        <v>54</v>
      </c>
      <c r="M325" s="268" t="s">
        <v>88</v>
      </c>
      <c r="N325" s="269"/>
      <c r="O325" s="269"/>
      <c r="P325" s="269"/>
      <c r="Q325" s="269"/>
      <c r="R325" s="269"/>
      <c r="S325" s="84" t="s">
        <v>49</v>
      </c>
      <c r="T325" s="270">
        <f>IF(($L$1-(O308+O309+O310+O311))&gt;12,0,R305*1.5%)</f>
        <v>0</v>
      </c>
      <c r="U325" s="270"/>
      <c r="V325" s="270"/>
      <c r="W325" s="92" t="s">
        <v>54</v>
      </c>
    </row>
    <row r="326" spans="1:24" ht="18.75" customHeight="1">
      <c r="A326" s="268" t="s">
        <v>89</v>
      </c>
      <c r="B326" s="269"/>
      <c r="C326" s="269"/>
      <c r="D326" s="269"/>
      <c r="E326" s="269"/>
      <c r="F326" s="269"/>
      <c r="G326" s="84" t="s">
        <v>49</v>
      </c>
      <c r="H326" s="270">
        <f>IF(($L$1-(C308+C309+C310+C311))&gt;12,0,F305*1%)</f>
        <v>0</v>
      </c>
      <c r="I326" s="270"/>
      <c r="J326" s="270"/>
      <c r="K326" s="92" t="s">
        <v>54</v>
      </c>
      <c r="M326" s="268" t="s">
        <v>89</v>
      </c>
      <c r="N326" s="269"/>
      <c r="O326" s="269"/>
      <c r="P326" s="269"/>
      <c r="Q326" s="269"/>
      <c r="R326" s="269"/>
      <c r="S326" s="84" t="s">
        <v>49</v>
      </c>
      <c r="T326" s="270">
        <f>IF(($L$1-(O308+O309+O310+O311))&gt;12,0,R305*1%)</f>
        <v>0</v>
      </c>
      <c r="U326" s="270"/>
      <c r="V326" s="270"/>
      <c r="W326" s="92" t="s">
        <v>54</v>
      </c>
    </row>
    <row r="327" spans="1:24" ht="18.75" customHeight="1">
      <c r="A327" s="268" t="s">
        <v>90</v>
      </c>
      <c r="B327" s="269"/>
      <c r="C327" s="269"/>
      <c r="D327" s="269"/>
      <c r="E327" s="269"/>
      <c r="F327" s="269"/>
      <c r="G327" s="84" t="s">
        <v>49</v>
      </c>
      <c r="H327" s="270">
        <v>0</v>
      </c>
      <c r="I327" s="270"/>
      <c r="J327" s="270"/>
      <c r="K327" s="92" t="s">
        <v>54</v>
      </c>
      <c r="M327" s="268" t="s">
        <v>90</v>
      </c>
      <c r="N327" s="269"/>
      <c r="O327" s="269"/>
      <c r="P327" s="269"/>
      <c r="Q327" s="269"/>
      <c r="R327" s="269"/>
      <c r="S327" s="84" t="s">
        <v>49</v>
      </c>
      <c r="T327" s="270">
        <v>0</v>
      </c>
      <c r="U327" s="270"/>
      <c r="V327" s="270"/>
      <c r="W327" s="92" t="s">
        <v>54</v>
      </c>
    </row>
    <row r="328" spans="1:24" ht="18.75" customHeight="1">
      <c r="A328" s="271" t="s">
        <v>91</v>
      </c>
      <c r="B328" s="272"/>
      <c r="C328" s="272"/>
      <c r="D328" s="272"/>
      <c r="E328" s="272"/>
      <c r="F328" s="272"/>
      <c r="G328" s="84" t="s">
        <v>49</v>
      </c>
      <c r="H328" s="273">
        <f>SUM(H324:J327)</f>
        <v>0</v>
      </c>
      <c r="I328" s="273"/>
      <c r="J328" s="273"/>
      <c r="K328" s="92" t="s">
        <v>54</v>
      </c>
      <c r="M328" s="271" t="s">
        <v>91</v>
      </c>
      <c r="N328" s="272"/>
      <c r="O328" s="272"/>
      <c r="P328" s="272"/>
      <c r="Q328" s="272"/>
      <c r="R328" s="272"/>
      <c r="S328" s="84" t="s">
        <v>49</v>
      </c>
      <c r="T328" s="273">
        <f>SUM(T324:V327)</f>
        <v>0</v>
      </c>
      <c r="U328" s="273"/>
      <c r="V328" s="273"/>
      <c r="W328" s="92" t="s">
        <v>54</v>
      </c>
    </row>
    <row r="329" spans="1:24" ht="18.75" customHeight="1">
      <c r="A329" s="268" t="s">
        <v>92</v>
      </c>
      <c r="B329" s="269"/>
      <c r="C329" s="269"/>
      <c r="D329" s="269"/>
      <c r="E329" s="269"/>
      <c r="F329" s="269"/>
      <c r="G329" s="84" t="s">
        <v>49</v>
      </c>
      <c r="H329" s="280">
        <f>ROUND(H321-H328,-2)</f>
        <v>0</v>
      </c>
      <c r="I329" s="280"/>
      <c r="J329" s="280"/>
      <c r="K329" s="92" t="s">
        <v>54</v>
      </c>
      <c r="M329" s="268" t="s">
        <v>92</v>
      </c>
      <c r="N329" s="269"/>
      <c r="O329" s="269"/>
      <c r="P329" s="269"/>
      <c r="Q329" s="269"/>
      <c r="R329" s="269"/>
      <c r="S329" s="84" t="s">
        <v>49</v>
      </c>
      <c r="T329" s="280">
        <f>ROUND(T321-T328,-2)</f>
        <v>0</v>
      </c>
      <c r="U329" s="280"/>
      <c r="V329" s="280"/>
      <c r="W329" s="92" t="s">
        <v>54</v>
      </c>
    </row>
    <row r="330" spans="1:24" ht="18.75" customHeight="1">
      <c r="A330" s="102"/>
      <c r="B330" s="103"/>
      <c r="C330" s="103"/>
      <c r="D330" s="103"/>
      <c r="E330" s="103"/>
      <c r="F330" s="103"/>
      <c r="G330" s="103"/>
      <c r="H330" s="103"/>
      <c r="I330" s="103"/>
      <c r="J330" s="103"/>
      <c r="K330" s="104"/>
      <c r="M330" s="102"/>
      <c r="N330" s="103"/>
      <c r="O330" s="103"/>
      <c r="P330" s="103"/>
      <c r="Q330" s="103"/>
      <c r="R330" s="103"/>
      <c r="S330" s="103"/>
      <c r="T330" s="103"/>
      <c r="U330" s="103"/>
      <c r="V330" s="103"/>
      <c r="W330" s="104"/>
    </row>
    <row r="331" spans="1:24" ht="18.75" customHeight="1">
      <c r="A331" s="105"/>
      <c r="B331" s="84"/>
      <c r="C331" s="84"/>
      <c r="D331" s="84"/>
      <c r="E331" s="84"/>
      <c r="F331" s="84"/>
      <c r="G331" s="84"/>
      <c r="H331" s="84"/>
      <c r="I331" s="277" t="s">
        <v>93</v>
      </c>
      <c r="J331" s="277"/>
      <c r="K331" s="281"/>
      <c r="M331" s="105"/>
      <c r="N331" s="84"/>
      <c r="O331" s="84"/>
      <c r="P331" s="84"/>
      <c r="Q331" s="84"/>
      <c r="R331" s="84"/>
      <c r="S331" s="84"/>
      <c r="T331" s="84"/>
      <c r="U331" s="277" t="s">
        <v>93</v>
      </c>
      <c r="V331" s="277"/>
      <c r="W331" s="281"/>
    </row>
    <row r="332" spans="1:24" ht="18.75" customHeight="1">
      <c r="A332" s="105"/>
      <c r="B332" s="277"/>
      <c r="C332" s="277"/>
      <c r="D332" s="277"/>
      <c r="E332" s="277"/>
      <c r="F332" s="84"/>
      <c r="G332" s="84"/>
      <c r="H332" s="84"/>
      <c r="I332" s="84"/>
      <c r="J332" s="84"/>
      <c r="K332" s="85"/>
      <c r="M332" s="105"/>
      <c r="N332" s="277"/>
      <c r="O332" s="277"/>
      <c r="P332" s="277"/>
      <c r="Q332" s="277"/>
      <c r="R332" s="84"/>
      <c r="S332" s="84"/>
      <c r="T332" s="84"/>
      <c r="U332" s="84"/>
      <c r="V332" s="84"/>
      <c r="W332" s="85"/>
    </row>
    <row r="333" spans="1:24" ht="18.75" customHeight="1" thickBot="1">
      <c r="A333" s="106"/>
      <c r="B333" s="107"/>
      <c r="C333" s="107"/>
      <c r="D333" s="107"/>
      <c r="E333" s="107"/>
      <c r="F333" s="107"/>
      <c r="G333" s="107"/>
      <c r="H333" s="107"/>
      <c r="I333" s="278" t="s">
        <v>94</v>
      </c>
      <c r="J333" s="278"/>
      <c r="K333" s="279"/>
      <c r="M333" s="106"/>
      <c r="N333" s="107"/>
      <c r="O333" s="107"/>
      <c r="P333" s="107"/>
      <c r="Q333" s="107"/>
      <c r="R333" s="107"/>
      <c r="S333" s="107"/>
      <c r="T333" s="107"/>
      <c r="U333" s="278" t="s">
        <v>94</v>
      </c>
      <c r="V333" s="278"/>
      <c r="W333" s="279"/>
    </row>
    <row r="335" spans="1:24" ht="18.75" customHeight="1" thickTop="1">
      <c r="A335" s="253" t="s">
        <v>43</v>
      </c>
      <c r="B335" s="254"/>
      <c r="C335" s="254"/>
      <c r="D335" s="254"/>
      <c r="E335" s="254"/>
      <c r="F335" s="254"/>
      <c r="G335" s="254"/>
      <c r="H335" s="254"/>
      <c r="I335" s="254"/>
      <c r="J335" s="254"/>
      <c r="K335" s="255"/>
      <c r="L335" s="80">
        <v>25</v>
      </c>
      <c r="M335" s="253" t="s">
        <v>43</v>
      </c>
      <c r="N335" s="254"/>
      <c r="O335" s="254"/>
      <c r="P335" s="254"/>
      <c r="Q335" s="254"/>
      <c r="R335" s="254"/>
      <c r="S335" s="254"/>
      <c r="T335" s="254"/>
      <c r="U335" s="254"/>
      <c r="V335" s="254"/>
      <c r="W335" s="255"/>
      <c r="X335" s="80">
        <v>25</v>
      </c>
    </row>
    <row r="336" spans="1:24" ht="18.75" customHeight="1">
      <c r="A336" s="81" t="s">
        <v>126</v>
      </c>
      <c r="B336" s="82"/>
      <c r="C336" s="82"/>
      <c r="D336" s="82"/>
      <c r="E336" s="82"/>
      <c r="F336" s="82"/>
      <c r="G336" s="82"/>
      <c r="H336" s="82"/>
      <c r="I336" s="82"/>
      <c r="J336" s="82"/>
      <c r="K336" s="83"/>
      <c r="M336" s="81" t="s">
        <v>127</v>
      </c>
      <c r="N336" s="82"/>
      <c r="O336" s="82"/>
      <c r="P336" s="82"/>
      <c r="Q336" s="82"/>
      <c r="R336" s="82"/>
      <c r="S336" s="82"/>
      <c r="T336" s="82"/>
      <c r="U336" s="82"/>
      <c r="V336" s="82"/>
      <c r="W336" s="83"/>
    </row>
    <row r="337" spans="1:24" ht="18.75" customHeight="1">
      <c r="A337" s="256" t="s">
        <v>47</v>
      </c>
      <c r="B337" s="257"/>
      <c r="C337" s="257"/>
      <c r="D337" s="257"/>
      <c r="E337" s="257"/>
      <c r="F337" s="257"/>
      <c r="G337" s="257"/>
      <c r="H337" s="257"/>
      <c r="I337" s="257"/>
      <c r="J337" s="257"/>
      <c r="K337" s="258"/>
      <c r="M337" s="256" t="s">
        <v>47</v>
      </c>
      <c r="N337" s="257"/>
      <c r="O337" s="257"/>
      <c r="P337" s="257"/>
      <c r="Q337" s="257"/>
      <c r="R337" s="257"/>
      <c r="S337" s="257"/>
      <c r="T337" s="257"/>
      <c r="U337" s="257"/>
      <c r="V337" s="257"/>
      <c r="W337" s="258"/>
    </row>
    <row r="338" spans="1:24" ht="18.75" customHeight="1">
      <c r="A338" s="248" t="s">
        <v>48</v>
      </c>
      <c r="B338" s="249"/>
      <c r="C338" s="249"/>
      <c r="D338" s="249"/>
      <c r="E338" s="84" t="s">
        <v>49</v>
      </c>
      <c r="F338" s="250">
        <f>'[1]Bang TH nop'!B34</f>
        <v>0</v>
      </c>
      <c r="G338" s="249"/>
      <c r="H338" s="249"/>
      <c r="I338" s="249"/>
      <c r="J338" s="249"/>
      <c r="K338" s="252"/>
      <c r="M338" s="248" t="s">
        <v>48</v>
      </c>
      <c r="N338" s="249"/>
      <c r="O338" s="249"/>
      <c r="P338" s="249"/>
      <c r="Q338" s="84" t="s">
        <v>49</v>
      </c>
      <c r="R338" s="250">
        <f>'[1]Bang TH nop'!B36</f>
        <v>0</v>
      </c>
      <c r="S338" s="249"/>
      <c r="T338" s="249"/>
      <c r="U338" s="249"/>
      <c r="V338" s="249"/>
      <c r="W338" s="252"/>
    </row>
    <row r="339" spans="1:24" ht="18.75" customHeight="1">
      <c r="A339" s="248" t="s">
        <v>50</v>
      </c>
      <c r="B339" s="249"/>
      <c r="C339" s="249"/>
      <c r="D339" s="249"/>
      <c r="E339" s="84" t="s">
        <v>49</v>
      </c>
      <c r="F339" s="250">
        <f>'[1]Bang TH nop'!C34</f>
        <v>0</v>
      </c>
      <c r="G339" s="250"/>
      <c r="H339" s="250"/>
      <c r="I339" s="250"/>
      <c r="J339" s="250"/>
      <c r="K339" s="251"/>
      <c r="M339" s="248" t="s">
        <v>50</v>
      </c>
      <c r="N339" s="249"/>
      <c r="O339" s="249"/>
      <c r="P339" s="249"/>
      <c r="Q339" s="84" t="s">
        <v>49</v>
      </c>
      <c r="R339" s="250">
        <f>'[1]Bang TH nop'!C36</f>
        <v>0</v>
      </c>
      <c r="S339" s="250"/>
      <c r="T339" s="250"/>
      <c r="U339" s="250"/>
      <c r="V339" s="250"/>
      <c r="W339" s="251"/>
    </row>
    <row r="340" spans="1:24" ht="18.75" customHeight="1">
      <c r="A340" s="248" t="s">
        <v>51</v>
      </c>
      <c r="B340" s="249"/>
      <c r="C340" s="249"/>
      <c r="D340" s="249"/>
      <c r="E340" s="84" t="s">
        <v>49</v>
      </c>
      <c r="F340" s="249" t="s">
        <v>121</v>
      </c>
      <c r="G340" s="249"/>
      <c r="H340" s="249"/>
      <c r="I340" s="249"/>
      <c r="J340" s="249"/>
      <c r="K340" s="252"/>
      <c r="M340" s="248" t="s">
        <v>51</v>
      </c>
      <c r="N340" s="249"/>
      <c r="O340" s="249"/>
      <c r="P340" s="249"/>
      <c r="Q340" s="84" t="s">
        <v>49</v>
      </c>
      <c r="R340" s="249" t="s">
        <v>121</v>
      </c>
      <c r="S340" s="249"/>
      <c r="T340" s="249"/>
      <c r="U340" s="249"/>
      <c r="V340" s="249"/>
      <c r="W340" s="252"/>
    </row>
    <row r="341" spans="1:24" ht="18.75" customHeight="1">
      <c r="A341" s="256" t="s">
        <v>52</v>
      </c>
      <c r="B341" s="257"/>
      <c r="C341" s="257"/>
      <c r="D341" s="257"/>
      <c r="E341" s="257"/>
      <c r="F341" s="257"/>
      <c r="G341" s="257"/>
      <c r="H341" s="257"/>
      <c r="I341" s="257"/>
      <c r="J341" s="257"/>
      <c r="K341" s="258"/>
      <c r="M341" s="256" t="s">
        <v>52</v>
      </c>
      <c r="N341" s="257"/>
      <c r="O341" s="257"/>
      <c r="P341" s="257"/>
      <c r="Q341" s="257"/>
      <c r="R341" s="257"/>
      <c r="S341" s="257"/>
      <c r="T341" s="257"/>
      <c r="U341" s="257"/>
      <c r="V341" s="257"/>
      <c r="W341" s="258"/>
    </row>
    <row r="342" spans="1:24" ht="18.75" customHeight="1">
      <c r="A342" s="248" t="s">
        <v>53</v>
      </c>
      <c r="B342" s="249"/>
      <c r="C342" s="249"/>
      <c r="D342" s="249"/>
      <c r="E342" s="84" t="s">
        <v>49</v>
      </c>
      <c r="F342" s="263">
        <v>2915400</v>
      </c>
      <c r="G342" s="263"/>
      <c r="H342" s="263"/>
      <c r="I342" s="263"/>
      <c r="J342" s="84" t="s">
        <v>54</v>
      </c>
      <c r="K342" s="85"/>
      <c r="M342" s="248" t="s">
        <v>53</v>
      </c>
      <c r="N342" s="249"/>
      <c r="O342" s="249"/>
      <c r="P342" s="249"/>
      <c r="Q342" s="84" t="s">
        <v>49</v>
      </c>
      <c r="R342" s="263">
        <v>2915400</v>
      </c>
      <c r="S342" s="263"/>
      <c r="T342" s="263"/>
      <c r="U342" s="263"/>
      <c r="V342" s="84" t="s">
        <v>54</v>
      </c>
      <c r="W342" s="85"/>
    </row>
    <row r="343" spans="1:24" ht="18.75" customHeight="1">
      <c r="A343" s="86" t="s">
        <v>55</v>
      </c>
      <c r="B343" s="84"/>
      <c r="C343" s="87"/>
      <c r="D343" s="88"/>
      <c r="E343" s="89"/>
      <c r="F343" s="89"/>
      <c r="G343" s="89"/>
      <c r="H343" s="84"/>
      <c r="I343" s="90">
        <f>'[1]LUONG T7'!F47</f>
        <v>0</v>
      </c>
      <c r="J343" s="91"/>
      <c r="K343" s="92"/>
      <c r="M343" s="86" t="s">
        <v>55</v>
      </c>
      <c r="N343" s="84"/>
      <c r="O343" s="87"/>
      <c r="P343" s="88"/>
      <c r="Q343" s="89"/>
      <c r="R343" s="89"/>
      <c r="S343" s="89"/>
      <c r="T343" s="84"/>
      <c r="U343" s="90">
        <f>'[1]LUONG T7'!F49</f>
        <v>0</v>
      </c>
      <c r="V343" s="91"/>
      <c r="W343" s="92"/>
    </row>
    <row r="344" spans="1:24" ht="18.75" customHeight="1">
      <c r="A344" s="86" t="s">
        <v>56</v>
      </c>
      <c r="B344" s="84"/>
      <c r="C344" s="87"/>
      <c r="D344" s="88"/>
      <c r="E344" s="89"/>
      <c r="F344" s="89"/>
      <c r="G344" s="89"/>
      <c r="H344" s="84"/>
      <c r="I344" s="90" t="e">
        <f>I345/C345/8</f>
        <v>#DIV/0!</v>
      </c>
      <c r="J344" s="91"/>
      <c r="K344" s="92"/>
      <c r="M344" s="86" t="s">
        <v>56</v>
      </c>
      <c r="N344" s="84"/>
      <c r="O344" s="87"/>
      <c r="P344" s="88"/>
      <c r="Q344" s="89"/>
      <c r="R344" s="89"/>
      <c r="S344" s="89"/>
      <c r="T344" s="84"/>
      <c r="U344" s="90" t="e">
        <f>U345/O345/8</f>
        <v>#DIV/0!</v>
      </c>
      <c r="V344" s="91"/>
      <c r="W344" s="92"/>
    </row>
    <row r="345" spans="1:24" ht="18.75" customHeight="1">
      <c r="A345" s="86" t="s">
        <v>57</v>
      </c>
      <c r="B345" s="84" t="s">
        <v>49</v>
      </c>
      <c r="C345" s="87">
        <f>'[1]LUONG T7'!I46</f>
        <v>0</v>
      </c>
      <c r="D345" s="88" t="s">
        <v>58</v>
      </c>
      <c r="E345" s="261" t="s">
        <v>59</v>
      </c>
      <c r="F345" s="261"/>
      <c r="G345" s="261"/>
      <c r="H345" s="84" t="s">
        <v>49</v>
      </c>
      <c r="I345" s="262">
        <f>'[1]LUONG T7'!I47</f>
        <v>0</v>
      </c>
      <c r="J345" s="262"/>
      <c r="K345" s="92" t="s">
        <v>54</v>
      </c>
      <c r="L345" s="93">
        <f>F342/L335*C345</f>
        <v>0</v>
      </c>
      <c r="M345" s="86" t="s">
        <v>57</v>
      </c>
      <c r="N345" s="84" t="s">
        <v>49</v>
      </c>
      <c r="O345" s="87">
        <f>'[1]LUONG T7'!I48</f>
        <v>0</v>
      </c>
      <c r="P345" s="88" t="s">
        <v>58</v>
      </c>
      <c r="Q345" s="261" t="s">
        <v>59</v>
      </c>
      <c r="R345" s="261"/>
      <c r="S345" s="261"/>
      <c r="T345" s="84" t="s">
        <v>49</v>
      </c>
      <c r="U345" s="262">
        <f>'[1]LUONG T7'!I49</f>
        <v>0</v>
      </c>
      <c r="V345" s="262"/>
      <c r="W345" s="92" t="s">
        <v>54</v>
      </c>
      <c r="X345" s="93">
        <f>R342/X335*O345</f>
        <v>0</v>
      </c>
    </row>
    <row r="346" spans="1:24" ht="18.75" customHeight="1">
      <c r="A346" s="86" t="s">
        <v>60</v>
      </c>
      <c r="B346" s="84" t="s">
        <v>49</v>
      </c>
      <c r="C346" s="87">
        <f>'[1]LUONG T7'!J46</f>
        <v>0</v>
      </c>
      <c r="D346" s="88" t="s">
        <v>58</v>
      </c>
      <c r="E346" s="249" t="s">
        <v>61</v>
      </c>
      <c r="F346" s="249"/>
      <c r="G346" s="249"/>
      <c r="H346" s="84" t="s">
        <v>49</v>
      </c>
      <c r="I346" s="260">
        <f>$F$8/$L$1*C346</f>
        <v>0</v>
      </c>
      <c r="J346" s="260"/>
      <c r="K346" s="92" t="s">
        <v>54</v>
      </c>
      <c r="L346" s="93"/>
      <c r="M346" s="86" t="s">
        <v>60</v>
      </c>
      <c r="N346" s="84" t="s">
        <v>49</v>
      </c>
      <c r="O346" s="87">
        <f>'[1]LUONG T7'!J48</f>
        <v>0</v>
      </c>
      <c r="P346" s="88" t="s">
        <v>58</v>
      </c>
      <c r="Q346" s="249" t="s">
        <v>61</v>
      </c>
      <c r="R346" s="249"/>
      <c r="S346" s="249"/>
      <c r="T346" s="84" t="s">
        <v>49</v>
      </c>
      <c r="U346" s="260">
        <f>$F$8/$L$1*O346</f>
        <v>0</v>
      </c>
      <c r="V346" s="260"/>
      <c r="W346" s="92" t="s">
        <v>54</v>
      </c>
      <c r="X346" s="93"/>
    </row>
    <row r="347" spans="1:24" ht="18.75" customHeight="1">
      <c r="A347" s="86" t="s">
        <v>62</v>
      </c>
      <c r="B347" s="84" t="s">
        <v>49</v>
      </c>
      <c r="C347" s="87">
        <f>'[1]LUONG T7'!K46</f>
        <v>0</v>
      </c>
      <c r="D347" s="88" t="s">
        <v>58</v>
      </c>
      <c r="E347" s="259" t="s">
        <v>63</v>
      </c>
      <c r="F347" s="259"/>
      <c r="G347" s="259"/>
      <c r="H347" s="84" t="s">
        <v>49</v>
      </c>
      <c r="I347" s="260">
        <f>$F$8/$L$1*C347</f>
        <v>0</v>
      </c>
      <c r="J347" s="260"/>
      <c r="K347" s="92" t="s">
        <v>54</v>
      </c>
      <c r="L347" s="93"/>
      <c r="M347" s="86" t="s">
        <v>62</v>
      </c>
      <c r="N347" s="84" t="s">
        <v>49</v>
      </c>
      <c r="O347" s="87">
        <f>'[1]LUONG T7'!K48</f>
        <v>0</v>
      </c>
      <c r="P347" s="88" t="s">
        <v>58</v>
      </c>
      <c r="Q347" s="259" t="s">
        <v>63</v>
      </c>
      <c r="R347" s="259"/>
      <c r="S347" s="259"/>
      <c r="T347" s="84" t="s">
        <v>49</v>
      </c>
      <c r="U347" s="260">
        <f>$F$8/$L$1*O347</f>
        <v>0</v>
      </c>
      <c r="V347" s="260"/>
      <c r="W347" s="92" t="s">
        <v>54</v>
      </c>
      <c r="X347" s="93"/>
    </row>
    <row r="348" spans="1:24" ht="18.75" customHeight="1">
      <c r="A348" s="86" t="s">
        <v>64</v>
      </c>
      <c r="B348" s="84" t="s">
        <v>49</v>
      </c>
      <c r="C348" s="87">
        <f>'[1]LUONG T7'!L46</f>
        <v>0</v>
      </c>
      <c r="D348" s="88" t="s">
        <v>58</v>
      </c>
      <c r="E348" s="259" t="s">
        <v>65</v>
      </c>
      <c r="F348" s="259"/>
      <c r="G348" s="259"/>
      <c r="H348" s="84" t="s">
        <v>49</v>
      </c>
      <c r="I348" s="260">
        <f>$F$8/$L$1*C348</f>
        <v>0</v>
      </c>
      <c r="J348" s="260"/>
      <c r="K348" s="92" t="s">
        <v>54</v>
      </c>
      <c r="L348" s="93"/>
      <c r="M348" s="86" t="s">
        <v>64</v>
      </c>
      <c r="N348" s="84" t="s">
        <v>49</v>
      </c>
      <c r="O348" s="87">
        <f>'[1]LUONG T7'!L48</f>
        <v>0</v>
      </c>
      <c r="P348" s="88" t="s">
        <v>58</v>
      </c>
      <c r="Q348" s="259" t="s">
        <v>65</v>
      </c>
      <c r="R348" s="259"/>
      <c r="S348" s="259"/>
      <c r="T348" s="84" t="s">
        <v>49</v>
      </c>
      <c r="U348" s="260">
        <f>$F$8/$L$1*O348</f>
        <v>0</v>
      </c>
      <c r="V348" s="260"/>
      <c r="W348" s="92" t="s">
        <v>54</v>
      </c>
      <c r="X348" s="93"/>
    </row>
    <row r="349" spans="1:24" ht="18.75" customHeight="1">
      <c r="A349" s="86" t="s">
        <v>66</v>
      </c>
      <c r="B349" s="84" t="s">
        <v>49</v>
      </c>
      <c r="C349" s="87">
        <f>'[1]LUONG T7'!Q46</f>
        <v>0</v>
      </c>
      <c r="D349" s="88" t="s">
        <v>67</v>
      </c>
      <c r="E349" s="249" t="s">
        <v>68</v>
      </c>
      <c r="F349" s="249"/>
      <c r="G349" s="249"/>
      <c r="H349" s="84" t="s">
        <v>49</v>
      </c>
      <c r="I349" s="260">
        <f>'[1]LUONG T7'!Q47</f>
        <v>0</v>
      </c>
      <c r="J349" s="260"/>
      <c r="K349" s="92" t="s">
        <v>54</v>
      </c>
      <c r="L349" s="93">
        <f>F342*C349/L335/8*1.5</f>
        <v>0</v>
      </c>
      <c r="M349" s="86" t="s">
        <v>66</v>
      </c>
      <c r="N349" s="84" t="s">
        <v>49</v>
      </c>
      <c r="O349" s="87">
        <f>'[1]LUONG T7'!Q48</f>
        <v>0</v>
      </c>
      <c r="P349" s="88" t="s">
        <v>67</v>
      </c>
      <c r="Q349" s="249" t="s">
        <v>68</v>
      </c>
      <c r="R349" s="249"/>
      <c r="S349" s="249"/>
      <c r="T349" s="84" t="s">
        <v>49</v>
      </c>
      <c r="U349" s="260">
        <f>'[1]LUONG T7'!Q49</f>
        <v>0</v>
      </c>
      <c r="V349" s="260"/>
      <c r="W349" s="92" t="s">
        <v>54</v>
      </c>
      <c r="X349" s="93">
        <f>R342*O349/X335/8*1.5</f>
        <v>0</v>
      </c>
    </row>
    <row r="350" spans="1:24" ht="18.75" customHeight="1">
      <c r="A350" s="248" t="s">
        <v>69</v>
      </c>
      <c r="B350" s="249"/>
      <c r="C350" s="87"/>
      <c r="D350" s="88" t="s">
        <v>58</v>
      </c>
      <c r="E350" s="249" t="s">
        <v>70</v>
      </c>
      <c r="F350" s="249"/>
      <c r="G350" s="249"/>
      <c r="H350" s="94" t="s">
        <v>49</v>
      </c>
      <c r="I350" s="260"/>
      <c r="J350" s="260"/>
      <c r="K350" s="92" t="s">
        <v>54</v>
      </c>
      <c r="L350" s="93"/>
      <c r="M350" s="248" t="s">
        <v>69</v>
      </c>
      <c r="N350" s="249"/>
      <c r="O350" s="87"/>
      <c r="P350" s="88" t="s">
        <v>58</v>
      </c>
      <c r="Q350" s="249" t="s">
        <v>70</v>
      </c>
      <c r="R350" s="249"/>
      <c r="S350" s="249"/>
      <c r="T350" s="94" t="s">
        <v>49</v>
      </c>
      <c r="U350" s="260"/>
      <c r="V350" s="260"/>
      <c r="W350" s="92" t="s">
        <v>54</v>
      </c>
      <c r="X350" s="93"/>
    </row>
    <row r="351" spans="1:24" ht="18.75" customHeight="1">
      <c r="A351" s="86" t="s">
        <v>71</v>
      </c>
      <c r="B351" s="84" t="s">
        <v>49</v>
      </c>
      <c r="C351" s="87"/>
      <c r="D351" s="88" t="s">
        <v>58</v>
      </c>
      <c r="E351" s="249" t="s">
        <v>72</v>
      </c>
      <c r="F351" s="249"/>
      <c r="G351" s="249"/>
      <c r="H351" s="84" t="s">
        <v>49</v>
      </c>
      <c r="I351" s="260"/>
      <c r="J351" s="260"/>
      <c r="K351" s="92" t="s">
        <v>54</v>
      </c>
      <c r="L351" s="93"/>
      <c r="M351" s="86" t="s">
        <v>71</v>
      </c>
      <c r="N351" s="84" t="s">
        <v>49</v>
      </c>
      <c r="O351" s="87"/>
      <c r="P351" s="88" t="s">
        <v>58</v>
      </c>
      <c r="Q351" s="249" t="s">
        <v>72</v>
      </c>
      <c r="R351" s="249"/>
      <c r="S351" s="249"/>
      <c r="T351" s="84" t="s">
        <v>49</v>
      </c>
      <c r="U351" s="260"/>
      <c r="V351" s="260"/>
      <c r="W351" s="92" t="s">
        <v>54</v>
      </c>
      <c r="X351" s="93"/>
    </row>
    <row r="352" spans="1:24" ht="18.75" customHeight="1">
      <c r="A352" s="95" t="s">
        <v>73</v>
      </c>
      <c r="B352" s="84"/>
      <c r="C352" s="87">
        <f>'[1]LUONG T7'!M46</f>
        <v>0</v>
      </c>
      <c r="D352" s="88" t="s">
        <v>67</v>
      </c>
      <c r="E352" s="249" t="s">
        <v>74</v>
      </c>
      <c r="F352" s="249"/>
      <c r="G352" s="249"/>
      <c r="H352" s="84" t="s">
        <v>49</v>
      </c>
      <c r="I352" s="260">
        <f>$F$8*C352/8/$L$1</f>
        <v>0</v>
      </c>
      <c r="J352" s="260"/>
      <c r="K352" s="92" t="s">
        <v>54</v>
      </c>
      <c r="L352" s="93"/>
      <c r="M352" s="95" t="s">
        <v>73</v>
      </c>
      <c r="N352" s="84"/>
      <c r="O352" s="87">
        <f>'[1]LUONG T7'!M48</f>
        <v>0</v>
      </c>
      <c r="P352" s="88" t="s">
        <v>67</v>
      </c>
      <c r="Q352" s="249" t="s">
        <v>74</v>
      </c>
      <c r="R352" s="249"/>
      <c r="S352" s="249"/>
      <c r="T352" s="84" t="s">
        <v>49</v>
      </c>
      <c r="U352" s="260">
        <f>$F$8*O352/8/$L$1</f>
        <v>0</v>
      </c>
      <c r="V352" s="260"/>
      <c r="W352" s="92" t="s">
        <v>54</v>
      </c>
      <c r="X352" s="93"/>
    </row>
    <row r="353" spans="1:24" ht="18.75" customHeight="1">
      <c r="A353" s="86" t="s">
        <v>75</v>
      </c>
      <c r="B353" s="84" t="s">
        <v>49</v>
      </c>
      <c r="C353" s="87"/>
      <c r="D353" s="88" t="s">
        <v>67</v>
      </c>
      <c r="E353" s="249" t="s">
        <v>97</v>
      </c>
      <c r="F353" s="249"/>
      <c r="G353" s="249"/>
      <c r="H353" s="84" t="s">
        <v>49</v>
      </c>
      <c r="I353" s="262"/>
      <c r="J353" s="262"/>
      <c r="K353" s="92" t="s">
        <v>54</v>
      </c>
      <c r="L353" s="93"/>
      <c r="M353" s="86" t="s">
        <v>75</v>
      </c>
      <c r="N353" s="84" t="s">
        <v>49</v>
      </c>
      <c r="O353" s="87"/>
      <c r="P353" s="88" t="s">
        <v>67</v>
      </c>
      <c r="Q353" s="249" t="s">
        <v>97</v>
      </c>
      <c r="R353" s="249"/>
      <c r="S353" s="249"/>
      <c r="T353" s="84" t="s">
        <v>49</v>
      </c>
      <c r="U353" s="262"/>
      <c r="V353" s="262"/>
      <c r="W353" s="92" t="s">
        <v>54</v>
      </c>
      <c r="X353" s="93"/>
    </row>
    <row r="354" spans="1:24" ht="18.75" customHeight="1">
      <c r="A354" s="86" t="s">
        <v>77</v>
      </c>
      <c r="B354" s="84" t="s">
        <v>49</v>
      </c>
      <c r="C354" s="87"/>
      <c r="D354" s="88" t="s">
        <v>78</v>
      </c>
      <c r="E354" s="96" t="s">
        <v>79</v>
      </c>
      <c r="F354" s="96"/>
      <c r="G354" s="96"/>
      <c r="H354" s="84" t="s">
        <v>49</v>
      </c>
      <c r="I354" s="260"/>
      <c r="J354" s="260"/>
      <c r="K354" s="92" t="s">
        <v>54</v>
      </c>
      <c r="L354" s="93">
        <f>+IF(L345-I345&lt;0,0,L345-I345)+IF(L349-I349&lt;0,0,L349-I349)</f>
        <v>0</v>
      </c>
      <c r="M354" s="86" t="s">
        <v>77</v>
      </c>
      <c r="N354" s="84" t="s">
        <v>49</v>
      </c>
      <c r="O354" s="87"/>
      <c r="P354" s="88" t="s">
        <v>78</v>
      </c>
      <c r="Q354" s="96" t="s">
        <v>79</v>
      </c>
      <c r="R354" s="96"/>
      <c r="S354" s="96"/>
      <c r="T354" s="84" t="s">
        <v>49</v>
      </c>
      <c r="U354" s="260"/>
      <c r="V354" s="260"/>
      <c r="W354" s="92" t="s">
        <v>54</v>
      </c>
      <c r="X354" s="93">
        <f>+IF(X345-U345&lt;0,0,X345-U345)+IF(X349-U349&lt;0,0,X349-U349)</f>
        <v>0</v>
      </c>
    </row>
    <row r="355" spans="1:24" ht="18.75" customHeight="1">
      <c r="A355" s="97" t="s">
        <v>122</v>
      </c>
      <c r="B355" s="98"/>
      <c r="C355" s="87"/>
      <c r="D355" s="88" t="s">
        <v>58</v>
      </c>
      <c r="E355" s="249" t="s">
        <v>123</v>
      </c>
      <c r="F355" s="249"/>
      <c r="G355" s="249"/>
      <c r="H355" s="84" t="s">
        <v>49</v>
      </c>
      <c r="I355" s="260"/>
      <c r="J355" s="260"/>
      <c r="K355" s="92" t="s">
        <v>54</v>
      </c>
      <c r="L355" s="93"/>
      <c r="M355" s="97" t="s">
        <v>122</v>
      </c>
      <c r="N355" s="98"/>
      <c r="O355" s="87"/>
      <c r="P355" s="88" t="s">
        <v>58</v>
      </c>
      <c r="Q355" s="249" t="s">
        <v>123</v>
      </c>
      <c r="R355" s="249"/>
      <c r="S355" s="249"/>
      <c r="T355" s="84" t="s">
        <v>49</v>
      </c>
      <c r="U355" s="260"/>
      <c r="V355" s="260"/>
      <c r="W355" s="92" t="s">
        <v>54</v>
      </c>
      <c r="X355" s="93"/>
    </row>
    <row r="356" spans="1:24" ht="18.75" customHeight="1">
      <c r="A356" s="267" t="s">
        <v>82</v>
      </c>
      <c r="B356" s="261"/>
      <c r="C356" s="87"/>
      <c r="D356" s="88"/>
      <c r="E356" s="89"/>
      <c r="F356" s="89"/>
      <c r="G356" s="89"/>
      <c r="H356" s="84" t="s">
        <v>49</v>
      </c>
      <c r="I356" s="260">
        <f>'[1]LUONG T7'!P47</f>
        <v>0</v>
      </c>
      <c r="J356" s="260"/>
      <c r="K356" s="92" t="s">
        <v>54</v>
      </c>
      <c r="L356" s="93"/>
      <c r="M356" s="267" t="s">
        <v>82</v>
      </c>
      <c r="N356" s="261"/>
      <c r="O356" s="87"/>
      <c r="P356" s="88"/>
      <c r="Q356" s="89"/>
      <c r="R356" s="89"/>
      <c r="S356" s="89"/>
      <c r="T356" s="84" t="s">
        <v>49</v>
      </c>
      <c r="U356" s="260">
        <f>'[1]LUONG T7'!P49</f>
        <v>0</v>
      </c>
      <c r="V356" s="260"/>
      <c r="W356" s="92" t="s">
        <v>54</v>
      </c>
      <c r="X356" s="93"/>
    </row>
    <row r="357" spans="1:24" ht="18.75" customHeight="1">
      <c r="A357" s="86" t="s">
        <v>83</v>
      </c>
      <c r="B357" s="84" t="s">
        <v>49</v>
      </c>
      <c r="C357" s="87"/>
      <c r="D357" s="88"/>
      <c r="E357" s="89" t="s">
        <v>84</v>
      </c>
      <c r="F357" s="89"/>
      <c r="G357" s="89"/>
      <c r="H357" s="84" t="s">
        <v>49</v>
      </c>
      <c r="I357" s="260">
        <f>L354</f>
        <v>0</v>
      </c>
      <c r="J357" s="260"/>
      <c r="K357" s="92" t="s">
        <v>54</v>
      </c>
      <c r="L357" s="93"/>
      <c r="M357" s="86" t="s">
        <v>83</v>
      </c>
      <c r="N357" s="84" t="s">
        <v>49</v>
      </c>
      <c r="O357" s="87"/>
      <c r="P357" s="88"/>
      <c r="Q357" s="89" t="s">
        <v>84</v>
      </c>
      <c r="R357" s="89"/>
      <c r="S357" s="89"/>
      <c r="T357" s="84" t="s">
        <v>49</v>
      </c>
      <c r="U357" s="260">
        <f>X354</f>
        <v>0</v>
      </c>
      <c r="V357" s="260"/>
      <c r="W357" s="92" t="s">
        <v>54</v>
      </c>
      <c r="X357" s="93"/>
    </row>
    <row r="358" spans="1:24" ht="18.75" customHeight="1">
      <c r="A358" s="264" t="s">
        <v>85</v>
      </c>
      <c r="B358" s="265"/>
      <c r="C358" s="265"/>
      <c r="D358" s="265"/>
      <c r="E358" s="265"/>
      <c r="F358" s="265"/>
      <c r="G358" s="84" t="s">
        <v>49</v>
      </c>
      <c r="H358" s="266">
        <f>I345+I346+I347+I348+I349+I352+I356+I357</f>
        <v>0</v>
      </c>
      <c r="I358" s="266"/>
      <c r="J358" s="266"/>
      <c r="K358" s="92" t="s">
        <v>54</v>
      </c>
      <c r="M358" s="264" t="s">
        <v>85</v>
      </c>
      <c r="N358" s="265"/>
      <c r="O358" s="265"/>
      <c r="P358" s="265"/>
      <c r="Q358" s="265"/>
      <c r="R358" s="265"/>
      <c r="S358" s="84" t="s">
        <v>49</v>
      </c>
      <c r="T358" s="266">
        <f>U345+U346+U347+U348+U349+U352+U356+U357</f>
        <v>0</v>
      </c>
      <c r="U358" s="266"/>
      <c r="V358" s="266"/>
      <c r="W358" s="92" t="s">
        <v>54</v>
      </c>
    </row>
    <row r="359" spans="1:24" ht="18.75" customHeight="1">
      <c r="A359" s="99"/>
      <c r="B359" s="100"/>
      <c r="C359" s="100"/>
      <c r="D359" s="100"/>
      <c r="E359" s="100"/>
      <c r="F359" s="100"/>
      <c r="G359" s="100"/>
      <c r="H359" s="100"/>
      <c r="I359" s="100"/>
      <c r="J359" s="100"/>
      <c r="K359" s="101"/>
      <c r="M359" s="99"/>
      <c r="N359" s="100"/>
      <c r="O359" s="100"/>
      <c r="P359" s="100"/>
      <c r="Q359" s="100"/>
      <c r="R359" s="100"/>
      <c r="S359" s="100"/>
      <c r="T359" s="100"/>
      <c r="U359" s="100"/>
      <c r="V359" s="100"/>
      <c r="W359" s="101"/>
    </row>
    <row r="360" spans="1:24" ht="18.75" customHeight="1">
      <c r="A360" s="274" t="s">
        <v>86</v>
      </c>
      <c r="B360" s="275"/>
      <c r="C360" s="275"/>
      <c r="D360" s="275"/>
      <c r="E360" s="275"/>
      <c r="F360" s="275"/>
      <c r="G360" s="84"/>
      <c r="H360" s="84"/>
      <c r="I360" s="84"/>
      <c r="J360" s="84"/>
      <c r="K360" s="92"/>
      <c r="M360" s="274" t="s">
        <v>86</v>
      </c>
      <c r="N360" s="275"/>
      <c r="O360" s="275"/>
      <c r="P360" s="275"/>
      <c r="Q360" s="275"/>
      <c r="R360" s="275"/>
      <c r="S360" s="84"/>
      <c r="T360" s="84"/>
      <c r="U360" s="84"/>
      <c r="V360" s="84"/>
      <c r="W360" s="92"/>
    </row>
    <row r="361" spans="1:24" ht="18.75" customHeight="1">
      <c r="A361" s="268" t="s">
        <v>87</v>
      </c>
      <c r="B361" s="269"/>
      <c r="C361" s="269"/>
      <c r="D361" s="269"/>
      <c r="E361" s="269"/>
      <c r="F361" s="269"/>
      <c r="G361" s="84" t="s">
        <v>49</v>
      </c>
      <c r="H361" s="276">
        <f>IF(($L$1-(C345+C346+C347+C348))&gt;12,0,F342*8%)</f>
        <v>0</v>
      </c>
      <c r="I361" s="276"/>
      <c r="J361" s="276"/>
      <c r="K361" s="92" t="s">
        <v>54</v>
      </c>
      <c r="M361" s="268" t="s">
        <v>87</v>
      </c>
      <c r="N361" s="269"/>
      <c r="O361" s="269"/>
      <c r="P361" s="269"/>
      <c r="Q361" s="269"/>
      <c r="R361" s="269"/>
      <c r="S361" s="84" t="s">
        <v>49</v>
      </c>
      <c r="T361" s="276">
        <f>IF(($L$1-(O345+O346+O347+O348))&gt;12,0,R342*8%)</f>
        <v>0</v>
      </c>
      <c r="U361" s="276"/>
      <c r="V361" s="276"/>
      <c r="W361" s="92" t="s">
        <v>54</v>
      </c>
    </row>
    <row r="362" spans="1:24" ht="18.75" customHeight="1">
      <c r="A362" s="268" t="s">
        <v>88</v>
      </c>
      <c r="B362" s="269"/>
      <c r="C362" s="269"/>
      <c r="D362" s="269"/>
      <c r="E362" s="269"/>
      <c r="F362" s="269"/>
      <c r="G362" s="84" t="s">
        <v>49</v>
      </c>
      <c r="H362" s="270">
        <f>IF(($L$1-(C345+C346+C347+C348))&gt;12,0,F342*1.5%)</f>
        <v>0</v>
      </c>
      <c r="I362" s="270"/>
      <c r="J362" s="270"/>
      <c r="K362" s="92" t="s">
        <v>54</v>
      </c>
      <c r="M362" s="268" t="s">
        <v>88</v>
      </c>
      <c r="N362" s="269"/>
      <c r="O362" s="269"/>
      <c r="P362" s="269"/>
      <c r="Q362" s="269"/>
      <c r="R362" s="269"/>
      <c r="S362" s="84" t="s">
        <v>49</v>
      </c>
      <c r="T362" s="270">
        <f>IF(($L$1-(O345+O346+O347+O348))&gt;12,0,R342*1.5%)</f>
        <v>0</v>
      </c>
      <c r="U362" s="270"/>
      <c r="V362" s="270"/>
      <c r="W362" s="92" t="s">
        <v>54</v>
      </c>
    </row>
    <row r="363" spans="1:24" ht="18.75" customHeight="1">
      <c r="A363" s="268" t="s">
        <v>89</v>
      </c>
      <c r="B363" s="269"/>
      <c r="C363" s="269"/>
      <c r="D363" s="269"/>
      <c r="E363" s="269"/>
      <c r="F363" s="269"/>
      <c r="G363" s="84" t="s">
        <v>49</v>
      </c>
      <c r="H363" s="270">
        <f>IF(($L$1-(C345+C346+C347+C348))&gt;12,0,F342*1%)</f>
        <v>0</v>
      </c>
      <c r="I363" s="270"/>
      <c r="J363" s="270"/>
      <c r="K363" s="92" t="s">
        <v>54</v>
      </c>
      <c r="M363" s="268" t="s">
        <v>89</v>
      </c>
      <c r="N363" s="269"/>
      <c r="O363" s="269"/>
      <c r="P363" s="269"/>
      <c r="Q363" s="269"/>
      <c r="R363" s="269"/>
      <c r="S363" s="84" t="s">
        <v>49</v>
      </c>
      <c r="T363" s="270">
        <f>IF(($L$1-(O345+O346+O347+O348))&gt;12,0,R342*1%)</f>
        <v>0</v>
      </c>
      <c r="U363" s="270"/>
      <c r="V363" s="270"/>
      <c r="W363" s="92" t="s">
        <v>54</v>
      </c>
    </row>
    <row r="364" spans="1:24" ht="18.75" customHeight="1">
      <c r="A364" s="268" t="s">
        <v>90</v>
      </c>
      <c r="B364" s="269"/>
      <c r="C364" s="269"/>
      <c r="D364" s="269"/>
      <c r="E364" s="269"/>
      <c r="F364" s="269"/>
      <c r="G364" s="84" t="s">
        <v>49</v>
      </c>
      <c r="H364" s="270">
        <v>0</v>
      </c>
      <c r="I364" s="270"/>
      <c r="J364" s="270"/>
      <c r="K364" s="92" t="s">
        <v>54</v>
      </c>
      <c r="M364" s="268" t="s">
        <v>90</v>
      </c>
      <c r="N364" s="269"/>
      <c r="O364" s="269"/>
      <c r="P364" s="269"/>
      <c r="Q364" s="269"/>
      <c r="R364" s="269"/>
      <c r="S364" s="84" t="s">
        <v>49</v>
      </c>
      <c r="T364" s="270">
        <v>0</v>
      </c>
      <c r="U364" s="270"/>
      <c r="V364" s="270"/>
      <c r="W364" s="92" t="s">
        <v>54</v>
      </c>
    </row>
    <row r="365" spans="1:24" ht="18.75" customHeight="1">
      <c r="A365" s="271" t="s">
        <v>91</v>
      </c>
      <c r="B365" s="272"/>
      <c r="C365" s="272"/>
      <c r="D365" s="272"/>
      <c r="E365" s="272"/>
      <c r="F365" s="272"/>
      <c r="G365" s="84" t="s">
        <v>49</v>
      </c>
      <c r="H365" s="273">
        <f>SUM(H361:J364)</f>
        <v>0</v>
      </c>
      <c r="I365" s="273"/>
      <c r="J365" s="273"/>
      <c r="K365" s="92" t="s">
        <v>54</v>
      </c>
      <c r="M365" s="271" t="s">
        <v>91</v>
      </c>
      <c r="N365" s="272"/>
      <c r="O365" s="272"/>
      <c r="P365" s="272"/>
      <c r="Q365" s="272"/>
      <c r="R365" s="272"/>
      <c r="S365" s="84" t="s">
        <v>49</v>
      </c>
      <c r="T365" s="273">
        <f>SUM(T361:V364)</f>
        <v>0</v>
      </c>
      <c r="U365" s="273"/>
      <c r="V365" s="273"/>
      <c r="W365" s="92" t="s">
        <v>54</v>
      </c>
    </row>
    <row r="366" spans="1:24" ht="18.75" customHeight="1">
      <c r="A366" s="268" t="s">
        <v>92</v>
      </c>
      <c r="B366" s="269"/>
      <c r="C366" s="269"/>
      <c r="D366" s="269"/>
      <c r="E366" s="269"/>
      <c r="F366" s="269"/>
      <c r="G366" s="84" t="s">
        <v>49</v>
      </c>
      <c r="H366" s="280">
        <f>ROUND(H358-H365,-2)</f>
        <v>0</v>
      </c>
      <c r="I366" s="280"/>
      <c r="J366" s="280"/>
      <c r="K366" s="92" t="s">
        <v>54</v>
      </c>
      <c r="M366" s="268" t="s">
        <v>92</v>
      </c>
      <c r="N366" s="269"/>
      <c r="O366" s="269"/>
      <c r="P366" s="269"/>
      <c r="Q366" s="269"/>
      <c r="R366" s="269"/>
      <c r="S366" s="84" t="s">
        <v>49</v>
      </c>
      <c r="T366" s="280">
        <f>ROUND(T358-T365,-2)</f>
        <v>0</v>
      </c>
      <c r="U366" s="280"/>
      <c r="V366" s="280"/>
      <c r="W366" s="92" t="s">
        <v>54</v>
      </c>
    </row>
    <row r="367" spans="1:24" ht="18.75" customHeight="1">
      <c r="A367" s="102"/>
      <c r="B367" s="103"/>
      <c r="C367" s="103"/>
      <c r="D367" s="103"/>
      <c r="E367" s="103"/>
      <c r="F367" s="103"/>
      <c r="G367" s="103"/>
      <c r="H367" s="103"/>
      <c r="I367" s="103"/>
      <c r="J367" s="103"/>
      <c r="K367" s="104"/>
      <c r="M367" s="102"/>
      <c r="N367" s="103"/>
      <c r="O367" s="103"/>
      <c r="P367" s="103"/>
      <c r="Q367" s="103"/>
      <c r="R367" s="103"/>
      <c r="S367" s="103"/>
      <c r="T367" s="103"/>
      <c r="U367" s="103"/>
      <c r="V367" s="103"/>
      <c r="W367" s="104"/>
    </row>
    <row r="368" spans="1:24" ht="18.75" customHeight="1">
      <c r="A368" s="105"/>
      <c r="B368" s="84"/>
      <c r="C368" s="84"/>
      <c r="D368" s="84"/>
      <c r="E368" s="84"/>
      <c r="F368" s="84"/>
      <c r="G368" s="84"/>
      <c r="H368" s="84"/>
      <c r="I368" s="277" t="s">
        <v>93</v>
      </c>
      <c r="J368" s="277"/>
      <c r="K368" s="281"/>
      <c r="M368" s="105"/>
      <c r="N368" s="84"/>
      <c r="O368" s="84"/>
      <c r="P368" s="84"/>
      <c r="Q368" s="84"/>
      <c r="R368" s="84"/>
      <c r="S368" s="84"/>
      <c r="T368" s="84"/>
      <c r="U368" s="277" t="s">
        <v>93</v>
      </c>
      <c r="V368" s="277"/>
      <c r="W368" s="281"/>
    </row>
    <row r="369" spans="1:24" ht="18.75" customHeight="1">
      <c r="A369" s="105"/>
      <c r="B369" s="277"/>
      <c r="C369" s="277"/>
      <c r="D369" s="277"/>
      <c r="E369" s="277"/>
      <c r="F369" s="84"/>
      <c r="G369" s="84"/>
      <c r="H369" s="84"/>
      <c r="I369" s="84"/>
      <c r="J369" s="84"/>
      <c r="K369" s="85"/>
      <c r="M369" s="105"/>
      <c r="N369" s="277"/>
      <c r="O369" s="277"/>
      <c r="P369" s="277"/>
      <c r="Q369" s="277"/>
      <c r="R369" s="84"/>
      <c r="S369" s="84"/>
      <c r="T369" s="84"/>
      <c r="U369" s="84"/>
      <c r="V369" s="84"/>
      <c r="W369" s="85"/>
    </row>
    <row r="370" spans="1:24" ht="18.75" customHeight="1" thickBot="1">
      <c r="A370" s="106"/>
      <c r="B370" s="107"/>
      <c r="C370" s="107"/>
      <c r="D370" s="107"/>
      <c r="E370" s="107"/>
      <c r="F370" s="107"/>
      <c r="G370" s="107"/>
      <c r="H370" s="107"/>
      <c r="I370" s="278" t="s">
        <v>94</v>
      </c>
      <c r="J370" s="278"/>
      <c r="K370" s="279"/>
      <c r="M370" s="106"/>
      <c r="N370" s="107"/>
      <c r="O370" s="107"/>
      <c r="P370" s="107"/>
      <c r="Q370" s="107"/>
      <c r="R370" s="107"/>
      <c r="S370" s="107"/>
      <c r="T370" s="107"/>
      <c r="U370" s="278" t="s">
        <v>94</v>
      </c>
      <c r="V370" s="278"/>
      <c r="W370" s="279"/>
    </row>
    <row r="372" spans="1:24" ht="18.75" customHeight="1" thickTop="1">
      <c r="A372" s="253" t="s">
        <v>43</v>
      </c>
      <c r="B372" s="254"/>
      <c r="C372" s="254"/>
      <c r="D372" s="254"/>
      <c r="E372" s="254"/>
      <c r="F372" s="254"/>
      <c r="G372" s="254"/>
      <c r="H372" s="254"/>
      <c r="I372" s="254"/>
      <c r="J372" s="254"/>
      <c r="K372" s="255"/>
      <c r="L372" s="80">
        <v>25</v>
      </c>
      <c r="M372" s="253" t="s">
        <v>43</v>
      </c>
      <c r="N372" s="254"/>
      <c r="O372" s="254"/>
      <c r="P372" s="254"/>
      <c r="Q372" s="254"/>
      <c r="R372" s="254"/>
      <c r="S372" s="254"/>
      <c r="T372" s="254"/>
      <c r="U372" s="254"/>
      <c r="V372" s="254"/>
      <c r="W372" s="255"/>
      <c r="X372" s="80">
        <v>25</v>
      </c>
    </row>
    <row r="373" spans="1:24" ht="18.75" customHeight="1">
      <c r="A373" s="81" t="s">
        <v>128</v>
      </c>
      <c r="B373" s="82"/>
      <c r="C373" s="82"/>
      <c r="D373" s="82"/>
      <c r="E373" s="82"/>
      <c r="F373" s="82"/>
      <c r="G373" s="82"/>
      <c r="H373" s="82"/>
      <c r="I373" s="82"/>
      <c r="J373" s="82"/>
      <c r="K373" s="83"/>
      <c r="M373" s="81" t="s">
        <v>129</v>
      </c>
      <c r="N373" s="82"/>
      <c r="O373" s="82"/>
      <c r="P373" s="82"/>
      <c r="Q373" s="82"/>
      <c r="R373" s="82"/>
      <c r="S373" s="82"/>
      <c r="T373" s="82"/>
      <c r="U373" s="82"/>
      <c r="V373" s="82"/>
      <c r="W373" s="83"/>
    </row>
    <row r="374" spans="1:24" ht="18.75" customHeight="1">
      <c r="A374" s="256" t="s">
        <v>47</v>
      </c>
      <c r="B374" s="257"/>
      <c r="C374" s="257"/>
      <c r="D374" s="257"/>
      <c r="E374" s="257"/>
      <c r="F374" s="257"/>
      <c r="G374" s="257"/>
      <c r="H374" s="257"/>
      <c r="I374" s="257"/>
      <c r="J374" s="257"/>
      <c r="K374" s="258"/>
      <c r="M374" s="256" t="s">
        <v>47</v>
      </c>
      <c r="N374" s="257"/>
      <c r="O374" s="257"/>
      <c r="P374" s="257"/>
      <c r="Q374" s="257"/>
      <c r="R374" s="257"/>
      <c r="S374" s="257"/>
      <c r="T374" s="257"/>
      <c r="U374" s="257"/>
      <c r="V374" s="257"/>
      <c r="W374" s="258"/>
    </row>
    <row r="375" spans="1:24" ht="18.75" customHeight="1">
      <c r="A375" s="248" t="s">
        <v>48</v>
      </c>
      <c r="B375" s="249"/>
      <c r="C375" s="249"/>
      <c r="D375" s="249"/>
      <c r="E375" s="84" t="s">
        <v>49</v>
      </c>
      <c r="F375" s="250">
        <f>'[1]Bang TH nop'!B38</f>
        <v>0</v>
      </c>
      <c r="G375" s="249"/>
      <c r="H375" s="249"/>
      <c r="I375" s="249"/>
      <c r="J375" s="249"/>
      <c r="K375" s="252"/>
      <c r="M375" s="248" t="s">
        <v>48</v>
      </c>
      <c r="N375" s="249"/>
      <c r="O375" s="249"/>
      <c r="P375" s="249"/>
      <c r="Q375" s="84" t="s">
        <v>49</v>
      </c>
      <c r="R375" s="250">
        <f>'[1]Bang TH nop'!B40</f>
        <v>0</v>
      </c>
      <c r="S375" s="249"/>
      <c r="T375" s="249"/>
      <c r="U375" s="249"/>
      <c r="V375" s="249"/>
      <c r="W375" s="252"/>
    </row>
    <row r="376" spans="1:24" ht="18.75" customHeight="1">
      <c r="A376" s="248" t="s">
        <v>50</v>
      </c>
      <c r="B376" s="249"/>
      <c r="C376" s="249"/>
      <c r="D376" s="249"/>
      <c r="E376" s="84" t="s">
        <v>49</v>
      </c>
      <c r="F376" s="250">
        <f>'[1]Bang TH nop'!C38</f>
        <v>0</v>
      </c>
      <c r="G376" s="250"/>
      <c r="H376" s="250"/>
      <c r="I376" s="250"/>
      <c r="J376" s="250"/>
      <c r="K376" s="251"/>
      <c r="M376" s="248" t="s">
        <v>50</v>
      </c>
      <c r="N376" s="249"/>
      <c r="O376" s="249"/>
      <c r="P376" s="249"/>
      <c r="Q376" s="84" t="s">
        <v>49</v>
      </c>
      <c r="R376" s="250">
        <f>'[1]Bang TH nop'!C40</f>
        <v>0</v>
      </c>
      <c r="S376" s="250"/>
      <c r="T376" s="250"/>
      <c r="U376" s="250"/>
      <c r="V376" s="250"/>
      <c r="W376" s="251"/>
    </row>
    <row r="377" spans="1:24" ht="18.75" customHeight="1">
      <c r="A377" s="248" t="s">
        <v>51</v>
      </c>
      <c r="B377" s="249"/>
      <c r="C377" s="249"/>
      <c r="D377" s="249"/>
      <c r="E377" s="84" t="s">
        <v>49</v>
      </c>
      <c r="F377" s="249" t="s">
        <v>121</v>
      </c>
      <c r="G377" s="249"/>
      <c r="H377" s="249"/>
      <c r="I377" s="249"/>
      <c r="J377" s="249"/>
      <c r="K377" s="252"/>
      <c r="M377" s="248" t="s">
        <v>51</v>
      </c>
      <c r="N377" s="249"/>
      <c r="O377" s="249"/>
      <c r="P377" s="249"/>
      <c r="Q377" s="84" t="s">
        <v>49</v>
      </c>
      <c r="R377" s="249" t="s">
        <v>121</v>
      </c>
      <c r="S377" s="249"/>
      <c r="T377" s="249"/>
      <c r="U377" s="249"/>
      <c r="V377" s="249"/>
      <c r="W377" s="252"/>
    </row>
    <row r="378" spans="1:24" ht="18.75" customHeight="1">
      <c r="A378" s="256" t="s">
        <v>52</v>
      </c>
      <c r="B378" s="257"/>
      <c r="C378" s="257"/>
      <c r="D378" s="257"/>
      <c r="E378" s="257"/>
      <c r="F378" s="257"/>
      <c r="G378" s="257"/>
      <c r="H378" s="257"/>
      <c r="I378" s="257"/>
      <c r="J378" s="257"/>
      <c r="K378" s="258"/>
      <c r="M378" s="256" t="s">
        <v>52</v>
      </c>
      <c r="N378" s="257"/>
      <c r="O378" s="257"/>
      <c r="P378" s="257"/>
      <c r="Q378" s="257"/>
      <c r="R378" s="257"/>
      <c r="S378" s="257"/>
      <c r="T378" s="257"/>
      <c r="U378" s="257"/>
      <c r="V378" s="257"/>
      <c r="W378" s="258"/>
    </row>
    <row r="379" spans="1:24" ht="18.75" customHeight="1">
      <c r="A379" s="248" t="s">
        <v>53</v>
      </c>
      <c r="B379" s="249"/>
      <c r="C379" s="249"/>
      <c r="D379" s="249"/>
      <c r="E379" s="84" t="s">
        <v>49</v>
      </c>
      <c r="F379" s="263">
        <v>2915400</v>
      </c>
      <c r="G379" s="263"/>
      <c r="H379" s="263"/>
      <c r="I379" s="263"/>
      <c r="J379" s="84" t="s">
        <v>54</v>
      </c>
      <c r="K379" s="85"/>
      <c r="M379" s="248" t="s">
        <v>53</v>
      </c>
      <c r="N379" s="249"/>
      <c r="O379" s="249"/>
      <c r="P379" s="249"/>
      <c r="Q379" s="84" t="s">
        <v>49</v>
      </c>
      <c r="R379" s="263">
        <v>2915400</v>
      </c>
      <c r="S379" s="263"/>
      <c r="T379" s="263"/>
      <c r="U379" s="263"/>
      <c r="V379" s="84" t="s">
        <v>54</v>
      </c>
      <c r="W379" s="85"/>
    </row>
    <row r="380" spans="1:24" ht="18.75" customHeight="1">
      <c r="A380" s="86" t="s">
        <v>55</v>
      </c>
      <c r="B380" s="84"/>
      <c r="C380" s="87"/>
      <c r="D380" s="88"/>
      <c r="E380" s="89"/>
      <c r="F380" s="89"/>
      <c r="G380" s="89"/>
      <c r="H380" s="84"/>
      <c r="I380" s="90">
        <f>'[1]LUONG T7'!F51</f>
        <v>0</v>
      </c>
      <c r="J380" s="91"/>
      <c r="K380" s="92"/>
      <c r="M380" s="86" t="s">
        <v>55</v>
      </c>
      <c r="N380" s="84"/>
      <c r="O380" s="87"/>
      <c r="P380" s="88"/>
      <c r="Q380" s="89"/>
      <c r="R380" s="89"/>
      <c r="S380" s="89"/>
      <c r="T380" s="84"/>
      <c r="U380" s="90">
        <f>'[1]LUONG T7'!F53</f>
        <v>0</v>
      </c>
      <c r="V380" s="91"/>
      <c r="W380" s="92"/>
    </row>
    <row r="381" spans="1:24" ht="18.75" customHeight="1">
      <c r="A381" s="86" t="s">
        <v>56</v>
      </c>
      <c r="B381" s="84"/>
      <c r="C381" s="87"/>
      <c r="D381" s="88"/>
      <c r="E381" s="89"/>
      <c r="F381" s="89"/>
      <c r="G381" s="89"/>
      <c r="H381" s="84"/>
      <c r="I381" s="90" t="e">
        <f>I382/C382/8</f>
        <v>#DIV/0!</v>
      </c>
      <c r="J381" s="91"/>
      <c r="K381" s="92"/>
      <c r="M381" s="86" t="s">
        <v>56</v>
      </c>
      <c r="N381" s="84"/>
      <c r="O381" s="87"/>
      <c r="P381" s="88"/>
      <c r="Q381" s="89"/>
      <c r="R381" s="89"/>
      <c r="S381" s="89"/>
      <c r="T381" s="84"/>
      <c r="U381" s="90" t="e">
        <f>U382/O382/8</f>
        <v>#DIV/0!</v>
      </c>
      <c r="V381" s="91"/>
      <c r="W381" s="92"/>
    </row>
    <row r="382" spans="1:24" ht="18.75" customHeight="1">
      <c r="A382" s="86" t="s">
        <v>57</v>
      </c>
      <c r="B382" s="84" t="s">
        <v>49</v>
      </c>
      <c r="C382" s="87">
        <f>'[1]LUONG T7'!I50</f>
        <v>0</v>
      </c>
      <c r="D382" s="88" t="s">
        <v>58</v>
      </c>
      <c r="E382" s="261" t="s">
        <v>59</v>
      </c>
      <c r="F382" s="261"/>
      <c r="G382" s="261"/>
      <c r="H382" s="84" t="s">
        <v>49</v>
      </c>
      <c r="I382" s="262">
        <f>'[1]LUONG T7'!I51</f>
        <v>0</v>
      </c>
      <c r="J382" s="262"/>
      <c r="K382" s="92" t="s">
        <v>54</v>
      </c>
      <c r="L382" s="93">
        <f>F379/L372*C382</f>
        <v>0</v>
      </c>
      <c r="M382" s="86" t="s">
        <v>57</v>
      </c>
      <c r="N382" s="84" t="s">
        <v>49</v>
      </c>
      <c r="O382" s="87">
        <f>'[1]LUONG T7'!I52</f>
        <v>0</v>
      </c>
      <c r="P382" s="88" t="s">
        <v>58</v>
      </c>
      <c r="Q382" s="261" t="s">
        <v>59</v>
      </c>
      <c r="R382" s="261"/>
      <c r="S382" s="261"/>
      <c r="T382" s="84" t="s">
        <v>49</v>
      </c>
      <c r="U382" s="262">
        <f>'[1]LUONG T7'!I53</f>
        <v>0</v>
      </c>
      <c r="V382" s="262"/>
      <c r="W382" s="92" t="s">
        <v>54</v>
      </c>
      <c r="X382" s="93">
        <f>R379/X372*O382</f>
        <v>0</v>
      </c>
    </row>
    <row r="383" spans="1:24" ht="18.75" customHeight="1">
      <c r="A383" s="86" t="s">
        <v>60</v>
      </c>
      <c r="B383" s="84" t="s">
        <v>49</v>
      </c>
      <c r="C383" s="87">
        <f>'[1]LUONG T7'!J50</f>
        <v>0</v>
      </c>
      <c r="D383" s="88" t="s">
        <v>58</v>
      </c>
      <c r="E383" s="249" t="s">
        <v>61</v>
      </c>
      <c r="F383" s="249"/>
      <c r="G383" s="249"/>
      <c r="H383" s="84" t="s">
        <v>49</v>
      </c>
      <c r="I383" s="260">
        <f>$F$8/$L$1*C383</f>
        <v>0</v>
      </c>
      <c r="J383" s="260"/>
      <c r="K383" s="92" t="s">
        <v>54</v>
      </c>
      <c r="L383" s="93"/>
      <c r="M383" s="86" t="s">
        <v>60</v>
      </c>
      <c r="N383" s="84" t="s">
        <v>49</v>
      </c>
      <c r="O383" s="87">
        <f>'[1]LUONG T7'!J52</f>
        <v>0</v>
      </c>
      <c r="P383" s="88" t="s">
        <v>58</v>
      </c>
      <c r="Q383" s="249" t="s">
        <v>61</v>
      </c>
      <c r="R383" s="249"/>
      <c r="S383" s="249"/>
      <c r="T383" s="84" t="s">
        <v>49</v>
      </c>
      <c r="U383" s="260">
        <f>$F$8/$L$1*O383</f>
        <v>0</v>
      </c>
      <c r="V383" s="260"/>
      <c r="W383" s="92" t="s">
        <v>54</v>
      </c>
      <c r="X383" s="93"/>
    </row>
    <row r="384" spans="1:24" ht="18.75" customHeight="1">
      <c r="A384" s="86" t="s">
        <v>62</v>
      </c>
      <c r="B384" s="84" t="s">
        <v>49</v>
      </c>
      <c r="C384" s="87">
        <f>'[1]LUONG T7'!K50</f>
        <v>0</v>
      </c>
      <c r="D384" s="88" t="s">
        <v>58</v>
      </c>
      <c r="E384" s="259" t="s">
        <v>63</v>
      </c>
      <c r="F384" s="259"/>
      <c r="G384" s="259"/>
      <c r="H384" s="84" t="s">
        <v>49</v>
      </c>
      <c r="I384" s="260">
        <f>$F$8/$L$1*C384</f>
        <v>0</v>
      </c>
      <c r="J384" s="260"/>
      <c r="K384" s="92" t="s">
        <v>54</v>
      </c>
      <c r="L384" s="93"/>
      <c r="M384" s="86" t="s">
        <v>62</v>
      </c>
      <c r="N384" s="84" t="s">
        <v>49</v>
      </c>
      <c r="O384" s="87">
        <f>'[1]LUONG T7'!K52</f>
        <v>0</v>
      </c>
      <c r="P384" s="88" t="s">
        <v>58</v>
      </c>
      <c r="Q384" s="259" t="s">
        <v>63</v>
      </c>
      <c r="R384" s="259"/>
      <c r="S384" s="259"/>
      <c r="T384" s="84" t="s">
        <v>49</v>
      </c>
      <c r="U384" s="260">
        <f>$F$8/$L$1*O384</f>
        <v>0</v>
      </c>
      <c r="V384" s="260"/>
      <c r="W384" s="92" t="s">
        <v>54</v>
      </c>
      <c r="X384" s="93"/>
    </row>
    <row r="385" spans="1:24" ht="18.75" customHeight="1">
      <c r="A385" s="86" t="s">
        <v>64</v>
      </c>
      <c r="B385" s="84" t="s">
        <v>49</v>
      </c>
      <c r="C385" s="87">
        <f>'[1]LUONG T7'!L50</f>
        <v>0</v>
      </c>
      <c r="D385" s="88" t="s">
        <v>58</v>
      </c>
      <c r="E385" s="259" t="s">
        <v>65</v>
      </c>
      <c r="F385" s="259"/>
      <c r="G385" s="259"/>
      <c r="H385" s="84" t="s">
        <v>49</v>
      </c>
      <c r="I385" s="260">
        <f>$F$8/$L$1*C385</f>
        <v>0</v>
      </c>
      <c r="J385" s="260"/>
      <c r="K385" s="92" t="s">
        <v>54</v>
      </c>
      <c r="L385" s="93"/>
      <c r="M385" s="86" t="s">
        <v>64</v>
      </c>
      <c r="N385" s="84" t="s">
        <v>49</v>
      </c>
      <c r="O385" s="87">
        <f>'[1]LUONG T7'!L52</f>
        <v>0</v>
      </c>
      <c r="P385" s="88" t="s">
        <v>58</v>
      </c>
      <c r="Q385" s="259" t="s">
        <v>65</v>
      </c>
      <c r="R385" s="259"/>
      <c r="S385" s="259"/>
      <c r="T385" s="84" t="s">
        <v>49</v>
      </c>
      <c r="U385" s="260">
        <f>$F$8/$L$1*O385</f>
        <v>0</v>
      </c>
      <c r="V385" s="260"/>
      <c r="W385" s="92" t="s">
        <v>54</v>
      </c>
      <c r="X385" s="93"/>
    </row>
    <row r="386" spans="1:24" ht="18.75" customHeight="1">
      <c r="A386" s="86" t="s">
        <v>66</v>
      </c>
      <c r="B386" s="84" t="s">
        <v>49</v>
      </c>
      <c r="C386" s="87">
        <f>'[1]LUONG T7'!Q50</f>
        <v>0</v>
      </c>
      <c r="D386" s="88" t="s">
        <v>67</v>
      </c>
      <c r="E386" s="249" t="s">
        <v>68</v>
      </c>
      <c r="F386" s="249"/>
      <c r="G386" s="249"/>
      <c r="H386" s="84" t="s">
        <v>49</v>
      </c>
      <c r="I386" s="260">
        <f>'[1]LUONG T7'!Q51</f>
        <v>0</v>
      </c>
      <c r="J386" s="260"/>
      <c r="K386" s="92" t="s">
        <v>54</v>
      </c>
      <c r="L386" s="93">
        <f>F379*C386/L372/8*1.5</f>
        <v>0</v>
      </c>
      <c r="M386" s="86" t="s">
        <v>66</v>
      </c>
      <c r="N386" s="84" t="s">
        <v>49</v>
      </c>
      <c r="O386" s="87">
        <f>'[1]LUONG T7'!Q52</f>
        <v>0</v>
      </c>
      <c r="P386" s="88" t="s">
        <v>67</v>
      </c>
      <c r="Q386" s="249" t="s">
        <v>68</v>
      </c>
      <c r="R386" s="249"/>
      <c r="S386" s="249"/>
      <c r="T386" s="84" t="s">
        <v>49</v>
      </c>
      <c r="U386" s="260">
        <f>'[1]LUONG T7'!Q53</f>
        <v>0</v>
      </c>
      <c r="V386" s="260"/>
      <c r="W386" s="92" t="s">
        <v>54</v>
      </c>
      <c r="X386" s="93">
        <f>R379*O386/X372/8*1.5</f>
        <v>0</v>
      </c>
    </row>
    <row r="387" spans="1:24" ht="18.75" customHeight="1">
      <c r="A387" s="248" t="s">
        <v>69</v>
      </c>
      <c r="B387" s="249"/>
      <c r="C387" s="87"/>
      <c r="D387" s="88" t="s">
        <v>58</v>
      </c>
      <c r="E387" s="249" t="s">
        <v>70</v>
      </c>
      <c r="F387" s="249"/>
      <c r="G387" s="249"/>
      <c r="H387" s="94" t="s">
        <v>49</v>
      </c>
      <c r="I387" s="260"/>
      <c r="J387" s="260"/>
      <c r="K387" s="92" t="s">
        <v>54</v>
      </c>
      <c r="L387" s="93"/>
      <c r="M387" s="248" t="s">
        <v>69</v>
      </c>
      <c r="N387" s="249"/>
      <c r="O387" s="87"/>
      <c r="P387" s="88" t="s">
        <v>58</v>
      </c>
      <c r="Q387" s="249" t="s">
        <v>70</v>
      </c>
      <c r="R387" s="249"/>
      <c r="S387" s="249"/>
      <c r="T387" s="94" t="s">
        <v>49</v>
      </c>
      <c r="U387" s="260"/>
      <c r="V387" s="260"/>
      <c r="W387" s="92" t="s">
        <v>54</v>
      </c>
      <c r="X387" s="93"/>
    </row>
    <row r="388" spans="1:24" ht="18.75" customHeight="1">
      <c r="A388" s="86" t="s">
        <v>71</v>
      </c>
      <c r="B388" s="84" t="s">
        <v>49</v>
      </c>
      <c r="C388" s="87"/>
      <c r="D388" s="88" t="s">
        <v>58</v>
      </c>
      <c r="E388" s="249" t="s">
        <v>72</v>
      </c>
      <c r="F388" s="249"/>
      <c r="G388" s="249"/>
      <c r="H388" s="84" t="s">
        <v>49</v>
      </c>
      <c r="I388" s="260"/>
      <c r="J388" s="260"/>
      <c r="K388" s="92" t="s">
        <v>54</v>
      </c>
      <c r="L388" s="93"/>
      <c r="M388" s="86" t="s">
        <v>71</v>
      </c>
      <c r="N388" s="84" t="s">
        <v>49</v>
      </c>
      <c r="O388" s="87"/>
      <c r="P388" s="88" t="s">
        <v>58</v>
      </c>
      <c r="Q388" s="249" t="s">
        <v>72</v>
      </c>
      <c r="R388" s="249"/>
      <c r="S388" s="249"/>
      <c r="T388" s="84" t="s">
        <v>49</v>
      </c>
      <c r="U388" s="260"/>
      <c r="V388" s="260"/>
      <c r="W388" s="92" t="s">
        <v>54</v>
      </c>
      <c r="X388" s="93"/>
    </row>
    <row r="389" spans="1:24" ht="18.75" customHeight="1">
      <c r="A389" s="95" t="s">
        <v>73</v>
      </c>
      <c r="B389" s="84"/>
      <c r="C389" s="87">
        <f>'[1]LUONG T7'!M50</f>
        <v>0</v>
      </c>
      <c r="D389" s="88" t="s">
        <v>67</v>
      </c>
      <c r="E389" s="249" t="s">
        <v>74</v>
      </c>
      <c r="F389" s="249"/>
      <c r="G389" s="249"/>
      <c r="H389" s="84" t="s">
        <v>49</v>
      </c>
      <c r="I389" s="260">
        <f>$F$8*C389/8/$L$1</f>
        <v>0</v>
      </c>
      <c r="J389" s="260"/>
      <c r="K389" s="92" t="s">
        <v>54</v>
      </c>
      <c r="L389" s="93"/>
      <c r="M389" s="95" t="s">
        <v>73</v>
      </c>
      <c r="N389" s="84"/>
      <c r="O389" s="87">
        <f>'[1]LUONG T7'!M52</f>
        <v>0</v>
      </c>
      <c r="P389" s="88" t="s">
        <v>67</v>
      </c>
      <c r="Q389" s="249" t="s">
        <v>74</v>
      </c>
      <c r="R389" s="249"/>
      <c r="S389" s="249"/>
      <c r="T389" s="84" t="s">
        <v>49</v>
      </c>
      <c r="U389" s="260">
        <f>$F$8*O389/8/$L$1</f>
        <v>0</v>
      </c>
      <c r="V389" s="260"/>
      <c r="W389" s="92" t="s">
        <v>54</v>
      </c>
      <c r="X389" s="93"/>
    </row>
    <row r="390" spans="1:24" ht="18.75" customHeight="1">
      <c r="A390" s="86" t="s">
        <v>75</v>
      </c>
      <c r="B390" s="84" t="s">
        <v>49</v>
      </c>
      <c r="C390" s="87"/>
      <c r="D390" s="88" t="s">
        <v>67</v>
      </c>
      <c r="E390" s="249" t="s">
        <v>97</v>
      </c>
      <c r="F390" s="249"/>
      <c r="G390" s="249"/>
      <c r="H390" s="84" t="s">
        <v>49</v>
      </c>
      <c r="I390" s="262"/>
      <c r="J390" s="262"/>
      <c r="K390" s="92" t="s">
        <v>54</v>
      </c>
      <c r="L390" s="93"/>
      <c r="M390" s="86" t="s">
        <v>75</v>
      </c>
      <c r="N390" s="84" t="s">
        <v>49</v>
      </c>
      <c r="O390" s="87"/>
      <c r="P390" s="88" t="s">
        <v>67</v>
      </c>
      <c r="Q390" s="249" t="s">
        <v>97</v>
      </c>
      <c r="R390" s="249"/>
      <c r="S390" s="249"/>
      <c r="T390" s="84" t="s">
        <v>49</v>
      </c>
      <c r="U390" s="262"/>
      <c r="V390" s="262"/>
      <c r="W390" s="92" t="s">
        <v>54</v>
      </c>
      <c r="X390" s="93"/>
    </row>
    <row r="391" spans="1:24" ht="18.75" customHeight="1">
      <c r="A391" s="86" t="s">
        <v>77</v>
      </c>
      <c r="B391" s="84" t="s">
        <v>49</v>
      </c>
      <c r="C391" s="87"/>
      <c r="D391" s="88" t="s">
        <v>78</v>
      </c>
      <c r="E391" s="96" t="s">
        <v>79</v>
      </c>
      <c r="F391" s="96"/>
      <c r="G391" s="96"/>
      <c r="H391" s="84" t="s">
        <v>49</v>
      </c>
      <c r="I391" s="260"/>
      <c r="J391" s="260"/>
      <c r="K391" s="92" t="s">
        <v>54</v>
      </c>
      <c r="L391" s="93">
        <f>+IF(L382-I382&lt;0,0,L382-I382)+IF(L386-I386&lt;0,0,L386-I386)</f>
        <v>0</v>
      </c>
      <c r="M391" s="86" t="s">
        <v>77</v>
      </c>
      <c r="N391" s="84" t="s">
        <v>49</v>
      </c>
      <c r="O391" s="87"/>
      <c r="P391" s="88" t="s">
        <v>78</v>
      </c>
      <c r="Q391" s="96" t="s">
        <v>79</v>
      </c>
      <c r="R391" s="96"/>
      <c r="S391" s="96"/>
      <c r="T391" s="84" t="s">
        <v>49</v>
      </c>
      <c r="U391" s="260"/>
      <c r="V391" s="260"/>
      <c r="W391" s="92" t="s">
        <v>54</v>
      </c>
      <c r="X391" s="93">
        <f>+IF(X382-U382&lt;0,0,X382-U382)+IF(X386-U386&lt;0,0,X386-U386)</f>
        <v>0</v>
      </c>
    </row>
    <row r="392" spans="1:24" ht="18.75" customHeight="1">
      <c r="A392" s="97" t="s">
        <v>122</v>
      </c>
      <c r="B392" s="98"/>
      <c r="C392" s="87"/>
      <c r="D392" s="88" t="s">
        <v>58</v>
      </c>
      <c r="E392" s="249" t="s">
        <v>123</v>
      </c>
      <c r="F392" s="249"/>
      <c r="G392" s="249"/>
      <c r="H392" s="84" t="s">
        <v>49</v>
      </c>
      <c r="I392" s="260"/>
      <c r="J392" s="260"/>
      <c r="K392" s="92" t="s">
        <v>54</v>
      </c>
      <c r="L392" s="93"/>
      <c r="M392" s="97" t="s">
        <v>122</v>
      </c>
      <c r="N392" s="98"/>
      <c r="O392" s="87"/>
      <c r="P392" s="88" t="s">
        <v>58</v>
      </c>
      <c r="Q392" s="249" t="s">
        <v>123</v>
      </c>
      <c r="R392" s="249"/>
      <c r="S392" s="249"/>
      <c r="T392" s="84" t="s">
        <v>49</v>
      </c>
      <c r="U392" s="260"/>
      <c r="V392" s="260"/>
      <c r="W392" s="92" t="s">
        <v>54</v>
      </c>
      <c r="X392" s="93"/>
    </row>
    <row r="393" spans="1:24" ht="18.75" customHeight="1">
      <c r="A393" s="267" t="s">
        <v>82</v>
      </c>
      <c r="B393" s="261"/>
      <c r="C393" s="87"/>
      <c r="D393" s="88"/>
      <c r="E393" s="89"/>
      <c r="F393" s="89"/>
      <c r="G393" s="89"/>
      <c r="H393" s="84" t="s">
        <v>49</v>
      </c>
      <c r="I393" s="260">
        <f>'[1]LUONG T7'!P51</f>
        <v>0</v>
      </c>
      <c r="J393" s="260"/>
      <c r="K393" s="92" t="s">
        <v>54</v>
      </c>
      <c r="L393" s="93"/>
      <c r="M393" s="267" t="s">
        <v>82</v>
      </c>
      <c r="N393" s="261"/>
      <c r="O393" s="87"/>
      <c r="P393" s="88"/>
      <c r="Q393" s="89"/>
      <c r="R393" s="89"/>
      <c r="S393" s="89"/>
      <c r="T393" s="84" t="s">
        <v>49</v>
      </c>
      <c r="U393" s="260">
        <f>'[1]LUONG T7'!P53</f>
        <v>0</v>
      </c>
      <c r="V393" s="260"/>
      <c r="W393" s="92" t="s">
        <v>54</v>
      </c>
      <c r="X393" s="93"/>
    </row>
    <row r="394" spans="1:24" ht="18.75" customHeight="1">
      <c r="A394" s="86" t="s">
        <v>83</v>
      </c>
      <c r="B394" s="84" t="s">
        <v>49</v>
      </c>
      <c r="C394" s="87"/>
      <c r="D394" s="88"/>
      <c r="E394" s="89" t="s">
        <v>84</v>
      </c>
      <c r="F394" s="89"/>
      <c r="G394" s="89"/>
      <c r="H394" s="84" t="s">
        <v>49</v>
      </c>
      <c r="I394" s="260">
        <f>L391</f>
        <v>0</v>
      </c>
      <c r="J394" s="260"/>
      <c r="K394" s="92" t="s">
        <v>54</v>
      </c>
      <c r="L394" s="93"/>
      <c r="M394" s="86" t="s">
        <v>83</v>
      </c>
      <c r="N394" s="84" t="s">
        <v>49</v>
      </c>
      <c r="O394" s="87"/>
      <c r="P394" s="88"/>
      <c r="Q394" s="89" t="s">
        <v>84</v>
      </c>
      <c r="R394" s="89"/>
      <c r="S394" s="89"/>
      <c r="T394" s="84" t="s">
        <v>49</v>
      </c>
      <c r="U394" s="260">
        <f>X391</f>
        <v>0</v>
      </c>
      <c r="V394" s="260"/>
      <c r="W394" s="92" t="s">
        <v>54</v>
      </c>
      <c r="X394" s="93"/>
    </row>
    <row r="395" spans="1:24" ht="18.75" customHeight="1">
      <c r="A395" s="264" t="s">
        <v>85</v>
      </c>
      <c r="B395" s="265"/>
      <c r="C395" s="265"/>
      <c r="D395" s="265"/>
      <c r="E395" s="265"/>
      <c r="F395" s="265"/>
      <c r="G395" s="84" t="s">
        <v>49</v>
      </c>
      <c r="H395" s="266">
        <f>I382+I383+I384+I385+I386+I389+I393+I394</f>
        <v>0</v>
      </c>
      <c r="I395" s="266"/>
      <c r="J395" s="266"/>
      <c r="K395" s="92" t="s">
        <v>54</v>
      </c>
      <c r="M395" s="264" t="s">
        <v>85</v>
      </c>
      <c r="N395" s="265"/>
      <c r="O395" s="265"/>
      <c r="P395" s="265"/>
      <c r="Q395" s="265"/>
      <c r="R395" s="265"/>
      <c r="S395" s="84" t="s">
        <v>49</v>
      </c>
      <c r="T395" s="266">
        <f>U382+U383+U384+U385+U386+U389+U393+U394</f>
        <v>0</v>
      </c>
      <c r="U395" s="266"/>
      <c r="V395" s="266"/>
      <c r="W395" s="92" t="s">
        <v>54</v>
      </c>
    </row>
    <row r="396" spans="1:24" ht="18.75" customHeight="1">
      <c r="A396" s="99"/>
      <c r="B396" s="100"/>
      <c r="C396" s="100"/>
      <c r="D396" s="100"/>
      <c r="E396" s="100"/>
      <c r="F396" s="100"/>
      <c r="G396" s="100"/>
      <c r="H396" s="100"/>
      <c r="I396" s="100"/>
      <c r="J396" s="100"/>
      <c r="K396" s="101"/>
      <c r="M396" s="99"/>
      <c r="N396" s="100"/>
      <c r="O396" s="100"/>
      <c r="P396" s="100"/>
      <c r="Q396" s="100"/>
      <c r="R396" s="100"/>
      <c r="S396" s="100"/>
      <c r="T396" s="100"/>
      <c r="U396" s="100"/>
      <c r="V396" s="100"/>
      <c r="W396" s="101"/>
    </row>
    <row r="397" spans="1:24" ht="18.75" customHeight="1">
      <c r="A397" s="274" t="s">
        <v>86</v>
      </c>
      <c r="B397" s="275"/>
      <c r="C397" s="275"/>
      <c r="D397" s="275"/>
      <c r="E397" s="275"/>
      <c r="F397" s="275"/>
      <c r="G397" s="84"/>
      <c r="H397" s="84"/>
      <c r="I397" s="84"/>
      <c r="J397" s="84"/>
      <c r="K397" s="92"/>
      <c r="M397" s="274" t="s">
        <v>86</v>
      </c>
      <c r="N397" s="275"/>
      <c r="O397" s="275"/>
      <c r="P397" s="275"/>
      <c r="Q397" s="275"/>
      <c r="R397" s="275"/>
      <c r="S397" s="84"/>
      <c r="T397" s="84"/>
      <c r="U397" s="84"/>
      <c r="V397" s="84"/>
      <c r="W397" s="92"/>
    </row>
    <row r="398" spans="1:24" ht="18.75" customHeight="1">
      <c r="A398" s="268" t="s">
        <v>87</v>
      </c>
      <c r="B398" s="269"/>
      <c r="C398" s="269"/>
      <c r="D398" s="269"/>
      <c r="E398" s="269"/>
      <c r="F398" s="269"/>
      <c r="G398" s="84" t="s">
        <v>49</v>
      </c>
      <c r="H398" s="276">
        <f>IF(($L$1-(C382+C383+C384+C385))&gt;12,0,F379*8%)</f>
        <v>0</v>
      </c>
      <c r="I398" s="276"/>
      <c r="J398" s="276"/>
      <c r="K398" s="92" t="s">
        <v>54</v>
      </c>
      <c r="M398" s="268" t="s">
        <v>87</v>
      </c>
      <c r="N398" s="269"/>
      <c r="O398" s="269"/>
      <c r="P398" s="269"/>
      <c r="Q398" s="269"/>
      <c r="R398" s="269"/>
      <c r="S398" s="84" t="s">
        <v>49</v>
      </c>
      <c r="T398" s="276">
        <f>IF(($L$1-(O382+O383+O384+O385))&gt;12,0,R379*8%)</f>
        <v>0</v>
      </c>
      <c r="U398" s="276"/>
      <c r="V398" s="276"/>
      <c r="W398" s="92" t="s">
        <v>54</v>
      </c>
    </row>
    <row r="399" spans="1:24" ht="18.75" customHeight="1">
      <c r="A399" s="268" t="s">
        <v>88</v>
      </c>
      <c r="B399" s="269"/>
      <c r="C399" s="269"/>
      <c r="D399" s="269"/>
      <c r="E399" s="269"/>
      <c r="F399" s="269"/>
      <c r="G399" s="84" t="s">
        <v>49</v>
      </c>
      <c r="H399" s="270">
        <f>IF(($L$1-(C382+C383+C384+C385))&gt;12,0,F379*1.5%)</f>
        <v>0</v>
      </c>
      <c r="I399" s="270"/>
      <c r="J399" s="270"/>
      <c r="K399" s="92" t="s">
        <v>54</v>
      </c>
      <c r="M399" s="268" t="s">
        <v>88</v>
      </c>
      <c r="N399" s="269"/>
      <c r="O399" s="269"/>
      <c r="P399" s="269"/>
      <c r="Q399" s="269"/>
      <c r="R399" s="269"/>
      <c r="S399" s="84" t="s">
        <v>49</v>
      </c>
      <c r="T399" s="270">
        <f>IF(($L$1-(O382+O383+O384+O385))&gt;12,0,R379*1.5%)</f>
        <v>0</v>
      </c>
      <c r="U399" s="270"/>
      <c r="V399" s="270"/>
      <c r="W399" s="92" t="s">
        <v>54</v>
      </c>
    </row>
    <row r="400" spans="1:24" ht="18.75" customHeight="1">
      <c r="A400" s="268" t="s">
        <v>89</v>
      </c>
      <c r="B400" s="269"/>
      <c r="C400" s="269"/>
      <c r="D400" s="269"/>
      <c r="E400" s="269"/>
      <c r="F400" s="269"/>
      <c r="G400" s="84" t="s">
        <v>49</v>
      </c>
      <c r="H400" s="270">
        <f>IF(($L$1-(C382+C383+C384+C385))&gt;12,0,F379*1%)</f>
        <v>0</v>
      </c>
      <c r="I400" s="270"/>
      <c r="J400" s="270"/>
      <c r="K400" s="92" t="s">
        <v>54</v>
      </c>
      <c r="M400" s="268" t="s">
        <v>89</v>
      </c>
      <c r="N400" s="269"/>
      <c r="O400" s="269"/>
      <c r="P400" s="269"/>
      <c r="Q400" s="269"/>
      <c r="R400" s="269"/>
      <c r="S400" s="84" t="s">
        <v>49</v>
      </c>
      <c r="T400" s="270">
        <f>IF(($L$1-(O382+O383+O384+O385))&gt;12,0,R379*1%)</f>
        <v>0</v>
      </c>
      <c r="U400" s="270"/>
      <c r="V400" s="270"/>
      <c r="W400" s="92" t="s">
        <v>54</v>
      </c>
    </row>
    <row r="401" spans="1:24" ht="18.75" customHeight="1">
      <c r="A401" s="268" t="s">
        <v>90</v>
      </c>
      <c r="B401" s="269"/>
      <c r="C401" s="269"/>
      <c r="D401" s="269"/>
      <c r="E401" s="269"/>
      <c r="F401" s="269"/>
      <c r="G401" s="84" t="s">
        <v>49</v>
      </c>
      <c r="H401" s="270">
        <v>0</v>
      </c>
      <c r="I401" s="270"/>
      <c r="J401" s="270"/>
      <c r="K401" s="92" t="s">
        <v>54</v>
      </c>
      <c r="M401" s="268" t="s">
        <v>90</v>
      </c>
      <c r="N401" s="269"/>
      <c r="O401" s="269"/>
      <c r="P401" s="269"/>
      <c r="Q401" s="269"/>
      <c r="R401" s="269"/>
      <c r="S401" s="84" t="s">
        <v>49</v>
      </c>
      <c r="T401" s="270">
        <v>0</v>
      </c>
      <c r="U401" s="270"/>
      <c r="V401" s="270"/>
      <c r="W401" s="92" t="s">
        <v>54</v>
      </c>
    </row>
    <row r="402" spans="1:24" ht="18.75" customHeight="1">
      <c r="A402" s="271" t="s">
        <v>91</v>
      </c>
      <c r="B402" s="272"/>
      <c r="C402" s="272"/>
      <c r="D402" s="272"/>
      <c r="E402" s="272"/>
      <c r="F402" s="272"/>
      <c r="G402" s="84" t="s">
        <v>49</v>
      </c>
      <c r="H402" s="273">
        <f>SUM(H398:J401)</f>
        <v>0</v>
      </c>
      <c r="I402" s="273"/>
      <c r="J402" s="273"/>
      <c r="K402" s="92" t="s">
        <v>54</v>
      </c>
      <c r="M402" s="271" t="s">
        <v>91</v>
      </c>
      <c r="N402" s="272"/>
      <c r="O402" s="272"/>
      <c r="P402" s="272"/>
      <c r="Q402" s="272"/>
      <c r="R402" s="272"/>
      <c r="S402" s="84" t="s">
        <v>49</v>
      </c>
      <c r="T402" s="273">
        <f>SUM(T398:V401)</f>
        <v>0</v>
      </c>
      <c r="U402" s="273"/>
      <c r="V402" s="273"/>
      <c r="W402" s="92" t="s">
        <v>54</v>
      </c>
    </row>
    <row r="403" spans="1:24" ht="18.75" customHeight="1">
      <c r="A403" s="268" t="s">
        <v>92</v>
      </c>
      <c r="B403" s="269"/>
      <c r="C403" s="269"/>
      <c r="D403" s="269"/>
      <c r="E403" s="269"/>
      <c r="F403" s="269"/>
      <c r="G403" s="84" t="s">
        <v>49</v>
      </c>
      <c r="H403" s="280">
        <f>ROUND(H395-H402,-2)</f>
        <v>0</v>
      </c>
      <c r="I403" s="280"/>
      <c r="J403" s="280"/>
      <c r="K403" s="92" t="s">
        <v>54</v>
      </c>
      <c r="M403" s="268" t="s">
        <v>92</v>
      </c>
      <c r="N403" s="269"/>
      <c r="O403" s="269"/>
      <c r="P403" s="269"/>
      <c r="Q403" s="269"/>
      <c r="R403" s="269"/>
      <c r="S403" s="84" t="s">
        <v>49</v>
      </c>
      <c r="T403" s="280">
        <f>ROUND(T395-T402,-2)</f>
        <v>0</v>
      </c>
      <c r="U403" s="280"/>
      <c r="V403" s="280"/>
      <c r="W403" s="92" t="s">
        <v>54</v>
      </c>
    </row>
    <row r="404" spans="1:24" ht="18.75" customHeight="1">
      <c r="A404" s="102"/>
      <c r="B404" s="103"/>
      <c r="C404" s="103"/>
      <c r="D404" s="103"/>
      <c r="E404" s="103"/>
      <c r="F404" s="103"/>
      <c r="G404" s="103"/>
      <c r="H404" s="103"/>
      <c r="I404" s="103"/>
      <c r="J404" s="103"/>
      <c r="K404" s="104"/>
      <c r="M404" s="102"/>
      <c r="N404" s="103"/>
      <c r="O404" s="103"/>
      <c r="P404" s="103"/>
      <c r="Q404" s="103"/>
      <c r="R404" s="103"/>
      <c r="S404" s="103"/>
      <c r="T404" s="103"/>
      <c r="U404" s="103"/>
      <c r="V404" s="103"/>
      <c r="W404" s="104"/>
    </row>
    <row r="405" spans="1:24" ht="18.75" customHeight="1">
      <c r="A405" s="105"/>
      <c r="B405" s="84"/>
      <c r="C405" s="84"/>
      <c r="D405" s="84"/>
      <c r="E405" s="84"/>
      <c r="F405" s="84"/>
      <c r="G405" s="84"/>
      <c r="H405" s="84"/>
      <c r="I405" s="277" t="s">
        <v>93</v>
      </c>
      <c r="J405" s="277"/>
      <c r="K405" s="281"/>
      <c r="M405" s="105"/>
      <c r="N405" s="84"/>
      <c r="O405" s="84"/>
      <c r="P405" s="84"/>
      <c r="Q405" s="84"/>
      <c r="R405" s="84"/>
      <c r="S405" s="84"/>
      <c r="T405" s="84"/>
      <c r="U405" s="277" t="s">
        <v>93</v>
      </c>
      <c r="V405" s="277"/>
      <c r="W405" s="281"/>
    </row>
    <row r="406" spans="1:24" ht="18.75" customHeight="1">
      <c r="A406" s="105"/>
      <c r="B406" s="277"/>
      <c r="C406" s="277"/>
      <c r="D406" s="277"/>
      <c r="E406" s="277"/>
      <c r="F406" s="84"/>
      <c r="G406" s="84"/>
      <c r="H406" s="84"/>
      <c r="I406" s="84"/>
      <c r="J406" s="84"/>
      <c r="K406" s="85"/>
      <c r="M406" s="105"/>
      <c r="N406" s="277"/>
      <c r="O406" s="277"/>
      <c r="P406" s="277"/>
      <c r="Q406" s="277"/>
      <c r="R406" s="84"/>
      <c r="S406" s="84"/>
      <c r="T406" s="84"/>
      <c r="U406" s="84"/>
      <c r="V406" s="84"/>
      <c r="W406" s="85"/>
    </row>
    <row r="407" spans="1:24" ht="18.75" customHeight="1" thickBot="1">
      <c r="A407" s="106"/>
      <c r="B407" s="107"/>
      <c r="C407" s="107"/>
      <c r="D407" s="107"/>
      <c r="E407" s="107"/>
      <c r="F407" s="107"/>
      <c r="G407" s="107"/>
      <c r="H407" s="107"/>
      <c r="I407" s="278" t="s">
        <v>94</v>
      </c>
      <c r="J407" s="278"/>
      <c r="K407" s="279"/>
      <c r="M407" s="106"/>
      <c r="N407" s="107"/>
      <c r="O407" s="107"/>
      <c r="P407" s="107"/>
      <c r="Q407" s="107"/>
      <c r="R407" s="107"/>
      <c r="S407" s="107"/>
      <c r="T407" s="107"/>
      <c r="U407" s="278" t="s">
        <v>94</v>
      </c>
      <c r="V407" s="278"/>
      <c r="W407" s="279"/>
    </row>
    <row r="408" spans="1:24" ht="18.75" customHeight="1" thickTop="1" thickBot="1">
      <c r="A408" s="105"/>
      <c r="B408" s="84"/>
      <c r="C408" s="84"/>
      <c r="D408" s="84"/>
      <c r="E408" s="84"/>
      <c r="F408" s="84"/>
      <c r="G408" s="84"/>
      <c r="H408" s="84"/>
      <c r="I408" s="108"/>
      <c r="J408" s="108"/>
      <c r="K408" s="108"/>
      <c r="M408" s="105"/>
      <c r="N408" s="84"/>
      <c r="O408" s="84"/>
      <c r="P408" s="84"/>
      <c r="Q408" s="84"/>
      <c r="R408" s="84"/>
      <c r="S408" s="84"/>
      <c r="T408" s="84"/>
      <c r="U408" s="108"/>
      <c r="V408" s="108"/>
      <c r="W408" s="108"/>
    </row>
    <row r="409" spans="1:24" ht="18.75" customHeight="1" thickTop="1">
      <c r="A409" s="253" t="s">
        <v>43</v>
      </c>
      <c r="B409" s="254"/>
      <c r="C409" s="254"/>
      <c r="D409" s="254"/>
      <c r="E409" s="254"/>
      <c r="F409" s="254"/>
      <c r="G409" s="254"/>
      <c r="H409" s="254"/>
      <c r="I409" s="254"/>
      <c r="J409" s="254"/>
      <c r="K409" s="255"/>
      <c r="L409" s="80">
        <v>25</v>
      </c>
      <c r="M409" s="253" t="s">
        <v>43</v>
      </c>
      <c r="N409" s="254"/>
      <c r="O409" s="254"/>
      <c r="P409" s="254"/>
      <c r="Q409" s="254"/>
      <c r="R409" s="254"/>
      <c r="S409" s="254"/>
      <c r="T409" s="254"/>
      <c r="U409" s="254"/>
      <c r="V409" s="254"/>
      <c r="W409" s="255"/>
      <c r="X409" s="80">
        <v>25</v>
      </c>
    </row>
    <row r="410" spans="1:24" ht="18.75" customHeight="1">
      <c r="A410" s="81" t="s">
        <v>130</v>
      </c>
      <c r="B410" s="82"/>
      <c r="C410" s="82"/>
      <c r="D410" s="82"/>
      <c r="E410" s="82"/>
      <c r="F410" s="82"/>
      <c r="G410" s="82"/>
      <c r="H410" s="82"/>
      <c r="I410" s="82"/>
      <c r="J410" s="82"/>
      <c r="K410" s="83"/>
      <c r="M410" s="81" t="s">
        <v>131</v>
      </c>
      <c r="N410" s="82"/>
      <c r="O410" s="82"/>
      <c r="P410" s="82"/>
      <c r="Q410" s="82"/>
      <c r="R410" s="82"/>
      <c r="S410" s="82"/>
      <c r="T410" s="82"/>
      <c r="U410" s="82"/>
      <c r="V410" s="82"/>
      <c r="W410" s="83"/>
    </row>
    <row r="411" spans="1:24" ht="18.75" customHeight="1">
      <c r="A411" s="256" t="s">
        <v>47</v>
      </c>
      <c r="B411" s="257"/>
      <c r="C411" s="257"/>
      <c r="D411" s="257"/>
      <c r="E411" s="257"/>
      <c r="F411" s="257"/>
      <c r="G411" s="257"/>
      <c r="H411" s="257"/>
      <c r="I411" s="257"/>
      <c r="J411" s="257"/>
      <c r="K411" s="258"/>
      <c r="M411" s="256" t="s">
        <v>47</v>
      </c>
      <c r="N411" s="257"/>
      <c r="O411" s="257"/>
      <c r="P411" s="257"/>
      <c r="Q411" s="257"/>
      <c r="R411" s="257"/>
      <c r="S411" s="257"/>
      <c r="T411" s="257"/>
      <c r="U411" s="257"/>
      <c r="V411" s="257"/>
      <c r="W411" s="258"/>
    </row>
    <row r="412" spans="1:24" ht="18.75" customHeight="1">
      <c r="A412" s="248" t="s">
        <v>48</v>
      </c>
      <c r="B412" s="249"/>
      <c r="C412" s="249"/>
      <c r="D412" s="249"/>
      <c r="E412" s="84" t="s">
        <v>49</v>
      </c>
      <c r="F412" s="250">
        <f>'[1]Bang TH nop'!B42</f>
        <v>0</v>
      </c>
      <c r="G412" s="249"/>
      <c r="H412" s="249"/>
      <c r="I412" s="249"/>
      <c r="J412" s="249"/>
      <c r="K412" s="252"/>
      <c r="M412" s="248" t="s">
        <v>48</v>
      </c>
      <c r="N412" s="249"/>
      <c r="O412" s="249"/>
      <c r="P412" s="249"/>
      <c r="Q412" s="84" t="s">
        <v>49</v>
      </c>
      <c r="R412" s="250">
        <f>'[1]Bang TH nop'!B44</f>
        <v>0</v>
      </c>
      <c r="S412" s="249"/>
      <c r="T412" s="249"/>
      <c r="U412" s="249"/>
      <c r="V412" s="249"/>
      <c r="W412" s="252"/>
    </row>
    <row r="413" spans="1:24" ht="18.75" customHeight="1">
      <c r="A413" s="248" t="s">
        <v>50</v>
      </c>
      <c r="B413" s="249"/>
      <c r="C413" s="249"/>
      <c r="D413" s="249"/>
      <c r="E413" s="84" t="s">
        <v>49</v>
      </c>
      <c r="F413" s="250">
        <f>'[1]Bang TH nop'!C42</f>
        <v>0</v>
      </c>
      <c r="G413" s="250"/>
      <c r="H413" s="250"/>
      <c r="I413" s="250"/>
      <c r="J413" s="250"/>
      <c r="K413" s="251"/>
      <c r="M413" s="248" t="s">
        <v>50</v>
      </c>
      <c r="N413" s="249"/>
      <c r="O413" s="249"/>
      <c r="P413" s="249"/>
      <c r="Q413" s="84" t="s">
        <v>49</v>
      </c>
      <c r="R413" s="250">
        <f>'[1]Bang TH nop'!C44</f>
        <v>0</v>
      </c>
      <c r="S413" s="250"/>
      <c r="T413" s="250"/>
      <c r="U413" s="250"/>
      <c r="V413" s="250"/>
      <c r="W413" s="251"/>
    </row>
    <row r="414" spans="1:24" ht="18.75" customHeight="1">
      <c r="A414" s="248" t="s">
        <v>51</v>
      </c>
      <c r="B414" s="249"/>
      <c r="C414" s="249"/>
      <c r="D414" s="249"/>
      <c r="E414" s="84" t="s">
        <v>49</v>
      </c>
      <c r="F414" s="249" t="s">
        <v>121</v>
      </c>
      <c r="G414" s="249"/>
      <c r="H414" s="249"/>
      <c r="I414" s="249"/>
      <c r="J414" s="249"/>
      <c r="K414" s="252"/>
      <c r="M414" s="248" t="s">
        <v>51</v>
      </c>
      <c r="N414" s="249"/>
      <c r="O414" s="249"/>
      <c r="P414" s="249"/>
      <c r="Q414" s="84" t="s">
        <v>49</v>
      </c>
      <c r="R414" s="249" t="s">
        <v>121</v>
      </c>
      <c r="S414" s="249"/>
      <c r="T414" s="249"/>
      <c r="U414" s="249"/>
      <c r="V414" s="249"/>
      <c r="W414" s="252"/>
    </row>
    <row r="415" spans="1:24" ht="18.75" customHeight="1">
      <c r="A415" s="256" t="s">
        <v>52</v>
      </c>
      <c r="B415" s="257"/>
      <c r="C415" s="257"/>
      <c r="D415" s="257"/>
      <c r="E415" s="257"/>
      <c r="F415" s="257"/>
      <c r="G415" s="257"/>
      <c r="H415" s="257"/>
      <c r="I415" s="257"/>
      <c r="J415" s="257"/>
      <c r="K415" s="258"/>
      <c r="M415" s="256" t="s">
        <v>52</v>
      </c>
      <c r="N415" s="257"/>
      <c r="O415" s="257"/>
      <c r="P415" s="257"/>
      <c r="Q415" s="257"/>
      <c r="R415" s="257"/>
      <c r="S415" s="257"/>
      <c r="T415" s="257"/>
      <c r="U415" s="257"/>
      <c r="V415" s="257"/>
      <c r="W415" s="258"/>
    </row>
    <row r="416" spans="1:24" ht="18.75" customHeight="1">
      <c r="A416" s="248" t="s">
        <v>53</v>
      </c>
      <c r="B416" s="249"/>
      <c r="C416" s="249"/>
      <c r="D416" s="249"/>
      <c r="E416" s="84" t="s">
        <v>49</v>
      </c>
      <c r="F416" s="263">
        <v>2915400</v>
      </c>
      <c r="G416" s="263"/>
      <c r="H416" s="263"/>
      <c r="I416" s="263"/>
      <c r="J416" s="84" t="s">
        <v>54</v>
      </c>
      <c r="K416" s="85"/>
      <c r="M416" s="248" t="s">
        <v>53</v>
      </c>
      <c r="N416" s="249"/>
      <c r="O416" s="249"/>
      <c r="P416" s="249"/>
      <c r="Q416" s="84" t="s">
        <v>49</v>
      </c>
      <c r="R416" s="263">
        <v>2915400</v>
      </c>
      <c r="S416" s="263"/>
      <c r="T416" s="263"/>
      <c r="U416" s="263"/>
      <c r="V416" s="84" t="s">
        <v>54</v>
      </c>
      <c r="W416" s="85"/>
    </row>
    <row r="417" spans="1:24" ht="18.75" customHeight="1">
      <c r="A417" s="86" t="s">
        <v>55</v>
      </c>
      <c r="B417" s="84"/>
      <c r="C417" s="87"/>
      <c r="D417" s="88"/>
      <c r="E417" s="89"/>
      <c r="F417" s="89"/>
      <c r="G417" s="89"/>
      <c r="H417" s="84"/>
      <c r="I417" s="90">
        <f>'[1]LUONG T7'!F55</f>
        <v>0</v>
      </c>
      <c r="J417" s="91"/>
      <c r="K417" s="92"/>
      <c r="M417" s="86" t="s">
        <v>55</v>
      </c>
      <c r="N417" s="84"/>
      <c r="O417" s="87"/>
      <c r="P417" s="88"/>
      <c r="Q417" s="89"/>
      <c r="R417" s="89"/>
      <c r="S417" s="89"/>
      <c r="T417" s="84"/>
      <c r="U417" s="90">
        <f>'[1]LUONG T7'!F57</f>
        <v>0</v>
      </c>
      <c r="V417" s="91"/>
      <c r="W417" s="92"/>
    </row>
    <row r="418" spans="1:24" ht="18.75" customHeight="1">
      <c r="A418" s="86" t="s">
        <v>56</v>
      </c>
      <c r="B418" s="84"/>
      <c r="C418" s="87"/>
      <c r="D418" s="88"/>
      <c r="E418" s="89"/>
      <c r="F418" s="89"/>
      <c r="G418" s="89"/>
      <c r="H418" s="84"/>
      <c r="I418" s="90" t="e">
        <f>I419/C419/8</f>
        <v>#DIV/0!</v>
      </c>
      <c r="J418" s="91"/>
      <c r="K418" s="92"/>
      <c r="M418" s="86" t="s">
        <v>56</v>
      </c>
      <c r="N418" s="84"/>
      <c r="O418" s="87"/>
      <c r="P418" s="88"/>
      <c r="Q418" s="89"/>
      <c r="R418" s="89"/>
      <c r="S418" s="89"/>
      <c r="T418" s="84"/>
      <c r="U418" s="90" t="e">
        <f>U419/O419/8</f>
        <v>#DIV/0!</v>
      </c>
      <c r="V418" s="91"/>
      <c r="W418" s="92"/>
    </row>
    <row r="419" spans="1:24" ht="18.75" customHeight="1">
      <c r="A419" s="86" t="s">
        <v>57</v>
      </c>
      <c r="B419" s="84" t="s">
        <v>49</v>
      </c>
      <c r="C419" s="87">
        <f>'[1]LUONG T7'!I54</f>
        <v>0</v>
      </c>
      <c r="D419" s="88" t="s">
        <v>58</v>
      </c>
      <c r="E419" s="261" t="s">
        <v>59</v>
      </c>
      <c r="F419" s="261"/>
      <c r="G419" s="261"/>
      <c r="H419" s="84" t="s">
        <v>49</v>
      </c>
      <c r="I419" s="262">
        <f>'[1]LUONG T7'!I55</f>
        <v>0</v>
      </c>
      <c r="J419" s="262"/>
      <c r="K419" s="92" t="s">
        <v>54</v>
      </c>
      <c r="L419" s="93">
        <f>F416/L409*C419</f>
        <v>0</v>
      </c>
      <c r="M419" s="86" t="s">
        <v>57</v>
      </c>
      <c r="N419" s="84" t="s">
        <v>49</v>
      </c>
      <c r="O419" s="87">
        <f>'[1]LUONG T7'!I56</f>
        <v>0</v>
      </c>
      <c r="P419" s="88" t="s">
        <v>58</v>
      </c>
      <c r="Q419" s="261" t="s">
        <v>59</v>
      </c>
      <c r="R419" s="261"/>
      <c r="S419" s="261"/>
      <c r="T419" s="84" t="s">
        <v>49</v>
      </c>
      <c r="U419" s="262">
        <f>'[1]LUONG T7'!I57</f>
        <v>0</v>
      </c>
      <c r="V419" s="262"/>
      <c r="W419" s="92" t="s">
        <v>54</v>
      </c>
      <c r="X419" s="93">
        <f>R416/X409*O419</f>
        <v>0</v>
      </c>
    </row>
    <row r="420" spans="1:24" ht="18.75" customHeight="1">
      <c r="A420" s="86" t="s">
        <v>60</v>
      </c>
      <c r="B420" s="84" t="s">
        <v>49</v>
      </c>
      <c r="C420" s="87">
        <f>'[1]LUONG T7'!J54</f>
        <v>0</v>
      </c>
      <c r="D420" s="88" t="s">
        <v>58</v>
      </c>
      <c r="E420" s="249" t="s">
        <v>61</v>
      </c>
      <c r="F420" s="249"/>
      <c r="G420" s="249"/>
      <c r="H420" s="84" t="s">
        <v>49</v>
      </c>
      <c r="I420" s="260">
        <f>$F$8/$L$1*C420</f>
        <v>0</v>
      </c>
      <c r="J420" s="260"/>
      <c r="K420" s="92" t="s">
        <v>54</v>
      </c>
      <c r="L420" s="93"/>
      <c r="M420" s="86" t="s">
        <v>60</v>
      </c>
      <c r="N420" s="84" t="s">
        <v>49</v>
      </c>
      <c r="O420" s="87">
        <f>'[1]LUONG T7'!J56</f>
        <v>0</v>
      </c>
      <c r="P420" s="88" t="s">
        <v>58</v>
      </c>
      <c r="Q420" s="249" t="s">
        <v>61</v>
      </c>
      <c r="R420" s="249"/>
      <c r="S420" s="249"/>
      <c r="T420" s="84" t="s">
        <v>49</v>
      </c>
      <c r="U420" s="260">
        <f>$F$8/$L$1*O420</f>
        <v>0</v>
      </c>
      <c r="V420" s="260"/>
      <c r="W420" s="92" t="s">
        <v>54</v>
      </c>
      <c r="X420" s="93"/>
    </row>
    <row r="421" spans="1:24" ht="18.75" customHeight="1">
      <c r="A421" s="86" t="s">
        <v>62</v>
      </c>
      <c r="B421" s="84" t="s">
        <v>49</v>
      </c>
      <c r="C421" s="87">
        <f>'[1]LUONG T7'!K54</f>
        <v>0</v>
      </c>
      <c r="D421" s="88" t="s">
        <v>58</v>
      </c>
      <c r="E421" s="259" t="s">
        <v>63</v>
      </c>
      <c r="F421" s="259"/>
      <c r="G421" s="259"/>
      <c r="H421" s="84" t="s">
        <v>49</v>
      </c>
      <c r="I421" s="260">
        <f>$F$8/$L$1*C421</f>
        <v>0</v>
      </c>
      <c r="J421" s="260"/>
      <c r="K421" s="92" t="s">
        <v>54</v>
      </c>
      <c r="L421" s="93"/>
      <c r="M421" s="86" t="s">
        <v>62</v>
      </c>
      <c r="N421" s="84" t="s">
        <v>49</v>
      </c>
      <c r="O421" s="87">
        <f>'[1]LUONG T7'!K56</f>
        <v>0</v>
      </c>
      <c r="P421" s="88" t="s">
        <v>58</v>
      </c>
      <c r="Q421" s="259" t="s">
        <v>63</v>
      </c>
      <c r="R421" s="259"/>
      <c r="S421" s="259"/>
      <c r="T421" s="84" t="s">
        <v>49</v>
      </c>
      <c r="U421" s="260">
        <f>$F$8/$L$1*O421</f>
        <v>0</v>
      </c>
      <c r="V421" s="260"/>
      <c r="W421" s="92" t="s">
        <v>54</v>
      </c>
      <c r="X421" s="93"/>
    </row>
    <row r="422" spans="1:24" ht="18.75" customHeight="1">
      <c r="A422" s="86" t="s">
        <v>64</v>
      </c>
      <c r="B422" s="84" t="s">
        <v>49</v>
      </c>
      <c r="C422" s="87">
        <f>'[1]LUONG T7'!L54</f>
        <v>0</v>
      </c>
      <c r="D422" s="88" t="s">
        <v>58</v>
      </c>
      <c r="E422" s="259" t="s">
        <v>65</v>
      </c>
      <c r="F422" s="259"/>
      <c r="G422" s="259"/>
      <c r="H422" s="84" t="s">
        <v>49</v>
      </c>
      <c r="I422" s="260">
        <f>$F$8/$L$1*C422</f>
        <v>0</v>
      </c>
      <c r="J422" s="260"/>
      <c r="K422" s="92" t="s">
        <v>54</v>
      </c>
      <c r="L422" s="93"/>
      <c r="M422" s="86" t="s">
        <v>64</v>
      </c>
      <c r="N422" s="84" t="s">
        <v>49</v>
      </c>
      <c r="O422" s="87">
        <f>'[1]LUONG T7'!L56</f>
        <v>0</v>
      </c>
      <c r="P422" s="88" t="s">
        <v>58</v>
      </c>
      <c r="Q422" s="259" t="s">
        <v>65</v>
      </c>
      <c r="R422" s="259"/>
      <c r="S422" s="259"/>
      <c r="T422" s="84" t="s">
        <v>49</v>
      </c>
      <c r="U422" s="260">
        <f>$F$8/$L$1*O422</f>
        <v>0</v>
      </c>
      <c r="V422" s="260"/>
      <c r="W422" s="92" t="s">
        <v>54</v>
      </c>
      <c r="X422" s="93"/>
    </row>
    <row r="423" spans="1:24" ht="18.75" customHeight="1">
      <c r="A423" s="86" t="s">
        <v>66</v>
      </c>
      <c r="B423" s="84" t="s">
        <v>49</v>
      </c>
      <c r="C423" s="87">
        <f>'[1]LUONG T7'!Q54</f>
        <v>0</v>
      </c>
      <c r="D423" s="88" t="s">
        <v>67</v>
      </c>
      <c r="E423" s="249" t="s">
        <v>68</v>
      </c>
      <c r="F423" s="249"/>
      <c r="G423" s="249"/>
      <c r="H423" s="84" t="s">
        <v>49</v>
      </c>
      <c r="I423" s="260">
        <f>'[1]LUONG T7'!Q55</f>
        <v>0</v>
      </c>
      <c r="J423" s="260"/>
      <c r="K423" s="92" t="s">
        <v>54</v>
      </c>
      <c r="L423" s="93">
        <f>F416*C423/L409/8*1.5</f>
        <v>0</v>
      </c>
      <c r="M423" s="86" t="s">
        <v>66</v>
      </c>
      <c r="N423" s="84" t="s">
        <v>49</v>
      </c>
      <c r="O423" s="87">
        <f>'[1]LUONG T7'!Q56</f>
        <v>0</v>
      </c>
      <c r="P423" s="88" t="s">
        <v>67</v>
      </c>
      <c r="Q423" s="249" t="s">
        <v>68</v>
      </c>
      <c r="R423" s="249"/>
      <c r="S423" s="249"/>
      <c r="T423" s="84" t="s">
        <v>49</v>
      </c>
      <c r="U423" s="260">
        <f>'[1]LUONG T7'!Q57</f>
        <v>0</v>
      </c>
      <c r="V423" s="260"/>
      <c r="W423" s="92" t="s">
        <v>54</v>
      </c>
      <c r="X423" s="93">
        <f>R416*O423/X409/8*1.5</f>
        <v>0</v>
      </c>
    </row>
    <row r="424" spans="1:24" ht="18.75" customHeight="1">
      <c r="A424" s="248" t="s">
        <v>69</v>
      </c>
      <c r="B424" s="249"/>
      <c r="C424" s="87"/>
      <c r="D424" s="88" t="s">
        <v>58</v>
      </c>
      <c r="E424" s="249" t="s">
        <v>70</v>
      </c>
      <c r="F424" s="249"/>
      <c r="G424" s="249"/>
      <c r="H424" s="94" t="s">
        <v>49</v>
      </c>
      <c r="I424" s="260"/>
      <c r="J424" s="260"/>
      <c r="K424" s="92" t="s">
        <v>54</v>
      </c>
      <c r="L424" s="93"/>
      <c r="M424" s="248" t="s">
        <v>69</v>
      </c>
      <c r="N424" s="249"/>
      <c r="O424" s="87"/>
      <c r="P424" s="88" t="s">
        <v>58</v>
      </c>
      <c r="Q424" s="249" t="s">
        <v>70</v>
      </c>
      <c r="R424" s="249"/>
      <c r="S424" s="249"/>
      <c r="T424" s="94" t="s">
        <v>49</v>
      </c>
      <c r="U424" s="260"/>
      <c r="V424" s="260"/>
      <c r="W424" s="92" t="s">
        <v>54</v>
      </c>
      <c r="X424" s="93"/>
    </row>
    <row r="425" spans="1:24" ht="18.75" customHeight="1">
      <c r="A425" s="86" t="s">
        <v>71</v>
      </c>
      <c r="B425" s="84" t="s">
        <v>49</v>
      </c>
      <c r="C425" s="87"/>
      <c r="D425" s="88" t="s">
        <v>58</v>
      </c>
      <c r="E425" s="249" t="s">
        <v>72</v>
      </c>
      <c r="F425" s="249"/>
      <c r="G425" s="249"/>
      <c r="H425" s="84" t="s">
        <v>49</v>
      </c>
      <c r="I425" s="260"/>
      <c r="J425" s="260"/>
      <c r="K425" s="92" t="s">
        <v>54</v>
      </c>
      <c r="L425" s="93"/>
      <c r="M425" s="86" t="s">
        <v>71</v>
      </c>
      <c r="N425" s="84" t="s">
        <v>49</v>
      </c>
      <c r="O425" s="87"/>
      <c r="P425" s="88" t="s">
        <v>58</v>
      </c>
      <c r="Q425" s="249" t="s">
        <v>72</v>
      </c>
      <c r="R425" s="249"/>
      <c r="S425" s="249"/>
      <c r="T425" s="84" t="s">
        <v>49</v>
      </c>
      <c r="U425" s="260"/>
      <c r="V425" s="260"/>
      <c r="W425" s="92" t="s">
        <v>54</v>
      </c>
      <c r="X425" s="93"/>
    </row>
    <row r="426" spans="1:24" ht="18.75" customHeight="1">
      <c r="A426" s="95" t="s">
        <v>73</v>
      </c>
      <c r="B426" s="84"/>
      <c r="C426" s="87">
        <f>'[1]LUONG T7'!M54</f>
        <v>0</v>
      </c>
      <c r="D426" s="88" t="s">
        <v>67</v>
      </c>
      <c r="E426" s="249" t="s">
        <v>74</v>
      </c>
      <c r="F426" s="249"/>
      <c r="G426" s="249"/>
      <c r="H426" s="84" t="s">
        <v>49</v>
      </c>
      <c r="I426" s="260">
        <f>$F$8*C426/8/$L$1</f>
        <v>0</v>
      </c>
      <c r="J426" s="260"/>
      <c r="K426" s="92" t="s">
        <v>54</v>
      </c>
      <c r="L426" s="93"/>
      <c r="M426" s="95" t="s">
        <v>73</v>
      </c>
      <c r="N426" s="84"/>
      <c r="O426" s="87">
        <f>'[1]LUONG T7'!M56</f>
        <v>0</v>
      </c>
      <c r="P426" s="88" t="s">
        <v>67</v>
      </c>
      <c r="Q426" s="249" t="s">
        <v>74</v>
      </c>
      <c r="R426" s="249"/>
      <c r="S426" s="249"/>
      <c r="T426" s="84" t="s">
        <v>49</v>
      </c>
      <c r="U426" s="260">
        <f>$F$8*O426/8/$L$1</f>
        <v>0</v>
      </c>
      <c r="V426" s="260"/>
      <c r="W426" s="92" t="s">
        <v>54</v>
      </c>
      <c r="X426" s="93"/>
    </row>
    <row r="427" spans="1:24" ht="18.75" customHeight="1">
      <c r="A427" s="86" t="s">
        <v>75</v>
      </c>
      <c r="B427" s="84" t="s">
        <v>49</v>
      </c>
      <c r="C427" s="87"/>
      <c r="D427" s="88" t="s">
        <v>67</v>
      </c>
      <c r="E427" s="249" t="s">
        <v>97</v>
      </c>
      <c r="F427" s="249"/>
      <c r="G427" s="249"/>
      <c r="H427" s="84" t="s">
        <v>49</v>
      </c>
      <c r="I427" s="262"/>
      <c r="J427" s="262"/>
      <c r="K427" s="92" t="s">
        <v>54</v>
      </c>
      <c r="L427" s="93"/>
      <c r="M427" s="86" t="s">
        <v>75</v>
      </c>
      <c r="N427" s="84" t="s">
        <v>49</v>
      </c>
      <c r="O427" s="87"/>
      <c r="P427" s="88" t="s">
        <v>67</v>
      </c>
      <c r="Q427" s="249" t="s">
        <v>97</v>
      </c>
      <c r="R427" s="249"/>
      <c r="S427" s="249"/>
      <c r="T427" s="84" t="s">
        <v>49</v>
      </c>
      <c r="U427" s="262"/>
      <c r="V427" s="262"/>
      <c r="W427" s="92" t="s">
        <v>54</v>
      </c>
      <c r="X427" s="93"/>
    </row>
    <row r="428" spans="1:24" ht="18.75" customHeight="1">
      <c r="A428" s="86" t="s">
        <v>77</v>
      </c>
      <c r="B428" s="84" t="s">
        <v>49</v>
      </c>
      <c r="C428" s="87"/>
      <c r="D428" s="88" t="s">
        <v>78</v>
      </c>
      <c r="E428" s="96" t="s">
        <v>79</v>
      </c>
      <c r="F428" s="96"/>
      <c r="G428" s="96"/>
      <c r="H428" s="84" t="s">
        <v>49</v>
      </c>
      <c r="I428" s="260"/>
      <c r="J428" s="260"/>
      <c r="K428" s="92" t="s">
        <v>54</v>
      </c>
      <c r="L428" s="93">
        <f>+IF(L419-I419&lt;0,0,L419-I419)+IF(L423-I423&lt;0,0,L423-I423)</f>
        <v>0</v>
      </c>
      <c r="M428" s="86" t="s">
        <v>77</v>
      </c>
      <c r="N428" s="84" t="s">
        <v>49</v>
      </c>
      <c r="O428" s="87"/>
      <c r="P428" s="88" t="s">
        <v>78</v>
      </c>
      <c r="Q428" s="96" t="s">
        <v>79</v>
      </c>
      <c r="R428" s="96"/>
      <c r="S428" s="96"/>
      <c r="T428" s="84" t="s">
        <v>49</v>
      </c>
      <c r="U428" s="260"/>
      <c r="V428" s="260"/>
      <c r="W428" s="92" t="s">
        <v>54</v>
      </c>
      <c r="X428" s="93">
        <f>+IF(X419-U419&lt;0,0,X419-U419)+IF(X423-U423&lt;0,0,X423-U423)</f>
        <v>0</v>
      </c>
    </row>
    <row r="429" spans="1:24" ht="18.75" customHeight="1">
      <c r="A429" s="97" t="s">
        <v>122</v>
      </c>
      <c r="B429" s="98"/>
      <c r="C429" s="87"/>
      <c r="D429" s="88" t="s">
        <v>58</v>
      </c>
      <c r="E429" s="249" t="s">
        <v>123</v>
      </c>
      <c r="F429" s="249"/>
      <c r="G429" s="249"/>
      <c r="H429" s="84" t="s">
        <v>49</v>
      </c>
      <c r="I429" s="260"/>
      <c r="J429" s="260"/>
      <c r="K429" s="92" t="s">
        <v>54</v>
      </c>
      <c r="L429" s="93"/>
      <c r="M429" s="97" t="s">
        <v>122</v>
      </c>
      <c r="N429" s="98"/>
      <c r="O429" s="87"/>
      <c r="P429" s="88" t="s">
        <v>58</v>
      </c>
      <c r="Q429" s="249" t="s">
        <v>123</v>
      </c>
      <c r="R429" s="249"/>
      <c r="S429" s="249"/>
      <c r="T429" s="84" t="s">
        <v>49</v>
      </c>
      <c r="U429" s="260"/>
      <c r="V429" s="260"/>
      <c r="W429" s="92" t="s">
        <v>54</v>
      </c>
      <c r="X429" s="93"/>
    </row>
    <row r="430" spans="1:24" ht="18.75" customHeight="1">
      <c r="A430" s="267" t="s">
        <v>82</v>
      </c>
      <c r="B430" s="261"/>
      <c r="C430" s="87"/>
      <c r="D430" s="88"/>
      <c r="E430" s="89"/>
      <c r="F430" s="89"/>
      <c r="G430" s="89"/>
      <c r="H430" s="84" t="s">
        <v>49</v>
      </c>
      <c r="I430" s="260">
        <f>'[1]LUONG T7'!P55</f>
        <v>0</v>
      </c>
      <c r="J430" s="260"/>
      <c r="K430" s="92" t="s">
        <v>54</v>
      </c>
      <c r="L430" s="93"/>
      <c r="M430" s="267" t="s">
        <v>82</v>
      </c>
      <c r="N430" s="261"/>
      <c r="O430" s="87"/>
      <c r="P430" s="88"/>
      <c r="Q430" s="89"/>
      <c r="R430" s="89"/>
      <c r="S430" s="89"/>
      <c r="T430" s="84" t="s">
        <v>49</v>
      </c>
      <c r="U430" s="260">
        <f>'[1]LUONG T7'!P57</f>
        <v>0</v>
      </c>
      <c r="V430" s="260"/>
      <c r="W430" s="92" t="s">
        <v>54</v>
      </c>
      <c r="X430" s="93"/>
    </row>
    <row r="431" spans="1:24" ht="18.75" customHeight="1">
      <c r="A431" s="86" t="s">
        <v>83</v>
      </c>
      <c r="B431" s="84" t="s">
        <v>49</v>
      </c>
      <c r="C431" s="87"/>
      <c r="D431" s="88"/>
      <c r="E431" s="89" t="s">
        <v>84</v>
      </c>
      <c r="F431" s="89"/>
      <c r="G431" s="89"/>
      <c r="H431" s="84" t="s">
        <v>49</v>
      </c>
      <c r="I431" s="260">
        <f>L428</f>
        <v>0</v>
      </c>
      <c r="J431" s="260"/>
      <c r="K431" s="92" t="s">
        <v>54</v>
      </c>
      <c r="L431" s="93"/>
      <c r="M431" s="86" t="s">
        <v>83</v>
      </c>
      <c r="N431" s="84" t="s">
        <v>49</v>
      </c>
      <c r="O431" s="87"/>
      <c r="P431" s="88"/>
      <c r="Q431" s="89" t="s">
        <v>84</v>
      </c>
      <c r="R431" s="89"/>
      <c r="S431" s="89"/>
      <c r="T431" s="84" t="s">
        <v>49</v>
      </c>
      <c r="U431" s="260">
        <f>X428</f>
        <v>0</v>
      </c>
      <c r="V431" s="260"/>
      <c r="W431" s="92" t="s">
        <v>54</v>
      </c>
      <c r="X431" s="93"/>
    </row>
    <row r="432" spans="1:24" ht="18.75" customHeight="1">
      <c r="A432" s="264" t="s">
        <v>85</v>
      </c>
      <c r="B432" s="265"/>
      <c r="C432" s="265"/>
      <c r="D432" s="265"/>
      <c r="E432" s="265"/>
      <c r="F432" s="265"/>
      <c r="G432" s="84" t="s">
        <v>49</v>
      </c>
      <c r="H432" s="266">
        <f>I419+I420+I421+I422+I423+I426+I430+I431</f>
        <v>0</v>
      </c>
      <c r="I432" s="266"/>
      <c r="J432" s="266"/>
      <c r="K432" s="92" t="s">
        <v>54</v>
      </c>
      <c r="M432" s="264" t="s">
        <v>85</v>
      </c>
      <c r="N432" s="265"/>
      <c r="O432" s="265"/>
      <c r="P432" s="265"/>
      <c r="Q432" s="265"/>
      <c r="R432" s="265"/>
      <c r="S432" s="84" t="s">
        <v>49</v>
      </c>
      <c r="T432" s="266">
        <f>U419+U420+U421+U422+U423+U426+U430+U431</f>
        <v>0</v>
      </c>
      <c r="U432" s="266"/>
      <c r="V432" s="266"/>
      <c r="W432" s="92" t="s">
        <v>54</v>
      </c>
    </row>
    <row r="433" spans="1:24" ht="18.75" customHeight="1">
      <c r="A433" s="99"/>
      <c r="B433" s="100"/>
      <c r="C433" s="100"/>
      <c r="D433" s="100"/>
      <c r="E433" s="100"/>
      <c r="F433" s="100"/>
      <c r="G433" s="100"/>
      <c r="H433" s="100"/>
      <c r="I433" s="100"/>
      <c r="J433" s="100"/>
      <c r="K433" s="101"/>
      <c r="M433" s="99"/>
      <c r="N433" s="100"/>
      <c r="O433" s="100"/>
      <c r="P433" s="100"/>
      <c r="Q433" s="100"/>
      <c r="R433" s="100"/>
      <c r="S433" s="100"/>
      <c r="T433" s="100"/>
      <c r="U433" s="100"/>
      <c r="V433" s="100"/>
      <c r="W433" s="101"/>
    </row>
    <row r="434" spans="1:24" ht="18.75" customHeight="1">
      <c r="A434" s="274" t="s">
        <v>86</v>
      </c>
      <c r="B434" s="275"/>
      <c r="C434" s="275"/>
      <c r="D434" s="275"/>
      <c r="E434" s="275"/>
      <c r="F434" s="275"/>
      <c r="G434" s="84"/>
      <c r="H434" s="84"/>
      <c r="I434" s="84"/>
      <c r="J434" s="84"/>
      <c r="K434" s="92"/>
      <c r="M434" s="274" t="s">
        <v>86</v>
      </c>
      <c r="N434" s="275"/>
      <c r="O434" s="275"/>
      <c r="P434" s="275"/>
      <c r="Q434" s="275"/>
      <c r="R434" s="275"/>
      <c r="S434" s="84"/>
      <c r="T434" s="84"/>
      <c r="U434" s="84"/>
      <c r="V434" s="84"/>
      <c r="W434" s="92"/>
    </row>
    <row r="435" spans="1:24" ht="18.75" customHeight="1">
      <c r="A435" s="268" t="s">
        <v>87</v>
      </c>
      <c r="B435" s="269"/>
      <c r="C435" s="269"/>
      <c r="D435" s="269"/>
      <c r="E435" s="269"/>
      <c r="F435" s="269"/>
      <c r="G435" s="84" t="s">
        <v>49</v>
      </c>
      <c r="H435" s="276">
        <f>IF(($L$1-(C419+C420+C421+C422))&gt;12,0,F416*8%)</f>
        <v>0</v>
      </c>
      <c r="I435" s="276"/>
      <c r="J435" s="276"/>
      <c r="K435" s="92" t="s">
        <v>54</v>
      </c>
      <c r="M435" s="268" t="s">
        <v>87</v>
      </c>
      <c r="N435" s="269"/>
      <c r="O435" s="269"/>
      <c r="P435" s="269"/>
      <c r="Q435" s="269"/>
      <c r="R435" s="269"/>
      <c r="S435" s="84" t="s">
        <v>49</v>
      </c>
      <c r="T435" s="276">
        <f>IF(($L$1-(O419+O420+O421+O422))&gt;12,0,R416*8%)</f>
        <v>0</v>
      </c>
      <c r="U435" s="276"/>
      <c r="V435" s="276"/>
      <c r="W435" s="92" t="s">
        <v>54</v>
      </c>
    </row>
    <row r="436" spans="1:24" ht="18.75" customHeight="1">
      <c r="A436" s="268" t="s">
        <v>88</v>
      </c>
      <c r="B436" s="269"/>
      <c r="C436" s="269"/>
      <c r="D436" s="269"/>
      <c r="E436" s="269"/>
      <c r="F436" s="269"/>
      <c r="G436" s="84" t="s">
        <v>49</v>
      </c>
      <c r="H436" s="270">
        <f>IF(($L$1-(C419+C420+C421+C422))&gt;12,0,F416*1.5%)</f>
        <v>0</v>
      </c>
      <c r="I436" s="270"/>
      <c r="J436" s="270"/>
      <c r="K436" s="92" t="s">
        <v>54</v>
      </c>
      <c r="M436" s="268" t="s">
        <v>88</v>
      </c>
      <c r="N436" s="269"/>
      <c r="O436" s="269"/>
      <c r="P436" s="269"/>
      <c r="Q436" s="269"/>
      <c r="R436" s="269"/>
      <c r="S436" s="84" t="s">
        <v>49</v>
      </c>
      <c r="T436" s="270">
        <f>IF(($L$1-(O419+O420+O421+O422))&gt;12,0,R416*1.5%)</f>
        <v>0</v>
      </c>
      <c r="U436" s="270"/>
      <c r="V436" s="270"/>
      <c r="W436" s="92" t="s">
        <v>54</v>
      </c>
    </row>
    <row r="437" spans="1:24" ht="18.75" customHeight="1">
      <c r="A437" s="268" t="s">
        <v>89</v>
      </c>
      <c r="B437" s="269"/>
      <c r="C437" s="269"/>
      <c r="D437" s="269"/>
      <c r="E437" s="269"/>
      <c r="F437" s="269"/>
      <c r="G437" s="84" t="s">
        <v>49</v>
      </c>
      <c r="H437" s="270">
        <f>IF(($L$1-(C419+C420+C421+C422))&gt;12,0,F416*1%)</f>
        <v>0</v>
      </c>
      <c r="I437" s="270"/>
      <c r="J437" s="270"/>
      <c r="K437" s="92" t="s">
        <v>54</v>
      </c>
      <c r="M437" s="268" t="s">
        <v>89</v>
      </c>
      <c r="N437" s="269"/>
      <c r="O437" s="269"/>
      <c r="P437" s="269"/>
      <c r="Q437" s="269"/>
      <c r="R437" s="269"/>
      <c r="S437" s="84" t="s">
        <v>49</v>
      </c>
      <c r="T437" s="270">
        <f>IF(($L$1-(O419+O420+O421+O422))&gt;12,0,R416*1%)</f>
        <v>0</v>
      </c>
      <c r="U437" s="270"/>
      <c r="V437" s="270"/>
      <c r="W437" s="92" t="s">
        <v>54</v>
      </c>
    </row>
    <row r="438" spans="1:24" ht="18.75" customHeight="1">
      <c r="A438" s="268" t="s">
        <v>90</v>
      </c>
      <c r="B438" s="269"/>
      <c r="C438" s="269"/>
      <c r="D438" s="269"/>
      <c r="E438" s="269"/>
      <c r="F438" s="269"/>
      <c r="G438" s="84" t="s">
        <v>49</v>
      </c>
      <c r="H438" s="270">
        <v>0</v>
      </c>
      <c r="I438" s="270"/>
      <c r="J438" s="270"/>
      <c r="K438" s="92" t="s">
        <v>54</v>
      </c>
      <c r="M438" s="268" t="s">
        <v>90</v>
      </c>
      <c r="N438" s="269"/>
      <c r="O438" s="269"/>
      <c r="P438" s="269"/>
      <c r="Q438" s="269"/>
      <c r="R438" s="269"/>
      <c r="S438" s="84" t="s">
        <v>49</v>
      </c>
      <c r="T438" s="270">
        <v>0</v>
      </c>
      <c r="U438" s="270"/>
      <c r="V438" s="270"/>
      <c r="W438" s="92" t="s">
        <v>54</v>
      </c>
    </row>
    <row r="439" spans="1:24" ht="18.75" customHeight="1">
      <c r="A439" s="271" t="s">
        <v>91</v>
      </c>
      <c r="B439" s="272"/>
      <c r="C439" s="272"/>
      <c r="D439" s="272"/>
      <c r="E439" s="272"/>
      <c r="F439" s="272"/>
      <c r="G439" s="84" t="s">
        <v>49</v>
      </c>
      <c r="H439" s="273">
        <f>SUM(H435:J438)</f>
        <v>0</v>
      </c>
      <c r="I439" s="273"/>
      <c r="J439" s="273"/>
      <c r="K439" s="92" t="s">
        <v>54</v>
      </c>
      <c r="M439" s="271" t="s">
        <v>91</v>
      </c>
      <c r="N439" s="272"/>
      <c r="O439" s="272"/>
      <c r="P439" s="272"/>
      <c r="Q439" s="272"/>
      <c r="R439" s="272"/>
      <c r="S439" s="84" t="s">
        <v>49</v>
      </c>
      <c r="T439" s="273">
        <f>SUM(T435:V438)</f>
        <v>0</v>
      </c>
      <c r="U439" s="273"/>
      <c r="V439" s="273"/>
      <c r="W439" s="92" t="s">
        <v>54</v>
      </c>
    </row>
    <row r="440" spans="1:24" ht="18.75" customHeight="1">
      <c r="A440" s="268" t="s">
        <v>92</v>
      </c>
      <c r="B440" s="269"/>
      <c r="C440" s="269"/>
      <c r="D440" s="269"/>
      <c r="E440" s="269"/>
      <c r="F440" s="269"/>
      <c r="G440" s="84" t="s">
        <v>49</v>
      </c>
      <c r="H440" s="280">
        <f>ROUND(H432-H439,-2)</f>
        <v>0</v>
      </c>
      <c r="I440" s="280"/>
      <c r="J440" s="280"/>
      <c r="K440" s="92" t="s">
        <v>54</v>
      </c>
      <c r="M440" s="268" t="s">
        <v>92</v>
      </c>
      <c r="N440" s="269"/>
      <c r="O440" s="269"/>
      <c r="P440" s="269"/>
      <c r="Q440" s="269"/>
      <c r="R440" s="269"/>
      <c r="S440" s="84" t="s">
        <v>49</v>
      </c>
      <c r="T440" s="280">
        <f>ROUND(T432-T439,-2)</f>
        <v>0</v>
      </c>
      <c r="U440" s="280"/>
      <c r="V440" s="280"/>
      <c r="W440" s="92" t="s">
        <v>54</v>
      </c>
    </row>
    <row r="441" spans="1:24" ht="18.75" customHeight="1">
      <c r="A441" s="102"/>
      <c r="B441" s="103"/>
      <c r="C441" s="103"/>
      <c r="D441" s="103"/>
      <c r="E441" s="103"/>
      <c r="F441" s="103"/>
      <c r="G441" s="103"/>
      <c r="H441" s="103"/>
      <c r="I441" s="103"/>
      <c r="J441" s="103"/>
      <c r="K441" s="104"/>
      <c r="M441" s="102"/>
      <c r="N441" s="103"/>
      <c r="O441" s="103"/>
      <c r="P441" s="103"/>
      <c r="Q441" s="103"/>
      <c r="R441" s="103"/>
      <c r="S441" s="103"/>
      <c r="T441" s="103"/>
      <c r="U441" s="103"/>
      <c r="V441" s="103"/>
      <c r="W441" s="104"/>
    </row>
    <row r="442" spans="1:24" ht="18.75" customHeight="1">
      <c r="A442" s="105"/>
      <c r="B442" s="84"/>
      <c r="C442" s="84"/>
      <c r="D442" s="84"/>
      <c r="E442" s="84"/>
      <c r="F442" s="84"/>
      <c r="G442" s="84"/>
      <c r="H442" s="84"/>
      <c r="I442" s="277" t="s">
        <v>93</v>
      </c>
      <c r="J442" s="277"/>
      <c r="K442" s="281"/>
      <c r="M442" s="105"/>
      <c r="N442" s="84"/>
      <c r="O442" s="84"/>
      <c r="P442" s="84"/>
      <c r="Q442" s="84"/>
      <c r="R442" s="84"/>
      <c r="S442" s="84"/>
      <c r="T442" s="84"/>
      <c r="U442" s="277" t="s">
        <v>93</v>
      </c>
      <c r="V442" s="277"/>
      <c r="W442" s="281"/>
    </row>
    <row r="443" spans="1:24" ht="18.75" customHeight="1">
      <c r="A443" s="105"/>
      <c r="B443" s="277"/>
      <c r="C443" s="277"/>
      <c r="D443" s="277"/>
      <c r="E443" s="277"/>
      <c r="F443" s="84"/>
      <c r="G443" s="84"/>
      <c r="H443" s="84"/>
      <c r="I443" s="84"/>
      <c r="J443" s="84"/>
      <c r="K443" s="85"/>
      <c r="M443" s="105"/>
      <c r="N443" s="277"/>
      <c r="O443" s="277"/>
      <c r="P443" s="277"/>
      <c r="Q443" s="277"/>
      <c r="R443" s="84"/>
      <c r="S443" s="84"/>
      <c r="T443" s="84"/>
      <c r="U443" s="84"/>
      <c r="V443" s="84"/>
      <c r="W443" s="85"/>
    </row>
    <row r="444" spans="1:24" ht="18.75" customHeight="1" thickBot="1">
      <c r="A444" s="106"/>
      <c r="B444" s="107"/>
      <c r="C444" s="107"/>
      <c r="D444" s="107"/>
      <c r="E444" s="107"/>
      <c r="F444" s="107"/>
      <c r="G444" s="107"/>
      <c r="H444" s="107"/>
      <c r="I444" s="278" t="s">
        <v>94</v>
      </c>
      <c r="J444" s="278"/>
      <c r="K444" s="279"/>
      <c r="M444" s="106"/>
      <c r="N444" s="107"/>
      <c r="O444" s="107"/>
      <c r="P444" s="107"/>
      <c r="Q444" s="107"/>
      <c r="R444" s="107"/>
      <c r="S444" s="107"/>
      <c r="T444" s="107"/>
      <c r="U444" s="278" t="s">
        <v>94</v>
      </c>
      <c r="V444" s="278"/>
      <c r="W444" s="279"/>
    </row>
    <row r="446" spans="1:24" ht="18.75" customHeight="1" thickTop="1">
      <c r="A446" s="253" t="s">
        <v>43</v>
      </c>
      <c r="B446" s="254"/>
      <c r="C446" s="254"/>
      <c r="D446" s="254"/>
      <c r="E446" s="254"/>
      <c r="F446" s="254"/>
      <c r="G446" s="254"/>
      <c r="H446" s="254"/>
      <c r="I446" s="254"/>
      <c r="J446" s="254"/>
      <c r="K446" s="255"/>
      <c r="L446" s="80">
        <v>25</v>
      </c>
      <c r="M446" s="253" t="s">
        <v>43</v>
      </c>
      <c r="N446" s="254"/>
      <c r="O446" s="254"/>
      <c r="P446" s="254"/>
      <c r="Q446" s="254"/>
      <c r="R446" s="254"/>
      <c r="S446" s="254"/>
      <c r="T446" s="254"/>
      <c r="U446" s="254"/>
      <c r="V446" s="254"/>
      <c r="W446" s="255"/>
      <c r="X446" s="80">
        <v>25</v>
      </c>
    </row>
    <row r="447" spans="1:24" ht="18.75" customHeight="1">
      <c r="A447" s="81" t="s">
        <v>132</v>
      </c>
      <c r="B447" s="82"/>
      <c r="C447" s="82"/>
      <c r="D447" s="82"/>
      <c r="E447" s="82"/>
      <c r="F447" s="82"/>
      <c r="G447" s="82"/>
      <c r="H447" s="82"/>
      <c r="I447" s="82"/>
      <c r="J447" s="82"/>
      <c r="K447" s="83"/>
      <c r="M447" s="81" t="s">
        <v>133</v>
      </c>
      <c r="N447" s="82"/>
      <c r="O447" s="82"/>
      <c r="P447" s="82"/>
      <c r="Q447" s="82"/>
      <c r="R447" s="82"/>
      <c r="S447" s="82"/>
      <c r="T447" s="82"/>
      <c r="U447" s="82"/>
      <c r="V447" s="82"/>
      <c r="W447" s="83"/>
    </row>
    <row r="448" spans="1:24" ht="18.75" customHeight="1">
      <c r="A448" s="256" t="s">
        <v>47</v>
      </c>
      <c r="B448" s="257"/>
      <c r="C448" s="257"/>
      <c r="D448" s="257"/>
      <c r="E448" s="257"/>
      <c r="F448" s="257"/>
      <c r="G448" s="257"/>
      <c r="H448" s="257"/>
      <c r="I448" s="257"/>
      <c r="J448" s="257"/>
      <c r="K448" s="258"/>
      <c r="M448" s="256" t="s">
        <v>47</v>
      </c>
      <c r="N448" s="257"/>
      <c r="O448" s="257"/>
      <c r="P448" s="257"/>
      <c r="Q448" s="257"/>
      <c r="R448" s="257"/>
      <c r="S448" s="257"/>
      <c r="T448" s="257"/>
      <c r="U448" s="257"/>
      <c r="V448" s="257"/>
      <c r="W448" s="258"/>
    </row>
    <row r="449" spans="1:24" ht="18.75" customHeight="1">
      <c r="A449" s="248" t="s">
        <v>48</v>
      </c>
      <c r="B449" s="249"/>
      <c r="C449" s="249"/>
      <c r="D449" s="249"/>
      <c r="E449" s="84" t="s">
        <v>49</v>
      </c>
      <c r="F449" s="250">
        <f>'[1]Bang TH nop'!B46</f>
        <v>0</v>
      </c>
      <c r="G449" s="249"/>
      <c r="H449" s="249"/>
      <c r="I449" s="249"/>
      <c r="J449" s="249"/>
      <c r="K449" s="252"/>
      <c r="M449" s="248" t="s">
        <v>48</v>
      </c>
      <c r="N449" s="249"/>
      <c r="O449" s="249"/>
      <c r="P449" s="249"/>
      <c r="Q449" s="84" t="s">
        <v>49</v>
      </c>
      <c r="R449" s="250">
        <f>'[1]Bang TH nop'!B48</f>
        <v>0</v>
      </c>
      <c r="S449" s="249"/>
      <c r="T449" s="249"/>
      <c r="U449" s="249"/>
      <c r="V449" s="249"/>
      <c r="W449" s="252"/>
    </row>
    <row r="450" spans="1:24" ht="18.75" customHeight="1">
      <c r="A450" s="248" t="s">
        <v>50</v>
      </c>
      <c r="B450" s="249"/>
      <c r="C450" s="249"/>
      <c r="D450" s="249"/>
      <c r="E450" s="84" t="s">
        <v>49</v>
      </c>
      <c r="F450" s="250">
        <f>'[1]Bang TH nop'!C46</f>
        <v>0</v>
      </c>
      <c r="G450" s="250"/>
      <c r="H450" s="250"/>
      <c r="I450" s="250"/>
      <c r="J450" s="250"/>
      <c r="K450" s="251"/>
      <c r="M450" s="248" t="s">
        <v>50</v>
      </c>
      <c r="N450" s="249"/>
      <c r="O450" s="249"/>
      <c r="P450" s="249"/>
      <c r="Q450" s="84" t="s">
        <v>49</v>
      </c>
      <c r="R450" s="250">
        <f>'[1]Bang TH nop'!C48</f>
        <v>0</v>
      </c>
      <c r="S450" s="250"/>
      <c r="T450" s="250"/>
      <c r="U450" s="250"/>
      <c r="V450" s="250"/>
      <c r="W450" s="251"/>
    </row>
    <row r="451" spans="1:24" ht="18.75" customHeight="1">
      <c r="A451" s="248" t="s">
        <v>51</v>
      </c>
      <c r="B451" s="249"/>
      <c r="C451" s="249"/>
      <c r="D451" s="249"/>
      <c r="E451" s="84" t="s">
        <v>49</v>
      </c>
      <c r="F451" s="249" t="s">
        <v>121</v>
      </c>
      <c r="G451" s="249"/>
      <c r="H451" s="249"/>
      <c r="I451" s="249"/>
      <c r="J451" s="249"/>
      <c r="K451" s="252"/>
      <c r="M451" s="248" t="s">
        <v>51</v>
      </c>
      <c r="N451" s="249"/>
      <c r="O451" s="249"/>
      <c r="P451" s="249"/>
      <c r="Q451" s="84" t="s">
        <v>49</v>
      </c>
      <c r="R451" s="249" t="s">
        <v>121</v>
      </c>
      <c r="S451" s="249"/>
      <c r="T451" s="249"/>
      <c r="U451" s="249"/>
      <c r="V451" s="249"/>
      <c r="W451" s="252"/>
    </row>
    <row r="452" spans="1:24" ht="18.75" customHeight="1">
      <c r="A452" s="256" t="s">
        <v>52</v>
      </c>
      <c r="B452" s="257"/>
      <c r="C452" s="257"/>
      <c r="D452" s="257"/>
      <c r="E452" s="257"/>
      <c r="F452" s="257"/>
      <c r="G452" s="257"/>
      <c r="H452" s="257"/>
      <c r="I452" s="257"/>
      <c r="J452" s="257"/>
      <c r="K452" s="258"/>
      <c r="M452" s="256" t="s">
        <v>52</v>
      </c>
      <c r="N452" s="257"/>
      <c r="O452" s="257"/>
      <c r="P452" s="257"/>
      <c r="Q452" s="257"/>
      <c r="R452" s="257"/>
      <c r="S452" s="257"/>
      <c r="T452" s="257"/>
      <c r="U452" s="257"/>
      <c r="V452" s="257"/>
      <c r="W452" s="258"/>
    </row>
    <row r="453" spans="1:24" ht="18.75" customHeight="1">
      <c r="A453" s="248" t="s">
        <v>53</v>
      </c>
      <c r="B453" s="249"/>
      <c r="C453" s="249"/>
      <c r="D453" s="249"/>
      <c r="E453" s="84" t="s">
        <v>49</v>
      </c>
      <c r="F453" s="263">
        <v>2915400</v>
      </c>
      <c r="G453" s="263"/>
      <c r="H453" s="263"/>
      <c r="I453" s="263"/>
      <c r="J453" s="84" t="s">
        <v>54</v>
      </c>
      <c r="K453" s="85"/>
      <c r="M453" s="248" t="s">
        <v>53</v>
      </c>
      <c r="N453" s="249"/>
      <c r="O453" s="249"/>
      <c r="P453" s="249"/>
      <c r="Q453" s="84" t="s">
        <v>49</v>
      </c>
      <c r="R453" s="263">
        <v>2915400</v>
      </c>
      <c r="S453" s="263"/>
      <c r="T453" s="263"/>
      <c r="U453" s="263"/>
      <c r="V453" s="84" t="s">
        <v>54</v>
      </c>
      <c r="W453" s="85"/>
    </row>
    <row r="454" spans="1:24" ht="18.75" customHeight="1">
      <c r="A454" s="86" t="s">
        <v>55</v>
      </c>
      <c r="B454" s="84"/>
      <c r="C454" s="87"/>
      <c r="D454" s="88"/>
      <c r="E454" s="89"/>
      <c r="F454" s="89"/>
      <c r="G454" s="89"/>
      <c r="H454" s="84"/>
      <c r="I454" s="90">
        <f>'[1]LUONG T7'!F59</f>
        <v>0</v>
      </c>
      <c r="J454" s="91"/>
      <c r="K454" s="92"/>
      <c r="M454" s="86" t="s">
        <v>55</v>
      </c>
      <c r="N454" s="84"/>
      <c r="O454" s="87"/>
      <c r="P454" s="88"/>
      <c r="Q454" s="89"/>
      <c r="R454" s="89"/>
      <c r="S454" s="89"/>
      <c r="T454" s="84"/>
      <c r="U454" s="90">
        <f>'[1]LUONG T7'!F61</f>
        <v>0</v>
      </c>
      <c r="V454" s="91"/>
      <c r="W454" s="92"/>
    </row>
    <row r="455" spans="1:24" ht="18.75" customHeight="1">
      <c r="A455" s="86" t="s">
        <v>56</v>
      </c>
      <c r="B455" s="84"/>
      <c r="C455" s="87"/>
      <c r="D455" s="88"/>
      <c r="E455" s="89"/>
      <c r="F455" s="89"/>
      <c r="G455" s="89"/>
      <c r="H455" s="84"/>
      <c r="I455" s="90" t="e">
        <f>I456/C456/8</f>
        <v>#DIV/0!</v>
      </c>
      <c r="J455" s="91"/>
      <c r="K455" s="92"/>
      <c r="M455" s="86" t="s">
        <v>56</v>
      </c>
      <c r="N455" s="84"/>
      <c r="O455" s="87"/>
      <c r="P455" s="88"/>
      <c r="Q455" s="89"/>
      <c r="R455" s="89"/>
      <c r="S455" s="89"/>
      <c r="T455" s="84"/>
      <c r="U455" s="90" t="e">
        <f>U456/O456/8</f>
        <v>#DIV/0!</v>
      </c>
      <c r="V455" s="91"/>
      <c r="W455" s="92"/>
    </row>
    <row r="456" spans="1:24" ht="18.75" customHeight="1">
      <c r="A456" s="86" t="s">
        <v>57</v>
      </c>
      <c r="B456" s="84" t="s">
        <v>49</v>
      </c>
      <c r="C456" s="87">
        <f>'[1]LUONG T7'!I58</f>
        <v>0</v>
      </c>
      <c r="D456" s="88" t="s">
        <v>58</v>
      </c>
      <c r="E456" s="261" t="s">
        <v>59</v>
      </c>
      <c r="F456" s="261"/>
      <c r="G456" s="261"/>
      <c r="H456" s="84" t="s">
        <v>49</v>
      </c>
      <c r="I456" s="262">
        <f>'[1]LUONG T7'!I59</f>
        <v>0</v>
      </c>
      <c r="J456" s="262"/>
      <c r="K456" s="92" t="s">
        <v>54</v>
      </c>
      <c r="L456" s="93">
        <f>F453/L446*C456</f>
        <v>0</v>
      </c>
      <c r="M456" s="86" t="s">
        <v>57</v>
      </c>
      <c r="N456" s="84" t="s">
        <v>49</v>
      </c>
      <c r="O456" s="87">
        <f>'[1]LUONG T7'!I60</f>
        <v>0</v>
      </c>
      <c r="P456" s="88" t="s">
        <v>58</v>
      </c>
      <c r="Q456" s="261" t="s">
        <v>59</v>
      </c>
      <c r="R456" s="261"/>
      <c r="S456" s="261"/>
      <c r="T456" s="84" t="s">
        <v>49</v>
      </c>
      <c r="U456" s="262">
        <f>'[1]LUONG T7'!I61</f>
        <v>0</v>
      </c>
      <c r="V456" s="262"/>
      <c r="W456" s="92" t="s">
        <v>54</v>
      </c>
      <c r="X456" s="93">
        <f>R453/X446*O456</f>
        <v>0</v>
      </c>
    </row>
    <row r="457" spans="1:24" ht="18.75" customHeight="1">
      <c r="A457" s="86" t="s">
        <v>60</v>
      </c>
      <c r="B457" s="84" t="s">
        <v>49</v>
      </c>
      <c r="C457" s="87">
        <f>'[1]LUONG T7'!J58</f>
        <v>0</v>
      </c>
      <c r="D457" s="88" t="s">
        <v>58</v>
      </c>
      <c r="E457" s="249" t="s">
        <v>61</v>
      </c>
      <c r="F457" s="249"/>
      <c r="G457" s="249"/>
      <c r="H457" s="84" t="s">
        <v>49</v>
      </c>
      <c r="I457" s="260">
        <f>$F$8/$L$1*C457</f>
        <v>0</v>
      </c>
      <c r="J457" s="260"/>
      <c r="K457" s="92" t="s">
        <v>54</v>
      </c>
      <c r="L457" s="93"/>
      <c r="M457" s="86" t="s">
        <v>60</v>
      </c>
      <c r="N457" s="84" t="s">
        <v>49</v>
      </c>
      <c r="O457" s="87">
        <f>'[1]LUONG T7'!J60</f>
        <v>0</v>
      </c>
      <c r="P457" s="88" t="s">
        <v>58</v>
      </c>
      <c r="Q457" s="249" t="s">
        <v>61</v>
      </c>
      <c r="R457" s="249"/>
      <c r="S457" s="249"/>
      <c r="T457" s="84" t="s">
        <v>49</v>
      </c>
      <c r="U457" s="260">
        <f>$F$8/$L$1*O457</f>
        <v>0</v>
      </c>
      <c r="V457" s="260"/>
      <c r="W457" s="92" t="s">
        <v>54</v>
      </c>
      <c r="X457" s="93"/>
    </row>
    <row r="458" spans="1:24" ht="18.75" customHeight="1">
      <c r="A458" s="86" t="s">
        <v>62</v>
      </c>
      <c r="B458" s="84" t="s">
        <v>49</v>
      </c>
      <c r="C458" s="87">
        <f>'[1]LUONG T7'!K58</f>
        <v>0</v>
      </c>
      <c r="D458" s="88" t="s">
        <v>58</v>
      </c>
      <c r="E458" s="259" t="s">
        <v>63</v>
      </c>
      <c r="F458" s="259"/>
      <c r="G458" s="259"/>
      <c r="H458" s="84" t="s">
        <v>49</v>
      </c>
      <c r="I458" s="260">
        <f>$F$8/$L$1*C458</f>
        <v>0</v>
      </c>
      <c r="J458" s="260"/>
      <c r="K458" s="92" t="s">
        <v>54</v>
      </c>
      <c r="L458" s="93"/>
      <c r="M458" s="86" t="s">
        <v>62</v>
      </c>
      <c r="N458" s="84" t="s">
        <v>49</v>
      </c>
      <c r="O458" s="87">
        <f>'[1]LUONG T7'!K60</f>
        <v>0</v>
      </c>
      <c r="P458" s="88" t="s">
        <v>58</v>
      </c>
      <c r="Q458" s="259" t="s">
        <v>63</v>
      </c>
      <c r="R458" s="259"/>
      <c r="S458" s="259"/>
      <c r="T458" s="84" t="s">
        <v>49</v>
      </c>
      <c r="U458" s="260">
        <f>$F$8/$L$1*O458</f>
        <v>0</v>
      </c>
      <c r="V458" s="260"/>
      <c r="W458" s="92" t="s">
        <v>54</v>
      </c>
      <c r="X458" s="93"/>
    </row>
    <row r="459" spans="1:24" ht="18.75" customHeight="1">
      <c r="A459" s="86" t="s">
        <v>64</v>
      </c>
      <c r="B459" s="84" t="s">
        <v>49</v>
      </c>
      <c r="C459" s="87">
        <f>'[1]LUONG T7'!L58</f>
        <v>0</v>
      </c>
      <c r="D459" s="88" t="s">
        <v>58</v>
      </c>
      <c r="E459" s="259" t="s">
        <v>65</v>
      </c>
      <c r="F459" s="259"/>
      <c r="G459" s="259"/>
      <c r="H459" s="84" t="s">
        <v>49</v>
      </c>
      <c r="I459" s="260">
        <f>$F$8/$L$1*C459</f>
        <v>0</v>
      </c>
      <c r="J459" s="260"/>
      <c r="K459" s="92" t="s">
        <v>54</v>
      </c>
      <c r="L459" s="93"/>
      <c r="M459" s="86" t="s">
        <v>64</v>
      </c>
      <c r="N459" s="84" t="s">
        <v>49</v>
      </c>
      <c r="O459" s="87">
        <f>'[1]LUONG T7'!L60</f>
        <v>0</v>
      </c>
      <c r="P459" s="88" t="s">
        <v>58</v>
      </c>
      <c r="Q459" s="259" t="s">
        <v>65</v>
      </c>
      <c r="R459" s="259"/>
      <c r="S459" s="259"/>
      <c r="T459" s="84" t="s">
        <v>49</v>
      </c>
      <c r="U459" s="260">
        <f>$F$8/$L$1*O459</f>
        <v>0</v>
      </c>
      <c r="V459" s="260"/>
      <c r="W459" s="92" t="s">
        <v>54</v>
      </c>
      <c r="X459" s="93"/>
    </row>
    <row r="460" spans="1:24" ht="18.75" customHeight="1">
      <c r="A460" s="86" t="s">
        <v>66</v>
      </c>
      <c r="B460" s="84" t="s">
        <v>49</v>
      </c>
      <c r="C460" s="87">
        <f>'[1]LUONG T7'!Q58</f>
        <v>0</v>
      </c>
      <c r="D460" s="88" t="s">
        <v>67</v>
      </c>
      <c r="E460" s="249" t="s">
        <v>68</v>
      </c>
      <c r="F460" s="249"/>
      <c r="G460" s="249"/>
      <c r="H460" s="84" t="s">
        <v>49</v>
      </c>
      <c r="I460" s="260">
        <f>'[1]LUONG T7'!Q59</f>
        <v>0</v>
      </c>
      <c r="J460" s="260"/>
      <c r="K460" s="92" t="s">
        <v>54</v>
      </c>
      <c r="L460" s="93">
        <f>F453*C460/L446/8*1.5</f>
        <v>0</v>
      </c>
      <c r="M460" s="86" t="s">
        <v>66</v>
      </c>
      <c r="N460" s="84" t="s">
        <v>49</v>
      </c>
      <c r="O460" s="87">
        <f>'[1]LUONG T7'!Q60</f>
        <v>0</v>
      </c>
      <c r="P460" s="88" t="s">
        <v>67</v>
      </c>
      <c r="Q460" s="249" t="s">
        <v>68</v>
      </c>
      <c r="R460" s="249"/>
      <c r="S460" s="249"/>
      <c r="T460" s="84" t="s">
        <v>49</v>
      </c>
      <c r="U460" s="260">
        <f>'[1]LUONG T7'!Q61</f>
        <v>0</v>
      </c>
      <c r="V460" s="260"/>
      <c r="W460" s="92" t="s">
        <v>54</v>
      </c>
      <c r="X460" s="93">
        <f>R453*O460/X446/8*1.5</f>
        <v>0</v>
      </c>
    </row>
    <row r="461" spans="1:24" ht="18.75" customHeight="1">
      <c r="A461" s="248" t="s">
        <v>69</v>
      </c>
      <c r="B461" s="249"/>
      <c r="C461" s="87"/>
      <c r="D461" s="88" t="s">
        <v>58</v>
      </c>
      <c r="E461" s="249" t="s">
        <v>70</v>
      </c>
      <c r="F461" s="249"/>
      <c r="G461" s="249"/>
      <c r="H461" s="94" t="s">
        <v>49</v>
      </c>
      <c r="I461" s="260"/>
      <c r="J461" s="260"/>
      <c r="K461" s="92" t="s">
        <v>54</v>
      </c>
      <c r="L461" s="93"/>
      <c r="M461" s="248" t="s">
        <v>69</v>
      </c>
      <c r="N461" s="249"/>
      <c r="O461" s="87"/>
      <c r="P461" s="88" t="s">
        <v>58</v>
      </c>
      <c r="Q461" s="249" t="s">
        <v>70</v>
      </c>
      <c r="R461" s="249"/>
      <c r="S461" s="249"/>
      <c r="T461" s="94" t="s">
        <v>49</v>
      </c>
      <c r="U461" s="260"/>
      <c r="V461" s="260"/>
      <c r="W461" s="92" t="s">
        <v>54</v>
      </c>
      <c r="X461" s="93"/>
    </row>
    <row r="462" spans="1:24" ht="18.75" customHeight="1">
      <c r="A462" s="86" t="s">
        <v>71</v>
      </c>
      <c r="B462" s="84" t="s">
        <v>49</v>
      </c>
      <c r="C462" s="87"/>
      <c r="D462" s="88" t="s">
        <v>58</v>
      </c>
      <c r="E462" s="249" t="s">
        <v>72</v>
      </c>
      <c r="F462" s="249"/>
      <c r="G462" s="249"/>
      <c r="H462" s="84" t="s">
        <v>49</v>
      </c>
      <c r="I462" s="260"/>
      <c r="J462" s="260"/>
      <c r="K462" s="92" t="s">
        <v>54</v>
      </c>
      <c r="L462" s="93"/>
      <c r="M462" s="86" t="s">
        <v>71</v>
      </c>
      <c r="N462" s="84" t="s">
        <v>49</v>
      </c>
      <c r="O462" s="87"/>
      <c r="P462" s="88" t="s">
        <v>58</v>
      </c>
      <c r="Q462" s="249" t="s">
        <v>72</v>
      </c>
      <c r="R462" s="249"/>
      <c r="S462" s="249"/>
      <c r="T462" s="84" t="s">
        <v>49</v>
      </c>
      <c r="U462" s="260"/>
      <c r="V462" s="260"/>
      <c r="W462" s="92" t="s">
        <v>54</v>
      </c>
      <c r="X462" s="93"/>
    </row>
    <row r="463" spans="1:24" ht="18.75" customHeight="1">
      <c r="A463" s="95" t="s">
        <v>73</v>
      </c>
      <c r="B463" s="84"/>
      <c r="C463" s="87">
        <f>'[1]LUONG T7'!M58</f>
        <v>0</v>
      </c>
      <c r="D463" s="88" t="s">
        <v>67</v>
      </c>
      <c r="E463" s="249" t="s">
        <v>74</v>
      </c>
      <c r="F463" s="249"/>
      <c r="G463" s="249"/>
      <c r="H463" s="84" t="s">
        <v>49</v>
      </c>
      <c r="I463" s="260">
        <f>$F$8*C463/8/$L$1</f>
        <v>0</v>
      </c>
      <c r="J463" s="260"/>
      <c r="K463" s="92" t="s">
        <v>54</v>
      </c>
      <c r="L463" s="93"/>
      <c r="M463" s="95" t="s">
        <v>73</v>
      </c>
      <c r="N463" s="84"/>
      <c r="O463" s="87">
        <f>'[1]LUONG T7'!M60</f>
        <v>0</v>
      </c>
      <c r="P463" s="88" t="s">
        <v>67</v>
      </c>
      <c r="Q463" s="249" t="s">
        <v>74</v>
      </c>
      <c r="R463" s="249"/>
      <c r="S463" s="249"/>
      <c r="T463" s="84" t="s">
        <v>49</v>
      </c>
      <c r="U463" s="260">
        <f>$F$8*O463/8/$L$1</f>
        <v>0</v>
      </c>
      <c r="V463" s="260"/>
      <c r="W463" s="92" t="s">
        <v>54</v>
      </c>
      <c r="X463" s="93"/>
    </row>
    <row r="464" spans="1:24" ht="18.75" customHeight="1">
      <c r="A464" s="86" t="s">
        <v>75</v>
      </c>
      <c r="B464" s="84" t="s">
        <v>49</v>
      </c>
      <c r="C464" s="87"/>
      <c r="D464" s="88" t="s">
        <v>67</v>
      </c>
      <c r="E464" s="249" t="s">
        <v>97</v>
      </c>
      <c r="F464" s="249"/>
      <c r="G464" s="249"/>
      <c r="H464" s="84" t="s">
        <v>49</v>
      </c>
      <c r="I464" s="262"/>
      <c r="J464" s="262"/>
      <c r="K464" s="92" t="s">
        <v>54</v>
      </c>
      <c r="L464" s="93"/>
      <c r="M464" s="86" t="s">
        <v>75</v>
      </c>
      <c r="N464" s="84" t="s">
        <v>49</v>
      </c>
      <c r="O464" s="87"/>
      <c r="P464" s="88" t="s">
        <v>67</v>
      </c>
      <c r="Q464" s="249" t="s">
        <v>97</v>
      </c>
      <c r="R464" s="249"/>
      <c r="S464" s="249"/>
      <c r="T464" s="84" t="s">
        <v>49</v>
      </c>
      <c r="U464" s="262"/>
      <c r="V464" s="262"/>
      <c r="W464" s="92" t="s">
        <v>54</v>
      </c>
      <c r="X464" s="93"/>
    </row>
    <row r="465" spans="1:24" ht="18.75" customHeight="1">
      <c r="A465" s="86" t="s">
        <v>77</v>
      </c>
      <c r="B465" s="84" t="s">
        <v>49</v>
      </c>
      <c r="C465" s="87"/>
      <c r="D465" s="88" t="s">
        <v>78</v>
      </c>
      <c r="E465" s="96" t="s">
        <v>79</v>
      </c>
      <c r="F465" s="96"/>
      <c r="G465" s="96"/>
      <c r="H465" s="84" t="s">
        <v>49</v>
      </c>
      <c r="I465" s="260"/>
      <c r="J465" s="260"/>
      <c r="K465" s="92" t="s">
        <v>54</v>
      </c>
      <c r="L465" s="93">
        <f>+IF(L456-I456&lt;0,0,L456-I456)+IF(L460-I460&lt;0,0,L460-I460)</f>
        <v>0</v>
      </c>
      <c r="M465" s="86" t="s">
        <v>77</v>
      </c>
      <c r="N465" s="84" t="s">
        <v>49</v>
      </c>
      <c r="O465" s="87"/>
      <c r="P465" s="88" t="s">
        <v>78</v>
      </c>
      <c r="Q465" s="96" t="s">
        <v>79</v>
      </c>
      <c r="R465" s="96"/>
      <c r="S465" s="96"/>
      <c r="T465" s="84" t="s">
        <v>49</v>
      </c>
      <c r="U465" s="260"/>
      <c r="V465" s="260"/>
      <c r="W465" s="92" t="s">
        <v>54</v>
      </c>
      <c r="X465" s="93">
        <f>+IF(X456-U456&lt;0,0,X456-U456)+IF(X460-U460&lt;0,0,X460-U460)</f>
        <v>0</v>
      </c>
    </row>
    <row r="466" spans="1:24" ht="18.75" customHeight="1">
      <c r="A466" s="97" t="s">
        <v>122</v>
      </c>
      <c r="B466" s="98"/>
      <c r="C466" s="87"/>
      <c r="D466" s="88" t="s">
        <v>58</v>
      </c>
      <c r="E466" s="249" t="s">
        <v>123</v>
      </c>
      <c r="F466" s="249"/>
      <c r="G466" s="249"/>
      <c r="H466" s="84" t="s">
        <v>49</v>
      </c>
      <c r="I466" s="260"/>
      <c r="J466" s="260"/>
      <c r="K466" s="92" t="s">
        <v>54</v>
      </c>
      <c r="L466" s="93"/>
      <c r="M466" s="97" t="s">
        <v>122</v>
      </c>
      <c r="N466" s="98"/>
      <c r="O466" s="87"/>
      <c r="P466" s="88" t="s">
        <v>58</v>
      </c>
      <c r="Q466" s="249" t="s">
        <v>123</v>
      </c>
      <c r="R466" s="249"/>
      <c r="S466" s="249"/>
      <c r="T466" s="84" t="s">
        <v>49</v>
      </c>
      <c r="U466" s="260"/>
      <c r="V466" s="260"/>
      <c r="W466" s="92" t="s">
        <v>54</v>
      </c>
      <c r="X466" s="93"/>
    </row>
    <row r="467" spans="1:24" ht="18.75" customHeight="1">
      <c r="A467" s="267" t="s">
        <v>82</v>
      </c>
      <c r="B467" s="261"/>
      <c r="C467" s="87"/>
      <c r="D467" s="88"/>
      <c r="E467" s="89"/>
      <c r="F467" s="89"/>
      <c r="G467" s="89"/>
      <c r="H467" s="84" t="s">
        <v>49</v>
      </c>
      <c r="I467" s="260">
        <f>'[1]LUONG T7'!P59</f>
        <v>0</v>
      </c>
      <c r="J467" s="260"/>
      <c r="K467" s="92" t="s">
        <v>54</v>
      </c>
      <c r="L467" s="93"/>
      <c r="M467" s="267" t="s">
        <v>82</v>
      </c>
      <c r="N467" s="261"/>
      <c r="O467" s="87"/>
      <c r="P467" s="88"/>
      <c r="Q467" s="89"/>
      <c r="R467" s="89"/>
      <c r="S467" s="89"/>
      <c r="T467" s="84" t="s">
        <v>49</v>
      </c>
      <c r="U467" s="260">
        <f>'[1]LUONG T7'!P61</f>
        <v>0</v>
      </c>
      <c r="V467" s="260"/>
      <c r="W467" s="92" t="s">
        <v>54</v>
      </c>
      <c r="X467" s="93"/>
    </row>
    <row r="468" spans="1:24" ht="18.75" customHeight="1">
      <c r="A468" s="86" t="s">
        <v>83</v>
      </c>
      <c r="B468" s="84" t="s">
        <v>49</v>
      </c>
      <c r="C468" s="87"/>
      <c r="D468" s="88"/>
      <c r="E468" s="89" t="s">
        <v>84</v>
      </c>
      <c r="F468" s="89"/>
      <c r="G468" s="89"/>
      <c r="H468" s="84" t="s">
        <v>49</v>
      </c>
      <c r="I468" s="260">
        <f>L465</f>
        <v>0</v>
      </c>
      <c r="J468" s="260"/>
      <c r="K468" s="92" t="s">
        <v>54</v>
      </c>
      <c r="L468" s="93"/>
      <c r="M468" s="86" t="s">
        <v>83</v>
      </c>
      <c r="N468" s="84" t="s">
        <v>49</v>
      </c>
      <c r="O468" s="87"/>
      <c r="P468" s="88"/>
      <c r="Q468" s="89" t="s">
        <v>84</v>
      </c>
      <c r="R468" s="89"/>
      <c r="S468" s="89"/>
      <c r="T468" s="84" t="s">
        <v>49</v>
      </c>
      <c r="U468" s="260">
        <f>X465</f>
        <v>0</v>
      </c>
      <c r="V468" s="260"/>
      <c r="W468" s="92" t="s">
        <v>54</v>
      </c>
      <c r="X468" s="93"/>
    </row>
    <row r="469" spans="1:24" ht="18.75" customHeight="1">
      <c r="A469" s="264" t="s">
        <v>85</v>
      </c>
      <c r="B469" s="265"/>
      <c r="C469" s="265"/>
      <c r="D469" s="265"/>
      <c r="E469" s="265"/>
      <c r="F469" s="265"/>
      <c r="G469" s="84" t="s">
        <v>49</v>
      </c>
      <c r="H469" s="266">
        <f>I456+I457+I458+I459+I460+I463+I467+I468</f>
        <v>0</v>
      </c>
      <c r="I469" s="266"/>
      <c r="J469" s="266"/>
      <c r="K469" s="92" t="s">
        <v>54</v>
      </c>
      <c r="M469" s="264" t="s">
        <v>85</v>
      </c>
      <c r="N469" s="265"/>
      <c r="O469" s="265"/>
      <c r="P469" s="265"/>
      <c r="Q469" s="265"/>
      <c r="R469" s="265"/>
      <c r="S469" s="84" t="s">
        <v>49</v>
      </c>
      <c r="T469" s="266">
        <f>U456+U457+U458+U459+U460+U463+U467+U468</f>
        <v>0</v>
      </c>
      <c r="U469" s="266"/>
      <c r="V469" s="266"/>
      <c r="W469" s="92" t="s">
        <v>54</v>
      </c>
    </row>
    <row r="470" spans="1:24" ht="18.75" customHeight="1">
      <c r="A470" s="99"/>
      <c r="B470" s="100"/>
      <c r="C470" s="100"/>
      <c r="D470" s="100"/>
      <c r="E470" s="100"/>
      <c r="F470" s="100"/>
      <c r="G470" s="100"/>
      <c r="H470" s="100"/>
      <c r="I470" s="100"/>
      <c r="J470" s="100"/>
      <c r="K470" s="101"/>
      <c r="M470" s="99"/>
      <c r="N470" s="100"/>
      <c r="O470" s="100"/>
      <c r="P470" s="100"/>
      <c r="Q470" s="100"/>
      <c r="R470" s="100"/>
      <c r="S470" s="100"/>
      <c r="T470" s="100"/>
      <c r="U470" s="100"/>
      <c r="V470" s="100"/>
      <c r="W470" s="101"/>
    </row>
    <row r="471" spans="1:24" ht="18.75" customHeight="1">
      <c r="A471" s="274" t="s">
        <v>86</v>
      </c>
      <c r="B471" s="275"/>
      <c r="C471" s="275"/>
      <c r="D471" s="275"/>
      <c r="E471" s="275"/>
      <c r="F471" s="275"/>
      <c r="G471" s="84"/>
      <c r="H471" s="84"/>
      <c r="I471" s="84"/>
      <c r="J471" s="84"/>
      <c r="K471" s="92"/>
      <c r="M471" s="274" t="s">
        <v>86</v>
      </c>
      <c r="N471" s="275"/>
      <c r="O471" s="275"/>
      <c r="P471" s="275"/>
      <c r="Q471" s="275"/>
      <c r="R471" s="275"/>
      <c r="S471" s="84"/>
      <c r="T471" s="84"/>
      <c r="U471" s="84"/>
      <c r="V471" s="84"/>
      <c r="W471" s="92"/>
    </row>
    <row r="472" spans="1:24" ht="18.75" customHeight="1">
      <c r="A472" s="268" t="s">
        <v>87</v>
      </c>
      <c r="B472" s="269"/>
      <c r="C472" s="269"/>
      <c r="D472" s="269"/>
      <c r="E472" s="269"/>
      <c r="F472" s="269"/>
      <c r="G472" s="84" t="s">
        <v>49</v>
      </c>
      <c r="H472" s="276">
        <f>IF(($L$1-(C456+C457+C458+C459))&gt;12,0,F453*8%)</f>
        <v>0</v>
      </c>
      <c r="I472" s="276"/>
      <c r="J472" s="276"/>
      <c r="K472" s="92" t="s">
        <v>54</v>
      </c>
      <c r="M472" s="268" t="s">
        <v>87</v>
      </c>
      <c r="N472" s="269"/>
      <c r="O472" s="269"/>
      <c r="P472" s="269"/>
      <c r="Q472" s="269"/>
      <c r="R472" s="269"/>
      <c r="S472" s="84" t="s">
        <v>49</v>
      </c>
      <c r="T472" s="276">
        <f>IF(($L$1-(O456+O457+O458+O459))&gt;12,0,R453*8%)</f>
        <v>0</v>
      </c>
      <c r="U472" s="276"/>
      <c r="V472" s="276"/>
      <c r="W472" s="92" t="s">
        <v>54</v>
      </c>
    </row>
    <row r="473" spans="1:24" ht="18.75" customHeight="1">
      <c r="A473" s="268" t="s">
        <v>88</v>
      </c>
      <c r="B473" s="269"/>
      <c r="C473" s="269"/>
      <c r="D473" s="269"/>
      <c r="E473" s="269"/>
      <c r="F473" s="269"/>
      <c r="G473" s="84" t="s">
        <v>49</v>
      </c>
      <c r="H473" s="270">
        <f>IF(($L$1-(C456+C457+C458+C459))&gt;12,0,F453*1.5%)</f>
        <v>0</v>
      </c>
      <c r="I473" s="270"/>
      <c r="J473" s="270"/>
      <c r="K473" s="92" t="s">
        <v>54</v>
      </c>
      <c r="M473" s="268" t="s">
        <v>88</v>
      </c>
      <c r="N473" s="269"/>
      <c r="O473" s="269"/>
      <c r="P473" s="269"/>
      <c r="Q473" s="269"/>
      <c r="R473" s="269"/>
      <c r="S473" s="84" t="s">
        <v>49</v>
      </c>
      <c r="T473" s="270">
        <f>IF(($L$1-(O456+O457+O458+O459))&gt;12,0,R453*1.5%)</f>
        <v>0</v>
      </c>
      <c r="U473" s="270"/>
      <c r="V473" s="270"/>
      <c r="W473" s="92" t="s">
        <v>54</v>
      </c>
    </row>
    <row r="474" spans="1:24" ht="18.75" customHeight="1">
      <c r="A474" s="268" t="s">
        <v>89</v>
      </c>
      <c r="B474" s="269"/>
      <c r="C474" s="269"/>
      <c r="D474" s="269"/>
      <c r="E474" s="269"/>
      <c r="F474" s="269"/>
      <c r="G474" s="84" t="s">
        <v>49</v>
      </c>
      <c r="H474" s="270">
        <f>IF(($L$1-(C456+C457+C458+C459))&gt;12,0,F453*1%)</f>
        <v>0</v>
      </c>
      <c r="I474" s="270"/>
      <c r="J474" s="270"/>
      <c r="K474" s="92" t="s">
        <v>54</v>
      </c>
      <c r="M474" s="268" t="s">
        <v>89</v>
      </c>
      <c r="N474" s="269"/>
      <c r="O474" s="269"/>
      <c r="P474" s="269"/>
      <c r="Q474" s="269"/>
      <c r="R474" s="269"/>
      <c r="S474" s="84" t="s">
        <v>49</v>
      </c>
      <c r="T474" s="270">
        <f>IF(($L$1-(O456+O457+O458+O459))&gt;12,0,R453*1%)</f>
        <v>0</v>
      </c>
      <c r="U474" s="270"/>
      <c r="V474" s="270"/>
      <c r="W474" s="92" t="s">
        <v>54</v>
      </c>
    </row>
    <row r="475" spans="1:24" ht="18.75" customHeight="1">
      <c r="A475" s="268" t="s">
        <v>90</v>
      </c>
      <c r="B475" s="269"/>
      <c r="C475" s="269"/>
      <c r="D475" s="269"/>
      <c r="E475" s="269"/>
      <c r="F475" s="269"/>
      <c r="G475" s="84" t="s">
        <v>49</v>
      </c>
      <c r="H475" s="270">
        <v>0</v>
      </c>
      <c r="I475" s="270"/>
      <c r="J475" s="270"/>
      <c r="K475" s="92" t="s">
        <v>54</v>
      </c>
      <c r="M475" s="268" t="s">
        <v>90</v>
      </c>
      <c r="N475" s="269"/>
      <c r="O475" s="269"/>
      <c r="P475" s="269"/>
      <c r="Q475" s="269"/>
      <c r="R475" s="269"/>
      <c r="S475" s="84" t="s">
        <v>49</v>
      </c>
      <c r="T475" s="270">
        <v>0</v>
      </c>
      <c r="U475" s="270"/>
      <c r="V475" s="270"/>
      <c r="W475" s="92" t="s">
        <v>54</v>
      </c>
    </row>
    <row r="476" spans="1:24" ht="18.75" customHeight="1">
      <c r="A476" s="271" t="s">
        <v>91</v>
      </c>
      <c r="B476" s="272"/>
      <c r="C476" s="272"/>
      <c r="D476" s="272"/>
      <c r="E476" s="272"/>
      <c r="F476" s="272"/>
      <c r="G476" s="84" t="s">
        <v>49</v>
      </c>
      <c r="H476" s="273">
        <f>SUM(H472:J475)</f>
        <v>0</v>
      </c>
      <c r="I476" s="273"/>
      <c r="J476" s="273"/>
      <c r="K476" s="92" t="s">
        <v>54</v>
      </c>
      <c r="M476" s="271" t="s">
        <v>91</v>
      </c>
      <c r="N476" s="272"/>
      <c r="O476" s="272"/>
      <c r="P476" s="272"/>
      <c r="Q476" s="272"/>
      <c r="R476" s="272"/>
      <c r="S476" s="84" t="s">
        <v>49</v>
      </c>
      <c r="T476" s="273">
        <f>SUM(T472:V475)</f>
        <v>0</v>
      </c>
      <c r="U476" s="273"/>
      <c r="V476" s="273"/>
      <c r="W476" s="92" t="s">
        <v>54</v>
      </c>
    </row>
    <row r="477" spans="1:24" ht="18.75" customHeight="1">
      <c r="A477" s="268" t="s">
        <v>92</v>
      </c>
      <c r="B477" s="269"/>
      <c r="C477" s="269"/>
      <c r="D477" s="269"/>
      <c r="E477" s="269"/>
      <c r="F477" s="269"/>
      <c r="G477" s="84" t="s">
        <v>49</v>
      </c>
      <c r="H477" s="280">
        <f>ROUND(H469-H476,-2)</f>
        <v>0</v>
      </c>
      <c r="I477" s="280"/>
      <c r="J477" s="280"/>
      <c r="K477" s="92" t="s">
        <v>54</v>
      </c>
      <c r="M477" s="268" t="s">
        <v>92</v>
      </c>
      <c r="N477" s="269"/>
      <c r="O477" s="269"/>
      <c r="P477" s="269"/>
      <c r="Q477" s="269"/>
      <c r="R477" s="269"/>
      <c r="S477" s="84" t="s">
        <v>49</v>
      </c>
      <c r="T477" s="280">
        <f>ROUND(T469-T476,-2)</f>
        <v>0</v>
      </c>
      <c r="U477" s="280"/>
      <c r="V477" s="280"/>
      <c r="W477" s="92" t="s">
        <v>54</v>
      </c>
    </row>
    <row r="478" spans="1:24" ht="18.75" customHeight="1">
      <c r="A478" s="102"/>
      <c r="B478" s="103"/>
      <c r="C478" s="103"/>
      <c r="D478" s="103"/>
      <c r="E478" s="103"/>
      <c r="F478" s="103"/>
      <c r="G478" s="103"/>
      <c r="H478" s="103"/>
      <c r="I478" s="103"/>
      <c r="J478" s="103"/>
      <c r="K478" s="104"/>
      <c r="M478" s="102"/>
      <c r="N478" s="103"/>
      <c r="O478" s="103"/>
      <c r="P478" s="103"/>
      <c r="Q478" s="103"/>
      <c r="R478" s="103"/>
      <c r="S478" s="103"/>
      <c r="T478" s="103"/>
      <c r="U478" s="103"/>
      <c r="V478" s="103"/>
      <c r="W478" s="104"/>
    </row>
    <row r="479" spans="1:24" ht="18.75" customHeight="1">
      <c r="A479" s="105"/>
      <c r="B479" s="84"/>
      <c r="C479" s="84"/>
      <c r="D479" s="84"/>
      <c r="E479" s="84"/>
      <c r="F479" s="84"/>
      <c r="G479" s="84"/>
      <c r="H479" s="84"/>
      <c r="I479" s="277" t="s">
        <v>93</v>
      </c>
      <c r="J479" s="277"/>
      <c r="K479" s="281"/>
      <c r="M479" s="105"/>
      <c r="N479" s="84"/>
      <c r="O479" s="84"/>
      <c r="P479" s="84"/>
      <c r="Q479" s="84"/>
      <c r="R479" s="84"/>
      <c r="S479" s="84"/>
      <c r="T479" s="84"/>
      <c r="U479" s="277" t="s">
        <v>93</v>
      </c>
      <c r="V479" s="277"/>
      <c r="W479" s="281"/>
    </row>
    <row r="480" spans="1:24" ht="18.75" customHeight="1">
      <c r="A480" s="105"/>
      <c r="B480" s="277"/>
      <c r="C480" s="277"/>
      <c r="D480" s="277"/>
      <c r="E480" s="277"/>
      <c r="F480" s="84"/>
      <c r="G480" s="84"/>
      <c r="H480" s="84"/>
      <c r="I480" s="84"/>
      <c r="J480" s="84"/>
      <c r="K480" s="85"/>
      <c r="M480" s="105"/>
      <c r="N480" s="277"/>
      <c r="O480" s="277"/>
      <c r="P480" s="277"/>
      <c r="Q480" s="277"/>
      <c r="R480" s="84"/>
      <c r="S480" s="84"/>
      <c r="T480" s="84"/>
      <c r="U480" s="84"/>
      <c r="V480" s="84"/>
      <c r="W480" s="85"/>
    </row>
    <row r="481" spans="1:24" ht="18.75" customHeight="1" thickBot="1">
      <c r="A481" s="106"/>
      <c r="B481" s="107"/>
      <c r="C481" s="107"/>
      <c r="D481" s="107"/>
      <c r="E481" s="107"/>
      <c r="F481" s="107"/>
      <c r="G481" s="107"/>
      <c r="H481" s="107"/>
      <c r="I481" s="278" t="s">
        <v>94</v>
      </c>
      <c r="J481" s="278"/>
      <c r="K481" s="279"/>
      <c r="M481" s="106"/>
      <c r="N481" s="107"/>
      <c r="O481" s="107"/>
      <c r="P481" s="107"/>
      <c r="Q481" s="107"/>
      <c r="R481" s="107"/>
      <c r="S481" s="107"/>
      <c r="T481" s="107"/>
      <c r="U481" s="278" t="s">
        <v>94</v>
      </c>
      <c r="V481" s="278"/>
      <c r="W481" s="279"/>
    </row>
    <row r="483" spans="1:24" ht="18.75" customHeight="1" thickTop="1">
      <c r="A483" s="253" t="s">
        <v>43</v>
      </c>
      <c r="B483" s="254"/>
      <c r="C483" s="254"/>
      <c r="D483" s="254"/>
      <c r="E483" s="254"/>
      <c r="F483" s="254"/>
      <c r="G483" s="254"/>
      <c r="H483" s="254"/>
      <c r="I483" s="254"/>
      <c r="J483" s="254"/>
      <c r="K483" s="255"/>
      <c r="L483" s="80">
        <v>25</v>
      </c>
      <c r="M483" s="253" t="s">
        <v>43</v>
      </c>
      <c r="N483" s="254"/>
      <c r="O483" s="254"/>
      <c r="P483" s="254"/>
      <c r="Q483" s="254"/>
      <c r="R483" s="254"/>
      <c r="S483" s="254"/>
      <c r="T483" s="254"/>
      <c r="U483" s="254"/>
      <c r="V483" s="254"/>
      <c r="W483" s="255"/>
      <c r="X483" s="80">
        <v>25</v>
      </c>
    </row>
    <row r="484" spans="1:24" ht="18.75" customHeight="1">
      <c r="A484" s="81" t="s">
        <v>134</v>
      </c>
      <c r="B484" s="82"/>
      <c r="C484" s="82"/>
      <c r="D484" s="82"/>
      <c r="E484" s="82"/>
      <c r="F484" s="82"/>
      <c r="G484" s="82"/>
      <c r="H484" s="82"/>
      <c r="I484" s="82"/>
      <c r="J484" s="82"/>
      <c r="K484" s="83"/>
      <c r="M484" s="81" t="s">
        <v>135</v>
      </c>
      <c r="N484" s="82"/>
      <c r="O484" s="82"/>
      <c r="P484" s="82"/>
      <c r="Q484" s="82"/>
      <c r="R484" s="82"/>
      <c r="S484" s="82"/>
      <c r="T484" s="82"/>
      <c r="U484" s="82"/>
      <c r="V484" s="82"/>
      <c r="W484" s="83"/>
    </row>
    <row r="485" spans="1:24" ht="18.75" customHeight="1">
      <c r="A485" s="256" t="s">
        <v>47</v>
      </c>
      <c r="B485" s="257"/>
      <c r="C485" s="257"/>
      <c r="D485" s="257"/>
      <c r="E485" s="257"/>
      <c r="F485" s="257"/>
      <c r="G485" s="257"/>
      <c r="H485" s="257"/>
      <c r="I485" s="257"/>
      <c r="J485" s="257"/>
      <c r="K485" s="258"/>
      <c r="M485" s="256" t="s">
        <v>47</v>
      </c>
      <c r="N485" s="257"/>
      <c r="O485" s="257"/>
      <c r="P485" s="257"/>
      <c r="Q485" s="257"/>
      <c r="R485" s="257"/>
      <c r="S485" s="257"/>
      <c r="T485" s="257"/>
      <c r="U485" s="257"/>
      <c r="V485" s="257"/>
      <c r="W485" s="258"/>
    </row>
    <row r="486" spans="1:24" ht="18.75" customHeight="1">
      <c r="A486" s="248" t="s">
        <v>48</v>
      </c>
      <c r="B486" s="249"/>
      <c r="C486" s="249"/>
      <c r="D486" s="249"/>
      <c r="E486" s="84" t="s">
        <v>49</v>
      </c>
      <c r="F486" s="250">
        <f>'[1]Bang TH nop'!B54</f>
        <v>0</v>
      </c>
      <c r="G486" s="249"/>
      <c r="H486" s="249"/>
      <c r="I486" s="249"/>
      <c r="J486" s="249"/>
      <c r="K486" s="252"/>
      <c r="M486" s="248" t="s">
        <v>48</v>
      </c>
      <c r="N486" s="249"/>
      <c r="O486" s="249"/>
      <c r="P486" s="249"/>
      <c r="Q486" s="84" t="s">
        <v>49</v>
      </c>
      <c r="R486" s="250">
        <f>'[1]Bang TH nop'!B56</f>
        <v>0</v>
      </c>
      <c r="S486" s="249"/>
      <c r="T486" s="249"/>
      <c r="U486" s="249"/>
      <c r="V486" s="249"/>
      <c r="W486" s="252"/>
    </row>
    <row r="487" spans="1:24" ht="18.75" customHeight="1">
      <c r="A487" s="248" t="s">
        <v>50</v>
      </c>
      <c r="B487" s="249"/>
      <c r="C487" s="249"/>
      <c r="D487" s="249"/>
      <c r="E487" s="84" t="s">
        <v>49</v>
      </c>
      <c r="F487" s="250">
        <f>'[1]Bang TH nop'!C54</f>
        <v>0</v>
      </c>
      <c r="G487" s="250"/>
      <c r="H487" s="250"/>
      <c r="I487" s="250"/>
      <c r="J487" s="250"/>
      <c r="K487" s="251"/>
      <c r="M487" s="248" t="s">
        <v>50</v>
      </c>
      <c r="N487" s="249"/>
      <c r="O487" s="249"/>
      <c r="P487" s="249"/>
      <c r="Q487" s="84" t="s">
        <v>49</v>
      </c>
      <c r="R487" s="250">
        <f>'[1]Bang TH nop'!C56</f>
        <v>0</v>
      </c>
      <c r="S487" s="250"/>
      <c r="T487" s="250"/>
      <c r="U487" s="250"/>
      <c r="V487" s="250"/>
      <c r="W487" s="251"/>
    </row>
    <row r="488" spans="1:24" ht="18.75" customHeight="1">
      <c r="A488" s="248" t="s">
        <v>51</v>
      </c>
      <c r="B488" s="249"/>
      <c r="C488" s="249"/>
      <c r="D488" s="249"/>
      <c r="E488" s="84" t="s">
        <v>49</v>
      </c>
      <c r="F488" s="249" t="s">
        <v>121</v>
      </c>
      <c r="G488" s="249"/>
      <c r="H488" s="249"/>
      <c r="I488" s="249"/>
      <c r="J488" s="249"/>
      <c r="K488" s="252"/>
      <c r="M488" s="248" t="s">
        <v>51</v>
      </c>
      <c r="N488" s="249"/>
      <c r="O488" s="249"/>
      <c r="P488" s="249"/>
      <c r="Q488" s="84" t="s">
        <v>49</v>
      </c>
      <c r="R488" s="249" t="s">
        <v>121</v>
      </c>
      <c r="S488" s="249"/>
      <c r="T488" s="249"/>
      <c r="U488" s="249"/>
      <c r="V488" s="249"/>
      <c r="W488" s="252"/>
    </row>
    <row r="489" spans="1:24" ht="18.75" customHeight="1">
      <c r="A489" s="256" t="s">
        <v>52</v>
      </c>
      <c r="B489" s="257"/>
      <c r="C489" s="257"/>
      <c r="D489" s="257"/>
      <c r="E489" s="257"/>
      <c r="F489" s="257"/>
      <c r="G489" s="257"/>
      <c r="H489" s="257"/>
      <c r="I489" s="257"/>
      <c r="J489" s="257"/>
      <c r="K489" s="258"/>
      <c r="M489" s="256" t="s">
        <v>52</v>
      </c>
      <c r="N489" s="257"/>
      <c r="O489" s="257"/>
      <c r="P489" s="257"/>
      <c r="Q489" s="257"/>
      <c r="R489" s="257"/>
      <c r="S489" s="257"/>
      <c r="T489" s="257"/>
      <c r="U489" s="257"/>
      <c r="V489" s="257"/>
      <c r="W489" s="258"/>
    </row>
    <row r="490" spans="1:24" ht="18.75" customHeight="1">
      <c r="A490" s="248" t="s">
        <v>53</v>
      </c>
      <c r="B490" s="249"/>
      <c r="C490" s="249"/>
      <c r="D490" s="249"/>
      <c r="E490" s="84" t="s">
        <v>49</v>
      </c>
      <c r="F490" s="263">
        <v>2915400</v>
      </c>
      <c r="G490" s="263"/>
      <c r="H490" s="263"/>
      <c r="I490" s="263"/>
      <c r="J490" s="84" t="s">
        <v>54</v>
      </c>
      <c r="K490" s="85"/>
      <c r="M490" s="248" t="s">
        <v>53</v>
      </c>
      <c r="N490" s="249"/>
      <c r="O490" s="249"/>
      <c r="P490" s="249"/>
      <c r="Q490" s="84" t="s">
        <v>49</v>
      </c>
      <c r="R490" s="263">
        <v>2915400</v>
      </c>
      <c r="S490" s="263"/>
      <c r="T490" s="263"/>
      <c r="U490" s="263"/>
      <c r="V490" s="84" t="s">
        <v>54</v>
      </c>
      <c r="W490" s="85"/>
    </row>
    <row r="491" spans="1:24" ht="18.75" customHeight="1">
      <c r="A491" s="86" t="s">
        <v>55</v>
      </c>
      <c r="B491" s="84"/>
      <c r="C491" s="87"/>
      <c r="D491" s="88"/>
      <c r="E491" s="89"/>
      <c r="F491" s="89"/>
      <c r="G491" s="89"/>
      <c r="H491" s="84"/>
      <c r="I491" s="90">
        <f>'[1]LUONG T7'!F63</f>
        <v>0</v>
      </c>
      <c r="J491" s="91"/>
      <c r="K491" s="92"/>
      <c r="M491" s="86" t="s">
        <v>55</v>
      </c>
      <c r="N491" s="84"/>
      <c r="O491" s="87"/>
      <c r="P491" s="88"/>
      <c r="Q491" s="89"/>
      <c r="R491" s="89"/>
      <c r="S491" s="89"/>
      <c r="T491" s="84"/>
      <c r="U491" s="90">
        <f>'[1]LUONG T7'!F65</f>
        <v>0</v>
      </c>
      <c r="V491" s="91"/>
      <c r="W491" s="92"/>
    </row>
    <row r="492" spans="1:24" ht="18.75" customHeight="1">
      <c r="A492" s="86" t="s">
        <v>56</v>
      </c>
      <c r="B492" s="84"/>
      <c r="C492" s="87"/>
      <c r="D492" s="88"/>
      <c r="E492" s="89"/>
      <c r="F492" s="89"/>
      <c r="G492" s="89"/>
      <c r="H492" s="84"/>
      <c r="I492" s="90" t="e">
        <f>I493/C493/8</f>
        <v>#DIV/0!</v>
      </c>
      <c r="J492" s="91"/>
      <c r="K492" s="92"/>
      <c r="M492" s="86" t="s">
        <v>56</v>
      </c>
      <c r="N492" s="84"/>
      <c r="O492" s="87"/>
      <c r="P492" s="88"/>
      <c r="Q492" s="89"/>
      <c r="R492" s="89"/>
      <c r="S492" s="89"/>
      <c r="T492" s="84"/>
      <c r="U492" s="90" t="e">
        <f>U493/O493/8</f>
        <v>#DIV/0!</v>
      </c>
      <c r="V492" s="91"/>
      <c r="W492" s="92"/>
    </row>
    <row r="493" spans="1:24" ht="18.75" customHeight="1">
      <c r="A493" s="86" t="s">
        <v>57</v>
      </c>
      <c r="B493" s="84" t="s">
        <v>49</v>
      </c>
      <c r="C493" s="87">
        <f>'[1]LUONG T7'!I62</f>
        <v>0</v>
      </c>
      <c r="D493" s="88" t="s">
        <v>58</v>
      </c>
      <c r="E493" s="261" t="s">
        <v>59</v>
      </c>
      <c r="F493" s="261"/>
      <c r="G493" s="261"/>
      <c r="H493" s="84" t="s">
        <v>49</v>
      </c>
      <c r="I493" s="262">
        <f>'[1]LUONG T7'!I63</f>
        <v>0</v>
      </c>
      <c r="J493" s="262"/>
      <c r="K493" s="92" t="s">
        <v>54</v>
      </c>
      <c r="L493" s="93">
        <f>F490/L483*C493</f>
        <v>0</v>
      </c>
      <c r="M493" s="86" t="s">
        <v>57</v>
      </c>
      <c r="N493" s="84" t="s">
        <v>49</v>
      </c>
      <c r="O493" s="87">
        <f>'[1]LUONG T7'!I64</f>
        <v>0</v>
      </c>
      <c r="P493" s="88" t="s">
        <v>58</v>
      </c>
      <c r="Q493" s="261" t="s">
        <v>59</v>
      </c>
      <c r="R493" s="261"/>
      <c r="S493" s="261"/>
      <c r="T493" s="84" t="s">
        <v>49</v>
      </c>
      <c r="U493" s="262">
        <f>'[1]LUONG T7'!I65</f>
        <v>0</v>
      </c>
      <c r="V493" s="262"/>
      <c r="W493" s="92" t="s">
        <v>54</v>
      </c>
      <c r="X493" s="93">
        <f>R490/X483*O493</f>
        <v>0</v>
      </c>
    </row>
    <row r="494" spans="1:24" ht="18.75" customHeight="1">
      <c r="A494" s="86" t="s">
        <v>60</v>
      </c>
      <c r="B494" s="84" t="s">
        <v>49</v>
      </c>
      <c r="C494" s="87">
        <f>'[1]LUONG T7'!J62</f>
        <v>0</v>
      </c>
      <c r="D494" s="88" t="s">
        <v>58</v>
      </c>
      <c r="E494" s="249" t="s">
        <v>61</v>
      </c>
      <c r="F494" s="249"/>
      <c r="G494" s="249"/>
      <c r="H494" s="84" t="s">
        <v>49</v>
      </c>
      <c r="I494" s="260">
        <f>$F$8/$L$1*C494</f>
        <v>0</v>
      </c>
      <c r="J494" s="260"/>
      <c r="K494" s="92" t="s">
        <v>54</v>
      </c>
      <c r="L494" s="93"/>
      <c r="M494" s="86" t="s">
        <v>60</v>
      </c>
      <c r="N494" s="84" t="s">
        <v>49</v>
      </c>
      <c r="O494" s="87">
        <f>'[1]LUONG T7'!J64</f>
        <v>0</v>
      </c>
      <c r="P494" s="88" t="s">
        <v>58</v>
      </c>
      <c r="Q494" s="249" t="s">
        <v>61</v>
      </c>
      <c r="R494" s="249"/>
      <c r="S494" s="249"/>
      <c r="T494" s="84" t="s">
        <v>49</v>
      </c>
      <c r="U494" s="260">
        <f>$F$8/$L$1*O494</f>
        <v>0</v>
      </c>
      <c r="V494" s="260"/>
      <c r="W494" s="92" t="s">
        <v>54</v>
      </c>
      <c r="X494" s="93"/>
    </row>
    <row r="495" spans="1:24" ht="18.75" customHeight="1">
      <c r="A495" s="86" t="s">
        <v>62</v>
      </c>
      <c r="B495" s="84" t="s">
        <v>49</v>
      </c>
      <c r="C495" s="87">
        <f>'[1]LUONG T7'!K62</f>
        <v>0</v>
      </c>
      <c r="D495" s="88" t="s">
        <v>58</v>
      </c>
      <c r="E495" s="259" t="s">
        <v>63</v>
      </c>
      <c r="F495" s="259"/>
      <c r="G495" s="259"/>
      <c r="H495" s="84" t="s">
        <v>49</v>
      </c>
      <c r="I495" s="260">
        <f>$F$8/$L$1*C495</f>
        <v>0</v>
      </c>
      <c r="J495" s="260"/>
      <c r="K495" s="92" t="s">
        <v>54</v>
      </c>
      <c r="L495" s="93"/>
      <c r="M495" s="86" t="s">
        <v>62</v>
      </c>
      <c r="N495" s="84" t="s">
        <v>49</v>
      </c>
      <c r="O495" s="87">
        <f>'[1]LUONG T7'!K64</f>
        <v>0</v>
      </c>
      <c r="P495" s="88" t="s">
        <v>58</v>
      </c>
      <c r="Q495" s="259" t="s">
        <v>63</v>
      </c>
      <c r="R495" s="259"/>
      <c r="S495" s="259"/>
      <c r="T495" s="84" t="s">
        <v>49</v>
      </c>
      <c r="U495" s="260">
        <f>$F$8/$L$1*O495</f>
        <v>0</v>
      </c>
      <c r="V495" s="260"/>
      <c r="W495" s="92" t="s">
        <v>54</v>
      </c>
      <c r="X495" s="93"/>
    </row>
    <row r="496" spans="1:24" ht="18.75" customHeight="1">
      <c r="A496" s="86" t="s">
        <v>64</v>
      </c>
      <c r="B496" s="84" t="s">
        <v>49</v>
      </c>
      <c r="C496" s="87">
        <f>'[1]LUONG T7'!L62</f>
        <v>0</v>
      </c>
      <c r="D496" s="88" t="s">
        <v>58</v>
      </c>
      <c r="E496" s="259" t="s">
        <v>65</v>
      </c>
      <c r="F496" s="259"/>
      <c r="G496" s="259"/>
      <c r="H496" s="84" t="s">
        <v>49</v>
      </c>
      <c r="I496" s="260">
        <f>$F$8/$L$1*C496</f>
        <v>0</v>
      </c>
      <c r="J496" s="260"/>
      <c r="K496" s="92" t="s">
        <v>54</v>
      </c>
      <c r="L496" s="93"/>
      <c r="M496" s="86" t="s">
        <v>64</v>
      </c>
      <c r="N496" s="84" t="s">
        <v>49</v>
      </c>
      <c r="O496" s="87">
        <f>'[1]LUONG T7'!L64</f>
        <v>0</v>
      </c>
      <c r="P496" s="88" t="s">
        <v>58</v>
      </c>
      <c r="Q496" s="259" t="s">
        <v>65</v>
      </c>
      <c r="R496" s="259"/>
      <c r="S496" s="259"/>
      <c r="T496" s="84" t="s">
        <v>49</v>
      </c>
      <c r="U496" s="260">
        <f>$F$8/$L$1*O496</f>
        <v>0</v>
      </c>
      <c r="V496" s="260"/>
      <c r="W496" s="92" t="s">
        <v>54</v>
      </c>
      <c r="X496" s="93"/>
    </row>
    <row r="497" spans="1:24" ht="18.75" customHeight="1">
      <c r="A497" s="86" t="s">
        <v>66</v>
      </c>
      <c r="B497" s="84" t="s">
        <v>49</v>
      </c>
      <c r="C497" s="87">
        <f>'[1]LUONG T7'!Q62</f>
        <v>0</v>
      </c>
      <c r="D497" s="88" t="s">
        <v>67</v>
      </c>
      <c r="E497" s="249" t="s">
        <v>68</v>
      </c>
      <c r="F497" s="249"/>
      <c r="G497" s="249"/>
      <c r="H497" s="84" t="s">
        <v>49</v>
      </c>
      <c r="I497" s="260">
        <f>'[1]LUONG T7'!Q63</f>
        <v>0</v>
      </c>
      <c r="J497" s="260"/>
      <c r="K497" s="92" t="s">
        <v>54</v>
      </c>
      <c r="L497" s="93">
        <f>F490*C497/L483/8*1.5</f>
        <v>0</v>
      </c>
      <c r="M497" s="86" t="s">
        <v>66</v>
      </c>
      <c r="N497" s="84" t="s">
        <v>49</v>
      </c>
      <c r="O497" s="87">
        <f>'[1]LUONG T7'!Q64</f>
        <v>0</v>
      </c>
      <c r="P497" s="88" t="s">
        <v>67</v>
      </c>
      <c r="Q497" s="249" t="s">
        <v>68</v>
      </c>
      <c r="R497" s="249"/>
      <c r="S497" s="249"/>
      <c r="T497" s="84" t="s">
        <v>49</v>
      </c>
      <c r="U497" s="260">
        <f>'[1]LUONG T7'!Q65</f>
        <v>0</v>
      </c>
      <c r="V497" s="260"/>
      <c r="W497" s="92" t="s">
        <v>54</v>
      </c>
      <c r="X497" s="93">
        <f>R490*O497/X483/8*1.5</f>
        <v>0</v>
      </c>
    </row>
    <row r="498" spans="1:24" ht="18.75" customHeight="1">
      <c r="A498" s="248" t="s">
        <v>69</v>
      </c>
      <c r="B498" s="249"/>
      <c r="C498" s="87"/>
      <c r="D498" s="88" t="s">
        <v>58</v>
      </c>
      <c r="E498" s="249" t="s">
        <v>70</v>
      </c>
      <c r="F498" s="249"/>
      <c r="G498" s="249"/>
      <c r="H498" s="94" t="s">
        <v>49</v>
      </c>
      <c r="I498" s="260"/>
      <c r="J498" s="260"/>
      <c r="K498" s="92" t="s">
        <v>54</v>
      </c>
      <c r="L498" s="93"/>
      <c r="M498" s="248" t="s">
        <v>69</v>
      </c>
      <c r="N498" s="249"/>
      <c r="O498" s="87"/>
      <c r="P498" s="88" t="s">
        <v>58</v>
      </c>
      <c r="Q498" s="249" t="s">
        <v>70</v>
      </c>
      <c r="R498" s="249"/>
      <c r="S498" s="249"/>
      <c r="T498" s="94" t="s">
        <v>49</v>
      </c>
      <c r="U498" s="260"/>
      <c r="V498" s="260"/>
      <c r="W498" s="92" t="s">
        <v>54</v>
      </c>
      <c r="X498" s="93"/>
    </row>
    <row r="499" spans="1:24" ht="18.75" customHeight="1">
      <c r="A499" s="86" t="s">
        <v>71</v>
      </c>
      <c r="B499" s="84" t="s">
        <v>49</v>
      </c>
      <c r="C499" s="87"/>
      <c r="D499" s="88" t="s">
        <v>58</v>
      </c>
      <c r="E499" s="249" t="s">
        <v>72</v>
      </c>
      <c r="F499" s="249"/>
      <c r="G499" s="249"/>
      <c r="H499" s="84" t="s">
        <v>49</v>
      </c>
      <c r="I499" s="260"/>
      <c r="J499" s="260"/>
      <c r="K499" s="92" t="s">
        <v>54</v>
      </c>
      <c r="L499" s="93"/>
      <c r="M499" s="86" t="s">
        <v>71</v>
      </c>
      <c r="N499" s="84" t="s">
        <v>49</v>
      </c>
      <c r="O499" s="87"/>
      <c r="P499" s="88" t="s">
        <v>58</v>
      </c>
      <c r="Q499" s="249" t="s">
        <v>72</v>
      </c>
      <c r="R499" s="249"/>
      <c r="S499" s="249"/>
      <c r="T499" s="84" t="s">
        <v>49</v>
      </c>
      <c r="U499" s="260"/>
      <c r="V499" s="260"/>
      <c r="W499" s="92" t="s">
        <v>54</v>
      </c>
      <c r="X499" s="93"/>
    </row>
    <row r="500" spans="1:24" ht="18.75" customHeight="1">
      <c r="A500" s="95" t="s">
        <v>73</v>
      </c>
      <c r="B500" s="84"/>
      <c r="C500" s="87">
        <f>'[1]LUONG T7'!M62</f>
        <v>0</v>
      </c>
      <c r="D500" s="88" t="s">
        <v>67</v>
      </c>
      <c r="E500" s="249" t="s">
        <v>74</v>
      </c>
      <c r="F500" s="249"/>
      <c r="G500" s="249"/>
      <c r="H500" s="84" t="s">
        <v>49</v>
      </c>
      <c r="I500" s="260">
        <f>$F$8*C500/8/$L$1</f>
        <v>0</v>
      </c>
      <c r="J500" s="260"/>
      <c r="K500" s="92" t="s">
        <v>54</v>
      </c>
      <c r="L500" s="93"/>
      <c r="M500" s="95" t="s">
        <v>73</v>
      </c>
      <c r="N500" s="84"/>
      <c r="O500" s="87">
        <f>'[1]LUONG T7'!M64</f>
        <v>0</v>
      </c>
      <c r="P500" s="88" t="s">
        <v>67</v>
      </c>
      <c r="Q500" s="249" t="s">
        <v>74</v>
      </c>
      <c r="R500" s="249"/>
      <c r="S500" s="249"/>
      <c r="T500" s="84" t="s">
        <v>49</v>
      </c>
      <c r="U500" s="260">
        <f>$F$8*O500/8/$L$1</f>
        <v>0</v>
      </c>
      <c r="V500" s="260"/>
      <c r="W500" s="92" t="s">
        <v>54</v>
      </c>
      <c r="X500" s="93"/>
    </row>
    <row r="501" spans="1:24" ht="18.75" customHeight="1">
      <c r="A501" s="86" t="s">
        <v>75</v>
      </c>
      <c r="B501" s="84" t="s">
        <v>49</v>
      </c>
      <c r="C501" s="87"/>
      <c r="D501" s="88" t="s">
        <v>67</v>
      </c>
      <c r="E501" s="249" t="s">
        <v>97</v>
      </c>
      <c r="F501" s="249"/>
      <c r="G501" s="249"/>
      <c r="H501" s="84" t="s">
        <v>49</v>
      </c>
      <c r="I501" s="262"/>
      <c r="J501" s="262"/>
      <c r="K501" s="92" t="s">
        <v>54</v>
      </c>
      <c r="L501" s="93"/>
      <c r="M501" s="86" t="s">
        <v>75</v>
      </c>
      <c r="N501" s="84" t="s">
        <v>49</v>
      </c>
      <c r="O501" s="87"/>
      <c r="P501" s="88" t="s">
        <v>67</v>
      </c>
      <c r="Q501" s="249" t="s">
        <v>97</v>
      </c>
      <c r="R501" s="249"/>
      <c r="S501" s="249"/>
      <c r="T501" s="84" t="s">
        <v>49</v>
      </c>
      <c r="U501" s="262"/>
      <c r="V501" s="262"/>
      <c r="W501" s="92" t="s">
        <v>54</v>
      </c>
      <c r="X501" s="93"/>
    </row>
    <row r="502" spans="1:24" ht="18.75" customHeight="1">
      <c r="A502" s="86" t="s">
        <v>77</v>
      </c>
      <c r="B502" s="84" t="s">
        <v>49</v>
      </c>
      <c r="C502" s="87"/>
      <c r="D502" s="88" t="s">
        <v>78</v>
      </c>
      <c r="E502" s="96" t="s">
        <v>79</v>
      </c>
      <c r="F502" s="96"/>
      <c r="G502" s="96"/>
      <c r="H502" s="84" t="s">
        <v>49</v>
      </c>
      <c r="I502" s="260"/>
      <c r="J502" s="260"/>
      <c r="K502" s="92" t="s">
        <v>54</v>
      </c>
      <c r="L502" s="93">
        <f>+IF(L493-I493&lt;0,0,L493-I493)+IF(L497-I497&lt;0,0,L497-I497)</f>
        <v>0</v>
      </c>
      <c r="M502" s="86" t="s">
        <v>77</v>
      </c>
      <c r="N502" s="84" t="s">
        <v>49</v>
      </c>
      <c r="O502" s="87"/>
      <c r="P502" s="88" t="s">
        <v>78</v>
      </c>
      <c r="Q502" s="96" t="s">
        <v>79</v>
      </c>
      <c r="R502" s="96"/>
      <c r="S502" s="96"/>
      <c r="T502" s="84" t="s">
        <v>49</v>
      </c>
      <c r="U502" s="260"/>
      <c r="V502" s="260"/>
      <c r="W502" s="92" t="s">
        <v>54</v>
      </c>
      <c r="X502" s="93">
        <f>+IF(X493-U493&lt;0,0,X493-U493)+IF(X497-U497&lt;0,0,X497-U497)</f>
        <v>0</v>
      </c>
    </row>
    <row r="503" spans="1:24" ht="18.75" customHeight="1">
      <c r="A503" s="97" t="s">
        <v>122</v>
      </c>
      <c r="B503" s="98"/>
      <c r="C503" s="87"/>
      <c r="D503" s="88" t="s">
        <v>58</v>
      </c>
      <c r="E503" s="249" t="s">
        <v>123</v>
      </c>
      <c r="F503" s="249"/>
      <c r="G503" s="249"/>
      <c r="H503" s="84" t="s">
        <v>49</v>
      </c>
      <c r="I503" s="260"/>
      <c r="J503" s="260"/>
      <c r="K503" s="92" t="s">
        <v>54</v>
      </c>
      <c r="L503" s="93"/>
      <c r="M503" s="97" t="s">
        <v>122</v>
      </c>
      <c r="N503" s="98"/>
      <c r="O503" s="87"/>
      <c r="P503" s="88" t="s">
        <v>58</v>
      </c>
      <c r="Q503" s="249" t="s">
        <v>123</v>
      </c>
      <c r="R503" s="249"/>
      <c r="S503" s="249"/>
      <c r="T503" s="84" t="s">
        <v>49</v>
      </c>
      <c r="U503" s="260"/>
      <c r="V503" s="260"/>
      <c r="W503" s="92" t="s">
        <v>54</v>
      </c>
      <c r="X503" s="93"/>
    </row>
    <row r="504" spans="1:24" ht="18.75" customHeight="1">
      <c r="A504" s="267" t="s">
        <v>82</v>
      </c>
      <c r="B504" s="261"/>
      <c r="C504" s="87"/>
      <c r="D504" s="88"/>
      <c r="E504" s="89"/>
      <c r="F504" s="89"/>
      <c r="G504" s="89"/>
      <c r="H504" s="84" t="s">
        <v>49</v>
      </c>
      <c r="I504" s="260">
        <f>'[1]LUONG T7'!P63</f>
        <v>0</v>
      </c>
      <c r="J504" s="260"/>
      <c r="K504" s="92" t="s">
        <v>54</v>
      </c>
      <c r="L504" s="93"/>
      <c r="M504" s="267" t="s">
        <v>82</v>
      </c>
      <c r="N504" s="261"/>
      <c r="O504" s="87"/>
      <c r="P504" s="88"/>
      <c r="Q504" s="89"/>
      <c r="R504" s="89"/>
      <c r="S504" s="89"/>
      <c r="T504" s="84" t="s">
        <v>49</v>
      </c>
      <c r="U504" s="260">
        <f>'[1]LUONG T7'!P65</f>
        <v>0</v>
      </c>
      <c r="V504" s="260"/>
      <c r="W504" s="92" t="s">
        <v>54</v>
      </c>
      <c r="X504" s="93"/>
    </row>
    <row r="505" spans="1:24" ht="18.75" customHeight="1">
      <c r="A505" s="86" t="s">
        <v>83</v>
      </c>
      <c r="B505" s="84" t="s">
        <v>49</v>
      </c>
      <c r="C505" s="87"/>
      <c r="D505" s="88"/>
      <c r="E505" s="89" t="s">
        <v>84</v>
      </c>
      <c r="F505" s="89"/>
      <c r="G505" s="89"/>
      <c r="H505" s="84" t="s">
        <v>49</v>
      </c>
      <c r="I505" s="260">
        <f>L502</f>
        <v>0</v>
      </c>
      <c r="J505" s="260"/>
      <c r="K505" s="92" t="s">
        <v>54</v>
      </c>
      <c r="L505" s="93"/>
      <c r="M505" s="86" t="s">
        <v>83</v>
      </c>
      <c r="N505" s="84" t="s">
        <v>49</v>
      </c>
      <c r="O505" s="87"/>
      <c r="P505" s="88"/>
      <c r="Q505" s="89" t="s">
        <v>84</v>
      </c>
      <c r="R505" s="89"/>
      <c r="S505" s="89"/>
      <c r="T505" s="84" t="s">
        <v>49</v>
      </c>
      <c r="U505" s="260">
        <f>X502</f>
        <v>0</v>
      </c>
      <c r="V505" s="260"/>
      <c r="W505" s="92" t="s">
        <v>54</v>
      </c>
      <c r="X505" s="93"/>
    </row>
    <row r="506" spans="1:24" ht="18.75" customHeight="1">
      <c r="A506" s="264" t="s">
        <v>85</v>
      </c>
      <c r="B506" s="265"/>
      <c r="C506" s="265"/>
      <c r="D506" s="265"/>
      <c r="E506" s="265"/>
      <c r="F506" s="265"/>
      <c r="G506" s="84" t="s">
        <v>49</v>
      </c>
      <c r="H506" s="266">
        <f>I493+I494+I495+I496+I497+I500+I504+I505</f>
        <v>0</v>
      </c>
      <c r="I506" s="266"/>
      <c r="J506" s="266"/>
      <c r="K506" s="92" t="s">
        <v>54</v>
      </c>
      <c r="M506" s="264" t="s">
        <v>85</v>
      </c>
      <c r="N506" s="265"/>
      <c r="O506" s="265"/>
      <c r="P506" s="265"/>
      <c r="Q506" s="265"/>
      <c r="R506" s="265"/>
      <c r="S506" s="84" t="s">
        <v>49</v>
      </c>
      <c r="T506" s="266">
        <f>U493+U494+U495+U496+U497+U500+U504+U505</f>
        <v>0</v>
      </c>
      <c r="U506" s="266"/>
      <c r="V506" s="266"/>
      <c r="W506" s="92" t="s">
        <v>54</v>
      </c>
    </row>
    <row r="507" spans="1:24" ht="18.75" customHeight="1">
      <c r="A507" s="99"/>
      <c r="B507" s="100"/>
      <c r="C507" s="100"/>
      <c r="D507" s="100"/>
      <c r="E507" s="100"/>
      <c r="F507" s="100"/>
      <c r="G507" s="100"/>
      <c r="H507" s="100"/>
      <c r="I507" s="100"/>
      <c r="J507" s="100"/>
      <c r="K507" s="101"/>
      <c r="M507" s="99"/>
      <c r="N507" s="100"/>
      <c r="O507" s="100"/>
      <c r="P507" s="100"/>
      <c r="Q507" s="100"/>
      <c r="R507" s="100"/>
      <c r="S507" s="100"/>
      <c r="T507" s="100"/>
      <c r="U507" s="100"/>
      <c r="V507" s="100"/>
      <c r="W507" s="101"/>
    </row>
    <row r="508" spans="1:24" ht="18.75" customHeight="1">
      <c r="A508" s="274" t="s">
        <v>86</v>
      </c>
      <c r="B508" s="275"/>
      <c r="C508" s="275"/>
      <c r="D508" s="275"/>
      <c r="E508" s="275"/>
      <c r="F508" s="275"/>
      <c r="G508" s="84"/>
      <c r="H508" s="84"/>
      <c r="I508" s="84"/>
      <c r="J508" s="84"/>
      <c r="K508" s="92"/>
      <c r="M508" s="274" t="s">
        <v>86</v>
      </c>
      <c r="N508" s="275"/>
      <c r="O508" s="275"/>
      <c r="P508" s="275"/>
      <c r="Q508" s="275"/>
      <c r="R508" s="275"/>
      <c r="S508" s="84"/>
      <c r="T508" s="84"/>
      <c r="U508" s="84"/>
      <c r="V508" s="84"/>
      <c r="W508" s="92"/>
    </row>
    <row r="509" spans="1:24" ht="18.75" customHeight="1">
      <c r="A509" s="268" t="s">
        <v>87</v>
      </c>
      <c r="B509" s="269"/>
      <c r="C509" s="269"/>
      <c r="D509" s="269"/>
      <c r="E509" s="269"/>
      <c r="F509" s="269"/>
      <c r="G509" s="84" t="s">
        <v>49</v>
      </c>
      <c r="H509" s="276">
        <f>IF(($L$1-(C493+C494+C495+C496))&gt;12,0,F490*8%)</f>
        <v>0</v>
      </c>
      <c r="I509" s="276"/>
      <c r="J509" s="276"/>
      <c r="K509" s="92" t="s">
        <v>54</v>
      </c>
      <c r="M509" s="268" t="s">
        <v>87</v>
      </c>
      <c r="N509" s="269"/>
      <c r="O509" s="269"/>
      <c r="P509" s="269"/>
      <c r="Q509" s="269"/>
      <c r="R509" s="269"/>
      <c r="S509" s="84" t="s">
        <v>49</v>
      </c>
      <c r="T509" s="276">
        <f>IF(($L$1-(O493+O494+O495+O496))&gt;12,0,R490*8%)</f>
        <v>0</v>
      </c>
      <c r="U509" s="276"/>
      <c r="V509" s="276"/>
      <c r="W509" s="92" t="s">
        <v>54</v>
      </c>
    </row>
    <row r="510" spans="1:24" ht="18.75" customHeight="1">
      <c r="A510" s="268" t="s">
        <v>88</v>
      </c>
      <c r="B510" s="269"/>
      <c r="C510" s="269"/>
      <c r="D510" s="269"/>
      <c r="E510" s="269"/>
      <c r="F510" s="269"/>
      <c r="G510" s="84" t="s">
        <v>49</v>
      </c>
      <c r="H510" s="270">
        <f>IF(($L$1-(C493+C494+C495+C496))&gt;12,0,F490*1.5%)</f>
        <v>0</v>
      </c>
      <c r="I510" s="270"/>
      <c r="J510" s="270"/>
      <c r="K510" s="92" t="s">
        <v>54</v>
      </c>
      <c r="M510" s="268" t="s">
        <v>88</v>
      </c>
      <c r="N510" s="269"/>
      <c r="O510" s="269"/>
      <c r="P510" s="269"/>
      <c r="Q510" s="269"/>
      <c r="R510" s="269"/>
      <c r="S510" s="84" t="s">
        <v>49</v>
      </c>
      <c r="T510" s="270">
        <f>IF(($L$1-(O493+O494+O495+O496))&gt;12,0,R490*1.5%)</f>
        <v>0</v>
      </c>
      <c r="U510" s="270"/>
      <c r="V510" s="270"/>
      <c r="W510" s="92" t="s">
        <v>54</v>
      </c>
    </row>
    <row r="511" spans="1:24" ht="18.75" customHeight="1">
      <c r="A511" s="268" t="s">
        <v>89</v>
      </c>
      <c r="B511" s="269"/>
      <c r="C511" s="269"/>
      <c r="D511" s="269"/>
      <c r="E511" s="269"/>
      <c r="F511" s="269"/>
      <c r="G511" s="84" t="s">
        <v>49</v>
      </c>
      <c r="H511" s="270">
        <f>IF(($L$1-(C493+C494+C495+C496))&gt;12,0,F490*1%)</f>
        <v>0</v>
      </c>
      <c r="I511" s="270"/>
      <c r="J511" s="270"/>
      <c r="K511" s="92" t="s">
        <v>54</v>
      </c>
      <c r="M511" s="268" t="s">
        <v>89</v>
      </c>
      <c r="N511" s="269"/>
      <c r="O511" s="269"/>
      <c r="P511" s="269"/>
      <c r="Q511" s="269"/>
      <c r="R511" s="269"/>
      <c r="S511" s="84" t="s">
        <v>49</v>
      </c>
      <c r="T511" s="270">
        <f>IF(($L$1-(O493+O494+O495+O496))&gt;12,0,R490*1%)</f>
        <v>0</v>
      </c>
      <c r="U511" s="270"/>
      <c r="V511" s="270"/>
      <c r="W511" s="92" t="s">
        <v>54</v>
      </c>
    </row>
    <row r="512" spans="1:24" ht="18.75" customHeight="1">
      <c r="A512" s="268" t="s">
        <v>90</v>
      </c>
      <c r="B512" s="269"/>
      <c r="C512" s="269"/>
      <c r="D512" s="269"/>
      <c r="E512" s="269"/>
      <c r="F512" s="269"/>
      <c r="G512" s="84" t="s">
        <v>49</v>
      </c>
      <c r="H512" s="270">
        <v>0</v>
      </c>
      <c r="I512" s="270"/>
      <c r="J512" s="270"/>
      <c r="K512" s="92" t="s">
        <v>54</v>
      </c>
      <c r="M512" s="268" t="s">
        <v>90</v>
      </c>
      <c r="N512" s="269"/>
      <c r="O512" s="269"/>
      <c r="P512" s="269"/>
      <c r="Q512" s="269"/>
      <c r="R512" s="269"/>
      <c r="S512" s="84" t="s">
        <v>49</v>
      </c>
      <c r="T512" s="270">
        <v>0</v>
      </c>
      <c r="U512" s="270"/>
      <c r="V512" s="270"/>
      <c r="W512" s="92" t="s">
        <v>54</v>
      </c>
    </row>
    <row r="513" spans="1:24" ht="18.75" customHeight="1">
      <c r="A513" s="271" t="s">
        <v>91</v>
      </c>
      <c r="B513" s="272"/>
      <c r="C513" s="272"/>
      <c r="D513" s="272"/>
      <c r="E513" s="272"/>
      <c r="F513" s="272"/>
      <c r="G513" s="84" t="s">
        <v>49</v>
      </c>
      <c r="H513" s="273">
        <f>SUM(H509:J512)</f>
        <v>0</v>
      </c>
      <c r="I513" s="273"/>
      <c r="J513" s="273"/>
      <c r="K513" s="92" t="s">
        <v>54</v>
      </c>
      <c r="M513" s="271" t="s">
        <v>91</v>
      </c>
      <c r="N513" s="272"/>
      <c r="O513" s="272"/>
      <c r="P513" s="272"/>
      <c r="Q513" s="272"/>
      <c r="R513" s="272"/>
      <c r="S513" s="84" t="s">
        <v>49</v>
      </c>
      <c r="T513" s="273">
        <f>SUM(T509:V512)</f>
        <v>0</v>
      </c>
      <c r="U513" s="273"/>
      <c r="V513" s="273"/>
      <c r="W513" s="92" t="s">
        <v>54</v>
      </c>
    </row>
    <row r="514" spans="1:24" ht="18.75" customHeight="1">
      <c r="A514" s="268" t="s">
        <v>92</v>
      </c>
      <c r="B514" s="269"/>
      <c r="C514" s="269"/>
      <c r="D514" s="269"/>
      <c r="E514" s="269"/>
      <c r="F514" s="269"/>
      <c r="G514" s="84" t="s">
        <v>49</v>
      </c>
      <c r="H514" s="280">
        <f>ROUND(H506-H513,-2)</f>
        <v>0</v>
      </c>
      <c r="I514" s="280"/>
      <c r="J514" s="280"/>
      <c r="K514" s="92" t="s">
        <v>54</v>
      </c>
      <c r="M514" s="268" t="s">
        <v>92</v>
      </c>
      <c r="N514" s="269"/>
      <c r="O514" s="269"/>
      <c r="P514" s="269"/>
      <c r="Q514" s="269"/>
      <c r="R514" s="269"/>
      <c r="S514" s="84" t="s">
        <v>49</v>
      </c>
      <c r="T514" s="280">
        <f>ROUND(T506-T513,-2)</f>
        <v>0</v>
      </c>
      <c r="U514" s="280"/>
      <c r="V514" s="280"/>
      <c r="W514" s="92" t="s">
        <v>54</v>
      </c>
    </row>
    <row r="515" spans="1:24" ht="18.75" customHeight="1">
      <c r="A515" s="102"/>
      <c r="B515" s="103"/>
      <c r="C515" s="103"/>
      <c r="D515" s="103"/>
      <c r="E515" s="103"/>
      <c r="F515" s="103"/>
      <c r="G515" s="103"/>
      <c r="H515" s="103"/>
      <c r="I515" s="103"/>
      <c r="J515" s="103"/>
      <c r="K515" s="104"/>
      <c r="M515" s="102"/>
      <c r="N515" s="103"/>
      <c r="O515" s="103"/>
      <c r="P515" s="103"/>
      <c r="Q515" s="103"/>
      <c r="R515" s="103"/>
      <c r="S515" s="103"/>
      <c r="T515" s="103"/>
      <c r="U515" s="103"/>
      <c r="V515" s="103"/>
      <c r="W515" s="104"/>
    </row>
    <row r="516" spans="1:24" ht="18.75" customHeight="1">
      <c r="A516" s="105"/>
      <c r="B516" s="84"/>
      <c r="C516" s="84"/>
      <c r="D516" s="84"/>
      <c r="E516" s="84"/>
      <c r="F516" s="84"/>
      <c r="G516" s="84"/>
      <c r="H516" s="84"/>
      <c r="I516" s="277" t="s">
        <v>93</v>
      </c>
      <c r="J516" s="277"/>
      <c r="K516" s="281"/>
      <c r="M516" s="105"/>
      <c r="N516" s="84"/>
      <c r="O516" s="84"/>
      <c r="P516" s="84"/>
      <c r="Q516" s="84"/>
      <c r="R516" s="84"/>
      <c r="S516" s="84"/>
      <c r="T516" s="84"/>
      <c r="U516" s="277" t="s">
        <v>93</v>
      </c>
      <c r="V516" s="277"/>
      <c r="W516" s="281"/>
    </row>
    <row r="517" spans="1:24" ht="18.75" customHeight="1">
      <c r="A517" s="105"/>
      <c r="B517" s="277"/>
      <c r="C517" s="277"/>
      <c r="D517" s="277"/>
      <c r="E517" s="277"/>
      <c r="F517" s="84"/>
      <c r="G517" s="84"/>
      <c r="H517" s="84"/>
      <c r="I517" s="84"/>
      <c r="J517" s="84"/>
      <c r="K517" s="85"/>
      <c r="M517" s="105"/>
      <c r="N517" s="277"/>
      <c r="O517" s="277"/>
      <c r="P517" s="277"/>
      <c r="Q517" s="277"/>
      <c r="R517" s="84"/>
      <c r="S517" s="84"/>
      <c r="T517" s="84"/>
      <c r="U517" s="84"/>
      <c r="V517" s="84"/>
      <c r="W517" s="85"/>
    </row>
    <row r="518" spans="1:24" ht="18.75" customHeight="1" thickBot="1">
      <c r="A518" s="106"/>
      <c r="B518" s="107"/>
      <c r="C518" s="107"/>
      <c r="D518" s="107"/>
      <c r="E518" s="107"/>
      <c r="F518" s="107"/>
      <c r="G518" s="107"/>
      <c r="H518" s="107"/>
      <c r="I518" s="278" t="s">
        <v>94</v>
      </c>
      <c r="J518" s="278"/>
      <c r="K518" s="279"/>
      <c r="M518" s="106"/>
      <c r="N518" s="107"/>
      <c r="O518" s="107"/>
      <c r="P518" s="107"/>
      <c r="Q518" s="107"/>
      <c r="R518" s="107"/>
      <c r="S518" s="107"/>
      <c r="T518" s="107"/>
      <c r="U518" s="278" t="s">
        <v>94</v>
      </c>
      <c r="V518" s="278"/>
      <c r="W518" s="279"/>
    </row>
    <row r="520" spans="1:24" ht="18.75" customHeight="1" thickTop="1">
      <c r="A520" s="253" t="s">
        <v>43</v>
      </c>
      <c r="B520" s="254"/>
      <c r="C520" s="254"/>
      <c r="D520" s="254"/>
      <c r="E520" s="254"/>
      <c r="F520" s="254"/>
      <c r="G520" s="254"/>
      <c r="H520" s="254"/>
      <c r="I520" s="254"/>
      <c r="J520" s="254"/>
      <c r="K520" s="255"/>
      <c r="L520" s="80">
        <v>25</v>
      </c>
      <c r="M520" s="253" t="s">
        <v>43</v>
      </c>
      <c r="N520" s="254"/>
      <c r="O520" s="254"/>
      <c r="P520" s="254"/>
      <c r="Q520" s="254"/>
      <c r="R520" s="254"/>
      <c r="S520" s="254"/>
      <c r="T520" s="254"/>
      <c r="U520" s="254"/>
      <c r="V520" s="254"/>
      <c r="W520" s="255"/>
      <c r="X520" s="80">
        <v>25</v>
      </c>
    </row>
    <row r="521" spans="1:24" ht="18.75" customHeight="1">
      <c r="A521" s="81" t="s">
        <v>136</v>
      </c>
      <c r="B521" s="82"/>
      <c r="C521" s="82"/>
      <c r="D521" s="82"/>
      <c r="E521" s="82"/>
      <c r="F521" s="82"/>
      <c r="G521" s="82"/>
      <c r="H521" s="82"/>
      <c r="I521" s="82"/>
      <c r="J521" s="82"/>
      <c r="K521" s="83"/>
      <c r="M521" s="81" t="s">
        <v>137</v>
      </c>
      <c r="N521" s="82"/>
      <c r="O521" s="82"/>
      <c r="P521" s="82"/>
      <c r="Q521" s="82"/>
      <c r="R521" s="82"/>
      <c r="S521" s="82"/>
      <c r="T521" s="82"/>
      <c r="U521" s="82"/>
      <c r="V521" s="82"/>
      <c r="W521" s="83"/>
    </row>
    <row r="522" spans="1:24" ht="18.75" customHeight="1">
      <c r="A522" s="256" t="s">
        <v>47</v>
      </c>
      <c r="B522" s="257"/>
      <c r="C522" s="257"/>
      <c r="D522" s="257"/>
      <c r="E522" s="257"/>
      <c r="F522" s="257"/>
      <c r="G522" s="257"/>
      <c r="H522" s="257"/>
      <c r="I522" s="257"/>
      <c r="J522" s="257"/>
      <c r="K522" s="258"/>
      <c r="M522" s="256" t="s">
        <v>47</v>
      </c>
      <c r="N522" s="257"/>
      <c r="O522" s="257"/>
      <c r="P522" s="257"/>
      <c r="Q522" s="257"/>
      <c r="R522" s="257"/>
      <c r="S522" s="257"/>
      <c r="T522" s="257"/>
      <c r="U522" s="257"/>
      <c r="V522" s="257"/>
      <c r="W522" s="258"/>
    </row>
    <row r="523" spans="1:24" ht="18.75" customHeight="1">
      <c r="A523" s="248" t="s">
        <v>48</v>
      </c>
      <c r="B523" s="249"/>
      <c r="C523" s="249"/>
      <c r="D523" s="249"/>
      <c r="E523" s="84" t="s">
        <v>49</v>
      </c>
      <c r="F523" s="250">
        <f>'[1]Bang TH nop'!B59</f>
        <v>0</v>
      </c>
      <c r="G523" s="249"/>
      <c r="H523" s="249"/>
      <c r="I523" s="249"/>
      <c r="J523" s="249"/>
      <c r="K523" s="252"/>
      <c r="M523" s="248" t="s">
        <v>48</v>
      </c>
      <c r="N523" s="249"/>
      <c r="O523" s="249"/>
      <c r="P523" s="249"/>
      <c r="Q523" s="84" t="s">
        <v>49</v>
      </c>
      <c r="R523" s="250">
        <f>'[1]Bang TH nop'!B61</f>
        <v>0</v>
      </c>
      <c r="S523" s="249"/>
      <c r="T523" s="249"/>
      <c r="U523" s="249"/>
      <c r="V523" s="249"/>
      <c r="W523" s="252"/>
    </row>
    <row r="524" spans="1:24" ht="18.75" customHeight="1">
      <c r="A524" s="248" t="s">
        <v>50</v>
      </c>
      <c r="B524" s="249"/>
      <c r="C524" s="249"/>
      <c r="D524" s="249"/>
      <c r="E524" s="84" t="s">
        <v>49</v>
      </c>
      <c r="F524" s="250">
        <f>'[1]Bang TH nop'!C59</f>
        <v>0</v>
      </c>
      <c r="G524" s="250"/>
      <c r="H524" s="250"/>
      <c r="I524" s="250"/>
      <c r="J524" s="250"/>
      <c r="K524" s="251"/>
      <c r="M524" s="248" t="s">
        <v>50</v>
      </c>
      <c r="N524" s="249"/>
      <c r="O524" s="249"/>
      <c r="P524" s="249"/>
      <c r="Q524" s="84" t="s">
        <v>49</v>
      </c>
      <c r="R524" s="250">
        <f>'[1]Bang TH nop'!C61</f>
        <v>0</v>
      </c>
      <c r="S524" s="250"/>
      <c r="T524" s="250"/>
      <c r="U524" s="250"/>
      <c r="V524" s="250"/>
      <c r="W524" s="251"/>
    </row>
    <row r="525" spans="1:24" ht="18.75" customHeight="1">
      <c r="A525" s="248" t="s">
        <v>51</v>
      </c>
      <c r="B525" s="249"/>
      <c r="C525" s="249"/>
      <c r="D525" s="249"/>
      <c r="E525" s="84" t="s">
        <v>49</v>
      </c>
      <c r="F525" s="249" t="s">
        <v>121</v>
      </c>
      <c r="G525" s="249"/>
      <c r="H525" s="249"/>
      <c r="I525" s="249"/>
      <c r="J525" s="249"/>
      <c r="K525" s="252"/>
      <c r="M525" s="248" t="s">
        <v>51</v>
      </c>
      <c r="N525" s="249"/>
      <c r="O525" s="249"/>
      <c r="P525" s="249"/>
      <c r="Q525" s="84" t="s">
        <v>49</v>
      </c>
      <c r="R525" s="249" t="s">
        <v>121</v>
      </c>
      <c r="S525" s="249"/>
      <c r="T525" s="249"/>
      <c r="U525" s="249"/>
      <c r="V525" s="249"/>
      <c r="W525" s="252"/>
    </row>
    <row r="526" spans="1:24" ht="18.75" customHeight="1">
      <c r="A526" s="256" t="s">
        <v>52</v>
      </c>
      <c r="B526" s="257"/>
      <c r="C526" s="257"/>
      <c r="D526" s="257"/>
      <c r="E526" s="257"/>
      <c r="F526" s="257"/>
      <c r="G526" s="257"/>
      <c r="H526" s="257"/>
      <c r="I526" s="257"/>
      <c r="J526" s="257"/>
      <c r="K526" s="258"/>
      <c r="M526" s="256" t="s">
        <v>52</v>
      </c>
      <c r="N526" s="257"/>
      <c r="O526" s="257"/>
      <c r="P526" s="257"/>
      <c r="Q526" s="257"/>
      <c r="R526" s="257"/>
      <c r="S526" s="257"/>
      <c r="T526" s="257"/>
      <c r="U526" s="257"/>
      <c r="V526" s="257"/>
      <c r="W526" s="258"/>
    </row>
    <row r="527" spans="1:24" ht="18.75" customHeight="1">
      <c r="A527" s="248" t="s">
        <v>53</v>
      </c>
      <c r="B527" s="249"/>
      <c r="C527" s="249"/>
      <c r="D527" s="249"/>
      <c r="E527" s="84" t="s">
        <v>49</v>
      </c>
      <c r="F527" s="263">
        <v>2915400</v>
      </c>
      <c r="G527" s="263"/>
      <c r="H527" s="263"/>
      <c r="I527" s="263"/>
      <c r="J527" s="84" t="s">
        <v>54</v>
      </c>
      <c r="K527" s="85"/>
      <c r="M527" s="248" t="s">
        <v>53</v>
      </c>
      <c r="N527" s="249"/>
      <c r="O527" s="249"/>
      <c r="P527" s="249"/>
      <c r="Q527" s="84" t="s">
        <v>49</v>
      </c>
      <c r="R527" s="263">
        <v>2915400</v>
      </c>
      <c r="S527" s="263"/>
      <c r="T527" s="263"/>
      <c r="U527" s="263"/>
      <c r="V527" s="84" t="s">
        <v>54</v>
      </c>
      <c r="W527" s="85"/>
    </row>
    <row r="528" spans="1:24" ht="18.75" customHeight="1">
      <c r="A528" s="86" t="s">
        <v>55</v>
      </c>
      <c r="B528" s="84"/>
      <c r="C528" s="87"/>
      <c r="D528" s="88"/>
      <c r="E528" s="89"/>
      <c r="F528" s="89"/>
      <c r="G528" s="89"/>
      <c r="H528" s="84"/>
      <c r="I528" s="90">
        <f>'[1]LUONG T7'!F67</f>
        <v>0</v>
      </c>
      <c r="J528" s="91"/>
      <c r="K528" s="92"/>
      <c r="M528" s="86" t="s">
        <v>55</v>
      </c>
      <c r="N528" s="84"/>
      <c r="O528" s="87"/>
      <c r="P528" s="88"/>
      <c r="Q528" s="89"/>
      <c r="R528" s="89"/>
      <c r="S528" s="89"/>
      <c r="T528" s="84"/>
      <c r="U528" s="90">
        <f>'[1]LUONG T7'!F69</f>
        <v>0</v>
      </c>
      <c r="V528" s="91"/>
      <c r="W528" s="92"/>
    </row>
    <row r="529" spans="1:24" ht="18.75" customHeight="1">
      <c r="A529" s="86" t="s">
        <v>56</v>
      </c>
      <c r="B529" s="84"/>
      <c r="C529" s="87"/>
      <c r="D529" s="88"/>
      <c r="E529" s="89"/>
      <c r="F529" s="89"/>
      <c r="G529" s="89"/>
      <c r="H529" s="84"/>
      <c r="I529" s="90" t="e">
        <f>I530/C530/8</f>
        <v>#DIV/0!</v>
      </c>
      <c r="J529" s="91"/>
      <c r="K529" s="92"/>
      <c r="M529" s="86" t="s">
        <v>56</v>
      </c>
      <c r="N529" s="84"/>
      <c r="O529" s="87"/>
      <c r="P529" s="88"/>
      <c r="Q529" s="89"/>
      <c r="R529" s="89"/>
      <c r="S529" s="89"/>
      <c r="T529" s="84"/>
      <c r="U529" s="90" t="e">
        <f>U530/O530/8</f>
        <v>#DIV/0!</v>
      </c>
      <c r="V529" s="91"/>
      <c r="W529" s="92"/>
    </row>
    <row r="530" spans="1:24" ht="18.75" customHeight="1">
      <c r="A530" s="86" t="s">
        <v>57</v>
      </c>
      <c r="B530" s="84" t="s">
        <v>49</v>
      </c>
      <c r="C530" s="87">
        <f>'[1]LUONG T7'!I66</f>
        <v>0</v>
      </c>
      <c r="D530" s="88" t="s">
        <v>58</v>
      </c>
      <c r="E530" s="261" t="s">
        <v>59</v>
      </c>
      <c r="F530" s="261"/>
      <c r="G530" s="261"/>
      <c r="H530" s="84" t="s">
        <v>49</v>
      </c>
      <c r="I530" s="262">
        <f>'[1]LUONG T7'!I67</f>
        <v>0</v>
      </c>
      <c r="J530" s="262"/>
      <c r="K530" s="92" t="s">
        <v>54</v>
      </c>
      <c r="L530" s="93">
        <f>F527/L520*C530</f>
        <v>0</v>
      </c>
      <c r="M530" s="86" t="s">
        <v>57</v>
      </c>
      <c r="N530" s="84" t="s">
        <v>49</v>
      </c>
      <c r="O530" s="87">
        <f>'[1]LUONG T7'!I68</f>
        <v>0</v>
      </c>
      <c r="P530" s="88" t="s">
        <v>58</v>
      </c>
      <c r="Q530" s="261" t="s">
        <v>59</v>
      </c>
      <c r="R530" s="261"/>
      <c r="S530" s="261"/>
      <c r="T530" s="84" t="s">
        <v>49</v>
      </c>
      <c r="U530" s="262">
        <f>'[1]LUONG T7'!I69</f>
        <v>0</v>
      </c>
      <c r="V530" s="262"/>
      <c r="W530" s="92" t="s">
        <v>54</v>
      </c>
      <c r="X530" s="93">
        <f>R527/X520*O530</f>
        <v>0</v>
      </c>
    </row>
    <row r="531" spans="1:24" ht="18.75" customHeight="1">
      <c r="A531" s="86" t="s">
        <v>60</v>
      </c>
      <c r="B531" s="84" t="s">
        <v>49</v>
      </c>
      <c r="C531" s="87">
        <f>'[1]LUONG T7'!J66</f>
        <v>0</v>
      </c>
      <c r="D531" s="88" t="s">
        <v>58</v>
      </c>
      <c r="E531" s="249" t="s">
        <v>61</v>
      </c>
      <c r="F531" s="249"/>
      <c r="G531" s="249"/>
      <c r="H531" s="84" t="s">
        <v>49</v>
      </c>
      <c r="I531" s="260">
        <f>$F$8/$L$1*C531</f>
        <v>0</v>
      </c>
      <c r="J531" s="260"/>
      <c r="K531" s="92" t="s">
        <v>54</v>
      </c>
      <c r="L531" s="93"/>
      <c r="M531" s="86" t="s">
        <v>60</v>
      </c>
      <c r="N531" s="84" t="s">
        <v>49</v>
      </c>
      <c r="O531" s="87">
        <f>'[1]LUONG T7'!J68</f>
        <v>0</v>
      </c>
      <c r="P531" s="88" t="s">
        <v>58</v>
      </c>
      <c r="Q531" s="249" t="s">
        <v>61</v>
      </c>
      <c r="R531" s="249"/>
      <c r="S531" s="249"/>
      <c r="T531" s="84" t="s">
        <v>49</v>
      </c>
      <c r="U531" s="260">
        <f>$F$8/$L$1*O531</f>
        <v>0</v>
      </c>
      <c r="V531" s="260"/>
      <c r="W531" s="92" t="s">
        <v>54</v>
      </c>
      <c r="X531" s="93"/>
    </row>
    <row r="532" spans="1:24" ht="18.75" customHeight="1">
      <c r="A532" s="86" t="s">
        <v>62</v>
      </c>
      <c r="B532" s="84" t="s">
        <v>49</v>
      </c>
      <c r="C532" s="87">
        <f>'[1]LUONG T7'!K66</f>
        <v>0</v>
      </c>
      <c r="D532" s="88" t="s">
        <v>58</v>
      </c>
      <c r="E532" s="259" t="s">
        <v>63</v>
      </c>
      <c r="F532" s="259"/>
      <c r="G532" s="259"/>
      <c r="H532" s="84" t="s">
        <v>49</v>
      </c>
      <c r="I532" s="260">
        <f>$F$8/$L$1*C532</f>
        <v>0</v>
      </c>
      <c r="J532" s="260"/>
      <c r="K532" s="92" t="s">
        <v>54</v>
      </c>
      <c r="L532" s="93"/>
      <c r="M532" s="86" t="s">
        <v>62</v>
      </c>
      <c r="N532" s="84" t="s">
        <v>49</v>
      </c>
      <c r="O532" s="87">
        <f>'[1]LUONG T7'!K68</f>
        <v>0</v>
      </c>
      <c r="P532" s="88" t="s">
        <v>58</v>
      </c>
      <c r="Q532" s="259" t="s">
        <v>63</v>
      </c>
      <c r="R532" s="259"/>
      <c r="S532" s="259"/>
      <c r="T532" s="84" t="s">
        <v>49</v>
      </c>
      <c r="U532" s="260">
        <f>$F$8/$L$1*O532</f>
        <v>0</v>
      </c>
      <c r="V532" s="260"/>
      <c r="W532" s="92" t="s">
        <v>54</v>
      </c>
      <c r="X532" s="93"/>
    </row>
    <row r="533" spans="1:24" ht="18.75" customHeight="1">
      <c r="A533" s="86" t="s">
        <v>64</v>
      </c>
      <c r="B533" s="84" t="s">
        <v>49</v>
      </c>
      <c r="C533" s="87">
        <f>'[1]LUONG T7'!L66</f>
        <v>0</v>
      </c>
      <c r="D533" s="88" t="s">
        <v>58</v>
      </c>
      <c r="E533" s="259" t="s">
        <v>65</v>
      </c>
      <c r="F533" s="259"/>
      <c r="G533" s="259"/>
      <c r="H533" s="84" t="s">
        <v>49</v>
      </c>
      <c r="I533" s="260">
        <f>$F$8/$L$1*C533</f>
        <v>0</v>
      </c>
      <c r="J533" s="260"/>
      <c r="K533" s="92" t="s">
        <v>54</v>
      </c>
      <c r="L533" s="93"/>
      <c r="M533" s="86" t="s">
        <v>64</v>
      </c>
      <c r="N533" s="84" t="s">
        <v>49</v>
      </c>
      <c r="O533" s="87">
        <f>'[1]LUONG T7'!L68</f>
        <v>0</v>
      </c>
      <c r="P533" s="88" t="s">
        <v>58</v>
      </c>
      <c r="Q533" s="259" t="s">
        <v>65</v>
      </c>
      <c r="R533" s="259"/>
      <c r="S533" s="259"/>
      <c r="T533" s="84" t="s">
        <v>49</v>
      </c>
      <c r="U533" s="260">
        <f>$F$8/$L$1*O533</f>
        <v>0</v>
      </c>
      <c r="V533" s="260"/>
      <c r="W533" s="92" t="s">
        <v>54</v>
      </c>
      <c r="X533" s="93"/>
    </row>
    <row r="534" spans="1:24" ht="18.75" customHeight="1">
      <c r="A534" s="86" t="s">
        <v>66</v>
      </c>
      <c r="B534" s="84" t="s">
        <v>49</v>
      </c>
      <c r="C534" s="87">
        <f>'[1]LUONG T7'!Q66</f>
        <v>0</v>
      </c>
      <c r="D534" s="88" t="s">
        <v>67</v>
      </c>
      <c r="E534" s="249" t="s">
        <v>68</v>
      </c>
      <c r="F534" s="249"/>
      <c r="G534" s="249"/>
      <c r="H534" s="84" t="s">
        <v>49</v>
      </c>
      <c r="I534" s="260">
        <f>'[1]LUONG T7'!Q67</f>
        <v>0</v>
      </c>
      <c r="J534" s="260"/>
      <c r="K534" s="92" t="s">
        <v>54</v>
      </c>
      <c r="L534" s="93">
        <f>F527*C534/L520/8*1.5</f>
        <v>0</v>
      </c>
      <c r="M534" s="86" t="s">
        <v>66</v>
      </c>
      <c r="N534" s="84" t="s">
        <v>49</v>
      </c>
      <c r="O534" s="87">
        <f>'[1]LUONG T7'!Q68</f>
        <v>0</v>
      </c>
      <c r="P534" s="88" t="s">
        <v>67</v>
      </c>
      <c r="Q534" s="249" t="s">
        <v>68</v>
      </c>
      <c r="R534" s="249"/>
      <c r="S534" s="249"/>
      <c r="T534" s="84" t="s">
        <v>49</v>
      </c>
      <c r="U534" s="260">
        <f>'[1]LUONG T7'!Q69</f>
        <v>0</v>
      </c>
      <c r="V534" s="260"/>
      <c r="W534" s="92" t="s">
        <v>54</v>
      </c>
      <c r="X534" s="93">
        <f>R527*O534/X520/8*1.5</f>
        <v>0</v>
      </c>
    </row>
    <row r="535" spans="1:24" ht="18.75" customHeight="1">
      <c r="A535" s="248" t="s">
        <v>69</v>
      </c>
      <c r="B535" s="249"/>
      <c r="C535" s="87"/>
      <c r="D535" s="88" t="s">
        <v>58</v>
      </c>
      <c r="E535" s="249" t="s">
        <v>70</v>
      </c>
      <c r="F535" s="249"/>
      <c r="G535" s="249"/>
      <c r="H535" s="94" t="s">
        <v>49</v>
      </c>
      <c r="I535" s="260"/>
      <c r="J535" s="260"/>
      <c r="K535" s="92" t="s">
        <v>54</v>
      </c>
      <c r="L535" s="93"/>
      <c r="M535" s="248" t="s">
        <v>69</v>
      </c>
      <c r="N535" s="249"/>
      <c r="O535" s="87"/>
      <c r="P535" s="88" t="s">
        <v>58</v>
      </c>
      <c r="Q535" s="249" t="s">
        <v>70</v>
      </c>
      <c r="R535" s="249"/>
      <c r="S535" s="249"/>
      <c r="T535" s="94" t="s">
        <v>49</v>
      </c>
      <c r="U535" s="260"/>
      <c r="V535" s="260"/>
      <c r="W535" s="92" t="s">
        <v>54</v>
      </c>
      <c r="X535" s="93"/>
    </row>
    <row r="536" spans="1:24" ht="18.75" customHeight="1">
      <c r="A536" s="86" t="s">
        <v>71</v>
      </c>
      <c r="B536" s="84" t="s">
        <v>49</v>
      </c>
      <c r="C536" s="87"/>
      <c r="D536" s="88" t="s">
        <v>58</v>
      </c>
      <c r="E536" s="249" t="s">
        <v>72</v>
      </c>
      <c r="F536" s="249"/>
      <c r="G536" s="249"/>
      <c r="H536" s="84" t="s">
        <v>49</v>
      </c>
      <c r="I536" s="260"/>
      <c r="J536" s="260"/>
      <c r="K536" s="92" t="s">
        <v>54</v>
      </c>
      <c r="L536" s="93"/>
      <c r="M536" s="86" t="s">
        <v>71</v>
      </c>
      <c r="N536" s="84" t="s">
        <v>49</v>
      </c>
      <c r="O536" s="87"/>
      <c r="P536" s="88" t="s">
        <v>58</v>
      </c>
      <c r="Q536" s="249" t="s">
        <v>72</v>
      </c>
      <c r="R536" s="249"/>
      <c r="S536" s="249"/>
      <c r="T536" s="84" t="s">
        <v>49</v>
      </c>
      <c r="U536" s="260"/>
      <c r="V536" s="260"/>
      <c r="W536" s="92" t="s">
        <v>54</v>
      </c>
      <c r="X536" s="93"/>
    </row>
    <row r="537" spans="1:24" ht="18.75" customHeight="1">
      <c r="A537" s="95" t="s">
        <v>73</v>
      </c>
      <c r="B537" s="84"/>
      <c r="C537" s="87">
        <f>'[1]LUONG T7'!M66</f>
        <v>0</v>
      </c>
      <c r="D537" s="88" t="s">
        <v>67</v>
      </c>
      <c r="E537" s="249" t="s">
        <v>74</v>
      </c>
      <c r="F537" s="249"/>
      <c r="G537" s="249"/>
      <c r="H537" s="84" t="s">
        <v>49</v>
      </c>
      <c r="I537" s="260">
        <f>$F$8*C537/8/$L$1</f>
        <v>0</v>
      </c>
      <c r="J537" s="260"/>
      <c r="K537" s="92" t="s">
        <v>54</v>
      </c>
      <c r="L537" s="93"/>
      <c r="M537" s="95" t="s">
        <v>73</v>
      </c>
      <c r="N537" s="84"/>
      <c r="O537" s="87">
        <f>'[1]LUONG T7'!M68</f>
        <v>0</v>
      </c>
      <c r="P537" s="88" t="s">
        <v>67</v>
      </c>
      <c r="Q537" s="249" t="s">
        <v>74</v>
      </c>
      <c r="R537" s="249"/>
      <c r="S537" s="249"/>
      <c r="T537" s="84" t="s">
        <v>49</v>
      </c>
      <c r="U537" s="260">
        <f>$F$8*O537/8/$L$1</f>
        <v>0</v>
      </c>
      <c r="V537" s="260"/>
      <c r="W537" s="92" t="s">
        <v>54</v>
      </c>
      <c r="X537" s="93"/>
    </row>
    <row r="538" spans="1:24" ht="18.75" customHeight="1">
      <c r="A538" s="86" t="s">
        <v>75</v>
      </c>
      <c r="B538" s="84" t="s">
        <v>49</v>
      </c>
      <c r="C538" s="87"/>
      <c r="D538" s="88" t="s">
        <v>67</v>
      </c>
      <c r="E538" s="249" t="s">
        <v>97</v>
      </c>
      <c r="F538" s="249"/>
      <c r="G538" s="249"/>
      <c r="H538" s="84" t="s">
        <v>49</v>
      </c>
      <c r="I538" s="262"/>
      <c r="J538" s="262"/>
      <c r="K538" s="92" t="s">
        <v>54</v>
      </c>
      <c r="L538" s="93"/>
      <c r="M538" s="86" t="s">
        <v>75</v>
      </c>
      <c r="N538" s="84" t="s">
        <v>49</v>
      </c>
      <c r="O538" s="87"/>
      <c r="P538" s="88" t="s">
        <v>67</v>
      </c>
      <c r="Q538" s="249" t="s">
        <v>97</v>
      </c>
      <c r="R538" s="249"/>
      <c r="S538" s="249"/>
      <c r="T538" s="84" t="s">
        <v>49</v>
      </c>
      <c r="U538" s="262"/>
      <c r="V538" s="262"/>
      <c r="W538" s="92" t="s">
        <v>54</v>
      </c>
      <c r="X538" s="93"/>
    </row>
    <row r="539" spans="1:24" ht="18.75" customHeight="1">
      <c r="A539" s="86" t="s">
        <v>77</v>
      </c>
      <c r="B539" s="84" t="s">
        <v>49</v>
      </c>
      <c r="C539" s="87"/>
      <c r="D539" s="88" t="s">
        <v>78</v>
      </c>
      <c r="E539" s="96" t="s">
        <v>79</v>
      </c>
      <c r="F539" s="96"/>
      <c r="G539" s="96"/>
      <c r="H539" s="84" t="s">
        <v>49</v>
      </c>
      <c r="I539" s="260"/>
      <c r="J539" s="260"/>
      <c r="K539" s="92" t="s">
        <v>54</v>
      </c>
      <c r="L539" s="93">
        <f>+IF(L530-I530&lt;0,0,L530-I530)+IF(L534-I534&lt;0,0,L534-I534)</f>
        <v>0</v>
      </c>
      <c r="M539" s="86" t="s">
        <v>77</v>
      </c>
      <c r="N539" s="84" t="s">
        <v>49</v>
      </c>
      <c r="O539" s="87"/>
      <c r="P539" s="88" t="s">
        <v>78</v>
      </c>
      <c r="Q539" s="96" t="s">
        <v>79</v>
      </c>
      <c r="R539" s="96"/>
      <c r="S539" s="96"/>
      <c r="T539" s="84" t="s">
        <v>49</v>
      </c>
      <c r="U539" s="260"/>
      <c r="V539" s="260"/>
      <c r="W539" s="92" t="s">
        <v>54</v>
      </c>
      <c r="X539" s="93">
        <f>+IF(X530-U530&lt;0,0,X530-U530)+IF(X534-U534&lt;0,0,X534-U534)</f>
        <v>0</v>
      </c>
    </row>
    <row r="540" spans="1:24" ht="18.75" customHeight="1">
      <c r="A540" s="97" t="s">
        <v>122</v>
      </c>
      <c r="B540" s="98"/>
      <c r="C540" s="87"/>
      <c r="D540" s="88" t="s">
        <v>58</v>
      </c>
      <c r="E540" s="249" t="s">
        <v>123</v>
      </c>
      <c r="F540" s="249"/>
      <c r="G540" s="249"/>
      <c r="H540" s="84" t="s">
        <v>49</v>
      </c>
      <c r="I540" s="260"/>
      <c r="J540" s="260"/>
      <c r="K540" s="92" t="s">
        <v>54</v>
      </c>
      <c r="L540" s="93"/>
      <c r="M540" s="97" t="s">
        <v>122</v>
      </c>
      <c r="N540" s="98"/>
      <c r="O540" s="87"/>
      <c r="P540" s="88" t="s">
        <v>58</v>
      </c>
      <c r="Q540" s="249" t="s">
        <v>123</v>
      </c>
      <c r="R540" s="249"/>
      <c r="S540" s="249"/>
      <c r="T540" s="84" t="s">
        <v>49</v>
      </c>
      <c r="U540" s="260"/>
      <c r="V540" s="260"/>
      <c r="W540" s="92" t="s">
        <v>54</v>
      </c>
      <c r="X540" s="93"/>
    </row>
    <row r="541" spans="1:24" ht="18.75" customHeight="1">
      <c r="A541" s="267" t="s">
        <v>82</v>
      </c>
      <c r="B541" s="261"/>
      <c r="C541" s="87"/>
      <c r="D541" s="88"/>
      <c r="E541" s="89"/>
      <c r="F541" s="89"/>
      <c r="G541" s="89"/>
      <c r="H541" s="84" t="s">
        <v>49</v>
      </c>
      <c r="I541" s="260">
        <f>'[1]LUONG T7'!P67</f>
        <v>0</v>
      </c>
      <c r="J541" s="260"/>
      <c r="K541" s="92" t="s">
        <v>54</v>
      </c>
      <c r="L541" s="93"/>
      <c r="M541" s="267" t="s">
        <v>82</v>
      </c>
      <c r="N541" s="261"/>
      <c r="O541" s="87"/>
      <c r="P541" s="88"/>
      <c r="Q541" s="89"/>
      <c r="R541" s="89"/>
      <c r="S541" s="89"/>
      <c r="T541" s="84" t="s">
        <v>49</v>
      </c>
      <c r="U541" s="260">
        <f>'[1]LUONG T7'!P69</f>
        <v>0</v>
      </c>
      <c r="V541" s="260"/>
      <c r="W541" s="92" t="s">
        <v>54</v>
      </c>
      <c r="X541" s="93"/>
    </row>
    <row r="542" spans="1:24" ht="18.75" customHeight="1">
      <c r="A542" s="86" t="s">
        <v>83</v>
      </c>
      <c r="B542" s="84" t="s">
        <v>49</v>
      </c>
      <c r="C542" s="87"/>
      <c r="D542" s="88"/>
      <c r="E542" s="89" t="s">
        <v>84</v>
      </c>
      <c r="F542" s="89"/>
      <c r="G542" s="89"/>
      <c r="H542" s="84" t="s">
        <v>49</v>
      </c>
      <c r="I542" s="260">
        <f>L539</f>
        <v>0</v>
      </c>
      <c r="J542" s="260"/>
      <c r="K542" s="92" t="s">
        <v>54</v>
      </c>
      <c r="L542" s="93"/>
      <c r="M542" s="86" t="s">
        <v>83</v>
      </c>
      <c r="N542" s="84" t="s">
        <v>49</v>
      </c>
      <c r="O542" s="87"/>
      <c r="P542" s="88"/>
      <c r="Q542" s="89" t="s">
        <v>84</v>
      </c>
      <c r="R542" s="89"/>
      <c r="S542" s="89"/>
      <c r="T542" s="84" t="s">
        <v>49</v>
      </c>
      <c r="U542" s="260">
        <f>X539</f>
        <v>0</v>
      </c>
      <c r="V542" s="260"/>
      <c r="W542" s="92" t="s">
        <v>54</v>
      </c>
      <c r="X542" s="93"/>
    </row>
    <row r="543" spans="1:24" ht="18.75" customHeight="1">
      <c r="A543" s="264" t="s">
        <v>85</v>
      </c>
      <c r="B543" s="265"/>
      <c r="C543" s="265"/>
      <c r="D543" s="265"/>
      <c r="E543" s="265"/>
      <c r="F543" s="265"/>
      <c r="G543" s="84" t="s">
        <v>49</v>
      </c>
      <c r="H543" s="266">
        <f>I530+I531+I532+I533+I534+I537+I541+I542</f>
        <v>0</v>
      </c>
      <c r="I543" s="266"/>
      <c r="J543" s="266"/>
      <c r="K543" s="92" t="s">
        <v>54</v>
      </c>
      <c r="M543" s="264" t="s">
        <v>85</v>
      </c>
      <c r="N543" s="265"/>
      <c r="O543" s="265"/>
      <c r="P543" s="265"/>
      <c r="Q543" s="265"/>
      <c r="R543" s="265"/>
      <c r="S543" s="84" t="s">
        <v>49</v>
      </c>
      <c r="T543" s="266">
        <f>U530+U531+U532+U533+U534+U537+U541+U542</f>
        <v>0</v>
      </c>
      <c r="U543" s="266"/>
      <c r="V543" s="266"/>
      <c r="W543" s="92" t="s">
        <v>54</v>
      </c>
    </row>
    <row r="544" spans="1:24" ht="18.75" customHeight="1">
      <c r="A544" s="99"/>
      <c r="B544" s="100"/>
      <c r="C544" s="100"/>
      <c r="D544" s="100"/>
      <c r="E544" s="100"/>
      <c r="F544" s="100"/>
      <c r="G544" s="100"/>
      <c r="H544" s="100"/>
      <c r="I544" s="100"/>
      <c r="J544" s="100"/>
      <c r="K544" s="101"/>
      <c r="M544" s="99"/>
      <c r="N544" s="100"/>
      <c r="O544" s="100"/>
      <c r="P544" s="100"/>
      <c r="Q544" s="100"/>
      <c r="R544" s="100"/>
      <c r="S544" s="100"/>
      <c r="T544" s="100"/>
      <c r="U544" s="100"/>
      <c r="V544" s="100"/>
      <c r="W544" s="101"/>
    </row>
    <row r="545" spans="1:24" ht="18.75" customHeight="1">
      <c r="A545" s="274" t="s">
        <v>86</v>
      </c>
      <c r="B545" s="275"/>
      <c r="C545" s="275"/>
      <c r="D545" s="275"/>
      <c r="E545" s="275"/>
      <c r="F545" s="275"/>
      <c r="G545" s="84"/>
      <c r="H545" s="84"/>
      <c r="I545" s="84"/>
      <c r="J545" s="84"/>
      <c r="K545" s="92"/>
      <c r="M545" s="274" t="s">
        <v>86</v>
      </c>
      <c r="N545" s="275"/>
      <c r="O545" s="275"/>
      <c r="P545" s="275"/>
      <c r="Q545" s="275"/>
      <c r="R545" s="275"/>
      <c r="S545" s="84"/>
      <c r="T545" s="84"/>
      <c r="U545" s="84"/>
      <c r="V545" s="84"/>
      <c r="W545" s="92"/>
    </row>
    <row r="546" spans="1:24" ht="18.75" customHeight="1">
      <c r="A546" s="268" t="s">
        <v>87</v>
      </c>
      <c r="B546" s="269"/>
      <c r="C546" s="269"/>
      <c r="D546" s="269"/>
      <c r="E546" s="269"/>
      <c r="F546" s="269"/>
      <c r="G546" s="84" t="s">
        <v>49</v>
      </c>
      <c r="H546" s="276">
        <f>IF(($L$1-(C530+C531+C532+C533))&gt;12,0,F527*8%)</f>
        <v>0</v>
      </c>
      <c r="I546" s="276"/>
      <c r="J546" s="276"/>
      <c r="K546" s="92" t="s">
        <v>54</v>
      </c>
      <c r="M546" s="268" t="s">
        <v>87</v>
      </c>
      <c r="N546" s="269"/>
      <c r="O546" s="269"/>
      <c r="P546" s="269"/>
      <c r="Q546" s="269"/>
      <c r="R546" s="269"/>
      <c r="S546" s="84" t="s">
        <v>49</v>
      </c>
      <c r="T546" s="276">
        <f>IF(($L$1-(O530+O531+O532+O533))&gt;12,0,R527*8%)</f>
        <v>0</v>
      </c>
      <c r="U546" s="276"/>
      <c r="V546" s="276"/>
      <c r="W546" s="92" t="s">
        <v>54</v>
      </c>
    </row>
    <row r="547" spans="1:24" ht="18.75" customHeight="1">
      <c r="A547" s="268" t="s">
        <v>88</v>
      </c>
      <c r="B547" s="269"/>
      <c r="C547" s="269"/>
      <c r="D547" s="269"/>
      <c r="E547" s="269"/>
      <c r="F547" s="269"/>
      <c r="G547" s="84" t="s">
        <v>49</v>
      </c>
      <c r="H547" s="270">
        <f>IF(($L$1-(C530+C531+C532+C533))&gt;12,0,F527*1.5%)</f>
        <v>0</v>
      </c>
      <c r="I547" s="270"/>
      <c r="J547" s="270"/>
      <c r="K547" s="92" t="s">
        <v>54</v>
      </c>
      <c r="M547" s="268" t="s">
        <v>88</v>
      </c>
      <c r="N547" s="269"/>
      <c r="O547" s="269"/>
      <c r="P547" s="269"/>
      <c r="Q547" s="269"/>
      <c r="R547" s="269"/>
      <c r="S547" s="84" t="s">
        <v>49</v>
      </c>
      <c r="T547" s="270">
        <f>IF(($L$1-(O530+O531+O532+O533))&gt;12,0,R527*1.5%)</f>
        <v>0</v>
      </c>
      <c r="U547" s="270"/>
      <c r="V547" s="270"/>
      <c r="W547" s="92" t="s">
        <v>54</v>
      </c>
    </row>
    <row r="548" spans="1:24" ht="18.75" customHeight="1">
      <c r="A548" s="268" t="s">
        <v>89</v>
      </c>
      <c r="B548" s="269"/>
      <c r="C548" s="269"/>
      <c r="D548" s="269"/>
      <c r="E548" s="269"/>
      <c r="F548" s="269"/>
      <c r="G548" s="84" t="s">
        <v>49</v>
      </c>
      <c r="H548" s="270">
        <f>IF(($L$1-(C530+C531+C532+C533))&gt;12,0,F527*1%)</f>
        <v>0</v>
      </c>
      <c r="I548" s="270"/>
      <c r="J548" s="270"/>
      <c r="K548" s="92" t="s">
        <v>54</v>
      </c>
      <c r="M548" s="268" t="s">
        <v>89</v>
      </c>
      <c r="N548" s="269"/>
      <c r="O548" s="269"/>
      <c r="P548" s="269"/>
      <c r="Q548" s="269"/>
      <c r="R548" s="269"/>
      <c r="S548" s="84" t="s">
        <v>49</v>
      </c>
      <c r="T548" s="270">
        <f>IF(($L$1-(O530+O531+O532+O533))&gt;12,0,R527*1%)</f>
        <v>0</v>
      </c>
      <c r="U548" s="270"/>
      <c r="V548" s="270"/>
      <c r="W548" s="92" t="s">
        <v>54</v>
      </c>
    </row>
    <row r="549" spans="1:24" ht="18.75" customHeight="1">
      <c r="A549" s="268" t="s">
        <v>90</v>
      </c>
      <c r="B549" s="269"/>
      <c r="C549" s="269"/>
      <c r="D549" s="269"/>
      <c r="E549" s="269"/>
      <c r="F549" s="269"/>
      <c r="G549" s="84" t="s">
        <v>49</v>
      </c>
      <c r="H549" s="270">
        <v>0</v>
      </c>
      <c r="I549" s="270"/>
      <c r="J549" s="270"/>
      <c r="K549" s="92" t="s">
        <v>54</v>
      </c>
      <c r="M549" s="268" t="s">
        <v>90</v>
      </c>
      <c r="N549" s="269"/>
      <c r="O549" s="269"/>
      <c r="P549" s="269"/>
      <c r="Q549" s="269"/>
      <c r="R549" s="269"/>
      <c r="S549" s="84" t="s">
        <v>49</v>
      </c>
      <c r="T549" s="270">
        <v>0</v>
      </c>
      <c r="U549" s="270"/>
      <c r="V549" s="270"/>
      <c r="W549" s="92" t="s">
        <v>54</v>
      </c>
    </row>
    <row r="550" spans="1:24" ht="18.75" customHeight="1">
      <c r="A550" s="271" t="s">
        <v>91</v>
      </c>
      <c r="B550" s="272"/>
      <c r="C550" s="272"/>
      <c r="D550" s="272"/>
      <c r="E550" s="272"/>
      <c r="F550" s="272"/>
      <c r="G550" s="84" t="s">
        <v>49</v>
      </c>
      <c r="H550" s="273">
        <f>SUM(H546:J549)</f>
        <v>0</v>
      </c>
      <c r="I550" s="273"/>
      <c r="J550" s="273"/>
      <c r="K550" s="92" t="s">
        <v>54</v>
      </c>
      <c r="M550" s="271" t="s">
        <v>91</v>
      </c>
      <c r="N550" s="272"/>
      <c r="O550" s="272"/>
      <c r="P550" s="272"/>
      <c r="Q550" s="272"/>
      <c r="R550" s="272"/>
      <c r="S550" s="84" t="s">
        <v>49</v>
      </c>
      <c r="T550" s="273">
        <f>SUM(T546:V549)</f>
        <v>0</v>
      </c>
      <c r="U550" s="273"/>
      <c r="V550" s="273"/>
      <c r="W550" s="92" t="s">
        <v>54</v>
      </c>
    </row>
    <row r="551" spans="1:24" ht="18.75" customHeight="1">
      <c r="A551" s="268" t="s">
        <v>92</v>
      </c>
      <c r="B551" s="269"/>
      <c r="C551" s="269"/>
      <c r="D551" s="269"/>
      <c r="E551" s="269"/>
      <c r="F551" s="269"/>
      <c r="G551" s="84" t="s">
        <v>49</v>
      </c>
      <c r="H551" s="280">
        <f>ROUND(H543-H550,-2)</f>
        <v>0</v>
      </c>
      <c r="I551" s="280"/>
      <c r="J551" s="280"/>
      <c r="K551" s="92" t="s">
        <v>54</v>
      </c>
      <c r="M551" s="268" t="s">
        <v>92</v>
      </c>
      <c r="N551" s="269"/>
      <c r="O551" s="269"/>
      <c r="P551" s="269"/>
      <c r="Q551" s="269"/>
      <c r="R551" s="269"/>
      <c r="S551" s="84" t="s">
        <v>49</v>
      </c>
      <c r="T551" s="280">
        <f>ROUND(T543-T550,-2)</f>
        <v>0</v>
      </c>
      <c r="U551" s="280"/>
      <c r="V551" s="280"/>
      <c r="W551" s="92" t="s">
        <v>54</v>
      </c>
    </row>
    <row r="552" spans="1:24" ht="18.75" customHeight="1">
      <c r="A552" s="102"/>
      <c r="B552" s="103"/>
      <c r="C552" s="103"/>
      <c r="D552" s="103"/>
      <c r="E552" s="103"/>
      <c r="F552" s="103"/>
      <c r="G552" s="103"/>
      <c r="H552" s="103"/>
      <c r="I552" s="103"/>
      <c r="J552" s="103"/>
      <c r="K552" s="104"/>
      <c r="M552" s="102"/>
      <c r="N552" s="103"/>
      <c r="O552" s="103"/>
      <c r="P552" s="103"/>
      <c r="Q552" s="103"/>
      <c r="R552" s="103"/>
      <c r="S552" s="103"/>
      <c r="T552" s="103"/>
      <c r="U552" s="103"/>
      <c r="V552" s="103"/>
      <c r="W552" s="104"/>
    </row>
    <row r="553" spans="1:24" ht="18.75" customHeight="1">
      <c r="A553" s="105"/>
      <c r="B553" s="84"/>
      <c r="C553" s="84"/>
      <c r="D553" s="84"/>
      <c r="E553" s="84"/>
      <c r="F553" s="84"/>
      <c r="G553" s="84"/>
      <c r="H553" s="84"/>
      <c r="I553" s="277" t="s">
        <v>93</v>
      </c>
      <c r="J553" s="277"/>
      <c r="K553" s="281"/>
      <c r="M553" s="105"/>
      <c r="N553" s="84"/>
      <c r="O553" s="84"/>
      <c r="P553" s="84"/>
      <c r="Q553" s="84"/>
      <c r="R553" s="84"/>
      <c r="S553" s="84"/>
      <c r="T553" s="84"/>
      <c r="U553" s="277" t="s">
        <v>93</v>
      </c>
      <c r="V553" s="277"/>
      <c r="W553" s="281"/>
    </row>
    <row r="554" spans="1:24" ht="18.75" customHeight="1">
      <c r="A554" s="105"/>
      <c r="B554" s="277"/>
      <c r="C554" s="277"/>
      <c r="D554" s="277"/>
      <c r="E554" s="277"/>
      <c r="F554" s="84"/>
      <c r="G554" s="84"/>
      <c r="H554" s="84"/>
      <c r="I554" s="84"/>
      <c r="J554" s="84"/>
      <c r="K554" s="85"/>
      <c r="M554" s="105"/>
      <c r="N554" s="277"/>
      <c r="O554" s="277"/>
      <c r="P554" s="277"/>
      <c r="Q554" s="277"/>
      <c r="R554" s="84"/>
      <c r="S554" s="84"/>
      <c r="T554" s="84"/>
      <c r="U554" s="84"/>
      <c r="V554" s="84"/>
      <c r="W554" s="85"/>
    </row>
    <row r="555" spans="1:24" ht="18.75" customHeight="1" thickBot="1">
      <c r="A555" s="106"/>
      <c r="B555" s="107"/>
      <c r="C555" s="107"/>
      <c r="D555" s="107"/>
      <c r="E555" s="107"/>
      <c r="F555" s="107"/>
      <c r="G555" s="107"/>
      <c r="H555" s="107"/>
      <c r="I555" s="278" t="s">
        <v>94</v>
      </c>
      <c r="J555" s="278"/>
      <c r="K555" s="279"/>
      <c r="M555" s="106"/>
      <c r="N555" s="107"/>
      <c r="O555" s="107"/>
      <c r="P555" s="107"/>
      <c r="Q555" s="107"/>
      <c r="R555" s="107"/>
      <c r="S555" s="107"/>
      <c r="T555" s="107"/>
      <c r="U555" s="278" t="s">
        <v>94</v>
      </c>
      <c r="V555" s="278"/>
      <c r="W555" s="279"/>
    </row>
    <row r="557" spans="1:24" ht="18.75" customHeight="1" thickTop="1">
      <c r="A557" s="253" t="s">
        <v>43</v>
      </c>
      <c r="B557" s="254"/>
      <c r="C557" s="254"/>
      <c r="D557" s="254"/>
      <c r="E557" s="254"/>
      <c r="F557" s="254"/>
      <c r="G557" s="254"/>
      <c r="H557" s="254"/>
      <c r="I557" s="254"/>
      <c r="J557" s="254"/>
      <c r="K557" s="255"/>
      <c r="L557" s="80">
        <v>25</v>
      </c>
      <c r="M557" s="253" t="s">
        <v>43</v>
      </c>
      <c r="N557" s="254"/>
      <c r="O557" s="254"/>
      <c r="P557" s="254"/>
      <c r="Q557" s="254"/>
      <c r="R557" s="254"/>
      <c r="S557" s="254"/>
      <c r="T557" s="254"/>
      <c r="U557" s="254"/>
      <c r="V557" s="254"/>
      <c r="W557" s="255"/>
      <c r="X557" s="80">
        <v>25</v>
      </c>
    </row>
    <row r="558" spans="1:24" ht="18.75" customHeight="1">
      <c r="A558" s="81" t="s">
        <v>138</v>
      </c>
      <c r="B558" s="82"/>
      <c r="C558" s="82"/>
      <c r="D558" s="82"/>
      <c r="E558" s="82"/>
      <c r="F558" s="82"/>
      <c r="G558" s="82"/>
      <c r="H558" s="82"/>
      <c r="I558" s="82"/>
      <c r="J558" s="82"/>
      <c r="K558" s="83"/>
      <c r="M558" s="81" t="s">
        <v>139</v>
      </c>
      <c r="N558" s="82"/>
      <c r="O558" s="82"/>
      <c r="P558" s="82"/>
      <c r="Q558" s="82"/>
      <c r="R558" s="82"/>
      <c r="S558" s="82"/>
      <c r="T558" s="82"/>
      <c r="U558" s="82"/>
      <c r="V558" s="82"/>
      <c r="W558" s="83"/>
    </row>
    <row r="559" spans="1:24" ht="18.75" customHeight="1">
      <c r="A559" s="256" t="s">
        <v>47</v>
      </c>
      <c r="B559" s="257"/>
      <c r="C559" s="257"/>
      <c r="D559" s="257"/>
      <c r="E559" s="257"/>
      <c r="F559" s="257"/>
      <c r="G559" s="257"/>
      <c r="H559" s="257"/>
      <c r="I559" s="257"/>
      <c r="J559" s="257"/>
      <c r="K559" s="258"/>
      <c r="M559" s="256" t="s">
        <v>47</v>
      </c>
      <c r="N559" s="257"/>
      <c r="O559" s="257"/>
      <c r="P559" s="257"/>
      <c r="Q559" s="257"/>
      <c r="R559" s="257"/>
      <c r="S559" s="257"/>
      <c r="T559" s="257"/>
      <c r="U559" s="257"/>
      <c r="V559" s="257"/>
      <c r="W559" s="258"/>
    </row>
    <row r="560" spans="1:24" ht="18.75" customHeight="1">
      <c r="A560" s="248" t="s">
        <v>48</v>
      </c>
      <c r="B560" s="249"/>
      <c r="C560" s="249"/>
      <c r="D560" s="249"/>
      <c r="E560" s="84" t="s">
        <v>49</v>
      </c>
      <c r="F560" s="250">
        <f>'[1]Bang TH nop'!B63</f>
        <v>0</v>
      </c>
      <c r="G560" s="249"/>
      <c r="H560" s="249"/>
      <c r="I560" s="249"/>
      <c r="J560" s="249"/>
      <c r="K560" s="252"/>
      <c r="M560" s="248" t="s">
        <v>48</v>
      </c>
      <c r="N560" s="249"/>
      <c r="O560" s="249"/>
      <c r="P560" s="249"/>
      <c r="Q560" s="84" t="s">
        <v>49</v>
      </c>
      <c r="R560" s="250">
        <f>'[1]Bang TH nop'!B65</f>
        <v>0</v>
      </c>
      <c r="S560" s="249"/>
      <c r="T560" s="249"/>
      <c r="U560" s="249"/>
      <c r="V560" s="249"/>
      <c r="W560" s="252"/>
    </row>
    <row r="561" spans="1:24" ht="18.75" customHeight="1">
      <c r="A561" s="248" t="s">
        <v>50</v>
      </c>
      <c r="B561" s="249"/>
      <c r="C561" s="249"/>
      <c r="D561" s="249"/>
      <c r="E561" s="84" t="s">
        <v>49</v>
      </c>
      <c r="F561" s="250">
        <f>'[1]Bang TH nop'!C63</f>
        <v>0</v>
      </c>
      <c r="G561" s="250"/>
      <c r="H561" s="250"/>
      <c r="I561" s="250"/>
      <c r="J561" s="250"/>
      <c r="K561" s="251"/>
      <c r="M561" s="248" t="s">
        <v>50</v>
      </c>
      <c r="N561" s="249"/>
      <c r="O561" s="249"/>
      <c r="P561" s="249"/>
      <c r="Q561" s="84" t="s">
        <v>49</v>
      </c>
      <c r="R561" s="250">
        <f>'[1]Bang TH nop'!C65</f>
        <v>0</v>
      </c>
      <c r="S561" s="250"/>
      <c r="T561" s="250"/>
      <c r="U561" s="250"/>
      <c r="V561" s="250"/>
      <c r="W561" s="251"/>
    </row>
    <row r="562" spans="1:24" ht="18.75" customHeight="1">
      <c r="A562" s="248" t="s">
        <v>51</v>
      </c>
      <c r="B562" s="249"/>
      <c r="C562" s="249"/>
      <c r="D562" s="249"/>
      <c r="E562" s="84" t="s">
        <v>49</v>
      </c>
      <c r="F562" s="249" t="s">
        <v>121</v>
      </c>
      <c r="G562" s="249"/>
      <c r="H562" s="249"/>
      <c r="I562" s="249"/>
      <c r="J562" s="249"/>
      <c r="K562" s="252"/>
      <c r="M562" s="248" t="s">
        <v>51</v>
      </c>
      <c r="N562" s="249"/>
      <c r="O562" s="249"/>
      <c r="P562" s="249"/>
      <c r="Q562" s="84" t="s">
        <v>49</v>
      </c>
      <c r="R562" s="249" t="s">
        <v>121</v>
      </c>
      <c r="S562" s="249"/>
      <c r="T562" s="249"/>
      <c r="U562" s="249"/>
      <c r="V562" s="249"/>
      <c r="W562" s="252"/>
    </row>
    <row r="563" spans="1:24" ht="18.75" customHeight="1">
      <c r="A563" s="256" t="s">
        <v>52</v>
      </c>
      <c r="B563" s="257"/>
      <c r="C563" s="257"/>
      <c r="D563" s="257"/>
      <c r="E563" s="257"/>
      <c r="F563" s="257"/>
      <c r="G563" s="257"/>
      <c r="H563" s="257"/>
      <c r="I563" s="257"/>
      <c r="J563" s="257"/>
      <c r="K563" s="258"/>
      <c r="M563" s="256" t="s">
        <v>52</v>
      </c>
      <c r="N563" s="257"/>
      <c r="O563" s="257"/>
      <c r="P563" s="257"/>
      <c r="Q563" s="257"/>
      <c r="R563" s="257"/>
      <c r="S563" s="257"/>
      <c r="T563" s="257"/>
      <c r="U563" s="257"/>
      <c r="V563" s="257"/>
      <c r="W563" s="258"/>
    </row>
    <row r="564" spans="1:24" ht="18.75" customHeight="1">
      <c r="A564" s="248" t="s">
        <v>53</v>
      </c>
      <c r="B564" s="249"/>
      <c r="C564" s="249"/>
      <c r="D564" s="249"/>
      <c r="E564" s="84" t="s">
        <v>49</v>
      </c>
      <c r="F564" s="263">
        <v>2915400</v>
      </c>
      <c r="G564" s="263"/>
      <c r="H564" s="263"/>
      <c r="I564" s="263"/>
      <c r="J564" s="84" t="s">
        <v>54</v>
      </c>
      <c r="K564" s="85"/>
      <c r="M564" s="248" t="s">
        <v>53</v>
      </c>
      <c r="N564" s="249"/>
      <c r="O564" s="249"/>
      <c r="P564" s="249"/>
      <c r="Q564" s="84" t="s">
        <v>49</v>
      </c>
      <c r="R564" s="263">
        <v>2915400</v>
      </c>
      <c r="S564" s="263"/>
      <c r="T564" s="263"/>
      <c r="U564" s="263"/>
      <c r="V564" s="84" t="s">
        <v>54</v>
      </c>
      <c r="W564" s="85"/>
    </row>
    <row r="565" spans="1:24" ht="18.75" customHeight="1">
      <c r="A565" s="86" t="s">
        <v>55</v>
      </c>
      <c r="B565" s="84"/>
      <c r="C565" s="87"/>
      <c r="D565" s="88"/>
      <c r="E565" s="89"/>
      <c r="F565" s="89"/>
      <c r="G565" s="89"/>
      <c r="H565" s="84"/>
      <c r="I565" s="90">
        <f>'[1]LUONG T7'!F71</f>
        <v>0</v>
      </c>
      <c r="J565" s="91"/>
      <c r="K565" s="92"/>
      <c r="M565" s="86" t="s">
        <v>55</v>
      </c>
      <c r="N565" s="84"/>
      <c r="O565" s="87"/>
      <c r="P565" s="88"/>
      <c r="Q565" s="89"/>
      <c r="R565" s="89"/>
      <c r="S565" s="89"/>
      <c r="T565" s="84"/>
      <c r="U565" s="90">
        <f>'[1]LUONG T7'!F73</f>
        <v>0</v>
      </c>
      <c r="V565" s="91"/>
      <c r="W565" s="92"/>
    </row>
    <row r="566" spans="1:24" ht="18.75" customHeight="1">
      <c r="A566" s="86" t="s">
        <v>56</v>
      </c>
      <c r="B566" s="84"/>
      <c r="C566" s="87"/>
      <c r="D566" s="88"/>
      <c r="E566" s="89"/>
      <c r="F566" s="89"/>
      <c r="G566" s="89"/>
      <c r="H566" s="84"/>
      <c r="I566" s="90" t="e">
        <f>I567/C567/8</f>
        <v>#DIV/0!</v>
      </c>
      <c r="J566" s="91"/>
      <c r="K566" s="92"/>
      <c r="M566" s="86" t="s">
        <v>56</v>
      </c>
      <c r="N566" s="84"/>
      <c r="O566" s="87"/>
      <c r="P566" s="88"/>
      <c r="Q566" s="89"/>
      <c r="R566" s="89"/>
      <c r="S566" s="89"/>
      <c r="T566" s="84"/>
      <c r="U566" s="90" t="e">
        <f>U567/O567/8</f>
        <v>#DIV/0!</v>
      </c>
      <c r="V566" s="91"/>
      <c r="W566" s="92"/>
    </row>
    <row r="567" spans="1:24" ht="18.75" customHeight="1">
      <c r="A567" s="86" t="s">
        <v>57</v>
      </c>
      <c r="B567" s="84" t="s">
        <v>49</v>
      </c>
      <c r="C567" s="87">
        <f>'[1]LUONG T7'!I70</f>
        <v>0</v>
      </c>
      <c r="D567" s="88" t="s">
        <v>58</v>
      </c>
      <c r="E567" s="261" t="s">
        <v>59</v>
      </c>
      <c r="F567" s="261"/>
      <c r="G567" s="261"/>
      <c r="H567" s="84" t="s">
        <v>49</v>
      </c>
      <c r="I567" s="262">
        <f>'[1]LUONG T7'!I71</f>
        <v>0</v>
      </c>
      <c r="J567" s="262"/>
      <c r="K567" s="92" t="s">
        <v>54</v>
      </c>
      <c r="L567" s="93">
        <f>F564/L557*C567</f>
        <v>0</v>
      </c>
      <c r="M567" s="86" t="s">
        <v>57</v>
      </c>
      <c r="N567" s="84" t="s">
        <v>49</v>
      </c>
      <c r="O567" s="87">
        <f>'[1]LUONG T7'!I72</f>
        <v>0</v>
      </c>
      <c r="P567" s="88" t="s">
        <v>58</v>
      </c>
      <c r="Q567" s="261" t="s">
        <v>59</v>
      </c>
      <c r="R567" s="261"/>
      <c r="S567" s="261"/>
      <c r="T567" s="84" t="s">
        <v>49</v>
      </c>
      <c r="U567" s="262">
        <f>'[1]LUONG T7'!I73</f>
        <v>0</v>
      </c>
      <c r="V567" s="262"/>
      <c r="W567" s="92" t="s">
        <v>54</v>
      </c>
      <c r="X567" s="93">
        <f>R564/X557*O567</f>
        <v>0</v>
      </c>
    </row>
    <row r="568" spans="1:24" ht="18.75" customHeight="1">
      <c r="A568" s="86" t="s">
        <v>60</v>
      </c>
      <c r="B568" s="84" t="s">
        <v>49</v>
      </c>
      <c r="C568" s="87">
        <f>'[1]LUONG T7'!J70</f>
        <v>0</v>
      </c>
      <c r="D568" s="88" t="s">
        <v>58</v>
      </c>
      <c r="E568" s="249" t="s">
        <v>61</v>
      </c>
      <c r="F568" s="249"/>
      <c r="G568" s="249"/>
      <c r="H568" s="84" t="s">
        <v>49</v>
      </c>
      <c r="I568" s="260">
        <f>$F$8/$L$1*C568</f>
        <v>0</v>
      </c>
      <c r="J568" s="260"/>
      <c r="K568" s="92" t="s">
        <v>54</v>
      </c>
      <c r="L568" s="93"/>
      <c r="M568" s="86" t="s">
        <v>60</v>
      </c>
      <c r="N568" s="84" t="s">
        <v>49</v>
      </c>
      <c r="O568" s="87">
        <f>'[1]LUONG T7'!J72</f>
        <v>0</v>
      </c>
      <c r="P568" s="88" t="s">
        <v>58</v>
      </c>
      <c r="Q568" s="249" t="s">
        <v>61</v>
      </c>
      <c r="R568" s="249"/>
      <c r="S568" s="249"/>
      <c r="T568" s="84" t="s">
        <v>49</v>
      </c>
      <c r="U568" s="260">
        <f>$F$8/$L$1*O568</f>
        <v>0</v>
      </c>
      <c r="V568" s="260"/>
      <c r="W568" s="92" t="s">
        <v>54</v>
      </c>
      <c r="X568" s="93"/>
    </row>
    <row r="569" spans="1:24" ht="18.75" customHeight="1">
      <c r="A569" s="86" t="s">
        <v>62</v>
      </c>
      <c r="B569" s="84" t="s">
        <v>49</v>
      </c>
      <c r="C569" s="87">
        <f>'[1]LUONG T7'!K70</f>
        <v>0</v>
      </c>
      <c r="D569" s="88" t="s">
        <v>58</v>
      </c>
      <c r="E569" s="259" t="s">
        <v>63</v>
      </c>
      <c r="F569" s="259"/>
      <c r="G569" s="259"/>
      <c r="H569" s="84" t="s">
        <v>49</v>
      </c>
      <c r="I569" s="260">
        <f>$F$8/$L$1*C569</f>
        <v>0</v>
      </c>
      <c r="J569" s="260"/>
      <c r="K569" s="92" t="s">
        <v>54</v>
      </c>
      <c r="L569" s="93"/>
      <c r="M569" s="86" t="s">
        <v>62</v>
      </c>
      <c r="N569" s="84" t="s">
        <v>49</v>
      </c>
      <c r="O569" s="87">
        <f>'[1]LUONG T7'!K72</f>
        <v>0</v>
      </c>
      <c r="P569" s="88" t="s">
        <v>58</v>
      </c>
      <c r="Q569" s="259" t="s">
        <v>63</v>
      </c>
      <c r="R569" s="259"/>
      <c r="S569" s="259"/>
      <c r="T569" s="84" t="s">
        <v>49</v>
      </c>
      <c r="U569" s="260">
        <f>$F$8/$L$1*O569</f>
        <v>0</v>
      </c>
      <c r="V569" s="260"/>
      <c r="W569" s="92" t="s">
        <v>54</v>
      </c>
      <c r="X569" s="93"/>
    </row>
    <row r="570" spans="1:24" ht="18.75" customHeight="1">
      <c r="A570" s="86" t="s">
        <v>64</v>
      </c>
      <c r="B570" s="84" t="s">
        <v>49</v>
      </c>
      <c r="C570" s="87">
        <f>'[1]LUONG T7'!L70</f>
        <v>0</v>
      </c>
      <c r="D570" s="88" t="s">
        <v>58</v>
      </c>
      <c r="E570" s="259" t="s">
        <v>65</v>
      </c>
      <c r="F570" s="259"/>
      <c r="G570" s="259"/>
      <c r="H570" s="84" t="s">
        <v>49</v>
      </c>
      <c r="I570" s="260">
        <f>$F$8/$L$1*C570</f>
        <v>0</v>
      </c>
      <c r="J570" s="260"/>
      <c r="K570" s="92" t="s">
        <v>54</v>
      </c>
      <c r="L570" s="93"/>
      <c r="M570" s="86" t="s">
        <v>64</v>
      </c>
      <c r="N570" s="84" t="s">
        <v>49</v>
      </c>
      <c r="O570" s="87">
        <f>'[1]LUONG T7'!L72</f>
        <v>0</v>
      </c>
      <c r="P570" s="88" t="s">
        <v>58</v>
      </c>
      <c r="Q570" s="259" t="s">
        <v>65</v>
      </c>
      <c r="R570" s="259"/>
      <c r="S570" s="259"/>
      <c r="T570" s="84" t="s">
        <v>49</v>
      </c>
      <c r="U570" s="260">
        <f>$F$8/$L$1*O570</f>
        <v>0</v>
      </c>
      <c r="V570" s="260"/>
      <c r="W570" s="92" t="s">
        <v>54</v>
      </c>
      <c r="X570" s="93"/>
    </row>
    <row r="571" spans="1:24" ht="18.75" customHeight="1">
      <c r="A571" s="86" t="s">
        <v>66</v>
      </c>
      <c r="B571" s="84" t="s">
        <v>49</v>
      </c>
      <c r="C571" s="87">
        <f>'[1]LUONG T7'!Q70</f>
        <v>0</v>
      </c>
      <c r="D571" s="88" t="s">
        <v>67</v>
      </c>
      <c r="E571" s="249" t="s">
        <v>68</v>
      </c>
      <c r="F571" s="249"/>
      <c r="G571" s="249"/>
      <c r="H571" s="84" t="s">
        <v>49</v>
      </c>
      <c r="I571" s="260">
        <f>'[1]LUONG T7'!Q71</f>
        <v>0</v>
      </c>
      <c r="J571" s="260"/>
      <c r="K571" s="92" t="s">
        <v>54</v>
      </c>
      <c r="L571" s="93">
        <f>F564*C571/L557/8*1.5</f>
        <v>0</v>
      </c>
      <c r="M571" s="86" t="s">
        <v>66</v>
      </c>
      <c r="N571" s="84" t="s">
        <v>49</v>
      </c>
      <c r="O571" s="87">
        <f>'[1]LUONG T7'!Q72</f>
        <v>0</v>
      </c>
      <c r="P571" s="88" t="s">
        <v>67</v>
      </c>
      <c r="Q571" s="249" t="s">
        <v>68</v>
      </c>
      <c r="R571" s="249"/>
      <c r="S571" s="249"/>
      <c r="T571" s="84" t="s">
        <v>49</v>
      </c>
      <c r="U571" s="260">
        <f>'[1]LUONG T7'!Q73</f>
        <v>0</v>
      </c>
      <c r="V571" s="260"/>
      <c r="W571" s="92" t="s">
        <v>54</v>
      </c>
      <c r="X571" s="93">
        <f>R564*O571/X557/8*1.5</f>
        <v>0</v>
      </c>
    </row>
    <row r="572" spans="1:24" ht="18.75" customHeight="1">
      <c r="A572" s="248" t="s">
        <v>69</v>
      </c>
      <c r="B572" s="249"/>
      <c r="C572" s="87"/>
      <c r="D572" s="88" t="s">
        <v>58</v>
      </c>
      <c r="E572" s="249" t="s">
        <v>70</v>
      </c>
      <c r="F572" s="249"/>
      <c r="G572" s="249"/>
      <c r="H572" s="94" t="s">
        <v>49</v>
      </c>
      <c r="I572" s="260"/>
      <c r="J572" s="260"/>
      <c r="K572" s="92" t="s">
        <v>54</v>
      </c>
      <c r="L572" s="93"/>
      <c r="M572" s="248" t="s">
        <v>69</v>
      </c>
      <c r="N572" s="249"/>
      <c r="O572" s="87"/>
      <c r="P572" s="88" t="s">
        <v>58</v>
      </c>
      <c r="Q572" s="249" t="s">
        <v>70</v>
      </c>
      <c r="R572" s="249"/>
      <c r="S572" s="249"/>
      <c r="T572" s="94" t="s">
        <v>49</v>
      </c>
      <c r="U572" s="260"/>
      <c r="V572" s="260"/>
      <c r="W572" s="92" t="s">
        <v>54</v>
      </c>
      <c r="X572" s="93"/>
    </row>
    <row r="573" spans="1:24" ht="18.75" customHeight="1">
      <c r="A573" s="86" t="s">
        <v>71</v>
      </c>
      <c r="B573" s="84" t="s">
        <v>49</v>
      </c>
      <c r="C573" s="87"/>
      <c r="D573" s="88" t="s">
        <v>58</v>
      </c>
      <c r="E573" s="249" t="s">
        <v>72</v>
      </c>
      <c r="F573" s="249"/>
      <c r="G573" s="249"/>
      <c r="H573" s="84" t="s">
        <v>49</v>
      </c>
      <c r="I573" s="260"/>
      <c r="J573" s="260"/>
      <c r="K573" s="92" t="s">
        <v>54</v>
      </c>
      <c r="L573" s="93"/>
      <c r="M573" s="86" t="s">
        <v>71</v>
      </c>
      <c r="N573" s="84" t="s">
        <v>49</v>
      </c>
      <c r="O573" s="87"/>
      <c r="P573" s="88" t="s">
        <v>58</v>
      </c>
      <c r="Q573" s="249" t="s">
        <v>72</v>
      </c>
      <c r="R573" s="249"/>
      <c r="S573" s="249"/>
      <c r="T573" s="84" t="s">
        <v>49</v>
      </c>
      <c r="U573" s="260"/>
      <c r="V573" s="260"/>
      <c r="W573" s="92" t="s">
        <v>54</v>
      </c>
      <c r="X573" s="93"/>
    </row>
    <row r="574" spans="1:24" ht="18.75" customHeight="1">
      <c r="A574" s="95" t="s">
        <v>73</v>
      </c>
      <c r="B574" s="84"/>
      <c r="C574" s="87">
        <f>'[1]LUONG T7'!M70</f>
        <v>0</v>
      </c>
      <c r="D574" s="88" t="s">
        <v>67</v>
      </c>
      <c r="E574" s="249" t="s">
        <v>74</v>
      </c>
      <c r="F574" s="249"/>
      <c r="G574" s="249"/>
      <c r="H574" s="84" t="s">
        <v>49</v>
      </c>
      <c r="I574" s="260">
        <f>$F$8*C574/8/$L$1</f>
        <v>0</v>
      </c>
      <c r="J574" s="260"/>
      <c r="K574" s="92" t="s">
        <v>54</v>
      </c>
      <c r="L574" s="93"/>
      <c r="M574" s="95" t="s">
        <v>73</v>
      </c>
      <c r="N574" s="84"/>
      <c r="O574" s="87">
        <f>'[1]LUONG T7'!M72</f>
        <v>0</v>
      </c>
      <c r="P574" s="88" t="s">
        <v>67</v>
      </c>
      <c r="Q574" s="249" t="s">
        <v>74</v>
      </c>
      <c r="R574" s="249"/>
      <c r="S574" s="249"/>
      <c r="T574" s="84" t="s">
        <v>49</v>
      </c>
      <c r="U574" s="260">
        <f>$F$8*O574/8/$L$1</f>
        <v>0</v>
      </c>
      <c r="V574" s="260"/>
      <c r="W574" s="92" t="s">
        <v>54</v>
      </c>
      <c r="X574" s="93"/>
    </row>
    <row r="575" spans="1:24" ht="18.75" customHeight="1">
      <c r="A575" s="86" t="s">
        <v>75</v>
      </c>
      <c r="B575" s="84" t="s">
        <v>49</v>
      </c>
      <c r="C575" s="87"/>
      <c r="D575" s="88" t="s">
        <v>67</v>
      </c>
      <c r="E575" s="249" t="s">
        <v>97</v>
      </c>
      <c r="F575" s="249"/>
      <c r="G575" s="249"/>
      <c r="H575" s="84" t="s">
        <v>49</v>
      </c>
      <c r="I575" s="262"/>
      <c r="J575" s="262"/>
      <c r="K575" s="92" t="s">
        <v>54</v>
      </c>
      <c r="L575" s="93"/>
      <c r="M575" s="86" t="s">
        <v>75</v>
      </c>
      <c r="N575" s="84" t="s">
        <v>49</v>
      </c>
      <c r="O575" s="87"/>
      <c r="P575" s="88" t="s">
        <v>67</v>
      </c>
      <c r="Q575" s="249" t="s">
        <v>97</v>
      </c>
      <c r="R575" s="249"/>
      <c r="S575" s="249"/>
      <c r="T575" s="84" t="s">
        <v>49</v>
      </c>
      <c r="U575" s="262"/>
      <c r="V575" s="262"/>
      <c r="W575" s="92" t="s">
        <v>54</v>
      </c>
      <c r="X575" s="93"/>
    </row>
    <row r="576" spans="1:24" ht="18.75" customHeight="1">
      <c r="A576" s="86" t="s">
        <v>77</v>
      </c>
      <c r="B576" s="84" t="s">
        <v>49</v>
      </c>
      <c r="C576" s="87"/>
      <c r="D576" s="88" t="s">
        <v>78</v>
      </c>
      <c r="E576" s="96" t="s">
        <v>79</v>
      </c>
      <c r="F576" s="96"/>
      <c r="G576" s="96"/>
      <c r="H576" s="84" t="s">
        <v>49</v>
      </c>
      <c r="I576" s="260"/>
      <c r="J576" s="260"/>
      <c r="K576" s="92" t="s">
        <v>54</v>
      </c>
      <c r="L576" s="93">
        <f>+IF(L567-I567&lt;0,0,L567-I567)+IF(L571-I571&lt;0,0,L571-I571)</f>
        <v>0</v>
      </c>
      <c r="M576" s="86" t="s">
        <v>77</v>
      </c>
      <c r="N576" s="84" t="s">
        <v>49</v>
      </c>
      <c r="O576" s="87"/>
      <c r="P576" s="88" t="s">
        <v>78</v>
      </c>
      <c r="Q576" s="96" t="s">
        <v>79</v>
      </c>
      <c r="R576" s="96"/>
      <c r="S576" s="96"/>
      <c r="T576" s="84" t="s">
        <v>49</v>
      </c>
      <c r="U576" s="260"/>
      <c r="V576" s="260"/>
      <c r="W576" s="92" t="s">
        <v>54</v>
      </c>
      <c r="X576" s="93">
        <f>+IF(X567-U567&lt;0,0,X567-U567)+IF(X571-U571&lt;0,0,X571-U571)</f>
        <v>0</v>
      </c>
    </row>
    <row r="577" spans="1:24" ht="18.75" customHeight="1">
      <c r="A577" s="97" t="s">
        <v>122</v>
      </c>
      <c r="B577" s="98"/>
      <c r="C577" s="87"/>
      <c r="D577" s="88" t="s">
        <v>58</v>
      </c>
      <c r="E577" s="249" t="s">
        <v>123</v>
      </c>
      <c r="F577" s="249"/>
      <c r="G577" s="249"/>
      <c r="H577" s="84" t="s">
        <v>49</v>
      </c>
      <c r="I577" s="260"/>
      <c r="J577" s="260"/>
      <c r="K577" s="92" t="s">
        <v>54</v>
      </c>
      <c r="L577" s="93"/>
      <c r="M577" s="97" t="s">
        <v>122</v>
      </c>
      <c r="N577" s="98"/>
      <c r="O577" s="87"/>
      <c r="P577" s="88" t="s">
        <v>58</v>
      </c>
      <c r="Q577" s="249" t="s">
        <v>123</v>
      </c>
      <c r="R577" s="249"/>
      <c r="S577" s="249"/>
      <c r="T577" s="84" t="s">
        <v>49</v>
      </c>
      <c r="U577" s="260"/>
      <c r="V577" s="260"/>
      <c r="W577" s="92" t="s">
        <v>54</v>
      </c>
      <c r="X577" s="93"/>
    </row>
    <row r="578" spans="1:24" ht="18.75" customHeight="1">
      <c r="A578" s="267" t="s">
        <v>82</v>
      </c>
      <c r="B578" s="261"/>
      <c r="C578" s="87"/>
      <c r="D578" s="88"/>
      <c r="E578" s="89"/>
      <c r="F578" s="89"/>
      <c r="G578" s="89"/>
      <c r="H578" s="84" t="s">
        <v>49</v>
      </c>
      <c r="I578" s="260">
        <f>'[1]LUONG T7'!P71</f>
        <v>0</v>
      </c>
      <c r="J578" s="260"/>
      <c r="K578" s="92" t="s">
        <v>54</v>
      </c>
      <c r="L578" s="93"/>
      <c r="M578" s="267" t="s">
        <v>82</v>
      </c>
      <c r="N578" s="261"/>
      <c r="O578" s="87"/>
      <c r="P578" s="88"/>
      <c r="Q578" s="89"/>
      <c r="R578" s="89"/>
      <c r="S578" s="89"/>
      <c r="T578" s="84" t="s">
        <v>49</v>
      </c>
      <c r="U578" s="260">
        <f>'[1]LUONG T7'!P73</f>
        <v>0</v>
      </c>
      <c r="V578" s="260"/>
      <c r="W578" s="92" t="s">
        <v>54</v>
      </c>
      <c r="X578" s="93"/>
    </row>
    <row r="579" spans="1:24" ht="18.75" customHeight="1">
      <c r="A579" s="86" t="s">
        <v>83</v>
      </c>
      <c r="B579" s="84" t="s">
        <v>49</v>
      </c>
      <c r="C579" s="87"/>
      <c r="D579" s="88"/>
      <c r="E579" s="89" t="s">
        <v>84</v>
      </c>
      <c r="F579" s="89"/>
      <c r="G579" s="89"/>
      <c r="H579" s="84" t="s">
        <v>49</v>
      </c>
      <c r="I579" s="260">
        <f>L576</f>
        <v>0</v>
      </c>
      <c r="J579" s="260"/>
      <c r="K579" s="92" t="s">
        <v>54</v>
      </c>
      <c r="L579" s="93"/>
      <c r="M579" s="86" t="s">
        <v>83</v>
      </c>
      <c r="N579" s="84" t="s">
        <v>49</v>
      </c>
      <c r="O579" s="87"/>
      <c r="P579" s="88"/>
      <c r="Q579" s="89" t="s">
        <v>84</v>
      </c>
      <c r="R579" s="89"/>
      <c r="S579" s="89"/>
      <c r="T579" s="84" t="s">
        <v>49</v>
      </c>
      <c r="U579" s="260">
        <f>X576</f>
        <v>0</v>
      </c>
      <c r="V579" s="260"/>
      <c r="W579" s="92" t="s">
        <v>54</v>
      </c>
      <c r="X579" s="93"/>
    </row>
    <row r="580" spans="1:24" ht="18.75" customHeight="1">
      <c r="A580" s="264" t="s">
        <v>85</v>
      </c>
      <c r="B580" s="265"/>
      <c r="C580" s="265"/>
      <c r="D580" s="265"/>
      <c r="E580" s="265"/>
      <c r="F580" s="265"/>
      <c r="G580" s="84" t="s">
        <v>49</v>
      </c>
      <c r="H580" s="266">
        <f>I567+I568+I569+I570+I571+I574+I578+I579</f>
        <v>0</v>
      </c>
      <c r="I580" s="266"/>
      <c r="J580" s="266"/>
      <c r="K580" s="92" t="s">
        <v>54</v>
      </c>
      <c r="M580" s="264" t="s">
        <v>85</v>
      </c>
      <c r="N580" s="265"/>
      <c r="O580" s="265"/>
      <c r="P580" s="265"/>
      <c r="Q580" s="265"/>
      <c r="R580" s="265"/>
      <c r="S580" s="84" t="s">
        <v>49</v>
      </c>
      <c r="T580" s="266">
        <f>U567+U568+U569+U570+U571+U574+U578+U579</f>
        <v>0</v>
      </c>
      <c r="U580" s="266"/>
      <c r="V580" s="266"/>
      <c r="W580" s="92" t="s">
        <v>54</v>
      </c>
    </row>
    <row r="581" spans="1:24" ht="18.75" customHeight="1">
      <c r="A581" s="99"/>
      <c r="B581" s="100"/>
      <c r="C581" s="100"/>
      <c r="D581" s="100"/>
      <c r="E581" s="100"/>
      <c r="F581" s="100"/>
      <c r="G581" s="100"/>
      <c r="H581" s="100"/>
      <c r="I581" s="100"/>
      <c r="J581" s="100"/>
      <c r="K581" s="101"/>
      <c r="M581" s="99"/>
      <c r="N581" s="100"/>
      <c r="O581" s="100"/>
      <c r="P581" s="100"/>
      <c r="Q581" s="100"/>
      <c r="R581" s="100"/>
      <c r="S581" s="100"/>
      <c r="T581" s="100"/>
      <c r="U581" s="100"/>
      <c r="V581" s="100"/>
      <c r="W581" s="101"/>
    </row>
    <row r="582" spans="1:24" ht="18.75" customHeight="1">
      <c r="A582" s="274" t="s">
        <v>86</v>
      </c>
      <c r="B582" s="275"/>
      <c r="C582" s="275"/>
      <c r="D582" s="275"/>
      <c r="E582" s="275"/>
      <c r="F582" s="275"/>
      <c r="G582" s="84"/>
      <c r="H582" s="84"/>
      <c r="I582" s="84"/>
      <c r="J582" s="84"/>
      <c r="K582" s="92"/>
      <c r="M582" s="274" t="s">
        <v>86</v>
      </c>
      <c r="N582" s="275"/>
      <c r="O582" s="275"/>
      <c r="P582" s="275"/>
      <c r="Q582" s="275"/>
      <c r="R582" s="275"/>
      <c r="S582" s="84"/>
      <c r="T582" s="84"/>
      <c r="U582" s="84"/>
      <c r="V582" s="84"/>
      <c r="W582" s="92"/>
    </row>
    <row r="583" spans="1:24" ht="18.75" customHeight="1">
      <c r="A583" s="268" t="s">
        <v>87</v>
      </c>
      <c r="B583" s="269"/>
      <c r="C583" s="269"/>
      <c r="D583" s="269"/>
      <c r="E583" s="269"/>
      <c r="F583" s="269"/>
      <c r="G583" s="84" t="s">
        <v>49</v>
      </c>
      <c r="H583" s="276">
        <f>IF(($L$1-(C567+C568+C569+C570))&gt;12,0,F564*8%)</f>
        <v>0</v>
      </c>
      <c r="I583" s="276"/>
      <c r="J583" s="276"/>
      <c r="K583" s="92" t="s">
        <v>54</v>
      </c>
      <c r="M583" s="268" t="s">
        <v>87</v>
      </c>
      <c r="N583" s="269"/>
      <c r="O583" s="269"/>
      <c r="P583" s="269"/>
      <c r="Q583" s="269"/>
      <c r="R583" s="269"/>
      <c r="S583" s="84" t="s">
        <v>49</v>
      </c>
      <c r="T583" s="276">
        <f>IF(($L$1-(O567+O568+O569+O570))&gt;12,0,R564*8%)</f>
        <v>0</v>
      </c>
      <c r="U583" s="276"/>
      <c r="V583" s="276"/>
      <c r="W583" s="92" t="s">
        <v>54</v>
      </c>
    </row>
    <row r="584" spans="1:24" ht="18.75" customHeight="1">
      <c r="A584" s="268" t="s">
        <v>88</v>
      </c>
      <c r="B584" s="269"/>
      <c r="C584" s="269"/>
      <c r="D584" s="269"/>
      <c r="E584" s="269"/>
      <c r="F584" s="269"/>
      <c r="G584" s="84" t="s">
        <v>49</v>
      </c>
      <c r="H584" s="270">
        <f>IF(($L$1-(C567+C568+C569+C570))&gt;12,0,F564*1.5%)</f>
        <v>0</v>
      </c>
      <c r="I584" s="270"/>
      <c r="J584" s="270"/>
      <c r="K584" s="92" t="s">
        <v>54</v>
      </c>
      <c r="M584" s="268" t="s">
        <v>88</v>
      </c>
      <c r="N584" s="269"/>
      <c r="O584" s="269"/>
      <c r="P584" s="269"/>
      <c r="Q584" s="269"/>
      <c r="R584" s="269"/>
      <c r="S584" s="84" t="s">
        <v>49</v>
      </c>
      <c r="T584" s="270">
        <f>IF(($L$1-(O567+O568+O569+O570))&gt;12,0,R564*1.5%)</f>
        <v>0</v>
      </c>
      <c r="U584" s="270"/>
      <c r="V584" s="270"/>
      <c r="W584" s="92" t="s">
        <v>54</v>
      </c>
    </row>
    <row r="585" spans="1:24" ht="18.75" customHeight="1">
      <c r="A585" s="268" t="s">
        <v>89</v>
      </c>
      <c r="B585" s="269"/>
      <c r="C585" s="269"/>
      <c r="D585" s="269"/>
      <c r="E585" s="269"/>
      <c r="F585" s="269"/>
      <c r="G585" s="84" t="s">
        <v>49</v>
      </c>
      <c r="H585" s="270">
        <f>IF(($L$1-(C567+C568+C569+C570))&gt;12,0,F564*1%)</f>
        <v>0</v>
      </c>
      <c r="I585" s="270"/>
      <c r="J585" s="270"/>
      <c r="K585" s="92" t="s">
        <v>54</v>
      </c>
      <c r="M585" s="268" t="s">
        <v>89</v>
      </c>
      <c r="N585" s="269"/>
      <c r="O585" s="269"/>
      <c r="P585" s="269"/>
      <c r="Q585" s="269"/>
      <c r="R585" s="269"/>
      <c r="S585" s="84" t="s">
        <v>49</v>
      </c>
      <c r="T585" s="270">
        <f>IF(($L$1-(O567+O568+O569+O570))&gt;12,0,R564*1%)</f>
        <v>0</v>
      </c>
      <c r="U585" s="270"/>
      <c r="V585" s="270"/>
      <c r="W585" s="92" t="s">
        <v>54</v>
      </c>
    </row>
    <row r="586" spans="1:24" ht="18.75" customHeight="1">
      <c r="A586" s="268" t="s">
        <v>90</v>
      </c>
      <c r="B586" s="269"/>
      <c r="C586" s="269"/>
      <c r="D586" s="269"/>
      <c r="E586" s="269"/>
      <c r="F586" s="269"/>
      <c r="G586" s="84" t="s">
        <v>49</v>
      </c>
      <c r="H586" s="270">
        <v>0</v>
      </c>
      <c r="I586" s="270"/>
      <c r="J586" s="270"/>
      <c r="K586" s="92" t="s">
        <v>54</v>
      </c>
      <c r="M586" s="268" t="s">
        <v>90</v>
      </c>
      <c r="N586" s="269"/>
      <c r="O586" s="269"/>
      <c r="P586" s="269"/>
      <c r="Q586" s="269"/>
      <c r="R586" s="269"/>
      <c r="S586" s="84" t="s">
        <v>49</v>
      </c>
      <c r="T586" s="270">
        <v>0</v>
      </c>
      <c r="U586" s="270"/>
      <c r="V586" s="270"/>
      <c r="W586" s="92" t="s">
        <v>54</v>
      </c>
    </row>
    <row r="587" spans="1:24" ht="18.75" customHeight="1">
      <c r="A587" s="271" t="s">
        <v>91</v>
      </c>
      <c r="B587" s="272"/>
      <c r="C587" s="272"/>
      <c r="D587" s="272"/>
      <c r="E587" s="272"/>
      <c r="F587" s="272"/>
      <c r="G587" s="84" t="s">
        <v>49</v>
      </c>
      <c r="H587" s="273">
        <f>SUM(H583:J586)</f>
        <v>0</v>
      </c>
      <c r="I587" s="273"/>
      <c r="J587" s="273"/>
      <c r="K587" s="92" t="s">
        <v>54</v>
      </c>
      <c r="M587" s="271" t="s">
        <v>91</v>
      </c>
      <c r="N587" s="272"/>
      <c r="O587" s="272"/>
      <c r="P587" s="272"/>
      <c r="Q587" s="272"/>
      <c r="R587" s="272"/>
      <c r="S587" s="84" t="s">
        <v>49</v>
      </c>
      <c r="T587" s="273">
        <f>SUM(T583:V586)</f>
        <v>0</v>
      </c>
      <c r="U587" s="273"/>
      <c r="V587" s="273"/>
      <c r="W587" s="92" t="s">
        <v>54</v>
      </c>
    </row>
    <row r="588" spans="1:24" ht="18.75" customHeight="1">
      <c r="A588" s="268" t="s">
        <v>92</v>
      </c>
      <c r="B588" s="269"/>
      <c r="C588" s="269"/>
      <c r="D588" s="269"/>
      <c r="E588" s="269"/>
      <c r="F588" s="269"/>
      <c r="G588" s="84" t="s">
        <v>49</v>
      </c>
      <c r="H588" s="280">
        <f>ROUND(H580-H587,-2)</f>
        <v>0</v>
      </c>
      <c r="I588" s="280"/>
      <c r="J588" s="280"/>
      <c r="K588" s="92" t="s">
        <v>54</v>
      </c>
      <c r="M588" s="268" t="s">
        <v>92</v>
      </c>
      <c r="N588" s="269"/>
      <c r="O588" s="269"/>
      <c r="P588" s="269"/>
      <c r="Q588" s="269"/>
      <c r="R588" s="269"/>
      <c r="S588" s="84" t="s">
        <v>49</v>
      </c>
      <c r="T588" s="280">
        <f>ROUND(T580-T587,-2)</f>
        <v>0</v>
      </c>
      <c r="U588" s="280"/>
      <c r="V588" s="280"/>
      <c r="W588" s="92" t="s">
        <v>54</v>
      </c>
    </row>
    <row r="589" spans="1:24" ht="18.75" customHeight="1">
      <c r="A589" s="102"/>
      <c r="B589" s="103"/>
      <c r="C589" s="103"/>
      <c r="D589" s="103"/>
      <c r="E589" s="103"/>
      <c r="F589" s="103"/>
      <c r="G589" s="103"/>
      <c r="H589" s="103"/>
      <c r="I589" s="103"/>
      <c r="J589" s="103"/>
      <c r="K589" s="104"/>
      <c r="M589" s="102"/>
      <c r="N589" s="103"/>
      <c r="O589" s="103"/>
      <c r="P589" s="103"/>
      <c r="Q589" s="103"/>
      <c r="R589" s="103"/>
      <c r="S589" s="103"/>
      <c r="T589" s="103"/>
      <c r="U589" s="103"/>
      <c r="V589" s="103"/>
      <c r="W589" s="104"/>
    </row>
    <row r="590" spans="1:24" ht="18.75" customHeight="1">
      <c r="A590" s="105"/>
      <c r="B590" s="84"/>
      <c r="C590" s="84"/>
      <c r="D590" s="84"/>
      <c r="E590" s="84"/>
      <c r="F590" s="84"/>
      <c r="G590" s="84"/>
      <c r="H590" s="84"/>
      <c r="I590" s="277" t="s">
        <v>93</v>
      </c>
      <c r="J590" s="277"/>
      <c r="K590" s="281"/>
      <c r="M590" s="105"/>
      <c r="N590" s="84"/>
      <c r="O590" s="84"/>
      <c r="P590" s="84"/>
      <c r="Q590" s="84"/>
      <c r="R590" s="84"/>
      <c r="S590" s="84"/>
      <c r="T590" s="84"/>
      <c r="U590" s="277" t="s">
        <v>93</v>
      </c>
      <c r="V590" s="277"/>
      <c r="W590" s="281"/>
    </row>
    <row r="591" spans="1:24" ht="18.75" customHeight="1">
      <c r="A591" s="105"/>
      <c r="B591" s="277"/>
      <c r="C591" s="277"/>
      <c r="D591" s="277"/>
      <c r="E591" s="277"/>
      <c r="F591" s="84"/>
      <c r="G591" s="84"/>
      <c r="H591" s="84"/>
      <c r="I591" s="84"/>
      <c r="J591" s="84"/>
      <c r="K591" s="85"/>
      <c r="M591" s="105"/>
      <c r="N591" s="277"/>
      <c r="O591" s="277"/>
      <c r="P591" s="277"/>
      <c r="Q591" s="277"/>
      <c r="R591" s="84"/>
      <c r="S591" s="84"/>
      <c r="T591" s="84"/>
      <c r="U591" s="84"/>
      <c r="V591" s="84"/>
      <c r="W591" s="85"/>
    </row>
    <row r="592" spans="1:24" ht="18.75" customHeight="1" thickBot="1">
      <c r="A592" s="106"/>
      <c r="B592" s="107"/>
      <c r="C592" s="107"/>
      <c r="D592" s="107"/>
      <c r="E592" s="107"/>
      <c r="F592" s="107"/>
      <c r="G592" s="107"/>
      <c r="H592" s="107"/>
      <c r="I592" s="278" t="s">
        <v>94</v>
      </c>
      <c r="J592" s="278"/>
      <c r="K592" s="279"/>
      <c r="M592" s="106"/>
      <c r="N592" s="107"/>
      <c r="O592" s="107"/>
      <c r="P592" s="107"/>
      <c r="Q592" s="107"/>
      <c r="R592" s="107"/>
      <c r="S592" s="107"/>
      <c r="T592" s="107"/>
      <c r="U592" s="278" t="s">
        <v>94</v>
      </c>
      <c r="V592" s="278"/>
      <c r="W592" s="279"/>
    </row>
    <row r="594" spans="1:24" ht="18.75" customHeight="1" thickTop="1">
      <c r="A594" s="253" t="s">
        <v>43</v>
      </c>
      <c r="B594" s="254"/>
      <c r="C594" s="254"/>
      <c r="D594" s="254"/>
      <c r="E594" s="254"/>
      <c r="F594" s="254"/>
      <c r="G594" s="254"/>
      <c r="H594" s="254"/>
      <c r="I594" s="254"/>
      <c r="J594" s="254"/>
      <c r="K594" s="255"/>
      <c r="L594" s="80">
        <v>25</v>
      </c>
      <c r="M594" s="253" t="s">
        <v>43</v>
      </c>
      <c r="N594" s="254"/>
      <c r="O594" s="254"/>
      <c r="P594" s="254"/>
      <c r="Q594" s="254"/>
      <c r="R594" s="254"/>
      <c r="S594" s="254"/>
      <c r="T594" s="254"/>
      <c r="U594" s="254"/>
      <c r="V594" s="254"/>
      <c r="W594" s="255"/>
      <c r="X594" s="80">
        <v>25</v>
      </c>
    </row>
    <row r="595" spans="1:24" ht="18.75" customHeight="1">
      <c r="A595" s="81" t="s">
        <v>140</v>
      </c>
      <c r="B595" s="82"/>
      <c r="C595" s="82"/>
      <c r="D595" s="82"/>
      <c r="E595" s="82"/>
      <c r="F595" s="82"/>
      <c r="G595" s="82"/>
      <c r="H595" s="82"/>
      <c r="I595" s="82"/>
      <c r="J595" s="82"/>
      <c r="K595" s="83"/>
      <c r="M595" s="81" t="s">
        <v>141</v>
      </c>
      <c r="N595" s="82"/>
      <c r="O595" s="82"/>
      <c r="P595" s="82"/>
      <c r="Q595" s="82"/>
      <c r="R595" s="82"/>
      <c r="S595" s="82"/>
      <c r="T595" s="82"/>
      <c r="U595" s="82"/>
      <c r="V595" s="82"/>
      <c r="W595" s="83"/>
    </row>
    <row r="596" spans="1:24" ht="18.75" customHeight="1">
      <c r="A596" s="256" t="s">
        <v>47</v>
      </c>
      <c r="B596" s="257"/>
      <c r="C596" s="257"/>
      <c r="D596" s="257"/>
      <c r="E596" s="257"/>
      <c r="F596" s="257"/>
      <c r="G596" s="257"/>
      <c r="H596" s="257"/>
      <c r="I596" s="257"/>
      <c r="J596" s="257"/>
      <c r="K596" s="258"/>
      <c r="M596" s="256" t="s">
        <v>47</v>
      </c>
      <c r="N596" s="257"/>
      <c r="O596" s="257"/>
      <c r="P596" s="257"/>
      <c r="Q596" s="257"/>
      <c r="R596" s="257"/>
      <c r="S596" s="257"/>
      <c r="T596" s="257"/>
      <c r="U596" s="257"/>
      <c r="V596" s="257"/>
      <c r="W596" s="258"/>
    </row>
    <row r="597" spans="1:24" ht="18.75" customHeight="1">
      <c r="A597" s="248" t="s">
        <v>48</v>
      </c>
      <c r="B597" s="249"/>
      <c r="C597" s="249"/>
      <c r="D597" s="249"/>
      <c r="E597" s="84" t="s">
        <v>49</v>
      </c>
      <c r="F597" s="250">
        <f>'[1]Bang TH nop'!B67</f>
        <v>0</v>
      </c>
      <c r="G597" s="249"/>
      <c r="H597" s="249"/>
      <c r="I597" s="249"/>
      <c r="J597" s="249"/>
      <c r="K597" s="252"/>
      <c r="M597" s="248" t="s">
        <v>48</v>
      </c>
      <c r="N597" s="249"/>
      <c r="O597" s="249"/>
      <c r="P597" s="249"/>
      <c r="Q597" s="84" t="s">
        <v>49</v>
      </c>
      <c r="R597" s="250">
        <f>'[1]Bang TH nop'!B69</f>
        <v>0</v>
      </c>
      <c r="S597" s="249"/>
      <c r="T597" s="249"/>
      <c r="U597" s="249"/>
      <c r="V597" s="249"/>
      <c r="W597" s="252"/>
    </row>
    <row r="598" spans="1:24" ht="18.75" customHeight="1">
      <c r="A598" s="248" t="s">
        <v>50</v>
      </c>
      <c r="B598" s="249"/>
      <c r="C598" s="249"/>
      <c r="D598" s="249"/>
      <c r="E598" s="84" t="s">
        <v>49</v>
      </c>
      <c r="F598" s="250">
        <f>'[1]Bang TH nop'!C67</f>
        <v>0</v>
      </c>
      <c r="G598" s="250"/>
      <c r="H598" s="250"/>
      <c r="I598" s="250"/>
      <c r="J598" s="250"/>
      <c r="K598" s="251"/>
      <c r="M598" s="248" t="s">
        <v>50</v>
      </c>
      <c r="N598" s="249"/>
      <c r="O598" s="249"/>
      <c r="P598" s="249"/>
      <c r="Q598" s="84" t="s">
        <v>49</v>
      </c>
      <c r="R598" s="250">
        <f>'[1]Bang TH nop'!C69</f>
        <v>0</v>
      </c>
      <c r="S598" s="250"/>
      <c r="T598" s="250"/>
      <c r="U598" s="250"/>
      <c r="V598" s="250"/>
      <c r="W598" s="251"/>
    </row>
    <row r="599" spans="1:24" ht="18.75" customHeight="1">
      <c r="A599" s="248" t="s">
        <v>51</v>
      </c>
      <c r="B599" s="249"/>
      <c r="C599" s="249"/>
      <c r="D599" s="249"/>
      <c r="E599" s="84" t="s">
        <v>49</v>
      </c>
      <c r="F599" s="249" t="s">
        <v>121</v>
      </c>
      <c r="G599" s="249"/>
      <c r="H599" s="249"/>
      <c r="I599" s="249"/>
      <c r="J599" s="249"/>
      <c r="K599" s="252"/>
      <c r="M599" s="248" t="s">
        <v>51</v>
      </c>
      <c r="N599" s="249"/>
      <c r="O599" s="249"/>
      <c r="P599" s="249"/>
      <c r="Q599" s="84" t="s">
        <v>49</v>
      </c>
      <c r="R599" s="249" t="s">
        <v>121</v>
      </c>
      <c r="S599" s="249"/>
      <c r="T599" s="249"/>
      <c r="U599" s="249"/>
      <c r="V599" s="249"/>
      <c r="W599" s="252"/>
    </row>
    <row r="600" spans="1:24" ht="18.75" customHeight="1">
      <c r="A600" s="256" t="s">
        <v>52</v>
      </c>
      <c r="B600" s="257"/>
      <c r="C600" s="257"/>
      <c r="D600" s="257"/>
      <c r="E600" s="257"/>
      <c r="F600" s="257"/>
      <c r="G600" s="257"/>
      <c r="H600" s="257"/>
      <c r="I600" s="257"/>
      <c r="J600" s="257"/>
      <c r="K600" s="258"/>
      <c r="M600" s="256" t="s">
        <v>52</v>
      </c>
      <c r="N600" s="257"/>
      <c r="O600" s="257"/>
      <c r="P600" s="257"/>
      <c r="Q600" s="257"/>
      <c r="R600" s="257"/>
      <c r="S600" s="257"/>
      <c r="T600" s="257"/>
      <c r="U600" s="257"/>
      <c r="V600" s="257"/>
      <c r="W600" s="258"/>
    </row>
    <row r="601" spans="1:24" ht="18.75" customHeight="1">
      <c r="A601" s="248" t="s">
        <v>53</v>
      </c>
      <c r="B601" s="249"/>
      <c r="C601" s="249"/>
      <c r="D601" s="249"/>
      <c r="E601" s="84" t="s">
        <v>49</v>
      </c>
      <c r="F601" s="263">
        <v>2915400</v>
      </c>
      <c r="G601" s="263"/>
      <c r="H601" s="263"/>
      <c r="I601" s="263"/>
      <c r="J601" s="84" t="s">
        <v>54</v>
      </c>
      <c r="K601" s="85"/>
      <c r="M601" s="248" t="s">
        <v>53</v>
      </c>
      <c r="N601" s="249"/>
      <c r="O601" s="249"/>
      <c r="P601" s="249"/>
      <c r="Q601" s="84" t="s">
        <v>49</v>
      </c>
      <c r="R601" s="263">
        <v>2915400</v>
      </c>
      <c r="S601" s="263"/>
      <c r="T601" s="263"/>
      <c r="U601" s="263"/>
      <c r="V601" s="84" t="s">
        <v>54</v>
      </c>
      <c r="W601" s="85"/>
    </row>
    <row r="602" spans="1:24" ht="18.75" customHeight="1">
      <c r="A602" s="86" t="s">
        <v>55</v>
      </c>
      <c r="B602" s="84"/>
      <c r="C602" s="87"/>
      <c r="D602" s="88"/>
      <c r="E602" s="89"/>
      <c r="F602" s="89"/>
      <c r="G602" s="89"/>
      <c r="H602" s="84"/>
      <c r="I602" s="90">
        <f>'[1]LUONG T7'!F75</f>
        <v>0</v>
      </c>
      <c r="J602" s="91"/>
      <c r="K602" s="92"/>
      <c r="M602" s="86" t="s">
        <v>55</v>
      </c>
      <c r="N602" s="84"/>
      <c r="O602" s="87"/>
      <c r="P602" s="88"/>
      <c r="Q602" s="89"/>
      <c r="R602" s="89"/>
      <c r="S602" s="89"/>
      <c r="T602" s="84"/>
      <c r="U602" s="90">
        <f>'[1]LUONG T7'!F77</f>
        <v>0</v>
      </c>
      <c r="V602" s="91"/>
      <c r="W602" s="92"/>
    </row>
    <row r="603" spans="1:24" ht="18.75" customHeight="1">
      <c r="A603" s="86" t="s">
        <v>56</v>
      </c>
      <c r="B603" s="84"/>
      <c r="C603" s="87"/>
      <c r="D603" s="88"/>
      <c r="E603" s="89"/>
      <c r="F603" s="89"/>
      <c r="G603" s="89"/>
      <c r="H603" s="84"/>
      <c r="I603" s="90" t="e">
        <f>I604/C604/8</f>
        <v>#DIV/0!</v>
      </c>
      <c r="J603" s="91"/>
      <c r="K603" s="92"/>
      <c r="M603" s="86" t="s">
        <v>56</v>
      </c>
      <c r="N603" s="84"/>
      <c r="O603" s="87"/>
      <c r="P603" s="88"/>
      <c r="Q603" s="89"/>
      <c r="R603" s="89"/>
      <c r="S603" s="89"/>
      <c r="T603" s="84"/>
      <c r="U603" s="90" t="e">
        <f>U604/O604/8</f>
        <v>#DIV/0!</v>
      </c>
      <c r="V603" s="91"/>
      <c r="W603" s="92"/>
    </row>
    <row r="604" spans="1:24" ht="18.75" customHeight="1">
      <c r="A604" s="86" t="s">
        <v>57</v>
      </c>
      <c r="B604" s="84" t="s">
        <v>49</v>
      </c>
      <c r="C604" s="87">
        <f>'[1]LUONG T7'!I74</f>
        <v>0</v>
      </c>
      <c r="D604" s="88" t="s">
        <v>58</v>
      </c>
      <c r="E604" s="261" t="s">
        <v>59</v>
      </c>
      <c r="F604" s="261"/>
      <c r="G604" s="261"/>
      <c r="H604" s="84" t="s">
        <v>49</v>
      </c>
      <c r="I604" s="262">
        <f>'[1]LUONG T7'!I75</f>
        <v>0</v>
      </c>
      <c r="J604" s="262"/>
      <c r="K604" s="92" t="s">
        <v>54</v>
      </c>
      <c r="L604" s="93">
        <f>F601/L594*C604</f>
        <v>0</v>
      </c>
      <c r="M604" s="86" t="s">
        <v>57</v>
      </c>
      <c r="N604" s="84" t="s">
        <v>49</v>
      </c>
      <c r="O604" s="87">
        <f>'[1]LUONG T7'!I76</f>
        <v>0</v>
      </c>
      <c r="P604" s="88" t="s">
        <v>58</v>
      </c>
      <c r="Q604" s="261" t="s">
        <v>59</v>
      </c>
      <c r="R604" s="261"/>
      <c r="S604" s="261"/>
      <c r="T604" s="84" t="s">
        <v>49</v>
      </c>
      <c r="U604" s="262">
        <f>'[1]LUONG T7'!I77</f>
        <v>0</v>
      </c>
      <c r="V604" s="262"/>
      <c r="W604" s="92" t="s">
        <v>54</v>
      </c>
      <c r="X604" s="93">
        <f>R601/X594*O604</f>
        <v>0</v>
      </c>
    </row>
    <row r="605" spans="1:24" ht="18.75" customHeight="1">
      <c r="A605" s="86" t="s">
        <v>60</v>
      </c>
      <c r="B605" s="84" t="s">
        <v>49</v>
      </c>
      <c r="C605" s="87">
        <f>'[1]LUONG T7'!J74</f>
        <v>0</v>
      </c>
      <c r="D605" s="88" t="s">
        <v>58</v>
      </c>
      <c r="E605" s="249" t="s">
        <v>61</v>
      </c>
      <c r="F605" s="249"/>
      <c r="G605" s="249"/>
      <c r="H605" s="84" t="s">
        <v>49</v>
      </c>
      <c r="I605" s="260">
        <f>$F$8/$L$1*C605</f>
        <v>0</v>
      </c>
      <c r="J605" s="260"/>
      <c r="K605" s="92" t="s">
        <v>54</v>
      </c>
      <c r="L605" s="93"/>
      <c r="M605" s="86" t="s">
        <v>60</v>
      </c>
      <c r="N605" s="84" t="s">
        <v>49</v>
      </c>
      <c r="O605" s="87">
        <f>'[1]LUONG T7'!J76</f>
        <v>0</v>
      </c>
      <c r="P605" s="88" t="s">
        <v>58</v>
      </c>
      <c r="Q605" s="249" t="s">
        <v>61</v>
      </c>
      <c r="R605" s="249"/>
      <c r="S605" s="249"/>
      <c r="T605" s="84" t="s">
        <v>49</v>
      </c>
      <c r="U605" s="260">
        <f>$F$8/$L$1*O605</f>
        <v>0</v>
      </c>
      <c r="V605" s="260"/>
      <c r="W605" s="92" t="s">
        <v>54</v>
      </c>
      <c r="X605" s="93"/>
    </row>
    <row r="606" spans="1:24" ht="18.75" customHeight="1">
      <c r="A606" s="86" t="s">
        <v>62</v>
      </c>
      <c r="B606" s="84" t="s">
        <v>49</v>
      </c>
      <c r="C606" s="87">
        <f>'[1]LUONG T7'!K74</f>
        <v>0</v>
      </c>
      <c r="D606" s="88" t="s">
        <v>58</v>
      </c>
      <c r="E606" s="259" t="s">
        <v>63</v>
      </c>
      <c r="F606" s="259"/>
      <c r="G606" s="259"/>
      <c r="H606" s="84" t="s">
        <v>49</v>
      </c>
      <c r="I606" s="260">
        <f>$F$8/$L$1*C606</f>
        <v>0</v>
      </c>
      <c r="J606" s="260"/>
      <c r="K606" s="92" t="s">
        <v>54</v>
      </c>
      <c r="L606" s="93"/>
      <c r="M606" s="86" t="s">
        <v>62</v>
      </c>
      <c r="N606" s="84" t="s">
        <v>49</v>
      </c>
      <c r="O606" s="87">
        <f>'[1]LUONG T7'!K76</f>
        <v>0</v>
      </c>
      <c r="P606" s="88" t="s">
        <v>58</v>
      </c>
      <c r="Q606" s="259" t="s">
        <v>63</v>
      </c>
      <c r="R606" s="259"/>
      <c r="S606" s="259"/>
      <c r="T606" s="84" t="s">
        <v>49</v>
      </c>
      <c r="U606" s="260">
        <f>$F$8/$L$1*O606</f>
        <v>0</v>
      </c>
      <c r="V606" s="260"/>
      <c r="W606" s="92" t="s">
        <v>54</v>
      </c>
      <c r="X606" s="93"/>
    </row>
    <row r="607" spans="1:24" ht="18.75" customHeight="1">
      <c r="A607" s="86" t="s">
        <v>64</v>
      </c>
      <c r="B607" s="84" t="s">
        <v>49</v>
      </c>
      <c r="C607" s="87">
        <f>'[1]LUONG T7'!L74</f>
        <v>0</v>
      </c>
      <c r="D607" s="88" t="s">
        <v>58</v>
      </c>
      <c r="E607" s="259" t="s">
        <v>65</v>
      </c>
      <c r="F607" s="259"/>
      <c r="G607" s="259"/>
      <c r="H607" s="84" t="s">
        <v>49</v>
      </c>
      <c r="I607" s="260">
        <f>$F$8/$L$1*C607</f>
        <v>0</v>
      </c>
      <c r="J607" s="260"/>
      <c r="K607" s="92" t="s">
        <v>54</v>
      </c>
      <c r="L607" s="93"/>
      <c r="M607" s="86" t="s">
        <v>64</v>
      </c>
      <c r="N607" s="84" t="s">
        <v>49</v>
      </c>
      <c r="O607" s="87">
        <f>'[1]LUONG T7'!L76</f>
        <v>0</v>
      </c>
      <c r="P607" s="88" t="s">
        <v>58</v>
      </c>
      <c r="Q607" s="259" t="s">
        <v>65</v>
      </c>
      <c r="R607" s="259"/>
      <c r="S607" s="259"/>
      <c r="T607" s="84" t="s">
        <v>49</v>
      </c>
      <c r="U607" s="260">
        <f>$F$8/$L$1*O607</f>
        <v>0</v>
      </c>
      <c r="V607" s="260"/>
      <c r="W607" s="92" t="s">
        <v>54</v>
      </c>
      <c r="X607" s="93"/>
    </row>
    <row r="608" spans="1:24" ht="18.75" customHeight="1">
      <c r="A608" s="86" t="s">
        <v>66</v>
      </c>
      <c r="B608" s="84" t="s">
        <v>49</v>
      </c>
      <c r="C608" s="87">
        <f>'[1]LUONG T7'!Q74</f>
        <v>0</v>
      </c>
      <c r="D608" s="88" t="s">
        <v>67</v>
      </c>
      <c r="E608" s="249" t="s">
        <v>68</v>
      </c>
      <c r="F608" s="249"/>
      <c r="G608" s="249"/>
      <c r="H608" s="84" t="s">
        <v>49</v>
      </c>
      <c r="I608" s="260">
        <f>'[1]LUONG T7'!Q75</f>
        <v>0</v>
      </c>
      <c r="J608" s="260"/>
      <c r="K608" s="92" t="s">
        <v>54</v>
      </c>
      <c r="L608" s="93">
        <f>F601*C608/L594/8*1.5</f>
        <v>0</v>
      </c>
      <c r="M608" s="86" t="s">
        <v>66</v>
      </c>
      <c r="N608" s="84" t="s">
        <v>49</v>
      </c>
      <c r="O608" s="87">
        <f>'[1]LUONG T7'!Q76</f>
        <v>0</v>
      </c>
      <c r="P608" s="88" t="s">
        <v>67</v>
      </c>
      <c r="Q608" s="249" t="s">
        <v>68</v>
      </c>
      <c r="R608" s="249"/>
      <c r="S608" s="249"/>
      <c r="T608" s="84" t="s">
        <v>49</v>
      </c>
      <c r="U608" s="260">
        <f>'[1]LUONG T7'!Q77</f>
        <v>0</v>
      </c>
      <c r="V608" s="260"/>
      <c r="W608" s="92" t="s">
        <v>54</v>
      </c>
      <c r="X608" s="93">
        <f>R601*O608/X594/8*1.5</f>
        <v>0</v>
      </c>
    </row>
    <row r="609" spans="1:24" ht="18.75" customHeight="1">
      <c r="A609" s="248" t="s">
        <v>69</v>
      </c>
      <c r="B609" s="249"/>
      <c r="C609" s="87"/>
      <c r="D609" s="88" t="s">
        <v>58</v>
      </c>
      <c r="E609" s="249" t="s">
        <v>70</v>
      </c>
      <c r="F609" s="249"/>
      <c r="G609" s="249"/>
      <c r="H609" s="94" t="s">
        <v>49</v>
      </c>
      <c r="I609" s="260"/>
      <c r="J609" s="260"/>
      <c r="K609" s="92" t="s">
        <v>54</v>
      </c>
      <c r="L609" s="93"/>
      <c r="M609" s="248" t="s">
        <v>69</v>
      </c>
      <c r="N609" s="249"/>
      <c r="O609" s="87"/>
      <c r="P609" s="88" t="s">
        <v>58</v>
      </c>
      <c r="Q609" s="249" t="s">
        <v>70</v>
      </c>
      <c r="R609" s="249"/>
      <c r="S609" s="249"/>
      <c r="T609" s="94" t="s">
        <v>49</v>
      </c>
      <c r="U609" s="260"/>
      <c r="V609" s="260"/>
      <c r="W609" s="92" t="s">
        <v>54</v>
      </c>
      <c r="X609" s="93"/>
    </row>
    <row r="610" spans="1:24" ht="18.75" customHeight="1">
      <c r="A610" s="86" t="s">
        <v>71</v>
      </c>
      <c r="B610" s="84" t="s">
        <v>49</v>
      </c>
      <c r="C610" s="87"/>
      <c r="D610" s="88" t="s">
        <v>58</v>
      </c>
      <c r="E610" s="249" t="s">
        <v>72</v>
      </c>
      <c r="F610" s="249"/>
      <c r="G610" s="249"/>
      <c r="H610" s="84" t="s">
        <v>49</v>
      </c>
      <c r="I610" s="260"/>
      <c r="J610" s="260"/>
      <c r="K610" s="92" t="s">
        <v>54</v>
      </c>
      <c r="L610" s="93"/>
      <c r="M610" s="86" t="s">
        <v>71</v>
      </c>
      <c r="N610" s="84" t="s">
        <v>49</v>
      </c>
      <c r="O610" s="87"/>
      <c r="P610" s="88" t="s">
        <v>58</v>
      </c>
      <c r="Q610" s="249" t="s">
        <v>72</v>
      </c>
      <c r="R610" s="249"/>
      <c r="S610" s="249"/>
      <c r="T610" s="84" t="s">
        <v>49</v>
      </c>
      <c r="U610" s="260"/>
      <c r="V610" s="260"/>
      <c r="W610" s="92" t="s">
        <v>54</v>
      </c>
      <c r="X610" s="93"/>
    </row>
    <row r="611" spans="1:24" ht="18.75" customHeight="1">
      <c r="A611" s="95" t="s">
        <v>73</v>
      </c>
      <c r="B611" s="84"/>
      <c r="C611" s="87">
        <f>'[1]LUONG T7'!M74</f>
        <v>0</v>
      </c>
      <c r="D611" s="88" t="s">
        <v>67</v>
      </c>
      <c r="E611" s="249" t="s">
        <v>74</v>
      </c>
      <c r="F611" s="249"/>
      <c r="G611" s="249"/>
      <c r="H611" s="84" t="s">
        <v>49</v>
      </c>
      <c r="I611" s="260">
        <f>$F$8*C611/8/$L$1</f>
        <v>0</v>
      </c>
      <c r="J611" s="260"/>
      <c r="K611" s="92" t="s">
        <v>54</v>
      </c>
      <c r="L611" s="93"/>
      <c r="M611" s="95" t="s">
        <v>73</v>
      </c>
      <c r="N611" s="84"/>
      <c r="O611" s="87">
        <f>'[1]LUONG T7'!M76</f>
        <v>0</v>
      </c>
      <c r="P611" s="88" t="s">
        <v>67</v>
      </c>
      <c r="Q611" s="249" t="s">
        <v>74</v>
      </c>
      <c r="R611" s="249"/>
      <c r="S611" s="249"/>
      <c r="T611" s="84" t="s">
        <v>49</v>
      </c>
      <c r="U611" s="260">
        <f>$F$8*O611/8/$L$1</f>
        <v>0</v>
      </c>
      <c r="V611" s="260"/>
      <c r="W611" s="92" t="s">
        <v>54</v>
      </c>
      <c r="X611" s="93"/>
    </row>
    <row r="612" spans="1:24" ht="18.75" customHeight="1">
      <c r="A612" s="86" t="s">
        <v>75</v>
      </c>
      <c r="B612" s="84" t="s">
        <v>49</v>
      </c>
      <c r="C612" s="87"/>
      <c r="D612" s="88" t="s">
        <v>67</v>
      </c>
      <c r="E612" s="249" t="s">
        <v>97</v>
      </c>
      <c r="F612" s="249"/>
      <c r="G612" s="249"/>
      <c r="H612" s="84" t="s">
        <v>49</v>
      </c>
      <c r="I612" s="262"/>
      <c r="J612" s="262"/>
      <c r="K612" s="92" t="s">
        <v>54</v>
      </c>
      <c r="L612" s="93"/>
      <c r="M612" s="86" t="s">
        <v>75</v>
      </c>
      <c r="N612" s="84" t="s">
        <v>49</v>
      </c>
      <c r="O612" s="87"/>
      <c r="P612" s="88" t="s">
        <v>67</v>
      </c>
      <c r="Q612" s="249" t="s">
        <v>97</v>
      </c>
      <c r="R612" s="249"/>
      <c r="S612" s="249"/>
      <c r="T612" s="84" t="s">
        <v>49</v>
      </c>
      <c r="U612" s="262"/>
      <c r="V612" s="262"/>
      <c r="W612" s="92" t="s">
        <v>54</v>
      </c>
      <c r="X612" s="93"/>
    </row>
    <row r="613" spans="1:24" ht="18.75" customHeight="1">
      <c r="A613" s="86" t="s">
        <v>77</v>
      </c>
      <c r="B613" s="84" t="s">
        <v>49</v>
      </c>
      <c r="C613" s="87"/>
      <c r="D613" s="88" t="s">
        <v>78</v>
      </c>
      <c r="E613" s="96" t="s">
        <v>79</v>
      </c>
      <c r="F613" s="96"/>
      <c r="G613" s="96"/>
      <c r="H613" s="84" t="s">
        <v>49</v>
      </c>
      <c r="I613" s="260"/>
      <c r="J613" s="260"/>
      <c r="K613" s="92" t="s">
        <v>54</v>
      </c>
      <c r="L613" s="93">
        <f>+IF(L604-I604&lt;0,0,L604-I604)+IF(L608-I608&lt;0,0,L608-I608)</f>
        <v>0</v>
      </c>
      <c r="M613" s="86" t="s">
        <v>77</v>
      </c>
      <c r="N613" s="84" t="s">
        <v>49</v>
      </c>
      <c r="O613" s="87"/>
      <c r="P613" s="88" t="s">
        <v>78</v>
      </c>
      <c r="Q613" s="96" t="s">
        <v>79</v>
      </c>
      <c r="R613" s="96"/>
      <c r="S613" s="96"/>
      <c r="T613" s="84" t="s">
        <v>49</v>
      </c>
      <c r="U613" s="260"/>
      <c r="V613" s="260"/>
      <c r="W613" s="92" t="s">
        <v>54</v>
      </c>
      <c r="X613" s="93">
        <f>+IF(X604-U604&lt;0,0,X604-U604)+IF(X608-U608&lt;0,0,X608-U608)</f>
        <v>0</v>
      </c>
    </row>
    <row r="614" spans="1:24" ht="18.75" customHeight="1">
      <c r="A614" s="97" t="s">
        <v>122</v>
      </c>
      <c r="B614" s="98"/>
      <c r="C614" s="87"/>
      <c r="D614" s="88" t="s">
        <v>58</v>
      </c>
      <c r="E614" s="249" t="s">
        <v>123</v>
      </c>
      <c r="F614" s="249"/>
      <c r="G614" s="249"/>
      <c r="H614" s="84" t="s">
        <v>49</v>
      </c>
      <c r="I614" s="260"/>
      <c r="J614" s="260"/>
      <c r="K614" s="92" t="s">
        <v>54</v>
      </c>
      <c r="L614" s="93"/>
      <c r="M614" s="97" t="s">
        <v>122</v>
      </c>
      <c r="N614" s="98"/>
      <c r="O614" s="87"/>
      <c r="P614" s="88" t="s">
        <v>58</v>
      </c>
      <c r="Q614" s="249" t="s">
        <v>123</v>
      </c>
      <c r="R614" s="249"/>
      <c r="S614" s="249"/>
      <c r="T614" s="84" t="s">
        <v>49</v>
      </c>
      <c r="U614" s="260"/>
      <c r="V614" s="260"/>
      <c r="W614" s="92" t="s">
        <v>54</v>
      </c>
      <c r="X614" s="93"/>
    </row>
    <row r="615" spans="1:24" ht="18.75" customHeight="1">
      <c r="A615" s="267" t="s">
        <v>82</v>
      </c>
      <c r="B615" s="261"/>
      <c r="C615" s="87"/>
      <c r="D615" s="88"/>
      <c r="E615" s="89"/>
      <c r="F615" s="89"/>
      <c r="G615" s="89"/>
      <c r="H615" s="84" t="s">
        <v>49</v>
      </c>
      <c r="I615" s="260">
        <f>'[1]LUONG T7'!P75</f>
        <v>0</v>
      </c>
      <c r="J615" s="260"/>
      <c r="K615" s="92" t="s">
        <v>54</v>
      </c>
      <c r="L615" s="93"/>
      <c r="M615" s="267" t="s">
        <v>82</v>
      </c>
      <c r="N615" s="261"/>
      <c r="O615" s="87"/>
      <c r="P615" s="88"/>
      <c r="Q615" s="89"/>
      <c r="R615" s="89"/>
      <c r="S615" s="89"/>
      <c r="T615" s="84" t="s">
        <v>49</v>
      </c>
      <c r="U615" s="260">
        <f>'[1]LUONG T7'!P77</f>
        <v>0</v>
      </c>
      <c r="V615" s="260"/>
      <c r="W615" s="92" t="s">
        <v>54</v>
      </c>
      <c r="X615" s="93"/>
    </row>
    <row r="616" spans="1:24" ht="18.75" customHeight="1">
      <c r="A616" s="86" t="s">
        <v>83</v>
      </c>
      <c r="B616" s="84" t="s">
        <v>49</v>
      </c>
      <c r="C616" s="87"/>
      <c r="D616" s="88"/>
      <c r="E616" s="89" t="s">
        <v>84</v>
      </c>
      <c r="F616" s="89"/>
      <c r="G616" s="89"/>
      <c r="H616" s="84" t="s">
        <v>49</v>
      </c>
      <c r="I616" s="260">
        <f>L613</f>
        <v>0</v>
      </c>
      <c r="J616" s="260"/>
      <c r="K616" s="92" t="s">
        <v>54</v>
      </c>
      <c r="L616" s="93"/>
      <c r="M616" s="86" t="s">
        <v>83</v>
      </c>
      <c r="N616" s="84" t="s">
        <v>49</v>
      </c>
      <c r="O616" s="87"/>
      <c r="P616" s="88"/>
      <c r="Q616" s="89" t="s">
        <v>84</v>
      </c>
      <c r="R616" s="89"/>
      <c r="S616" s="89"/>
      <c r="T616" s="84" t="s">
        <v>49</v>
      </c>
      <c r="U616" s="260">
        <f>X613</f>
        <v>0</v>
      </c>
      <c r="V616" s="260"/>
      <c r="W616" s="92" t="s">
        <v>54</v>
      </c>
      <c r="X616" s="93"/>
    </row>
    <row r="617" spans="1:24" ht="18.75" customHeight="1">
      <c r="A617" s="264" t="s">
        <v>85</v>
      </c>
      <c r="B617" s="265"/>
      <c r="C617" s="265"/>
      <c r="D617" s="265"/>
      <c r="E617" s="265"/>
      <c r="F617" s="265"/>
      <c r="G617" s="84" t="s">
        <v>49</v>
      </c>
      <c r="H617" s="266">
        <f>I604+I605+I606+I607+I608+I611+I615+I616</f>
        <v>0</v>
      </c>
      <c r="I617" s="266"/>
      <c r="J617" s="266"/>
      <c r="K617" s="92" t="s">
        <v>54</v>
      </c>
      <c r="M617" s="264" t="s">
        <v>85</v>
      </c>
      <c r="N617" s="265"/>
      <c r="O617" s="265"/>
      <c r="P617" s="265"/>
      <c r="Q617" s="265"/>
      <c r="R617" s="265"/>
      <c r="S617" s="84" t="s">
        <v>49</v>
      </c>
      <c r="T617" s="266">
        <f>U604+U605+U606+U607+U608+U611+U615+U616</f>
        <v>0</v>
      </c>
      <c r="U617" s="266"/>
      <c r="V617" s="266"/>
      <c r="W617" s="92" t="s">
        <v>54</v>
      </c>
    </row>
    <row r="618" spans="1:24" ht="18.75" customHeight="1">
      <c r="A618" s="99"/>
      <c r="B618" s="100"/>
      <c r="C618" s="100"/>
      <c r="D618" s="100"/>
      <c r="E618" s="100"/>
      <c r="F618" s="100"/>
      <c r="G618" s="100"/>
      <c r="H618" s="100"/>
      <c r="I618" s="100"/>
      <c r="J618" s="100"/>
      <c r="K618" s="101"/>
      <c r="M618" s="99"/>
      <c r="N618" s="100"/>
      <c r="O618" s="100"/>
      <c r="P618" s="100"/>
      <c r="Q618" s="100"/>
      <c r="R618" s="100"/>
      <c r="S618" s="100"/>
      <c r="T618" s="100"/>
      <c r="U618" s="100"/>
      <c r="V618" s="100"/>
      <c r="W618" s="101"/>
    </row>
    <row r="619" spans="1:24" ht="18.75" customHeight="1">
      <c r="A619" s="274" t="s">
        <v>86</v>
      </c>
      <c r="B619" s="275"/>
      <c r="C619" s="275"/>
      <c r="D619" s="275"/>
      <c r="E619" s="275"/>
      <c r="F619" s="275"/>
      <c r="G619" s="84"/>
      <c r="H619" s="84"/>
      <c r="I619" s="84"/>
      <c r="J619" s="84"/>
      <c r="K619" s="92"/>
      <c r="M619" s="274" t="s">
        <v>86</v>
      </c>
      <c r="N619" s="275"/>
      <c r="O619" s="275"/>
      <c r="P619" s="275"/>
      <c r="Q619" s="275"/>
      <c r="R619" s="275"/>
      <c r="S619" s="84"/>
      <c r="T619" s="84"/>
      <c r="U619" s="84"/>
      <c r="V619" s="84"/>
      <c r="W619" s="92"/>
    </row>
    <row r="620" spans="1:24" ht="18.75" customHeight="1">
      <c r="A620" s="268" t="s">
        <v>87</v>
      </c>
      <c r="B620" s="269"/>
      <c r="C620" s="269"/>
      <c r="D620" s="269"/>
      <c r="E620" s="269"/>
      <c r="F620" s="269"/>
      <c r="G620" s="84" t="s">
        <v>49</v>
      </c>
      <c r="H620" s="276">
        <f>IF(($L$1-(C604+C605+C606+C607))&gt;12,0,F601*8%)</f>
        <v>0</v>
      </c>
      <c r="I620" s="276"/>
      <c r="J620" s="276"/>
      <c r="K620" s="92" t="s">
        <v>54</v>
      </c>
      <c r="M620" s="268" t="s">
        <v>87</v>
      </c>
      <c r="N620" s="269"/>
      <c r="O620" s="269"/>
      <c r="P620" s="269"/>
      <c r="Q620" s="269"/>
      <c r="R620" s="269"/>
      <c r="S620" s="84" t="s">
        <v>49</v>
      </c>
      <c r="T620" s="276">
        <f>IF(($L$1-(O604+O605+O606+O607))&gt;12,0,R601*8%)</f>
        <v>0</v>
      </c>
      <c r="U620" s="276"/>
      <c r="V620" s="276"/>
      <c r="W620" s="92" t="s">
        <v>54</v>
      </c>
    </row>
    <row r="621" spans="1:24" ht="18.75" customHeight="1">
      <c r="A621" s="268" t="s">
        <v>88</v>
      </c>
      <c r="B621" s="269"/>
      <c r="C621" s="269"/>
      <c r="D621" s="269"/>
      <c r="E621" s="269"/>
      <c r="F621" s="269"/>
      <c r="G621" s="84" t="s">
        <v>49</v>
      </c>
      <c r="H621" s="270">
        <f>IF(($L$1-(C604+C605+C606+C607))&gt;12,0,F601*1.5%)</f>
        <v>0</v>
      </c>
      <c r="I621" s="270"/>
      <c r="J621" s="270"/>
      <c r="K621" s="92" t="s">
        <v>54</v>
      </c>
      <c r="M621" s="268" t="s">
        <v>88</v>
      </c>
      <c r="N621" s="269"/>
      <c r="O621" s="269"/>
      <c r="P621" s="269"/>
      <c r="Q621" s="269"/>
      <c r="R621" s="269"/>
      <c r="S621" s="84" t="s">
        <v>49</v>
      </c>
      <c r="T621" s="270">
        <f>IF(($L$1-(O604+O605+O606+O607))&gt;12,0,R601*1.5%)</f>
        <v>0</v>
      </c>
      <c r="U621" s="270"/>
      <c r="V621" s="270"/>
      <c r="W621" s="92" t="s">
        <v>54</v>
      </c>
    </row>
    <row r="622" spans="1:24" ht="18.75" customHeight="1">
      <c r="A622" s="268" t="s">
        <v>89</v>
      </c>
      <c r="B622" s="269"/>
      <c r="C622" s="269"/>
      <c r="D622" s="269"/>
      <c r="E622" s="269"/>
      <c r="F622" s="269"/>
      <c r="G622" s="84" t="s">
        <v>49</v>
      </c>
      <c r="H622" s="270">
        <f>IF(($L$1-(C604+C605+C606+C607))&gt;12,0,F601*1%)</f>
        <v>0</v>
      </c>
      <c r="I622" s="270"/>
      <c r="J622" s="270"/>
      <c r="K622" s="92" t="s">
        <v>54</v>
      </c>
      <c r="M622" s="268" t="s">
        <v>89</v>
      </c>
      <c r="N622" s="269"/>
      <c r="O622" s="269"/>
      <c r="P622" s="269"/>
      <c r="Q622" s="269"/>
      <c r="R622" s="269"/>
      <c r="S622" s="84" t="s">
        <v>49</v>
      </c>
      <c r="T622" s="270">
        <f>IF(($L$1-(O604+O605+O606+O607))&gt;12,0,R601*1%)</f>
        <v>0</v>
      </c>
      <c r="U622" s="270"/>
      <c r="V622" s="270"/>
      <c r="W622" s="92" t="s">
        <v>54</v>
      </c>
    </row>
    <row r="623" spans="1:24" ht="18.75" customHeight="1">
      <c r="A623" s="268" t="s">
        <v>90</v>
      </c>
      <c r="B623" s="269"/>
      <c r="C623" s="269"/>
      <c r="D623" s="269"/>
      <c r="E623" s="269"/>
      <c r="F623" s="269"/>
      <c r="G623" s="84" t="s">
        <v>49</v>
      </c>
      <c r="H623" s="270">
        <v>0</v>
      </c>
      <c r="I623" s="270"/>
      <c r="J623" s="270"/>
      <c r="K623" s="92" t="s">
        <v>54</v>
      </c>
      <c r="M623" s="268" t="s">
        <v>90</v>
      </c>
      <c r="N623" s="269"/>
      <c r="O623" s="269"/>
      <c r="P623" s="269"/>
      <c r="Q623" s="269"/>
      <c r="R623" s="269"/>
      <c r="S623" s="84" t="s">
        <v>49</v>
      </c>
      <c r="T623" s="270">
        <v>0</v>
      </c>
      <c r="U623" s="270"/>
      <c r="V623" s="270"/>
      <c r="W623" s="92" t="s">
        <v>54</v>
      </c>
    </row>
    <row r="624" spans="1:24" ht="18.75" customHeight="1">
      <c r="A624" s="271" t="s">
        <v>91</v>
      </c>
      <c r="B624" s="272"/>
      <c r="C624" s="272"/>
      <c r="D624" s="272"/>
      <c r="E624" s="272"/>
      <c r="F624" s="272"/>
      <c r="G624" s="84" t="s">
        <v>49</v>
      </c>
      <c r="H624" s="273">
        <f>SUM(H620:J623)</f>
        <v>0</v>
      </c>
      <c r="I624" s="273"/>
      <c r="J624" s="273"/>
      <c r="K624" s="92" t="s">
        <v>54</v>
      </c>
      <c r="M624" s="271" t="s">
        <v>91</v>
      </c>
      <c r="N624" s="272"/>
      <c r="O624" s="272"/>
      <c r="P624" s="272"/>
      <c r="Q624" s="272"/>
      <c r="R624" s="272"/>
      <c r="S624" s="84" t="s">
        <v>49</v>
      </c>
      <c r="T624" s="273">
        <f>SUM(T620:V623)</f>
        <v>0</v>
      </c>
      <c r="U624" s="273"/>
      <c r="V624" s="273"/>
      <c r="W624" s="92" t="s">
        <v>54</v>
      </c>
    </row>
    <row r="625" spans="1:24" ht="18.75" customHeight="1">
      <c r="A625" s="268" t="s">
        <v>92</v>
      </c>
      <c r="B625" s="269"/>
      <c r="C625" s="269"/>
      <c r="D625" s="269"/>
      <c r="E625" s="269"/>
      <c r="F625" s="269"/>
      <c r="G625" s="84" t="s">
        <v>49</v>
      </c>
      <c r="H625" s="280">
        <f>ROUND(H617-H624,-2)</f>
        <v>0</v>
      </c>
      <c r="I625" s="280"/>
      <c r="J625" s="280"/>
      <c r="K625" s="92" t="s">
        <v>54</v>
      </c>
      <c r="M625" s="268" t="s">
        <v>92</v>
      </c>
      <c r="N625" s="269"/>
      <c r="O625" s="269"/>
      <c r="P625" s="269"/>
      <c r="Q625" s="269"/>
      <c r="R625" s="269"/>
      <c r="S625" s="84" t="s">
        <v>49</v>
      </c>
      <c r="T625" s="280">
        <f>ROUND(T617-T624,-2)</f>
        <v>0</v>
      </c>
      <c r="U625" s="280"/>
      <c r="V625" s="280"/>
      <c r="W625" s="92" t="s">
        <v>54</v>
      </c>
    </row>
    <row r="626" spans="1:24" ht="18.75" customHeight="1">
      <c r="A626" s="102"/>
      <c r="B626" s="103"/>
      <c r="C626" s="103"/>
      <c r="D626" s="103"/>
      <c r="E626" s="103"/>
      <c r="F626" s="103"/>
      <c r="G626" s="103"/>
      <c r="H626" s="103"/>
      <c r="I626" s="103"/>
      <c r="J626" s="103"/>
      <c r="K626" s="104"/>
      <c r="M626" s="102"/>
      <c r="N626" s="103"/>
      <c r="O626" s="103"/>
      <c r="P626" s="103"/>
      <c r="Q626" s="103"/>
      <c r="R626" s="103"/>
      <c r="S626" s="103"/>
      <c r="T626" s="103"/>
      <c r="U626" s="103"/>
      <c r="V626" s="103"/>
      <c r="W626" s="104"/>
    </row>
    <row r="627" spans="1:24" ht="18.75" customHeight="1">
      <c r="A627" s="105"/>
      <c r="B627" s="84"/>
      <c r="C627" s="84"/>
      <c r="D627" s="84"/>
      <c r="E627" s="84"/>
      <c r="F627" s="84"/>
      <c r="G627" s="84"/>
      <c r="H627" s="84"/>
      <c r="I627" s="277" t="s">
        <v>93</v>
      </c>
      <c r="J627" s="277"/>
      <c r="K627" s="281"/>
      <c r="M627" s="105"/>
      <c r="N627" s="84"/>
      <c r="O627" s="84"/>
      <c r="P627" s="84"/>
      <c r="Q627" s="84"/>
      <c r="R627" s="84"/>
      <c r="S627" s="84"/>
      <c r="T627" s="84"/>
      <c r="U627" s="277" t="s">
        <v>93</v>
      </c>
      <c r="V627" s="277"/>
      <c r="W627" s="281"/>
    </row>
    <row r="628" spans="1:24" ht="18.75" customHeight="1">
      <c r="A628" s="105"/>
      <c r="B628" s="277"/>
      <c r="C628" s="277"/>
      <c r="D628" s="277"/>
      <c r="E628" s="277"/>
      <c r="F628" s="84"/>
      <c r="G628" s="84"/>
      <c r="H628" s="84"/>
      <c r="I628" s="84"/>
      <c r="J628" s="84"/>
      <c r="K628" s="85"/>
      <c r="M628" s="105"/>
      <c r="N628" s="277"/>
      <c r="O628" s="277"/>
      <c r="P628" s="277"/>
      <c r="Q628" s="277"/>
      <c r="R628" s="84"/>
      <c r="S628" s="84"/>
      <c r="T628" s="84"/>
      <c r="U628" s="84"/>
      <c r="V628" s="84"/>
      <c r="W628" s="85"/>
    </row>
    <row r="629" spans="1:24" ht="18.75" customHeight="1" thickBot="1">
      <c r="A629" s="106"/>
      <c r="B629" s="107"/>
      <c r="C629" s="107"/>
      <c r="D629" s="107"/>
      <c r="E629" s="107"/>
      <c r="F629" s="107"/>
      <c r="G629" s="107"/>
      <c r="H629" s="107"/>
      <c r="I629" s="278" t="s">
        <v>94</v>
      </c>
      <c r="J629" s="278"/>
      <c r="K629" s="279"/>
      <c r="M629" s="106"/>
      <c r="N629" s="107"/>
      <c r="O629" s="107"/>
      <c r="P629" s="107"/>
      <c r="Q629" s="107"/>
      <c r="R629" s="107"/>
      <c r="S629" s="107"/>
      <c r="T629" s="107"/>
      <c r="U629" s="278" t="s">
        <v>94</v>
      </c>
      <c r="V629" s="278"/>
      <c r="W629" s="279"/>
    </row>
    <row r="631" spans="1:24" ht="18.75" customHeight="1" thickTop="1">
      <c r="A631" s="253" t="s">
        <v>43</v>
      </c>
      <c r="B631" s="254"/>
      <c r="C631" s="254"/>
      <c r="D631" s="254"/>
      <c r="E631" s="254"/>
      <c r="F631" s="254"/>
      <c r="G631" s="254"/>
      <c r="H631" s="254"/>
      <c r="I631" s="254"/>
      <c r="J631" s="254"/>
      <c r="K631" s="255"/>
      <c r="L631" s="80">
        <v>25</v>
      </c>
      <c r="M631" s="253" t="s">
        <v>43</v>
      </c>
      <c r="N631" s="254"/>
      <c r="O631" s="254"/>
      <c r="P631" s="254"/>
      <c r="Q631" s="254"/>
      <c r="R631" s="254"/>
      <c r="S631" s="254"/>
      <c r="T631" s="254"/>
      <c r="U631" s="254"/>
      <c r="V631" s="254"/>
      <c r="W631" s="255"/>
      <c r="X631" s="80">
        <v>25</v>
      </c>
    </row>
    <row r="632" spans="1:24" ht="18.75" customHeight="1">
      <c r="A632" s="81" t="s">
        <v>142</v>
      </c>
      <c r="B632" s="82"/>
      <c r="C632" s="82"/>
      <c r="D632" s="82"/>
      <c r="E632" s="82"/>
      <c r="F632" s="82"/>
      <c r="G632" s="82"/>
      <c r="H632" s="82"/>
      <c r="I632" s="82"/>
      <c r="J632" s="82"/>
      <c r="K632" s="83"/>
      <c r="M632" s="81" t="s">
        <v>143</v>
      </c>
      <c r="N632" s="82"/>
      <c r="O632" s="82"/>
      <c r="P632" s="82"/>
      <c r="Q632" s="82"/>
      <c r="R632" s="82"/>
      <c r="S632" s="82"/>
      <c r="T632" s="82"/>
      <c r="U632" s="82"/>
      <c r="V632" s="82"/>
      <c r="W632" s="83"/>
    </row>
    <row r="633" spans="1:24" ht="18.75" customHeight="1">
      <c r="A633" s="256" t="s">
        <v>47</v>
      </c>
      <c r="B633" s="257"/>
      <c r="C633" s="257"/>
      <c r="D633" s="257"/>
      <c r="E633" s="257"/>
      <c r="F633" s="257"/>
      <c r="G633" s="257"/>
      <c r="H633" s="257"/>
      <c r="I633" s="257"/>
      <c r="J633" s="257"/>
      <c r="K633" s="258"/>
      <c r="M633" s="256" t="s">
        <v>47</v>
      </c>
      <c r="N633" s="257"/>
      <c r="O633" s="257"/>
      <c r="P633" s="257"/>
      <c r="Q633" s="257"/>
      <c r="R633" s="257"/>
      <c r="S633" s="257"/>
      <c r="T633" s="257"/>
      <c r="U633" s="257"/>
      <c r="V633" s="257"/>
      <c r="W633" s="258"/>
    </row>
    <row r="634" spans="1:24" ht="18.75" customHeight="1">
      <c r="A634" s="248" t="s">
        <v>48</v>
      </c>
      <c r="B634" s="249"/>
      <c r="C634" s="249"/>
      <c r="D634" s="249"/>
      <c r="E634" s="84" t="s">
        <v>49</v>
      </c>
      <c r="F634" s="250">
        <f>'[1]Bang TH nop'!B71</f>
        <v>0</v>
      </c>
      <c r="G634" s="249"/>
      <c r="H634" s="249"/>
      <c r="I634" s="249"/>
      <c r="J634" s="249"/>
      <c r="K634" s="252"/>
      <c r="M634" s="248" t="s">
        <v>48</v>
      </c>
      <c r="N634" s="249"/>
      <c r="O634" s="249"/>
      <c r="P634" s="249"/>
      <c r="Q634" s="84" t="s">
        <v>49</v>
      </c>
      <c r="R634" s="250">
        <f>'[1]Bang TH nop'!B73</f>
        <v>0</v>
      </c>
      <c r="S634" s="249"/>
      <c r="T634" s="249"/>
      <c r="U634" s="249"/>
      <c r="V634" s="249"/>
      <c r="W634" s="252"/>
    </row>
    <row r="635" spans="1:24" ht="18.75" customHeight="1">
      <c r="A635" s="248" t="s">
        <v>50</v>
      </c>
      <c r="B635" s="249"/>
      <c r="C635" s="249"/>
      <c r="D635" s="249"/>
      <c r="E635" s="84" t="s">
        <v>49</v>
      </c>
      <c r="F635" s="250">
        <f>'[1]Bang TH nop'!C71</f>
        <v>0</v>
      </c>
      <c r="G635" s="250"/>
      <c r="H635" s="250"/>
      <c r="I635" s="250"/>
      <c r="J635" s="250"/>
      <c r="K635" s="251"/>
      <c r="M635" s="248" t="s">
        <v>50</v>
      </c>
      <c r="N635" s="249"/>
      <c r="O635" s="249"/>
      <c r="P635" s="249"/>
      <c r="Q635" s="84" t="s">
        <v>49</v>
      </c>
      <c r="R635" s="250">
        <f>'[1]Bang TH nop'!C73</f>
        <v>0</v>
      </c>
      <c r="S635" s="250"/>
      <c r="T635" s="250"/>
      <c r="U635" s="250"/>
      <c r="V635" s="250"/>
      <c r="W635" s="251"/>
    </row>
    <row r="636" spans="1:24" ht="18.75" customHeight="1">
      <c r="A636" s="248" t="s">
        <v>51</v>
      </c>
      <c r="B636" s="249"/>
      <c r="C636" s="249"/>
      <c r="D636" s="249"/>
      <c r="E636" s="84" t="s">
        <v>49</v>
      </c>
      <c r="F636" s="249" t="s">
        <v>121</v>
      </c>
      <c r="G636" s="249"/>
      <c r="H636" s="249"/>
      <c r="I636" s="249"/>
      <c r="J636" s="249"/>
      <c r="K636" s="252"/>
      <c r="M636" s="248" t="s">
        <v>51</v>
      </c>
      <c r="N636" s="249"/>
      <c r="O636" s="249"/>
      <c r="P636" s="249"/>
      <c r="Q636" s="84" t="s">
        <v>49</v>
      </c>
      <c r="R636" s="249" t="s">
        <v>121</v>
      </c>
      <c r="S636" s="249"/>
      <c r="T636" s="249"/>
      <c r="U636" s="249"/>
      <c r="V636" s="249"/>
      <c r="W636" s="252"/>
    </row>
    <row r="637" spans="1:24" ht="18.75" customHeight="1">
      <c r="A637" s="256" t="s">
        <v>52</v>
      </c>
      <c r="B637" s="257"/>
      <c r="C637" s="257"/>
      <c r="D637" s="257"/>
      <c r="E637" s="257"/>
      <c r="F637" s="257"/>
      <c r="G637" s="257"/>
      <c r="H637" s="257"/>
      <c r="I637" s="257"/>
      <c r="J637" s="257"/>
      <c r="K637" s="258"/>
      <c r="M637" s="256" t="s">
        <v>52</v>
      </c>
      <c r="N637" s="257"/>
      <c r="O637" s="257"/>
      <c r="P637" s="257"/>
      <c r="Q637" s="257"/>
      <c r="R637" s="257"/>
      <c r="S637" s="257"/>
      <c r="T637" s="257"/>
      <c r="U637" s="257"/>
      <c r="V637" s="257"/>
      <c r="W637" s="258"/>
    </row>
    <row r="638" spans="1:24" ht="18.75" customHeight="1">
      <c r="A638" s="248" t="s">
        <v>53</v>
      </c>
      <c r="B638" s="249"/>
      <c r="C638" s="249"/>
      <c r="D638" s="249"/>
      <c r="E638" s="84" t="s">
        <v>49</v>
      </c>
      <c r="F638" s="263">
        <v>2915400</v>
      </c>
      <c r="G638" s="263"/>
      <c r="H638" s="263"/>
      <c r="I638" s="263"/>
      <c r="J638" s="84" t="s">
        <v>54</v>
      </c>
      <c r="K638" s="85"/>
      <c r="M638" s="248" t="s">
        <v>53</v>
      </c>
      <c r="N638" s="249"/>
      <c r="O638" s="249"/>
      <c r="P638" s="249"/>
      <c r="Q638" s="84" t="s">
        <v>49</v>
      </c>
      <c r="R638" s="263">
        <v>2915400</v>
      </c>
      <c r="S638" s="263"/>
      <c r="T638" s="263"/>
      <c r="U638" s="263"/>
      <c r="V638" s="84" t="s">
        <v>54</v>
      </c>
      <c r="W638" s="85"/>
    </row>
    <row r="639" spans="1:24" ht="18.75" customHeight="1">
      <c r="A639" s="86" t="s">
        <v>55</v>
      </c>
      <c r="B639" s="84"/>
      <c r="C639" s="87"/>
      <c r="D639" s="88"/>
      <c r="E639" s="89"/>
      <c r="F639" s="89"/>
      <c r="G639" s="89"/>
      <c r="H639" s="84"/>
      <c r="I639" s="90">
        <f>'[1]LUONG T7'!F79</f>
        <v>0</v>
      </c>
      <c r="J639" s="91"/>
      <c r="K639" s="92"/>
      <c r="M639" s="86" t="s">
        <v>55</v>
      </c>
      <c r="N639" s="84"/>
      <c r="O639" s="87"/>
      <c r="P639" s="88"/>
      <c r="Q639" s="89"/>
      <c r="R639" s="89"/>
      <c r="S639" s="89"/>
      <c r="T639" s="84"/>
      <c r="U639" s="90">
        <f>'[1]LUONG T7'!F81</f>
        <v>0</v>
      </c>
      <c r="V639" s="91"/>
      <c r="W639" s="92"/>
    </row>
    <row r="640" spans="1:24" ht="18.75" customHeight="1">
      <c r="A640" s="86" t="s">
        <v>56</v>
      </c>
      <c r="B640" s="84"/>
      <c r="C640" s="87"/>
      <c r="D640" s="88"/>
      <c r="E640" s="89"/>
      <c r="F640" s="89"/>
      <c r="G640" s="89"/>
      <c r="H640" s="84"/>
      <c r="I640" s="90" t="e">
        <f>I641/C641/8</f>
        <v>#DIV/0!</v>
      </c>
      <c r="J640" s="91"/>
      <c r="K640" s="92"/>
      <c r="M640" s="86" t="s">
        <v>56</v>
      </c>
      <c r="N640" s="84"/>
      <c r="O640" s="87"/>
      <c r="P640" s="88"/>
      <c r="Q640" s="89"/>
      <c r="R640" s="89"/>
      <c r="S640" s="89"/>
      <c r="T640" s="84"/>
      <c r="U640" s="90" t="e">
        <f>U641/O641/8</f>
        <v>#DIV/0!</v>
      </c>
      <c r="V640" s="91"/>
      <c r="W640" s="92"/>
    </row>
    <row r="641" spans="1:24" ht="18.75" customHeight="1">
      <c r="A641" s="86" t="s">
        <v>57</v>
      </c>
      <c r="B641" s="84" t="s">
        <v>49</v>
      </c>
      <c r="C641" s="87">
        <f>'[1]LUONG T7'!I78</f>
        <v>0</v>
      </c>
      <c r="D641" s="88" t="s">
        <v>58</v>
      </c>
      <c r="E641" s="261" t="s">
        <v>59</v>
      </c>
      <c r="F641" s="261"/>
      <c r="G641" s="261"/>
      <c r="H641" s="84" t="s">
        <v>49</v>
      </c>
      <c r="I641" s="262">
        <f>'[1]LUONG T7'!I79</f>
        <v>0</v>
      </c>
      <c r="J641" s="262"/>
      <c r="K641" s="92" t="s">
        <v>54</v>
      </c>
      <c r="L641" s="93">
        <f>F638/L631*C641</f>
        <v>0</v>
      </c>
      <c r="M641" s="86" t="s">
        <v>57</v>
      </c>
      <c r="N641" s="84" t="s">
        <v>49</v>
      </c>
      <c r="O641" s="87">
        <f>'[1]LUONG T7'!I80</f>
        <v>0</v>
      </c>
      <c r="P641" s="88" t="s">
        <v>58</v>
      </c>
      <c r="Q641" s="261" t="s">
        <v>59</v>
      </c>
      <c r="R641" s="261"/>
      <c r="S641" s="261"/>
      <c r="T641" s="84" t="s">
        <v>49</v>
      </c>
      <c r="U641" s="262">
        <f>'[1]LUONG T7'!I81</f>
        <v>0</v>
      </c>
      <c r="V641" s="262"/>
      <c r="W641" s="92" t="s">
        <v>54</v>
      </c>
      <c r="X641" s="93">
        <f>R638/X631*O641</f>
        <v>0</v>
      </c>
    </row>
    <row r="642" spans="1:24" ht="18.75" customHeight="1">
      <c r="A642" s="86" t="s">
        <v>60</v>
      </c>
      <c r="B642" s="84" t="s">
        <v>49</v>
      </c>
      <c r="C642" s="87">
        <f>'[1]LUONG T7'!J78</f>
        <v>0</v>
      </c>
      <c r="D642" s="88" t="s">
        <v>58</v>
      </c>
      <c r="E642" s="249" t="s">
        <v>61</v>
      </c>
      <c r="F642" s="249"/>
      <c r="G642" s="249"/>
      <c r="H642" s="84" t="s">
        <v>49</v>
      </c>
      <c r="I642" s="260">
        <f>$F$8/$L$1*C642</f>
        <v>0</v>
      </c>
      <c r="J642" s="260"/>
      <c r="K642" s="92" t="s">
        <v>54</v>
      </c>
      <c r="L642" s="93"/>
      <c r="M642" s="86" t="s">
        <v>60</v>
      </c>
      <c r="N642" s="84" t="s">
        <v>49</v>
      </c>
      <c r="O642" s="87">
        <f>'[1]LUONG T7'!J80</f>
        <v>0</v>
      </c>
      <c r="P642" s="88" t="s">
        <v>58</v>
      </c>
      <c r="Q642" s="249" t="s">
        <v>61</v>
      </c>
      <c r="R642" s="249"/>
      <c r="S642" s="249"/>
      <c r="T642" s="84" t="s">
        <v>49</v>
      </c>
      <c r="U642" s="260">
        <f>$F$8/$L$1*O642</f>
        <v>0</v>
      </c>
      <c r="V642" s="260"/>
      <c r="W642" s="92" t="s">
        <v>54</v>
      </c>
      <c r="X642" s="93"/>
    </row>
    <row r="643" spans="1:24" ht="18.75" customHeight="1">
      <c r="A643" s="86" t="s">
        <v>62</v>
      </c>
      <c r="B643" s="84" t="s">
        <v>49</v>
      </c>
      <c r="C643" s="87">
        <f>'[1]LUONG T7'!K78</f>
        <v>0</v>
      </c>
      <c r="D643" s="88" t="s">
        <v>58</v>
      </c>
      <c r="E643" s="259" t="s">
        <v>63</v>
      </c>
      <c r="F643" s="259"/>
      <c r="G643" s="259"/>
      <c r="H643" s="84" t="s">
        <v>49</v>
      </c>
      <c r="I643" s="260">
        <f>$F$8/$L$1*C643</f>
        <v>0</v>
      </c>
      <c r="J643" s="260"/>
      <c r="K643" s="92" t="s">
        <v>54</v>
      </c>
      <c r="L643" s="93"/>
      <c r="M643" s="86" t="s">
        <v>62</v>
      </c>
      <c r="N643" s="84" t="s">
        <v>49</v>
      </c>
      <c r="O643" s="87">
        <f>'[1]LUONG T7'!K80</f>
        <v>0</v>
      </c>
      <c r="P643" s="88" t="s">
        <v>58</v>
      </c>
      <c r="Q643" s="259" t="s">
        <v>63</v>
      </c>
      <c r="R643" s="259"/>
      <c r="S643" s="259"/>
      <c r="T643" s="84" t="s">
        <v>49</v>
      </c>
      <c r="U643" s="260">
        <f>$F$8/$L$1*O643</f>
        <v>0</v>
      </c>
      <c r="V643" s="260"/>
      <c r="W643" s="92" t="s">
        <v>54</v>
      </c>
      <c r="X643" s="93"/>
    </row>
    <row r="644" spans="1:24" ht="18.75" customHeight="1">
      <c r="A644" s="86" t="s">
        <v>64</v>
      </c>
      <c r="B644" s="84" t="s">
        <v>49</v>
      </c>
      <c r="C644" s="87">
        <f>'[1]LUONG T7'!L78</f>
        <v>0</v>
      </c>
      <c r="D644" s="88" t="s">
        <v>58</v>
      </c>
      <c r="E644" s="259" t="s">
        <v>65</v>
      </c>
      <c r="F644" s="259"/>
      <c r="G644" s="259"/>
      <c r="H644" s="84" t="s">
        <v>49</v>
      </c>
      <c r="I644" s="260">
        <f>$F$8/$L$1*C644</f>
        <v>0</v>
      </c>
      <c r="J644" s="260"/>
      <c r="K644" s="92" t="s">
        <v>54</v>
      </c>
      <c r="L644" s="93"/>
      <c r="M644" s="86" t="s">
        <v>64</v>
      </c>
      <c r="N644" s="84" t="s">
        <v>49</v>
      </c>
      <c r="O644" s="87">
        <f>'[1]LUONG T7'!L80</f>
        <v>0</v>
      </c>
      <c r="P644" s="88" t="s">
        <v>58</v>
      </c>
      <c r="Q644" s="259" t="s">
        <v>65</v>
      </c>
      <c r="R644" s="259"/>
      <c r="S644" s="259"/>
      <c r="T644" s="84" t="s">
        <v>49</v>
      </c>
      <c r="U644" s="260">
        <f>$F$8/$L$1*O644</f>
        <v>0</v>
      </c>
      <c r="V644" s="260"/>
      <c r="W644" s="92" t="s">
        <v>54</v>
      </c>
      <c r="X644" s="93"/>
    </row>
    <row r="645" spans="1:24" ht="18.75" customHeight="1">
      <c r="A645" s="86" t="s">
        <v>66</v>
      </c>
      <c r="B645" s="84" t="s">
        <v>49</v>
      </c>
      <c r="C645" s="87">
        <f>'[1]LUONG T7'!Q78</f>
        <v>0</v>
      </c>
      <c r="D645" s="88" t="s">
        <v>67</v>
      </c>
      <c r="E645" s="249" t="s">
        <v>68</v>
      </c>
      <c r="F645" s="249"/>
      <c r="G645" s="249"/>
      <c r="H645" s="84" t="s">
        <v>49</v>
      </c>
      <c r="I645" s="260">
        <f>'[1]LUONG T7'!Q79</f>
        <v>0</v>
      </c>
      <c r="J645" s="260"/>
      <c r="K645" s="92" t="s">
        <v>54</v>
      </c>
      <c r="L645" s="93">
        <f>F638*C645/L631/8*1.5</f>
        <v>0</v>
      </c>
      <c r="M645" s="86" t="s">
        <v>66</v>
      </c>
      <c r="N645" s="84" t="s">
        <v>49</v>
      </c>
      <c r="O645" s="87">
        <f>'[1]LUONG T7'!Q80</f>
        <v>0</v>
      </c>
      <c r="P645" s="88" t="s">
        <v>67</v>
      </c>
      <c r="Q645" s="249" t="s">
        <v>68</v>
      </c>
      <c r="R645" s="249"/>
      <c r="S645" s="249"/>
      <c r="T645" s="84" t="s">
        <v>49</v>
      </c>
      <c r="U645" s="260">
        <f>'[1]LUONG T7'!Q81</f>
        <v>0</v>
      </c>
      <c r="V645" s="260"/>
      <c r="W645" s="92" t="s">
        <v>54</v>
      </c>
      <c r="X645" s="93">
        <f>R638*O645/X631/8*1.5</f>
        <v>0</v>
      </c>
    </row>
    <row r="646" spans="1:24" ht="18.75" customHeight="1">
      <c r="A646" s="248" t="s">
        <v>69</v>
      </c>
      <c r="B646" s="249"/>
      <c r="C646" s="87"/>
      <c r="D646" s="88" t="s">
        <v>58</v>
      </c>
      <c r="E646" s="249" t="s">
        <v>70</v>
      </c>
      <c r="F646" s="249"/>
      <c r="G646" s="249"/>
      <c r="H646" s="94" t="s">
        <v>49</v>
      </c>
      <c r="I646" s="260"/>
      <c r="J646" s="260"/>
      <c r="K646" s="92" t="s">
        <v>54</v>
      </c>
      <c r="L646" s="93"/>
      <c r="M646" s="248" t="s">
        <v>69</v>
      </c>
      <c r="N646" s="249"/>
      <c r="O646" s="87"/>
      <c r="P646" s="88" t="s">
        <v>58</v>
      </c>
      <c r="Q646" s="249" t="s">
        <v>70</v>
      </c>
      <c r="R646" s="249"/>
      <c r="S646" s="249"/>
      <c r="T646" s="94" t="s">
        <v>49</v>
      </c>
      <c r="U646" s="260"/>
      <c r="V646" s="260"/>
      <c r="W646" s="92" t="s">
        <v>54</v>
      </c>
      <c r="X646" s="93"/>
    </row>
    <row r="647" spans="1:24" ht="18.75" customHeight="1">
      <c r="A647" s="86" t="s">
        <v>71</v>
      </c>
      <c r="B647" s="84" t="s">
        <v>49</v>
      </c>
      <c r="C647" s="87"/>
      <c r="D647" s="88" t="s">
        <v>58</v>
      </c>
      <c r="E647" s="249" t="s">
        <v>72</v>
      </c>
      <c r="F647" s="249"/>
      <c r="G647" s="249"/>
      <c r="H647" s="84" t="s">
        <v>49</v>
      </c>
      <c r="I647" s="260"/>
      <c r="J647" s="260"/>
      <c r="K647" s="92" t="s">
        <v>54</v>
      </c>
      <c r="L647" s="93"/>
      <c r="M647" s="86" t="s">
        <v>71</v>
      </c>
      <c r="N647" s="84" t="s">
        <v>49</v>
      </c>
      <c r="O647" s="87"/>
      <c r="P647" s="88" t="s">
        <v>58</v>
      </c>
      <c r="Q647" s="249" t="s">
        <v>72</v>
      </c>
      <c r="R647" s="249"/>
      <c r="S647" s="249"/>
      <c r="T647" s="84" t="s">
        <v>49</v>
      </c>
      <c r="U647" s="260"/>
      <c r="V647" s="260"/>
      <c r="W647" s="92" t="s">
        <v>54</v>
      </c>
      <c r="X647" s="93"/>
    </row>
    <row r="648" spans="1:24" ht="18.75" customHeight="1">
      <c r="A648" s="95" t="s">
        <v>73</v>
      </c>
      <c r="B648" s="84"/>
      <c r="C648" s="87">
        <f>'[1]LUONG T7'!M78</f>
        <v>0</v>
      </c>
      <c r="D648" s="88" t="s">
        <v>67</v>
      </c>
      <c r="E648" s="249" t="s">
        <v>74</v>
      </c>
      <c r="F648" s="249"/>
      <c r="G648" s="249"/>
      <c r="H648" s="84" t="s">
        <v>49</v>
      </c>
      <c r="I648" s="260">
        <f>$F$8*C648/8/$L$1</f>
        <v>0</v>
      </c>
      <c r="J648" s="260"/>
      <c r="K648" s="92" t="s">
        <v>54</v>
      </c>
      <c r="L648" s="93"/>
      <c r="M648" s="95" t="s">
        <v>73</v>
      </c>
      <c r="N648" s="84"/>
      <c r="O648" s="87">
        <f>'[1]LUONG T7'!M80</f>
        <v>0</v>
      </c>
      <c r="P648" s="88" t="s">
        <v>67</v>
      </c>
      <c r="Q648" s="249" t="s">
        <v>74</v>
      </c>
      <c r="R648" s="249"/>
      <c r="S648" s="249"/>
      <c r="T648" s="84" t="s">
        <v>49</v>
      </c>
      <c r="U648" s="260">
        <f>$F$8*O648/8/$L$1</f>
        <v>0</v>
      </c>
      <c r="V648" s="260"/>
      <c r="W648" s="92" t="s">
        <v>54</v>
      </c>
      <c r="X648" s="93"/>
    </row>
    <row r="649" spans="1:24" ht="18.75" customHeight="1">
      <c r="A649" s="86" t="s">
        <v>75</v>
      </c>
      <c r="B649" s="84" t="s">
        <v>49</v>
      </c>
      <c r="C649" s="87"/>
      <c r="D649" s="88" t="s">
        <v>67</v>
      </c>
      <c r="E649" s="249" t="s">
        <v>97</v>
      </c>
      <c r="F649" s="249"/>
      <c r="G649" s="249"/>
      <c r="H649" s="84" t="s">
        <v>49</v>
      </c>
      <c r="I649" s="262"/>
      <c r="J649" s="262"/>
      <c r="K649" s="92" t="s">
        <v>54</v>
      </c>
      <c r="L649" s="93"/>
      <c r="M649" s="86" t="s">
        <v>75</v>
      </c>
      <c r="N649" s="84" t="s">
        <v>49</v>
      </c>
      <c r="O649" s="87"/>
      <c r="P649" s="88" t="s">
        <v>67</v>
      </c>
      <c r="Q649" s="249" t="s">
        <v>97</v>
      </c>
      <c r="R649" s="249"/>
      <c r="S649" s="249"/>
      <c r="T649" s="84" t="s">
        <v>49</v>
      </c>
      <c r="U649" s="262"/>
      <c r="V649" s="262"/>
      <c r="W649" s="92" t="s">
        <v>54</v>
      </c>
      <c r="X649" s="93"/>
    </row>
    <row r="650" spans="1:24" ht="18.75" customHeight="1">
      <c r="A650" s="86" t="s">
        <v>77</v>
      </c>
      <c r="B650" s="84" t="s">
        <v>49</v>
      </c>
      <c r="C650" s="87"/>
      <c r="D650" s="88" t="s">
        <v>78</v>
      </c>
      <c r="E650" s="96" t="s">
        <v>79</v>
      </c>
      <c r="F650" s="96"/>
      <c r="G650" s="96"/>
      <c r="H650" s="84" t="s">
        <v>49</v>
      </c>
      <c r="I650" s="260"/>
      <c r="J650" s="260"/>
      <c r="K650" s="92" t="s">
        <v>54</v>
      </c>
      <c r="L650" s="93">
        <f>+IF(L641-I641&lt;0,0,L641-I641)+IF(L645-I645&lt;0,0,L645-I645)</f>
        <v>0</v>
      </c>
      <c r="M650" s="86" t="s">
        <v>77</v>
      </c>
      <c r="N650" s="84" t="s">
        <v>49</v>
      </c>
      <c r="O650" s="87"/>
      <c r="P650" s="88" t="s">
        <v>78</v>
      </c>
      <c r="Q650" s="96" t="s">
        <v>79</v>
      </c>
      <c r="R650" s="96"/>
      <c r="S650" s="96"/>
      <c r="T650" s="84" t="s">
        <v>49</v>
      </c>
      <c r="U650" s="260"/>
      <c r="V650" s="260"/>
      <c r="W650" s="92" t="s">
        <v>54</v>
      </c>
      <c r="X650" s="93">
        <f>+IF(X641-U641&lt;0,0,X641-U641)+IF(X645-U645&lt;0,0,X645-U645)</f>
        <v>0</v>
      </c>
    </row>
    <row r="651" spans="1:24" ht="18.75" customHeight="1">
      <c r="A651" s="97" t="s">
        <v>122</v>
      </c>
      <c r="B651" s="98"/>
      <c r="C651" s="87"/>
      <c r="D651" s="88" t="s">
        <v>58</v>
      </c>
      <c r="E651" s="249" t="s">
        <v>123</v>
      </c>
      <c r="F651" s="249"/>
      <c r="G651" s="249"/>
      <c r="H651" s="84" t="s">
        <v>49</v>
      </c>
      <c r="I651" s="260"/>
      <c r="J651" s="260"/>
      <c r="K651" s="92" t="s">
        <v>54</v>
      </c>
      <c r="L651" s="93"/>
      <c r="M651" s="97" t="s">
        <v>122</v>
      </c>
      <c r="N651" s="98"/>
      <c r="O651" s="87"/>
      <c r="P651" s="88" t="s">
        <v>58</v>
      </c>
      <c r="Q651" s="249" t="s">
        <v>123</v>
      </c>
      <c r="R651" s="249"/>
      <c r="S651" s="249"/>
      <c r="T651" s="84" t="s">
        <v>49</v>
      </c>
      <c r="U651" s="260"/>
      <c r="V651" s="260"/>
      <c r="W651" s="92" t="s">
        <v>54</v>
      </c>
      <c r="X651" s="93"/>
    </row>
    <row r="652" spans="1:24" ht="18.75" customHeight="1">
      <c r="A652" s="267" t="s">
        <v>82</v>
      </c>
      <c r="B652" s="261"/>
      <c r="C652" s="87"/>
      <c r="D652" s="88"/>
      <c r="E652" s="89"/>
      <c r="F652" s="89"/>
      <c r="G652" s="89"/>
      <c r="H652" s="84" t="s">
        <v>49</v>
      </c>
      <c r="I652" s="260">
        <f>'[1]LUONG T7'!P79</f>
        <v>0</v>
      </c>
      <c r="J652" s="260"/>
      <c r="K652" s="92" t="s">
        <v>54</v>
      </c>
      <c r="L652" s="93"/>
      <c r="M652" s="267" t="s">
        <v>82</v>
      </c>
      <c r="N652" s="261"/>
      <c r="O652" s="87"/>
      <c r="P652" s="88"/>
      <c r="Q652" s="89"/>
      <c r="R652" s="89"/>
      <c r="S652" s="89"/>
      <c r="T652" s="84" t="s">
        <v>49</v>
      </c>
      <c r="U652" s="260">
        <f>'[1]LUONG T7'!P81</f>
        <v>0</v>
      </c>
      <c r="V652" s="260"/>
      <c r="W652" s="92" t="s">
        <v>54</v>
      </c>
      <c r="X652" s="93"/>
    </row>
    <row r="653" spans="1:24" ht="18.75" customHeight="1">
      <c r="A653" s="86" t="s">
        <v>83</v>
      </c>
      <c r="B653" s="84" t="s">
        <v>49</v>
      </c>
      <c r="C653" s="87"/>
      <c r="D653" s="88"/>
      <c r="E653" s="89" t="s">
        <v>84</v>
      </c>
      <c r="F653" s="89"/>
      <c r="G653" s="89"/>
      <c r="H653" s="84" t="s">
        <v>49</v>
      </c>
      <c r="I653" s="260">
        <f>L650</f>
        <v>0</v>
      </c>
      <c r="J653" s="260"/>
      <c r="K653" s="92" t="s">
        <v>54</v>
      </c>
      <c r="L653" s="93"/>
      <c r="M653" s="86" t="s">
        <v>83</v>
      </c>
      <c r="N653" s="84" t="s">
        <v>49</v>
      </c>
      <c r="O653" s="87"/>
      <c r="P653" s="88"/>
      <c r="Q653" s="89" t="s">
        <v>84</v>
      </c>
      <c r="R653" s="89"/>
      <c r="S653" s="89"/>
      <c r="T653" s="84" t="s">
        <v>49</v>
      </c>
      <c r="U653" s="260">
        <f>X650</f>
        <v>0</v>
      </c>
      <c r="V653" s="260"/>
      <c r="W653" s="92" t="s">
        <v>54</v>
      </c>
      <c r="X653" s="93"/>
    </row>
    <row r="654" spans="1:24" ht="18.75" customHeight="1">
      <c r="A654" s="264" t="s">
        <v>85</v>
      </c>
      <c r="B654" s="265"/>
      <c r="C654" s="265"/>
      <c r="D654" s="265"/>
      <c r="E654" s="265"/>
      <c r="F654" s="265"/>
      <c r="G654" s="84" t="s">
        <v>49</v>
      </c>
      <c r="H654" s="266">
        <f>I641+I642+I643+I644+I645+I648+I652+I653</f>
        <v>0</v>
      </c>
      <c r="I654" s="266"/>
      <c r="J654" s="266"/>
      <c r="K654" s="92" t="s">
        <v>54</v>
      </c>
      <c r="M654" s="264" t="s">
        <v>85</v>
      </c>
      <c r="N654" s="265"/>
      <c r="O654" s="265"/>
      <c r="P654" s="265"/>
      <c r="Q654" s="265"/>
      <c r="R654" s="265"/>
      <c r="S654" s="84" t="s">
        <v>49</v>
      </c>
      <c r="T654" s="266">
        <f>U641+U642+U643+U644+U645+U648+U652+U653</f>
        <v>0</v>
      </c>
      <c r="U654" s="266"/>
      <c r="V654" s="266"/>
      <c r="W654" s="92" t="s">
        <v>54</v>
      </c>
    </row>
    <row r="655" spans="1:24" ht="18.75" customHeight="1">
      <c r="A655" s="99"/>
      <c r="B655" s="100"/>
      <c r="C655" s="100"/>
      <c r="D655" s="100"/>
      <c r="E655" s="100"/>
      <c r="F655" s="100"/>
      <c r="G655" s="100"/>
      <c r="H655" s="100"/>
      <c r="I655" s="100"/>
      <c r="J655" s="100"/>
      <c r="K655" s="101"/>
      <c r="M655" s="99"/>
      <c r="N655" s="100"/>
      <c r="O655" s="100"/>
      <c r="P655" s="100"/>
      <c r="Q655" s="100"/>
      <c r="R655" s="100"/>
      <c r="S655" s="100"/>
      <c r="T655" s="100"/>
      <c r="U655" s="100"/>
      <c r="V655" s="100"/>
      <c r="W655" s="101"/>
    </row>
    <row r="656" spans="1:24" ht="18.75" customHeight="1">
      <c r="A656" s="274" t="s">
        <v>86</v>
      </c>
      <c r="B656" s="275"/>
      <c r="C656" s="275"/>
      <c r="D656" s="275"/>
      <c r="E656" s="275"/>
      <c r="F656" s="275"/>
      <c r="G656" s="84"/>
      <c r="H656" s="84"/>
      <c r="I656" s="84"/>
      <c r="J656" s="84"/>
      <c r="K656" s="92"/>
      <c r="M656" s="274" t="s">
        <v>86</v>
      </c>
      <c r="N656" s="275"/>
      <c r="O656" s="275"/>
      <c r="P656" s="275"/>
      <c r="Q656" s="275"/>
      <c r="R656" s="275"/>
      <c r="S656" s="84"/>
      <c r="T656" s="84"/>
      <c r="U656" s="84"/>
      <c r="V656" s="84"/>
      <c r="W656" s="92"/>
    </row>
    <row r="657" spans="1:24" ht="18.75" customHeight="1">
      <c r="A657" s="268" t="s">
        <v>87</v>
      </c>
      <c r="B657" s="269"/>
      <c r="C657" s="269"/>
      <c r="D657" s="269"/>
      <c r="E657" s="269"/>
      <c r="F657" s="269"/>
      <c r="G657" s="84" t="s">
        <v>49</v>
      </c>
      <c r="H657" s="276">
        <f>IF(($L$1-(C641+C642+C643+C644))&gt;12,0,F638*8%)</f>
        <v>0</v>
      </c>
      <c r="I657" s="276"/>
      <c r="J657" s="276"/>
      <c r="K657" s="92" t="s">
        <v>54</v>
      </c>
      <c r="M657" s="268" t="s">
        <v>87</v>
      </c>
      <c r="N657" s="269"/>
      <c r="O657" s="269"/>
      <c r="P657" s="269"/>
      <c r="Q657" s="269"/>
      <c r="R657" s="269"/>
      <c r="S657" s="84" t="s">
        <v>49</v>
      </c>
      <c r="T657" s="276">
        <f>IF(($L$1-(O641+O642+O643+O644))&gt;12,0,R638*8%)</f>
        <v>0</v>
      </c>
      <c r="U657" s="276"/>
      <c r="V657" s="276"/>
      <c r="W657" s="92" t="s">
        <v>54</v>
      </c>
    </row>
    <row r="658" spans="1:24" ht="18.75" customHeight="1">
      <c r="A658" s="268" t="s">
        <v>88</v>
      </c>
      <c r="B658" s="269"/>
      <c r="C658" s="269"/>
      <c r="D658" s="269"/>
      <c r="E658" s="269"/>
      <c r="F658" s="269"/>
      <c r="G658" s="84" t="s">
        <v>49</v>
      </c>
      <c r="H658" s="270">
        <f>IF(($L$1-(C641+C642+C643+C644))&gt;12,0,F638*1.5%)</f>
        <v>0</v>
      </c>
      <c r="I658" s="270"/>
      <c r="J658" s="270"/>
      <c r="K658" s="92" t="s">
        <v>54</v>
      </c>
      <c r="M658" s="268" t="s">
        <v>88</v>
      </c>
      <c r="N658" s="269"/>
      <c r="O658" s="269"/>
      <c r="P658" s="269"/>
      <c r="Q658" s="269"/>
      <c r="R658" s="269"/>
      <c r="S658" s="84" t="s">
        <v>49</v>
      </c>
      <c r="T658" s="270">
        <f>IF(($L$1-(O641+O642+O643+O644))&gt;12,0,R638*1.5%)</f>
        <v>0</v>
      </c>
      <c r="U658" s="270"/>
      <c r="V658" s="270"/>
      <c r="W658" s="92" t="s">
        <v>54</v>
      </c>
    </row>
    <row r="659" spans="1:24" ht="18.75" customHeight="1">
      <c r="A659" s="268" t="s">
        <v>89</v>
      </c>
      <c r="B659" s="269"/>
      <c r="C659" s="269"/>
      <c r="D659" s="269"/>
      <c r="E659" s="269"/>
      <c r="F659" s="269"/>
      <c r="G659" s="84" t="s">
        <v>49</v>
      </c>
      <c r="H659" s="270">
        <f>IF(($L$1-(C641+C642+C643+C644))&gt;12,0,F638*1%)</f>
        <v>0</v>
      </c>
      <c r="I659" s="270"/>
      <c r="J659" s="270"/>
      <c r="K659" s="92" t="s">
        <v>54</v>
      </c>
      <c r="M659" s="268" t="s">
        <v>89</v>
      </c>
      <c r="N659" s="269"/>
      <c r="O659" s="269"/>
      <c r="P659" s="269"/>
      <c r="Q659" s="269"/>
      <c r="R659" s="269"/>
      <c r="S659" s="84" t="s">
        <v>49</v>
      </c>
      <c r="T659" s="270">
        <f>IF(($L$1-(O641+O642+O643+O644))&gt;12,0,R638*1%)</f>
        <v>0</v>
      </c>
      <c r="U659" s="270"/>
      <c r="V659" s="270"/>
      <c r="W659" s="92" t="s">
        <v>54</v>
      </c>
    </row>
    <row r="660" spans="1:24" ht="18.75" customHeight="1">
      <c r="A660" s="268" t="s">
        <v>90</v>
      </c>
      <c r="B660" s="269"/>
      <c r="C660" s="269"/>
      <c r="D660" s="269"/>
      <c r="E660" s="269"/>
      <c r="F660" s="269"/>
      <c r="G660" s="84" t="s">
        <v>49</v>
      </c>
      <c r="H660" s="270">
        <v>0</v>
      </c>
      <c r="I660" s="270"/>
      <c r="J660" s="270"/>
      <c r="K660" s="92" t="s">
        <v>54</v>
      </c>
      <c r="M660" s="268" t="s">
        <v>90</v>
      </c>
      <c r="N660" s="269"/>
      <c r="O660" s="269"/>
      <c r="P660" s="269"/>
      <c r="Q660" s="269"/>
      <c r="R660" s="269"/>
      <c r="S660" s="84" t="s">
        <v>49</v>
      </c>
      <c r="T660" s="270">
        <v>0</v>
      </c>
      <c r="U660" s="270"/>
      <c r="V660" s="270"/>
      <c r="W660" s="92" t="s">
        <v>54</v>
      </c>
    </row>
    <row r="661" spans="1:24" ht="18.75" customHeight="1">
      <c r="A661" s="271" t="s">
        <v>91</v>
      </c>
      <c r="B661" s="272"/>
      <c r="C661" s="272"/>
      <c r="D661" s="272"/>
      <c r="E661" s="272"/>
      <c r="F661" s="272"/>
      <c r="G661" s="84" t="s">
        <v>49</v>
      </c>
      <c r="H661" s="273">
        <f>SUM(H657:J660)</f>
        <v>0</v>
      </c>
      <c r="I661" s="273"/>
      <c r="J661" s="273"/>
      <c r="K661" s="92" t="s">
        <v>54</v>
      </c>
      <c r="M661" s="271" t="s">
        <v>91</v>
      </c>
      <c r="N661" s="272"/>
      <c r="O661" s="272"/>
      <c r="P661" s="272"/>
      <c r="Q661" s="272"/>
      <c r="R661" s="272"/>
      <c r="S661" s="84" t="s">
        <v>49</v>
      </c>
      <c r="T661" s="273">
        <f>SUM(T657:V660)</f>
        <v>0</v>
      </c>
      <c r="U661" s="273"/>
      <c r="V661" s="273"/>
      <c r="W661" s="92" t="s">
        <v>54</v>
      </c>
    </row>
    <row r="662" spans="1:24" ht="18.75" customHeight="1">
      <c r="A662" s="268" t="s">
        <v>92</v>
      </c>
      <c r="B662" s="269"/>
      <c r="C662" s="269"/>
      <c r="D662" s="269"/>
      <c r="E662" s="269"/>
      <c r="F662" s="269"/>
      <c r="G662" s="84" t="s">
        <v>49</v>
      </c>
      <c r="H662" s="280">
        <f>ROUND(H654-H661,-2)</f>
        <v>0</v>
      </c>
      <c r="I662" s="280"/>
      <c r="J662" s="280"/>
      <c r="K662" s="92" t="s">
        <v>54</v>
      </c>
      <c r="M662" s="268" t="s">
        <v>92</v>
      </c>
      <c r="N662" s="269"/>
      <c r="O662" s="269"/>
      <c r="P662" s="269"/>
      <c r="Q662" s="269"/>
      <c r="R662" s="269"/>
      <c r="S662" s="84" t="s">
        <v>49</v>
      </c>
      <c r="T662" s="280">
        <f>ROUND(T654-T661,-2)</f>
        <v>0</v>
      </c>
      <c r="U662" s="280"/>
      <c r="V662" s="280"/>
      <c r="W662" s="92" t="s">
        <v>54</v>
      </c>
    </row>
    <row r="663" spans="1:24" ht="18.75" customHeight="1">
      <c r="A663" s="102"/>
      <c r="B663" s="103"/>
      <c r="C663" s="103"/>
      <c r="D663" s="103"/>
      <c r="E663" s="103"/>
      <c r="F663" s="103"/>
      <c r="G663" s="103"/>
      <c r="H663" s="103"/>
      <c r="I663" s="103"/>
      <c r="J663" s="103"/>
      <c r="K663" s="104"/>
      <c r="M663" s="102"/>
      <c r="N663" s="103"/>
      <c r="O663" s="103"/>
      <c r="P663" s="103"/>
      <c r="Q663" s="103"/>
      <c r="R663" s="103"/>
      <c r="S663" s="103"/>
      <c r="T663" s="103"/>
      <c r="U663" s="103"/>
      <c r="V663" s="103"/>
      <c r="W663" s="104"/>
    </row>
    <row r="664" spans="1:24" ht="18.75" customHeight="1">
      <c r="A664" s="105"/>
      <c r="B664" s="84"/>
      <c r="C664" s="84"/>
      <c r="D664" s="84"/>
      <c r="E664" s="84"/>
      <c r="F664" s="84"/>
      <c r="G664" s="84"/>
      <c r="H664" s="84"/>
      <c r="I664" s="277" t="s">
        <v>93</v>
      </c>
      <c r="J664" s="277"/>
      <c r="K664" s="281"/>
      <c r="M664" s="105"/>
      <c r="N664" s="84"/>
      <c r="O664" s="84"/>
      <c r="P664" s="84"/>
      <c r="Q664" s="84"/>
      <c r="R664" s="84"/>
      <c r="S664" s="84"/>
      <c r="T664" s="84"/>
      <c r="U664" s="277" t="s">
        <v>93</v>
      </c>
      <c r="V664" s="277"/>
      <c r="W664" s="281"/>
    </row>
    <row r="665" spans="1:24" ht="18.75" customHeight="1">
      <c r="A665" s="105"/>
      <c r="B665" s="277"/>
      <c r="C665" s="277"/>
      <c r="D665" s="277"/>
      <c r="E665" s="277"/>
      <c r="F665" s="84"/>
      <c r="G665" s="84"/>
      <c r="H665" s="84"/>
      <c r="I665" s="84"/>
      <c r="J665" s="84"/>
      <c r="K665" s="85"/>
      <c r="M665" s="105"/>
      <c r="N665" s="277"/>
      <c r="O665" s="277"/>
      <c r="P665" s="277"/>
      <c r="Q665" s="277"/>
      <c r="R665" s="84"/>
      <c r="S665" s="84"/>
      <c r="T665" s="84"/>
      <c r="U665" s="84"/>
      <c r="V665" s="84"/>
      <c r="W665" s="85"/>
    </row>
    <row r="666" spans="1:24" ht="18.75" customHeight="1" thickBot="1">
      <c r="A666" s="106"/>
      <c r="B666" s="107"/>
      <c r="C666" s="107"/>
      <c r="D666" s="107"/>
      <c r="E666" s="107"/>
      <c r="F666" s="107"/>
      <c r="G666" s="107"/>
      <c r="H666" s="107"/>
      <c r="I666" s="278" t="s">
        <v>94</v>
      </c>
      <c r="J666" s="278"/>
      <c r="K666" s="279"/>
      <c r="M666" s="106"/>
      <c r="N666" s="107"/>
      <c r="O666" s="107"/>
      <c r="P666" s="107"/>
      <c r="Q666" s="107"/>
      <c r="R666" s="107"/>
      <c r="S666" s="107"/>
      <c r="T666" s="107"/>
      <c r="U666" s="278" t="s">
        <v>94</v>
      </c>
      <c r="V666" s="278"/>
      <c r="W666" s="279"/>
    </row>
    <row r="668" spans="1:24" ht="18.75" customHeight="1" thickTop="1">
      <c r="A668" s="253" t="s">
        <v>43</v>
      </c>
      <c r="B668" s="254"/>
      <c r="C668" s="254"/>
      <c r="D668" s="254"/>
      <c r="E668" s="254"/>
      <c r="F668" s="254"/>
      <c r="G668" s="254"/>
      <c r="H668" s="254"/>
      <c r="I668" s="254"/>
      <c r="J668" s="254"/>
      <c r="K668" s="255"/>
      <c r="L668" s="80">
        <v>25</v>
      </c>
      <c r="M668" s="253" t="s">
        <v>43</v>
      </c>
      <c r="N668" s="254"/>
      <c r="O668" s="254"/>
      <c r="P668" s="254"/>
      <c r="Q668" s="254"/>
      <c r="R668" s="254"/>
      <c r="S668" s="254"/>
      <c r="T668" s="254"/>
      <c r="U668" s="254"/>
      <c r="V668" s="254"/>
      <c r="W668" s="255"/>
      <c r="X668" s="80">
        <v>25</v>
      </c>
    </row>
    <row r="669" spans="1:24" ht="18.75" customHeight="1">
      <c r="A669" s="81" t="s">
        <v>144</v>
      </c>
      <c r="B669" s="82"/>
      <c r="C669" s="82"/>
      <c r="D669" s="82"/>
      <c r="E669" s="82"/>
      <c r="F669" s="82"/>
      <c r="G669" s="82"/>
      <c r="H669" s="82"/>
      <c r="I669" s="82"/>
      <c r="J669" s="82"/>
      <c r="K669" s="83"/>
      <c r="M669" s="81" t="s">
        <v>145</v>
      </c>
      <c r="N669" s="82"/>
      <c r="O669" s="82"/>
      <c r="P669" s="82"/>
      <c r="Q669" s="82"/>
      <c r="R669" s="82"/>
      <c r="S669" s="82"/>
      <c r="T669" s="82"/>
      <c r="U669" s="82"/>
      <c r="V669" s="82"/>
      <c r="W669" s="83"/>
    </row>
    <row r="670" spans="1:24" ht="18.75" customHeight="1">
      <c r="A670" s="256" t="s">
        <v>47</v>
      </c>
      <c r="B670" s="257"/>
      <c r="C670" s="257"/>
      <c r="D670" s="257"/>
      <c r="E670" s="257"/>
      <c r="F670" s="257"/>
      <c r="G670" s="257"/>
      <c r="H670" s="257"/>
      <c r="I670" s="257"/>
      <c r="J670" s="257"/>
      <c r="K670" s="258"/>
      <c r="M670" s="256" t="s">
        <v>47</v>
      </c>
      <c r="N670" s="257"/>
      <c r="O670" s="257"/>
      <c r="P670" s="257"/>
      <c r="Q670" s="257"/>
      <c r="R670" s="257"/>
      <c r="S670" s="257"/>
      <c r="T670" s="257"/>
      <c r="U670" s="257"/>
      <c r="V670" s="257"/>
      <c r="W670" s="258"/>
    </row>
    <row r="671" spans="1:24" ht="18.75" customHeight="1">
      <c r="A671" s="248" t="s">
        <v>48</v>
      </c>
      <c r="B671" s="249"/>
      <c r="C671" s="249"/>
      <c r="D671" s="249"/>
      <c r="E671" s="84" t="s">
        <v>49</v>
      </c>
      <c r="F671" s="250">
        <f>'[1]Bang TH nop'!B75</f>
        <v>0</v>
      </c>
      <c r="G671" s="249"/>
      <c r="H671" s="249"/>
      <c r="I671" s="249"/>
      <c r="J671" s="249"/>
      <c r="K671" s="252"/>
      <c r="M671" s="248" t="s">
        <v>48</v>
      </c>
      <c r="N671" s="249"/>
      <c r="O671" s="249"/>
      <c r="P671" s="249"/>
      <c r="Q671" s="84" t="s">
        <v>49</v>
      </c>
      <c r="R671" s="250">
        <f>'[1]Bang TH nop'!B77</f>
        <v>0</v>
      </c>
      <c r="S671" s="249"/>
      <c r="T671" s="249"/>
      <c r="U671" s="249"/>
      <c r="V671" s="249"/>
      <c r="W671" s="252"/>
    </row>
    <row r="672" spans="1:24" ht="18.75" customHeight="1">
      <c r="A672" s="248" t="s">
        <v>50</v>
      </c>
      <c r="B672" s="249"/>
      <c r="C672" s="249"/>
      <c r="D672" s="249"/>
      <c r="E672" s="84" t="s">
        <v>49</v>
      </c>
      <c r="F672" s="250">
        <f>'[1]Bang TH nop'!C75</f>
        <v>0</v>
      </c>
      <c r="G672" s="250"/>
      <c r="H672" s="250"/>
      <c r="I672" s="250"/>
      <c r="J672" s="250"/>
      <c r="K672" s="251"/>
      <c r="M672" s="248" t="s">
        <v>50</v>
      </c>
      <c r="N672" s="249"/>
      <c r="O672" s="249"/>
      <c r="P672" s="249"/>
      <c r="Q672" s="84" t="s">
        <v>49</v>
      </c>
      <c r="R672" s="250">
        <f>'[1]Bang TH nop'!C77</f>
        <v>0</v>
      </c>
      <c r="S672" s="250"/>
      <c r="T672" s="250"/>
      <c r="U672" s="250"/>
      <c r="V672" s="250"/>
      <c r="W672" s="251"/>
    </row>
    <row r="673" spans="1:24" ht="18.75" customHeight="1">
      <c r="A673" s="248" t="s">
        <v>51</v>
      </c>
      <c r="B673" s="249"/>
      <c r="C673" s="249"/>
      <c r="D673" s="249"/>
      <c r="E673" s="84" t="s">
        <v>49</v>
      </c>
      <c r="F673" s="249" t="s">
        <v>121</v>
      </c>
      <c r="G673" s="249"/>
      <c r="H673" s="249"/>
      <c r="I673" s="249"/>
      <c r="J673" s="249"/>
      <c r="K673" s="252"/>
      <c r="M673" s="248" t="s">
        <v>51</v>
      </c>
      <c r="N673" s="249"/>
      <c r="O673" s="249"/>
      <c r="P673" s="249"/>
      <c r="Q673" s="84" t="s">
        <v>49</v>
      </c>
      <c r="R673" s="249" t="s">
        <v>121</v>
      </c>
      <c r="S673" s="249"/>
      <c r="T673" s="249"/>
      <c r="U673" s="249"/>
      <c r="V673" s="249"/>
      <c r="W673" s="252"/>
    </row>
    <row r="674" spans="1:24" ht="18.75" customHeight="1">
      <c r="A674" s="256" t="s">
        <v>52</v>
      </c>
      <c r="B674" s="257"/>
      <c r="C674" s="257"/>
      <c r="D674" s="257"/>
      <c r="E674" s="257"/>
      <c r="F674" s="257"/>
      <c r="G674" s="257"/>
      <c r="H674" s="257"/>
      <c r="I674" s="257"/>
      <c r="J674" s="257"/>
      <c r="K674" s="258"/>
      <c r="M674" s="256" t="s">
        <v>52</v>
      </c>
      <c r="N674" s="257"/>
      <c r="O674" s="257"/>
      <c r="P674" s="257"/>
      <c r="Q674" s="257"/>
      <c r="R674" s="257"/>
      <c r="S674" s="257"/>
      <c r="T674" s="257"/>
      <c r="U674" s="257"/>
      <c r="V674" s="257"/>
      <c r="W674" s="258"/>
    </row>
    <row r="675" spans="1:24" ht="18.75" customHeight="1">
      <c r="A675" s="248" t="s">
        <v>53</v>
      </c>
      <c r="B675" s="249"/>
      <c r="C675" s="249"/>
      <c r="D675" s="249"/>
      <c r="E675" s="84" t="s">
        <v>49</v>
      </c>
      <c r="F675" s="263">
        <v>2915400</v>
      </c>
      <c r="G675" s="263"/>
      <c r="H675" s="263"/>
      <c r="I675" s="263"/>
      <c r="J675" s="84" t="s">
        <v>54</v>
      </c>
      <c r="K675" s="85"/>
      <c r="M675" s="248" t="s">
        <v>53</v>
      </c>
      <c r="N675" s="249"/>
      <c r="O675" s="249"/>
      <c r="P675" s="249"/>
      <c r="Q675" s="84" t="s">
        <v>49</v>
      </c>
      <c r="R675" s="263">
        <v>2915400</v>
      </c>
      <c r="S675" s="263"/>
      <c r="T675" s="263"/>
      <c r="U675" s="263"/>
      <c r="V675" s="84" t="s">
        <v>54</v>
      </c>
      <c r="W675" s="85"/>
    </row>
    <row r="676" spans="1:24" ht="18.75" customHeight="1">
      <c r="A676" s="86" t="s">
        <v>55</v>
      </c>
      <c r="B676" s="84"/>
      <c r="C676" s="87"/>
      <c r="D676" s="88"/>
      <c r="E676" s="89"/>
      <c r="F676" s="89"/>
      <c r="G676" s="89"/>
      <c r="H676" s="84"/>
      <c r="I676" s="90">
        <f>'[1]LUONG T7'!F83</f>
        <v>0</v>
      </c>
      <c r="J676" s="91"/>
      <c r="K676" s="92"/>
      <c r="M676" s="86" t="s">
        <v>55</v>
      </c>
      <c r="N676" s="84"/>
      <c r="O676" s="87"/>
      <c r="P676" s="88"/>
      <c r="Q676" s="89"/>
      <c r="R676" s="89"/>
      <c r="S676" s="89"/>
      <c r="T676" s="84"/>
      <c r="U676" s="90">
        <f>'[1]LUONG T7'!F85</f>
        <v>0</v>
      </c>
      <c r="V676" s="91"/>
      <c r="W676" s="92"/>
    </row>
    <row r="677" spans="1:24" ht="18.75" customHeight="1">
      <c r="A677" s="86" t="s">
        <v>56</v>
      </c>
      <c r="B677" s="84"/>
      <c r="C677" s="87"/>
      <c r="D677" s="88"/>
      <c r="E677" s="89"/>
      <c r="F677" s="89"/>
      <c r="G677" s="89"/>
      <c r="H677" s="84"/>
      <c r="I677" s="90" t="e">
        <f>I678/C678/8</f>
        <v>#DIV/0!</v>
      </c>
      <c r="J677" s="91"/>
      <c r="K677" s="92"/>
      <c r="M677" s="86" t="s">
        <v>56</v>
      </c>
      <c r="N677" s="84"/>
      <c r="O677" s="87"/>
      <c r="P677" s="88"/>
      <c r="Q677" s="89"/>
      <c r="R677" s="89"/>
      <c r="S677" s="89"/>
      <c r="T677" s="84"/>
      <c r="U677" s="90" t="e">
        <f>U678/O678/8</f>
        <v>#DIV/0!</v>
      </c>
      <c r="V677" s="91"/>
      <c r="W677" s="92"/>
    </row>
    <row r="678" spans="1:24" ht="18.75" customHeight="1">
      <c r="A678" s="86" t="s">
        <v>57</v>
      </c>
      <c r="B678" s="84" t="s">
        <v>49</v>
      </c>
      <c r="C678" s="87">
        <f>'[1]LUONG T7'!I82</f>
        <v>0</v>
      </c>
      <c r="D678" s="88" t="s">
        <v>58</v>
      </c>
      <c r="E678" s="261" t="s">
        <v>59</v>
      </c>
      <c r="F678" s="261"/>
      <c r="G678" s="261"/>
      <c r="H678" s="84" t="s">
        <v>49</v>
      </c>
      <c r="I678" s="262">
        <f>'[1]LUONG T7'!I83</f>
        <v>0</v>
      </c>
      <c r="J678" s="262"/>
      <c r="K678" s="92" t="s">
        <v>54</v>
      </c>
      <c r="L678" s="93">
        <f>F675/L668*C678</f>
        <v>0</v>
      </c>
      <c r="M678" s="86" t="s">
        <v>57</v>
      </c>
      <c r="N678" s="84" t="s">
        <v>49</v>
      </c>
      <c r="O678" s="87">
        <f>'[1]LUONG T7'!I84</f>
        <v>0</v>
      </c>
      <c r="P678" s="88" t="s">
        <v>58</v>
      </c>
      <c r="Q678" s="261" t="s">
        <v>59</v>
      </c>
      <c r="R678" s="261"/>
      <c r="S678" s="261"/>
      <c r="T678" s="84" t="s">
        <v>49</v>
      </c>
      <c r="U678" s="262">
        <f>'[1]LUONG T7'!I85</f>
        <v>0</v>
      </c>
      <c r="V678" s="262"/>
      <c r="W678" s="92" t="s">
        <v>54</v>
      </c>
      <c r="X678" s="93">
        <f>R675/X668*O678</f>
        <v>0</v>
      </c>
    </row>
    <row r="679" spans="1:24" ht="18.75" customHeight="1">
      <c r="A679" s="86" t="s">
        <v>60</v>
      </c>
      <c r="B679" s="84" t="s">
        <v>49</v>
      </c>
      <c r="C679" s="87">
        <f>'[1]LUONG T7'!J82</f>
        <v>0</v>
      </c>
      <c r="D679" s="88" t="s">
        <v>58</v>
      </c>
      <c r="E679" s="249" t="s">
        <v>61</v>
      </c>
      <c r="F679" s="249"/>
      <c r="G679" s="249"/>
      <c r="H679" s="84" t="s">
        <v>49</v>
      </c>
      <c r="I679" s="260">
        <f>$F$8/$L$1*C679</f>
        <v>0</v>
      </c>
      <c r="J679" s="260"/>
      <c r="K679" s="92" t="s">
        <v>54</v>
      </c>
      <c r="L679" s="93"/>
      <c r="M679" s="86" t="s">
        <v>60</v>
      </c>
      <c r="N679" s="84" t="s">
        <v>49</v>
      </c>
      <c r="O679" s="87">
        <f>'[1]LUONG T7'!J84</f>
        <v>0</v>
      </c>
      <c r="P679" s="88" t="s">
        <v>58</v>
      </c>
      <c r="Q679" s="249" t="s">
        <v>61</v>
      </c>
      <c r="R679" s="249"/>
      <c r="S679" s="249"/>
      <c r="T679" s="84" t="s">
        <v>49</v>
      </c>
      <c r="U679" s="260">
        <f>$F$8/$L$1*O679</f>
        <v>0</v>
      </c>
      <c r="V679" s="260"/>
      <c r="W679" s="92" t="s">
        <v>54</v>
      </c>
      <c r="X679" s="93"/>
    </row>
    <row r="680" spans="1:24" ht="18.75" customHeight="1">
      <c r="A680" s="86" t="s">
        <v>62</v>
      </c>
      <c r="B680" s="84" t="s">
        <v>49</v>
      </c>
      <c r="C680" s="87">
        <f>'[1]LUONG T7'!K82</f>
        <v>0</v>
      </c>
      <c r="D680" s="88" t="s">
        <v>58</v>
      </c>
      <c r="E680" s="259" t="s">
        <v>63</v>
      </c>
      <c r="F680" s="259"/>
      <c r="G680" s="259"/>
      <c r="H680" s="84" t="s">
        <v>49</v>
      </c>
      <c r="I680" s="260">
        <f>$F$8/$L$1*C680</f>
        <v>0</v>
      </c>
      <c r="J680" s="260"/>
      <c r="K680" s="92" t="s">
        <v>54</v>
      </c>
      <c r="L680" s="93"/>
      <c r="M680" s="86" t="s">
        <v>62</v>
      </c>
      <c r="N680" s="84" t="s">
        <v>49</v>
      </c>
      <c r="O680" s="87">
        <f>'[1]LUONG T7'!K84</f>
        <v>0</v>
      </c>
      <c r="P680" s="88" t="s">
        <v>58</v>
      </c>
      <c r="Q680" s="259" t="s">
        <v>63</v>
      </c>
      <c r="R680" s="259"/>
      <c r="S680" s="259"/>
      <c r="T680" s="84" t="s">
        <v>49</v>
      </c>
      <c r="U680" s="260">
        <f>$F$8/$L$1*O680</f>
        <v>0</v>
      </c>
      <c r="V680" s="260"/>
      <c r="W680" s="92" t="s">
        <v>54</v>
      </c>
      <c r="X680" s="93"/>
    </row>
    <row r="681" spans="1:24" ht="18.75" customHeight="1">
      <c r="A681" s="86" t="s">
        <v>64</v>
      </c>
      <c r="B681" s="84" t="s">
        <v>49</v>
      </c>
      <c r="C681" s="87">
        <f>'[1]LUONG T7'!L82</f>
        <v>0</v>
      </c>
      <c r="D681" s="88" t="s">
        <v>58</v>
      </c>
      <c r="E681" s="259" t="s">
        <v>65</v>
      </c>
      <c r="F681" s="259"/>
      <c r="G681" s="259"/>
      <c r="H681" s="84" t="s">
        <v>49</v>
      </c>
      <c r="I681" s="260">
        <f>$F$8/$L$1*C681</f>
        <v>0</v>
      </c>
      <c r="J681" s="260"/>
      <c r="K681" s="92" t="s">
        <v>54</v>
      </c>
      <c r="L681" s="93"/>
      <c r="M681" s="86" t="s">
        <v>64</v>
      </c>
      <c r="N681" s="84" t="s">
        <v>49</v>
      </c>
      <c r="O681" s="87">
        <f>'[1]LUONG T7'!L84</f>
        <v>0</v>
      </c>
      <c r="P681" s="88" t="s">
        <v>58</v>
      </c>
      <c r="Q681" s="259" t="s">
        <v>65</v>
      </c>
      <c r="R681" s="259"/>
      <c r="S681" s="259"/>
      <c r="T681" s="84" t="s">
        <v>49</v>
      </c>
      <c r="U681" s="260">
        <f>$F$8/$L$1*O681</f>
        <v>0</v>
      </c>
      <c r="V681" s="260"/>
      <c r="W681" s="92" t="s">
        <v>54</v>
      </c>
      <c r="X681" s="93"/>
    </row>
    <row r="682" spans="1:24" ht="18.75" customHeight="1">
      <c r="A682" s="86" t="s">
        <v>66</v>
      </c>
      <c r="B682" s="84" t="s">
        <v>49</v>
      </c>
      <c r="C682" s="87">
        <f>'[1]LUONG T7'!Q82</f>
        <v>0</v>
      </c>
      <c r="D682" s="88" t="s">
        <v>67</v>
      </c>
      <c r="E682" s="249" t="s">
        <v>68</v>
      </c>
      <c r="F682" s="249"/>
      <c r="G682" s="249"/>
      <c r="H682" s="84" t="s">
        <v>49</v>
      </c>
      <c r="I682" s="260">
        <f>'[1]LUONG T7'!Q83</f>
        <v>0</v>
      </c>
      <c r="J682" s="260"/>
      <c r="K682" s="92" t="s">
        <v>54</v>
      </c>
      <c r="L682" s="93">
        <f>F675*C682/L668/8*1.5</f>
        <v>0</v>
      </c>
      <c r="M682" s="86" t="s">
        <v>66</v>
      </c>
      <c r="N682" s="84" t="s">
        <v>49</v>
      </c>
      <c r="O682" s="87">
        <f>'[1]LUONG T7'!Q84</f>
        <v>0</v>
      </c>
      <c r="P682" s="88" t="s">
        <v>67</v>
      </c>
      <c r="Q682" s="249" t="s">
        <v>68</v>
      </c>
      <c r="R682" s="249"/>
      <c r="S682" s="249"/>
      <c r="T682" s="84" t="s">
        <v>49</v>
      </c>
      <c r="U682" s="260">
        <f>'[1]LUONG T7'!Q85</f>
        <v>0</v>
      </c>
      <c r="V682" s="260"/>
      <c r="W682" s="92" t="s">
        <v>54</v>
      </c>
      <c r="X682" s="93">
        <f>R675*O682/X668/8*1.5</f>
        <v>0</v>
      </c>
    </row>
    <row r="683" spans="1:24" ht="18.75" customHeight="1">
      <c r="A683" s="248" t="s">
        <v>69</v>
      </c>
      <c r="B683" s="249"/>
      <c r="C683" s="87"/>
      <c r="D683" s="88" t="s">
        <v>58</v>
      </c>
      <c r="E683" s="249" t="s">
        <v>70</v>
      </c>
      <c r="F683" s="249"/>
      <c r="G683" s="249"/>
      <c r="H683" s="94" t="s">
        <v>49</v>
      </c>
      <c r="I683" s="260"/>
      <c r="J683" s="260"/>
      <c r="K683" s="92" t="s">
        <v>54</v>
      </c>
      <c r="L683" s="93"/>
      <c r="M683" s="248" t="s">
        <v>69</v>
      </c>
      <c r="N683" s="249"/>
      <c r="O683" s="87"/>
      <c r="P683" s="88" t="s">
        <v>58</v>
      </c>
      <c r="Q683" s="249" t="s">
        <v>70</v>
      </c>
      <c r="R683" s="249"/>
      <c r="S683" s="249"/>
      <c r="T683" s="94" t="s">
        <v>49</v>
      </c>
      <c r="U683" s="260"/>
      <c r="V683" s="260"/>
      <c r="W683" s="92" t="s">
        <v>54</v>
      </c>
      <c r="X683" s="93"/>
    </row>
    <row r="684" spans="1:24" ht="18.75" customHeight="1">
      <c r="A684" s="86" t="s">
        <v>71</v>
      </c>
      <c r="B684" s="84" t="s">
        <v>49</v>
      </c>
      <c r="C684" s="87"/>
      <c r="D684" s="88" t="s">
        <v>58</v>
      </c>
      <c r="E684" s="249" t="s">
        <v>72</v>
      </c>
      <c r="F684" s="249"/>
      <c r="G684" s="249"/>
      <c r="H684" s="84" t="s">
        <v>49</v>
      </c>
      <c r="I684" s="260"/>
      <c r="J684" s="260"/>
      <c r="K684" s="92" t="s">
        <v>54</v>
      </c>
      <c r="L684" s="93"/>
      <c r="M684" s="86" t="s">
        <v>71</v>
      </c>
      <c r="N684" s="84" t="s">
        <v>49</v>
      </c>
      <c r="O684" s="87"/>
      <c r="P684" s="88" t="s">
        <v>58</v>
      </c>
      <c r="Q684" s="249" t="s">
        <v>72</v>
      </c>
      <c r="R684" s="249"/>
      <c r="S684" s="249"/>
      <c r="T684" s="84" t="s">
        <v>49</v>
      </c>
      <c r="U684" s="260"/>
      <c r="V684" s="260"/>
      <c r="W684" s="92" t="s">
        <v>54</v>
      </c>
      <c r="X684" s="93"/>
    </row>
    <row r="685" spans="1:24" ht="18.75" customHeight="1">
      <c r="A685" s="95" t="s">
        <v>73</v>
      </c>
      <c r="B685" s="84"/>
      <c r="C685" s="87">
        <f>'[1]LUONG T7'!M82</f>
        <v>0</v>
      </c>
      <c r="D685" s="88" t="s">
        <v>67</v>
      </c>
      <c r="E685" s="249" t="s">
        <v>74</v>
      </c>
      <c r="F685" s="249"/>
      <c r="G685" s="249"/>
      <c r="H685" s="84" t="s">
        <v>49</v>
      </c>
      <c r="I685" s="260">
        <f>$F$8*C685/8/$L$1</f>
        <v>0</v>
      </c>
      <c r="J685" s="260"/>
      <c r="K685" s="92" t="s">
        <v>54</v>
      </c>
      <c r="L685" s="93"/>
      <c r="M685" s="95" t="s">
        <v>73</v>
      </c>
      <c r="N685" s="84"/>
      <c r="O685" s="87">
        <f>'[1]LUONG T7'!M84</f>
        <v>0</v>
      </c>
      <c r="P685" s="88" t="s">
        <v>67</v>
      </c>
      <c r="Q685" s="249" t="s">
        <v>74</v>
      </c>
      <c r="R685" s="249"/>
      <c r="S685" s="249"/>
      <c r="T685" s="84" t="s">
        <v>49</v>
      </c>
      <c r="U685" s="260">
        <f>$F$8*O685/8/$L$1</f>
        <v>0</v>
      </c>
      <c r="V685" s="260"/>
      <c r="W685" s="92" t="s">
        <v>54</v>
      </c>
      <c r="X685" s="93"/>
    </row>
    <row r="686" spans="1:24" ht="18.75" customHeight="1">
      <c r="A686" s="86" t="s">
        <v>75</v>
      </c>
      <c r="B686" s="84" t="s">
        <v>49</v>
      </c>
      <c r="C686" s="87"/>
      <c r="D686" s="88" t="s">
        <v>67</v>
      </c>
      <c r="E686" s="249" t="s">
        <v>97</v>
      </c>
      <c r="F686" s="249"/>
      <c r="G686" s="249"/>
      <c r="H686" s="84" t="s">
        <v>49</v>
      </c>
      <c r="I686" s="262"/>
      <c r="J686" s="262"/>
      <c r="K686" s="92" t="s">
        <v>54</v>
      </c>
      <c r="L686" s="93"/>
      <c r="M686" s="86" t="s">
        <v>75</v>
      </c>
      <c r="N686" s="84" t="s">
        <v>49</v>
      </c>
      <c r="O686" s="87"/>
      <c r="P686" s="88" t="s">
        <v>67</v>
      </c>
      <c r="Q686" s="249" t="s">
        <v>97</v>
      </c>
      <c r="R686" s="249"/>
      <c r="S686" s="249"/>
      <c r="T686" s="84" t="s">
        <v>49</v>
      </c>
      <c r="U686" s="262"/>
      <c r="V686" s="262"/>
      <c r="W686" s="92" t="s">
        <v>54</v>
      </c>
      <c r="X686" s="93"/>
    </row>
    <row r="687" spans="1:24" ht="18.75" customHeight="1">
      <c r="A687" s="86" t="s">
        <v>77</v>
      </c>
      <c r="B687" s="84" t="s">
        <v>49</v>
      </c>
      <c r="C687" s="87"/>
      <c r="D687" s="88" t="s">
        <v>78</v>
      </c>
      <c r="E687" s="96" t="s">
        <v>79</v>
      </c>
      <c r="F687" s="96"/>
      <c r="G687" s="96"/>
      <c r="H687" s="84" t="s">
        <v>49</v>
      </c>
      <c r="I687" s="260"/>
      <c r="J687" s="260"/>
      <c r="K687" s="92" t="s">
        <v>54</v>
      </c>
      <c r="L687" s="93">
        <f>+IF(L678-I678&lt;0,0,L678-I678)+IF(L682-I682&lt;0,0,L682-I682)</f>
        <v>0</v>
      </c>
      <c r="M687" s="86" t="s">
        <v>77</v>
      </c>
      <c r="N687" s="84" t="s">
        <v>49</v>
      </c>
      <c r="O687" s="87"/>
      <c r="P687" s="88" t="s">
        <v>78</v>
      </c>
      <c r="Q687" s="96" t="s">
        <v>79</v>
      </c>
      <c r="R687" s="96"/>
      <c r="S687" s="96"/>
      <c r="T687" s="84" t="s">
        <v>49</v>
      </c>
      <c r="U687" s="260"/>
      <c r="V687" s="260"/>
      <c r="W687" s="92" t="s">
        <v>54</v>
      </c>
      <c r="X687" s="93">
        <f>+IF(X678-U678&lt;0,0,X678-U678)+IF(X682-U682&lt;0,0,X682-U682)</f>
        <v>0</v>
      </c>
    </row>
    <row r="688" spans="1:24" ht="18.75" customHeight="1">
      <c r="A688" s="97" t="s">
        <v>122</v>
      </c>
      <c r="B688" s="98"/>
      <c r="C688" s="87"/>
      <c r="D688" s="88" t="s">
        <v>58</v>
      </c>
      <c r="E688" s="249" t="s">
        <v>123</v>
      </c>
      <c r="F688" s="249"/>
      <c r="G688" s="249"/>
      <c r="H688" s="84" t="s">
        <v>49</v>
      </c>
      <c r="I688" s="260"/>
      <c r="J688" s="260"/>
      <c r="K688" s="92" t="s">
        <v>54</v>
      </c>
      <c r="L688" s="93"/>
      <c r="M688" s="97" t="s">
        <v>122</v>
      </c>
      <c r="N688" s="98"/>
      <c r="O688" s="87"/>
      <c r="P688" s="88" t="s">
        <v>58</v>
      </c>
      <c r="Q688" s="249" t="s">
        <v>123</v>
      </c>
      <c r="R688" s="249"/>
      <c r="S688" s="249"/>
      <c r="T688" s="84" t="s">
        <v>49</v>
      </c>
      <c r="U688" s="260"/>
      <c r="V688" s="260"/>
      <c r="W688" s="92" t="s">
        <v>54</v>
      </c>
      <c r="X688" s="93"/>
    </row>
    <row r="689" spans="1:24" ht="18.75" customHeight="1">
      <c r="A689" s="267" t="s">
        <v>82</v>
      </c>
      <c r="B689" s="261"/>
      <c r="C689" s="87"/>
      <c r="D689" s="88"/>
      <c r="E689" s="89"/>
      <c r="F689" s="89"/>
      <c r="G689" s="89"/>
      <c r="H689" s="84" t="s">
        <v>49</v>
      </c>
      <c r="I689" s="260">
        <f>'[1]LUONG T7'!P83</f>
        <v>0</v>
      </c>
      <c r="J689" s="260"/>
      <c r="K689" s="92" t="s">
        <v>54</v>
      </c>
      <c r="L689" s="93"/>
      <c r="M689" s="267" t="s">
        <v>82</v>
      </c>
      <c r="N689" s="261"/>
      <c r="O689" s="87"/>
      <c r="P689" s="88"/>
      <c r="Q689" s="89"/>
      <c r="R689" s="89"/>
      <c r="S689" s="89"/>
      <c r="T689" s="84" t="s">
        <v>49</v>
      </c>
      <c r="U689" s="260">
        <f>'[1]LUONG T7'!P85</f>
        <v>0</v>
      </c>
      <c r="V689" s="260"/>
      <c r="W689" s="92" t="s">
        <v>54</v>
      </c>
      <c r="X689" s="93"/>
    </row>
    <row r="690" spans="1:24" ht="18.75" customHeight="1">
      <c r="A690" s="86" t="s">
        <v>83</v>
      </c>
      <c r="B690" s="84" t="s">
        <v>49</v>
      </c>
      <c r="C690" s="87"/>
      <c r="D690" s="88"/>
      <c r="E690" s="89" t="s">
        <v>84</v>
      </c>
      <c r="F690" s="89"/>
      <c r="G690" s="89"/>
      <c r="H690" s="84" t="s">
        <v>49</v>
      </c>
      <c r="I690" s="260">
        <f>L687</f>
        <v>0</v>
      </c>
      <c r="J690" s="260"/>
      <c r="K690" s="92" t="s">
        <v>54</v>
      </c>
      <c r="L690" s="93"/>
      <c r="M690" s="86" t="s">
        <v>83</v>
      </c>
      <c r="N690" s="84" t="s">
        <v>49</v>
      </c>
      <c r="O690" s="87"/>
      <c r="P690" s="88"/>
      <c r="Q690" s="89" t="s">
        <v>84</v>
      </c>
      <c r="R690" s="89"/>
      <c r="S690" s="89"/>
      <c r="T690" s="84" t="s">
        <v>49</v>
      </c>
      <c r="U690" s="260">
        <f>X687</f>
        <v>0</v>
      </c>
      <c r="V690" s="260"/>
      <c r="W690" s="92" t="s">
        <v>54</v>
      </c>
      <c r="X690" s="93"/>
    </row>
    <row r="691" spans="1:24" ht="18.75" customHeight="1">
      <c r="A691" s="264" t="s">
        <v>85</v>
      </c>
      <c r="B691" s="265"/>
      <c r="C691" s="265"/>
      <c r="D691" s="265"/>
      <c r="E691" s="265"/>
      <c r="F691" s="265"/>
      <c r="G691" s="84" t="s">
        <v>49</v>
      </c>
      <c r="H691" s="266">
        <f>I678+I679+I680+I681+I682+I685+I689+I690</f>
        <v>0</v>
      </c>
      <c r="I691" s="266"/>
      <c r="J691" s="266"/>
      <c r="K691" s="92" t="s">
        <v>54</v>
      </c>
      <c r="M691" s="264" t="s">
        <v>85</v>
      </c>
      <c r="N691" s="265"/>
      <c r="O691" s="265"/>
      <c r="P691" s="265"/>
      <c r="Q691" s="265"/>
      <c r="R691" s="265"/>
      <c r="S691" s="84" t="s">
        <v>49</v>
      </c>
      <c r="T691" s="266">
        <f>U678+U679+U680+U681+U682+U685+U689+U690</f>
        <v>0</v>
      </c>
      <c r="U691" s="266"/>
      <c r="V691" s="266"/>
      <c r="W691" s="92" t="s">
        <v>54</v>
      </c>
    </row>
    <row r="692" spans="1:24" ht="18.75" customHeight="1">
      <c r="A692" s="99"/>
      <c r="B692" s="100"/>
      <c r="C692" s="100"/>
      <c r="D692" s="100"/>
      <c r="E692" s="100"/>
      <c r="F692" s="100"/>
      <c r="G692" s="100"/>
      <c r="H692" s="100"/>
      <c r="I692" s="100"/>
      <c r="J692" s="100"/>
      <c r="K692" s="101"/>
      <c r="M692" s="99"/>
      <c r="N692" s="100"/>
      <c r="O692" s="100"/>
      <c r="P692" s="100"/>
      <c r="Q692" s="100"/>
      <c r="R692" s="100"/>
      <c r="S692" s="100"/>
      <c r="T692" s="100"/>
      <c r="U692" s="100"/>
      <c r="V692" s="100"/>
      <c r="W692" s="101"/>
    </row>
    <row r="693" spans="1:24" ht="18.75" customHeight="1">
      <c r="A693" s="274" t="s">
        <v>86</v>
      </c>
      <c r="B693" s="275"/>
      <c r="C693" s="275"/>
      <c r="D693" s="275"/>
      <c r="E693" s="275"/>
      <c r="F693" s="275"/>
      <c r="G693" s="84"/>
      <c r="H693" s="84"/>
      <c r="I693" s="84"/>
      <c r="J693" s="84"/>
      <c r="K693" s="92"/>
      <c r="M693" s="274" t="s">
        <v>86</v>
      </c>
      <c r="N693" s="275"/>
      <c r="O693" s="275"/>
      <c r="P693" s="275"/>
      <c r="Q693" s="275"/>
      <c r="R693" s="275"/>
      <c r="S693" s="84"/>
      <c r="T693" s="84"/>
      <c r="U693" s="84"/>
      <c r="V693" s="84"/>
      <c r="W693" s="92"/>
    </row>
    <row r="694" spans="1:24" ht="18.75" customHeight="1">
      <c r="A694" s="268" t="s">
        <v>87</v>
      </c>
      <c r="B694" s="269"/>
      <c r="C694" s="269"/>
      <c r="D694" s="269"/>
      <c r="E694" s="269"/>
      <c r="F694" s="269"/>
      <c r="G694" s="84" t="s">
        <v>49</v>
      </c>
      <c r="H694" s="276">
        <f>IF(($L$1-(C678+C679+C680+C681))&gt;12,0,F675*8%)</f>
        <v>0</v>
      </c>
      <c r="I694" s="276"/>
      <c r="J694" s="276"/>
      <c r="K694" s="92" t="s">
        <v>54</v>
      </c>
      <c r="M694" s="268" t="s">
        <v>87</v>
      </c>
      <c r="N694" s="269"/>
      <c r="O694" s="269"/>
      <c r="P694" s="269"/>
      <c r="Q694" s="269"/>
      <c r="R694" s="269"/>
      <c r="S694" s="84" t="s">
        <v>49</v>
      </c>
      <c r="T694" s="276">
        <f>IF(($L$1-(O678+O679+O680+O681))&gt;12,0,R675*8%)</f>
        <v>0</v>
      </c>
      <c r="U694" s="276"/>
      <c r="V694" s="276"/>
      <c r="W694" s="92" t="s">
        <v>54</v>
      </c>
    </row>
    <row r="695" spans="1:24" ht="18.75" customHeight="1">
      <c r="A695" s="268" t="s">
        <v>88</v>
      </c>
      <c r="B695" s="269"/>
      <c r="C695" s="269"/>
      <c r="D695" s="269"/>
      <c r="E695" s="269"/>
      <c r="F695" s="269"/>
      <c r="G695" s="84" t="s">
        <v>49</v>
      </c>
      <c r="H695" s="270">
        <f>IF(($L$1-(C678+C679+C680+C681))&gt;12,0,F675*1.5%)</f>
        <v>0</v>
      </c>
      <c r="I695" s="270"/>
      <c r="J695" s="270"/>
      <c r="K695" s="92" t="s">
        <v>54</v>
      </c>
      <c r="M695" s="268" t="s">
        <v>88</v>
      </c>
      <c r="N695" s="269"/>
      <c r="O695" s="269"/>
      <c r="P695" s="269"/>
      <c r="Q695" s="269"/>
      <c r="R695" s="269"/>
      <c r="S695" s="84" t="s">
        <v>49</v>
      </c>
      <c r="T695" s="270">
        <f>IF(($L$1-(O678+O679+O680+O681))&gt;12,0,R675*1.5%)</f>
        <v>0</v>
      </c>
      <c r="U695" s="270"/>
      <c r="V695" s="270"/>
      <c r="W695" s="92" t="s">
        <v>54</v>
      </c>
    </row>
    <row r="696" spans="1:24" ht="18.75" customHeight="1">
      <c r="A696" s="268" t="s">
        <v>89</v>
      </c>
      <c r="B696" s="269"/>
      <c r="C696" s="269"/>
      <c r="D696" s="269"/>
      <c r="E696" s="269"/>
      <c r="F696" s="269"/>
      <c r="G696" s="84" t="s">
        <v>49</v>
      </c>
      <c r="H696" s="270">
        <f>IF(($L$1-(C678+C679+C680+C681))&gt;12,0,F675*1%)</f>
        <v>0</v>
      </c>
      <c r="I696" s="270"/>
      <c r="J696" s="270"/>
      <c r="K696" s="92" t="s">
        <v>54</v>
      </c>
      <c r="M696" s="268" t="s">
        <v>89</v>
      </c>
      <c r="N696" s="269"/>
      <c r="O696" s="269"/>
      <c r="P696" s="269"/>
      <c r="Q696" s="269"/>
      <c r="R696" s="269"/>
      <c r="S696" s="84" t="s">
        <v>49</v>
      </c>
      <c r="T696" s="270">
        <f>IF(($L$1-(O678+O679+O680+O681))&gt;12,0,R675*1%)</f>
        <v>0</v>
      </c>
      <c r="U696" s="270"/>
      <c r="V696" s="270"/>
      <c r="W696" s="92" t="s">
        <v>54</v>
      </c>
    </row>
    <row r="697" spans="1:24" ht="18.75" customHeight="1">
      <c r="A697" s="268" t="s">
        <v>90</v>
      </c>
      <c r="B697" s="269"/>
      <c r="C697" s="269"/>
      <c r="D697" s="269"/>
      <c r="E697" s="269"/>
      <c r="F697" s="269"/>
      <c r="G697" s="84" t="s">
        <v>49</v>
      </c>
      <c r="H697" s="270">
        <v>0</v>
      </c>
      <c r="I697" s="270"/>
      <c r="J697" s="270"/>
      <c r="K697" s="92" t="s">
        <v>54</v>
      </c>
      <c r="M697" s="268" t="s">
        <v>90</v>
      </c>
      <c r="N697" s="269"/>
      <c r="O697" s="269"/>
      <c r="P697" s="269"/>
      <c r="Q697" s="269"/>
      <c r="R697" s="269"/>
      <c r="S697" s="84" t="s">
        <v>49</v>
      </c>
      <c r="T697" s="270">
        <v>0</v>
      </c>
      <c r="U697" s="270"/>
      <c r="V697" s="270"/>
      <c r="W697" s="92" t="s">
        <v>54</v>
      </c>
    </row>
    <row r="698" spans="1:24" ht="18.75" customHeight="1">
      <c r="A698" s="271" t="s">
        <v>91</v>
      </c>
      <c r="B698" s="272"/>
      <c r="C698" s="272"/>
      <c r="D698" s="272"/>
      <c r="E698" s="272"/>
      <c r="F698" s="272"/>
      <c r="G698" s="84" t="s">
        <v>49</v>
      </c>
      <c r="H698" s="273">
        <f>SUM(H694:J697)</f>
        <v>0</v>
      </c>
      <c r="I698" s="273"/>
      <c r="J698" s="273"/>
      <c r="K698" s="92" t="s">
        <v>54</v>
      </c>
      <c r="M698" s="271" t="s">
        <v>91</v>
      </c>
      <c r="N698" s="272"/>
      <c r="O698" s="272"/>
      <c r="P698" s="272"/>
      <c r="Q698" s="272"/>
      <c r="R698" s="272"/>
      <c r="S698" s="84" t="s">
        <v>49</v>
      </c>
      <c r="T698" s="273">
        <f>SUM(T694:V697)</f>
        <v>0</v>
      </c>
      <c r="U698" s="273"/>
      <c r="V698" s="273"/>
      <c r="W698" s="92" t="s">
        <v>54</v>
      </c>
    </row>
    <row r="699" spans="1:24" ht="18.75" customHeight="1">
      <c r="A699" s="268" t="s">
        <v>92</v>
      </c>
      <c r="B699" s="269"/>
      <c r="C699" s="269"/>
      <c r="D699" s="269"/>
      <c r="E699" s="269"/>
      <c r="F699" s="269"/>
      <c r="G699" s="84" t="s">
        <v>49</v>
      </c>
      <c r="H699" s="280">
        <f>ROUND(H691-H698,-2)</f>
        <v>0</v>
      </c>
      <c r="I699" s="280"/>
      <c r="J699" s="280"/>
      <c r="K699" s="92" t="s">
        <v>54</v>
      </c>
      <c r="M699" s="268" t="s">
        <v>92</v>
      </c>
      <c r="N699" s="269"/>
      <c r="O699" s="269"/>
      <c r="P699" s="269"/>
      <c r="Q699" s="269"/>
      <c r="R699" s="269"/>
      <c r="S699" s="84" t="s">
        <v>49</v>
      </c>
      <c r="T699" s="280">
        <f>ROUND(T691-T698,-2)</f>
        <v>0</v>
      </c>
      <c r="U699" s="280"/>
      <c r="V699" s="280"/>
      <c r="W699" s="92" t="s">
        <v>54</v>
      </c>
    </row>
    <row r="700" spans="1:24" ht="18.75" customHeight="1">
      <c r="A700" s="102"/>
      <c r="B700" s="103"/>
      <c r="C700" s="103"/>
      <c r="D700" s="103"/>
      <c r="E700" s="103"/>
      <c r="F700" s="103"/>
      <c r="G700" s="103"/>
      <c r="H700" s="103"/>
      <c r="I700" s="103"/>
      <c r="J700" s="103"/>
      <c r="K700" s="104"/>
      <c r="M700" s="102"/>
      <c r="N700" s="103"/>
      <c r="O700" s="103"/>
      <c r="P700" s="103"/>
      <c r="Q700" s="103"/>
      <c r="R700" s="103"/>
      <c r="S700" s="103"/>
      <c r="T700" s="103"/>
      <c r="U700" s="103"/>
      <c r="V700" s="103"/>
      <c r="W700" s="104"/>
    </row>
    <row r="701" spans="1:24" ht="18.75" customHeight="1">
      <c r="A701" s="105"/>
      <c r="B701" s="84"/>
      <c r="C701" s="84"/>
      <c r="D701" s="84"/>
      <c r="E701" s="84"/>
      <c r="F701" s="84"/>
      <c r="G701" s="84"/>
      <c r="H701" s="84"/>
      <c r="I701" s="277" t="s">
        <v>93</v>
      </c>
      <c r="J701" s="277"/>
      <c r="K701" s="281"/>
      <c r="M701" s="105"/>
      <c r="N701" s="84"/>
      <c r="O701" s="84"/>
      <c r="P701" s="84"/>
      <c r="Q701" s="84"/>
      <c r="R701" s="84"/>
      <c r="S701" s="84"/>
      <c r="T701" s="84"/>
      <c r="U701" s="277" t="s">
        <v>93</v>
      </c>
      <c r="V701" s="277"/>
      <c r="W701" s="281"/>
    </row>
    <row r="702" spans="1:24" ht="18.75" customHeight="1">
      <c r="A702" s="105"/>
      <c r="B702" s="277"/>
      <c r="C702" s="277"/>
      <c r="D702" s="277"/>
      <c r="E702" s="277"/>
      <c r="F702" s="84"/>
      <c r="G702" s="84"/>
      <c r="H702" s="84"/>
      <c r="I702" s="84"/>
      <c r="J702" s="84"/>
      <c r="K702" s="85"/>
      <c r="M702" s="105"/>
      <c r="N702" s="277"/>
      <c r="O702" s="277"/>
      <c r="P702" s="277"/>
      <c r="Q702" s="277"/>
      <c r="R702" s="84"/>
      <c r="S702" s="84"/>
      <c r="T702" s="84"/>
      <c r="U702" s="84"/>
      <c r="V702" s="84"/>
      <c r="W702" s="85"/>
    </row>
    <row r="703" spans="1:24" ht="18.75" customHeight="1" thickBot="1">
      <c r="A703" s="106"/>
      <c r="B703" s="107"/>
      <c r="C703" s="107"/>
      <c r="D703" s="107"/>
      <c r="E703" s="107"/>
      <c r="F703" s="107"/>
      <c r="G703" s="107"/>
      <c r="H703" s="107"/>
      <c r="I703" s="278" t="s">
        <v>94</v>
      </c>
      <c r="J703" s="278"/>
      <c r="K703" s="279"/>
      <c r="M703" s="106"/>
      <c r="N703" s="107"/>
      <c r="O703" s="107"/>
      <c r="P703" s="107"/>
      <c r="Q703" s="107"/>
      <c r="R703" s="107"/>
      <c r="S703" s="107"/>
      <c r="T703" s="107"/>
      <c r="U703" s="278" t="s">
        <v>94</v>
      </c>
      <c r="V703" s="278"/>
      <c r="W703" s="279"/>
    </row>
    <row r="705" spans="1:24" ht="18.75" customHeight="1" thickTop="1">
      <c r="A705" s="253" t="s">
        <v>43</v>
      </c>
      <c r="B705" s="254"/>
      <c r="C705" s="254"/>
      <c r="D705" s="254"/>
      <c r="E705" s="254"/>
      <c r="F705" s="254"/>
      <c r="G705" s="254"/>
      <c r="H705" s="254"/>
      <c r="I705" s="254"/>
      <c r="J705" s="254"/>
      <c r="K705" s="255"/>
      <c r="L705" s="80">
        <v>25</v>
      </c>
      <c r="M705" s="253" t="s">
        <v>43</v>
      </c>
      <c r="N705" s="254"/>
      <c r="O705" s="254"/>
      <c r="P705" s="254"/>
      <c r="Q705" s="254"/>
      <c r="R705" s="254"/>
      <c r="S705" s="254"/>
      <c r="T705" s="254"/>
      <c r="U705" s="254"/>
      <c r="V705" s="254"/>
      <c r="W705" s="255"/>
      <c r="X705" s="80">
        <v>25</v>
      </c>
    </row>
    <row r="706" spans="1:24" ht="18.75" customHeight="1">
      <c r="A706" s="81" t="s">
        <v>146</v>
      </c>
      <c r="B706" s="82"/>
      <c r="C706" s="82"/>
      <c r="D706" s="82"/>
      <c r="E706" s="82"/>
      <c r="F706" s="82"/>
      <c r="G706" s="82"/>
      <c r="H706" s="82"/>
      <c r="I706" s="82"/>
      <c r="J706" s="82"/>
      <c r="K706" s="83"/>
      <c r="M706" s="81" t="s">
        <v>147</v>
      </c>
      <c r="N706" s="82"/>
      <c r="O706" s="82"/>
      <c r="P706" s="82"/>
      <c r="Q706" s="82"/>
      <c r="R706" s="82"/>
      <c r="S706" s="82"/>
      <c r="T706" s="82"/>
      <c r="U706" s="82"/>
      <c r="V706" s="82"/>
      <c r="W706" s="83"/>
    </row>
    <row r="707" spans="1:24" ht="18.75" customHeight="1">
      <c r="A707" s="256" t="s">
        <v>47</v>
      </c>
      <c r="B707" s="257"/>
      <c r="C707" s="257"/>
      <c r="D707" s="257"/>
      <c r="E707" s="257"/>
      <c r="F707" s="257"/>
      <c r="G707" s="257"/>
      <c r="H707" s="257"/>
      <c r="I707" s="257"/>
      <c r="J707" s="257"/>
      <c r="K707" s="258"/>
      <c r="M707" s="256" t="s">
        <v>47</v>
      </c>
      <c r="N707" s="257"/>
      <c r="O707" s="257"/>
      <c r="P707" s="257"/>
      <c r="Q707" s="257"/>
      <c r="R707" s="257"/>
      <c r="S707" s="257"/>
      <c r="T707" s="257"/>
      <c r="U707" s="257"/>
      <c r="V707" s="257"/>
      <c r="W707" s="258"/>
    </row>
    <row r="708" spans="1:24" ht="18.75" customHeight="1">
      <c r="A708" s="248" t="s">
        <v>48</v>
      </c>
      <c r="B708" s="249"/>
      <c r="C708" s="249"/>
      <c r="D708" s="249"/>
      <c r="E708" s="84" t="s">
        <v>49</v>
      </c>
      <c r="F708" s="250">
        <f>'[1]Bang TH nop'!B79</f>
        <v>0</v>
      </c>
      <c r="G708" s="249"/>
      <c r="H708" s="249"/>
      <c r="I708" s="249"/>
      <c r="J708" s="249"/>
      <c r="K708" s="252"/>
      <c r="M708" s="248" t="s">
        <v>48</v>
      </c>
      <c r="N708" s="249"/>
      <c r="O708" s="249"/>
      <c r="P708" s="249"/>
      <c r="Q708" s="84" t="s">
        <v>49</v>
      </c>
      <c r="R708" s="250">
        <f>'[1]Bang TH nop'!B81</f>
        <v>0</v>
      </c>
      <c r="S708" s="249"/>
      <c r="T708" s="249"/>
      <c r="U708" s="249"/>
      <c r="V708" s="249"/>
      <c r="W708" s="252"/>
    </row>
    <row r="709" spans="1:24" ht="18.75" customHeight="1">
      <c r="A709" s="248" t="s">
        <v>50</v>
      </c>
      <c r="B709" s="249"/>
      <c r="C709" s="249"/>
      <c r="D709" s="249"/>
      <c r="E709" s="84" t="s">
        <v>49</v>
      </c>
      <c r="F709" s="250">
        <f>'[1]Bang TH nop'!C79</f>
        <v>0</v>
      </c>
      <c r="G709" s="250"/>
      <c r="H709" s="250"/>
      <c r="I709" s="250"/>
      <c r="J709" s="250"/>
      <c r="K709" s="251"/>
      <c r="M709" s="248" t="s">
        <v>50</v>
      </c>
      <c r="N709" s="249"/>
      <c r="O709" s="249"/>
      <c r="P709" s="249"/>
      <c r="Q709" s="84" t="s">
        <v>49</v>
      </c>
      <c r="R709" s="250">
        <f>'[1]Bang TH nop'!C81</f>
        <v>0</v>
      </c>
      <c r="S709" s="250"/>
      <c r="T709" s="250"/>
      <c r="U709" s="250"/>
      <c r="V709" s="250"/>
      <c r="W709" s="251"/>
    </row>
    <row r="710" spans="1:24" ht="18.75" customHeight="1">
      <c r="A710" s="248" t="s">
        <v>51</v>
      </c>
      <c r="B710" s="249"/>
      <c r="C710" s="249"/>
      <c r="D710" s="249"/>
      <c r="E710" s="84" t="s">
        <v>49</v>
      </c>
      <c r="F710" s="249" t="s">
        <v>121</v>
      </c>
      <c r="G710" s="249"/>
      <c r="H710" s="249"/>
      <c r="I710" s="249"/>
      <c r="J710" s="249"/>
      <c r="K710" s="252"/>
      <c r="M710" s="248" t="s">
        <v>51</v>
      </c>
      <c r="N710" s="249"/>
      <c r="O710" s="249"/>
      <c r="P710" s="249"/>
      <c r="Q710" s="84" t="s">
        <v>49</v>
      </c>
      <c r="R710" s="249" t="s">
        <v>121</v>
      </c>
      <c r="S710" s="249"/>
      <c r="T710" s="249"/>
      <c r="U710" s="249"/>
      <c r="V710" s="249"/>
      <c r="W710" s="252"/>
    </row>
    <row r="711" spans="1:24" ht="18.75" customHeight="1">
      <c r="A711" s="256" t="s">
        <v>52</v>
      </c>
      <c r="B711" s="257"/>
      <c r="C711" s="257"/>
      <c r="D711" s="257"/>
      <c r="E711" s="257"/>
      <c r="F711" s="257"/>
      <c r="G711" s="257"/>
      <c r="H711" s="257"/>
      <c r="I711" s="257"/>
      <c r="J711" s="257"/>
      <c r="K711" s="258"/>
      <c r="M711" s="256" t="s">
        <v>52</v>
      </c>
      <c r="N711" s="257"/>
      <c r="O711" s="257"/>
      <c r="P711" s="257"/>
      <c r="Q711" s="257"/>
      <c r="R711" s="257"/>
      <c r="S711" s="257"/>
      <c r="T711" s="257"/>
      <c r="U711" s="257"/>
      <c r="V711" s="257"/>
      <c r="W711" s="258"/>
    </row>
    <row r="712" spans="1:24" ht="18.75" customHeight="1">
      <c r="A712" s="248" t="s">
        <v>53</v>
      </c>
      <c r="B712" s="249"/>
      <c r="C712" s="249"/>
      <c r="D712" s="249"/>
      <c r="E712" s="84" t="s">
        <v>49</v>
      </c>
      <c r="F712" s="263">
        <v>2915400</v>
      </c>
      <c r="G712" s="263"/>
      <c r="H712" s="263"/>
      <c r="I712" s="263"/>
      <c r="J712" s="84" t="s">
        <v>54</v>
      </c>
      <c r="K712" s="85"/>
      <c r="M712" s="248" t="s">
        <v>53</v>
      </c>
      <c r="N712" s="249"/>
      <c r="O712" s="249"/>
      <c r="P712" s="249"/>
      <c r="Q712" s="84" t="s">
        <v>49</v>
      </c>
      <c r="R712" s="263">
        <v>2915400</v>
      </c>
      <c r="S712" s="263"/>
      <c r="T712" s="263"/>
      <c r="U712" s="263"/>
      <c r="V712" s="84" t="s">
        <v>54</v>
      </c>
      <c r="W712" s="85"/>
    </row>
    <row r="713" spans="1:24" ht="18.75" customHeight="1">
      <c r="A713" s="86" t="s">
        <v>55</v>
      </c>
      <c r="B713" s="84"/>
      <c r="C713" s="87"/>
      <c r="D713" s="88"/>
      <c r="E713" s="89"/>
      <c r="F713" s="89"/>
      <c r="G713" s="89"/>
      <c r="H713" s="84"/>
      <c r="I713" s="90">
        <f>'[1]LUONG T7'!F87</f>
        <v>0</v>
      </c>
      <c r="J713" s="91"/>
      <c r="K713" s="92"/>
      <c r="M713" s="86" t="s">
        <v>55</v>
      </c>
      <c r="N713" s="84"/>
      <c r="O713" s="87"/>
      <c r="P713" s="88"/>
      <c r="Q713" s="89"/>
      <c r="R713" s="89"/>
      <c r="S713" s="89"/>
      <c r="T713" s="84"/>
      <c r="U713" s="90">
        <f>'[1]LUONG T7'!F89</f>
        <v>0</v>
      </c>
      <c r="V713" s="91"/>
      <c r="W713" s="92"/>
    </row>
    <row r="714" spans="1:24" ht="18.75" customHeight="1">
      <c r="A714" s="86" t="s">
        <v>56</v>
      </c>
      <c r="B714" s="84"/>
      <c r="C714" s="87"/>
      <c r="D714" s="88"/>
      <c r="E714" s="89"/>
      <c r="F714" s="89"/>
      <c r="G714" s="89"/>
      <c r="H714" s="84"/>
      <c r="I714" s="90" t="e">
        <f>I715/C715/8</f>
        <v>#DIV/0!</v>
      </c>
      <c r="J714" s="91"/>
      <c r="K714" s="92"/>
      <c r="M714" s="86" t="s">
        <v>56</v>
      </c>
      <c r="N714" s="84"/>
      <c r="O714" s="87"/>
      <c r="P714" s="88"/>
      <c r="Q714" s="89"/>
      <c r="R714" s="89"/>
      <c r="S714" s="89"/>
      <c r="T714" s="84"/>
      <c r="U714" s="90" t="e">
        <f>U715/O715/8</f>
        <v>#DIV/0!</v>
      </c>
      <c r="V714" s="91"/>
      <c r="W714" s="92"/>
    </row>
    <row r="715" spans="1:24" ht="18.75" customHeight="1">
      <c r="A715" s="86" t="s">
        <v>57</v>
      </c>
      <c r="B715" s="84" t="s">
        <v>49</v>
      </c>
      <c r="C715" s="87">
        <f>'[1]LUONG T7'!I86</f>
        <v>0</v>
      </c>
      <c r="D715" s="88" t="s">
        <v>58</v>
      </c>
      <c r="E715" s="261" t="s">
        <v>59</v>
      </c>
      <c r="F715" s="261"/>
      <c r="G715" s="261"/>
      <c r="H715" s="84" t="s">
        <v>49</v>
      </c>
      <c r="I715" s="262">
        <f>'[1]LUONG T7'!I87</f>
        <v>0</v>
      </c>
      <c r="J715" s="262"/>
      <c r="K715" s="92" t="s">
        <v>54</v>
      </c>
      <c r="L715" s="93">
        <f>F712/L705*C715</f>
        <v>0</v>
      </c>
      <c r="M715" s="86" t="s">
        <v>57</v>
      </c>
      <c r="N715" s="84" t="s">
        <v>49</v>
      </c>
      <c r="O715" s="87">
        <f>'[1]LUONG T7'!I88</f>
        <v>0</v>
      </c>
      <c r="P715" s="88" t="s">
        <v>58</v>
      </c>
      <c r="Q715" s="261" t="s">
        <v>59</v>
      </c>
      <c r="R715" s="261"/>
      <c r="S715" s="261"/>
      <c r="T715" s="84" t="s">
        <v>49</v>
      </c>
      <c r="U715" s="262">
        <f>'[1]LUONG T7'!I89</f>
        <v>0</v>
      </c>
      <c r="V715" s="262"/>
      <c r="W715" s="92" t="s">
        <v>54</v>
      </c>
      <c r="X715" s="93">
        <f>R712/X705*O715</f>
        <v>0</v>
      </c>
    </row>
    <row r="716" spans="1:24" ht="18.75" customHeight="1">
      <c r="A716" s="86" t="s">
        <v>60</v>
      </c>
      <c r="B716" s="84" t="s">
        <v>49</v>
      </c>
      <c r="C716" s="87">
        <f>'[1]LUONG T7'!J86</f>
        <v>0</v>
      </c>
      <c r="D716" s="88" t="s">
        <v>58</v>
      </c>
      <c r="E716" s="249" t="s">
        <v>61</v>
      </c>
      <c r="F716" s="249"/>
      <c r="G716" s="249"/>
      <c r="H716" s="84" t="s">
        <v>49</v>
      </c>
      <c r="I716" s="260">
        <f>$F$8/$L$1*C716</f>
        <v>0</v>
      </c>
      <c r="J716" s="260"/>
      <c r="K716" s="92" t="s">
        <v>54</v>
      </c>
      <c r="L716" s="93"/>
      <c r="M716" s="86" t="s">
        <v>60</v>
      </c>
      <c r="N716" s="84" t="s">
        <v>49</v>
      </c>
      <c r="O716" s="87">
        <f>'[1]LUONG T7'!J88</f>
        <v>0</v>
      </c>
      <c r="P716" s="88" t="s">
        <v>58</v>
      </c>
      <c r="Q716" s="249" t="s">
        <v>61</v>
      </c>
      <c r="R716" s="249"/>
      <c r="S716" s="249"/>
      <c r="T716" s="84" t="s">
        <v>49</v>
      </c>
      <c r="U716" s="260">
        <f>$F$8/$L$1*O716</f>
        <v>0</v>
      </c>
      <c r="V716" s="260"/>
      <c r="W716" s="92" t="s">
        <v>54</v>
      </c>
      <c r="X716" s="93"/>
    </row>
    <row r="717" spans="1:24" ht="18.75" customHeight="1">
      <c r="A717" s="86" t="s">
        <v>62</v>
      </c>
      <c r="B717" s="84" t="s">
        <v>49</v>
      </c>
      <c r="C717" s="87">
        <f>'[1]LUONG T7'!K86</f>
        <v>0</v>
      </c>
      <c r="D717" s="88" t="s">
        <v>58</v>
      </c>
      <c r="E717" s="259" t="s">
        <v>63</v>
      </c>
      <c r="F717" s="259"/>
      <c r="G717" s="259"/>
      <c r="H717" s="84" t="s">
        <v>49</v>
      </c>
      <c r="I717" s="260">
        <f>$F$8/$L$1*C717</f>
        <v>0</v>
      </c>
      <c r="J717" s="260"/>
      <c r="K717" s="92" t="s">
        <v>54</v>
      </c>
      <c r="L717" s="93"/>
      <c r="M717" s="86" t="s">
        <v>62</v>
      </c>
      <c r="N717" s="84" t="s">
        <v>49</v>
      </c>
      <c r="O717" s="87">
        <f>'[1]LUONG T7'!K88</f>
        <v>0</v>
      </c>
      <c r="P717" s="88" t="s">
        <v>58</v>
      </c>
      <c r="Q717" s="259" t="s">
        <v>63</v>
      </c>
      <c r="R717" s="259"/>
      <c r="S717" s="259"/>
      <c r="T717" s="84" t="s">
        <v>49</v>
      </c>
      <c r="U717" s="260">
        <f>$F$8/$L$1*O717</f>
        <v>0</v>
      </c>
      <c r="V717" s="260"/>
      <c r="W717" s="92" t="s">
        <v>54</v>
      </c>
      <c r="X717" s="93"/>
    </row>
    <row r="718" spans="1:24" ht="18.75" customHeight="1">
      <c r="A718" s="86" t="s">
        <v>64</v>
      </c>
      <c r="B718" s="84" t="s">
        <v>49</v>
      </c>
      <c r="C718" s="87">
        <f>'[1]LUONG T7'!K86</f>
        <v>0</v>
      </c>
      <c r="D718" s="88" t="s">
        <v>58</v>
      </c>
      <c r="E718" s="259" t="s">
        <v>65</v>
      </c>
      <c r="F718" s="259"/>
      <c r="G718" s="259"/>
      <c r="H718" s="84" t="s">
        <v>49</v>
      </c>
      <c r="I718" s="260">
        <f>$F$8/$L$1*C718</f>
        <v>0</v>
      </c>
      <c r="J718" s="260"/>
      <c r="K718" s="92" t="s">
        <v>54</v>
      </c>
      <c r="L718" s="93"/>
      <c r="M718" s="86" t="s">
        <v>64</v>
      </c>
      <c r="N718" s="84" t="s">
        <v>49</v>
      </c>
      <c r="O718" s="87">
        <f>'[1]LUONG T7'!L88</f>
        <v>0</v>
      </c>
      <c r="P718" s="88" t="s">
        <v>58</v>
      </c>
      <c r="Q718" s="259" t="s">
        <v>65</v>
      </c>
      <c r="R718" s="259"/>
      <c r="S718" s="259"/>
      <c r="T718" s="84" t="s">
        <v>49</v>
      </c>
      <c r="U718" s="260">
        <f>$F$8/$L$1*O718</f>
        <v>0</v>
      </c>
      <c r="V718" s="260"/>
      <c r="W718" s="92" t="s">
        <v>54</v>
      </c>
      <c r="X718" s="93"/>
    </row>
    <row r="719" spans="1:24" ht="18.75" customHeight="1">
      <c r="A719" s="86" t="s">
        <v>66</v>
      </c>
      <c r="B719" s="84" t="s">
        <v>49</v>
      </c>
      <c r="C719" s="87">
        <f>'[1]LUONG T7'!Q86</f>
        <v>0</v>
      </c>
      <c r="D719" s="88" t="s">
        <v>67</v>
      </c>
      <c r="E719" s="249" t="s">
        <v>68</v>
      </c>
      <c r="F719" s="249"/>
      <c r="G719" s="249"/>
      <c r="H719" s="84" t="s">
        <v>49</v>
      </c>
      <c r="I719" s="260">
        <f>'[1]LUONG T7'!Q87</f>
        <v>0</v>
      </c>
      <c r="J719" s="260"/>
      <c r="K719" s="92" t="s">
        <v>54</v>
      </c>
      <c r="L719" s="93">
        <f>F712*C719/L705/8*1.5</f>
        <v>0</v>
      </c>
      <c r="M719" s="86" t="s">
        <v>66</v>
      </c>
      <c r="N719" s="84" t="s">
        <v>49</v>
      </c>
      <c r="O719" s="87">
        <f>'[1]LUONG T7'!Q88</f>
        <v>0</v>
      </c>
      <c r="P719" s="88" t="s">
        <v>67</v>
      </c>
      <c r="Q719" s="249" t="s">
        <v>68</v>
      </c>
      <c r="R719" s="249"/>
      <c r="S719" s="249"/>
      <c r="T719" s="84" t="s">
        <v>49</v>
      </c>
      <c r="U719" s="260">
        <f>'[1]LUONG T7'!Q89</f>
        <v>0</v>
      </c>
      <c r="V719" s="260"/>
      <c r="W719" s="92" t="s">
        <v>54</v>
      </c>
      <c r="X719" s="93">
        <f>R712*O719/X705/8*1.5</f>
        <v>0</v>
      </c>
    </row>
    <row r="720" spans="1:24" ht="18.75" customHeight="1">
      <c r="A720" s="248" t="s">
        <v>69</v>
      </c>
      <c r="B720" s="249"/>
      <c r="C720" s="87"/>
      <c r="D720" s="88" t="s">
        <v>58</v>
      </c>
      <c r="E720" s="249" t="s">
        <v>70</v>
      </c>
      <c r="F720" s="249"/>
      <c r="G720" s="249"/>
      <c r="H720" s="94" t="s">
        <v>49</v>
      </c>
      <c r="I720" s="260"/>
      <c r="J720" s="260"/>
      <c r="K720" s="92" t="s">
        <v>54</v>
      </c>
      <c r="L720" s="93"/>
      <c r="M720" s="248" t="s">
        <v>69</v>
      </c>
      <c r="N720" s="249"/>
      <c r="O720" s="87"/>
      <c r="P720" s="88" t="s">
        <v>58</v>
      </c>
      <c r="Q720" s="249" t="s">
        <v>70</v>
      </c>
      <c r="R720" s="249"/>
      <c r="S720" s="249"/>
      <c r="T720" s="94" t="s">
        <v>49</v>
      </c>
      <c r="U720" s="260"/>
      <c r="V720" s="260"/>
      <c r="W720" s="92" t="s">
        <v>54</v>
      </c>
      <c r="X720" s="93"/>
    </row>
    <row r="721" spans="1:24" ht="18.75" customHeight="1">
      <c r="A721" s="86" t="s">
        <v>71</v>
      </c>
      <c r="B721" s="84" t="s">
        <v>49</v>
      </c>
      <c r="C721" s="87"/>
      <c r="D721" s="88" t="s">
        <v>58</v>
      </c>
      <c r="E721" s="249" t="s">
        <v>72</v>
      </c>
      <c r="F721" s="249"/>
      <c r="G721" s="249"/>
      <c r="H721" s="84" t="s">
        <v>49</v>
      </c>
      <c r="I721" s="260"/>
      <c r="J721" s="260"/>
      <c r="K721" s="92" t="s">
        <v>54</v>
      </c>
      <c r="L721" s="93"/>
      <c r="M721" s="86" t="s">
        <v>71</v>
      </c>
      <c r="N721" s="84" t="s">
        <v>49</v>
      </c>
      <c r="O721" s="87"/>
      <c r="P721" s="88" t="s">
        <v>58</v>
      </c>
      <c r="Q721" s="249" t="s">
        <v>72</v>
      </c>
      <c r="R721" s="249"/>
      <c r="S721" s="249"/>
      <c r="T721" s="84" t="s">
        <v>49</v>
      </c>
      <c r="U721" s="260"/>
      <c r="V721" s="260"/>
      <c r="W721" s="92" t="s">
        <v>54</v>
      </c>
      <c r="X721" s="93"/>
    </row>
    <row r="722" spans="1:24" ht="18.75" customHeight="1">
      <c r="A722" s="95" t="s">
        <v>73</v>
      </c>
      <c r="B722" s="84"/>
      <c r="C722" s="87">
        <f>'[1]LUONG T7'!M86</f>
        <v>0</v>
      </c>
      <c r="D722" s="88" t="s">
        <v>67</v>
      </c>
      <c r="E722" s="249" t="s">
        <v>74</v>
      </c>
      <c r="F722" s="249"/>
      <c r="G722" s="249"/>
      <c r="H722" s="84" t="s">
        <v>49</v>
      </c>
      <c r="I722" s="260">
        <f>$F$8*C722/8/$L$1</f>
        <v>0</v>
      </c>
      <c r="J722" s="260"/>
      <c r="K722" s="92" t="s">
        <v>54</v>
      </c>
      <c r="L722" s="93"/>
      <c r="M722" s="95" t="s">
        <v>73</v>
      </c>
      <c r="N722" s="84"/>
      <c r="O722" s="87">
        <f>'[1]LUONG T7'!M88</f>
        <v>0</v>
      </c>
      <c r="P722" s="88" t="s">
        <v>67</v>
      </c>
      <c r="Q722" s="249" t="s">
        <v>74</v>
      </c>
      <c r="R722" s="249"/>
      <c r="S722" s="249"/>
      <c r="T722" s="84" t="s">
        <v>49</v>
      </c>
      <c r="U722" s="260">
        <f>$F$8*O722/8/$L$1</f>
        <v>0</v>
      </c>
      <c r="V722" s="260"/>
      <c r="W722" s="92" t="s">
        <v>54</v>
      </c>
      <c r="X722" s="93"/>
    </row>
    <row r="723" spans="1:24" ht="18.75" customHeight="1">
      <c r="A723" s="86" t="s">
        <v>75</v>
      </c>
      <c r="B723" s="84" t="s">
        <v>49</v>
      </c>
      <c r="C723" s="87"/>
      <c r="D723" s="88" t="s">
        <v>67</v>
      </c>
      <c r="E723" s="249" t="s">
        <v>97</v>
      </c>
      <c r="F723" s="249"/>
      <c r="G723" s="249"/>
      <c r="H723" s="84" t="s">
        <v>49</v>
      </c>
      <c r="I723" s="262"/>
      <c r="J723" s="262"/>
      <c r="K723" s="92" t="s">
        <v>54</v>
      </c>
      <c r="L723" s="93"/>
      <c r="M723" s="86" t="s">
        <v>75</v>
      </c>
      <c r="N723" s="84" t="s">
        <v>49</v>
      </c>
      <c r="O723" s="87"/>
      <c r="P723" s="88" t="s">
        <v>67</v>
      </c>
      <c r="Q723" s="249" t="s">
        <v>97</v>
      </c>
      <c r="R723" s="249"/>
      <c r="S723" s="249"/>
      <c r="T723" s="84" t="s">
        <v>49</v>
      </c>
      <c r="U723" s="262"/>
      <c r="V723" s="262"/>
      <c r="W723" s="92" t="s">
        <v>54</v>
      </c>
      <c r="X723" s="93"/>
    </row>
    <row r="724" spans="1:24" ht="18.75" customHeight="1">
      <c r="A724" s="86" t="s">
        <v>77</v>
      </c>
      <c r="B724" s="84" t="s">
        <v>49</v>
      </c>
      <c r="C724" s="87"/>
      <c r="D724" s="88" t="s">
        <v>78</v>
      </c>
      <c r="E724" s="96" t="s">
        <v>79</v>
      </c>
      <c r="F724" s="96"/>
      <c r="G724" s="96"/>
      <c r="H724" s="84" t="s">
        <v>49</v>
      </c>
      <c r="I724" s="260"/>
      <c r="J724" s="260"/>
      <c r="K724" s="92" t="s">
        <v>54</v>
      </c>
      <c r="L724" s="93">
        <f>+IF(L715-I715&lt;0,0,L715-I715)+IF(L719-I719&lt;0,0,L719-I719)</f>
        <v>0</v>
      </c>
      <c r="M724" s="86" t="s">
        <v>77</v>
      </c>
      <c r="N724" s="84" t="s">
        <v>49</v>
      </c>
      <c r="O724" s="87"/>
      <c r="P724" s="88" t="s">
        <v>78</v>
      </c>
      <c r="Q724" s="96" t="s">
        <v>79</v>
      </c>
      <c r="R724" s="96"/>
      <c r="S724" s="96"/>
      <c r="T724" s="84" t="s">
        <v>49</v>
      </c>
      <c r="U724" s="260"/>
      <c r="V724" s="260"/>
      <c r="W724" s="92" t="s">
        <v>54</v>
      </c>
      <c r="X724" s="93">
        <f>+IF(X715-U715&lt;0,0,X715-U715)+IF(X719-U719&lt;0,0,X719-U719)</f>
        <v>0</v>
      </c>
    </row>
    <row r="725" spans="1:24" ht="18.75" customHeight="1">
      <c r="A725" s="97" t="s">
        <v>122</v>
      </c>
      <c r="B725" s="98"/>
      <c r="C725" s="87"/>
      <c r="D725" s="88" t="s">
        <v>58</v>
      </c>
      <c r="E725" s="249" t="s">
        <v>123</v>
      </c>
      <c r="F725" s="249"/>
      <c r="G725" s="249"/>
      <c r="H725" s="84" t="s">
        <v>49</v>
      </c>
      <c r="I725" s="260"/>
      <c r="J725" s="260"/>
      <c r="K725" s="92" t="s">
        <v>54</v>
      </c>
      <c r="L725" s="93"/>
      <c r="M725" s="97" t="s">
        <v>122</v>
      </c>
      <c r="N725" s="98"/>
      <c r="O725" s="87"/>
      <c r="P725" s="88" t="s">
        <v>58</v>
      </c>
      <c r="Q725" s="249" t="s">
        <v>123</v>
      </c>
      <c r="R725" s="249"/>
      <c r="S725" s="249"/>
      <c r="T725" s="84" t="s">
        <v>49</v>
      </c>
      <c r="U725" s="260"/>
      <c r="V725" s="260"/>
      <c r="W725" s="92" t="s">
        <v>54</v>
      </c>
      <c r="X725" s="93"/>
    </row>
    <row r="726" spans="1:24" ht="18.75" customHeight="1">
      <c r="A726" s="267" t="s">
        <v>82</v>
      </c>
      <c r="B726" s="261"/>
      <c r="C726" s="87"/>
      <c r="D726" s="88"/>
      <c r="E726" s="89"/>
      <c r="F726" s="89"/>
      <c r="G726" s="89"/>
      <c r="H726" s="84" t="s">
        <v>49</v>
      </c>
      <c r="I726" s="260">
        <f>'[1]LUONG T7'!P87</f>
        <v>0</v>
      </c>
      <c r="J726" s="260"/>
      <c r="K726" s="92" t="s">
        <v>54</v>
      </c>
      <c r="L726" s="93"/>
      <c r="M726" s="267" t="s">
        <v>82</v>
      </c>
      <c r="N726" s="261"/>
      <c r="O726" s="87"/>
      <c r="P726" s="88"/>
      <c r="Q726" s="89"/>
      <c r="R726" s="89"/>
      <c r="S726" s="89"/>
      <c r="T726" s="84" t="s">
        <v>49</v>
      </c>
      <c r="U726" s="260">
        <f>'[1]LUONG T7'!P89</f>
        <v>0</v>
      </c>
      <c r="V726" s="260"/>
      <c r="W726" s="92" t="s">
        <v>54</v>
      </c>
      <c r="X726" s="93"/>
    </row>
    <row r="727" spans="1:24" ht="18.75" customHeight="1">
      <c r="A727" s="86" t="s">
        <v>83</v>
      </c>
      <c r="B727" s="84" t="s">
        <v>49</v>
      </c>
      <c r="C727" s="87"/>
      <c r="D727" s="88"/>
      <c r="E727" s="89" t="s">
        <v>84</v>
      </c>
      <c r="F727" s="89"/>
      <c r="G727" s="89"/>
      <c r="H727" s="84" t="s">
        <v>49</v>
      </c>
      <c r="I727" s="260">
        <f>L724</f>
        <v>0</v>
      </c>
      <c r="J727" s="260"/>
      <c r="K727" s="92" t="s">
        <v>54</v>
      </c>
      <c r="L727" s="93"/>
      <c r="M727" s="86" t="s">
        <v>83</v>
      </c>
      <c r="N727" s="84" t="s">
        <v>49</v>
      </c>
      <c r="O727" s="87"/>
      <c r="P727" s="88"/>
      <c r="Q727" s="89" t="s">
        <v>84</v>
      </c>
      <c r="R727" s="89"/>
      <c r="S727" s="89"/>
      <c r="T727" s="84" t="s">
        <v>49</v>
      </c>
      <c r="U727" s="260">
        <f>X724</f>
        <v>0</v>
      </c>
      <c r="V727" s="260"/>
      <c r="W727" s="92" t="s">
        <v>54</v>
      </c>
      <c r="X727" s="93"/>
    </row>
    <row r="728" spans="1:24" ht="18.75" customHeight="1">
      <c r="A728" s="264" t="s">
        <v>85</v>
      </c>
      <c r="B728" s="265"/>
      <c r="C728" s="265"/>
      <c r="D728" s="265"/>
      <c r="E728" s="265"/>
      <c r="F728" s="265"/>
      <c r="G728" s="84" t="s">
        <v>49</v>
      </c>
      <c r="H728" s="266">
        <f>I715+I716+I717+I718+I719+I722+I726+I727</f>
        <v>0</v>
      </c>
      <c r="I728" s="266"/>
      <c r="J728" s="266"/>
      <c r="K728" s="92" t="s">
        <v>54</v>
      </c>
      <c r="M728" s="264" t="s">
        <v>85</v>
      </c>
      <c r="N728" s="265"/>
      <c r="O728" s="265"/>
      <c r="P728" s="265"/>
      <c r="Q728" s="265"/>
      <c r="R728" s="265"/>
      <c r="S728" s="84" t="s">
        <v>49</v>
      </c>
      <c r="T728" s="266">
        <f>U715+U716+U717+U718+U719+U722+U726+U727</f>
        <v>0</v>
      </c>
      <c r="U728" s="266"/>
      <c r="V728" s="266"/>
      <c r="W728" s="92" t="s">
        <v>54</v>
      </c>
    </row>
    <row r="729" spans="1:24" ht="18.75" customHeight="1">
      <c r="A729" s="99"/>
      <c r="B729" s="100"/>
      <c r="C729" s="100"/>
      <c r="D729" s="100"/>
      <c r="E729" s="100"/>
      <c r="F729" s="100"/>
      <c r="G729" s="100"/>
      <c r="H729" s="100"/>
      <c r="I729" s="100"/>
      <c r="J729" s="100"/>
      <c r="K729" s="101"/>
      <c r="M729" s="99"/>
      <c r="N729" s="100"/>
      <c r="O729" s="100"/>
      <c r="P729" s="100"/>
      <c r="Q729" s="100"/>
      <c r="R729" s="100"/>
      <c r="S729" s="100"/>
      <c r="T729" s="100"/>
      <c r="U729" s="100"/>
      <c r="V729" s="100"/>
      <c r="W729" s="101"/>
    </row>
    <row r="730" spans="1:24" ht="18.75" customHeight="1">
      <c r="A730" s="274" t="s">
        <v>86</v>
      </c>
      <c r="B730" s="275"/>
      <c r="C730" s="275"/>
      <c r="D730" s="275"/>
      <c r="E730" s="275"/>
      <c r="F730" s="275"/>
      <c r="G730" s="84"/>
      <c r="H730" s="84"/>
      <c r="I730" s="84"/>
      <c r="J730" s="84"/>
      <c r="K730" s="92"/>
      <c r="M730" s="274" t="s">
        <v>86</v>
      </c>
      <c r="N730" s="275"/>
      <c r="O730" s="275"/>
      <c r="P730" s="275"/>
      <c r="Q730" s="275"/>
      <c r="R730" s="275"/>
      <c r="S730" s="84"/>
      <c r="T730" s="84"/>
      <c r="U730" s="84"/>
      <c r="V730" s="84"/>
      <c r="W730" s="92"/>
    </row>
    <row r="731" spans="1:24" ht="18.75" customHeight="1">
      <c r="A731" s="268" t="s">
        <v>87</v>
      </c>
      <c r="B731" s="269"/>
      <c r="C731" s="269"/>
      <c r="D731" s="269"/>
      <c r="E731" s="269"/>
      <c r="F731" s="269"/>
      <c r="G731" s="84" t="s">
        <v>49</v>
      </c>
      <c r="H731" s="276">
        <f>IF(($L$1-(C715+C716+C717+C718))&gt;12,0,F712*8%)</f>
        <v>0</v>
      </c>
      <c r="I731" s="276"/>
      <c r="J731" s="276"/>
      <c r="K731" s="92" t="s">
        <v>54</v>
      </c>
      <c r="M731" s="268" t="s">
        <v>87</v>
      </c>
      <c r="N731" s="269"/>
      <c r="O731" s="269"/>
      <c r="P731" s="269"/>
      <c r="Q731" s="269"/>
      <c r="R731" s="269"/>
      <c r="S731" s="84" t="s">
        <v>49</v>
      </c>
      <c r="T731" s="276">
        <f>IF(($L$1-(O715+O716+O717+O718))&gt;12,0,R712*8%)</f>
        <v>0</v>
      </c>
      <c r="U731" s="276"/>
      <c r="V731" s="276"/>
      <c r="W731" s="92" t="s">
        <v>54</v>
      </c>
    </row>
    <row r="732" spans="1:24" ht="18.75" customHeight="1">
      <c r="A732" s="268" t="s">
        <v>88</v>
      </c>
      <c r="B732" s="269"/>
      <c r="C732" s="269"/>
      <c r="D732" s="269"/>
      <c r="E732" s="269"/>
      <c r="F732" s="269"/>
      <c r="G732" s="84" t="s">
        <v>49</v>
      </c>
      <c r="H732" s="270">
        <f>IF(($L$1-(C715+C716+C717+C718))&gt;12,0,F712*1.5%)</f>
        <v>0</v>
      </c>
      <c r="I732" s="270"/>
      <c r="J732" s="270"/>
      <c r="K732" s="92" t="s">
        <v>54</v>
      </c>
      <c r="M732" s="268" t="s">
        <v>88</v>
      </c>
      <c r="N732" s="269"/>
      <c r="O732" s="269"/>
      <c r="P732" s="269"/>
      <c r="Q732" s="269"/>
      <c r="R732" s="269"/>
      <c r="S732" s="84" t="s">
        <v>49</v>
      </c>
      <c r="T732" s="270">
        <f>IF(($L$1-(O715+O716+O717+O718))&gt;12,0,R712*1.5%)</f>
        <v>0</v>
      </c>
      <c r="U732" s="270"/>
      <c r="V732" s="270"/>
      <c r="W732" s="92" t="s">
        <v>54</v>
      </c>
    </row>
    <row r="733" spans="1:24" ht="18.75" customHeight="1">
      <c r="A733" s="268" t="s">
        <v>89</v>
      </c>
      <c r="B733" s="269"/>
      <c r="C733" s="269"/>
      <c r="D733" s="269"/>
      <c r="E733" s="269"/>
      <c r="F733" s="269"/>
      <c r="G733" s="84" t="s">
        <v>49</v>
      </c>
      <c r="H733" s="270">
        <f>IF(($L$1-(C715+C716+C717+C718))&gt;12,0,F712*1%)</f>
        <v>0</v>
      </c>
      <c r="I733" s="270"/>
      <c r="J733" s="270"/>
      <c r="K733" s="92" t="s">
        <v>54</v>
      </c>
      <c r="M733" s="268" t="s">
        <v>89</v>
      </c>
      <c r="N733" s="269"/>
      <c r="O733" s="269"/>
      <c r="P733" s="269"/>
      <c r="Q733" s="269"/>
      <c r="R733" s="269"/>
      <c r="S733" s="84" t="s">
        <v>49</v>
      </c>
      <c r="T733" s="270">
        <f>IF(($L$1-(O715+O716+O717+O718))&gt;12,0,R712*1%)</f>
        <v>0</v>
      </c>
      <c r="U733" s="270"/>
      <c r="V733" s="270"/>
      <c r="W733" s="92" t="s">
        <v>54</v>
      </c>
    </row>
    <row r="734" spans="1:24" ht="18.75" customHeight="1">
      <c r="A734" s="268" t="s">
        <v>90</v>
      </c>
      <c r="B734" s="269"/>
      <c r="C734" s="269"/>
      <c r="D734" s="269"/>
      <c r="E734" s="269"/>
      <c r="F734" s="269"/>
      <c r="G734" s="84" t="s">
        <v>49</v>
      </c>
      <c r="H734" s="270">
        <v>0</v>
      </c>
      <c r="I734" s="270"/>
      <c r="J734" s="270"/>
      <c r="K734" s="92" t="s">
        <v>54</v>
      </c>
      <c r="M734" s="268" t="s">
        <v>90</v>
      </c>
      <c r="N734" s="269"/>
      <c r="O734" s="269"/>
      <c r="P734" s="269"/>
      <c r="Q734" s="269"/>
      <c r="R734" s="269"/>
      <c r="S734" s="84" t="s">
        <v>49</v>
      </c>
      <c r="T734" s="270">
        <v>0</v>
      </c>
      <c r="U734" s="270"/>
      <c r="V734" s="270"/>
      <c r="W734" s="92" t="s">
        <v>54</v>
      </c>
    </row>
    <row r="735" spans="1:24" ht="18.75" customHeight="1">
      <c r="A735" s="271" t="s">
        <v>91</v>
      </c>
      <c r="B735" s="272"/>
      <c r="C735" s="272"/>
      <c r="D735" s="272"/>
      <c r="E735" s="272"/>
      <c r="F735" s="272"/>
      <c r="G735" s="84" t="s">
        <v>49</v>
      </c>
      <c r="H735" s="273">
        <f>SUM(H731:J734)</f>
        <v>0</v>
      </c>
      <c r="I735" s="273"/>
      <c r="J735" s="273"/>
      <c r="K735" s="92" t="s">
        <v>54</v>
      </c>
      <c r="M735" s="271" t="s">
        <v>91</v>
      </c>
      <c r="N735" s="272"/>
      <c r="O735" s="272"/>
      <c r="P735" s="272"/>
      <c r="Q735" s="272"/>
      <c r="R735" s="272"/>
      <c r="S735" s="84" t="s">
        <v>49</v>
      </c>
      <c r="T735" s="273">
        <f>SUM(T731:V734)</f>
        <v>0</v>
      </c>
      <c r="U735" s="273"/>
      <c r="V735" s="273"/>
      <c r="W735" s="92" t="s">
        <v>54</v>
      </c>
    </row>
    <row r="736" spans="1:24" ht="18.75" customHeight="1">
      <c r="A736" s="268" t="s">
        <v>92</v>
      </c>
      <c r="B736" s="269"/>
      <c r="C736" s="269"/>
      <c r="D736" s="269"/>
      <c r="E736" s="269"/>
      <c r="F736" s="269"/>
      <c r="G736" s="84" t="s">
        <v>49</v>
      </c>
      <c r="H736" s="280">
        <f>ROUND(H728-H735,-2)</f>
        <v>0</v>
      </c>
      <c r="I736" s="280"/>
      <c r="J736" s="280"/>
      <c r="K736" s="92" t="s">
        <v>54</v>
      </c>
      <c r="M736" s="268" t="s">
        <v>92</v>
      </c>
      <c r="N736" s="269"/>
      <c r="O736" s="269"/>
      <c r="P736" s="269"/>
      <c r="Q736" s="269"/>
      <c r="R736" s="269"/>
      <c r="S736" s="84" t="s">
        <v>49</v>
      </c>
      <c r="T736" s="280">
        <f>ROUND(T728-T735,-2)</f>
        <v>0</v>
      </c>
      <c r="U736" s="280"/>
      <c r="V736" s="280"/>
      <c r="W736" s="92" t="s">
        <v>54</v>
      </c>
    </row>
    <row r="737" spans="1:24" ht="18.75" customHeight="1">
      <c r="A737" s="102"/>
      <c r="B737" s="103"/>
      <c r="C737" s="103"/>
      <c r="D737" s="103"/>
      <c r="E737" s="103"/>
      <c r="F737" s="103"/>
      <c r="G737" s="103"/>
      <c r="H737" s="103"/>
      <c r="I737" s="103"/>
      <c r="J737" s="103"/>
      <c r="K737" s="104"/>
      <c r="M737" s="102"/>
      <c r="N737" s="103"/>
      <c r="O737" s="103"/>
      <c r="P737" s="103"/>
      <c r="Q737" s="103"/>
      <c r="R737" s="103"/>
      <c r="S737" s="103"/>
      <c r="T737" s="103"/>
      <c r="U737" s="103"/>
      <c r="V737" s="103"/>
      <c r="W737" s="104"/>
    </row>
    <row r="738" spans="1:24" ht="18.75" customHeight="1">
      <c r="A738" s="105"/>
      <c r="B738" s="84"/>
      <c r="C738" s="84"/>
      <c r="D738" s="84"/>
      <c r="E738" s="84"/>
      <c r="F738" s="84"/>
      <c r="G738" s="84"/>
      <c r="H738" s="84"/>
      <c r="I738" s="277" t="s">
        <v>93</v>
      </c>
      <c r="J738" s="277"/>
      <c r="K738" s="281"/>
      <c r="M738" s="105"/>
      <c r="N738" s="84"/>
      <c r="O738" s="84"/>
      <c r="P738" s="84"/>
      <c r="Q738" s="84"/>
      <c r="R738" s="84"/>
      <c r="S738" s="84"/>
      <c r="T738" s="84"/>
      <c r="U738" s="277" t="s">
        <v>93</v>
      </c>
      <c r="V738" s="277"/>
      <c r="W738" s="281"/>
    </row>
    <row r="739" spans="1:24" ht="18.75" customHeight="1">
      <c r="A739" s="105"/>
      <c r="B739" s="277"/>
      <c r="C739" s="277"/>
      <c r="D739" s="277"/>
      <c r="E739" s="277"/>
      <c r="F739" s="84"/>
      <c r="G739" s="84"/>
      <c r="H739" s="84"/>
      <c r="I739" s="84"/>
      <c r="J739" s="84"/>
      <c r="K739" s="85"/>
      <c r="M739" s="105"/>
      <c r="N739" s="277"/>
      <c r="O739" s="277"/>
      <c r="P739" s="277"/>
      <c r="Q739" s="277"/>
      <c r="R739" s="84"/>
      <c r="S739" s="84"/>
      <c r="T739" s="84"/>
      <c r="U739" s="84"/>
      <c r="V739" s="84"/>
      <c r="W739" s="85"/>
    </row>
    <row r="740" spans="1:24" ht="18.75" customHeight="1" thickBot="1">
      <c r="A740" s="106"/>
      <c r="B740" s="107"/>
      <c r="C740" s="107"/>
      <c r="D740" s="107"/>
      <c r="E740" s="107"/>
      <c r="F740" s="107"/>
      <c r="G740" s="107"/>
      <c r="H740" s="107"/>
      <c r="I740" s="278" t="s">
        <v>94</v>
      </c>
      <c r="J740" s="278"/>
      <c r="K740" s="279"/>
      <c r="M740" s="106"/>
      <c r="N740" s="107"/>
      <c r="O740" s="107"/>
      <c r="P740" s="107"/>
      <c r="Q740" s="107"/>
      <c r="R740" s="107"/>
      <c r="S740" s="107"/>
      <c r="T740" s="107"/>
      <c r="U740" s="278" t="s">
        <v>94</v>
      </c>
      <c r="V740" s="278"/>
      <c r="W740" s="279"/>
    </row>
    <row r="742" spans="1:24" ht="18.75" customHeight="1" thickTop="1">
      <c r="A742" s="253" t="s">
        <v>43</v>
      </c>
      <c r="B742" s="254"/>
      <c r="C742" s="254"/>
      <c r="D742" s="254"/>
      <c r="E742" s="254"/>
      <c r="F742" s="254"/>
      <c r="G742" s="254"/>
      <c r="H742" s="254"/>
      <c r="I742" s="254"/>
      <c r="J742" s="254"/>
      <c r="K742" s="255"/>
      <c r="L742" s="80">
        <v>25</v>
      </c>
      <c r="M742" s="253" t="s">
        <v>43</v>
      </c>
      <c r="N742" s="254"/>
      <c r="O742" s="254"/>
      <c r="P742" s="254"/>
      <c r="Q742" s="254"/>
      <c r="R742" s="254"/>
      <c r="S742" s="254"/>
      <c r="T742" s="254"/>
      <c r="U742" s="254"/>
      <c r="V742" s="254"/>
      <c r="W742" s="255"/>
      <c r="X742" s="80">
        <v>25</v>
      </c>
    </row>
    <row r="743" spans="1:24" ht="18.75" customHeight="1">
      <c r="A743" s="81" t="s">
        <v>148</v>
      </c>
      <c r="B743" s="82"/>
      <c r="C743" s="82"/>
      <c r="D743" s="82"/>
      <c r="E743" s="82"/>
      <c r="F743" s="82"/>
      <c r="G743" s="82"/>
      <c r="H743" s="82"/>
      <c r="I743" s="82"/>
      <c r="J743" s="82"/>
      <c r="K743" s="83"/>
      <c r="M743" s="81" t="s">
        <v>149</v>
      </c>
      <c r="N743" s="82"/>
      <c r="O743" s="82"/>
      <c r="P743" s="82"/>
      <c r="Q743" s="82"/>
      <c r="R743" s="82"/>
      <c r="S743" s="82"/>
      <c r="T743" s="82"/>
      <c r="U743" s="82"/>
      <c r="V743" s="82"/>
      <c r="W743" s="83"/>
    </row>
    <row r="744" spans="1:24" ht="18.75" customHeight="1">
      <c r="A744" s="256" t="s">
        <v>47</v>
      </c>
      <c r="B744" s="257"/>
      <c r="C744" s="257"/>
      <c r="D744" s="257"/>
      <c r="E744" s="257"/>
      <c r="F744" s="257"/>
      <c r="G744" s="257"/>
      <c r="H744" s="257"/>
      <c r="I744" s="257"/>
      <c r="J744" s="257"/>
      <c r="K744" s="258"/>
      <c r="M744" s="256" t="s">
        <v>47</v>
      </c>
      <c r="N744" s="257"/>
      <c r="O744" s="257"/>
      <c r="P744" s="257"/>
      <c r="Q744" s="257"/>
      <c r="R744" s="257"/>
      <c r="S744" s="257"/>
      <c r="T744" s="257"/>
      <c r="U744" s="257"/>
      <c r="V744" s="257"/>
      <c r="W744" s="258"/>
    </row>
    <row r="745" spans="1:24" ht="18.75" customHeight="1">
      <c r="A745" s="248" t="s">
        <v>48</v>
      </c>
      <c r="B745" s="249"/>
      <c r="C745" s="249"/>
      <c r="D745" s="249"/>
      <c r="E745" s="84" t="s">
        <v>49</v>
      </c>
      <c r="F745" s="250">
        <f>'[1]Bang TH nop'!B83</f>
        <v>0</v>
      </c>
      <c r="G745" s="249"/>
      <c r="H745" s="249"/>
      <c r="I745" s="249"/>
      <c r="J745" s="249"/>
      <c r="K745" s="252"/>
      <c r="M745" s="248" t="s">
        <v>48</v>
      </c>
      <c r="N745" s="249"/>
      <c r="O745" s="249"/>
      <c r="P745" s="249"/>
      <c r="Q745" s="84" t="s">
        <v>49</v>
      </c>
      <c r="R745" s="250">
        <f>'[1]Bang TH nop'!B85</f>
        <v>0</v>
      </c>
      <c r="S745" s="249"/>
      <c r="T745" s="249"/>
      <c r="U745" s="249"/>
      <c r="V745" s="249"/>
      <c r="W745" s="252"/>
    </row>
    <row r="746" spans="1:24" ht="18.75" customHeight="1">
      <c r="A746" s="248" t="s">
        <v>50</v>
      </c>
      <c r="B746" s="249"/>
      <c r="C746" s="249"/>
      <c r="D746" s="249"/>
      <c r="E746" s="84" t="s">
        <v>49</v>
      </c>
      <c r="F746" s="250">
        <f>'[1]Bang TH nop'!C83</f>
        <v>0</v>
      </c>
      <c r="G746" s="250"/>
      <c r="H746" s="250"/>
      <c r="I746" s="250"/>
      <c r="J746" s="250"/>
      <c r="K746" s="251"/>
      <c r="M746" s="248" t="s">
        <v>50</v>
      </c>
      <c r="N746" s="249"/>
      <c r="O746" s="249"/>
      <c r="P746" s="249"/>
      <c r="Q746" s="84" t="s">
        <v>49</v>
      </c>
      <c r="R746" s="250">
        <f>'[1]Bang TH nop'!C85</f>
        <v>0</v>
      </c>
      <c r="S746" s="250"/>
      <c r="T746" s="250"/>
      <c r="U746" s="250"/>
      <c r="V746" s="250"/>
      <c r="W746" s="251"/>
    </row>
    <row r="747" spans="1:24" ht="18.75" customHeight="1">
      <c r="A747" s="248" t="s">
        <v>51</v>
      </c>
      <c r="B747" s="249"/>
      <c r="C747" s="249"/>
      <c r="D747" s="249"/>
      <c r="E747" s="84" t="s">
        <v>49</v>
      </c>
      <c r="F747" s="249" t="s">
        <v>121</v>
      </c>
      <c r="G747" s="249"/>
      <c r="H747" s="249"/>
      <c r="I747" s="249"/>
      <c r="J747" s="249"/>
      <c r="K747" s="252"/>
      <c r="M747" s="248" t="s">
        <v>51</v>
      </c>
      <c r="N747" s="249"/>
      <c r="O747" s="249"/>
      <c r="P747" s="249"/>
      <c r="Q747" s="84" t="s">
        <v>49</v>
      </c>
      <c r="R747" s="249" t="s">
        <v>121</v>
      </c>
      <c r="S747" s="249"/>
      <c r="T747" s="249"/>
      <c r="U747" s="249"/>
      <c r="V747" s="249"/>
      <c r="W747" s="252"/>
    </row>
    <row r="748" spans="1:24" ht="18.75" customHeight="1">
      <c r="A748" s="256" t="s">
        <v>52</v>
      </c>
      <c r="B748" s="257"/>
      <c r="C748" s="257"/>
      <c r="D748" s="257"/>
      <c r="E748" s="257"/>
      <c r="F748" s="257"/>
      <c r="G748" s="257"/>
      <c r="H748" s="257"/>
      <c r="I748" s="257"/>
      <c r="J748" s="257"/>
      <c r="K748" s="258"/>
      <c r="M748" s="256" t="s">
        <v>52</v>
      </c>
      <c r="N748" s="257"/>
      <c r="O748" s="257"/>
      <c r="P748" s="257"/>
      <c r="Q748" s="257"/>
      <c r="R748" s="257"/>
      <c r="S748" s="257"/>
      <c r="T748" s="257"/>
      <c r="U748" s="257"/>
      <c r="V748" s="257"/>
      <c r="W748" s="258"/>
    </row>
    <row r="749" spans="1:24" ht="18.75" customHeight="1">
      <c r="A749" s="248" t="s">
        <v>53</v>
      </c>
      <c r="B749" s="249"/>
      <c r="C749" s="249"/>
      <c r="D749" s="249"/>
      <c r="E749" s="84" t="s">
        <v>49</v>
      </c>
      <c r="F749" s="263">
        <v>2915400</v>
      </c>
      <c r="G749" s="263"/>
      <c r="H749" s="263"/>
      <c r="I749" s="263"/>
      <c r="J749" s="84" t="s">
        <v>54</v>
      </c>
      <c r="K749" s="85"/>
      <c r="M749" s="248" t="s">
        <v>53</v>
      </c>
      <c r="N749" s="249"/>
      <c r="O749" s="249"/>
      <c r="P749" s="249"/>
      <c r="Q749" s="84" t="s">
        <v>49</v>
      </c>
      <c r="R749" s="263">
        <v>2915400</v>
      </c>
      <c r="S749" s="263"/>
      <c r="T749" s="263"/>
      <c r="U749" s="263"/>
      <c r="V749" s="84" t="s">
        <v>54</v>
      </c>
      <c r="W749" s="85"/>
    </row>
    <row r="750" spans="1:24" ht="18.75" customHeight="1">
      <c r="A750" s="86" t="s">
        <v>55</v>
      </c>
      <c r="B750" s="84"/>
      <c r="C750" s="87"/>
      <c r="D750" s="88"/>
      <c r="E750" s="89"/>
      <c r="F750" s="89"/>
      <c r="G750" s="89"/>
      <c r="H750" s="84"/>
      <c r="I750" s="90">
        <f>'[1]LUONG T7'!F91</f>
        <v>0</v>
      </c>
      <c r="J750" s="91"/>
      <c r="K750" s="92"/>
      <c r="M750" s="86" t="s">
        <v>55</v>
      </c>
      <c r="N750" s="84"/>
      <c r="O750" s="87"/>
      <c r="P750" s="88"/>
      <c r="Q750" s="89"/>
      <c r="R750" s="89"/>
      <c r="S750" s="89"/>
      <c r="T750" s="84"/>
      <c r="U750" s="90">
        <f>'[1]LUONG T7'!F93</f>
        <v>0</v>
      </c>
      <c r="V750" s="91"/>
      <c r="W750" s="92"/>
    </row>
    <row r="751" spans="1:24" ht="18.75" customHeight="1">
      <c r="A751" s="86" t="s">
        <v>56</v>
      </c>
      <c r="B751" s="84"/>
      <c r="C751" s="87"/>
      <c r="D751" s="88"/>
      <c r="E751" s="89"/>
      <c r="F751" s="89"/>
      <c r="G751" s="89"/>
      <c r="H751" s="84"/>
      <c r="I751" s="90" t="e">
        <f>I752/C752/8</f>
        <v>#DIV/0!</v>
      </c>
      <c r="J751" s="91"/>
      <c r="K751" s="92"/>
      <c r="M751" s="86" t="s">
        <v>56</v>
      </c>
      <c r="N751" s="84"/>
      <c r="O751" s="87"/>
      <c r="P751" s="88"/>
      <c r="Q751" s="89"/>
      <c r="R751" s="89"/>
      <c r="S751" s="89"/>
      <c r="T751" s="84"/>
      <c r="U751" s="90" t="e">
        <f>U752/O752/8</f>
        <v>#DIV/0!</v>
      </c>
      <c r="V751" s="91"/>
      <c r="W751" s="92"/>
    </row>
    <row r="752" spans="1:24" ht="18.75" customHeight="1">
      <c r="A752" s="86" t="s">
        <v>57</v>
      </c>
      <c r="B752" s="84" t="s">
        <v>49</v>
      </c>
      <c r="C752" s="87">
        <f>'[1]LUONG T7'!I90</f>
        <v>0</v>
      </c>
      <c r="D752" s="88" t="s">
        <v>58</v>
      </c>
      <c r="E752" s="261" t="s">
        <v>59</v>
      </c>
      <c r="F752" s="261"/>
      <c r="G752" s="261"/>
      <c r="H752" s="84" t="s">
        <v>49</v>
      </c>
      <c r="I752" s="262">
        <f>'[1]LUONG T7'!I91</f>
        <v>0</v>
      </c>
      <c r="J752" s="262"/>
      <c r="K752" s="92" t="s">
        <v>54</v>
      </c>
      <c r="L752" s="93">
        <f>F749/L742*C752</f>
        <v>0</v>
      </c>
      <c r="M752" s="86" t="s">
        <v>57</v>
      </c>
      <c r="N752" s="84" t="s">
        <v>49</v>
      </c>
      <c r="O752" s="87">
        <f>'[1]LUONG T7'!I92</f>
        <v>0</v>
      </c>
      <c r="P752" s="88" t="s">
        <v>58</v>
      </c>
      <c r="Q752" s="261" t="s">
        <v>59</v>
      </c>
      <c r="R752" s="261"/>
      <c r="S752" s="261"/>
      <c r="T752" s="84" t="s">
        <v>49</v>
      </c>
      <c r="U752" s="262">
        <f>'[1]LUONG T7'!I93</f>
        <v>0</v>
      </c>
      <c r="V752" s="262"/>
      <c r="W752" s="92" t="s">
        <v>54</v>
      </c>
      <c r="X752" s="93">
        <f>R749/X742*O752</f>
        <v>0</v>
      </c>
    </row>
    <row r="753" spans="1:24" ht="18.75" customHeight="1">
      <c r="A753" s="86" t="s">
        <v>60</v>
      </c>
      <c r="B753" s="84" t="s">
        <v>49</v>
      </c>
      <c r="C753" s="87">
        <f>'[1]LUONG T7'!J90</f>
        <v>0</v>
      </c>
      <c r="D753" s="88" t="s">
        <v>58</v>
      </c>
      <c r="E753" s="249" t="s">
        <v>61</v>
      </c>
      <c r="F753" s="249"/>
      <c r="G753" s="249"/>
      <c r="H753" s="84" t="s">
        <v>49</v>
      </c>
      <c r="I753" s="260">
        <f>$F$8/$L$1*C753</f>
        <v>0</v>
      </c>
      <c r="J753" s="260"/>
      <c r="K753" s="92" t="s">
        <v>54</v>
      </c>
      <c r="L753" s="93"/>
      <c r="M753" s="86" t="s">
        <v>60</v>
      </c>
      <c r="N753" s="84" t="s">
        <v>49</v>
      </c>
      <c r="O753" s="87">
        <f>'[1]LUONG T7'!J92</f>
        <v>0</v>
      </c>
      <c r="P753" s="88" t="s">
        <v>58</v>
      </c>
      <c r="Q753" s="249" t="s">
        <v>61</v>
      </c>
      <c r="R753" s="249"/>
      <c r="S753" s="249"/>
      <c r="T753" s="84" t="s">
        <v>49</v>
      </c>
      <c r="U753" s="260">
        <f>$F$8/$L$1*O753</f>
        <v>0</v>
      </c>
      <c r="V753" s="260"/>
      <c r="W753" s="92" t="s">
        <v>54</v>
      </c>
      <c r="X753" s="93"/>
    </row>
    <row r="754" spans="1:24" ht="18.75" customHeight="1">
      <c r="A754" s="86" t="s">
        <v>62</v>
      </c>
      <c r="B754" s="84" t="s">
        <v>49</v>
      </c>
      <c r="C754" s="87">
        <f>'[1]LUONG T7'!K90</f>
        <v>0</v>
      </c>
      <c r="D754" s="88" t="s">
        <v>58</v>
      </c>
      <c r="E754" s="259" t="s">
        <v>63</v>
      </c>
      <c r="F754" s="259"/>
      <c r="G754" s="259"/>
      <c r="H754" s="84" t="s">
        <v>49</v>
      </c>
      <c r="I754" s="260">
        <f>$F$8/$L$1*C754</f>
        <v>0</v>
      </c>
      <c r="J754" s="260"/>
      <c r="K754" s="92" t="s">
        <v>54</v>
      </c>
      <c r="L754" s="93"/>
      <c r="M754" s="86" t="s">
        <v>62</v>
      </c>
      <c r="N754" s="84" t="s">
        <v>49</v>
      </c>
      <c r="O754" s="87">
        <f>'[1]LUONG T7'!K92</f>
        <v>0</v>
      </c>
      <c r="P754" s="88" t="s">
        <v>58</v>
      </c>
      <c r="Q754" s="259" t="s">
        <v>63</v>
      </c>
      <c r="R754" s="259"/>
      <c r="S754" s="259"/>
      <c r="T754" s="84" t="s">
        <v>49</v>
      </c>
      <c r="U754" s="260">
        <f>$F$8/$L$1*O754</f>
        <v>0</v>
      </c>
      <c r="V754" s="260"/>
      <c r="W754" s="92" t="s">
        <v>54</v>
      </c>
      <c r="X754" s="93"/>
    </row>
    <row r="755" spans="1:24" ht="18.75" customHeight="1">
      <c r="A755" s="86" t="s">
        <v>64</v>
      </c>
      <c r="B755" s="84" t="s">
        <v>49</v>
      </c>
      <c r="C755" s="87">
        <f>'[1]LUONG T7'!L90</f>
        <v>0</v>
      </c>
      <c r="D755" s="88" t="s">
        <v>58</v>
      </c>
      <c r="E755" s="259" t="s">
        <v>65</v>
      </c>
      <c r="F755" s="259"/>
      <c r="G755" s="259"/>
      <c r="H755" s="84" t="s">
        <v>49</v>
      </c>
      <c r="I755" s="260">
        <f>$F$8/$L$1*C755</f>
        <v>0</v>
      </c>
      <c r="J755" s="260"/>
      <c r="K755" s="92" t="s">
        <v>54</v>
      </c>
      <c r="L755" s="93"/>
      <c r="M755" s="86" t="s">
        <v>64</v>
      </c>
      <c r="N755" s="84" t="s">
        <v>49</v>
      </c>
      <c r="O755" s="87">
        <f>'[1]LUONG T7'!L92</f>
        <v>0</v>
      </c>
      <c r="P755" s="88" t="s">
        <v>58</v>
      </c>
      <c r="Q755" s="259" t="s">
        <v>65</v>
      </c>
      <c r="R755" s="259"/>
      <c r="S755" s="259"/>
      <c r="T755" s="84" t="s">
        <v>49</v>
      </c>
      <c r="U755" s="260">
        <f>$F$8/$L$1*O755</f>
        <v>0</v>
      </c>
      <c r="V755" s="260"/>
      <c r="W755" s="92" t="s">
        <v>54</v>
      </c>
      <c r="X755" s="93"/>
    </row>
    <row r="756" spans="1:24" ht="18.75" customHeight="1">
      <c r="A756" s="86" t="s">
        <v>66</v>
      </c>
      <c r="B756" s="84" t="s">
        <v>49</v>
      </c>
      <c r="C756" s="87">
        <f>'[1]LUONG T7'!Q90</f>
        <v>0</v>
      </c>
      <c r="D756" s="88" t="s">
        <v>67</v>
      </c>
      <c r="E756" s="249" t="s">
        <v>68</v>
      </c>
      <c r="F756" s="249"/>
      <c r="G756" s="249"/>
      <c r="H756" s="84" t="s">
        <v>49</v>
      </c>
      <c r="I756" s="260">
        <f>'[1]LUONG T7'!Q91</f>
        <v>0</v>
      </c>
      <c r="J756" s="260"/>
      <c r="K756" s="92" t="s">
        <v>54</v>
      </c>
      <c r="L756" s="93">
        <f>F749*C756/L742/8*1.5</f>
        <v>0</v>
      </c>
      <c r="M756" s="86" t="s">
        <v>66</v>
      </c>
      <c r="N756" s="84" t="s">
        <v>49</v>
      </c>
      <c r="O756" s="87">
        <f>'[1]LUONG T7'!Q92</f>
        <v>0</v>
      </c>
      <c r="P756" s="88" t="s">
        <v>67</v>
      </c>
      <c r="Q756" s="249" t="s">
        <v>68</v>
      </c>
      <c r="R756" s="249"/>
      <c r="S756" s="249"/>
      <c r="T756" s="84" t="s">
        <v>49</v>
      </c>
      <c r="U756" s="260">
        <f>'[1]LUONG T7'!Q93</f>
        <v>0</v>
      </c>
      <c r="V756" s="260"/>
      <c r="W756" s="92" t="s">
        <v>54</v>
      </c>
      <c r="X756" s="93">
        <f>R749*O756/X742/8*1.5</f>
        <v>0</v>
      </c>
    </row>
    <row r="757" spans="1:24" ht="18.75" customHeight="1">
      <c r="A757" s="248" t="s">
        <v>69</v>
      </c>
      <c r="B757" s="249"/>
      <c r="C757" s="87"/>
      <c r="D757" s="88" t="s">
        <v>58</v>
      </c>
      <c r="E757" s="249" t="s">
        <v>70</v>
      </c>
      <c r="F757" s="249"/>
      <c r="G757" s="249"/>
      <c r="H757" s="94" t="s">
        <v>49</v>
      </c>
      <c r="I757" s="260"/>
      <c r="J757" s="260"/>
      <c r="K757" s="92" t="s">
        <v>54</v>
      </c>
      <c r="L757" s="93"/>
      <c r="M757" s="248" t="s">
        <v>69</v>
      </c>
      <c r="N757" s="249"/>
      <c r="O757" s="87"/>
      <c r="P757" s="88" t="s">
        <v>58</v>
      </c>
      <c r="Q757" s="249" t="s">
        <v>70</v>
      </c>
      <c r="R757" s="249"/>
      <c r="S757" s="249"/>
      <c r="T757" s="94" t="s">
        <v>49</v>
      </c>
      <c r="U757" s="260"/>
      <c r="V757" s="260"/>
      <c r="W757" s="92" t="s">
        <v>54</v>
      </c>
      <c r="X757" s="93"/>
    </row>
    <row r="758" spans="1:24" ht="18.75" customHeight="1">
      <c r="A758" s="86" t="s">
        <v>71</v>
      </c>
      <c r="B758" s="84" t="s">
        <v>49</v>
      </c>
      <c r="C758" s="87"/>
      <c r="D758" s="88" t="s">
        <v>58</v>
      </c>
      <c r="E758" s="249" t="s">
        <v>72</v>
      </c>
      <c r="F758" s="249"/>
      <c r="G758" s="249"/>
      <c r="H758" s="84" t="s">
        <v>49</v>
      </c>
      <c r="I758" s="260"/>
      <c r="J758" s="260"/>
      <c r="K758" s="92" t="s">
        <v>54</v>
      </c>
      <c r="L758" s="93"/>
      <c r="M758" s="86" t="s">
        <v>71</v>
      </c>
      <c r="N758" s="84" t="s">
        <v>49</v>
      </c>
      <c r="O758" s="87"/>
      <c r="P758" s="88" t="s">
        <v>58</v>
      </c>
      <c r="Q758" s="249" t="s">
        <v>72</v>
      </c>
      <c r="R758" s="249"/>
      <c r="S758" s="249"/>
      <c r="T758" s="84" t="s">
        <v>49</v>
      </c>
      <c r="U758" s="260"/>
      <c r="V758" s="260"/>
      <c r="W758" s="92" t="s">
        <v>54</v>
      </c>
      <c r="X758" s="93"/>
    </row>
    <row r="759" spans="1:24" ht="18.75" customHeight="1">
      <c r="A759" s="95" t="s">
        <v>73</v>
      </c>
      <c r="B759" s="84"/>
      <c r="C759" s="87">
        <f>'[1]LUONG T7'!M90</f>
        <v>0</v>
      </c>
      <c r="D759" s="88" t="s">
        <v>67</v>
      </c>
      <c r="E759" s="249" t="s">
        <v>74</v>
      </c>
      <c r="F759" s="249"/>
      <c r="G759" s="249"/>
      <c r="H759" s="84" t="s">
        <v>49</v>
      </c>
      <c r="I759" s="260">
        <f>$F$8*C759/8/$L$1</f>
        <v>0</v>
      </c>
      <c r="J759" s="260"/>
      <c r="K759" s="92" t="s">
        <v>54</v>
      </c>
      <c r="L759" s="93"/>
      <c r="M759" s="95" t="s">
        <v>73</v>
      </c>
      <c r="N759" s="84"/>
      <c r="O759" s="87">
        <f>'[1]LUONG T7'!M92</f>
        <v>0</v>
      </c>
      <c r="P759" s="88" t="s">
        <v>67</v>
      </c>
      <c r="Q759" s="249" t="s">
        <v>74</v>
      </c>
      <c r="R759" s="249"/>
      <c r="S759" s="249"/>
      <c r="T759" s="84" t="s">
        <v>49</v>
      </c>
      <c r="U759" s="260">
        <f>$F$8*O759/8/$L$1</f>
        <v>0</v>
      </c>
      <c r="V759" s="260"/>
      <c r="W759" s="92" t="s">
        <v>54</v>
      </c>
      <c r="X759" s="93"/>
    </row>
    <row r="760" spans="1:24" ht="18.75" customHeight="1">
      <c r="A760" s="86" t="s">
        <v>75</v>
      </c>
      <c r="B760" s="84" t="s">
        <v>49</v>
      </c>
      <c r="C760" s="87"/>
      <c r="D760" s="88" t="s">
        <v>67</v>
      </c>
      <c r="E760" s="249" t="s">
        <v>97</v>
      </c>
      <c r="F760" s="249"/>
      <c r="G760" s="249"/>
      <c r="H760" s="84" t="s">
        <v>49</v>
      </c>
      <c r="I760" s="262"/>
      <c r="J760" s="262"/>
      <c r="K760" s="92" t="s">
        <v>54</v>
      </c>
      <c r="L760" s="93"/>
      <c r="M760" s="86" t="s">
        <v>75</v>
      </c>
      <c r="N760" s="84" t="s">
        <v>49</v>
      </c>
      <c r="O760" s="87"/>
      <c r="P760" s="88" t="s">
        <v>67</v>
      </c>
      <c r="Q760" s="249" t="s">
        <v>97</v>
      </c>
      <c r="R760" s="249"/>
      <c r="S760" s="249"/>
      <c r="T760" s="84" t="s">
        <v>49</v>
      </c>
      <c r="U760" s="262"/>
      <c r="V760" s="262"/>
      <c r="W760" s="92" t="s">
        <v>54</v>
      </c>
      <c r="X760" s="93"/>
    </row>
    <row r="761" spans="1:24" ht="18.75" customHeight="1">
      <c r="A761" s="86" t="s">
        <v>77</v>
      </c>
      <c r="B761" s="84" t="s">
        <v>49</v>
      </c>
      <c r="C761" s="87"/>
      <c r="D761" s="88" t="s">
        <v>78</v>
      </c>
      <c r="E761" s="96" t="s">
        <v>79</v>
      </c>
      <c r="F761" s="96"/>
      <c r="G761" s="96"/>
      <c r="H761" s="84" t="s">
        <v>49</v>
      </c>
      <c r="I761" s="260"/>
      <c r="J761" s="260"/>
      <c r="K761" s="92" t="s">
        <v>54</v>
      </c>
      <c r="L761" s="93">
        <f>+IF(L752-I752&lt;0,0,L752-I752)+IF(L756-I756&lt;0,0,L756-I756)</f>
        <v>0</v>
      </c>
      <c r="M761" s="86" t="s">
        <v>77</v>
      </c>
      <c r="N761" s="84" t="s">
        <v>49</v>
      </c>
      <c r="O761" s="87"/>
      <c r="P761" s="88" t="s">
        <v>78</v>
      </c>
      <c r="Q761" s="96" t="s">
        <v>79</v>
      </c>
      <c r="R761" s="96"/>
      <c r="S761" s="96"/>
      <c r="T761" s="84" t="s">
        <v>49</v>
      </c>
      <c r="U761" s="260"/>
      <c r="V761" s="260"/>
      <c r="W761" s="92" t="s">
        <v>54</v>
      </c>
      <c r="X761" s="93">
        <f>+IF(X752-U752&lt;0,0,X752-U752)+IF(X756-U756&lt;0,0,X756-U756)</f>
        <v>0</v>
      </c>
    </row>
    <row r="762" spans="1:24" ht="18.75" customHeight="1">
      <c r="A762" s="97" t="s">
        <v>122</v>
      </c>
      <c r="B762" s="98"/>
      <c r="C762" s="87"/>
      <c r="D762" s="88" t="s">
        <v>58</v>
      </c>
      <c r="E762" s="249" t="s">
        <v>123</v>
      </c>
      <c r="F762" s="249"/>
      <c r="G762" s="249"/>
      <c r="H762" s="84" t="s">
        <v>49</v>
      </c>
      <c r="I762" s="260"/>
      <c r="J762" s="260"/>
      <c r="K762" s="92" t="s">
        <v>54</v>
      </c>
      <c r="L762" s="93"/>
      <c r="M762" s="97" t="s">
        <v>122</v>
      </c>
      <c r="N762" s="98"/>
      <c r="O762" s="87"/>
      <c r="P762" s="88" t="s">
        <v>58</v>
      </c>
      <c r="Q762" s="249" t="s">
        <v>123</v>
      </c>
      <c r="R762" s="249"/>
      <c r="S762" s="249"/>
      <c r="T762" s="84" t="s">
        <v>49</v>
      </c>
      <c r="U762" s="260"/>
      <c r="V762" s="260"/>
      <c r="W762" s="92" t="s">
        <v>54</v>
      </c>
      <c r="X762" s="93"/>
    </row>
    <row r="763" spans="1:24" ht="18.75" customHeight="1">
      <c r="A763" s="267" t="s">
        <v>82</v>
      </c>
      <c r="B763" s="261"/>
      <c r="C763" s="87"/>
      <c r="D763" s="88"/>
      <c r="E763" s="89"/>
      <c r="F763" s="89"/>
      <c r="G763" s="89"/>
      <c r="H763" s="84" t="s">
        <v>49</v>
      </c>
      <c r="I763" s="260">
        <f>'[1]LUONG T7'!P91</f>
        <v>0</v>
      </c>
      <c r="J763" s="260"/>
      <c r="K763" s="92" t="s">
        <v>54</v>
      </c>
      <c r="L763" s="93"/>
      <c r="M763" s="267" t="s">
        <v>82</v>
      </c>
      <c r="N763" s="261"/>
      <c r="O763" s="87"/>
      <c r="P763" s="88"/>
      <c r="Q763" s="89"/>
      <c r="R763" s="89"/>
      <c r="S763" s="89"/>
      <c r="T763" s="84" t="s">
        <v>49</v>
      </c>
      <c r="U763" s="260">
        <f>'[1]LUONG T7'!P93</f>
        <v>0</v>
      </c>
      <c r="V763" s="260"/>
      <c r="W763" s="92" t="s">
        <v>54</v>
      </c>
      <c r="X763" s="93"/>
    </row>
    <row r="764" spans="1:24" ht="18.75" customHeight="1">
      <c r="A764" s="86" t="s">
        <v>83</v>
      </c>
      <c r="B764" s="84" t="s">
        <v>49</v>
      </c>
      <c r="C764" s="87"/>
      <c r="D764" s="88"/>
      <c r="E764" s="89" t="s">
        <v>84</v>
      </c>
      <c r="F764" s="89"/>
      <c r="G764" s="89"/>
      <c r="H764" s="84" t="s">
        <v>49</v>
      </c>
      <c r="I764" s="260">
        <f>L761</f>
        <v>0</v>
      </c>
      <c r="J764" s="260"/>
      <c r="K764" s="92" t="s">
        <v>54</v>
      </c>
      <c r="L764" s="93"/>
      <c r="M764" s="86" t="s">
        <v>83</v>
      </c>
      <c r="N764" s="84" t="s">
        <v>49</v>
      </c>
      <c r="O764" s="87"/>
      <c r="P764" s="88"/>
      <c r="Q764" s="89" t="s">
        <v>84</v>
      </c>
      <c r="R764" s="89"/>
      <c r="S764" s="89"/>
      <c r="T764" s="84" t="s">
        <v>49</v>
      </c>
      <c r="U764" s="260">
        <f>X761</f>
        <v>0</v>
      </c>
      <c r="V764" s="260"/>
      <c r="W764" s="92" t="s">
        <v>54</v>
      </c>
      <c r="X764" s="93"/>
    </row>
    <row r="765" spans="1:24" ht="18.75" customHeight="1">
      <c r="A765" s="264" t="s">
        <v>85</v>
      </c>
      <c r="B765" s="265"/>
      <c r="C765" s="265"/>
      <c r="D765" s="265"/>
      <c r="E765" s="265"/>
      <c r="F765" s="265"/>
      <c r="G765" s="84" t="s">
        <v>49</v>
      </c>
      <c r="H765" s="266">
        <f>I752+I753+I754+I755+I756+I759+I763+I764</f>
        <v>0</v>
      </c>
      <c r="I765" s="266"/>
      <c r="J765" s="266"/>
      <c r="K765" s="92" t="s">
        <v>54</v>
      </c>
      <c r="M765" s="264" t="s">
        <v>85</v>
      </c>
      <c r="N765" s="265"/>
      <c r="O765" s="265"/>
      <c r="P765" s="265"/>
      <c r="Q765" s="265"/>
      <c r="R765" s="265"/>
      <c r="S765" s="84" t="s">
        <v>49</v>
      </c>
      <c r="T765" s="266">
        <f>U752+U753+U754+U755+U756+U759+U763+U764</f>
        <v>0</v>
      </c>
      <c r="U765" s="266"/>
      <c r="V765" s="266"/>
      <c r="W765" s="92" t="s">
        <v>54</v>
      </c>
    </row>
    <row r="766" spans="1:24" ht="18.75" customHeight="1">
      <c r="A766" s="99"/>
      <c r="B766" s="100"/>
      <c r="C766" s="100"/>
      <c r="D766" s="100"/>
      <c r="E766" s="100"/>
      <c r="F766" s="100"/>
      <c r="G766" s="100"/>
      <c r="H766" s="100"/>
      <c r="I766" s="100"/>
      <c r="J766" s="100"/>
      <c r="K766" s="101"/>
      <c r="M766" s="99"/>
      <c r="N766" s="100"/>
      <c r="O766" s="100"/>
      <c r="P766" s="100"/>
      <c r="Q766" s="100"/>
      <c r="R766" s="100"/>
      <c r="S766" s="100"/>
      <c r="T766" s="100"/>
      <c r="U766" s="100"/>
      <c r="V766" s="100"/>
      <c r="W766" s="101"/>
    </row>
    <row r="767" spans="1:24" ht="18.75" customHeight="1">
      <c r="A767" s="274" t="s">
        <v>86</v>
      </c>
      <c r="B767" s="275"/>
      <c r="C767" s="275"/>
      <c r="D767" s="275"/>
      <c r="E767" s="275"/>
      <c r="F767" s="275"/>
      <c r="G767" s="84"/>
      <c r="H767" s="84"/>
      <c r="I767" s="84"/>
      <c r="J767" s="84"/>
      <c r="K767" s="92"/>
      <c r="M767" s="274" t="s">
        <v>86</v>
      </c>
      <c r="N767" s="275"/>
      <c r="O767" s="275"/>
      <c r="P767" s="275"/>
      <c r="Q767" s="275"/>
      <c r="R767" s="275"/>
      <c r="S767" s="84"/>
      <c r="T767" s="84"/>
      <c r="U767" s="84"/>
      <c r="V767" s="84"/>
      <c r="W767" s="92"/>
    </row>
    <row r="768" spans="1:24" ht="18.75" customHeight="1">
      <c r="A768" s="268" t="s">
        <v>87</v>
      </c>
      <c r="B768" s="269"/>
      <c r="C768" s="269"/>
      <c r="D768" s="269"/>
      <c r="E768" s="269"/>
      <c r="F768" s="269"/>
      <c r="G768" s="84" t="s">
        <v>49</v>
      </c>
      <c r="H768" s="276">
        <f>IF(($L$1-(C752+C753+C754+C755))&gt;12,0,F749*8%)</f>
        <v>0</v>
      </c>
      <c r="I768" s="276"/>
      <c r="J768" s="276"/>
      <c r="K768" s="92" t="s">
        <v>54</v>
      </c>
      <c r="M768" s="268" t="s">
        <v>87</v>
      </c>
      <c r="N768" s="269"/>
      <c r="O768" s="269"/>
      <c r="P768" s="269"/>
      <c r="Q768" s="269"/>
      <c r="R768" s="269"/>
      <c r="S768" s="84" t="s">
        <v>49</v>
      </c>
      <c r="T768" s="276">
        <f>IF(($L$1-(O752+O753+O754+O755))&gt;12,0,R749*8%)</f>
        <v>0</v>
      </c>
      <c r="U768" s="276"/>
      <c r="V768" s="276"/>
      <c r="W768" s="92" t="s">
        <v>54</v>
      </c>
    </row>
    <row r="769" spans="1:24" ht="18.75" customHeight="1">
      <c r="A769" s="268" t="s">
        <v>88</v>
      </c>
      <c r="B769" s="269"/>
      <c r="C769" s="269"/>
      <c r="D769" s="269"/>
      <c r="E769" s="269"/>
      <c r="F769" s="269"/>
      <c r="G769" s="84" t="s">
        <v>49</v>
      </c>
      <c r="H769" s="270">
        <f>IF(($L$1-(C752+C753+C754+C755))&gt;12,0,F749*1.5%)</f>
        <v>0</v>
      </c>
      <c r="I769" s="270"/>
      <c r="J769" s="270"/>
      <c r="K769" s="92" t="s">
        <v>54</v>
      </c>
      <c r="M769" s="268" t="s">
        <v>88</v>
      </c>
      <c r="N769" s="269"/>
      <c r="O769" s="269"/>
      <c r="P769" s="269"/>
      <c r="Q769" s="269"/>
      <c r="R769" s="269"/>
      <c r="S769" s="84" t="s">
        <v>49</v>
      </c>
      <c r="T769" s="270">
        <f>IF(($L$1-(O752+O753+O754+O755))&gt;12,0,R749*1.5%)</f>
        <v>0</v>
      </c>
      <c r="U769" s="270"/>
      <c r="V769" s="270"/>
      <c r="W769" s="92" t="s">
        <v>54</v>
      </c>
    </row>
    <row r="770" spans="1:24" ht="18.75" customHeight="1">
      <c r="A770" s="268" t="s">
        <v>89</v>
      </c>
      <c r="B770" s="269"/>
      <c r="C770" s="269"/>
      <c r="D770" s="269"/>
      <c r="E770" s="269"/>
      <c r="F770" s="269"/>
      <c r="G770" s="84" t="s">
        <v>49</v>
      </c>
      <c r="H770" s="270">
        <f>IF(($L$1-(C752+C753+C754+C755))&gt;12,0,F749*1%)</f>
        <v>0</v>
      </c>
      <c r="I770" s="270"/>
      <c r="J770" s="270"/>
      <c r="K770" s="92" t="s">
        <v>54</v>
      </c>
      <c r="M770" s="268" t="s">
        <v>89</v>
      </c>
      <c r="N770" s="269"/>
      <c r="O770" s="269"/>
      <c r="P770" s="269"/>
      <c r="Q770" s="269"/>
      <c r="R770" s="269"/>
      <c r="S770" s="84" t="s">
        <v>49</v>
      </c>
      <c r="T770" s="270">
        <f>IF(($L$1-(O752+O753+O754+O755))&gt;12,0,R749*1%)</f>
        <v>0</v>
      </c>
      <c r="U770" s="270"/>
      <c r="V770" s="270"/>
      <c r="W770" s="92" t="s">
        <v>54</v>
      </c>
    </row>
    <row r="771" spans="1:24" ht="18.75" customHeight="1">
      <c r="A771" s="268" t="s">
        <v>90</v>
      </c>
      <c r="B771" s="269"/>
      <c r="C771" s="269"/>
      <c r="D771" s="269"/>
      <c r="E771" s="269"/>
      <c r="F771" s="269"/>
      <c r="G771" s="84" t="s">
        <v>49</v>
      </c>
      <c r="H771" s="270">
        <v>0</v>
      </c>
      <c r="I771" s="270"/>
      <c r="J771" s="270"/>
      <c r="K771" s="92" t="s">
        <v>54</v>
      </c>
      <c r="M771" s="268" t="s">
        <v>90</v>
      </c>
      <c r="N771" s="269"/>
      <c r="O771" s="269"/>
      <c r="P771" s="269"/>
      <c r="Q771" s="269"/>
      <c r="R771" s="269"/>
      <c r="S771" s="84" t="s">
        <v>49</v>
      </c>
      <c r="T771" s="270">
        <v>0</v>
      </c>
      <c r="U771" s="270"/>
      <c r="V771" s="270"/>
      <c r="W771" s="92" t="s">
        <v>54</v>
      </c>
    </row>
    <row r="772" spans="1:24" ht="18.75" customHeight="1">
      <c r="A772" s="271" t="s">
        <v>91</v>
      </c>
      <c r="B772" s="272"/>
      <c r="C772" s="272"/>
      <c r="D772" s="272"/>
      <c r="E772" s="272"/>
      <c r="F772" s="272"/>
      <c r="G772" s="84" t="s">
        <v>49</v>
      </c>
      <c r="H772" s="273">
        <f>SUM(H768:J771)</f>
        <v>0</v>
      </c>
      <c r="I772" s="273"/>
      <c r="J772" s="273"/>
      <c r="K772" s="92" t="s">
        <v>54</v>
      </c>
      <c r="M772" s="271" t="s">
        <v>91</v>
      </c>
      <c r="N772" s="272"/>
      <c r="O772" s="272"/>
      <c r="P772" s="272"/>
      <c r="Q772" s="272"/>
      <c r="R772" s="272"/>
      <c r="S772" s="84" t="s">
        <v>49</v>
      </c>
      <c r="T772" s="273">
        <f>SUM(T768:V771)</f>
        <v>0</v>
      </c>
      <c r="U772" s="273"/>
      <c r="V772" s="273"/>
      <c r="W772" s="92" t="s">
        <v>54</v>
      </c>
    </row>
    <row r="773" spans="1:24" ht="18.75" customHeight="1">
      <c r="A773" s="268" t="s">
        <v>92</v>
      </c>
      <c r="B773" s="269"/>
      <c r="C773" s="269"/>
      <c r="D773" s="269"/>
      <c r="E773" s="269"/>
      <c r="F773" s="269"/>
      <c r="G773" s="84" t="s">
        <v>49</v>
      </c>
      <c r="H773" s="280">
        <f>ROUND(H765-H772,-2)</f>
        <v>0</v>
      </c>
      <c r="I773" s="280"/>
      <c r="J773" s="280"/>
      <c r="K773" s="92" t="s">
        <v>54</v>
      </c>
      <c r="M773" s="268" t="s">
        <v>92</v>
      </c>
      <c r="N773" s="269"/>
      <c r="O773" s="269"/>
      <c r="P773" s="269"/>
      <c r="Q773" s="269"/>
      <c r="R773" s="269"/>
      <c r="S773" s="84" t="s">
        <v>49</v>
      </c>
      <c r="T773" s="280">
        <f>ROUND(T765-T772,-2)</f>
        <v>0</v>
      </c>
      <c r="U773" s="280"/>
      <c r="V773" s="280"/>
      <c r="W773" s="92" t="s">
        <v>54</v>
      </c>
    </row>
    <row r="774" spans="1:24" ht="18.75" customHeight="1">
      <c r="A774" s="102"/>
      <c r="B774" s="103"/>
      <c r="C774" s="103"/>
      <c r="D774" s="103"/>
      <c r="E774" s="103"/>
      <c r="F774" s="103"/>
      <c r="G774" s="103"/>
      <c r="H774" s="103"/>
      <c r="I774" s="103"/>
      <c r="J774" s="103"/>
      <c r="K774" s="104"/>
      <c r="M774" s="102"/>
      <c r="N774" s="103"/>
      <c r="O774" s="103"/>
      <c r="P774" s="103"/>
      <c r="Q774" s="103"/>
      <c r="R774" s="103"/>
      <c r="S774" s="103"/>
      <c r="T774" s="103"/>
      <c r="U774" s="103"/>
      <c r="V774" s="103"/>
      <c r="W774" s="104"/>
    </row>
    <row r="775" spans="1:24" ht="18.75" customHeight="1">
      <c r="A775" s="105"/>
      <c r="B775" s="84"/>
      <c r="C775" s="84"/>
      <c r="D775" s="84"/>
      <c r="E775" s="84"/>
      <c r="F775" s="84"/>
      <c r="G775" s="84"/>
      <c r="H775" s="84"/>
      <c r="I775" s="277" t="s">
        <v>93</v>
      </c>
      <c r="J775" s="277"/>
      <c r="K775" s="281"/>
      <c r="M775" s="105"/>
      <c r="N775" s="84"/>
      <c r="O775" s="84"/>
      <c r="P775" s="84"/>
      <c r="Q775" s="84"/>
      <c r="R775" s="84"/>
      <c r="S775" s="84"/>
      <c r="T775" s="84"/>
      <c r="U775" s="277" t="s">
        <v>93</v>
      </c>
      <c r="V775" s="277"/>
      <c r="W775" s="281"/>
    </row>
    <row r="776" spans="1:24" ht="18.75" customHeight="1">
      <c r="A776" s="105"/>
      <c r="B776" s="277"/>
      <c r="C776" s="277"/>
      <c r="D776" s="277"/>
      <c r="E776" s="277"/>
      <c r="F776" s="84"/>
      <c r="G776" s="84"/>
      <c r="H776" s="84"/>
      <c r="I776" s="84"/>
      <c r="J776" s="84"/>
      <c r="K776" s="85"/>
      <c r="M776" s="105"/>
      <c r="N776" s="277"/>
      <c r="O776" s="277"/>
      <c r="P776" s="277"/>
      <c r="Q776" s="277"/>
      <c r="R776" s="84"/>
      <c r="S776" s="84"/>
      <c r="T776" s="84"/>
      <c r="U776" s="84"/>
      <c r="V776" s="84"/>
      <c r="W776" s="85"/>
    </row>
    <row r="777" spans="1:24" ht="18.75" customHeight="1" thickBot="1">
      <c r="A777" s="106"/>
      <c r="B777" s="107"/>
      <c r="C777" s="107"/>
      <c r="D777" s="107"/>
      <c r="E777" s="107"/>
      <c r="F777" s="107"/>
      <c r="G777" s="107"/>
      <c r="H777" s="107"/>
      <c r="I777" s="278" t="s">
        <v>94</v>
      </c>
      <c r="J777" s="278"/>
      <c r="K777" s="279"/>
      <c r="M777" s="106"/>
      <c r="N777" s="107"/>
      <c r="O777" s="107"/>
      <c r="P777" s="107"/>
      <c r="Q777" s="107"/>
      <c r="R777" s="107"/>
      <c r="S777" s="107"/>
      <c r="T777" s="107"/>
      <c r="U777" s="278" t="s">
        <v>94</v>
      </c>
      <c r="V777" s="278"/>
      <c r="W777" s="279"/>
    </row>
    <row r="779" spans="1:24" ht="18.75" customHeight="1" thickTop="1">
      <c r="A779" s="253" t="s">
        <v>43</v>
      </c>
      <c r="B779" s="254"/>
      <c r="C779" s="254"/>
      <c r="D779" s="254"/>
      <c r="E779" s="254"/>
      <c r="F779" s="254"/>
      <c r="G779" s="254"/>
      <c r="H779" s="254"/>
      <c r="I779" s="254"/>
      <c r="J779" s="254"/>
      <c r="K779" s="255"/>
      <c r="L779" s="80">
        <v>25</v>
      </c>
      <c r="M779" s="253" t="s">
        <v>43</v>
      </c>
      <c r="N779" s="254"/>
      <c r="O779" s="254"/>
      <c r="P779" s="254"/>
      <c r="Q779" s="254"/>
      <c r="R779" s="254"/>
      <c r="S779" s="254"/>
      <c r="T779" s="254"/>
      <c r="U779" s="254"/>
      <c r="V779" s="254"/>
      <c r="W779" s="255"/>
      <c r="X779" s="80">
        <v>25</v>
      </c>
    </row>
    <row r="780" spans="1:24" ht="18.75" customHeight="1">
      <c r="A780" s="81" t="s">
        <v>150</v>
      </c>
      <c r="B780" s="82"/>
      <c r="C780" s="82"/>
      <c r="D780" s="82"/>
      <c r="E780" s="82"/>
      <c r="F780" s="82"/>
      <c r="G780" s="82"/>
      <c r="H780" s="82"/>
      <c r="I780" s="82"/>
      <c r="J780" s="82"/>
      <c r="K780" s="83"/>
      <c r="M780" s="81" t="s">
        <v>151</v>
      </c>
      <c r="N780" s="82"/>
      <c r="O780" s="82"/>
      <c r="P780" s="82"/>
      <c r="Q780" s="82"/>
      <c r="R780" s="82"/>
      <c r="S780" s="82"/>
      <c r="T780" s="82"/>
      <c r="U780" s="82"/>
      <c r="V780" s="82"/>
      <c r="W780" s="83"/>
    </row>
    <row r="781" spans="1:24" ht="18.75" customHeight="1">
      <c r="A781" s="256" t="s">
        <v>47</v>
      </c>
      <c r="B781" s="257"/>
      <c r="C781" s="257"/>
      <c r="D781" s="257"/>
      <c r="E781" s="257"/>
      <c r="F781" s="257"/>
      <c r="G781" s="257"/>
      <c r="H781" s="257"/>
      <c r="I781" s="257"/>
      <c r="J781" s="257"/>
      <c r="K781" s="258"/>
      <c r="M781" s="256" t="s">
        <v>47</v>
      </c>
      <c r="N781" s="257"/>
      <c r="O781" s="257"/>
      <c r="P781" s="257"/>
      <c r="Q781" s="257"/>
      <c r="R781" s="257"/>
      <c r="S781" s="257"/>
      <c r="T781" s="257"/>
      <c r="U781" s="257"/>
      <c r="V781" s="257"/>
      <c r="W781" s="258"/>
    </row>
    <row r="782" spans="1:24" ht="18.75" customHeight="1">
      <c r="A782" s="248" t="s">
        <v>48</v>
      </c>
      <c r="B782" s="249"/>
      <c r="C782" s="249"/>
      <c r="D782" s="249"/>
      <c r="E782" s="84" t="s">
        <v>49</v>
      </c>
      <c r="F782" s="250">
        <f>'[1]Bang TH nop'!B87</f>
        <v>0</v>
      </c>
      <c r="G782" s="249"/>
      <c r="H782" s="249"/>
      <c r="I782" s="249"/>
      <c r="J782" s="249"/>
      <c r="K782" s="252"/>
      <c r="M782" s="248" t="s">
        <v>48</v>
      </c>
      <c r="N782" s="249"/>
      <c r="O782" s="249"/>
      <c r="P782" s="249"/>
      <c r="Q782" s="84" t="s">
        <v>49</v>
      </c>
      <c r="R782" s="250">
        <f>'[1]Bang TH nop'!B89</f>
        <v>0</v>
      </c>
      <c r="S782" s="249"/>
      <c r="T782" s="249"/>
      <c r="U782" s="249"/>
      <c r="V782" s="249"/>
      <c r="W782" s="252"/>
    </row>
    <row r="783" spans="1:24" ht="18.75" customHeight="1">
      <c r="A783" s="248" t="s">
        <v>50</v>
      </c>
      <c r="B783" s="249"/>
      <c r="C783" s="249"/>
      <c r="D783" s="249"/>
      <c r="E783" s="84" t="s">
        <v>49</v>
      </c>
      <c r="F783" s="250">
        <f>'[1]Bang TH nop'!C87</f>
        <v>0</v>
      </c>
      <c r="G783" s="250"/>
      <c r="H783" s="250"/>
      <c r="I783" s="250"/>
      <c r="J783" s="250"/>
      <c r="K783" s="251"/>
      <c r="M783" s="248" t="s">
        <v>50</v>
      </c>
      <c r="N783" s="249"/>
      <c r="O783" s="249"/>
      <c r="P783" s="249"/>
      <c r="Q783" s="84" t="s">
        <v>49</v>
      </c>
      <c r="R783" s="250">
        <f>'[1]Bang TH nop'!C89</f>
        <v>0</v>
      </c>
      <c r="S783" s="250"/>
      <c r="T783" s="250"/>
      <c r="U783" s="250"/>
      <c r="V783" s="250"/>
      <c r="W783" s="251"/>
    </row>
    <row r="784" spans="1:24" ht="18.75" customHeight="1">
      <c r="A784" s="248" t="s">
        <v>51</v>
      </c>
      <c r="B784" s="249"/>
      <c r="C784" s="249"/>
      <c r="D784" s="249"/>
      <c r="E784" s="84" t="s">
        <v>49</v>
      </c>
      <c r="F784" s="249" t="s">
        <v>121</v>
      </c>
      <c r="G784" s="249"/>
      <c r="H784" s="249"/>
      <c r="I784" s="249"/>
      <c r="J784" s="249"/>
      <c r="K784" s="252"/>
      <c r="M784" s="248" t="s">
        <v>51</v>
      </c>
      <c r="N784" s="249"/>
      <c r="O784" s="249"/>
      <c r="P784" s="249"/>
      <c r="Q784" s="84" t="s">
        <v>49</v>
      </c>
      <c r="R784" s="249" t="s">
        <v>121</v>
      </c>
      <c r="S784" s="249"/>
      <c r="T784" s="249"/>
      <c r="U784" s="249"/>
      <c r="V784" s="249"/>
      <c r="W784" s="252"/>
    </row>
    <row r="785" spans="1:24" ht="18.75" customHeight="1">
      <c r="A785" s="256" t="s">
        <v>52</v>
      </c>
      <c r="B785" s="257"/>
      <c r="C785" s="257"/>
      <c r="D785" s="257"/>
      <c r="E785" s="257"/>
      <c r="F785" s="257"/>
      <c r="G785" s="257"/>
      <c r="H785" s="257"/>
      <c r="I785" s="257"/>
      <c r="J785" s="257"/>
      <c r="K785" s="258"/>
      <c r="M785" s="256" t="s">
        <v>52</v>
      </c>
      <c r="N785" s="257"/>
      <c r="O785" s="257"/>
      <c r="P785" s="257"/>
      <c r="Q785" s="257"/>
      <c r="R785" s="257"/>
      <c r="S785" s="257"/>
      <c r="T785" s="257"/>
      <c r="U785" s="257"/>
      <c r="V785" s="257"/>
      <c r="W785" s="258"/>
    </row>
    <row r="786" spans="1:24" ht="18.75" customHeight="1">
      <c r="A786" s="248" t="s">
        <v>53</v>
      </c>
      <c r="B786" s="249"/>
      <c r="C786" s="249"/>
      <c r="D786" s="249"/>
      <c r="E786" s="84" t="s">
        <v>49</v>
      </c>
      <c r="F786" s="263">
        <v>2915400</v>
      </c>
      <c r="G786" s="263"/>
      <c r="H786" s="263"/>
      <c r="I786" s="263"/>
      <c r="J786" s="84" t="s">
        <v>54</v>
      </c>
      <c r="K786" s="85"/>
      <c r="M786" s="248" t="s">
        <v>53</v>
      </c>
      <c r="N786" s="249"/>
      <c r="O786" s="249"/>
      <c r="P786" s="249"/>
      <c r="Q786" s="84" t="s">
        <v>49</v>
      </c>
      <c r="R786" s="263">
        <v>2915400</v>
      </c>
      <c r="S786" s="263"/>
      <c r="T786" s="263"/>
      <c r="U786" s="263"/>
      <c r="V786" s="84" t="s">
        <v>54</v>
      </c>
      <c r="W786" s="85"/>
    </row>
    <row r="787" spans="1:24" ht="18.75" customHeight="1">
      <c r="A787" s="86" t="s">
        <v>55</v>
      </c>
      <c r="B787" s="84"/>
      <c r="C787" s="87"/>
      <c r="D787" s="88"/>
      <c r="E787" s="89"/>
      <c r="F787" s="89"/>
      <c r="G787" s="89"/>
      <c r="H787" s="84"/>
      <c r="I787" s="90">
        <f>'[1]LUONG T7'!F95</f>
        <v>0</v>
      </c>
      <c r="J787" s="91"/>
      <c r="K787" s="92"/>
      <c r="M787" s="86" t="s">
        <v>55</v>
      </c>
      <c r="N787" s="84"/>
      <c r="O787" s="87"/>
      <c r="P787" s="88"/>
      <c r="Q787" s="89"/>
      <c r="R787" s="89"/>
      <c r="S787" s="89"/>
      <c r="T787" s="84"/>
      <c r="U787" s="90">
        <f>'[1]LUONG T7'!F97</f>
        <v>0</v>
      </c>
      <c r="V787" s="91"/>
      <c r="W787" s="92"/>
    </row>
    <row r="788" spans="1:24" ht="18.75" customHeight="1">
      <c r="A788" s="86" t="s">
        <v>56</v>
      </c>
      <c r="B788" s="84"/>
      <c r="C788" s="87"/>
      <c r="D788" s="88"/>
      <c r="E788" s="89"/>
      <c r="F788" s="89"/>
      <c r="G788" s="89"/>
      <c r="H788" s="84"/>
      <c r="I788" s="90" t="e">
        <f>I789/C789/8</f>
        <v>#DIV/0!</v>
      </c>
      <c r="J788" s="91"/>
      <c r="K788" s="92"/>
      <c r="M788" s="86" t="s">
        <v>56</v>
      </c>
      <c r="N788" s="84"/>
      <c r="O788" s="87"/>
      <c r="P788" s="88"/>
      <c r="Q788" s="89"/>
      <c r="R788" s="89"/>
      <c r="S788" s="89"/>
      <c r="T788" s="84"/>
      <c r="U788" s="90" t="e">
        <f>U789/O789/8</f>
        <v>#DIV/0!</v>
      </c>
      <c r="V788" s="91"/>
      <c r="W788" s="92"/>
    </row>
    <row r="789" spans="1:24" ht="18.75" customHeight="1">
      <c r="A789" s="86" t="s">
        <v>57</v>
      </c>
      <c r="B789" s="84" t="s">
        <v>49</v>
      </c>
      <c r="C789" s="87">
        <f>'[1]LUONG T7'!I94</f>
        <v>0</v>
      </c>
      <c r="D789" s="88" t="s">
        <v>58</v>
      </c>
      <c r="E789" s="261" t="s">
        <v>59</v>
      </c>
      <c r="F789" s="261"/>
      <c r="G789" s="261"/>
      <c r="H789" s="84" t="s">
        <v>49</v>
      </c>
      <c r="I789" s="262">
        <f>'[1]LUONG T7'!I95</f>
        <v>0</v>
      </c>
      <c r="J789" s="262"/>
      <c r="K789" s="92" t="s">
        <v>54</v>
      </c>
      <c r="L789" s="93">
        <f>F786/L779*C789</f>
        <v>0</v>
      </c>
      <c r="M789" s="86" t="s">
        <v>57</v>
      </c>
      <c r="N789" s="84" t="s">
        <v>49</v>
      </c>
      <c r="O789" s="87">
        <f>'[1]LUONG T7'!I96</f>
        <v>0</v>
      </c>
      <c r="P789" s="88" t="s">
        <v>58</v>
      </c>
      <c r="Q789" s="261" t="s">
        <v>59</v>
      </c>
      <c r="R789" s="261"/>
      <c r="S789" s="261"/>
      <c r="T789" s="84" t="s">
        <v>49</v>
      </c>
      <c r="U789" s="262" t="e">
        <f>U787*680/((O789-O796)*8+O796*7+O793)*((O789-O796)*8+O796*7)</f>
        <v>#DIV/0!</v>
      </c>
      <c r="V789" s="262"/>
      <c r="W789" s="92" t="s">
        <v>54</v>
      </c>
      <c r="X789" s="93">
        <f>R786/X779*O789</f>
        <v>0</v>
      </c>
    </row>
    <row r="790" spans="1:24" ht="18.75" customHeight="1">
      <c r="A790" s="86" t="s">
        <v>60</v>
      </c>
      <c r="B790" s="84" t="s">
        <v>49</v>
      </c>
      <c r="C790" s="87">
        <f>'[1]LUONG T7'!J94</f>
        <v>0</v>
      </c>
      <c r="D790" s="88" t="s">
        <v>58</v>
      </c>
      <c r="E790" s="249" t="s">
        <v>61</v>
      </c>
      <c r="F790" s="249"/>
      <c r="G790" s="249"/>
      <c r="H790" s="84" t="s">
        <v>49</v>
      </c>
      <c r="I790" s="260">
        <f>$F$8/$L$1*C790</f>
        <v>0</v>
      </c>
      <c r="J790" s="260"/>
      <c r="K790" s="92" t="s">
        <v>54</v>
      </c>
      <c r="L790" s="93"/>
      <c r="M790" s="86" t="s">
        <v>60</v>
      </c>
      <c r="N790" s="84" t="s">
        <v>49</v>
      </c>
      <c r="O790" s="87">
        <f>'[1]LUONG T7'!J96</f>
        <v>0</v>
      </c>
      <c r="P790" s="88" t="s">
        <v>58</v>
      </c>
      <c r="Q790" s="249" t="s">
        <v>61</v>
      </c>
      <c r="R790" s="249"/>
      <c r="S790" s="249"/>
      <c r="T790" s="84" t="s">
        <v>49</v>
      </c>
      <c r="U790" s="260">
        <f>$F$8/$L$1*O790</f>
        <v>0</v>
      </c>
      <c r="V790" s="260"/>
      <c r="W790" s="92" t="s">
        <v>54</v>
      </c>
      <c r="X790" s="93"/>
    </row>
    <row r="791" spans="1:24" ht="18.75" customHeight="1">
      <c r="A791" s="86" t="s">
        <v>62</v>
      </c>
      <c r="B791" s="84" t="s">
        <v>49</v>
      </c>
      <c r="C791" s="87">
        <f>'[1]LUONG T7'!K94</f>
        <v>0</v>
      </c>
      <c r="D791" s="88" t="s">
        <v>58</v>
      </c>
      <c r="E791" s="259" t="s">
        <v>63</v>
      </c>
      <c r="F791" s="259"/>
      <c r="G791" s="259"/>
      <c r="H791" s="84" t="s">
        <v>49</v>
      </c>
      <c r="I791" s="260">
        <f>$F$8/$L$1*C791</f>
        <v>0</v>
      </c>
      <c r="J791" s="260"/>
      <c r="K791" s="92" t="s">
        <v>54</v>
      </c>
      <c r="L791" s="93"/>
      <c r="M791" s="86" t="s">
        <v>62</v>
      </c>
      <c r="N791" s="84" t="s">
        <v>49</v>
      </c>
      <c r="O791" s="87">
        <f>'[1]LUONG T7'!K96</f>
        <v>0</v>
      </c>
      <c r="P791" s="88" t="s">
        <v>58</v>
      </c>
      <c r="Q791" s="259" t="s">
        <v>63</v>
      </c>
      <c r="R791" s="259"/>
      <c r="S791" s="259"/>
      <c r="T791" s="84" t="s">
        <v>49</v>
      </c>
      <c r="U791" s="260">
        <f>$F$8/$L$1*O791</f>
        <v>0</v>
      </c>
      <c r="V791" s="260"/>
      <c r="W791" s="92" t="s">
        <v>54</v>
      </c>
      <c r="X791" s="93"/>
    </row>
    <row r="792" spans="1:24" ht="18.75" customHeight="1">
      <c r="A792" s="86" t="s">
        <v>64</v>
      </c>
      <c r="B792" s="84" t="s">
        <v>49</v>
      </c>
      <c r="C792" s="87">
        <f>'[1]LUONG T7'!L94</f>
        <v>0</v>
      </c>
      <c r="D792" s="88" t="s">
        <v>58</v>
      </c>
      <c r="E792" s="259" t="s">
        <v>65</v>
      </c>
      <c r="F792" s="259"/>
      <c r="G792" s="259"/>
      <c r="H792" s="84" t="s">
        <v>49</v>
      </c>
      <c r="I792" s="260">
        <f>$F$8/$L$1*C792</f>
        <v>0</v>
      </c>
      <c r="J792" s="260"/>
      <c r="K792" s="92" t="s">
        <v>54</v>
      </c>
      <c r="L792" s="93"/>
      <c r="M792" s="86" t="s">
        <v>64</v>
      </c>
      <c r="N792" s="84" t="s">
        <v>49</v>
      </c>
      <c r="O792" s="87">
        <f>'[1]LUONG T7'!L96</f>
        <v>0</v>
      </c>
      <c r="P792" s="88" t="s">
        <v>58</v>
      </c>
      <c r="Q792" s="259" t="s">
        <v>65</v>
      </c>
      <c r="R792" s="259"/>
      <c r="S792" s="259"/>
      <c r="T792" s="84" t="s">
        <v>49</v>
      </c>
      <c r="U792" s="260">
        <f>$F$8/$L$1*O792</f>
        <v>0</v>
      </c>
      <c r="V792" s="260"/>
      <c r="W792" s="92" t="s">
        <v>54</v>
      </c>
      <c r="X792" s="93"/>
    </row>
    <row r="793" spans="1:24" ht="18.75" customHeight="1">
      <c r="A793" s="86" t="s">
        <v>66</v>
      </c>
      <c r="B793" s="84" t="s">
        <v>49</v>
      </c>
      <c r="C793" s="87">
        <f>'[1]LUONG T7'!Q94</f>
        <v>0</v>
      </c>
      <c r="D793" s="88" t="s">
        <v>67</v>
      </c>
      <c r="E793" s="249" t="s">
        <v>68</v>
      </c>
      <c r="F793" s="249"/>
      <c r="G793" s="249"/>
      <c r="H793" s="84" t="s">
        <v>49</v>
      </c>
      <c r="I793" s="260">
        <f>'[1]LUONG T7'!Q95</f>
        <v>0</v>
      </c>
      <c r="J793" s="260"/>
      <c r="K793" s="92" t="s">
        <v>54</v>
      </c>
      <c r="L793" s="93">
        <f>F786*C793/L779/8*1.5</f>
        <v>0</v>
      </c>
      <c r="M793" s="86" t="s">
        <v>66</v>
      </c>
      <c r="N793" s="84" t="s">
        <v>49</v>
      </c>
      <c r="O793" s="87">
        <f>'[1]LUONG T7'!Q96</f>
        <v>0</v>
      </c>
      <c r="P793" s="88" t="s">
        <v>67</v>
      </c>
      <c r="Q793" s="249" t="s">
        <v>68</v>
      </c>
      <c r="R793" s="249"/>
      <c r="S793" s="249"/>
      <c r="T793" s="84" t="s">
        <v>49</v>
      </c>
      <c r="U793" s="260" t="e">
        <f>U789/O789/8*O793</f>
        <v>#DIV/0!</v>
      </c>
      <c r="V793" s="260"/>
      <c r="W793" s="92" t="s">
        <v>54</v>
      </c>
      <c r="X793" s="93">
        <f>R786*O793/X779/8*1.5</f>
        <v>0</v>
      </c>
    </row>
    <row r="794" spans="1:24" ht="18.75" customHeight="1">
      <c r="A794" s="248" t="s">
        <v>69</v>
      </c>
      <c r="B794" s="249"/>
      <c r="C794" s="87"/>
      <c r="D794" s="88" t="s">
        <v>58</v>
      </c>
      <c r="E794" s="249" t="s">
        <v>70</v>
      </c>
      <c r="F794" s="249"/>
      <c r="G794" s="249"/>
      <c r="H794" s="94" t="s">
        <v>49</v>
      </c>
      <c r="I794" s="260"/>
      <c r="J794" s="260"/>
      <c r="K794" s="92" t="s">
        <v>54</v>
      </c>
      <c r="L794" s="93"/>
      <c r="M794" s="248" t="s">
        <v>69</v>
      </c>
      <c r="N794" s="249"/>
      <c r="O794" s="87"/>
      <c r="P794" s="88" t="s">
        <v>58</v>
      </c>
      <c r="Q794" s="249" t="s">
        <v>70</v>
      </c>
      <c r="R794" s="249"/>
      <c r="S794" s="249"/>
      <c r="T794" s="94" t="s">
        <v>49</v>
      </c>
      <c r="U794" s="260"/>
      <c r="V794" s="260"/>
      <c r="W794" s="92" t="s">
        <v>54</v>
      </c>
      <c r="X794" s="93"/>
    </row>
    <row r="795" spans="1:24" ht="18.75" customHeight="1">
      <c r="A795" s="86" t="s">
        <v>71</v>
      </c>
      <c r="B795" s="84" t="s">
        <v>49</v>
      </c>
      <c r="C795" s="87"/>
      <c r="D795" s="88" t="s">
        <v>58</v>
      </c>
      <c r="E795" s="249" t="s">
        <v>72</v>
      </c>
      <c r="F795" s="249"/>
      <c r="G795" s="249"/>
      <c r="H795" s="84" t="s">
        <v>49</v>
      </c>
      <c r="I795" s="260"/>
      <c r="J795" s="260"/>
      <c r="K795" s="92" t="s">
        <v>54</v>
      </c>
      <c r="L795" s="93"/>
      <c r="M795" s="86" t="s">
        <v>71</v>
      </c>
      <c r="N795" s="84" t="s">
        <v>49</v>
      </c>
      <c r="O795" s="87"/>
      <c r="P795" s="88" t="s">
        <v>58</v>
      </c>
      <c r="Q795" s="249" t="s">
        <v>72</v>
      </c>
      <c r="R795" s="249"/>
      <c r="S795" s="249"/>
      <c r="T795" s="84" t="s">
        <v>49</v>
      </c>
      <c r="U795" s="260"/>
      <c r="V795" s="260"/>
      <c r="W795" s="92" t="s">
        <v>54</v>
      </c>
      <c r="X795" s="93"/>
    </row>
    <row r="796" spans="1:24" ht="18.75" customHeight="1">
      <c r="A796" s="95" t="s">
        <v>73</v>
      </c>
      <c r="B796" s="84"/>
      <c r="C796" s="87">
        <f>'[1]LUONG T7'!M94</f>
        <v>0</v>
      </c>
      <c r="D796" s="88" t="s">
        <v>67</v>
      </c>
      <c r="E796" s="249" t="s">
        <v>74</v>
      </c>
      <c r="F796" s="249"/>
      <c r="G796" s="249"/>
      <c r="H796" s="84" t="s">
        <v>49</v>
      </c>
      <c r="I796" s="260">
        <f>$F$8*C796/8/$L$1</f>
        <v>0</v>
      </c>
      <c r="J796" s="260"/>
      <c r="K796" s="92" t="s">
        <v>54</v>
      </c>
      <c r="L796" s="93"/>
      <c r="M796" s="95" t="s">
        <v>73</v>
      </c>
      <c r="N796" s="84"/>
      <c r="O796" s="87">
        <f>'[1]LUONG T7'!M96</f>
        <v>0</v>
      </c>
      <c r="P796" s="88" t="s">
        <v>67</v>
      </c>
      <c r="Q796" s="249" t="s">
        <v>74</v>
      </c>
      <c r="R796" s="249"/>
      <c r="S796" s="249"/>
      <c r="T796" s="84" t="s">
        <v>49</v>
      </c>
      <c r="U796" s="260">
        <f>$F$8*O796/8/$L$1</f>
        <v>0</v>
      </c>
      <c r="V796" s="260"/>
      <c r="W796" s="92" t="s">
        <v>54</v>
      </c>
      <c r="X796" s="93"/>
    </row>
    <row r="797" spans="1:24" ht="18.75" customHeight="1">
      <c r="A797" s="86" t="s">
        <v>75</v>
      </c>
      <c r="B797" s="84" t="s">
        <v>49</v>
      </c>
      <c r="C797" s="87"/>
      <c r="D797" s="88" t="s">
        <v>67</v>
      </c>
      <c r="E797" s="249" t="s">
        <v>97</v>
      </c>
      <c r="F797" s="249"/>
      <c r="G797" s="249"/>
      <c r="H797" s="84" t="s">
        <v>49</v>
      </c>
      <c r="I797" s="262"/>
      <c r="J797" s="262"/>
      <c r="K797" s="92" t="s">
        <v>54</v>
      </c>
      <c r="L797" s="93"/>
      <c r="M797" s="86" t="s">
        <v>75</v>
      </c>
      <c r="N797" s="84" t="s">
        <v>49</v>
      </c>
      <c r="O797" s="87"/>
      <c r="P797" s="88" t="s">
        <v>67</v>
      </c>
      <c r="Q797" s="249" t="s">
        <v>97</v>
      </c>
      <c r="R797" s="249"/>
      <c r="S797" s="249"/>
      <c r="T797" s="84" t="s">
        <v>49</v>
      </c>
      <c r="U797" s="262"/>
      <c r="V797" s="262"/>
      <c r="W797" s="92" t="s">
        <v>54</v>
      </c>
      <c r="X797" s="93"/>
    </row>
    <row r="798" spans="1:24" ht="18.75" customHeight="1">
      <c r="A798" s="86" t="s">
        <v>77</v>
      </c>
      <c r="B798" s="84" t="s">
        <v>49</v>
      </c>
      <c r="C798" s="87"/>
      <c r="D798" s="88" t="s">
        <v>78</v>
      </c>
      <c r="E798" s="96" t="s">
        <v>79</v>
      </c>
      <c r="F798" s="96"/>
      <c r="G798" s="96"/>
      <c r="H798" s="84" t="s">
        <v>49</v>
      </c>
      <c r="I798" s="260"/>
      <c r="J798" s="260"/>
      <c r="K798" s="92" t="s">
        <v>54</v>
      </c>
      <c r="L798" s="93">
        <f>+IF(L789-I789&lt;0,0,L789-I789)+IF(L793-I793&lt;0,0,L793-I793)</f>
        <v>0</v>
      </c>
      <c r="M798" s="86" t="s">
        <v>77</v>
      </c>
      <c r="N798" s="84" t="s">
        <v>49</v>
      </c>
      <c r="O798" s="87"/>
      <c r="P798" s="88" t="s">
        <v>78</v>
      </c>
      <c r="Q798" s="96" t="s">
        <v>79</v>
      </c>
      <c r="R798" s="96"/>
      <c r="S798" s="96"/>
      <c r="T798" s="84" t="s">
        <v>49</v>
      </c>
      <c r="U798" s="260"/>
      <c r="V798" s="260"/>
      <c r="W798" s="92" t="s">
        <v>54</v>
      </c>
      <c r="X798" s="93" t="e">
        <f>+IF(X789-U789&lt;0,0,X789-U789)+IF(X793-U793&lt;0,0,X793-U793)</f>
        <v>#DIV/0!</v>
      </c>
    </row>
    <row r="799" spans="1:24" ht="18.75" customHeight="1">
      <c r="A799" s="97" t="s">
        <v>122</v>
      </c>
      <c r="B799" s="98"/>
      <c r="C799" s="87"/>
      <c r="D799" s="88" t="s">
        <v>58</v>
      </c>
      <c r="E799" s="249" t="s">
        <v>123</v>
      </c>
      <c r="F799" s="249"/>
      <c r="G799" s="249"/>
      <c r="H799" s="84" t="s">
        <v>49</v>
      </c>
      <c r="I799" s="260"/>
      <c r="J799" s="260"/>
      <c r="K799" s="92" t="s">
        <v>54</v>
      </c>
      <c r="L799" s="93"/>
      <c r="M799" s="97" t="s">
        <v>122</v>
      </c>
      <c r="N799" s="98"/>
      <c r="O799" s="87"/>
      <c r="P799" s="88" t="s">
        <v>58</v>
      </c>
      <c r="Q799" s="249" t="s">
        <v>123</v>
      </c>
      <c r="R799" s="249"/>
      <c r="S799" s="249"/>
      <c r="T799" s="84" t="s">
        <v>49</v>
      </c>
      <c r="U799" s="260"/>
      <c r="V799" s="260"/>
      <c r="W799" s="92" t="s">
        <v>54</v>
      </c>
      <c r="X799" s="93"/>
    </row>
    <row r="800" spans="1:24" ht="18.75" customHeight="1">
      <c r="A800" s="267" t="s">
        <v>82</v>
      </c>
      <c r="B800" s="261"/>
      <c r="C800" s="87"/>
      <c r="D800" s="88"/>
      <c r="E800" s="89"/>
      <c r="F800" s="89"/>
      <c r="G800" s="89"/>
      <c r="H800" s="84" t="s">
        <v>49</v>
      </c>
      <c r="I800" s="260">
        <f>'[1]LUONG T7'!P95</f>
        <v>0</v>
      </c>
      <c r="J800" s="260"/>
      <c r="K800" s="92" t="s">
        <v>54</v>
      </c>
      <c r="L800" s="93"/>
      <c r="M800" s="267" t="s">
        <v>82</v>
      </c>
      <c r="N800" s="261"/>
      <c r="O800" s="87"/>
      <c r="P800" s="88"/>
      <c r="Q800" s="89"/>
      <c r="R800" s="89"/>
      <c r="S800" s="89"/>
      <c r="T800" s="84" t="s">
        <v>49</v>
      </c>
      <c r="U800" s="260">
        <f>'[1]LUONG T7'!P97</f>
        <v>0</v>
      </c>
      <c r="V800" s="260"/>
      <c r="W800" s="92" t="s">
        <v>54</v>
      </c>
      <c r="X800" s="93"/>
    </row>
    <row r="801" spans="1:24" ht="18.75" customHeight="1">
      <c r="A801" s="86" t="s">
        <v>83</v>
      </c>
      <c r="B801" s="84" t="s">
        <v>49</v>
      </c>
      <c r="C801" s="87"/>
      <c r="D801" s="88"/>
      <c r="E801" s="89" t="s">
        <v>84</v>
      </c>
      <c r="F801" s="89"/>
      <c r="G801" s="89"/>
      <c r="H801" s="84" t="s">
        <v>49</v>
      </c>
      <c r="I801" s="260">
        <f>L798</f>
        <v>0</v>
      </c>
      <c r="J801" s="260"/>
      <c r="K801" s="92" t="s">
        <v>54</v>
      </c>
      <c r="L801" s="93"/>
      <c r="M801" s="86" t="s">
        <v>83</v>
      </c>
      <c r="N801" s="84" t="s">
        <v>49</v>
      </c>
      <c r="O801" s="87"/>
      <c r="P801" s="88"/>
      <c r="Q801" s="89" t="s">
        <v>84</v>
      </c>
      <c r="R801" s="89"/>
      <c r="S801" s="89"/>
      <c r="T801" s="84" t="s">
        <v>49</v>
      </c>
      <c r="U801" s="260" t="e">
        <f>X798</f>
        <v>#DIV/0!</v>
      </c>
      <c r="V801" s="260"/>
      <c r="W801" s="92" t="s">
        <v>54</v>
      </c>
      <c r="X801" s="93"/>
    </row>
    <row r="802" spans="1:24" ht="18.75" customHeight="1">
      <c r="A802" s="264" t="s">
        <v>85</v>
      </c>
      <c r="B802" s="265"/>
      <c r="C802" s="265"/>
      <c r="D802" s="265"/>
      <c r="E802" s="265"/>
      <c r="F802" s="265"/>
      <c r="G802" s="84" t="s">
        <v>49</v>
      </c>
      <c r="H802" s="266">
        <f>I789+I790+I791+I792+I793+I796+I800+I801</f>
        <v>0</v>
      </c>
      <c r="I802" s="266"/>
      <c r="J802" s="266"/>
      <c r="K802" s="92" t="s">
        <v>54</v>
      </c>
      <c r="M802" s="264" t="s">
        <v>85</v>
      </c>
      <c r="N802" s="265"/>
      <c r="O802" s="265"/>
      <c r="P802" s="265"/>
      <c r="Q802" s="265"/>
      <c r="R802" s="265"/>
      <c r="S802" s="84" t="s">
        <v>49</v>
      </c>
      <c r="T802" s="266" t="e">
        <f>U789+U790+U791+U792+U793+U796+U800+U801</f>
        <v>#DIV/0!</v>
      </c>
      <c r="U802" s="266"/>
      <c r="V802" s="266"/>
      <c r="W802" s="92" t="s">
        <v>54</v>
      </c>
    </row>
    <row r="803" spans="1:24" ht="18.75" customHeight="1">
      <c r="A803" s="99"/>
      <c r="B803" s="100"/>
      <c r="C803" s="100"/>
      <c r="D803" s="100"/>
      <c r="E803" s="100"/>
      <c r="F803" s="100"/>
      <c r="G803" s="100"/>
      <c r="H803" s="100"/>
      <c r="I803" s="100"/>
      <c r="J803" s="100"/>
      <c r="K803" s="101"/>
      <c r="M803" s="99"/>
      <c r="N803" s="100"/>
      <c r="O803" s="100"/>
      <c r="P803" s="100"/>
      <c r="Q803" s="100"/>
      <c r="R803" s="100"/>
      <c r="S803" s="100"/>
      <c r="T803" s="100"/>
      <c r="U803" s="100"/>
      <c r="V803" s="100"/>
      <c r="W803" s="101"/>
    </row>
    <row r="804" spans="1:24" ht="18.75" customHeight="1">
      <c r="A804" s="274" t="s">
        <v>86</v>
      </c>
      <c r="B804" s="275"/>
      <c r="C804" s="275"/>
      <c r="D804" s="275"/>
      <c r="E804" s="275"/>
      <c r="F804" s="275"/>
      <c r="G804" s="84"/>
      <c r="H804" s="84"/>
      <c r="I804" s="84"/>
      <c r="J804" s="84"/>
      <c r="K804" s="92"/>
      <c r="M804" s="274" t="s">
        <v>86</v>
      </c>
      <c r="N804" s="275"/>
      <c r="O804" s="275"/>
      <c r="P804" s="275"/>
      <c r="Q804" s="275"/>
      <c r="R804" s="275"/>
      <c r="S804" s="84"/>
      <c r="T804" s="84"/>
      <c r="U804" s="84"/>
      <c r="V804" s="84"/>
      <c r="W804" s="92"/>
    </row>
    <row r="805" spans="1:24" ht="18.75" customHeight="1">
      <c r="A805" s="268" t="s">
        <v>87</v>
      </c>
      <c r="B805" s="269"/>
      <c r="C805" s="269"/>
      <c r="D805" s="269"/>
      <c r="E805" s="269"/>
      <c r="F805" s="269"/>
      <c r="G805" s="84" t="s">
        <v>49</v>
      </c>
      <c r="H805" s="276">
        <f>IF(($L$1-(C789+C790+C791+C792))&gt;12,0,F786*8%)</f>
        <v>0</v>
      </c>
      <c r="I805" s="276"/>
      <c r="J805" s="276"/>
      <c r="K805" s="92" t="s">
        <v>54</v>
      </c>
      <c r="M805" s="268" t="s">
        <v>87</v>
      </c>
      <c r="N805" s="269"/>
      <c r="O805" s="269"/>
      <c r="P805" s="269"/>
      <c r="Q805" s="269"/>
      <c r="R805" s="269"/>
      <c r="S805" s="84" t="s">
        <v>49</v>
      </c>
      <c r="T805" s="276">
        <f>IF(($L$1-(O789+O790+O791+O792))&gt;12,0,R786*8%)</f>
        <v>0</v>
      </c>
      <c r="U805" s="276"/>
      <c r="V805" s="276"/>
      <c r="W805" s="92" t="s">
        <v>54</v>
      </c>
    </row>
    <row r="806" spans="1:24" ht="18.75" customHeight="1">
      <c r="A806" s="268" t="s">
        <v>88</v>
      </c>
      <c r="B806" s="269"/>
      <c r="C806" s="269"/>
      <c r="D806" s="269"/>
      <c r="E806" s="269"/>
      <c r="F806" s="269"/>
      <c r="G806" s="84" t="s">
        <v>49</v>
      </c>
      <c r="H806" s="270">
        <f>IF(($L$1-(C789+C790+C791+C792))&gt;12,0,F786*1.5%)</f>
        <v>0</v>
      </c>
      <c r="I806" s="270"/>
      <c r="J806" s="270"/>
      <c r="K806" s="92" t="s">
        <v>54</v>
      </c>
      <c r="M806" s="268" t="s">
        <v>88</v>
      </c>
      <c r="N806" s="269"/>
      <c r="O806" s="269"/>
      <c r="P806" s="269"/>
      <c r="Q806" s="269"/>
      <c r="R806" s="269"/>
      <c r="S806" s="84" t="s">
        <v>49</v>
      </c>
      <c r="T806" s="270">
        <f>IF(($L$1-(O789+O790+O791+O792))&gt;12,0,R786*1.5%)</f>
        <v>0</v>
      </c>
      <c r="U806" s="270"/>
      <c r="V806" s="270"/>
      <c r="W806" s="92" t="s">
        <v>54</v>
      </c>
    </row>
    <row r="807" spans="1:24" ht="18.75" customHeight="1">
      <c r="A807" s="268" t="s">
        <v>89</v>
      </c>
      <c r="B807" s="269"/>
      <c r="C807" s="269"/>
      <c r="D807" s="269"/>
      <c r="E807" s="269"/>
      <c r="F807" s="269"/>
      <c r="G807" s="84" t="s">
        <v>49</v>
      </c>
      <c r="H807" s="270">
        <f>IF(($L$1-(C789+C790+C791+C792))&gt;12,0,F786*1%)</f>
        <v>0</v>
      </c>
      <c r="I807" s="270"/>
      <c r="J807" s="270"/>
      <c r="K807" s="92" t="s">
        <v>54</v>
      </c>
      <c r="M807" s="268" t="s">
        <v>89</v>
      </c>
      <c r="N807" s="269"/>
      <c r="O807" s="269"/>
      <c r="P807" s="269"/>
      <c r="Q807" s="269"/>
      <c r="R807" s="269"/>
      <c r="S807" s="84" t="s">
        <v>49</v>
      </c>
      <c r="T807" s="270">
        <f>IF(($L$1-(O789+O790+O791+O792))&gt;12,0,R786*1%)</f>
        <v>0</v>
      </c>
      <c r="U807" s="270"/>
      <c r="V807" s="270"/>
      <c r="W807" s="92" t="s">
        <v>54</v>
      </c>
    </row>
    <row r="808" spans="1:24" ht="18.75" customHeight="1">
      <c r="A808" s="268" t="s">
        <v>90</v>
      </c>
      <c r="B808" s="269"/>
      <c r="C808" s="269"/>
      <c r="D808" s="269"/>
      <c r="E808" s="269"/>
      <c r="F808" s="269"/>
      <c r="G808" s="84" t="s">
        <v>49</v>
      </c>
      <c r="H808" s="270">
        <v>0</v>
      </c>
      <c r="I808" s="270"/>
      <c r="J808" s="270"/>
      <c r="K808" s="92" t="s">
        <v>54</v>
      </c>
      <c r="M808" s="268" t="s">
        <v>90</v>
      </c>
      <c r="N808" s="269"/>
      <c r="O808" s="269"/>
      <c r="P808" s="269"/>
      <c r="Q808" s="269"/>
      <c r="R808" s="269"/>
      <c r="S808" s="84" t="s">
        <v>49</v>
      </c>
      <c r="T808" s="270">
        <v>0</v>
      </c>
      <c r="U808" s="270"/>
      <c r="V808" s="270"/>
      <c r="W808" s="92" t="s">
        <v>54</v>
      </c>
    </row>
    <row r="809" spans="1:24" ht="18.75" customHeight="1">
      <c r="A809" s="271" t="s">
        <v>91</v>
      </c>
      <c r="B809" s="272"/>
      <c r="C809" s="272"/>
      <c r="D809" s="272"/>
      <c r="E809" s="272"/>
      <c r="F809" s="272"/>
      <c r="G809" s="84" t="s">
        <v>49</v>
      </c>
      <c r="H809" s="273">
        <f>SUM(H805:J808)</f>
        <v>0</v>
      </c>
      <c r="I809" s="273"/>
      <c r="J809" s="273"/>
      <c r="K809" s="92" t="s">
        <v>54</v>
      </c>
      <c r="M809" s="271" t="s">
        <v>91</v>
      </c>
      <c r="N809" s="272"/>
      <c r="O809" s="272"/>
      <c r="P809" s="272"/>
      <c r="Q809" s="272"/>
      <c r="R809" s="272"/>
      <c r="S809" s="84" t="s">
        <v>49</v>
      </c>
      <c r="T809" s="273">
        <f>SUM(T805:V808)</f>
        <v>0</v>
      </c>
      <c r="U809" s="273"/>
      <c r="V809" s="273"/>
      <c r="W809" s="92" t="s">
        <v>54</v>
      </c>
    </row>
    <row r="810" spans="1:24" ht="18.75" customHeight="1">
      <c r="A810" s="268" t="s">
        <v>92</v>
      </c>
      <c r="B810" s="269"/>
      <c r="C810" s="269"/>
      <c r="D810" s="269"/>
      <c r="E810" s="269"/>
      <c r="F810" s="269"/>
      <c r="G810" s="84" t="s">
        <v>49</v>
      </c>
      <c r="H810" s="280">
        <f>ROUND(H802-H809,-2)</f>
        <v>0</v>
      </c>
      <c r="I810" s="280"/>
      <c r="J810" s="280"/>
      <c r="K810" s="92" t="s">
        <v>54</v>
      </c>
      <c r="M810" s="268" t="s">
        <v>92</v>
      </c>
      <c r="N810" s="269"/>
      <c r="O810" s="269"/>
      <c r="P810" s="269"/>
      <c r="Q810" s="269"/>
      <c r="R810" s="269"/>
      <c r="S810" s="84" t="s">
        <v>49</v>
      </c>
      <c r="T810" s="280" t="e">
        <f>ROUND(T802-T809,-2)</f>
        <v>#DIV/0!</v>
      </c>
      <c r="U810" s="280"/>
      <c r="V810" s="280"/>
      <c r="W810" s="92" t="s">
        <v>54</v>
      </c>
    </row>
    <row r="811" spans="1:24" ht="18.75" customHeight="1">
      <c r="A811" s="102"/>
      <c r="B811" s="103"/>
      <c r="C811" s="103"/>
      <c r="D811" s="103"/>
      <c r="E811" s="103"/>
      <c r="F811" s="103"/>
      <c r="G811" s="103"/>
      <c r="H811" s="103"/>
      <c r="I811" s="103"/>
      <c r="J811" s="103"/>
      <c r="K811" s="104"/>
      <c r="M811" s="102"/>
      <c r="N811" s="103"/>
      <c r="O811" s="103"/>
      <c r="P811" s="103"/>
      <c r="Q811" s="103"/>
      <c r="R811" s="103"/>
      <c r="S811" s="103"/>
      <c r="T811" s="103"/>
      <c r="U811" s="103"/>
      <c r="V811" s="103"/>
      <c r="W811" s="104"/>
    </row>
    <row r="812" spans="1:24" ht="18.75" customHeight="1">
      <c r="A812" s="105"/>
      <c r="B812" s="84"/>
      <c r="C812" s="84"/>
      <c r="D812" s="84"/>
      <c r="E812" s="84"/>
      <c r="F812" s="84"/>
      <c r="G812" s="84"/>
      <c r="H812" s="84"/>
      <c r="I812" s="277" t="s">
        <v>93</v>
      </c>
      <c r="J812" s="277"/>
      <c r="K812" s="281"/>
      <c r="M812" s="105"/>
      <c r="N812" s="84"/>
      <c r="O812" s="84"/>
      <c r="P812" s="84"/>
      <c r="Q812" s="84"/>
      <c r="R812" s="84"/>
      <c r="S812" s="84"/>
      <c r="T812" s="84"/>
      <c r="U812" s="277" t="s">
        <v>93</v>
      </c>
      <c r="V812" s="277"/>
      <c r="W812" s="281"/>
    </row>
    <row r="813" spans="1:24" ht="18.75" customHeight="1">
      <c r="A813" s="105"/>
      <c r="B813" s="277"/>
      <c r="C813" s="277"/>
      <c r="D813" s="277"/>
      <c r="E813" s="277"/>
      <c r="F813" s="84"/>
      <c r="G813" s="84"/>
      <c r="H813" s="84"/>
      <c r="I813" s="84"/>
      <c r="J813" s="84"/>
      <c r="K813" s="85"/>
      <c r="M813" s="105"/>
      <c r="N813" s="277"/>
      <c r="O813" s="277"/>
      <c r="P813" s="277"/>
      <c r="Q813" s="277"/>
      <c r="R813" s="84"/>
      <c r="S813" s="84"/>
      <c r="T813" s="84"/>
      <c r="U813" s="84"/>
      <c r="V813" s="84"/>
      <c r="W813" s="85"/>
    </row>
    <row r="814" spans="1:24" ht="18.75" customHeight="1" thickBot="1">
      <c r="A814" s="106"/>
      <c r="B814" s="107"/>
      <c r="C814" s="107"/>
      <c r="D814" s="107"/>
      <c r="E814" s="107"/>
      <c r="F814" s="107"/>
      <c r="G814" s="107"/>
      <c r="H814" s="107"/>
      <c r="I814" s="278" t="s">
        <v>94</v>
      </c>
      <c r="J814" s="278"/>
      <c r="K814" s="279"/>
      <c r="M814" s="106"/>
      <c r="N814" s="107"/>
      <c r="O814" s="107"/>
      <c r="P814" s="107"/>
      <c r="Q814" s="107"/>
      <c r="R814" s="107"/>
      <c r="S814" s="107"/>
      <c r="T814" s="107"/>
      <c r="U814" s="278" t="s">
        <v>94</v>
      </c>
      <c r="V814" s="278"/>
      <c r="W814" s="279"/>
    </row>
    <row r="816" spans="1:24" ht="18.75" customHeight="1" thickTop="1">
      <c r="A816" s="253" t="s">
        <v>43</v>
      </c>
      <c r="B816" s="254"/>
      <c r="C816" s="254"/>
      <c r="D816" s="254"/>
      <c r="E816" s="254"/>
      <c r="F816" s="254"/>
      <c r="G816" s="254"/>
      <c r="H816" s="254"/>
      <c r="I816" s="254"/>
      <c r="J816" s="254"/>
      <c r="K816" s="255"/>
      <c r="L816" s="80">
        <v>25</v>
      </c>
      <c r="M816" s="253" t="s">
        <v>43</v>
      </c>
      <c r="N816" s="254"/>
      <c r="O816" s="254"/>
      <c r="P816" s="254"/>
      <c r="Q816" s="254"/>
      <c r="R816" s="254"/>
      <c r="S816" s="254"/>
      <c r="T816" s="254"/>
      <c r="U816" s="254"/>
      <c r="V816" s="254"/>
      <c r="W816" s="255"/>
      <c r="X816" s="80">
        <v>25</v>
      </c>
    </row>
    <row r="817" spans="1:24" ht="18.75" customHeight="1">
      <c r="A817" s="81" t="s">
        <v>152</v>
      </c>
      <c r="B817" s="82"/>
      <c r="C817" s="82"/>
      <c r="D817" s="82"/>
      <c r="E817" s="82"/>
      <c r="F817" s="82"/>
      <c r="G817" s="82"/>
      <c r="H817" s="82"/>
      <c r="I817" s="82"/>
      <c r="J817" s="82"/>
      <c r="K817" s="83"/>
      <c r="M817" s="81" t="s">
        <v>153</v>
      </c>
      <c r="N817" s="82"/>
      <c r="O817" s="82"/>
      <c r="P817" s="82"/>
      <c r="Q817" s="82"/>
      <c r="R817" s="82"/>
      <c r="S817" s="82"/>
      <c r="T817" s="82"/>
      <c r="U817" s="82"/>
      <c r="V817" s="82"/>
      <c r="W817" s="83"/>
    </row>
    <row r="818" spans="1:24" ht="18.75" customHeight="1">
      <c r="A818" s="256" t="s">
        <v>47</v>
      </c>
      <c r="B818" s="257"/>
      <c r="C818" s="257"/>
      <c r="D818" s="257"/>
      <c r="E818" s="257"/>
      <c r="F818" s="257"/>
      <c r="G818" s="257"/>
      <c r="H818" s="257"/>
      <c r="I818" s="257"/>
      <c r="J818" s="257"/>
      <c r="K818" s="258"/>
      <c r="M818" s="256" t="s">
        <v>47</v>
      </c>
      <c r="N818" s="257"/>
      <c r="O818" s="257"/>
      <c r="P818" s="257"/>
      <c r="Q818" s="257"/>
      <c r="R818" s="257"/>
      <c r="S818" s="257"/>
      <c r="T818" s="257"/>
      <c r="U818" s="257"/>
      <c r="V818" s="257"/>
      <c r="W818" s="258"/>
    </row>
    <row r="819" spans="1:24" ht="18.75" customHeight="1">
      <c r="A819" s="248" t="s">
        <v>48</v>
      </c>
      <c r="B819" s="249"/>
      <c r="C819" s="249"/>
      <c r="D819" s="249"/>
      <c r="E819" s="84" t="s">
        <v>49</v>
      </c>
      <c r="F819" s="250">
        <f>'[1]Bang TH nop'!B91</f>
        <v>0</v>
      </c>
      <c r="G819" s="249"/>
      <c r="H819" s="249"/>
      <c r="I819" s="249"/>
      <c r="J819" s="249"/>
      <c r="K819" s="252"/>
      <c r="M819" s="248" t="s">
        <v>48</v>
      </c>
      <c r="N819" s="249"/>
      <c r="O819" s="249"/>
      <c r="P819" s="249"/>
      <c r="Q819" s="84" t="s">
        <v>49</v>
      </c>
      <c r="R819" s="250">
        <f>'[1]Bang TH nop'!B93</f>
        <v>0</v>
      </c>
      <c r="S819" s="249"/>
      <c r="T819" s="249"/>
      <c r="U819" s="249"/>
      <c r="V819" s="249"/>
      <c r="W819" s="252"/>
    </row>
    <row r="820" spans="1:24" ht="18.75" customHeight="1">
      <c r="A820" s="248" t="s">
        <v>50</v>
      </c>
      <c r="B820" s="249"/>
      <c r="C820" s="249"/>
      <c r="D820" s="249"/>
      <c r="E820" s="84" t="s">
        <v>49</v>
      </c>
      <c r="F820" s="250">
        <f>'[1]Bang TH nop'!C91</f>
        <v>0</v>
      </c>
      <c r="G820" s="250"/>
      <c r="H820" s="250"/>
      <c r="I820" s="250"/>
      <c r="J820" s="250"/>
      <c r="K820" s="251"/>
      <c r="M820" s="248" t="s">
        <v>50</v>
      </c>
      <c r="N820" s="249"/>
      <c r="O820" s="249"/>
      <c r="P820" s="249"/>
      <c r="Q820" s="84" t="s">
        <v>49</v>
      </c>
      <c r="R820" s="250">
        <f>'[1]Bang TH nop'!C93</f>
        <v>0</v>
      </c>
      <c r="S820" s="250"/>
      <c r="T820" s="250"/>
      <c r="U820" s="250"/>
      <c r="V820" s="250"/>
      <c r="W820" s="251"/>
    </row>
    <row r="821" spans="1:24" ht="18.75" customHeight="1">
      <c r="A821" s="248" t="s">
        <v>51</v>
      </c>
      <c r="B821" s="249"/>
      <c r="C821" s="249"/>
      <c r="D821" s="249"/>
      <c r="E821" s="84" t="s">
        <v>49</v>
      </c>
      <c r="F821" s="249" t="s">
        <v>121</v>
      </c>
      <c r="G821" s="249"/>
      <c r="H821" s="249"/>
      <c r="I821" s="249"/>
      <c r="J821" s="249"/>
      <c r="K821" s="252"/>
      <c r="M821" s="248" t="s">
        <v>51</v>
      </c>
      <c r="N821" s="249"/>
      <c r="O821" s="249"/>
      <c r="P821" s="249"/>
      <c r="Q821" s="84" t="s">
        <v>49</v>
      </c>
      <c r="R821" s="249" t="s">
        <v>121</v>
      </c>
      <c r="S821" s="249"/>
      <c r="T821" s="249"/>
      <c r="U821" s="249"/>
      <c r="V821" s="249"/>
      <c r="W821" s="252"/>
    </row>
    <row r="822" spans="1:24" ht="18.75" customHeight="1">
      <c r="A822" s="256" t="s">
        <v>52</v>
      </c>
      <c r="B822" s="257"/>
      <c r="C822" s="257"/>
      <c r="D822" s="257"/>
      <c r="E822" s="257"/>
      <c r="F822" s="257"/>
      <c r="G822" s="257"/>
      <c r="H822" s="257"/>
      <c r="I822" s="257"/>
      <c r="J822" s="257"/>
      <c r="K822" s="258"/>
      <c r="M822" s="256" t="s">
        <v>52</v>
      </c>
      <c r="N822" s="257"/>
      <c r="O822" s="257"/>
      <c r="P822" s="257"/>
      <c r="Q822" s="257"/>
      <c r="R822" s="257"/>
      <c r="S822" s="257"/>
      <c r="T822" s="257"/>
      <c r="U822" s="257"/>
      <c r="V822" s="257"/>
      <c r="W822" s="258"/>
    </row>
    <row r="823" spans="1:24" ht="18.75" customHeight="1">
      <c r="A823" s="248" t="s">
        <v>53</v>
      </c>
      <c r="B823" s="249"/>
      <c r="C823" s="249"/>
      <c r="D823" s="249"/>
      <c r="E823" s="84" t="s">
        <v>49</v>
      </c>
      <c r="F823" s="263">
        <v>2915400</v>
      </c>
      <c r="G823" s="263"/>
      <c r="H823" s="263"/>
      <c r="I823" s="263"/>
      <c r="J823" s="84" t="s">
        <v>54</v>
      </c>
      <c r="K823" s="85"/>
      <c r="M823" s="248" t="s">
        <v>53</v>
      </c>
      <c r="N823" s="249"/>
      <c r="O823" s="249"/>
      <c r="P823" s="249"/>
      <c r="Q823" s="84" t="s">
        <v>49</v>
      </c>
      <c r="R823" s="263">
        <v>2915400</v>
      </c>
      <c r="S823" s="263"/>
      <c r="T823" s="263"/>
      <c r="U823" s="263"/>
      <c r="V823" s="84" t="s">
        <v>54</v>
      </c>
      <c r="W823" s="85"/>
    </row>
    <row r="824" spans="1:24" ht="18.75" customHeight="1">
      <c r="A824" s="86" t="s">
        <v>55</v>
      </c>
      <c r="B824" s="84"/>
      <c r="C824" s="87"/>
      <c r="D824" s="88"/>
      <c r="E824" s="89"/>
      <c r="F824" s="89"/>
      <c r="G824" s="89"/>
      <c r="H824" s="84"/>
      <c r="I824" s="90">
        <f>'[1]LUONG T7'!F99</f>
        <v>0</v>
      </c>
      <c r="J824" s="91"/>
      <c r="K824" s="92"/>
      <c r="M824" s="86" t="s">
        <v>55</v>
      </c>
      <c r="N824" s="84"/>
      <c r="O824" s="87"/>
      <c r="P824" s="88"/>
      <c r="Q824" s="89"/>
      <c r="R824" s="89"/>
      <c r="S824" s="89"/>
      <c r="T824" s="84"/>
      <c r="U824" s="90">
        <f>'[1]LUONG T7'!F101</f>
        <v>0</v>
      </c>
      <c r="V824" s="91"/>
      <c r="W824" s="92"/>
    </row>
    <row r="825" spans="1:24" ht="18.75" customHeight="1">
      <c r="A825" s="86" t="s">
        <v>56</v>
      </c>
      <c r="B825" s="84"/>
      <c r="C825" s="87"/>
      <c r="D825" s="88"/>
      <c r="E825" s="89"/>
      <c r="F825" s="89"/>
      <c r="G825" s="89"/>
      <c r="H825" s="84"/>
      <c r="I825" s="90" t="e">
        <f>I826/C826/8</f>
        <v>#DIV/0!</v>
      </c>
      <c r="J825" s="91"/>
      <c r="K825" s="92"/>
      <c r="M825" s="86" t="s">
        <v>56</v>
      </c>
      <c r="N825" s="84"/>
      <c r="O825" s="87"/>
      <c r="P825" s="88"/>
      <c r="Q825" s="89"/>
      <c r="R825" s="89"/>
      <c r="S825" s="89"/>
      <c r="T825" s="84"/>
      <c r="U825" s="90" t="e">
        <f>U826/O826/8</f>
        <v>#DIV/0!</v>
      </c>
      <c r="V825" s="91"/>
      <c r="W825" s="92"/>
    </row>
    <row r="826" spans="1:24" ht="18.75" customHeight="1">
      <c r="E826" s="282"/>
      <c r="F826" s="282"/>
      <c r="G826" s="282"/>
      <c r="I826" s="282"/>
      <c r="J826" s="282"/>
      <c r="Q826" s="282"/>
      <c r="R826" s="282"/>
      <c r="S826" s="282"/>
      <c r="U826" s="282"/>
      <c r="V826" s="282"/>
    </row>
    <row r="827" spans="1:24" ht="18.75" customHeight="1">
      <c r="A827" s="109" t="s">
        <v>60</v>
      </c>
      <c r="B827" s="109" t="s">
        <v>49</v>
      </c>
      <c r="C827" s="109">
        <f>'[1]LUONG T7'!J98</f>
        <v>0</v>
      </c>
      <c r="D827" s="109" t="s">
        <v>58</v>
      </c>
      <c r="E827" s="283" t="s">
        <v>61</v>
      </c>
      <c r="F827" s="283"/>
      <c r="G827" s="283"/>
      <c r="H827" s="109" t="s">
        <v>49</v>
      </c>
      <c r="I827" s="283">
        <f>$F$8/$L$1*C827</f>
        <v>0</v>
      </c>
      <c r="J827" s="283"/>
      <c r="K827" s="109" t="s">
        <v>54</v>
      </c>
      <c r="L827" s="109"/>
      <c r="M827" s="109" t="s">
        <v>60</v>
      </c>
      <c r="N827" s="109" t="s">
        <v>49</v>
      </c>
      <c r="O827" s="109">
        <f>'[1]LUONG T7'!J100</f>
        <v>0</v>
      </c>
      <c r="P827" s="109" t="s">
        <v>58</v>
      </c>
      <c r="Q827" s="283" t="s">
        <v>61</v>
      </c>
      <c r="R827" s="283"/>
      <c r="S827" s="283"/>
      <c r="T827" s="109" t="s">
        <v>49</v>
      </c>
      <c r="U827" s="283">
        <f>$F$8/$L$1*O827</f>
        <v>0</v>
      </c>
      <c r="V827" s="283"/>
      <c r="W827" s="109" t="s">
        <v>54</v>
      </c>
      <c r="X827" s="109"/>
    </row>
    <row r="828" spans="1:24" ht="18.75" customHeight="1">
      <c r="A828" s="109" t="s">
        <v>62</v>
      </c>
      <c r="B828" s="109" t="s">
        <v>49</v>
      </c>
      <c r="C828" s="109">
        <f>'[1]LUONG T7'!K98</f>
        <v>0</v>
      </c>
      <c r="D828" s="109" t="s">
        <v>58</v>
      </c>
      <c r="E828" s="283" t="s">
        <v>63</v>
      </c>
      <c r="F828" s="283"/>
      <c r="G828" s="283"/>
      <c r="H828" s="109" t="s">
        <v>49</v>
      </c>
      <c r="I828" s="283">
        <f>$F$8/$L$1*C828</f>
        <v>0</v>
      </c>
      <c r="J828" s="283"/>
      <c r="K828" s="109" t="s">
        <v>54</v>
      </c>
      <c r="L828" s="109"/>
      <c r="M828" s="109" t="s">
        <v>62</v>
      </c>
      <c r="N828" s="109" t="s">
        <v>49</v>
      </c>
      <c r="O828" s="109">
        <f>'[1]LUONG T7'!K100</f>
        <v>0</v>
      </c>
      <c r="P828" s="109" t="s">
        <v>58</v>
      </c>
      <c r="Q828" s="283" t="s">
        <v>63</v>
      </c>
      <c r="R828" s="283"/>
      <c r="S828" s="283"/>
      <c r="T828" s="109" t="s">
        <v>49</v>
      </c>
      <c r="U828" s="283">
        <f>$F$8/$L$1*O828</f>
        <v>0</v>
      </c>
      <c r="V828" s="283"/>
      <c r="W828" s="109" t="s">
        <v>54</v>
      </c>
      <c r="X828" s="109"/>
    </row>
    <row r="829" spans="1:24" ht="18.75" customHeight="1">
      <c r="A829" s="109" t="s">
        <v>64</v>
      </c>
      <c r="B829" s="109" t="s">
        <v>49</v>
      </c>
      <c r="C829" s="109">
        <f>'[1]LUONG T7'!L98</f>
        <v>0</v>
      </c>
      <c r="D829" s="109" t="s">
        <v>58</v>
      </c>
      <c r="E829" s="283" t="s">
        <v>65</v>
      </c>
      <c r="F829" s="283"/>
      <c r="G829" s="283"/>
      <c r="H829" s="109" t="s">
        <v>49</v>
      </c>
      <c r="I829" s="283">
        <f>$F$8/$L$1*C829</f>
        <v>0</v>
      </c>
      <c r="J829" s="283"/>
      <c r="K829" s="109" t="s">
        <v>54</v>
      </c>
      <c r="L829" s="109"/>
      <c r="M829" s="109" t="s">
        <v>64</v>
      </c>
      <c r="N829" s="109" t="s">
        <v>49</v>
      </c>
      <c r="O829" s="109">
        <f>'[1]LUONG T7'!L100</f>
        <v>0</v>
      </c>
      <c r="P829" s="109" t="s">
        <v>58</v>
      </c>
      <c r="Q829" s="283" t="s">
        <v>65</v>
      </c>
      <c r="R829" s="283"/>
      <c r="S829" s="283"/>
      <c r="T829" s="109" t="s">
        <v>49</v>
      </c>
      <c r="U829" s="283">
        <f>$F$8/$L$1*O829</f>
        <v>0</v>
      </c>
      <c r="V829" s="283"/>
      <c r="W829" s="109" t="s">
        <v>54</v>
      </c>
      <c r="X829" s="109"/>
    </row>
    <row r="830" spans="1:24" ht="18.75" customHeight="1">
      <c r="A830" s="109" t="s">
        <v>66</v>
      </c>
      <c r="B830" s="109" t="s">
        <v>49</v>
      </c>
      <c r="C830" s="109">
        <f>'[1]LUONG T7'!Q98</f>
        <v>0</v>
      </c>
      <c r="D830" s="109" t="s">
        <v>67</v>
      </c>
      <c r="E830" s="283" t="s">
        <v>68</v>
      </c>
      <c r="F830" s="283"/>
      <c r="G830" s="283"/>
      <c r="H830" s="109" t="s">
        <v>49</v>
      </c>
      <c r="I830" s="283" t="e">
        <f>I826/C826/8*C830</f>
        <v>#DIV/0!</v>
      </c>
      <c r="J830" s="283"/>
      <c r="K830" s="109" t="s">
        <v>54</v>
      </c>
      <c r="L830" s="109">
        <f>F823*C830/L816/8*1.5</f>
        <v>0</v>
      </c>
      <c r="M830" s="109" t="s">
        <v>66</v>
      </c>
      <c r="N830" s="109" t="s">
        <v>49</v>
      </c>
      <c r="O830" s="109">
        <f>'[1]LUONG T7'!Q100</f>
        <v>0</v>
      </c>
      <c r="P830" s="109" t="s">
        <v>67</v>
      </c>
      <c r="Q830" s="283" t="s">
        <v>68</v>
      </c>
      <c r="R830" s="283"/>
      <c r="S830" s="283"/>
      <c r="T830" s="109" t="s">
        <v>49</v>
      </c>
      <c r="U830" s="283" t="e">
        <f>U826/O826/8*O830</f>
        <v>#DIV/0!</v>
      </c>
      <c r="V830" s="283"/>
      <c r="W830" s="109" t="s">
        <v>54</v>
      </c>
      <c r="X830" s="109">
        <f>R823*O830/X816/8*1.5</f>
        <v>0</v>
      </c>
    </row>
    <row r="831" spans="1:24" ht="18.75" customHeight="1">
      <c r="A831" s="283" t="s">
        <v>69</v>
      </c>
      <c r="B831" s="283"/>
      <c r="C831" s="109"/>
      <c r="D831" s="109" t="s">
        <v>58</v>
      </c>
      <c r="E831" s="283" t="s">
        <v>70</v>
      </c>
      <c r="F831" s="283"/>
      <c r="G831" s="283"/>
      <c r="H831" s="109" t="s">
        <v>49</v>
      </c>
      <c r="I831" s="283"/>
      <c r="J831" s="283"/>
      <c r="K831" s="109" t="s">
        <v>54</v>
      </c>
      <c r="L831" s="109"/>
      <c r="M831" s="283" t="s">
        <v>69</v>
      </c>
      <c r="N831" s="283"/>
      <c r="O831" s="109"/>
      <c r="P831" s="109" t="s">
        <v>58</v>
      </c>
      <c r="Q831" s="283" t="s">
        <v>70</v>
      </c>
      <c r="R831" s="283"/>
      <c r="S831" s="283"/>
      <c r="T831" s="109" t="s">
        <v>49</v>
      </c>
      <c r="U831" s="283"/>
      <c r="V831" s="283"/>
      <c r="W831" s="109" t="s">
        <v>54</v>
      </c>
      <c r="X831" s="109"/>
    </row>
    <row r="832" spans="1:24" ht="18.75" customHeight="1">
      <c r="A832" s="109" t="s">
        <v>71</v>
      </c>
      <c r="B832" s="109" t="s">
        <v>49</v>
      </c>
      <c r="C832" s="109"/>
      <c r="D832" s="109" t="s">
        <v>58</v>
      </c>
      <c r="E832" s="283" t="s">
        <v>72</v>
      </c>
      <c r="F832" s="283"/>
      <c r="G832" s="283"/>
      <c r="H832" s="109" t="s">
        <v>49</v>
      </c>
      <c r="I832" s="283"/>
      <c r="J832" s="283"/>
      <c r="K832" s="109" t="s">
        <v>54</v>
      </c>
      <c r="L832" s="109"/>
      <c r="M832" s="109" t="s">
        <v>71</v>
      </c>
      <c r="N832" s="109" t="s">
        <v>49</v>
      </c>
      <c r="O832" s="109"/>
      <c r="P832" s="109" t="s">
        <v>58</v>
      </c>
      <c r="Q832" s="283" t="s">
        <v>72</v>
      </c>
      <c r="R832" s="283"/>
      <c r="S832" s="283"/>
      <c r="T832" s="109" t="s">
        <v>49</v>
      </c>
      <c r="U832" s="283"/>
      <c r="V832" s="283"/>
      <c r="W832" s="109" t="s">
        <v>54</v>
      </c>
      <c r="X832" s="109"/>
    </row>
    <row r="833" spans="1:24" ht="18.75" customHeight="1">
      <c r="A833" s="109" t="s">
        <v>73</v>
      </c>
      <c r="B833" s="109"/>
      <c r="C833" s="109">
        <f>'[1]LUONG T7'!M98</f>
        <v>0</v>
      </c>
      <c r="D833" s="109" t="s">
        <v>67</v>
      </c>
      <c r="E833" s="283" t="s">
        <v>74</v>
      </c>
      <c r="F833" s="283"/>
      <c r="G833" s="283"/>
      <c r="H833" s="109" t="s">
        <v>49</v>
      </c>
      <c r="I833" s="283">
        <f>$F$8*C833/8/$L$1</f>
        <v>0</v>
      </c>
      <c r="J833" s="283"/>
      <c r="K833" s="109" t="s">
        <v>54</v>
      </c>
      <c r="L833" s="109"/>
      <c r="M833" s="109" t="s">
        <v>73</v>
      </c>
      <c r="N833" s="109"/>
      <c r="O833" s="109">
        <f>'[1]LUONG T7'!M100</f>
        <v>0</v>
      </c>
      <c r="P833" s="109" t="s">
        <v>67</v>
      </c>
      <c r="Q833" s="283" t="s">
        <v>74</v>
      </c>
      <c r="R833" s="283"/>
      <c r="S833" s="283"/>
      <c r="T833" s="109" t="s">
        <v>49</v>
      </c>
      <c r="U833" s="283">
        <f>$F$8*O833/8/$L$1</f>
        <v>0</v>
      </c>
      <c r="V833" s="283"/>
      <c r="W833" s="109" t="s">
        <v>54</v>
      </c>
      <c r="X833" s="109"/>
    </row>
    <row r="834" spans="1:24" ht="18.75" customHeight="1">
      <c r="A834" s="109" t="s">
        <v>75</v>
      </c>
      <c r="B834" s="109" t="s">
        <v>49</v>
      </c>
      <c r="C834" s="109"/>
      <c r="D834" s="109" t="s">
        <v>67</v>
      </c>
      <c r="E834" s="283" t="s">
        <v>97</v>
      </c>
      <c r="F834" s="283"/>
      <c r="G834" s="283"/>
      <c r="H834" s="109" t="s">
        <v>49</v>
      </c>
      <c r="I834" s="283"/>
      <c r="J834" s="283"/>
      <c r="K834" s="109" t="s">
        <v>54</v>
      </c>
      <c r="L834" s="109"/>
      <c r="M834" s="109" t="s">
        <v>75</v>
      </c>
      <c r="N834" s="109" t="s">
        <v>49</v>
      </c>
      <c r="O834" s="109"/>
      <c r="P834" s="109" t="s">
        <v>67</v>
      </c>
      <c r="Q834" s="283" t="s">
        <v>97</v>
      </c>
      <c r="R834" s="283"/>
      <c r="S834" s="283"/>
      <c r="T834" s="109" t="s">
        <v>49</v>
      </c>
      <c r="U834" s="283"/>
      <c r="V834" s="283"/>
      <c r="W834" s="109" t="s">
        <v>54</v>
      </c>
      <c r="X834" s="109"/>
    </row>
    <row r="835" spans="1:24" ht="18.75" customHeight="1">
      <c r="A835" s="109" t="s">
        <v>77</v>
      </c>
      <c r="B835" s="109" t="s">
        <v>49</v>
      </c>
      <c r="C835" s="109"/>
      <c r="D835" s="109" t="s">
        <v>78</v>
      </c>
      <c r="E835" s="109" t="s">
        <v>79</v>
      </c>
      <c r="F835" s="109"/>
      <c r="G835" s="109"/>
      <c r="H835" s="109" t="s">
        <v>49</v>
      </c>
      <c r="I835" s="283"/>
      <c r="J835" s="283"/>
      <c r="K835" s="109" t="s">
        <v>54</v>
      </c>
      <c r="L835" s="109" t="e">
        <f>+IF(L826-I826&lt;0,0,L826-I826)+IF(L830-I830&lt;0,0,L830-I830)</f>
        <v>#DIV/0!</v>
      </c>
      <c r="M835" s="109" t="s">
        <v>77</v>
      </c>
      <c r="N835" s="109" t="s">
        <v>49</v>
      </c>
      <c r="O835" s="109"/>
      <c r="P835" s="109" t="s">
        <v>78</v>
      </c>
      <c r="Q835" s="109" t="s">
        <v>79</v>
      </c>
      <c r="R835" s="109"/>
      <c r="S835" s="109"/>
      <c r="T835" s="109" t="s">
        <v>49</v>
      </c>
      <c r="U835" s="283"/>
      <c r="V835" s="283"/>
      <c r="W835" s="109" t="s">
        <v>54</v>
      </c>
      <c r="X835" s="109" t="e">
        <f>+IF(X826-U826&lt;0,0,X826-U826)+IF(X830-U830&lt;0,0,X830-U830)</f>
        <v>#DIV/0!</v>
      </c>
    </row>
    <row r="836" spans="1:24" ht="18.75" customHeight="1">
      <c r="A836" s="109" t="s">
        <v>122</v>
      </c>
      <c r="B836" s="109"/>
      <c r="C836" s="109"/>
      <c r="D836" s="109" t="s">
        <v>58</v>
      </c>
      <c r="E836" s="283" t="s">
        <v>123</v>
      </c>
      <c r="F836" s="283"/>
      <c r="G836" s="283"/>
      <c r="H836" s="109" t="s">
        <v>49</v>
      </c>
      <c r="I836" s="283"/>
      <c r="J836" s="283"/>
      <c r="K836" s="109" t="s">
        <v>54</v>
      </c>
      <c r="L836" s="109"/>
      <c r="M836" s="109" t="s">
        <v>122</v>
      </c>
      <c r="N836" s="109"/>
      <c r="O836" s="109"/>
      <c r="P836" s="109" t="s">
        <v>58</v>
      </c>
      <c r="Q836" s="283" t="s">
        <v>123</v>
      </c>
      <c r="R836" s="283"/>
      <c r="S836" s="283"/>
      <c r="T836" s="109" t="s">
        <v>49</v>
      </c>
      <c r="U836" s="283"/>
      <c r="V836" s="283"/>
      <c r="W836" s="109" t="s">
        <v>54</v>
      </c>
      <c r="X836" s="109"/>
    </row>
    <row r="837" spans="1:24" ht="18.75" customHeight="1">
      <c r="A837" s="283" t="s">
        <v>82</v>
      </c>
      <c r="B837" s="283"/>
      <c r="C837" s="109"/>
      <c r="D837" s="109"/>
      <c r="E837" s="109"/>
      <c r="F837" s="109"/>
      <c r="G837" s="109"/>
      <c r="H837" s="109" t="s">
        <v>49</v>
      </c>
      <c r="I837" s="283">
        <f>'[1]LUONG T7'!P99</f>
        <v>0</v>
      </c>
      <c r="J837" s="283"/>
      <c r="K837" s="109" t="s">
        <v>54</v>
      </c>
      <c r="L837" s="109"/>
      <c r="M837" s="283" t="s">
        <v>82</v>
      </c>
      <c r="N837" s="283"/>
      <c r="O837" s="109"/>
      <c r="P837" s="109"/>
      <c r="Q837" s="109"/>
      <c r="R837" s="109"/>
      <c r="S837" s="109"/>
      <c r="T837" s="109" t="s">
        <v>49</v>
      </c>
      <c r="U837" s="283">
        <f>'[1]LUONG T7'!P101</f>
        <v>0</v>
      </c>
      <c r="V837" s="283"/>
      <c r="W837" s="109" t="s">
        <v>54</v>
      </c>
      <c r="X837" s="109"/>
    </row>
    <row r="838" spans="1:24" ht="18.75" customHeight="1">
      <c r="A838" s="109" t="s">
        <v>83</v>
      </c>
      <c r="B838" s="109" t="s">
        <v>49</v>
      </c>
      <c r="C838" s="109"/>
      <c r="D838" s="109"/>
      <c r="E838" s="109" t="s">
        <v>84</v>
      </c>
      <c r="F838" s="109"/>
      <c r="G838" s="109"/>
      <c r="H838" s="109" t="s">
        <v>49</v>
      </c>
      <c r="I838" s="283" t="e">
        <f>L835</f>
        <v>#DIV/0!</v>
      </c>
      <c r="J838" s="283"/>
      <c r="K838" s="109" t="s">
        <v>54</v>
      </c>
      <c r="L838" s="109"/>
      <c r="M838" s="109" t="s">
        <v>83</v>
      </c>
      <c r="N838" s="109" t="s">
        <v>49</v>
      </c>
      <c r="O838" s="109"/>
      <c r="P838" s="109"/>
      <c r="Q838" s="109" t="s">
        <v>84</v>
      </c>
      <c r="R838" s="109"/>
      <c r="S838" s="109"/>
      <c r="T838" s="109" t="s">
        <v>49</v>
      </c>
      <c r="U838" s="283" t="e">
        <f>X835</f>
        <v>#DIV/0!</v>
      </c>
      <c r="V838" s="283"/>
      <c r="W838" s="109" t="s">
        <v>54</v>
      </c>
      <c r="X838" s="109"/>
    </row>
    <row r="839" spans="1:24" ht="18.75" customHeight="1">
      <c r="A839" s="283" t="s">
        <v>85</v>
      </c>
      <c r="B839" s="283"/>
      <c r="C839" s="283"/>
      <c r="D839" s="283"/>
      <c r="E839" s="283"/>
      <c r="F839" s="283"/>
      <c r="G839" s="109" t="s">
        <v>49</v>
      </c>
      <c r="H839" s="283" t="e">
        <f>I826+I827+I828+I829+I830+I833+I837+I838</f>
        <v>#DIV/0!</v>
      </c>
      <c r="I839" s="283"/>
      <c r="J839" s="283"/>
      <c r="K839" s="109" t="s">
        <v>54</v>
      </c>
      <c r="M839" s="283" t="s">
        <v>85</v>
      </c>
      <c r="N839" s="283"/>
      <c r="O839" s="283"/>
      <c r="P839" s="283"/>
      <c r="Q839" s="283"/>
      <c r="R839" s="283"/>
      <c r="S839" s="109" t="s">
        <v>49</v>
      </c>
      <c r="T839" s="283" t="e">
        <f>U826+U827+U828+U829+U830+U833+U837+U838</f>
        <v>#DIV/0!</v>
      </c>
      <c r="U839" s="283"/>
      <c r="V839" s="283"/>
      <c r="W839" s="109" t="s">
        <v>54</v>
      </c>
    </row>
    <row r="840" spans="1:24" ht="18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</row>
    <row r="841" spans="1:24" ht="18.75" customHeight="1">
      <c r="A841" s="283" t="s">
        <v>86</v>
      </c>
      <c r="B841" s="283"/>
      <c r="C841" s="283"/>
      <c r="D841" s="283"/>
      <c r="E841" s="283"/>
      <c r="F841" s="283"/>
      <c r="G841" s="109"/>
      <c r="H841" s="109"/>
      <c r="I841" s="109"/>
      <c r="J841" s="109"/>
      <c r="K841" s="109"/>
      <c r="M841" s="283" t="s">
        <v>86</v>
      </c>
      <c r="N841" s="283"/>
      <c r="O841" s="283"/>
      <c r="P841" s="283"/>
      <c r="Q841" s="283"/>
      <c r="R841" s="283"/>
      <c r="S841" s="109"/>
      <c r="T841" s="109"/>
      <c r="U841" s="109"/>
      <c r="V841" s="109"/>
      <c r="W841" s="109"/>
    </row>
    <row r="842" spans="1:24" ht="18.75" customHeight="1">
      <c r="A842" s="283" t="s">
        <v>87</v>
      </c>
      <c r="B842" s="283"/>
      <c r="C842" s="283"/>
      <c r="D842" s="283"/>
      <c r="E842" s="283"/>
      <c r="F842" s="283"/>
      <c r="G842" s="109" t="s">
        <v>49</v>
      </c>
      <c r="H842" s="283">
        <f>IF(($L$1-(C826+C827+C828+C829))&gt;12,0,F823*8%)</f>
        <v>0</v>
      </c>
      <c r="I842" s="283"/>
      <c r="J842" s="283"/>
      <c r="K842" s="109" t="s">
        <v>54</v>
      </c>
      <c r="M842" s="283" t="s">
        <v>87</v>
      </c>
      <c r="N842" s="283"/>
      <c r="O842" s="283"/>
      <c r="P842" s="283"/>
      <c r="Q842" s="283"/>
      <c r="R842" s="283"/>
      <c r="S842" s="109" t="s">
        <v>49</v>
      </c>
      <c r="T842" s="283">
        <f>IF(($L$1-(O826+O827+O828+O829))&gt;12,0,R823*8%)</f>
        <v>0</v>
      </c>
      <c r="U842" s="283"/>
      <c r="V842" s="283"/>
      <c r="W842" s="109" t="s">
        <v>54</v>
      </c>
    </row>
    <row r="843" spans="1:24" ht="18.75" customHeight="1">
      <c r="A843" s="283" t="s">
        <v>88</v>
      </c>
      <c r="B843" s="283"/>
      <c r="C843" s="283"/>
      <c r="D843" s="283"/>
      <c r="E843" s="283"/>
      <c r="F843" s="283"/>
      <c r="G843" s="109" t="s">
        <v>49</v>
      </c>
      <c r="H843" s="283">
        <f>IF(($L$1-(C826+C827+C828+C829))&gt;12,0,F823*1.5%)</f>
        <v>0</v>
      </c>
      <c r="I843" s="283"/>
      <c r="J843" s="283"/>
      <c r="K843" s="109" t="s">
        <v>54</v>
      </c>
      <c r="M843" s="283" t="s">
        <v>88</v>
      </c>
      <c r="N843" s="283"/>
      <c r="O843" s="283"/>
      <c r="P843" s="283"/>
      <c r="Q843" s="283"/>
      <c r="R843" s="283"/>
      <c r="S843" s="109" t="s">
        <v>49</v>
      </c>
      <c r="T843" s="283">
        <f>IF(($L$1-(O826+O827+O828+O829))&gt;12,0,R823*1.5%)</f>
        <v>0</v>
      </c>
      <c r="U843" s="283"/>
      <c r="V843" s="283"/>
      <c r="W843" s="109" t="s">
        <v>54</v>
      </c>
    </row>
    <row r="844" spans="1:24" ht="18.75" customHeight="1">
      <c r="A844" s="283" t="s">
        <v>89</v>
      </c>
      <c r="B844" s="283"/>
      <c r="C844" s="283"/>
      <c r="D844" s="283"/>
      <c r="E844" s="283"/>
      <c r="F844" s="283"/>
      <c r="G844" s="109" t="s">
        <v>49</v>
      </c>
      <c r="H844" s="283">
        <f>IF(($L$1-(C826+C827+C828+C829))&gt;12,0,F823*1%)</f>
        <v>0</v>
      </c>
      <c r="I844" s="283"/>
      <c r="J844" s="283"/>
      <c r="K844" s="109" t="s">
        <v>54</v>
      </c>
      <c r="M844" s="283" t="s">
        <v>89</v>
      </c>
      <c r="N844" s="283"/>
      <c r="O844" s="283"/>
      <c r="P844" s="283"/>
      <c r="Q844" s="283"/>
      <c r="R844" s="283"/>
      <c r="S844" s="109" t="s">
        <v>49</v>
      </c>
      <c r="T844" s="283">
        <f>IF(($L$1-(O826+O827+O828+O829))&gt;12,0,R823*1%)</f>
        <v>0</v>
      </c>
      <c r="U844" s="283"/>
      <c r="V844" s="283"/>
      <c r="W844" s="109" t="s">
        <v>54</v>
      </c>
    </row>
    <row r="845" spans="1:24" ht="18.75" customHeight="1">
      <c r="A845" s="283" t="s">
        <v>90</v>
      </c>
      <c r="B845" s="283"/>
      <c r="C845" s="283"/>
      <c r="D845" s="283"/>
      <c r="E845" s="283"/>
      <c r="F845" s="283"/>
      <c r="G845" s="109" t="s">
        <v>49</v>
      </c>
      <c r="H845" s="283">
        <v>0</v>
      </c>
      <c r="I845" s="283"/>
      <c r="J845" s="283"/>
      <c r="K845" s="109" t="s">
        <v>54</v>
      </c>
      <c r="M845" s="283" t="s">
        <v>90</v>
      </c>
      <c r="N845" s="283"/>
      <c r="O845" s="283"/>
      <c r="P845" s="283"/>
      <c r="Q845" s="283"/>
      <c r="R845" s="283"/>
      <c r="S845" s="109" t="s">
        <v>49</v>
      </c>
      <c r="T845" s="283">
        <v>0</v>
      </c>
      <c r="U845" s="283"/>
      <c r="V845" s="283"/>
      <c r="W845" s="109" t="s">
        <v>54</v>
      </c>
    </row>
    <row r="846" spans="1:24" ht="18.75" customHeight="1">
      <c r="A846" s="283" t="s">
        <v>91</v>
      </c>
      <c r="B846" s="283"/>
      <c r="C846" s="283"/>
      <c r="D846" s="283"/>
      <c r="E846" s="283"/>
      <c r="F846" s="283"/>
      <c r="G846" s="109" t="s">
        <v>49</v>
      </c>
      <c r="H846" s="283">
        <f>SUM(H842:J845)</f>
        <v>0</v>
      </c>
      <c r="I846" s="283"/>
      <c r="J846" s="283"/>
      <c r="K846" s="109" t="s">
        <v>54</v>
      </c>
      <c r="M846" s="283" t="s">
        <v>91</v>
      </c>
      <c r="N846" s="283"/>
      <c r="O846" s="283"/>
      <c r="P846" s="283"/>
      <c r="Q846" s="283"/>
      <c r="R846" s="283"/>
      <c r="S846" s="109" t="s">
        <v>49</v>
      </c>
      <c r="T846" s="283">
        <f>SUM(T842:V845)</f>
        <v>0</v>
      </c>
      <c r="U846" s="283"/>
      <c r="V846" s="283"/>
      <c r="W846" s="109" t="s">
        <v>54</v>
      </c>
    </row>
    <row r="847" spans="1:24" ht="18.75" customHeight="1">
      <c r="A847" s="283" t="s">
        <v>92</v>
      </c>
      <c r="B847" s="283"/>
      <c r="C847" s="283"/>
      <c r="D847" s="283"/>
      <c r="E847" s="283"/>
      <c r="F847" s="283"/>
      <c r="G847" s="109" t="s">
        <v>49</v>
      </c>
      <c r="H847" s="283" t="e">
        <f>ROUND(H839-H846,-2)</f>
        <v>#DIV/0!</v>
      </c>
      <c r="I847" s="283"/>
      <c r="J847" s="283"/>
      <c r="K847" s="109" t="s">
        <v>54</v>
      </c>
      <c r="M847" s="283" t="s">
        <v>92</v>
      </c>
      <c r="N847" s="283"/>
      <c r="O847" s="283"/>
      <c r="P847" s="283"/>
      <c r="Q847" s="283"/>
      <c r="R847" s="283"/>
      <c r="S847" s="109" t="s">
        <v>49</v>
      </c>
      <c r="T847" s="283" t="e">
        <f>ROUND(T839-T846,-2)</f>
        <v>#DIV/0!</v>
      </c>
      <c r="U847" s="283"/>
      <c r="V847" s="283"/>
      <c r="W847" s="109" t="s">
        <v>54</v>
      </c>
    </row>
    <row r="848" spans="1:24" ht="18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</row>
    <row r="849" spans="1:24" ht="18.75" customHeight="1">
      <c r="A849" s="109"/>
      <c r="B849" s="109"/>
      <c r="C849" s="109"/>
      <c r="D849" s="109"/>
      <c r="E849" s="109"/>
      <c r="F849" s="109"/>
      <c r="G849" s="109"/>
      <c r="H849" s="109"/>
      <c r="I849" s="283" t="s">
        <v>93</v>
      </c>
      <c r="J849" s="283"/>
      <c r="K849" s="283"/>
      <c r="M849" s="109"/>
      <c r="N849" s="109"/>
      <c r="O849" s="109"/>
      <c r="P849" s="109"/>
      <c r="Q849" s="109"/>
      <c r="R849" s="109"/>
      <c r="S849" s="109"/>
      <c r="T849" s="109"/>
      <c r="U849" s="283" t="s">
        <v>93</v>
      </c>
      <c r="V849" s="283"/>
      <c r="W849" s="283"/>
    </row>
    <row r="850" spans="1:24" ht="18.75" customHeight="1">
      <c r="A850" s="109"/>
      <c r="B850" s="283"/>
      <c r="C850" s="283"/>
      <c r="D850" s="283"/>
      <c r="E850" s="283"/>
      <c r="F850" s="109"/>
      <c r="G850" s="109"/>
      <c r="H850" s="109"/>
      <c r="I850" s="109"/>
      <c r="J850" s="109"/>
      <c r="K850" s="109"/>
      <c r="M850" s="109"/>
      <c r="N850" s="283"/>
      <c r="O850" s="283"/>
      <c r="P850" s="283"/>
      <c r="Q850" s="283"/>
      <c r="R850" s="109"/>
      <c r="S850" s="109"/>
      <c r="T850" s="109"/>
      <c r="U850" s="109"/>
      <c r="V850" s="109"/>
      <c r="W850" s="109"/>
    </row>
    <row r="851" spans="1:24" ht="18.75" customHeight="1">
      <c r="A851" s="109"/>
      <c r="B851" s="109"/>
      <c r="C851" s="109"/>
      <c r="D851" s="109"/>
      <c r="E851" s="109"/>
      <c r="F851" s="109"/>
      <c r="G851" s="109"/>
      <c r="H851" s="109"/>
      <c r="I851" s="283" t="s">
        <v>94</v>
      </c>
      <c r="J851" s="283"/>
      <c r="K851" s="283"/>
      <c r="M851" s="109"/>
      <c r="N851" s="109"/>
      <c r="O851" s="109"/>
      <c r="P851" s="109"/>
      <c r="Q851" s="109"/>
      <c r="R851" s="109"/>
      <c r="S851" s="109"/>
      <c r="T851" s="109"/>
      <c r="U851" s="283" t="s">
        <v>94</v>
      </c>
      <c r="V851" s="283"/>
      <c r="W851" s="283"/>
    </row>
    <row r="853" spans="1:24" ht="18.75" customHeight="1">
      <c r="A853" s="283" t="s">
        <v>43</v>
      </c>
      <c r="B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109">
        <v>24</v>
      </c>
      <c r="M853" s="283" t="s">
        <v>43</v>
      </c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109">
        <v>24</v>
      </c>
    </row>
    <row r="854" spans="1:24" ht="18.75" customHeight="1">
      <c r="A854" s="109" t="s">
        <v>154</v>
      </c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M854" s="109" t="s">
        <v>155</v>
      </c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</row>
    <row r="855" spans="1:24" ht="18.75" customHeight="1">
      <c r="A855" s="283" t="s">
        <v>47</v>
      </c>
      <c r="B855" s="283"/>
      <c r="C855" s="283"/>
      <c r="D855" s="283"/>
      <c r="E855" s="283"/>
      <c r="F855" s="283"/>
      <c r="G855" s="283"/>
      <c r="H855" s="283"/>
      <c r="I855" s="283"/>
      <c r="J855" s="283"/>
      <c r="K855" s="283"/>
      <c r="M855" s="283" t="s">
        <v>47</v>
      </c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</row>
    <row r="856" spans="1:24" ht="18.75" customHeight="1">
      <c r="A856" s="283" t="s">
        <v>48</v>
      </c>
      <c r="B856" s="283"/>
      <c r="C856" s="283"/>
      <c r="D856" s="283"/>
      <c r="E856" s="109" t="s">
        <v>49</v>
      </c>
      <c r="F856" s="283">
        <f>'[1]Bang TH nop'!B95</f>
        <v>0</v>
      </c>
      <c r="G856" s="283"/>
      <c r="H856" s="283"/>
      <c r="I856" s="283"/>
      <c r="J856" s="283"/>
      <c r="K856" s="283"/>
      <c r="M856" s="283" t="s">
        <v>48</v>
      </c>
      <c r="N856" s="283"/>
      <c r="O856" s="283"/>
      <c r="P856" s="283"/>
      <c r="Q856" s="109" t="s">
        <v>49</v>
      </c>
      <c r="R856" s="283"/>
      <c r="S856" s="283"/>
      <c r="T856" s="283"/>
      <c r="U856" s="283"/>
      <c r="V856" s="283"/>
      <c r="W856" s="283"/>
    </row>
    <row r="857" spans="1:24" ht="18.75" customHeight="1">
      <c r="A857" s="283" t="s">
        <v>50</v>
      </c>
      <c r="B857" s="283"/>
      <c r="C857" s="283"/>
      <c r="D857" s="283"/>
      <c r="E857" s="109" t="s">
        <v>49</v>
      </c>
      <c r="F857" s="283">
        <f>'[1]Bang TH nop'!C95</f>
        <v>0</v>
      </c>
      <c r="G857" s="283"/>
      <c r="H857" s="283"/>
      <c r="I857" s="283"/>
      <c r="J857" s="283"/>
      <c r="K857" s="283"/>
      <c r="M857" s="283" t="s">
        <v>50</v>
      </c>
      <c r="N857" s="283"/>
      <c r="O857" s="283"/>
      <c r="P857" s="283"/>
      <c r="Q857" s="109" t="s">
        <v>49</v>
      </c>
      <c r="R857" s="283"/>
      <c r="S857" s="283"/>
      <c r="T857" s="283"/>
      <c r="U857" s="283"/>
      <c r="V857" s="283"/>
      <c r="W857" s="283"/>
    </row>
    <row r="858" spans="1:24" ht="18.75" customHeight="1">
      <c r="A858" s="283" t="s">
        <v>51</v>
      </c>
      <c r="B858" s="283"/>
      <c r="C858" s="283"/>
      <c r="D858" s="283"/>
      <c r="E858" s="109" t="s">
        <v>49</v>
      </c>
      <c r="F858" s="283" t="s">
        <v>121</v>
      </c>
      <c r="G858" s="283"/>
      <c r="H858" s="283"/>
      <c r="I858" s="283"/>
      <c r="J858" s="283"/>
      <c r="K858" s="283"/>
      <c r="M858" s="283" t="s">
        <v>51</v>
      </c>
      <c r="N858" s="283"/>
      <c r="O858" s="283"/>
      <c r="P858" s="283"/>
      <c r="Q858" s="109" t="s">
        <v>49</v>
      </c>
      <c r="R858" s="283" t="s">
        <v>121</v>
      </c>
      <c r="S858" s="283"/>
      <c r="T858" s="283"/>
      <c r="U858" s="283"/>
      <c r="V858" s="283"/>
      <c r="W858" s="283"/>
    </row>
    <row r="859" spans="1:24" ht="18.75" customHeight="1">
      <c r="A859" s="283" t="s">
        <v>52</v>
      </c>
      <c r="B859" s="283"/>
      <c r="C859" s="283"/>
      <c r="D859" s="283"/>
      <c r="E859" s="283"/>
      <c r="F859" s="283"/>
      <c r="G859" s="283"/>
      <c r="H859" s="283"/>
      <c r="I859" s="283"/>
      <c r="J859" s="283"/>
      <c r="K859" s="283"/>
      <c r="M859" s="283" t="s">
        <v>52</v>
      </c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</row>
    <row r="860" spans="1:24" ht="18.75" customHeight="1">
      <c r="A860" s="283" t="s">
        <v>53</v>
      </c>
      <c r="B860" s="283"/>
      <c r="C860" s="283"/>
      <c r="D860" s="283"/>
      <c r="E860" s="109" t="s">
        <v>49</v>
      </c>
      <c r="F860" s="283">
        <v>2915400</v>
      </c>
      <c r="G860" s="283"/>
      <c r="H860" s="283"/>
      <c r="I860" s="283"/>
      <c r="J860" s="109" t="s">
        <v>54</v>
      </c>
      <c r="K860" s="109"/>
      <c r="M860" s="283" t="s">
        <v>53</v>
      </c>
      <c r="N860" s="283"/>
      <c r="O860" s="283"/>
      <c r="P860" s="283"/>
      <c r="Q860" s="109" t="s">
        <v>49</v>
      </c>
      <c r="R860" s="283">
        <v>2915400</v>
      </c>
      <c r="S860" s="283"/>
      <c r="T860" s="283"/>
      <c r="U860" s="283"/>
      <c r="V860" s="109" t="s">
        <v>54</v>
      </c>
      <c r="W860" s="109"/>
    </row>
    <row r="861" spans="1:24" ht="18.75" customHeight="1">
      <c r="A861" s="109" t="s">
        <v>55</v>
      </c>
      <c r="B861" s="109"/>
      <c r="C861" s="109"/>
      <c r="D861" s="109"/>
      <c r="E861" s="109"/>
      <c r="F861" s="109"/>
      <c r="G861" s="109"/>
      <c r="H861" s="109"/>
      <c r="I861" s="109">
        <f>'[1]LUONG T7'!F103</f>
        <v>0</v>
      </c>
      <c r="J861" s="109"/>
      <c r="K861" s="109"/>
      <c r="M861" s="109" t="s">
        <v>55</v>
      </c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</row>
    <row r="862" spans="1:24" ht="18.75" customHeight="1">
      <c r="A862" s="109" t="s">
        <v>56</v>
      </c>
      <c r="B862" s="109"/>
      <c r="C862" s="109"/>
      <c r="D862" s="109"/>
      <c r="E862" s="109"/>
      <c r="F862" s="109"/>
      <c r="G862" s="109"/>
      <c r="H862" s="109"/>
      <c r="I862" s="109" t="e">
        <f>I863/C863/8</f>
        <v>#DIV/0!</v>
      </c>
      <c r="J862" s="109"/>
      <c r="K862" s="109"/>
      <c r="M862" s="109" t="s">
        <v>56</v>
      </c>
      <c r="N862" s="109"/>
      <c r="O862" s="109"/>
      <c r="P862" s="109"/>
      <c r="Q862" s="109"/>
      <c r="R862" s="109"/>
      <c r="S862" s="109"/>
      <c r="T862" s="109"/>
      <c r="U862" s="109" t="e">
        <f>U863/O863/8</f>
        <v>#DIV/0!</v>
      </c>
      <c r="V862" s="109"/>
      <c r="W862" s="109"/>
    </row>
    <row r="863" spans="1:24" ht="18.75" customHeight="1">
      <c r="A863" s="109" t="s">
        <v>57</v>
      </c>
      <c r="B863" s="109" t="s">
        <v>49</v>
      </c>
      <c r="C863" s="109">
        <f>'[1]LUONG T7'!I102</f>
        <v>0</v>
      </c>
      <c r="D863" s="109" t="s">
        <v>58</v>
      </c>
      <c r="E863" s="283" t="s">
        <v>59</v>
      </c>
      <c r="F863" s="283"/>
      <c r="G863" s="283"/>
      <c r="H863" s="109" t="s">
        <v>49</v>
      </c>
      <c r="I863" s="283" t="e">
        <f>I861*680/((C863-C870)*8+C870*7+C867)*((C863-C870)*8+C870*7)</f>
        <v>#DIV/0!</v>
      </c>
      <c r="J863" s="283"/>
      <c r="K863" s="109" t="s">
        <v>54</v>
      </c>
      <c r="L863" s="109">
        <f>F860/L853*C863</f>
        <v>0</v>
      </c>
      <c r="M863" s="109" t="s">
        <v>57</v>
      </c>
      <c r="N863" s="109" t="s">
        <v>49</v>
      </c>
      <c r="O863" s="109"/>
      <c r="P863" s="109" t="s">
        <v>58</v>
      </c>
      <c r="Q863" s="283" t="s">
        <v>59</v>
      </c>
      <c r="R863" s="283"/>
      <c r="S863" s="283"/>
      <c r="T863" s="109" t="s">
        <v>49</v>
      </c>
      <c r="U863" s="283" t="e">
        <f>U861*680/((O863-O870)*8+O870*7+O867)*((O863-O870)*8+O870*7)</f>
        <v>#DIV/0!</v>
      </c>
      <c r="V863" s="283"/>
      <c r="W863" s="109" t="s">
        <v>54</v>
      </c>
      <c r="X863" s="109">
        <f>R860/X853*O863</f>
        <v>0</v>
      </c>
    </row>
    <row r="864" spans="1:24" ht="18.75" customHeight="1">
      <c r="A864" s="109" t="s">
        <v>60</v>
      </c>
      <c r="B864" s="109" t="s">
        <v>49</v>
      </c>
      <c r="C864" s="109">
        <f>'[1]LUONG T7'!J102</f>
        <v>0</v>
      </c>
      <c r="D864" s="109" t="s">
        <v>58</v>
      </c>
      <c r="E864" s="283" t="s">
        <v>61</v>
      </c>
      <c r="F864" s="283"/>
      <c r="G864" s="283"/>
      <c r="H864" s="109" t="s">
        <v>49</v>
      </c>
      <c r="I864" s="283">
        <f>$F$8/$L$1*C864</f>
        <v>0</v>
      </c>
      <c r="J864" s="283"/>
      <c r="K864" s="109" t="s">
        <v>54</v>
      </c>
      <c r="L864" s="109"/>
      <c r="M864" s="109" t="s">
        <v>60</v>
      </c>
      <c r="N864" s="109" t="s">
        <v>49</v>
      </c>
      <c r="O864" s="109"/>
      <c r="P864" s="109" t="s">
        <v>58</v>
      </c>
      <c r="Q864" s="283" t="s">
        <v>61</v>
      </c>
      <c r="R864" s="283"/>
      <c r="S864" s="283"/>
      <c r="T864" s="109" t="s">
        <v>49</v>
      </c>
      <c r="U864" s="283">
        <f>$F$8/$L$1*O864</f>
        <v>0</v>
      </c>
      <c r="V864" s="283"/>
      <c r="W864" s="109" t="s">
        <v>54</v>
      </c>
      <c r="X864" s="109"/>
    </row>
    <row r="865" spans="1:24" ht="18.75" customHeight="1">
      <c r="A865" s="109" t="s">
        <v>62</v>
      </c>
      <c r="B865" s="109" t="s">
        <v>49</v>
      </c>
      <c r="C865" s="109">
        <f>'[1]LUONG T7'!K102</f>
        <v>0</v>
      </c>
      <c r="D865" s="109" t="s">
        <v>58</v>
      </c>
      <c r="E865" s="283" t="s">
        <v>63</v>
      </c>
      <c r="F865" s="283"/>
      <c r="G865" s="283"/>
      <c r="H865" s="109" t="s">
        <v>49</v>
      </c>
      <c r="I865" s="283">
        <f>$F$8/$L$1*C865</f>
        <v>0</v>
      </c>
      <c r="J865" s="283"/>
      <c r="K865" s="109" t="s">
        <v>54</v>
      </c>
      <c r="L865" s="109"/>
      <c r="M865" s="109" t="s">
        <v>62</v>
      </c>
      <c r="N865" s="109" t="s">
        <v>49</v>
      </c>
      <c r="O865" s="109"/>
      <c r="P865" s="109" t="s">
        <v>58</v>
      </c>
      <c r="Q865" s="283" t="s">
        <v>63</v>
      </c>
      <c r="R865" s="283"/>
      <c r="S865" s="283"/>
      <c r="T865" s="109" t="s">
        <v>49</v>
      </c>
      <c r="U865" s="283">
        <f>$F$8/$L$1*O865</f>
        <v>0</v>
      </c>
      <c r="V865" s="283"/>
      <c r="W865" s="109" t="s">
        <v>54</v>
      </c>
      <c r="X865" s="109"/>
    </row>
    <row r="866" spans="1:24" ht="18.75" customHeight="1">
      <c r="A866" s="109" t="s">
        <v>64</v>
      </c>
      <c r="B866" s="109" t="s">
        <v>49</v>
      </c>
      <c r="C866" s="109">
        <f>'[1]LUONG T7'!L102</f>
        <v>0</v>
      </c>
      <c r="D866" s="109" t="s">
        <v>58</v>
      </c>
      <c r="E866" s="283" t="s">
        <v>65</v>
      </c>
      <c r="F866" s="283"/>
      <c r="G866" s="283"/>
      <c r="H866" s="109" t="s">
        <v>49</v>
      </c>
      <c r="I866" s="283">
        <f>$F$8/$L$1*C866</f>
        <v>0</v>
      </c>
      <c r="J866" s="283"/>
      <c r="K866" s="109" t="s">
        <v>54</v>
      </c>
      <c r="L866" s="109"/>
      <c r="M866" s="109" t="s">
        <v>64</v>
      </c>
      <c r="N866" s="109" t="s">
        <v>49</v>
      </c>
      <c r="O866" s="109"/>
      <c r="P866" s="109" t="s">
        <v>58</v>
      </c>
      <c r="Q866" s="283" t="s">
        <v>65</v>
      </c>
      <c r="R866" s="283"/>
      <c r="S866" s="283"/>
      <c r="T866" s="109" t="s">
        <v>49</v>
      </c>
      <c r="U866" s="283">
        <f>$F$8/$L$1*O866</f>
        <v>0</v>
      </c>
      <c r="V866" s="283"/>
      <c r="W866" s="109" t="s">
        <v>54</v>
      </c>
      <c r="X866" s="109"/>
    </row>
    <row r="867" spans="1:24" ht="18.75" customHeight="1">
      <c r="A867" s="109" t="s">
        <v>66</v>
      </c>
      <c r="B867" s="109" t="s">
        <v>49</v>
      </c>
      <c r="C867" s="109">
        <f>'[1]LUONG T7'!Q102</f>
        <v>0</v>
      </c>
      <c r="D867" s="109" t="s">
        <v>67</v>
      </c>
      <c r="E867" s="283" t="s">
        <v>68</v>
      </c>
      <c r="F867" s="283"/>
      <c r="G867" s="283"/>
      <c r="H867" s="109" t="s">
        <v>49</v>
      </c>
      <c r="I867" s="283" t="e">
        <f>I863/C863/8*C867</f>
        <v>#DIV/0!</v>
      </c>
      <c r="J867" s="283"/>
      <c r="K867" s="109" t="s">
        <v>54</v>
      </c>
      <c r="L867" s="109">
        <f>F860*C867/L853/8*1.5</f>
        <v>0</v>
      </c>
      <c r="M867" s="109" t="s">
        <v>66</v>
      </c>
      <c r="N867" s="109" t="s">
        <v>49</v>
      </c>
      <c r="O867" s="109"/>
      <c r="P867" s="109" t="s">
        <v>67</v>
      </c>
      <c r="Q867" s="283" t="s">
        <v>68</v>
      </c>
      <c r="R867" s="283"/>
      <c r="S867" s="283"/>
      <c r="T867" s="109" t="s">
        <v>49</v>
      </c>
      <c r="U867" s="283" t="e">
        <f>U863/O863/8*O867</f>
        <v>#DIV/0!</v>
      </c>
      <c r="V867" s="283"/>
      <c r="W867" s="109" t="s">
        <v>54</v>
      </c>
      <c r="X867" s="109">
        <f>R860*O867/X853/8*1.5</f>
        <v>0</v>
      </c>
    </row>
    <row r="868" spans="1:24" ht="18.75" customHeight="1">
      <c r="A868" s="283" t="s">
        <v>69</v>
      </c>
      <c r="B868" s="283"/>
      <c r="C868" s="109"/>
      <c r="D868" s="109" t="s">
        <v>58</v>
      </c>
      <c r="E868" s="283" t="s">
        <v>70</v>
      </c>
      <c r="F868" s="283"/>
      <c r="G868" s="283"/>
      <c r="H868" s="109" t="s">
        <v>49</v>
      </c>
      <c r="I868" s="283"/>
      <c r="J868" s="283"/>
      <c r="K868" s="109" t="s">
        <v>54</v>
      </c>
      <c r="L868" s="109"/>
      <c r="M868" s="283" t="s">
        <v>69</v>
      </c>
      <c r="N868" s="283"/>
      <c r="O868" s="109"/>
      <c r="P868" s="109" t="s">
        <v>58</v>
      </c>
      <c r="Q868" s="283" t="s">
        <v>70</v>
      </c>
      <c r="R868" s="283"/>
      <c r="S868" s="283"/>
      <c r="T868" s="109" t="s">
        <v>49</v>
      </c>
      <c r="U868" s="283"/>
      <c r="V868" s="283"/>
      <c r="W868" s="109" t="s">
        <v>54</v>
      </c>
      <c r="X868" s="109"/>
    </row>
    <row r="869" spans="1:24" ht="18.75" customHeight="1">
      <c r="A869" s="109" t="s">
        <v>71</v>
      </c>
      <c r="B869" s="109" t="s">
        <v>49</v>
      </c>
      <c r="C869" s="109"/>
      <c r="D869" s="109" t="s">
        <v>58</v>
      </c>
      <c r="E869" s="283" t="s">
        <v>72</v>
      </c>
      <c r="F869" s="283"/>
      <c r="G869" s="283"/>
      <c r="H869" s="109" t="s">
        <v>49</v>
      </c>
      <c r="I869" s="283"/>
      <c r="J869" s="283"/>
      <c r="K869" s="109" t="s">
        <v>54</v>
      </c>
      <c r="L869" s="109"/>
      <c r="M869" s="109" t="s">
        <v>71</v>
      </c>
      <c r="N869" s="109" t="s">
        <v>49</v>
      </c>
      <c r="O869" s="109"/>
      <c r="P869" s="109" t="s">
        <v>58</v>
      </c>
      <c r="Q869" s="283" t="s">
        <v>72</v>
      </c>
      <c r="R869" s="283"/>
      <c r="S869" s="283"/>
      <c r="T869" s="109" t="s">
        <v>49</v>
      </c>
      <c r="U869" s="283"/>
      <c r="V869" s="283"/>
      <c r="W869" s="109" t="s">
        <v>54</v>
      </c>
      <c r="X869" s="109"/>
    </row>
    <row r="870" spans="1:24" ht="18.75" customHeight="1">
      <c r="A870" s="109" t="s">
        <v>73</v>
      </c>
      <c r="B870" s="109"/>
      <c r="C870" s="109">
        <f>'[1]LUONG T7'!M102</f>
        <v>0</v>
      </c>
      <c r="D870" s="109" t="s">
        <v>67</v>
      </c>
      <c r="E870" s="283" t="s">
        <v>74</v>
      </c>
      <c r="F870" s="283"/>
      <c r="G870" s="283"/>
      <c r="H870" s="109" t="s">
        <v>49</v>
      </c>
      <c r="I870" s="283">
        <f>$F$8*C870/8/$L$1</f>
        <v>0</v>
      </c>
      <c r="J870" s="283"/>
      <c r="K870" s="109" t="s">
        <v>54</v>
      </c>
      <c r="L870" s="109"/>
      <c r="M870" s="109" t="s">
        <v>73</v>
      </c>
      <c r="N870" s="109"/>
      <c r="O870" s="109"/>
      <c r="P870" s="109" t="s">
        <v>67</v>
      </c>
      <c r="Q870" s="283" t="s">
        <v>74</v>
      </c>
      <c r="R870" s="283"/>
      <c r="S870" s="283"/>
      <c r="T870" s="109" t="s">
        <v>49</v>
      </c>
      <c r="U870" s="283">
        <f>$F$8*O870/8/$L$1</f>
        <v>0</v>
      </c>
      <c r="V870" s="283"/>
      <c r="W870" s="109" t="s">
        <v>54</v>
      </c>
      <c r="X870" s="109"/>
    </row>
    <row r="871" spans="1:24" ht="18.75" customHeight="1">
      <c r="A871" s="109" t="s">
        <v>75</v>
      </c>
      <c r="B871" s="109" t="s">
        <v>49</v>
      </c>
      <c r="C871" s="109"/>
      <c r="D871" s="109" t="s">
        <v>67</v>
      </c>
      <c r="E871" s="283" t="s">
        <v>97</v>
      </c>
      <c r="F871" s="283"/>
      <c r="G871" s="283"/>
      <c r="H871" s="109" t="s">
        <v>49</v>
      </c>
      <c r="I871" s="283"/>
      <c r="J871" s="283"/>
      <c r="K871" s="109" t="s">
        <v>54</v>
      </c>
      <c r="L871" s="109"/>
      <c r="M871" s="109" t="s">
        <v>75</v>
      </c>
      <c r="N871" s="109" t="s">
        <v>49</v>
      </c>
      <c r="O871" s="109"/>
      <c r="P871" s="109" t="s">
        <v>67</v>
      </c>
      <c r="Q871" s="283" t="s">
        <v>97</v>
      </c>
      <c r="R871" s="283"/>
      <c r="S871" s="283"/>
      <c r="T871" s="109" t="s">
        <v>49</v>
      </c>
      <c r="U871" s="283"/>
      <c r="V871" s="283"/>
      <c r="W871" s="109" t="s">
        <v>54</v>
      </c>
      <c r="X871" s="109"/>
    </row>
    <row r="872" spans="1:24" ht="18.75" customHeight="1">
      <c r="A872" s="109" t="s">
        <v>77</v>
      </c>
      <c r="B872" s="109" t="s">
        <v>49</v>
      </c>
      <c r="C872" s="109"/>
      <c r="D872" s="109" t="s">
        <v>78</v>
      </c>
      <c r="E872" s="109" t="s">
        <v>79</v>
      </c>
      <c r="F872" s="109"/>
      <c r="G872" s="109"/>
      <c r="H872" s="109" t="s">
        <v>49</v>
      </c>
      <c r="I872" s="283"/>
      <c r="J872" s="283"/>
      <c r="K872" s="109" t="s">
        <v>54</v>
      </c>
      <c r="L872" s="109" t="e">
        <f>+IF(L863-I863&lt;0,0,L863-I863)+IF(L867-I867&lt;0,0,L867-I867)</f>
        <v>#DIV/0!</v>
      </c>
      <c r="M872" s="109" t="s">
        <v>77</v>
      </c>
      <c r="N872" s="109" t="s">
        <v>49</v>
      </c>
      <c r="O872" s="109"/>
      <c r="P872" s="109" t="s">
        <v>78</v>
      </c>
      <c r="Q872" s="109" t="s">
        <v>79</v>
      </c>
      <c r="R872" s="109"/>
      <c r="S872" s="109"/>
      <c r="T872" s="109" t="s">
        <v>49</v>
      </c>
      <c r="U872" s="283"/>
      <c r="V872" s="283"/>
      <c r="W872" s="109" t="s">
        <v>54</v>
      </c>
      <c r="X872" s="109" t="e">
        <f>+IF(X863-U863&lt;0,0,X863-U863)+IF(X867-U867&lt;0,0,X867-U867)</f>
        <v>#DIV/0!</v>
      </c>
    </row>
    <row r="873" spans="1:24" ht="18.75" customHeight="1">
      <c r="A873" s="109" t="s">
        <v>122</v>
      </c>
      <c r="B873" s="109"/>
      <c r="C873" s="109"/>
      <c r="D873" s="109" t="s">
        <v>58</v>
      </c>
      <c r="E873" s="283" t="s">
        <v>123</v>
      </c>
      <c r="F873" s="283"/>
      <c r="G873" s="283"/>
      <c r="H873" s="109" t="s">
        <v>49</v>
      </c>
      <c r="I873" s="283"/>
      <c r="J873" s="283"/>
      <c r="K873" s="109" t="s">
        <v>54</v>
      </c>
      <c r="L873" s="109"/>
      <c r="M873" s="109" t="s">
        <v>122</v>
      </c>
      <c r="N873" s="109"/>
      <c r="O873" s="109"/>
      <c r="P873" s="109" t="s">
        <v>58</v>
      </c>
      <c r="Q873" s="283" t="s">
        <v>123</v>
      </c>
      <c r="R873" s="283"/>
      <c r="S873" s="283"/>
      <c r="T873" s="109" t="s">
        <v>49</v>
      </c>
      <c r="U873" s="283"/>
      <c r="V873" s="283"/>
      <c r="W873" s="109" t="s">
        <v>54</v>
      </c>
      <c r="X873" s="109"/>
    </row>
    <row r="874" spans="1:24" ht="18.75" customHeight="1">
      <c r="A874" s="283" t="s">
        <v>82</v>
      </c>
      <c r="B874" s="283"/>
      <c r="C874" s="109"/>
      <c r="D874" s="109"/>
      <c r="E874" s="109"/>
      <c r="F874" s="109"/>
      <c r="G874" s="109"/>
      <c r="H874" s="109" t="s">
        <v>49</v>
      </c>
      <c r="I874" s="283">
        <f>'[1]LUONG T7'!P103</f>
        <v>0</v>
      </c>
      <c r="J874" s="283"/>
      <c r="K874" s="109" t="s">
        <v>54</v>
      </c>
      <c r="L874" s="109"/>
      <c r="M874" s="283" t="s">
        <v>82</v>
      </c>
      <c r="N874" s="283"/>
      <c r="O874" s="109"/>
      <c r="P874" s="109"/>
      <c r="Q874" s="109"/>
      <c r="R874" s="109"/>
      <c r="S874" s="109"/>
      <c r="T874" s="109" t="s">
        <v>49</v>
      </c>
      <c r="U874" s="283"/>
      <c r="V874" s="283"/>
      <c r="W874" s="109" t="s">
        <v>54</v>
      </c>
      <c r="X874" s="109"/>
    </row>
    <row r="875" spans="1:24" ht="18.75" customHeight="1">
      <c r="A875" s="109" t="s">
        <v>83</v>
      </c>
      <c r="B875" s="109" t="s">
        <v>49</v>
      </c>
      <c r="C875" s="109"/>
      <c r="D875" s="109"/>
      <c r="E875" s="109" t="s">
        <v>84</v>
      </c>
      <c r="F875" s="109"/>
      <c r="G875" s="109"/>
      <c r="H875" s="109" t="s">
        <v>49</v>
      </c>
      <c r="I875" s="283" t="e">
        <f>L872</f>
        <v>#DIV/0!</v>
      </c>
      <c r="J875" s="283"/>
      <c r="K875" s="109" t="s">
        <v>54</v>
      </c>
      <c r="L875" s="109"/>
      <c r="M875" s="109" t="s">
        <v>83</v>
      </c>
      <c r="N875" s="109" t="s">
        <v>49</v>
      </c>
      <c r="O875" s="109"/>
      <c r="P875" s="109"/>
      <c r="Q875" s="109" t="s">
        <v>84</v>
      </c>
      <c r="R875" s="109"/>
      <c r="S875" s="109"/>
      <c r="T875" s="109" t="s">
        <v>49</v>
      </c>
      <c r="U875" s="283" t="e">
        <f>X872</f>
        <v>#DIV/0!</v>
      </c>
      <c r="V875" s="283"/>
      <c r="W875" s="109" t="s">
        <v>54</v>
      </c>
      <c r="X875" s="109"/>
    </row>
    <row r="876" spans="1:24" ht="18.75" customHeight="1">
      <c r="A876" s="283" t="s">
        <v>85</v>
      </c>
      <c r="B876" s="283"/>
      <c r="C876" s="283"/>
      <c r="D876" s="283"/>
      <c r="E876" s="283"/>
      <c r="F876" s="283"/>
      <c r="G876" s="109" t="s">
        <v>49</v>
      </c>
      <c r="H876" s="283" t="e">
        <f>I863+I864+I865+I866+I867+I870+I874+I875</f>
        <v>#DIV/0!</v>
      </c>
      <c r="I876" s="283"/>
      <c r="J876" s="283"/>
      <c r="K876" s="109" t="s">
        <v>54</v>
      </c>
      <c r="M876" s="283" t="s">
        <v>85</v>
      </c>
      <c r="N876" s="283"/>
      <c r="O876" s="283"/>
      <c r="P876" s="283"/>
      <c r="Q876" s="283"/>
      <c r="R876" s="283"/>
      <c r="S876" s="109" t="s">
        <v>49</v>
      </c>
      <c r="T876" s="283" t="e">
        <f>U863+U864+U865+U866+U867+U870+U874+U875</f>
        <v>#DIV/0!</v>
      </c>
      <c r="U876" s="283"/>
      <c r="V876" s="283"/>
      <c r="W876" s="109" t="s">
        <v>54</v>
      </c>
    </row>
    <row r="877" spans="1:24" ht="18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</row>
    <row r="878" spans="1:24" ht="18.75" customHeight="1">
      <c r="A878" s="283" t="s">
        <v>86</v>
      </c>
      <c r="B878" s="283"/>
      <c r="C878" s="283"/>
      <c r="D878" s="283"/>
      <c r="E878" s="283"/>
      <c r="F878" s="283"/>
      <c r="G878" s="109"/>
      <c r="H878" s="109"/>
      <c r="I878" s="109"/>
      <c r="J878" s="109"/>
      <c r="K878" s="109"/>
      <c r="M878" s="283" t="s">
        <v>86</v>
      </c>
      <c r="N878" s="283"/>
      <c r="O878" s="283"/>
      <c r="P878" s="283"/>
      <c r="Q878" s="283"/>
      <c r="R878" s="283"/>
      <c r="S878" s="109"/>
      <c r="T878" s="109"/>
      <c r="U878" s="109"/>
      <c r="V878" s="109"/>
      <c r="W878" s="109"/>
    </row>
    <row r="879" spans="1:24" ht="18.75" customHeight="1">
      <c r="A879" s="283" t="s">
        <v>87</v>
      </c>
      <c r="B879" s="283"/>
      <c r="C879" s="283"/>
      <c r="D879" s="283"/>
      <c r="E879" s="283"/>
      <c r="F879" s="283"/>
      <c r="G879" s="109" t="s">
        <v>49</v>
      </c>
      <c r="H879" s="283">
        <f>IF(($L$1-(C863+C864+C865+C866))&gt;12,0,F860*8%)</f>
        <v>0</v>
      </c>
      <c r="I879" s="283"/>
      <c r="J879" s="283"/>
      <c r="K879" s="109" t="s">
        <v>54</v>
      </c>
      <c r="M879" s="283" t="s">
        <v>87</v>
      </c>
      <c r="N879" s="283"/>
      <c r="O879" s="283"/>
      <c r="P879" s="283"/>
      <c r="Q879" s="283"/>
      <c r="R879" s="283"/>
      <c r="S879" s="109" t="s">
        <v>49</v>
      </c>
      <c r="T879" s="283">
        <f>IF(($L$1-(O863+O864+O865+O866))&gt;12,0,R860*8%)</f>
        <v>0</v>
      </c>
      <c r="U879" s="283"/>
      <c r="V879" s="283"/>
      <c r="W879" s="109" t="s">
        <v>54</v>
      </c>
    </row>
    <row r="880" spans="1:24" ht="18.75" customHeight="1">
      <c r="A880" s="283" t="s">
        <v>88</v>
      </c>
      <c r="B880" s="283"/>
      <c r="C880" s="283"/>
      <c r="D880" s="283"/>
      <c r="E880" s="283"/>
      <c r="F880" s="283"/>
      <c r="G880" s="109" t="s">
        <v>49</v>
      </c>
      <c r="H880" s="283">
        <f>IF(($L$1-(C863+C864+C865+C866))&gt;12,0,F860*1.5%)</f>
        <v>0</v>
      </c>
      <c r="I880" s="283"/>
      <c r="J880" s="283"/>
      <c r="K880" s="109" t="s">
        <v>54</v>
      </c>
      <c r="M880" s="283" t="s">
        <v>88</v>
      </c>
      <c r="N880" s="283"/>
      <c r="O880" s="283"/>
      <c r="P880" s="283"/>
      <c r="Q880" s="283"/>
      <c r="R880" s="283"/>
      <c r="S880" s="109" t="s">
        <v>49</v>
      </c>
      <c r="T880" s="283">
        <f>IF(($L$1-(O863+O864+O865+O866))&gt;12,0,R860*1.5%)</f>
        <v>0</v>
      </c>
      <c r="U880" s="283"/>
      <c r="V880" s="283"/>
      <c r="W880" s="109" t="s">
        <v>54</v>
      </c>
    </row>
    <row r="881" spans="1:24" ht="18.75" customHeight="1">
      <c r="A881" s="283" t="s">
        <v>89</v>
      </c>
      <c r="B881" s="283"/>
      <c r="C881" s="283"/>
      <c r="D881" s="283"/>
      <c r="E881" s="283"/>
      <c r="F881" s="283"/>
      <c r="G881" s="109" t="s">
        <v>49</v>
      </c>
      <c r="H881" s="283">
        <f>IF(($L$1-(C863+C864+C865+C866))&gt;12,0,F860*1%)</f>
        <v>0</v>
      </c>
      <c r="I881" s="283"/>
      <c r="J881" s="283"/>
      <c r="K881" s="109" t="s">
        <v>54</v>
      </c>
      <c r="M881" s="283" t="s">
        <v>89</v>
      </c>
      <c r="N881" s="283"/>
      <c r="O881" s="283"/>
      <c r="P881" s="283"/>
      <c r="Q881" s="283"/>
      <c r="R881" s="283"/>
      <c r="S881" s="109" t="s">
        <v>49</v>
      </c>
      <c r="T881" s="283">
        <f>IF(($L$1-(O863+O864+O865+O866))&gt;12,0,R860*1%)</f>
        <v>0</v>
      </c>
      <c r="U881" s="283"/>
      <c r="V881" s="283"/>
      <c r="W881" s="109" t="s">
        <v>54</v>
      </c>
    </row>
    <row r="882" spans="1:24" ht="18.75" customHeight="1">
      <c r="A882" s="283" t="s">
        <v>90</v>
      </c>
      <c r="B882" s="283"/>
      <c r="C882" s="283"/>
      <c r="D882" s="283"/>
      <c r="E882" s="283"/>
      <c r="F882" s="283"/>
      <c r="G882" s="109" t="s">
        <v>49</v>
      </c>
      <c r="H882" s="283">
        <v>0</v>
      </c>
      <c r="I882" s="283"/>
      <c r="J882" s="283"/>
      <c r="K882" s="109" t="s">
        <v>54</v>
      </c>
      <c r="M882" s="283" t="s">
        <v>90</v>
      </c>
      <c r="N882" s="283"/>
      <c r="O882" s="283"/>
      <c r="P882" s="283"/>
      <c r="Q882" s="283"/>
      <c r="R882" s="283"/>
      <c r="S882" s="109" t="s">
        <v>49</v>
      </c>
      <c r="T882" s="283">
        <v>0</v>
      </c>
      <c r="U882" s="283"/>
      <c r="V882" s="283"/>
      <c r="W882" s="109" t="s">
        <v>54</v>
      </c>
    </row>
    <row r="883" spans="1:24" ht="18.75" customHeight="1">
      <c r="A883" s="283" t="s">
        <v>91</v>
      </c>
      <c r="B883" s="283"/>
      <c r="C883" s="283"/>
      <c r="D883" s="283"/>
      <c r="E883" s="283"/>
      <c r="F883" s="283"/>
      <c r="G883" s="109" t="s">
        <v>49</v>
      </c>
      <c r="H883" s="283">
        <f>SUM(H879:J882)</f>
        <v>0</v>
      </c>
      <c r="I883" s="283"/>
      <c r="J883" s="283"/>
      <c r="K883" s="109" t="s">
        <v>54</v>
      </c>
      <c r="M883" s="283" t="s">
        <v>91</v>
      </c>
      <c r="N883" s="283"/>
      <c r="O883" s="283"/>
      <c r="P883" s="283"/>
      <c r="Q883" s="283"/>
      <c r="R883" s="283"/>
      <c r="S883" s="109" t="s">
        <v>49</v>
      </c>
      <c r="T883" s="283">
        <f>SUM(T879:V882)</f>
        <v>0</v>
      </c>
      <c r="U883" s="283"/>
      <c r="V883" s="283"/>
      <c r="W883" s="109" t="s">
        <v>54</v>
      </c>
    </row>
    <row r="884" spans="1:24" ht="18.75" customHeight="1">
      <c r="A884" s="283" t="s">
        <v>92</v>
      </c>
      <c r="B884" s="283"/>
      <c r="C884" s="283"/>
      <c r="D884" s="283"/>
      <c r="E884" s="283"/>
      <c r="F884" s="283"/>
      <c r="G884" s="109" t="s">
        <v>49</v>
      </c>
      <c r="H884" s="283" t="e">
        <f>ROUND(H876-H883,-2)</f>
        <v>#DIV/0!</v>
      </c>
      <c r="I884" s="283"/>
      <c r="J884" s="283"/>
      <c r="K884" s="109" t="s">
        <v>54</v>
      </c>
      <c r="M884" s="283" t="s">
        <v>92</v>
      </c>
      <c r="N884" s="283"/>
      <c r="O884" s="283"/>
      <c r="P884" s="283"/>
      <c r="Q884" s="283"/>
      <c r="R884" s="283"/>
      <c r="S884" s="109" t="s">
        <v>49</v>
      </c>
      <c r="T884" s="283" t="e">
        <f>ROUND(T876-T883,-2)</f>
        <v>#DIV/0!</v>
      </c>
      <c r="U884" s="283"/>
      <c r="V884" s="283"/>
      <c r="W884" s="109" t="s">
        <v>54</v>
      </c>
    </row>
    <row r="885" spans="1:24" ht="18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</row>
    <row r="886" spans="1:24" ht="18.75" customHeight="1">
      <c r="A886" s="109"/>
      <c r="B886" s="109"/>
      <c r="C886" s="109"/>
      <c r="D886" s="109"/>
      <c r="E886" s="109"/>
      <c r="F886" s="109"/>
      <c r="G886" s="109"/>
      <c r="H886" s="109"/>
      <c r="I886" s="283" t="s">
        <v>93</v>
      </c>
      <c r="J886" s="283"/>
      <c r="K886" s="283"/>
      <c r="M886" s="109"/>
      <c r="N886" s="109"/>
      <c r="O886" s="109"/>
      <c r="P886" s="109"/>
      <c r="Q886" s="109"/>
      <c r="R886" s="109"/>
      <c r="S886" s="109"/>
      <c r="T886" s="109"/>
      <c r="U886" s="283" t="s">
        <v>93</v>
      </c>
      <c r="V886" s="283"/>
      <c r="W886" s="283"/>
    </row>
    <row r="887" spans="1:24" ht="18.75" customHeight="1">
      <c r="A887" s="109"/>
      <c r="B887" s="283"/>
      <c r="C887" s="283"/>
      <c r="D887" s="283"/>
      <c r="E887" s="283"/>
      <c r="F887" s="109"/>
      <c r="G887" s="109"/>
      <c r="H887" s="109"/>
      <c r="I887" s="109"/>
      <c r="J887" s="109"/>
      <c r="K887" s="109"/>
      <c r="M887" s="109"/>
      <c r="N887" s="283"/>
      <c r="O887" s="283"/>
      <c r="P887" s="283"/>
      <c r="Q887" s="283"/>
      <c r="R887" s="109"/>
      <c r="S887" s="109"/>
      <c r="T887" s="109"/>
      <c r="U887" s="109"/>
      <c r="V887" s="109"/>
      <c r="W887" s="109"/>
    </row>
    <row r="888" spans="1:24" ht="18.75" customHeight="1">
      <c r="A888" s="109"/>
      <c r="B888" s="109"/>
      <c r="C888" s="109"/>
      <c r="D888" s="109"/>
      <c r="E888" s="109"/>
      <c r="F888" s="109"/>
      <c r="G888" s="109"/>
      <c r="H888" s="109"/>
      <c r="I888" s="283" t="s">
        <v>94</v>
      </c>
      <c r="J888" s="283"/>
      <c r="K888" s="283"/>
      <c r="M888" s="109"/>
      <c r="N888" s="109"/>
      <c r="O888" s="109"/>
      <c r="P888" s="109"/>
      <c r="Q888" s="109"/>
      <c r="R888" s="109"/>
      <c r="S888" s="109"/>
      <c r="T888" s="109"/>
      <c r="U888" s="283" t="s">
        <v>94</v>
      </c>
      <c r="V888" s="283"/>
      <c r="W888" s="283"/>
    </row>
    <row r="890" spans="1:24" ht="18.75" customHeight="1">
      <c r="A890" s="283" t="s">
        <v>43</v>
      </c>
      <c r="B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109">
        <v>24</v>
      </c>
      <c r="M890" s="283" t="s">
        <v>43</v>
      </c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109">
        <v>24</v>
      </c>
    </row>
    <row r="891" spans="1:24" ht="18.75" customHeight="1">
      <c r="A891" s="109" t="s">
        <v>156</v>
      </c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M891" s="109" t="s">
        <v>157</v>
      </c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</row>
    <row r="892" spans="1:24" ht="18.75" customHeight="1">
      <c r="A892" s="283" t="s">
        <v>47</v>
      </c>
      <c r="B892" s="283"/>
      <c r="C892" s="283"/>
      <c r="D892" s="283"/>
      <c r="E892" s="283"/>
      <c r="F892" s="283"/>
      <c r="G892" s="283"/>
      <c r="H892" s="283"/>
      <c r="I892" s="283"/>
      <c r="J892" s="283"/>
      <c r="K892" s="283"/>
      <c r="M892" s="283" t="s">
        <v>47</v>
      </c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</row>
    <row r="893" spans="1:24" ht="18.75" customHeight="1">
      <c r="A893" s="283" t="s">
        <v>48</v>
      </c>
      <c r="B893" s="283"/>
      <c r="C893" s="283"/>
      <c r="D893" s="283"/>
      <c r="E893" s="109" t="s">
        <v>49</v>
      </c>
      <c r="F893" s="283"/>
      <c r="G893" s="283"/>
      <c r="H893" s="283"/>
      <c r="I893" s="283"/>
      <c r="J893" s="283"/>
      <c r="K893" s="283"/>
      <c r="M893" s="283" t="s">
        <v>48</v>
      </c>
      <c r="N893" s="283"/>
      <c r="O893" s="283"/>
      <c r="P893" s="283"/>
      <c r="Q893" s="109" t="s">
        <v>49</v>
      </c>
      <c r="R893" s="283"/>
      <c r="S893" s="283"/>
      <c r="T893" s="283"/>
      <c r="U893" s="283"/>
      <c r="V893" s="283"/>
      <c r="W893" s="283"/>
    </row>
    <row r="894" spans="1:24" ht="18.75" customHeight="1">
      <c r="A894" s="283" t="s">
        <v>50</v>
      </c>
      <c r="B894" s="283"/>
      <c r="C894" s="283"/>
      <c r="D894" s="283"/>
      <c r="E894" s="109" t="s">
        <v>49</v>
      </c>
      <c r="F894" s="283"/>
      <c r="G894" s="283"/>
      <c r="H894" s="283"/>
      <c r="I894" s="283"/>
      <c r="J894" s="283"/>
      <c r="K894" s="283"/>
      <c r="M894" s="283" t="s">
        <v>50</v>
      </c>
      <c r="N894" s="283"/>
      <c r="O894" s="283"/>
      <c r="P894" s="283"/>
      <c r="Q894" s="109" t="s">
        <v>49</v>
      </c>
      <c r="R894" s="283"/>
      <c r="S894" s="283"/>
      <c r="T894" s="283"/>
      <c r="U894" s="283"/>
      <c r="V894" s="283"/>
      <c r="W894" s="283"/>
    </row>
    <row r="895" spans="1:24" ht="18.75" customHeight="1">
      <c r="A895" s="283" t="s">
        <v>51</v>
      </c>
      <c r="B895" s="283"/>
      <c r="C895" s="283"/>
      <c r="D895" s="283"/>
      <c r="E895" s="109" t="s">
        <v>49</v>
      </c>
      <c r="F895" s="283" t="s">
        <v>121</v>
      </c>
      <c r="G895" s="283"/>
      <c r="H895" s="283"/>
      <c r="I895" s="283"/>
      <c r="J895" s="283"/>
      <c r="K895" s="283"/>
      <c r="M895" s="283" t="s">
        <v>51</v>
      </c>
      <c r="N895" s="283"/>
      <c r="O895" s="283"/>
      <c r="P895" s="283"/>
      <c r="Q895" s="109" t="s">
        <v>49</v>
      </c>
      <c r="R895" s="283" t="s">
        <v>121</v>
      </c>
      <c r="S895" s="283"/>
      <c r="T895" s="283"/>
      <c r="U895" s="283"/>
      <c r="V895" s="283"/>
      <c r="W895" s="283"/>
    </row>
    <row r="896" spans="1:24" ht="18.75" customHeight="1">
      <c r="A896" s="283" t="s">
        <v>52</v>
      </c>
      <c r="B896" s="283"/>
      <c r="C896" s="283"/>
      <c r="D896" s="283"/>
      <c r="E896" s="283"/>
      <c r="F896" s="283"/>
      <c r="G896" s="283"/>
      <c r="H896" s="283"/>
      <c r="I896" s="283"/>
      <c r="J896" s="283"/>
      <c r="K896" s="283"/>
      <c r="M896" s="283" t="s">
        <v>52</v>
      </c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</row>
    <row r="897" spans="1:24" ht="18.75" customHeight="1">
      <c r="A897" s="283" t="s">
        <v>53</v>
      </c>
      <c r="B897" s="283"/>
      <c r="C897" s="283"/>
      <c r="D897" s="283"/>
      <c r="E897" s="109" t="s">
        <v>49</v>
      </c>
      <c r="F897" s="283">
        <v>2915400</v>
      </c>
      <c r="G897" s="283"/>
      <c r="H897" s="283"/>
      <c r="I897" s="283"/>
      <c r="J897" s="109" t="s">
        <v>54</v>
      </c>
      <c r="K897" s="109"/>
      <c r="M897" s="283" t="s">
        <v>53</v>
      </c>
      <c r="N897" s="283"/>
      <c r="O897" s="283"/>
      <c r="P897" s="283"/>
      <c r="Q897" s="109" t="s">
        <v>49</v>
      </c>
      <c r="R897" s="283">
        <v>2915400</v>
      </c>
      <c r="S897" s="283"/>
      <c r="T897" s="283"/>
      <c r="U897" s="283"/>
      <c r="V897" s="109" t="s">
        <v>54</v>
      </c>
      <c r="W897" s="109"/>
    </row>
    <row r="898" spans="1:24" ht="18.75" customHeight="1">
      <c r="A898" s="109" t="s">
        <v>55</v>
      </c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M898" s="109" t="s">
        <v>55</v>
      </c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</row>
    <row r="899" spans="1:24" ht="18.75" customHeight="1">
      <c r="A899" s="109" t="s">
        <v>56</v>
      </c>
      <c r="B899" s="109"/>
      <c r="C899" s="109"/>
      <c r="D899" s="109"/>
      <c r="E899" s="109"/>
      <c r="F899" s="109"/>
      <c r="G899" s="109"/>
      <c r="H899" s="109"/>
      <c r="I899" s="109" t="e">
        <f>I900/C900/8</f>
        <v>#DIV/0!</v>
      </c>
      <c r="J899" s="109"/>
      <c r="K899" s="109"/>
      <c r="M899" s="109" t="s">
        <v>56</v>
      </c>
      <c r="N899" s="109"/>
      <c r="O899" s="109"/>
      <c r="P899" s="109"/>
      <c r="Q899" s="109"/>
      <c r="R899" s="109"/>
      <c r="S899" s="109"/>
      <c r="T899" s="109"/>
      <c r="U899" s="109" t="e">
        <f>U900/O900/8</f>
        <v>#DIV/0!</v>
      </c>
      <c r="V899" s="109"/>
      <c r="W899" s="109"/>
    </row>
    <row r="900" spans="1:24" ht="18.75" customHeight="1">
      <c r="A900" s="109" t="s">
        <v>57</v>
      </c>
      <c r="B900" s="109" t="s">
        <v>49</v>
      </c>
      <c r="C900" s="109"/>
      <c r="D900" s="109" t="s">
        <v>58</v>
      </c>
      <c r="E900" s="283" t="s">
        <v>59</v>
      </c>
      <c r="F900" s="283"/>
      <c r="G900" s="283"/>
      <c r="H900" s="109" t="s">
        <v>49</v>
      </c>
      <c r="I900" s="283" t="e">
        <f>I898*680/((C900-C907)*8+C907*7+C904)*((C900-C907)*8+C907*7)</f>
        <v>#DIV/0!</v>
      </c>
      <c r="J900" s="283"/>
      <c r="K900" s="109" t="s">
        <v>54</v>
      </c>
      <c r="L900" s="109">
        <f>F897/L890*C900</f>
        <v>0</v>
      </c>
      <c r="M900" s="109" t="s">
        <v>57</v>
      </c>
      <c r="N900" s="109" t="s">
        <v>49</v>
      </c>
      <c r="O900" s="109"/>
      <c r="P900" s="109" t="s">
        <v>58</v>
      </c>
      <c r="Q900" s="283" t="s">
        <v>59</v>
      </c>
      <c r="R900" s="283"/>
      <c r="S900" s="283"/>
      <c r="T900" s="109" t="s">
        <v>49</v>
      </c>
      <c r="U900" s="283" t="e">
        <f>U898*680/((O900-O907)*8+O907*7+O904)*((O900-O907)*8+O907*7)</f>
        <v>#DIV/0!</v>
      </c>
      <c r="V900" s="283"/>
      <c r="W900" s="109" t="s">
        <v>54</v>
      </c>
      <c r="X900" s="109">
        <f>R897/X890*O900</f>
        <v>0</v>
      </c>
    </row>
    <row r="901" spans="1:24" ht="18.75" customHeight="1">
      <c r="A901" s="109" t="s">
        <v>60</v>
      </c>
      <c r="B901" s="109" t="s">
        <v>49</v>
      </c>
      <c r="C901" s="109"/>
      <c r="D901" s="109" t="s">
        <v>58</v>
      </c>
      <c r="E901" s="283" t="s">
        <v>61</v>
      </c>
      <c r="F901" s="283"/>
      <c r="G901" s="283"/>
      <c r="H901" s="109" t="s">
        <v>49</v>
      </c>
      <c r="I901" s="283">
        <f>$F$8/$L$1*C901</f>
        <v>0</v>
      </c>
      <c r="J901" s="283"/>
      <c r="K901" s="109" t="s">
        <v>54</v>
      </c>
      <c r="L901" s="109"/>
      <c r="M901" s="109" t="s">
        <v>60</v>
      </c>
      <c r="N901" s="109" t="s">
        <v>49</v>
      </c>
      <c r="O901" s="109"/>
      <c r="P901" s="109" t="s">
        <v>58</v>
      </c>
      <c r="Q901" s="283" t="s">
        <v>61</v>
      </c>
      <c r="R901" s="283"/>
      <c r="S901" s="283"/>
      <c r="T901" s="109" t="s">
        <v>49</v>
      </c>
      <c r="U901" s="283">
        <f>$F$8/$L$1*O901</f>
        <v>0</v>
      </c>
      <c r="V901" s="283"/>
      <c r="W901" s="109" t="s">
        <v>54</v>
      </c>
      <c r="X901" s="109"/>
    </row>
    <row r="902" spans="1:24" ht="18.75" customHeight="1">
      <c r="A902" s="109" t="s">
        <v>62</v>
      </c>
      <c r="B902" s="109" t="s">
        <v>49</v>
      </c>
      <c r="C902" s="109"/>
      <c r="D902" s="109" t="s">
        <v>58</v>
      </c>
      <c r="E902" s="283" t="s">
        <v>63</v>
      </c>
      <c r="F902" s="283"/>
      <c r="G902" s="283"/>
      <c r="H902" s="109" t="s">
        <v>49</v>
      </c>
      <c r="I902" s="283">
        <f>$F$8/$L$1*C902</f>
        <v>0</v>
      </c>
      <c r="J902" s="283"/>
      <c r="K902" s="109" t="s">
        <v>54</v>
      </c>
      <c r="L902" s="109"/>
      <c r="M902" s="109" t="s">
        <v>62</v>
      </c>
      <c r="N902" s="109" t="s">
        <v>49</v>
      </c>
      <c r="O902" s="109"/>
      <c r="P902" s="109" t="s">
        <v>58</v>
      </c>
      <c r="Q902" s="283" t="s">
        <v>63</v>
      </c>
      <c r="R902" s="283"/>
      <c r="S902" s="283"/>
      <c r="T902" s="109" t="s">
        <v>49</v>
      </c>
      <c r="U902" s="283">
        <f>$F$8/$L$1*O902</f>
        <v>0</v>
      </c>
      <c r="V902" s="283"/>
      <c r="W902" s="109" t="s">
        <v>54</v>
      </c>
      <c r="X902" s="109"/>
    </row>
    <row r="903" spans="1:24" ht="18.75" customHeight="1">
      <c r="A903" s="109" t="s">
        <v>64</v>
      </c>
      <c r="B903" s="109" t="s">
        <v>49</v>
      </c>
      <c r="C903" s="109"/>
      <c r="D903" s="109" t="s">
        <v>58</v>
      </c>
      <c r="E903" s="283" t="s">
        <v>65</v>
      </c>
      <c r="F903" s="283"/>
      <c r="G903" s="283"/>
      <c r="H903" s="109" t="s">
        <v>49</v>
      </c>
      <c r="I903" s="283">
        <f>$F$8/$L$1*C903</f>
        <v>0</v>
      </c>
      <c r="J903" s="283"/>
      <c r="K903" s="109" t="s">
        <v>54</v>
      </c>
      <c r="L903" s="109"/>
      <c r="M903" s="109" t="s">
        <v>64</v>
      </c>
      <c r="N903" s="109" t="s">
        <v>49</v>
      </c>
      <c r="O903" s="109"/>
      <c r="P903" s="109" t="s">
        <v>58</v>
      </c>
      <c r="Q903" s="283" t="s">
        <v>65</v>
      </c>
      <c r="R903" s="283"/>
      <c r="S903" s="283"/>
      <c r="T903" s="109" t="s">
        <v>49</v>
      </c>
      <c r="U903" s="283">
        <f>$F$8/$L$1*O903</f>
        <v>0</v>
      </c>
      <c r="V903" s="283"/>
      <c r="W903" s="109" t="s">
        <v>54</v>
      </c>
      <c r="X903" s="109"/>
    </row>
    <row r="904" spans="1:24" ht="18.75" customHeight="1">
      <c r="A904" s="109" t="s">
        <v>66</v>
      </c>
      <c r="B904" s="109" t="s">
        <v>49</v>
      </c>
      <c r="C904" s="109"/>
      <c r="D904" s="109" t="s">
        <v>67</v>
      </c>
      <c r="E904" s="283" t="s">
        <v>68</v>
      </c>
      <c r="F904" s="283"/>
      <c r="G904" s="283"/>
      <c r="H904" s="109" t="s">
        <v>49</v>
      </c>
      <c r="I904" s="283" t="e">
        <f>I900/C900/8*C904</f>
        <v>#DIV/0!</v>
      </c>
      <c r="J904" s="283"/>
      <c r="K904" s="109" t="s">
        <v>54</v>
      </c>
      <c r="L904" s="109">
        <f>F897*C904/L890/8*1.5</f>
        <v>0</v>
      </c>
      <c r="M904" s="109" t="s">
        <v>66</v>
      </c>
      <c r="N904" s="109" t="s">
        <v>49</v>
      </c>
      <c r="O904" s="109"/>
      <c r="P904" s="109" t="s">
        <v>67</v>
      </c>
      <c r="Q904" s="283" t="s">
        <v>68</v>
      </c>
      <c r="R904" s="283"/>
      <c r="S904" s="283"/>
      <c r="T904" s="109" t="s">
        <v>49</v>
      </c>
      <c r="U904" s="283" t="e">
        <f>U900/O900/8*O904</f>
        <v>#DIV/0!</v>
      </c>
      <c r="V904" s="283"/>
      <c r="W904" s="109" t="s">
        <v>54</v>
      </c>
      <c r="X904" s="109">
        <f>R897*O904/X890/8*1.5</f>
        <v>0</v>
      </c>
    </row>
    <row r="905" spans="1:24" ht="18.75" customHeight="1">
      <c r="A905" s="283" t="s">
        <v>69</v>
      </c>
      <c r="B905" s="283"/>
      <c r="C905" s="109"/>
      <c r="D905" s="109" t="s">
        <v>58</v>
      </c>
      <c r="E905" s="283" t="s">
        <v>70</v>
      </c>
      <c r="F905" s="283"/>
      <c r="G905" s="283"/>
      <c r="H905" s="109" t="s">
        <v>49</v>
      </c>
      <c r="I905" s="283"/>
      <c r="J905" s="283"/>
      <c r="K905" s="109" t="s">
        <v>54</v>
      </c>
      <c r="L905" s="109"/>
      <c r="M905" s="283" t="s">
        <v>69</v>
      </c>
      <c r="N905" s="283"/>
      <c r="O905" s="109"/>
      <c r="P905" s="109" t="s">
        <v>58</v>
      </c>
      <c r="Q905" s="283" t="s">
        <v>70</v>
      </c>
      <c r="R905" s="283"/>
      <c r="S905" s="283"/>
      <c r="T905" s="109" t="s">
        <v>49</v>
      </c>
      <c r="U905" s="283"/>
      <c r="V905" s="283"/>
      <c r="W905" s="109" t="s">
        <v>54</v>
      </c>
      <c r="X905" s="109"/>
    </row>
    <row r="906" spans="1:24" ht="18.75" customHeight="1">
      <c r="A906" s="109" t="s">
        <v>71</v>
      </c>
      <c r="B906" s="109" t="s">
        <v>49</v>
      </c>
      <c r="C906" s="109"/>
      <c r="D906" s="109" t="s">
        <v>58</v>
      </c>
      <c r="E906" s="283" t="s">
        <v>72</v>
      </c>
      <c r="F906" s="283"/>
      <c r="G906" s="283"/>
      <c r="H906" s="109" t="s">
        <v>49</v>
      </c>
      <c r="I906" s="283"/>
      <c r="J906" s="283"/>
      <c r="K906" s="109" t="s">
        <v>54</v>
      </c>
      <c r="L906" s="109"/>
      <c r="M906" s="109" t="s">
        <v>71</v>
      </c>
      <c r="N906" s="109" t="s">
        <v>49</v>
      </c>
      <c r="O906" s="109"/>
      <c r="P906" s="109" t="s">
        <v>58</v>
      </c>
      <c r="Q906" s="283" t="s">
        <v>72</v>
      </c>
      <c r="R906" s="283"/>
      <c r="S906" s="283"/>
      <c r="T906" s="109" t="s">
        <v>49</v>
      </c>
      <c r="U906" s="283"/>
      <c r="V906" s="283"/>
      <c r="W906" s="109" t="s">
        <v>54</v>
      </c>
      <c r="X906" s="109"/>
    </row>
    <row r="907" spans="1:24" ht="18.75" customHeight="1">
      <c r="A907" s="109" t="s">
        <v>73</v>
      </c>
      <c r="B907" s="109"/>
      <c r="C907" s="109"/>
      <c r="D907" s="109" t="s">
        <v>67</v>
      </c>
      <c r="E907" s="283" t="s">
        <v>74</v>
      </c>
      <c r="F907" s="283"/>
      <c r="G907" s="283"/>
      <c r="H907" s="109" t="s">
        <v>49</v>
      </c>
      <c r="I907" s="283">
        <f>$F$8*C907/8/$L$1</f>
        <v>0</v>
      </c>
      <c r="J907" s="283"/>
      <c r="K907" s="109" t="s">
        <v>54</v>
      </c>
      <c r="L907" s="109"/>
      <c r="M907" s="109" t="s">
        <v>73</v>
      </c>
      <c r="N907" s="109"/>
      <c r="O907" s="109"/>
      <c r="P907" s="109" t="s">
        <v>67</v>
      </c>
      <c r="Q907" s="283" t="s">
        <v>74</v>
      </c>
      <c r="R907" s="283"/>
      <c r="S907" s="283"/>
      <c r="T907" s="109" t="s">
        <v>49</v>
      </c>
      <c r="U907" s="283">
        <f>$F$8*O907/8/$L$1</f>
        <v>0</v>
      </c>
      <c r="V907" s="283"/>
      <c r="W907" s="109" t="s">
        <v>54</v>
      </c>
      <c r="X907" s="109"/>
    </row>
    <row r="908" spans="1:24" ht="18.75" customHeight="1">
      <c r="A908" s="109" t="s">
        <v>75</v>
      </c>
      <c r="B908" s="109" t="s">
        <v>49</v>
      </c>
      <c r="C908" s="109"/>
      <c r="D908" s="109" t="s">
        <v>67</v>
      </c>
      <c r="E908" s="283" t="s">
        <v>97</v>
      </c>
      <c r="F908" s="283"/>
      <c r="G908" s="283"/>
      <c r="H908" s="109" t="s">
        <v>49</v>
      </c>
      <c r="I908" s="283"/>
      <c r="J908" s="283"/>
      <c r="K908" s="109" t="s">
        <v>54</v>
      </c>
      <c r="L908" s="109"/>
      <c r="M908" s="109" t="s">
        <v>75</v>
      </c>
      <c r="N908" s="109" t="s">
        <v>49</v>
      </c>
      <c r="O908" s="109"/>
      <c r="P908" s="109" t="s">
        <v>67</v>
      </c>
      <c r="Q908" s="283" t="s">
        <v>97</v>
      </c>
      <c r="R908" s="283"/>
      <c r="S908" s="283"/>
      <c r="T908" s="109" t="s">
        <v>49</v>
      </c>
      <c r="U908" s="283"/>
      <c r="V908" s="283"/>
      <c r="W908" s="109" t="s">
        <v>54</v>
      </c>
      <c r="X908" s="109"/>
    </row>
    <row r="909" spans="1:24" ht="18.75" customHeight="1">
      <c r="A909" s="109" t="s">
        <v>77</v>
      </c>
      <c r="B909" s="109" t="s">
        <v>49</v>
      </c>
      <c r="C909" s="109"/>
      <c r="D909" s="109" t="s">
        <v>78</v>
      </c>
      <c r="E909" s="109" t="s">
        <v>79</v>
      </c>
      <c r="F909" s="109"/>
      <c r="G909" s="109"/>
      <c r="H909" s="109" t="s">
        <v>49</v>
      </c>
      <c r="I909" s="283"/>
      <c r="J909" s="283"/>
      <c r="K909" s="109" t="s">
        <v>54</v>
      </c>
      <c r="L909" s="109" t="e">
        <f>+IF(L900-I900&lt;0,0,L900-I900)+IF(L904-I904&lt;0,0,L904-I904)</f>
        <v>#DIV/0!</v>
      </c>
      <c r="M909" s="109" t="s">
        <v>77</v>
      </c>
      <c r="N909" s="109" t="s">
        <v>49</v>
      </c>
      <c r="O909" s="109"/>
      <c r="P909" s="109" t="s">
        <v>78</v>
      </c>
      <c r="Q909" s="109" t="s">
        <v>79</v>
      </c>
      <c r="R909" s="109"/>
      <c r="S909" s="109"/>
      <c r="T909" s="109" t="s">
        <v>49</v>
      </c>
      <c r="U909" s="283"/>
      <c r="V909" s="283"/>
      <c r="W909" s="109" t="s">
        <v>54</v>
      </c>
      <c r="X909" s="109" t="e">
        <f>+IF(X900-U900&lt;0,0,X900-U900)+IF(X904-U904&lt;0,0,X904-U904)</f>
        <v>#DIV/0!</v>
      </c>
    </row>
    <row r="910" spans="1:24" ht="18.75" customHeight="1">
      <c r="A910" s="109" t="s">
        <v>122</v>
      </c>
      <c r="B910" s="109"/>
      <c r="C910" s="109"/>
      <c r="D910" s="109" t="s">
        <v>58</v>
      </c>
      <c r="E910" s="283" t="s">
        <v>123</v>
      </c>
      <c r="F910" s="283"/>
      <c r="G910" s="283"/>
      <c r="H910" s="109" t="s">
        <v>49</v>
      </c>
      <c r="I910" s="283"/>
      <c r="J910" s="283"/>
      <c r="K910" s="109" t="s">
        <v>54</v>
      </c>
      <c r="L910" s="109"/>
      <c r="M910" s="109" t="s">
        <v>122</v>
      </c>
      <c r="N910" s="109"/>
      <c r="O910" s="109"/>
      <c r="P910" s="109" t="s">
        <v>58</v>
      </c>
      <c r="Q910" s="283" t="s">
        <v>123</v>
      </c>
      <c r="R910" s="283"/>
      <c r="S910" s="283"/>
      <c r="T910" s="109" t="s">
        <v>49</v>
      </c>
      <c r="U910" s="283"/>
      <c r="V910" s="283"/>
      <c r="W910" s="109" t="s">
        <v>54</v>
      </c>
      <c r="X910" s="109"/>
    </row>
    <row r="911" spans="1:24" ht="18.75" customHeight="1">
      <c r="A911" s="283" t="s">
        <v>82</v>
      </c>
      <c r="B911" s="283"/>
      <c r="C911" s="109"/>
      <c r="D911" s="109"/>
      <c r="E911" s="109"/>
      <c r="F911" s="109"/>
      <c r="G911" s="109"/>
      <c r="H911" s="109" t="s">
        <v>49</v>
      </c>
      <c r="I911" s="283"/>
      <c r="J911" s="283"/>
      <c r="K911" s="109" t="s">
        <v>54</v>
      </c>
      <c r="L911" s="109"/>
      <c r="M911" s="283" t="s">
        <v>82</v>
      </c>
      <c r="N911" s="283"/>
      <c r="O911" s="109"/>
      <c r="P911" s="109"/>
      <c r="Q911" s="109"/>
      <c r="R911" s="109"/>
      <c r="S911" s="109"/>
      <c r="T911" s="109" t="s">
        <v>49</v>
      </c>
      <c r="U911" s="283"/>
      <c r="V911" s="283"/>
      <c r="W911" s="109" t="s">
        <v>54</v>
      </c>
      <c r="X911" s="109"/>
    </row>
    <row r="912" spans="1:24" ht="18.75" customHeight="1">
      <c r="A912" s="109" t="s">
        <v>83</v>
      </c>
      <c r="B912" s="109" t="s">
        <v>49</v>
      </c>
      <c r="C912" s="109"/>
      <c r="D912" s="109"/>
      <c r="E912" s="109" t="s">
        <v>84</v>
      </c>
      <c r="F912" s="109"/>
      <c r="G912" s="109"/>
      <c r="H912" s="109" t="s">
        <v>49</v>
      </c>
      <c r="I912" s="283" t="e">
        <f>L909</f>
        <v>#DIV/0!</v>
      </c>
      <c r="J912" s="283"/>
      <c r="K912" s="109" t="s">
        <v>54</v>
      </c>
      <c r="L912" s="109"/>
      <c r="M912" s="109" t="s">
        <v>83</v>
      </c>
      <c r="N912" s="109" t="s">
        <v>49</v>
      </c>
      <c r="O912" s="109"/>
      <c r="P912" s="109"/>
      <c r="Q912" s="109" t="s">
        <v>84</v>
      </c>
      <c r="R912" s="109"/>
      <c r="S912" s="109"/>
      <c r="T912" s="109" t="s">
        <v>49</v>
      </c>
      <c r="U912" s="283" t="e">
        <f>X909</f>
        <v>#DIV/0!</v>
      </c>
      <c r="V912" s="283"/>
      <c r="W912" s="109" t="s">
        <v>54</v>
      </c>
      <c r="X912" s="109"/>
    </row>
    <row r="913" spans="1:24" ht="18.75" customHeight="1">
      <c r="A913" s="283" t="s">
        <v>85</v>
      </c>
      <c r="B913" s="283"/>
      <c r="C913" s="283"/>
      <c r="D913" s="283"/>
      <c r="E913" s="283"/>
      <c r="F913" s="283"/>
      <c r="G913" s="109" t="s">
        <v>49</v>
      </c>
      <c r="H913" s="283" t="e">
        <f>I900+I901+I902+I903+I904+I907+I911+I912</f>
        <v>#DIV/0!</v>
      </c>
      <c r="I913" s="283"/>
      <c r="J913" s="283"/>
      <c r="K913" s="109" t="s">
        <v>54</v>
      </c>
      <c r="M913" s="283" t="s">
        <v>85</v>
      </c>
      <c r="N913" s="283"/>
      <c r="O913" s="283"/>
      <c r="P913" s="283"/>
      <c r="Q913" s="283"/>
      <c r="R913" s="283"/>
      <c r="S913" s="109" t="s">
        <v>49</v>
      </c>
      <c r="T913" s="283" t="e">
        <f>U900+U901+U902+U903+U904+U907+U911+U912</f>
        <v>#DIV/0!</v>
      </c>
      <c r="U913" s="283"/>
      <c r="V913" s="283"/>
      <c r="W913" s="109" t="s">
        <v>54</v>
      </c>
    </row>
    <row r="914" spans="1:24" ht="18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</row>
    <row r="915" spans="1:24" ht="18.75" customHeight="1">
      <c r="A915" s="283" t="s">
        <v>86</v>
      </c>
      <c r="B915" s="283"/>
      <c r="C915" s="283"/>
      <c r="D915" s="283"/>
      <c r="E915" s="283"/>
      <c r="F915" s="283"/>
      <c r="G915" s="109"/>
      <c r="H915" s="109"/>
      <c r="I915" s="109"/>
      <c r="J915" s="109"/>
      <c r="K915" s="109"/>
      <c r="M915" s="283" t="s">
        <v>86</v>
      </c>
      <c r="N915" s="283"/>
      <c r="O915" s="283"/>
      <c r="P915" s="283"/>
      <c r="Q915" s="283"/>
      <c r="R915" s="283"/>
      <c r="S915" s="109"/>
      <c r="T915" s="109"/>
      <c r="U915" s="109"/>
      <c r="V915" s="109"/>
      <c r="W915" s="109"/>
    </row>
    <row r="916" spans="1:24" ht="18.75" customHeight="1">
      <c r="A916" s="283" t="s">
        <v>87</v>
      </c>
      <c r="B916" s="283"/>
      <c r="C916" s="283"/>
      <c r="D916" s="283"/>
      <c r="E916" s="283"/>
      <c r="F916" s="283"/>
      <c r="G916" s="109" t="s">
        <v>49</v>
      </c>
      <c r="H916" s="283">
        <f>IF(($L$1-(C900+C901+C902+C903))&gt;12,0,F897*8%)</f>
        <v>0</v>
      </c>
      <c r="I916" s="283"/>
      <c r="J916" s="283"/>
      <c r="K916" s="109" t="s">
        <v>54</v>
      </c>
      <c r="M916" s="283" t="s">
        <v>87</v>
      </c>
      <c r="N916" s="283"/>
      <c r="O916" s="283"/>
      <c r="P916" s="283"/>
      <c r="Q916" s="283"/>
      <c r="R916" s="283"/>
      <c r="S916" s="109" t="s">
        <v>49</v>
      </c>
      <c r="T916" s="283">
        <f>IF(($L$1-(O900+O901+O902+O903))&gt;12,0,R897*8%)</f>
        <v>0</v>
      </c>
      <c r="U916" s="283"/>
      <c r="V916" s="283"/>
      <c r="W916" s="109" t="s">
        <v>54</v>
      </c>
    </row>
    <row r="917" spans="1:24" ht="18.75" customHeight="1">
      <c r="A917" s="283" t="s">
        <v>88</v>
      </c>
      <c r="B917" s="283"/>
      <c r="C917" s="283"/>
      <c r="D917" s="283"/>
      <c r="E917" s="283"/>
      <c r="F917" s="283"/>
      <c r="G917" s="109" t="s">
        <v>49</v>
      </c>
      <c r="H917" s="283">
        <f>IF(($L$1-(C900+C901+C902+C903))&gt;12,0,F897*1.5%)</f>
        <v>0</v>
      </c>
      <c r="I917" s="283"/>
      <c r="J917" s="283"/>
      <c r="K917" s="109" t="s">
        <v>54</v>
      </c>
      <c r="M917" s="283" t="s">
        <v>88</v>
      </c>
      <c r="N917" s="283"/>
      <c r="O917" s="283"/>
      <c r="P917" s="283"/>
      <c r="Q917" s="283"/>
      <c r="R917" s="283"/>
      <c r="S917" s="109" t="s">
        <v>49</v>
      </c>
      <c r="T917" s="283">
        <f>IF(($L$1-(O900+O901+O902+O903))&gt;12,0,R897*1.5%)</f>
        <v>0</v>
      </c>
      <c r="U917" s="283"/>
      <c r="V917" s="283"/>
      <c r="W917" s="109" t="s">
        <v>54</v>
      </c>
    </row>
    <row r="918" spans="1:24" ht="18.75" customHeight="1">
      <c r="A918" s="283" t="s">
        <v>89</v>
      </c>
      <c r="B918" s="283"/>
      <c r="C918" s="283"/>
      <c r="D918" s="283"/>
      <c r="E918" s="283"/>
      <c r="F918" s="283"/>
      <c r="G918" s="109" t="s">
        <v>49</v>
      </c>
      <c r="H918" s="283">
        <f>IF(($L$1-(C900+C901+C902+C903))&gt;12,0,F897*1%)</f>
        <v>0</v>
      </c>
      <c r="I918" s="283"/>
      <c r="J918" s="283"/>
      <c r="K918" s="109" t="s">
        <v>54</v>
      </c>
      <c r="M918" s="283" t="s">
        <v>89</v>
      </c>
      <c r="N918" s="283"/>
      <c r="O918" s="283"/>
      <c r="P918" s="283"/>
      <c r="Q918" s="283"/>
      <c r="R918" s="283"/>
      <c r="S918" s="109" t="s">
        <v>49</v>
      </c>
      <c r="T918" s="283">
        <f>IF(($L$1-(O900+O901+O902+O903))&gt;12,0,R897*1%)</f>
        <v>0</v>
      </c>
      <c r="U918" s="283"/>
      <c r="V918" s="283"/>
      <c r="W918" s="109" t="s">
        <v>54</v>
      </c>
    </row>
    <row r="919" spans="1:24" ht="18.75" customHeight="1">
      <c r="A919" s="283" t="s">
        <v>90</v>
      </c>
      <c r="B919" s="283"/>
      <c r="C919" s="283"/>
      <c r="D919" s="283"/>
      <c r="E919" s="283"/>
      <c r="F919" s="283"/>
      <c r="G919" s="109" t="s">
        <v>49</v>
      </c>
      <c r="H919" s="283">
        <v>0</v>
      </c>
      <c r="I919" s="283"/>
      <c r="J919" s="283"/>
      <c r="K919" s="109" t="s">
        <v>54</v>
      </c>
      <c r="M919" s="283" t="s">
        <v>90</v>
      </c>
      <c r="N919" s="283"/>
      <c r="O919" s="283"/>
      <c r="P919" s="283"/>
      <c r="Q919" s="283"/>
      <c r="R919" s="283"/>
      <c r="S919" s="109" t="s">
        <v>49</v>
      </c>
      <c r="T919" s="283">
        <v>0</v>
      </c>
      <c r="U919" s="283"/>
      <c r="V919" s="283"/>
      <c r="W919" s="109" t="s">
        <v>54</v>
      </c>
    </row>
    <row r="920" spans="1:24" ht="18.75" customHeight="1">
      <c r="A920" s="283" t="s">
        <v>91</v>
      </c>
      <c r="B920" s="283"/>
      <c r="C920" s="283"/>
      <c r="D920" s="283"/>
      <c r="E920" s="283"/>
      <c r="F920" s="283"/>
      <c r="G920" s="109" t="s">
        <v>49</v>
      </c>
      <c r="H920" s="283">
        <f>SUM(H916:J919)</f>
        <v>0</v>
      </c>
      <c r="I920" s="283"/>
      <c r="J920" s="283"/>
      <c r="K920" s="109" t="s">
        <v>54</v>
      </c>
      <c r="M920" s="283" t="s">
        <v>91</v>
      </c>
      <c r="N920" s="283"/>
      <c r="O920" s="283"/>
      <c r="P920" s="283"/>
      <c r="Q920" s="283"/>
      <c r="R920" s="283"/>
      <c r="S920" s="109" t="s">
        <v>49</v>
      </c>
      <c r="T920" s="283">
        <f>SUM(T916:V919)</f>
        <v>0</v>
      </c>
      <c r="U920" s="283"/>
      <c r="V920" s="283"/>
      <c r="W920" s="109" t="s">
        <v>54</v>
      </c>
    </row>
    <row r="921" spans="1:24" ht="18.75" customHeight="1">
      <c r="A921" s="283" t="s">
        <v>92</v>
      </c>
      <c r="B921" s="283"/>
      <c r="C921" s="283"/>
      <c r="D921" s="283"/>
      <c r="E921" s="283"/>
      <c r="F921" s="283"/>
      <c r="G921" s="109" t="s">
        <v>49</v>
      </c>
      <c r="H921" s="283" t="e">
        <f>ROUND(H913-H920,-2)</f>
        <v>#DIV/0!</v>
      </c>
      <c r="I921" s="283"/>
      <c r="J921" s="283"/>
      <c r="K921" s="109" t="s">
        <v>54</v>
      </c>
      <c r="M921" s="283" t="s">
        <v>92</v>
      </c>
      <c r="N921" s="283"/>
      <c r="O921" s="283"/>
      <c r="P921" s="283"/>
      <c r="Q921" s="283"/>
      <c r="R921" s="283"/>
      <c r="S921" s="109" t="s">
        <v>49</v>
      </c>
      <c r="T921" s="283" t="e">
        <f>ROUND(T913-T920,-2)</f>
        <v>#DIV/0!</v>
      </c>
      <c r="U921" s="283"/>
      <c r="V921" s="283"/>
      <c r="W921" s="109" t="s">
        <v>54</v>
      </c>
    </row>
    <row r="922" spans="1:24" ht="18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</row>
    <row r="923" spans="1:24" ht="18.75" customHeight="1">
      <c r="A923" s="109"/>
      <c r="B923" s="109"/>
      <c r="C923" s="109"/>
      <c r="D923" s="109"/>
      <c r="E923" s="109"/>
      <c r="F923" s="109"/>
      <c r="G923" s="109"/>
      <c r="H923" s="109"/>
      <c r="I923" s="283" t="s">
        <v>93</v>
      </c>
      <c r="J923" s="283"/>
      <c r="K923" s="283"/>
      <c r="M923" s="109"/>
      <c r="N923" s="109"/>
      <c r="O923" s="109"/>
      <c r="P923" s="109"/>
      <c r="Q923" s="109"/>
      <c r="R923" s="109"/>
      <c r="S923" s="109"/>
      <c r="T923" s="109"/>
      <c r="U923" s="283" t="s">
        <v>93</v>
      </c>
      <c r="V923" s="283"/>
      <c r="W923" s="283"/>
    </row>
    <row r="924" spans="1:24" ht="18.75" customHeight="1">
      <c r="A924" s="109"/>
      <c r="B924" s="283"/>
      <c r="C924" s="283"/>
      <c r="D924" s="283"/>
      <c r="E924" s="283"/>
      <c r="F924" s="109"/>
      <c r="G924" s="109"/>
      <c r="H924" s="109"/>
      <c r="I924" s="109"/>
      <c r="J924" s="109"/>
      <c r="K924" s="109"/>
      <c r="M924" s="109"/>
      <c r="N924" s="283"/>
      <c r="O924" s="283"/>
      <c r="P924" s="283"/>
      <c r="Q924" s="283"/>
      <c r="R924" s="109"/>
      <c r="S924" s="109"/>
      <c r="T924" s="109"/>
      <c r="U924" s="109"/>
      <c r="V924" s="109"/>
      <c r="W924" s="109"/>
    </row>
    <row r="925" spans="1:24" ht="18.75" customHeight="1">
      <c r="A925" s="109"/>
      <c r="B925" s="109"/>
      <c r="C925" s="109"/>
      <c r="D925" s="109"/>
      <c r="E925" s="109"/>
      <c r="F925" s="109"/>
      <c r="G925" s="109"/>
      <c r="H925" s="109"/>
      <c r="I925" s="283" t="s">
        <v>94</v>
      </c>
      <c r="J925" s="283"/>
      <c r="K925" s="283"/>
      <c r="M925" s="109"/>
      <c r="N925" s="109"/>
      <c r="O925" s="109"/>
      <c r="P925" s="109"/>
      <c r="Q925" s="109"/>
      <c r="R925" s="109"/>
      <c r="S925" s="109"/>
      <c r="T925" s="109"/>
      <c r="U925" s="283" t="s">
        <v>94</v>
      </c>
      <c r="V925" s="283"/>
      <c r="W925" s="283"/>
    </row>
    <row r="927" spans="1:24" ht="18.75" customHeight="1">
      <c r="A927" s="283" t="s">
        <v>43</v>
      </c>
      <c r="B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109">
        <v>24</v>
      </c>
      <c r="M927" s="283" t="s">
        <v>43</v>
      </c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109">
        <v>24</v>
      </c>
    </row>
    <row r="928" spans="1:24" ht="18.75" customHeight="1">
      <c r="A928" s="109" t="s">
        <v>158</v>
      </c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M928" s="109" t="s">
        <v>159</v>
      </c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</row>
    <row r="929" spans="1:24" ht="18.75" customHeight="1">
      <c r="A929" s="283" t="s">
        <v>47</v>
      </c>
      <c r="B929" s="283"/>
      <c r="C929" s="283"/>
      <c r="D929" s="283"/>
      <c r="E929" s="283"/>
      <c r="F929" s="283"/>
      <c r="G929" s="283"/>
      <c r="H929" s="283"/>
      <c r="I929" s="283"/>
      <c r="J929" s="283"/>
      <c r="K929" s="283"/>
      <c r="M929" s="283" t="s">
        <v>47</v>
      </c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</row>
    <row r="930" spans="1:24" ht="18.75" customHeight="1">
      <c r="A930" s="283" t="s">
        <v>48</v>
      </c>
      <c r="B930" s="283"/>
      <c r="C930" s="283"/>
      <c r="D930" s="283"/>
      <c r="E930" s="109" t="s">
        <v>49</v>
      </c>
      <c r="F930" s="283"/>
      <c r="G930" s="283"/>
      <c r="H930" s="283"/>
      <c r="I930" s="283"/>
      <c r="J930" s="283"/>
      <c r="K930" s="283"/>
      <c r="M930" s="283" t="s">
        <v>48</v>
      </c>
      <c r="N930" s="283"/>
      <c r="O930" s="283"/>
      <c r="P930" s="283"/>
      <c r="Q930" s="109" t="s">
        <v>49</v>
      </c>
      <c r="R930" s="283"/>
      <c r="S930" s="283"/>
      <c r="T930" s="283"/>
      <c r="U930" s="283"/>
      <c r="V930" s="283"/>
      <c r="W930" s="283"/>
    </row>
    <row r="931" spans="1:24" ht="18.75" customHeight="1">
      <c r="A931" s="283" t="s">
        <v>50</v>
      </c>
      <c r="B931" s="283"/>
      <c r="C931" s="283"/>
      <c r="D931" s="283"/>
      <c r="E931" s="109" t="s">
        <v>49</v>
      </c>
      <c r="F931" s="283"/>
      <c r="G931" s="283"/>
      <c r="H931" s="283"/>
      <c r="I931" s="283"/>
      <c r="J931" s="283"/>
      <c r="K931" s="283"/>
      <c r="M931" s="283" t="s">
        <v>50</v>
      </c>
      <c r="N931" s="283"/>
      <c r="O931" s="283"/>
      <c r="P931" s="283"/>
      <c r="Q931" s="109" t="s">
        <v>49</v>
      </c>
      <c r="R931" s="283"/>
      <c r="S931" s="283"/>
      <c r="T931" s="283"/>
      <c r="U931" s="283"/>
      <c r="V931" s="283"/>
      <c r="W931" s="283"/>
    </row>
    <row r="932" spans="1:24" ht="18.75" customHeight="1">
      <c r="A932" s="283" t="s">
        <v>51</v>
      </c>
      <c r="B932" s="283"/>
      <c r="C932" s="283"/>
      <c r="D932" s="283"/>
      <c r="E932" s="109" t="s">
        <v>49</v>
      </c>
      <c r="F932" s="283" t="s">
        <v>121</v>
      </c>
      <c r="G932" s="283"/>
      <c r="H932" s="283"/>
      <c r="I932" s="283"/>
      <c r="J932" s="283"/>
      <c r="K932" s="283"/>
      <c r="M932" s="283" t="s">
        <v>51</v>
      </c>
      <c r="N932" s="283"/>
      <c r="O932" s="283"/>
      <c r="P932" s="283"/>
      <c r="Q932" s="109" t="s">
        <v>49</v>
      </c>
      <c r="R932" s="283" t="s">
        <v>121</v>
      </c>
      <c r="S932" s="283"/>
      <c r="T932" s="283"/>
      <c r="U932" s="283"/>
      <c r="V932" s="283"/>
      <c r="W932" s="283"/>
    </row>
    <row r="933" spans="1:24" ht="18.75" customHeight="1">
      <c r="A933" s="283" t="s">
        <v>52</v>
      </c>
      <c r="B933" s="283"/>
      <c r="C933" s="283"/>
      <c r="D933" s="283"/>
      <c r="E933" s="283"/>
      <c r="F933" s="283"/>
      <c r="G933" s="283"/>
      <c r="H933" s="283"/>
      <c r="I933" s="283"/>
      <c r="J933" s="283"/>
      <c r="K933" s="283"/>
      <c r="M933" s="283" t="s">
        <v>52</v>
      </c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</row>
    <row r="934" spans="1:24" ht="18.75" customHeight="1">
      <c r="A934" s="283" t="s">
        <v>53</v>
      </c>
      <c r="B934" s="283"/>
      <c r="C934" s="283"/>
      <c r="D934" s="283"/>
      <c r="E934" s="109" t="s">
        <v>49</v>
      </c>
      <c r="F934" s="283">
        <v>2915400</v>
      </c>
      <c r="G934" s="283"/>
      <c r="H934" s="283"/>
      <c r="I934" s="283"/>
      <c r="J934" s="109" t="s">
        <v>54</v>
      </c>
      <c r="K934" s="109"/>
      <c r="M934" s="283" t="s">
        <v>53</v>
      </c>
      <c r="N934" s="283"/>
      <c r="O934" s="283"/>
      <c r="P934" s="283"/>
      <c r="Q934" s="109" t="s">
        <v>49</v>
      </c>
      <c r="R934" s="283">
        <v>2915400</v>
      </c>
      <c r="S934" s="283"/>
      <c r="T934" s="283"/>
      <c r="U934" s="283"/>
      <c r="V934" s="109" t="s">
        <v>54</v>
      </c>
      <c r="W934" s="109"/>
    </row>
    <row r="935" spans="1:24" ht="18.75" customHeight="1">
      <c r="A935" s="109" t="s">
        <v>55</v>
      </c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M935" s="109" t="s">
        <v>55</v>
      </c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</row>
    <row r="936" spans="1:24" ht="18.75" customHeight="1">
      <c r="A936" s="109" t="s">
        <v>56</v>
      </c>
      <c r="B936" s="109"/>
      <c r="C936" s="109"/>
      <c r="D936" s="109"/>
      <c r="E936" s="109"/>
      <c r="F936" s="109"/>
      <c r="G936" s="109"/>
      <c r="H936" s="109"/>
      <c r="I936" s="109" t="e">
        <f>I937/C937/8</f>
        <v>#DIV/0!</v>
      </c>
      <c r="J936" s="109"/>
      <c r="K936" s="109"/>
      <c r="M936" s="109" t="s">
        <v>56</v>
      </c>
      <c r="N936" s="109"/>
      <c r="O936" s="109"/>
      <c r="P936" s="109"/>
      <c r="Q936" s="109"/>
      <c r="R936" s="109"/>
      <c r="S936" s="109"/>
      <c r="T936" s="109"/>
      <c r="U936" s="109" t="e">
        <f>U937/O937/8</f>
        <v>#DIV/0!</v>
      </c>
      <c r="V936" s="109"/>
      <c r="W936" s="109"/>
    </row>
    <row r="937" spans="1:24" ht="18.75" customHeight="1">
      <c r="A937" s="109" t="s">
        <v>57</v>
      </c>
      <c r="B937" s="109" t="s">
        <v>49</v>
      </c>
      <c r="C937" s="109"/>
      <c r="D937" s="109" t="s">
        <v>58</v>
      </c>
      <c r="E937" s="283" t="s">
        <v>59</v>
      </c>
      <c r="F937" s="283"/>
      <c r="G937" s="283"/>
      <c r="H937" s="109" t="s">
        <v>49</v>
      </c>
      <c r="I937" s="283" t="e">
        <f>I935*680/((C937-C944)*8+C944*7+C941)*((C937-C944)*8+C944*7)</f>
        <v>#DIV/0!</v>
      </c>
      <c r="J937" s="283"/>
      <c r="K937" s="109" t="s">
        <v>54</v>
      </c>
      <c r="L937" s="109">
        <f>F934/L927*C937</f>
        <v>0</v>
      </c>
      <c r="M937" s="109" t="s">
        <v>57</v>
      </c>
      <c r="N937" s="109" t="s">
        <v>49</v>
      </c>
      <c r="O937" s="109"/>
      <c r="P937" s="109" t="s">
        <v>58</v>
      </c>
      <c r="Q937" s="283" t="s">
        <v>59</v>
      </c>
      <c r="R937" s="283"/>
      <c r="S937" s="283"/>
      <c r="T937" s="109" t="s">
        <v>49</v>
      </c>
      <c r="U937" s="283" t="e">
        <f>U935*680/((O937-O944)*8+O944*7+O941)*((O937-O944)*8+O944*7)</f>
        <v>#DIV/0!</v>
      </c>
      <c r="V937" s="283"/>
      <c r="W937" s="109" t="s">
        <v>54</v>
      </c>
      <c r="X937" s="109">
        <f>R934/X927*O937</f>
        <v>0</v>
      </c>
    </row>
    <row r="938" spans="1:24" ht="18.75" customHeight="1">
      <c r="A938" s="109" t="s">
        <v>60</v>
      </c>
      <c r="B938" s="109" t="s">
        <v>49</v>
      </c>
      <c r="C938" s="109"/>
      <c r="D938" s="109" t="s">
        <v>58</v>
      </c>
      <c r="E938" s="283" t="s">
        <v>61</v>
      </c>
      <c r="F938" s="283"/>
      <c r="G938" s="283"/>
      <c r="H938" s="109" t="s">
        <v>49</v>
      </c>
      <c r="I938" s="283">
        <f>$F$8/$L$1*C938</f>
        <v>0</v>
      </c>
      <c r="J938" s="283"/>
      <c r="K938" s="109" t="s">
        <v>54</v>
      </c>
      <c r="L938" s="109"/>
      <c r="M938" s="109" t="s">
        <v>60</v>
      </c>
      <c r="N938" s="109" t="s">
        <v>49</v>
      </c>
      <c r="O938" s="109"/>
      <c r="P938" s="109" t="s">
        <v>58</v>
      </c>
      <c r="Q938" s="283" t="s">
        <v>61</v>
      </c>
      <c r="R938" s="283"/>
      <c r="S938" s="283"/>
      <c r="T938" s="109" t="s">
        <v>49</v>
      </c>
      <c r="U938" s="283">
        <f>$F$8/$L$1*O938</f>
        <v>0</v>
      </c>
      <c r="V938" s="283"/>
      <c r="W938" s="109" t="s">
        <v>54</v>
      </c>
      <c r="X938" s="109"/>
    </row>
    <row r="939" spans="1:24" ht="18.75" customHeight="1">
      <c r="A939" s="109" t="s">
        <v>62</v>
      </c>
      <c r="B939" s="109" t="s">
        <v>49</v>
      </c>
      <c r="C939" s="109"/>
      <c r="D939" s="109" t="s">
        <v>58</v>
      </c>
      <c r="E939" s="283" t="s">
        <v>63</v>
      </c>
      <c r="F939" s="283"/>
      <c r="G939" s="283"/>
      <c r="H939" s="109" t="s">
        <v>49</v>
      </c>
      <c r="I939" s="283">
        <f>$F$8/$L$1*C939</f>
        <v>0</v>
      </c>
      <c r="J939" s="283"/>
      <c r="K939" s="109" t="s">
        <v>54</v>
      </c>
      <c r="L939" s="109"/>
      <c r="M939" s="109" t="s">
        <v>62</v>
      </c>
      <c r="N939" s="109" t="s">
        <v>49</v>
      </c>
      <c r="O939" s="109"/>
      <c r="P939" s="109" t="s">
        <v>58</v>
      </c>
      <c r="Q939" s="283" t="s">
        <v>63</v>
      </c>
      <c r="R939" s="283"/>
      <c r="S939" s="283"/>
      <c r="T939" s="109" t="s">
        <v>49</v>
      </c>
      <c r="U939" s="283">
        <f>$F$8/$L$1*O939</f>
        <v>0</v>
      </c>
      <c r="V939" s="283"/>
      <c r="W939" s="109" t="s">
        <v>54</v>
      </c>
      <c r="X939" s="109"/>
    </row>
    <row r="940" spans="1:24" ht="18.75" customHeight="1">
      <c r="A940" s="109" t="s">
        <v>64</v>
      </c>
      <c r="B940" s="109" t="s">
        <v>49</v>
      </c>
      <c r="C940" s="109"/>
      <c r="D940" s="109" t="s">
        <v>58</v>
      </c>
      <c r="E940" s="283" t="s">
        <v>65</v>
      </c>
      <c r="F940" s="283"/>
      <c r="G940" s="283"/>
      <c r="H940" s="109" t="s">
        <v>49</v>
      </c>
      <c r="I940" s="283">
        <f>$F$8/$L$1*C940</f>
        <v>0</v>
      </c>
      <c r="J940" s="283"/>
      <c r="K940" s="109" t="s">
        <v>54</v>
      </c>
      <c r="L940" s="109"/>
      <c r="M940" s="109" t="s">
        <v>64</v>
      </c>
      <c r="N940" s="109" t="s">
        <v>49</v>
      </c>
      <c r="O940" s="109"/>
      <c r="P940" s="109" t="s">
        <v>58</v>
      </c>
      <c r="Q940" s="283" t="s">
        <v>65</v>
      </c>
      <c r="R940" s="283"/>
      <c r="S940" s="283"/>
      <c r="T940" s="109" t="s">
        <v>49</v>
      </c>
      <c r="U940" s="283">
        <f>$F$8/$L$1*O940</f>
        <v>0</v>
      </c>
      <c r="V940" s="283"/>
      <c r="W940" s="109" t="s">
        <v>54</v>
      </c>
      <c r="X940" s="109"/>
    </row>
    <row r="941" spans="1:24" ht="18.75" customHeight="1">
      <c r="A941" s="109" t="s">
        <v>66</v>
      </c>
      <c r="B941" s="109" t="s">
        <v>49</v>
      </c>
      <c r="C941" s="109"/>
      <c r="D941" s="109" t="s">
        <v>67</v>
      </c>
      <c r="E941" s="283" t="s">
        <v>68</v>
      </c>
      <c r="F941" s="283"/>
      <c r="G941" s="283"/>
      <c r="H941" s="109" t="s">
        <v>49</v>
      </c>
      <c r="I941" s="283" t="e">
        <f>I937/C937/8*C941</f>
        <v>#DIV/0!</v>
      </c>
      <c r="J941" s="283"/>
      <c r="K941" s="109" t="s">
        <v>54</v>
      </c>
      <c r="L941" s="109">
        <f>F934*C941/L927/8*1.5</f>
        <v>0</v>
      </c>
      <c r="M941" s="109" t="s">
        <v>66</v>
      </c>
      <c r="N941" s="109" t="s">
        <v>49</v>
      </c>
      <c r="O941" s="109"/>
      <c r="P941" s="109" t="s">
        <v>67</v>
      </c>
      <c r="Q941" s="283" t="s">
        <v>68</v>
      </c>
      <c r="R941" s="283"/>
      <c r="S941" s="283"/>
      <c r="T941" s="109" t="s">
        <v>49</v>
      </c>
      <c r="U941" s="283" t="e">
        <f>U937/O937/8*O941</f>
        <v>#DIV/0!</v>
      </c>
      <c r="V941" s="283"/>
      <c r="W941" s="109" t="s">
        <v>54</v>
      </c>
      <c r="X941" s="109">
        <f>R934*O941/X927/8*1.5</f>
        <v>0</v>
      </c>
    </row>
    <row r="942" spans="1:24" ht="18.75" customHeight="1">
      <c r="A942" s="283" t="s">
        <v>69</v>
      </c>
      <c r="B942" s="283"/>
      <c r="C942" s="109"/>
      <c r="D942" s="109" t="s">
        <v>58</v>
      </c>
      <c r="E942" s="283" t="s">
        <v>70</v>
      </c>
      <c r="F942" s="283"/>
      <c r="G942" s="283"/>
      <c r="H942" s="109" t="s">
        <v>49</v>
      </c>
      <c r="I942" s="283"/>
      <c r="J942" s="283"/>
      <c r="K942" s="109" t="s">
        <v>54</v>
      </c>
      <c r="L942" s="109"/>
      <c r="M942" s="283" t="s">
        <v>69</v>
      </c>
      <c r="N942" s="283"/>
      <c r="O942" s="109"/>
      <c r="P942" s="109" t="s">
        <v>58</v>
      </c>
      <c r="Q942" s="283" t="s">
        <v>70</v>
      </c>
      <c r="R942" s="283"/>
      <c r="S942" s="283"/>
      <c r="T942" s="109" t="s">
        <v>49</v>
      </c>
      <c r="U942" s="283"/>
      <c r="V942" s="283"/>
      <c r="W942" s="109" t="s">
        <v>54</v>
      </c>
      <c r="X942" s="109"/>
    </row>
    <row r="943" spans="1:24" ht="18.75" customHeight="1">
      <c r="A943" s="109" t="s">
        <v>71</v>
      </c>
      <c r="B943" s="109" t="s">
        <v>49</v>
      </c>
      <c r="C943" s="109"/>
      <c r="D943" s="109" t="s">
        <v>58</v>
      </c>
      <c r="E943" s="283" t="s">
        <v>72</v>
      </c>
      <c r="F943" s="283"/>
      <c r="G943" s="283"/>
      <c r="H943" s="109" t="s">
        <v>49</v>
      </c>
      <c r="I943" s="283"/>
      <c r="J943" s="283"/>
      <c r="K943" s="109" t="s">
        <v>54</v>
      </c>
      <c r="L943" s="109"/>
      <c r="M943" s="109" t="s">
        <v>71</v>
      </c>
      <c r="N943" s="109" t="s">
        <v>49</v>
      </c>
      <c r="O943" s="109"/>
      <c r="P943" s="109" t="s">
        <v>58</v>
      </c>
      <c r="Q943" s="283" t="s">
        <v>72</v>
      </c>
      <c r="R943" s="283"/>
      <c r="S943" s="283"/>
      <c r="T943" s="109" t="s">
        <v>49</v>
      </c>
      <c r="U943" s="283"/>
      <c r="V943" s="283"/>
      <c r="W943" s="109" t="s">
        <v>54</v>
      </c>
      <c r="X943" s="109"/>
    </row>
    <row r="944" spans="1:24" ht="18.75" customHeight="1">
      <c r="A944" s="109" t="s">
        <v>73</v>
      </c>
      <c r="B944" s="109"/>
      <c r="C944" s="109"/>
      <c r="D944" s="109" t="s">
        <v>67</v>
      </c>
      <c r="E944" s="283" t="s">
        <v>74</v>
      </c>
      <c r="F944" s="283"/>
      <c r="G944" s="283"/>
      <c r="H944" s="109" t="s">
        <v>49</v>
      </c>
      <c r="I944" s="283">
        <f>$F$8*C944/8/$L$1</f>
        <v>0</v>
      </c>
      <c r="J944" s="283"/>
      <c r="K944" s="109" t="s">
        <v>54</v>
      </c>
      <c r="L944" s="109"/>
      <c r="M944" s="109" t="s">
        <v>73</v>
      </c>
      <c r="N944" s="109"/>
      <c r="O944" s="109"/>
      <c r="P944" s="109" t="s">
        <v>67</v>
      </c>
      <c r="Q944" s="283" t="s">
        <v>74</v>
      </c>
      <c r="R944" s="283"/>
      <c r="S944" s="283"/>
      <c r="T944" s="109" t="s">
        <v>49</v>
      </c>
      <c r="U944" s="283">
        <f>$F$8*O944/8/$L$1</f>
        <v>0</v>
      </c>
      <c r="V944" s="283"/>
      <c r="W944" s="109" t="s">
        <v>54</v>
      </c>
      <c r="X944" s="109"/>
    </row>
    <row r="945" spans="1:24" ht="18.75" customHeight="1">
      <c r="A945" s="109" t="s">
        <v>75</v>
      </c>
      <c r="B945" s="109" t="s">
        <v>49</v>
      </c>
      <c r="C945" s="109"/>
      <c r="D945" s="109" t="s">
        <v>67</v>
      </c>
      <c r="E945" s="283" t="s">
        <v>97</v>
      </c>
      <c r="F945" s="283"/>
      <c r="G945" s="283"/>
      <c r="H945" s="109" t="s">
        <v>49</v>
      </c>
      <c r="I945" s="283"/>
      <c r="J945" s="283"/>
      <c r="K945" s="109" t="s">
        <v>54</v>
      </c>
      <c r="L945" s="109"/>
      <c r="M945" s="109" t="s">
        <v>75</v>
      </c>
      <c r="N945" s="109" t="s">
        <v>49</v>
      </c>
      <c r="O945" s="109"/>
      <c r="P945" s="109" t="s">
        <v>67</v>
      </c>
      <c r="Q945" s="283" t="s">
        <v>97</v>
      </c>
      <c r="R945" s="283"/>
      <c r="S945" s="283"/>
      <c r="T945" s="109" t="s">
        <v>49</v>
      </c>
      <c r="U945" s="283"/>
      <c r="V945" s="283"/>
      <c r="W945" s="109" t="s">
        <v>54</v>
      </c>
      <c r="X945" s="109"/>
    </row>
    <row r="946" spans="1:24" ht="18.75" customHeight="1">
      <c r="A946" s="109" t="s">
        <v>77</v>
      </c>
      <c r="B946" s="109" t="s">
        <v>49</v>
      </c>
      <c r="C946" s="109"/>
      <c r="D946" s="109" t="s">
        <v>78</v>
      </c>
      <c r="E946" s="109" t="s">
        <v>79</v>
      </c>
      <c r="F946" s="109"/>
      <c r="G946" s="109"/>
      <c r="H946" s="109" t="s">
        <v>49</v>
      </c>
      <c r="I946" s="283"/>
      <c r="J946" s="283"/>
      <c r="K946" s="109" t="s">
        <v>54</v>
      </c>
      <c r="L946" s="109" t="e">
        <f>+IF(L937-I937&lt;0,0,L937-I937)+IF(L941-I941&lt;0,0,L941-I941)</f>
        <v>#DIV/0!</v>
      </c>
      <c r="M946" s="109" t="s">
        <v>77</v>
      </c>
      <c r="N946" s="109" t="s">
        <v>49</v>
      </c>
      <c r="O946" s="109"/>
      <c r="P946" s="109" t="s">
        <v>78</v>
      </c>
      <c r="Q946" s="109" t="s">
        <v>79</v>
      </c>
      <c r="R946" s="109"/>
      <c r="S946" s="109"/>
      <c r="T946" s="109" t="s">
        <v>49</v>
      </c>
      <c r="U946" s="283"/>
      <c r="V946" s="283"/>
      <c r="W946" s="109" t="s">
        <v>54</v>
      </c>
      <c r="X946" s="109" t="e">
        <f>+IF(X937-U937&lt;0,0,X937-U937)+IF(X941-U941&lt;0,0,X941-U941)</f>
        <v>#DIV/0!</v>
      </c>
    </row>
    <row r="947" spans="1:24" ht="18.75" customHeight="1">
      <c r="A947" s="109" t="s">
        <v>122</v>
      </c>
      <c r="B947" s="109"/>
      <c r="C947" s="109"/>
      <c r="D947" s="109" t="s">
        <v>58</v>
      </c>
      <c r="E947" s="283" t="s">
        <v>123</v>
      </c>
      <c r="F947" s="283"/>
      <c r="G947" s="283"/>
      <c r="H947" s="109" t="s">
        <v>49</v>
      </c>
      <c r="I947" s="283"/>
      <c r="J947" s="283"/>
      <c r="K947" s="109" t="s">
        <v>54</v>
      </c>
      <c r="L947" s="109"/>
      <c r="M947" s="109" t="s">
        <v>122</v>
      </c>
      <c r="N947" s="109"/>
      <c r="O947" s="109"/>
      <c r="P947" s="109" t="s">
        <v>58</v>
      </c>
      <c r="Q947" s="283" t="s">
        <v>123</v>
      </c>
      <c r="R947" s="283"/>
      <c r="S947" s="283"/>
      <c r="T947" s="109" t="s">
        <v>49</v>
      </c>
      <c r="U947" s="283"/>
      <c r="V947" s="283"/>
      <c r="W947" s="109" t="s">
        <v>54</v>
      </c>
      <c r="X947" s="109"/>
    </row>
    <row r="948" spans="1:24" ht="18.75" customHeight="1">
      <c r="A948" s="283" t="s">
        <v>82</v>
      </c>
      <c r="B948" s="283"/>
      <c r="C948" s="109"/>
      <c r="D948" s="109"/>
      <c r="E948" s="109"/>
      <c r="F948" s="109"/>
      <c r="G948" s="109"/>
      <c r="H948" s="109" t="s">
        <v>49</v>
      </c>
      <c r="I948" s="283"/>
      <c r="J948" s="283"/>
      <c r="K948" s="109" t="s">
        <v>54</v>
      </c>
      <c r="L948" s="109"/>
      <c r="M948" s="283" t="s">
        <v>82</v>
      </c>
      <c r="N948" s="283"/>
      <c r="O948" s="109"/>
      <c r="P948" s="109"/>
      <c r="Q948" s="109"/>
      <c r="R948" s="109"/>
      <c r="S948" s="109"/>
      <c r="T948" s="109" t="s">
        <v>49</v>
      </c>
      <c r="U948" s="283"/>
      <c r="V948" s="283"/>
      <c r="W948" s="109" t="s">
        <v>54</v>
      </c>
      <c r="X948" s="109"/>
    </row>
    <row r="949" spans="1:24" ht="18.75" customHeight="1">
      <c r="A949" s="109" t="s">
        <v>83</v>
      </c>
      <c r="B949" s="109" t="s">
        <v>49</v>
      </c>
      <c r="C949" s="109"/>
      <c r="D949" s="109"/>
      <c r="E949" s="109" t="s">
        <v>84</v>
      </c>
      <c r="F949" s="109"/>
      <c r="G949" s="109"/>
      <c r="H949" s="109" t="s">
        <v>49</v>
      </c>
      <c r="I949" s="283" t="e">
        <f>L946</f>
        <v>#DIV/0!</v>
      </c>
      <c r="J949" s="283"/>
      <c r="K949" s="109" t="s">
        <v>54</v>
      </c>
      <c r="L949" s="109"/>
      <c r="M949" s="109" t="s">
        <v>83</v>
      </c>
      <c r="N949" s="109" t="s">
        <v>49</v>
      </c>
      <c r="O949" s="109"/>
      <c r="P949" s="109"/>
      <c r="Q949" s="109" t="s">
        <v>84</v>
      </c>
      <c r="R949" s="109"/>
      <c r="S949" s="109"/>
      <c r="T949" s="109" t="s">
        <v>49</v>
      </c>
      <c r="U949" s="283" t="e">
        <f>X946</f>
        <v>#DIV/0!</v>
      </c>
      <c r="V949" s="283"/>
      <c r="W949" s="109" t="s">
        <v>54</v>
      </c>
      <c r="X949" s="109"/>
    </row>
    <row r="950" spans="1:24" ht="18.75" customHeight="1">
      <c r="A950" s="283" t="s">
        <v>85</v>
      </c>
      <c r="B950" s="283"/>
      <c r="C950" s="283"/>
      <c r="D950" s="283"/>
      <c r="E950" s="283"/>
      <c r="F950" s="283"/>
      <c r="G950" s="109" t="s">
        <v>49</v>
      </c>
      <c r="H950" s="283" t="e">
        <f>I937+I938+I939+I940+I941+I944+I948+I949</f>
        <v>#DIV/0!</v>
      </c>
      <c r="I950" s="283"/>
      <c r="J950" s="283"/>
      <c r="K950" s="109" t="s">
        <v>54</v>
      </c>
      <c r="M950" s="283" t="s">
        <v>85</v>
      </c>
      <c r="N950" s="283"/>
      <c r="O950" s="283"/>
      <c r="P950" s="283"/>
      <c r="Q950" s="283"/>
      <c r="R950" s="283"/>
      <c r="S950" s="109" t="s">
        <v>49</v>
      </c>
      <c r="T950" s="283" t="e">
        <f>U937+U938+U939+U940+U941+U944+U948+U949</f>
        <v>#DIV/0!</v>
      </c>
      <c r="U950" s="283"/>
      <c r="V950" s="283"/>
      <c r="W950" s="109" t="s">
        <v>54</v>
      </c>
    </row>
    <row r="951" spans="1:24" ht="18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</row>
    <row r="952" spans="1:24" ht="18.75" customHeight="1">
      <c r="A952" s="283" t="s">
        <v>86</v>
      </c>
      <c r="B952" s="283"/>
      <c r="C952" s="283"/>
      <c r="D952" s="283"/>
      <c r="E952" s="283"/>
      <c r="F952" s="283"/>
      <c r="G952" s="109"/>
      <c r="H952" s="109"/>
      <c r="I952" s="109"/>
      <c r="J952" s="109"/>
      <c r="K952" s="109"/>
      <c r="M952" s="283" t="s">
        <v>86</v>
      </c>
      <c r="N952" s="283"/>
      <c r="O952" s="283"/>
      <c r="P952" s="283"/>
      <c r="Q952" s="283"/>
      <c r="R952" s="283"/>
      <c r="S952" s="109"/>
      <c r="T952" s="109"/>
      <c r="U952" s="109"/>
      <c r="V952" s="109"/>
      <c r="W952" s="109"/>
    </row>
    <row r="953" spans="1:24" ht="18.75" customHeight="1">
      <c r="A953" s="283" t="s">
        <v>87</v>
      </c>
      <c r="B953" s="283"/>
      <c r="C953" s="283"/>
      <c r="D953" s="283"/>
      <c r="E953" s="283"/>
      <c r="F953" s="283"/>
      <c r="G953" s="109" t="s">
        <v>49</v>
      </c>
      <c r="H953" s="283">
        <f>IF(($L$1-(C937+C938+C939+C940))&gt;12,0,F934*8%)</f>
        <v>0</v>
      </c>
      <c r="I953" s="283"/>
      <c r="J953" s="283"/>
      <c r="K953" s="109" t="s">
        <v>54</v>
      </c>
      <c r="M953" s="283" t="s">
        <v>87</v>
      </c>
      <c r="N953" s="283"/>
      <c r="O953" s="283"/>
      <c r="P953" s="283"/>
      <c r="Q953" s="283"/>
      <c r="R953" s="283"/>
      <c r="S953" s="109" t="s">
        <v>49</v>
      </c>
      <c r="T953" s="283">
        <f>IF(($L$1-(O937+O938+O939+O940))&gt;12,0,R934*8%)</f>
        <v>0</v>
      </c>
      <c r="U953" s="283"/>
      <c r="V953" s="283"/>
      <c r="W953" s="109" t="s">
        <v>54</v>
      </c>
    </row>
    <row r="954" spans="1:24" ht="18.75" customHeight="1">
      <c r="A954" s="283" t="s">
        <v>88</v>
      </c>
      <c r="B954" s="283"/>
      <c r="C954" s="283"/>
      <c r="D954" s="283"/>
      <c r="E954" s="283"/>
      <c r="F954" s="283"/>
      <c r="G954" s="109" t="s">
        <v>49</v>
      </c>
      <c r="H954" s="283">
        <f>IF(($L$1-(C937+C938+C939+C940))&gt;12,0,F934*1.5%)</f>
        <v>0</v>
      </c>
      <c r="I954" s="283"/>
      <c r="J954" s="283"/>
      <c r="K954" s="109" t="s">
        <v>54</v>
      </c>
      <c r="M954" s="283" t="s">
        <v>88</v>
      </c>
      <c r="N954" s="283"/>
      <c r="O954" s="283"/>
      <c r="P954" s="283"/>
      <c r="Q954" s="283"/>
      <c r="R954" s="283"/>
      <c r="S954" s="109" t="s">
        <v>49</v>
      </c>
      <c r="T954" s="283">
        <f>IF(($L$1-(O937+O938+O939+O940))&gt;12,0,R934*1.5%)</f>
        <v>0</v>
      </c>
      <c r="U954" s="283"/>
      <c r="V954" s="283"/>
      <c r="W954" s="109" t="s">
        <v>54</v>
      </c>
    </row>
    <row r="955" spans="1:24" ht="18.75" customHeight="1">
      <c r="A955" s="283" t="s">
        <v>89</v>
      </c>
      <c r="B955" s="283"/>
      <c r="C955" s="283"/>
      <c r="D955" s="283"/>
      <c r="E955" s="283"/>
      <c r="F955" s="283"/>
      <c r="G955" s="109" t="s">
        <v>49</v>
      </c>
      <c r="H955" s="283">
        <f>IF(($L$1-(C937+C938+C939+C940))&gt;12,0,F934*1%)</f>
        <v>0</v>
      </c>
      <c r="I955" s="283"/>
      <c r="J955" s="283"/>
      <c r="K955" s="109" t="s">
        <v>54</v>
      </c>
      <c r="M955" s="283" t="s">
        <v>89</v>
      </c>
      <c r="N955" s="283"/>
      <c r="O955" s="283"/>
      <c r="P955" s="283"/>
      <c r="Q955" s="283"/>
      <c r="R955" s="283"/>
      <c r="S955" s="109" t="s">
        <v>49</v>
      </c>
      <c r="T955" s="283">
        <f>IF(($L$1-(O937+O938+O939+O940))&gt;12,0,R934*1%)</f>
        <v>0</v>
      </c>
      <c r="U955" s="283"/>
      <c r="V955" s="283"/>
      <c r="W955" s="109" t="s">
        <v>54</v>
      </c>
    </row>
    <row r="956" spans="1:24" ht="18.75" customHeight="1">
      <c r="A956" s="283" t="s">
        <v>90</v>
      </c>
      <c r="B956" s="283"/>
      <c r="C956" s="283"/>
      <c r="D956" s="283"/>
      <c r="E956" s="283"/>
      <c r="F956" s="283"/>
      <c r="G956" s="109" t="s">
        <v>49</v>
      </c>
      <c r="H956" s="283">
        <v>0</v>
      </c>
      <c r="I956" s="283"/>
      <c r="J956" s="283"/>
      <c r="K956" s="109" t="s">
        <v>54</v>
      </c>
      <c r="M956" s="283" t="s">
        <v>90</v>
      </c>
      <c r="N956" s="283"/>
      <c r="O956" s="283"/>
      <c r="P956" s="283"/>
      <c r="Q956" s="283"/>
      <c r="R956" s="283"/>
      <c r="S956" s="109" t="s">
        <v>49</v>
      </c>
      <c r="T956" s="283">
        <v>0</v>
      </c>
      <c r="U956" s="283"/>
      <c r="V956" s="283"/>
      <c r="W956" s="109" t="s">
        <v>54</v>
      </c>
    </row>
    <row r="957" spans="1:24" ht="18.75" customHeight="1">
      <c r="A957" s="283" t="s">
        <v>91</v>
      </c>
      <c r="B957" s="283"/>
      <c r="C957" s="283"/>
      <c r="D957" s="283"/>
      <c r="E957" s="283"/>
      <c r="F957" s="283"/>
      <c r="G957" s="109" t="s">
        <v>49</v>
      </c>
      <c r="H957" s="283">
        <f>SUM(H953:J956)</f>
        <v>0</v>
      </c>
      <c r="I957" s="283"/>
      <c r="J957" s="283"/>
      <c r="K957" s="109" t="s">
        <v>54</v>
      </c>
      <c r="M957" s="283" t="s">
        <v>91</v>
      </c>
      <c r="N957" s="283"/>
      <c r="O957" s="283"/>
      <c r="P957" s="283"/>
      <c r="Q957" s="283"/>
      <c r="R957" s="283"/>
      <c r="S957" s="109" t="s">
        <v>49</v>
      </c>
      <c r="T957" s="283">
        <f>SUM(T953:V956)</f>
        <v>0</v>
      </c>
      <c r="U957" s="283"/>
      <c r="V957" s="283"/>
      <c r="W957" s="109" t="s">
        <v>54</v>
      </c>
    </row>
    <row r="958" spans="1:24" ht="18.75" customHeight="1">
      <c r="A958" s="283" t="s">
        <v>92</v>
      </c>
      <c r="B958" s="283"/>
      <c r="C958" s="283"/>
      <c r="D958" s="283"/>
      <c r="E958" s="283"/>
      <c r="F958" s="283"/>
      <c r="G958" s="109" t="s">
        <v>49</v>
      </c>
      <c r="H958" s="283" t="e">
        <f>ROUND(H950-H957,-2)</f>
        <v>#DIV/0!</v>
      </c>
      <c r="I958" s="283"/>
      <c r="J958" s="283"/>
      <c r="K958" s="109" t="s">
        <v>54</v>
      </c>
      <c r="M958" s="283" t="s">
        <v>92</v>
      </c>
      <c r="N958" s="283"/>
      <c r="O958" s="283"/>
      <c r="P958" s="283"/>
      <c r="Q958" s="283"/>
      <c r="R958" s="283"/>
      <c r="S958" s="109" t="s">
        <v>49</v>
      </c>
      <c r="T958" s="283" t="e">
        <f>ROUND(T950-T957,-2)</f>
        <v>#DIV/0!</v>
      </c>
      <c r="U958" s="283"/>
      <c r="V958" s="283"/>
      <c r="W958" s="109" t="s">
        <v>54</v>
      </c>
    </row>
    <row r="959" spans="1:24" ht="18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</row>
    <row r="960" spans="1:24" ht="18.75" customHeight="1">
      <c r="A960" s="109"/>
      <c r="B960" s="109"/>
      <c r="C960" s="109"/>
      <c r="D960" s="109"/>
      <c r="E960" s="109"/>
      <c r="F960" s="109"/>
      <c r="G960" s="109"/>
      <c r="H960" s="109"/>
      <c r="I960" s="283" t="s">
        <v>93</v>
      </c>
      <c r="J960" s="283"/>
      <c r="K960" s="283"/>
      <c r="M960" s="109"/>
      <c r="N960" s="109"/>
      <c r="O960" s="109"/>
      <c r="P960" s="109"/>
      <c r="Q960" s="109"/>
      <c r="R960" s="109"/>
      <c r="S960" s="109"/>
      <c r="T960" s="109"/>
      <c r="U960" s="283" t="s">
        <v>93</v>
      </c>
      <c r="V960" s="283"/>
      <c r="W960" s="283"/>
    </row>
    <row r="961" spans="1:24" ht="18.75" customHeight="1">
      <c r="A961" s="109"/>
      <c r="B961" s="283"/>
      <c r="C961" s="283"/>
      <c r="D961" s="283"/>
      <c r="E961" s="283"/>
      <c r="F961" s="109"/>
      <c r="G961" s="109"/>
      <c r="H961" s="109"/>
      <c r="I961" s="109"/>
      <c r="J961" s="109"/>
      <c r="K961" s="109"/>
      <c r="M961" s="109"/>
      <c r="N961" s="283"/>
      <c r="O961" s="283"/>
      <c r="P961" s="283"/>
      <c r="Q961" s="283"/>
      <c r="R961" s="109"/>
      <c r="S961" s="109"/>
      <c r="T961" s="109"/>
      <c r="U961" s="109"/>
      <c r="V961" s="109"/>
      <c r="W961" s="109"/>
    </row>
    <row r="962" spans="1:24" ht="18.75" customHeight="1">
      <c r="A962" s="109"/>
      <c r="B962" s="109"/>
      <c r="C962" s="109"/>
      <c r="D962" s="109"/>
      <c r="E962" s="109"/>
      <c r="F962" s="109"/>
      <c r="G962" s="109"/>
      <c r="H962" s="109"/>
      <c r="I962" s="283" t="s">
        <v>94</v>
      </c>
      <c r="J962" s="283"/>
      <c r="K962" s="283"/>
      <c r="M962" s="109"/>
      <c r="N962" s="109"/>
      <c r="O962" s="109"/>
      <c r="P962" s="109"/>
      <c r="Q962" s="109"/>
      <c r="R962" s="109"/>
      <c r="S962" s="109"/>
      <c r="T962" s="109"/>
      <c r="U962" s="283" t="s">
        <v>94</v>
      </c>
      <c r="V962" s="283"/>
      <c r="W962" s="283"/>
    </row>
    <row r="964" spans="1:24" ht="18.75" customHeight="1">
      <c r="A964" s="283" t="s">
        <v>43</v>
      </c>
      <c r="B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109">
        <v>24</v>
      </c>
      <c r="M964" s="283" t="s">
        <v>43</v>
      </c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109">
        <v>24</v>
      </c>
    </row>
    <row r="965" spans="1:24" ht="18.75" customHeight="1">
      <c r="A965" s="109" t="s">
        <v>160</v>
      </c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M965" s="109" t="s">
        <v>161</v>
      </c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</row>
    <row r="966" spans="1:24" ht="18.75" customHeight="1">
      <c r="A966" s="283" t="s">
        <v>47</v>
      </c>
      <c r="B966" s="283"/>
      <c r="C966" s="283"/>
      <c r="D966" s="283"/>
      <c r="E966" s="283"/>
      <c r="F966" s="283"/>
      <c r="G966" s="283"/>
      <c r="H966" s="283"/>
      <c r="I966" s="283"/>
      <c r="J966" s="283"/>
      <c r="K966" s="283"/>
      <c r="M966" s="283" t="s">
        <v>47</v>
      </c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</row>
    <row r="967" spans="1:24" ht="18.75" customHeight="1">
      <c r="A967" s="283" t="s">
        <v>48</v>
      </c>
      <c r="B967" s="283"/>
      <c r="C967" s="283"/>
      <c r="D967" s="283"/>
      <c r="E967" s="109" t="s">
        <v>49</v>
      </c>
      <c r="F967" s="283"/>
      <c r="G967" s="283"/>
      <c r="H967" s="283"/>
      <c r="I967" s="283"/>
      <c r="J967" s="283"/>
      <c r="K967" s="283"/>
      <c r="M967" s="283" t="s">
        <v>48</v>
      </c>
      <c r="N967" s="283"/>
      <c r="O967" s="283"/>
      <c r="P967" s="283"/>
      <c r="Q967" s="109" t="s">
        <v>49</v>
      </c>
      <c r="R967" s="283"/>
      <c r="S967" s="283"/>
      <c r="T967" s="283"/>
      <c r="U967" s="283"/>
      <c r="V967" s="283"/>
      <c r="W967" s="283"/>
    </row>
    <row r="968" spans="1:24" ht="18.75" customHeight="1">
      <c r="A968" s="283" t="s">
        <v>50</v>
      </c>
      <c r="B968" s="283"/>
      <c r="C968" s="283"/>
      <c r="D968" s="283"/>
      <c r="E968" s="109" t="s">
        <v>49</v>
      </c>
      <c r="F968" s="283"/>
      <c r="G968" s="283"/>
      <c r="H968" s="283"/>
      <c r="I968" s="283"/>
      <c r="J968" s="283"/>
      <c r="K968" s="283"/>
      <c r="M968" s="283" t="s">
        <v>50</v>
      </c>
      <c r="N968" s="283"/>
      <c r="O968" s="283"/>
      <c r="P968" s="283"/>
      <c r="Q968" s="109" t="s">
        <v>49</v>
      </c>
      <c r="R968" s="283"/>
      <c r="S968" s="283"/>
      <c r="T968" s="283"/>
      <c r="U968" s="283"/>
      <c r="V968" s="283"/>
      <c r="W968" s="283"/>
    </row>
    <row r="969" spans="1:24" ht="18.75" customHeight="1">
      <c r="A969" s="283" t="s">
        <v>51</v>
      </c>
      <c r="B969" s="283"/>
      <c r="C969" s="283"/>
      <c r="D969" s="283"/>
      <c r="E969" s="109" t="s">
        <v>49</v>
      </c>
      <c r="F969" s="283" t="s">
        <v>121</v>
      </c>
      <c r="G969" s="283"/>
      <c r="H969" s="283"/>
      <c r="I969" s="283"/>
      <c r="J969" s="283"/>
      <c r="K969" s="283"/>
      <c r="M969" s="283" t="s">
        <v>51</v>
      </c>
      <c r="N969" s="283"/>
      <c r="O969" s="283"/>
      <c r="P969" s="283"/>
      <c r="Q969" s="109" t="s">
        <v>49</v>
      </c>
      <c r="R969" s="283" t="s">
        <v>121</v>
      </c>
      <c r="S969" s="283"/>
      <c r="T969" s="283"/>
      <c r="U969" s="283"/>
      <c r="V969" s="283"/>
      <c r="W969" s="283"/>
    </row>
    <row r="970" spans="1:24" ht="18.75" customHeight="1">
      <c r="A970" s="283" t="s">
        <v>52</v>
      </c>
      <c r="B970" s="283"/>
      <c r="C970" s="283"/>
      <c r="D970" s="283"/>
      <c r="E970" s="283"/>
      <c r="F970" s="283"/>
      <c r="G970" s="283"/>
      <c r="H970" s="283"/>
      <c r="I970" s="283"/>
      <c r="J970" s="283"/>
      <c r="K970" s="283"/>
      <c r="M970" s="283" t="s">
        <v>52</v>
      </c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</row>
    <row r="971" spans="1:24" ht="18.75" customHeight="1">
      <c r="A971" s="283" t="s">
        <v>53</v>
      </c>
      <c r="B971" s="283"/>
      <c r="C971" s="283"/>
      <c r="D971" s="283"/>
      <c r="E971" s="109" t="s">
        <v>49</v>
      </c>
      <c r="F971" s="283">
        <v>2915400</v>
      </c>
      <c r="G971" s="283"/>
      <c r="H971" s="283"/>
      <c r="I971" s="283"/>
      <c r="J971" s="109" t="s">
        <v>54</v>
      </c>
      <c r="K971" s="109"/>
      <c r="M971" s="283" t="s">
        <v>53</v>
      </c>
      <c r="N971" s="283"/>
      <c r="O971" s="283"/>
      <c r="P971" s="283"/>
      <c r="Q971" s="109" t="s">
        <v>49</v>
      </c>
      <c r="R971" s="283">
        <v>2915400</v>
      </c>
      <c r="S971" s="283"/>
      <c r="T971" s="283"/>
      <c r="U971" s="283"/>
      <c r="V971" s="109" t="s">
        <v>54</v>
      </c>
      <c r="W971" s="109"/>
    </row>
    <row r="972" spans="1:24" ht="18.75" customHeight="1">
      <c r="A972" s="109" t="s">
        <v>55</v>
      </c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M972" s="109" t="s">
        <v>55</v>
      </c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</row>
    <row r="973" spans="1:24" ht="18.75" customHeight="1">
      <c r="A973" s="109" t="s">
        <v>56</v>
      </c>
      <c r="B973" s="109"/>
      <c r="C973" s="109"/>
      <c r="D973" s="109"/>
      <c r="E973" s="109"/>
      <c r="F973" s="109"/>
      <c r="G973" s="109"/>
      <c r="H973" s="109"/>
      <c r="I973" s="109" t="e">
        <f>I974/C974/8</f>
        <v>#DIV/0!</v>
      </c>
      <c r="J973" s="109"/>
      <c r="K973" s="109"/>
      <c r="M973" s="109" t="s">
        <v>56</v>
      </c>
      <c r="N973" s="109"/>
      <c r="O973" s="109"/>
      <c r="P973" s="109"/>
      <c r="Q973" s="109"/>
      <c r="R973" s="109"/>
      <c r="S973" s="109"/>
      <c r="T973" s="109"/>
      <c r="U973" s="109" t="e">
        <f>U974/O974/8</f>
        <v>#DIV/0!</v>
      </c>
      <c r="V973" s="109"/>
      <c r="W973" s="109"/>
    </row>
    <row r="974" spans="1:24" ht="18.75" customHeight="1">
      <c r="A974" s="109" t="s">
        <v>57</v>
      </c>
      <c r="B974" s="109" t="s">
        <v>49</v>
      </c>
      <c r="C974" s="109"/>
      <c r="D974" s="109" t="s">
        <v>58</v>
      </c>
      <c r="E974" s="283" t="s">
        <v>59</v>
      </c>
      <c r="F974" s="283"/>
      <c r="G974" s="283"/>
      <c r="H974" s="109" t="s">
        <v>49</v>
      </c>
      <c r="I974" s="283" t="e">
        <f>I972*680/((C974-C981)*8+C981*7+C978)*((C974-C981)*8+C981*7)</f>
        <v>#DIV/0!</v>
      </c>
      <c r="J974" s="283"/>
      <c r="K974" s="109" t="s">
        <v>54</v>
      </c>
      <c r="L974" s="109">
        <f>F971/L964*C974</f>
        <v>0</v>
      </c>
      <c r="M974" s="109" t="s">
        <v>57</v>
      </c>
      <c r="N974" s="109" t="s">
        <v>49</v>
      </c>
      <c r="O974" s="109"/>
      <c r="P974" s="109" t="s">
        <v>58</v>
      </c>
      <c r="Q974" s="283" t="s">
        <v>59</v>
      </c>
      <c r="R974" s="283"/>
      <c r="S974" s="283"/>
      <c r="T974" s="109" t="s">
        <v>49</v>
      </c>
      <c r="U974" s="283" t="e">
        <f>U972*680/((O974-O981)*8+O981*7+O978)*((O974-O981)*8+O981*7)</f>
        <v>#DIV/0!</v>
      </c>
      <c r="V974" s="283"/>
      <c r="W974" s="109" t="s">
        <v>54</v>
      </c>
      <c r="X974" s="109">
        <f>R971/X964*O974</f>
        <v>0</v>
      </c>
    </row>
    <row r="975" spans="1:24" ht="18.75" customHeight="1">
      <c r="A975" s="109" t="s">
        <v>60</v>
      </c>
      <c r="B975" s="109" t="s">
        <v>49</v>
      </c>
      <c r="C975" s="109"/>
      <c r="D975" s="109" t="s">
        <v>58</v>
      </c>
      <c r="E975" s="283" t="s">
        <v>61</v>
      </c>
      <c r="F975" s="283"/>
      <c r="G975" s="283"/>
      <c r="H975" s="109" t="s">
        <v>49</v>
      </c>
      <c r="I975" s="283">
        <f>$F$8/$L$1*C975</f>
        <v>0</v>
      </c>
      <c r="J975" s="283"/>
      <c r="K975" s="109" t="s">
        <v>54</v>
      </c>
      <c r="L975" s="109"/>
      <c r="M975" s="109" t="s">
        <v>60</v>
      </c>
      <c r="N975" s="109" t="s">
        <v>49</v>
      </c>
      <c r="O975" s="109"/>
      <c r="P975" s="109" t="s">
        <v>58</v>
      </c>
      <c r="Q975" s="283" t="s">
        <v>61</v>
      </c>
      <c r="R975" s="283"/>
      <c r="S975" s="283"/>
      <c r="T975" s="109" t="s">
        <v>49</v>
      </c>
      <c r="U975" s="283">
        <f>$F$8/$L$1*O975</f>
        <v>0</v>
      </c>
      <c r="V975" s="283"/>
      <c r="W975" s="109" t="s">
        <v>54</v>
      </c>
      <c r="X975" s="109"/>
    </row>
    <row r="976" spans="1:24" ht="18.75" customHeight="1">
      <c r="A976" s="109" t="s">
        <v>62</v>
      </c>
      <c r="B976" s="109" t="s">
        <v>49</v>
      </c>
      <c r="C976" s="109"/>
      <c r="D976" s="109" t="s">
        <v>58</v>
      </c>
      <c r="E976" s="283" t="s">
        <v>63</v>
      </c>
      <c r="F976" s="283"/>
      <c r="G976" s="283"/>
      <c r="H976" s="109" t="s">
        <v>49</v>
      </c>
      <c r="I976" s="283">
        <f>$F$8/$L$1*C976</f>
        <v>0</v>
      </c>
      <c r="J976" s="283"/>
      <c r="K976" s="109" t="s">
        <v>54</v>
      </c>
      <c r="L976" s="109"/>
      <c r="M976" s="109" t="s">
        <v>62</v>
      </c>
      <c r="N976" s="109" t="s">
        <v>49</v>
      </c>
      <c r="O976" s="109"/>
      <c r="P976" s="109" t="s">
        <v>58</v>
      </c>
      <c r="Q976" s="283" t="s">
        <v>63</v>
      </c>
      <c r="R976" s="283"/>
      <c r="S976" s="283"/>
      <c r="T976" s="109" t="s">
        <v>49</v>
      </c>
      <c r="U976" s="283">
        <f>$F$8/$L$1*O976</f>
        <v>0</v>
      </c>
      <c r="V976" s="283"/>
      <c r="W976" s="109" t="s">
        <v>54</v>
      </c>
      <c r="X976" s="109"/>
    </row>
    <row r="977" spans="1:24" ht="18.75" customHeight="1">
      <c r="A977" s="109" t="s">
        <v>64</v>
      </c>
      <c r="B977" s="109" t="s">
        <v>49</v>
      </c>
      <c r="C977" s="109"/>
      <c r="D977" s="109" t="s">
        <v>58</v>
      </c>
      <c r="E977" s="283" t="s">
        <v>65</v>
      </c>
      <c r="F977" s="283"/>
      <c r="G977" s="283"/>
      <c r="H977" s="109" t="s">
        <v>49</v>
      </c>
      <c r="I977" s="283">
        <f>$F$8/$L$1*C977</f>
        <v>0</v>
      </c>
      <c r="J977" s="283"/>
      <c r="K977" s="109" t="s">
        <v>54</v>
      </c>
      <c r="L977" s="109"/>
      <c r="M977" s="109" t="s">
        <v>64</v>
      </c>
      <c r="N977" s="109" t="s">
        <v>49</v>
      </c>
      <c r="O977" s="109"/>
      <c r="P977" s="109" t="s">
        <v>58</v>
      </c>
      <c r="Q977" s="283" t="s">
        <v>65</v>
      </c>
      <c r="R977" s="283"/>
      <c r="S977" s="283"/>
      <c r="T977" s="109" t="s">
        <v>49</v>
      </c>
      <c r="U977" s="283">
        <f>$F$8/$L$1*O977</f>
        <v>0</v>
      </c>
      <c r="V977" s="283"/>
      <c r="W977" s="109" t="s">
        <v>54</v>
      </c>
      <c r="X977" s="109"/>
    </row>
    <row r="978" spans="1:24" ht="18.75" customHeight="1">
      <c r="A978" s="109" t="s">
        <v>66</v>
      </c>
      <c r="B978" s="109" t="s">
        <v>49</v>
      </c>
      <c r="C978" s="109"/>
      <c r="D978" s="109" t="s">
        <v>67</v>
      </c>
      <c r="E978" s="283" t="s">
        <v>68</v>
      </c>
      <c r="F978" s="283"/>
      <c r="G978" s="283"/>
      <c r="H978" s="109" t="s">
        <v>49</v>
      </c>
      <c r="I978" s="283" t="e">
        <f>I974/C974/8*C978</f>
        <v>#DIV/0!</v>
      </c>
      <c r="J978" s="283"/>
      <c r="K978" s="109" t="s">
        <v>54</v>
      </c>
      <c r="L978" s="109">
        <f>F971*C978/L964/8*1.5</f>
        <v>0</v>
      </c>
      <c r="M978" s="109" t="s">
        <v>66</v>
      </c>
      <c r="N978" s="109" t="s">
        <v>49</v>
      </c>
      <c r="O978" s="109"/>
      <c r="P978" s="109" t="s">
        <v>67</v>
      </c>
      <c r="Q978" s="283" t="s">
        <v>68</v>
      </c>
      <c r="R978" s="283"/>
      <c r="S978" s="283"/>
      <c r="T978" s="109" t="s">
        <v>49</v>
      </c>
      <c r="U978" s="283" t="e">
        <f>U974/O974/8*O978</f>
        <v>#DIV/0!</v>
      </c>
      <c r="V978" s="283"/>
      <c r="W978" s="109" t="s">
        <v>54</v>
      </c>
      <c r="X978" s="109">
        <f>R971*O978/X964/8*1.5</f>
        <v>0</v>
      </c>
    </row>
    <row r="979" spans="1:24" ht="18.75" customHeight="1">
      <c r="A979" s="283" t="s">
        <v>69</v>
      </c>
      <c r="B979" s="283"/>
      <c r="C979" s="109"/>
      <c r="D979" s="109" t="s">
        <v>58</v>
      </c>
      <c r="E979" s="283" t="s">
        <v>70</v>
      </c>
      <c r="F979" s="283"/>
      <c r="G979" s="283"/>
      <c r="H979" s="109" t="s">
        <v>49</v>
      </c>
      <c r="I979" s="283"/>
      <c r="J979" s="283"/>
      <c r="K979" s="109" t="s">
        <v>54</v>
      </c>
      <c r="L979" s="109"/>
      <c r="M979" s="283" t="s">
        <v>69</v>
      </c>
      <c r="N979" s="283"/>
      <c r="O979" s="109"/>
      <c r="P979" s="109" t="s">
        <v>58</v>
      </c>
      <c r="Q979" s="283" t="s">
        <v>70</v>
      </c>
      <c r="R979" s="283"/>
      <c r="S979" s="283"/>
      <c r="T979" s="109" t="s">
        <v>49</v>
      </c>
      <c r="U979" s="283"/>
      <c r="V979" s="283"/>
      <c r="W979" s="109" t="s">
        <v>54</v>
      </c>
      <c r="X979" s="109"/>
    </row>
    <row r="980" spans="1:24" ht="18.75" customHeight="1">
      <c r="A980" s="109" t="s">
        <v>71</v>
      </c>
      <c r="B980" s="109" t="s">
        <v>49</v>
      </c>
      <c r="C980" s="109"/>
      <c r="D980" s="109" t="s">
        <v>58</v>
      </c>
      <c r="E980" s="283" t="s">
        <v>72</v>
      </c>
      <c r="F980" s="283"/>
      <c r="G980" s="283"/>
      <c r="H980" s="109" t="s">
        <v>49</v>
      </c>
      <c r="I980" s="283"/>
      <c r="J980" s="283"/>
      <c r="K980" s="109" t="s">
        <v>54</v>
      </c>
      <c r="L980" s="109"/>
      <c r="M980" s="109" t="s">
        <v>71</v>
      </c>
      <c r="N980" s="109" t="s">
        <v>49</v>
      </c>
      <c r="O980" s="109"/>
      <c r="P980" s="109" t="s">
        <v>58</v>
      </c>
      <c r="Q980" s="283" t="s">
        <v>72</v>
      </c>
      <c r="R980" s="283"/>
      <c r="S980" s="283"/>
      <c r="T980" s="109" t="s">
        <v>49</v>
      </c>
      <c r="U980" s="283"/>
      <c r="V980" s="283"/>
      <c r="W980" s="109" t="s">
        <v>54</v>
      </c>
      <c r="X980" s="109"/>
    </row>
    <row r="981" spans="1:24" ht="18.75" customHeight="1">
      <c r="A981" s="109" t="s">
        <v>73</v>
      </c>
      <c r="B981" s="109"/>
      <c r="C981" s="109"/>
      <c r="D981" s="109" t="s">
        <v>67</v>
      </c>
      <c r="E981" s="283" t="s">
        <v>74</v>
      </c>
      <c r="F981" s="283"/>
      <c r="G981" s="283"/>
      <c r="H981" s="109" t="s">
        <v>49</v>
      </c>
      <c r="I981" s="283">
        <f>$F$8*C981/8/$L$1</f>
        <v>0</v>
      </c>
      <c r="J981" s="283"/>
      <c r="K981" s="109" t="s">
        <v>54</v>
      </c>
      <c r="L981" s="109"/>
      <c r="M981" s="109" t="s">
        <v>73</v>
      </c>
      <c r="N981" s="109"/>
      <c r="O981" s="109"/>
      <c r="P981" s="109" t="s">
        <v>67</v>
      </c>
      <c r="Q981" s="283" t="s">
        <v>74</v>
      </c>
      <c r="R981" s="283"/>
      <c r="S981" s="283"/>
      <c r="T981" s="109" t="s">
        <v>49</v>
      </c>
      <c r="U981" s="283">
        <f>$F$8*O981/8/$L$1</f>
        <v>0</v>
      </c>
      <c r="V981" s="283"/>
      <c r="W981" s="109" t="s">
        <v>54</v>
      </c>
      <c r="X981" s="109"/>
    </row>
    <row r="982" spans="1:24" ht="18.75" customHeight="1">
      <c r="A982" s="109" t="s">
        <v>75</v>
      </c>
      <c r="B982" s="109" t="s">
        <v>49</v>
      </c>
      <c r="C982" s="109"/>
      <c r="D982" s="109" t="s">
        <v>67</v>
      </c>
      <c r="E982" s="283" t="s">
        <v>97</v>
      </c>
      <c r="F982" s="283"/>
      <c r="G982" s="283"/>
      <c r="H982" s="109" t="s">
        <v>49</v>
      </c>
      <c r="I982" s="283"/>
      <c r="J982" s="283"/>
      <c r="K982" s="109" t="s">
        <v>54</v>
      </c>
      <c r="L982" s="109"/>
      <c r="M982" s="109" t="s">
        <v>75</v>
      </c>
      <c r="N982" s="109" t="s">
        <v>49</v>
      </c>
      <c r="O982" s="109"/>
      <c r="P982" s="109" t="s">
        <v>67</v>
      </c>
      <c r="Q982" s="283" t="s">
        <v>97</v>
      </c>
      <c r="R982" s="283"/>
      <c r="S982" s="283"/>
      <c r="T982" s="109" t="s">
        <v>49</v>
      </c>
      <c r="U982" s="283"/>
      <c r="V982" s="283"/>
      <c r="W982" s="109" t="s">
        <v>54</v>
      </c>
      <c r="X982" s="109"/>
    </row>
    <row r="983" spans="1:24" ht="18.75" customHeight="1">
      <c r="A983" s="109" t="s">
        <v>77</v>
      </c>
      <c r="B983" s="109" t="s">
        <v>49</v>
      </c>
      <c r="C983" s="109"/>
      <c r="D983" s="109" t="s">
        <v>78</v>
      </c>
      <c r="E983" s="109" t="s">
        <v>79</v>
      </c>
      <c r="F983" s="109"/>
      <c r="G983" s="109"/>
      <c r="H983" s="109" t="s">
        <v>49</v>
      </c>
      <c r="I983" s="283"/>
      <c r="J983" s="283"/>
      <c r="K983" s="109" t="s">
        <v>54</v>
      </c>
      <c r="L983" s="109" t="e">
        <f>+IF(L974-I974&lt;0,0,L974-I974)+IF(L978-I978&lt;0,0,L978-I978)</f>
        <v>#DIV/0!</v>
      </c>
      <c r="M983" s="109" t="s">
        <v>77</v>
      </c>
      <c r="N983" s="109" t="s">
        <v>49</v>
      </c>
      <c r="O983" s="109"/>
      <c r="P983" s="109" t="s">
        <v>78</v>
      </c>
      <c r="Q983" s="109" t="s">
        <v>79</v>
      </c>
      <c r="R983" s="109"/>
      <c r="S983" s="109"/>
      <c r="T983" s="109" t="s">
        <v>49</v>
      </c>
      <c r="U983" s="283"/>
      <c r="V983" s="283"/>
      <c r="W983" s="109" t="s">
        <v>54</v>
      </c>
      <c r="X983" s="109" t="e">
        <f>+IF(X974-U974&lt;0,0,X974-U974)+IF(X978-U978&lt;0,0,X978-U978)</f>
        <v>#DIV/0!</v>
      </c>
    </row>
    <row r="984" spans="1:24" ht="18.75" customHeight="1">
      <c r="A984" s="109" t="s">
        <v>122</v>
      </c>
      <c r="B984" s="109"/>
      <c r="C984" s="109"/>
      <c r="D984" s="109" t="s">
        <v>58</v>
      </c>
      <c r="E984" s="283" t="s">
        <v>123</v>
      </c>
      <c r="F984" s="283"/>
      <c r="G984" s="283"/>
      <c r="H984" s="109" t="s">
        <v>49</v>
      </c>
      <c r="I984" s="283"/>
      <c r="J984" s="283"/>
      <c r="K984" s="109" t="s">
        <v>54</v>
      </c>
      <c r="L984" s="109"/>
      <c r="M984" s="109" t="s">
        <v>122</v>
      </c>
      <c r="N984" s="109"/>
      <c r="O984" s="109"/>
      <c r="P984" s="109" t="s">
        <v>58</v>
      </c>
      <c r="Q984" s="283" t="s">
        <v>123</v>
      </c>
      <c r="R984" s="283"/>
      <c r="S984" s="283"/>
      <c r="T984" s="109" t="s">
        <v>49</v>
      </c>
      <c r="U984" s="283"/>
      <c r="V984" s="283"/>
      <c r="W984" s="109" t="s">
        <v>54</v>
      </c>
      <c r="X984" s="109"/>
    </row>
    <row r="985" spans="1:24" ht="18.75" customHeight="1">
      <c r="A985" s="283" t="s">
        <v>82</v>
      </c>
      <c r="B985" s="283"/>
      <c r="C985" s="109"/>
      <c r="D985" s="109"/>
      <c r="E985" s="109"/>
      <c r="F985" s="109"/>
      <c r="G985" s="109"/>
      <c r="H985" s="109" t="s">
        <v>49</v>
      </c>
      <c r="I985" s="283"/>
      <c r="J985" s="283"/>
      <c r="K985" s="109" t="s">
        <v>54</v>
      </c>
      <c r="L985" s="109"/>
      <c r="M985" s="283" t="s">
        <v>82</v>
      </c>
      <c r="N985" s="283"/>
      <c r="O985" s="109"/>
      <c r="P985" s="109"/>
      <c r="Q985" s="109"/>
      <c r="R985" s="109"/>
      <c r="S985" s="109"/>
      <c r="T985" s="109" t="s">
        <v>49</v>
      </c>
      <c r="U985" s="283"/>
      <c r="V985" s="283"/>
      <c r="W985" s="109" t="s">
        <v>54</v>
      </c>
      <c r="X985" s="109"/>
    </row>
    <row r="986" spans="1:24" ht="18.75" customHeight="1">
      <c r="A986" s="109" t="s">
        <v>83</v>
      </c>
      <c r="B986" s="109" t="s">
        <v>49</v>
      </c>
      <c r="C986" s="109"/>
      <c r="D986" s="109"/>
      <c r="E986" s="109" t="s">
        <v>84</v>
      </c>
      <c r="F986" s="109"/>
      <c r="G986" s="109"/>
      <c r="H986" s="109" t="s">
        <v>49</v>
      </c>
      <c r="I986" s="283" t="e">
        <f>L983</f>
        <v>#DIV/0!</v>
      </c>
      <c r="J986" s="283"/>
      <c r="K986" s="109" t="s">
        <v>54</v>
      </c>
      <c r="L986" s="109"/>
      <c r="M986" s="109" t="s">
        <v>83</v>
      </c>
      <c r="N986" s="109" t="s">
        <v>49</v>
      </c>
      <c r="O986" s="109"/>
      <c r="P986" s="109"/>
      <c r="Q986" s="109" t="s">
        <v>84</v>
      </c>
      <c r="R986" s="109"/>
      <c r="S986" s="109"/>
      <c r="T986" s="109" t="s">
        <v>49</v>
      </c>
      <c r="U986" s="283" t="e">
        <f>X983</f>
        <v>#DIV/0!</v>
      </c>
      <c r="V986" s="283"/>
      <c r="W986" s="109" t="s">
        <v>54</v>
      </c>
      <c r="X986" s="109"/>
    </row>
    <row r="987" spans="1:24" ht="18.75" customHeight="1">
      <c r="A987" s="283" t="s">
        <v>85</v>
      </c>
      <c r="B987" s="283"/>
      <c r="C987" s="283"/>
      <c r="D987" s="283"/>
      <c r="E987" s="283"/>
      <c r="F987" s="283"/>
      <c r="G987" s="109" t="s">
        <v>49</v>
      </c>
      <c r="H987" s="283" t="e">
        <f>I974+I975+I976+I977+I978+I981+I985+I986</f>
        <v>#DIV/0!</v>
      </c>
      <c r="I987" s="283"/>
      <c r="J987" s="283"/>
      <c r="K987" s="109" t="s">
        <v>54</v>
      </c>
      <c r="M987" s="283" t="s">
        <v>85</v>
      </c>
      <c r="N987" s="283"/>
      <c r="O987" s="283"/>
      <c r="P987" s="283"/>
      <c r="Q987" s="283"/>
      <c r="R987" s="283"/>
      <c r="S987" s="109" t="s">
        <v>49</v>
      </c>
      <c r="T987" s="283" t="e">
        <f>U974+U975+U976+U977+U978+U981+U985+U986</f>
        <v>#DIV/0!</v>
      </c>
      <c r="U987" s="283"/>
      <c r="V987" s="283"/>
      <c r="W987" s="109" t="s">
        <v>54</v>
      </c>
    </row>
    <row r="988" spans="1:24" ht="18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</row>
    <row r="989" spans="1:24" ht="18.75" customHeight="1">
      <c r="A989" s="283" t="s">
        <v>86</v>
      </c>
      <c r="B989" s="283"/>
      <c r="C989" s="283"/>
      <c r="D989" s="283"/>
      <c r="E989" s="283"/>
      <c r="F989" s="283"/>
      <c r="G989" s="109"/>
      <c r="H989" s="109"/>
      <c r="I989" s="109"/>
      <c r="J989" s="109"/>
      <c r="K989" s="109"/>
      <c r="M989" s="283" t="s">
        <v>86</v>
      </c>
      <c r="N989" s="283"/>
      <c r="O989" s="283"/>
      <c r="P989" s="283"/>
      <c r="Q989" s="283"/>
      <c r="R989" s="283"/>
      <c r="S989" s="109"/>
      <c r="T989" s="109"/>
      <c r="U989" s="109"/>
      <c r="V989" s="109"/>
      <c r="W989" s="109"/>
    </row>
    <row r="990" spans="1:24" ht="18.75" customHeight="1">
      <c r="A990" s="283" t="s">
        <v>87</v>
      </c>
      <c r="B990" s="283"/>
      <c r="C990" s="283"/>
      <c r="D990" s="283"/>
      <c r="E990" s="283"/>
      <c r="F990" s="283"/>
      <c r="G990" s="109" t="s">
        <v>49</v>
      </c>
      <c r="H990" s="283">
        <f>IF(($L$1-(C974+C975+C976+C977))&gt;12,0,F971*8%)</f>
        <v>0</v>
      </c>
      <c r="I990" s="283"/>
      <c r="J990" s="283"/>
      <c r="K990" s="109" t="s">
        <v>54</v>
      </c>
      <c r="M990" s="283" t="s">
        <v>87</v>
      </c>
      <c r="N990" s="283"/>
      <c r="O990" s="283"/>
      <c r="P990" s="283"/>
      <c r="Q990" s="283"/>
      <c r="R990" s="283"/>
      <c r="S990" s="109" t="s">
        <v>49</v>
      </c>
      <c r="T990" s="283">
        <f>IF(($L$1-(O974+O975+O976+O977))&gt;12,0,R971*8%)</f>
        <v>0</v>
      </c>
      <c r="U990" s="283"/>
      <c r="V990" s="283"/>
      <c r="W990" s="109" t="s">
        <v>54</v>
      </c>
    </row>
    <row r="991" spans="1:24" ht="18.75" customHeight="1">
      <c r="A991" s="283" t="s">
        <v>88</v>
      </c>
      <c r="B991" s="283"/>
      <c r="C991" s="283"/>
      <c r="D991" s="283"/>
      <c r="E991" s="283"/>
      <c r="F991" s="283"/>
      <c r="G991" s="109" t="s">
        <v>49</v>
      </c>
      <c r="H991" s="283">
        <f>IF(($L$1-(C974+C975+C976+C977))&gt;12,0,F971*1.5%)</f>
        <v>0</v>
      </c>
      <c r="I991" s="283"/>
      <c r="J991" s="283"/>
      <c r="K991" s="109" t="s">
        <v>54</v>
      </c>
      <c r="M991" s="283" t="s">
        <v>88</v>
      </c>
      <c r="N991" s="283"/>
      <c r="O991" s="283"/>
      <c r="P991" s="283"/>
      <c r="Q991" s="283"/>
      <c r="R991" s="283"/>
      <c r="S991" s="109" t="s">
        <v>49</v>
      </c>
      <c r="T991" s="283">
        <f>IF(($L$1-(O974+O975+O976+O977))&gt;12,0,R971*1.5%)</f>
        <v>0</v>
      </c>
      <c r="U991" s="283"/>
      <c r="V991" s="283"/>
      <c r="W991" s="109" t="s">
        <v>54</v>
      </c>
    </row>
    <row r="992" spans="1:24" ht="18.75" customHeight="1">
      <c r="A992" s="283" t="s">
        <v>89</v>
      </c>
      <c r="B992" s="283"/>
      <c r="C992" s="283"/>
      <c r="D992" s="283"/>
      <c r="E992" s="283"/>
      <c r="F992" s="283"/>
      <c r="G992" s="109" t="s">
        <v>49</v>
      </c>
      <c r="H992" s="283">
        <f>IF(($L$1-(C974+C975+C976+C977))&gt;12,0,F971*1%)</f>
        <v>0</v>
      </c>
      <c r="I992" s="283"/>
      <c r="J992" s="283"/>
      <c r="K992" s="109" t="s">
        <v>54</v>
      </c>
      <c r="M992" s="283" t="s">
        <v>89</v>
      </c>
      <c r="N992" s="283"/>
      <c r="O992" s="283"/>
      <c r="P992" s="283"/>
      <c r="Q992" s="283"/>
      <c r="R992" s="283"/>
      <c r="S992" s="109" t="s">
        <v>49</v>
      </c>
      <c r="T992" s="283">
        <f>IF(($L$1-(O974+O975+O976+O977))&gt;12,0,R971*1%)</f>
        <v>0</v>
      </c>
      <c r="U992" s="283"/>
      <c r="V992" s="283"/>
      <c r="W992" s="109" t="s">
        <v>54</v>
      </c>
    </row>
    <row r="993" spans="1:24" ht="18.75" customHeight="1">
      <c r="A993" s="283" t="s">
        <v>90</v>
      </c>
      <c r="B993" s="283"/>
      <c r="C993" s="283"/>
      <c r="D993" s="283"/>
      <c r="E993" s="283"/>
      <c r="F993" s="283"/>
      <c r="G993" s="109" t="s">
        <v>49</v>
      </c>
      <c r="H993" s="283">
        <v>0</v>
      </c>
      <c r="I993" s="283"/>
      <c r="J993" s="283"/>
      <c r="K993" s="109" t="s">
        <v>54</v>
      </c>
      <c r="M993" s="283" t="s">
        <v>90</v>
      </c>
      <c r="N993" s="283"/>
      <c r="O993" s="283"/>
      <c r="P993" s="283"/>
      <c r="Q993" s="283"/>
      <c r="R993" s="283"/>
      <c r="S993" s="109" t="s">
        <v>49</v>
      </c>
      <c r="T993" s="283">
        <v>0</v>
      </c>
      <c r="U993" s="283"/>
      <c r="V993" s="283"/>
      <c r="W993" s="109" t="s">
        <v>54</v>
      </c>
    </row>
    <row r="994" spans="1:24" ht="18.75" customHeight="1">
      <c r="A994" s="283" t="s">
        <v>91</v>
      </c>
      <c r="B994" s="283"/>
      <c r="C994" s="283"/>
      <c r="D994" s="283"/>
      <c r="E994" s="283"/>
      <c r="F994" s="283"/>
      <c r="G994" s="109" t="s">
        <v>49</v>
      </c>
      <c r="H994" s="283">
        <f>SUM(H990:J993)</f>
        <v>0</v>
      </c>
      <c r="I994" s="283"/>
      <c r="J994" s="283"/>
      <c r="K994" s="109" t="s">
        <v>54</v>
      </c>
      <c r="M994" s="283" t="s">
        <v>91</v>
      </c>
      <c r="N994" s="283"/>
      <c r="O994" s="283"/>
      <c r="P994" s="283"/>
      <c r="Q994" s="283"/>
      <c r="R994" s="283"/>
      <c r="S994" s="109" t="s">
        <v>49</v>
      </c>
      <c r="T994" s="283">
        <f>SUM(T990:V993)</f>
        <v>0</v>
      </c>
      <c r="U994" s="283"/>
      <c r="V994" s="283"/>
      <c r="W994" s="109" t="s">
        <v>54</v>
      </c>
    </row>
    <row r="995" spans="1:24" ht="18.75" customHeight="1">
      <c r="A995" s="283" t="s">
        <v>92</v>
      </c>
      <c r="B995" s="283"/>
      <c r="C995" s="283"/>
      <c r="D995" s="283"/>
      <c r="E995" s="283"/>
      <c r="F995" s="283"/>
      <c r="G995" s="109" t="s">
        <v>49</v>
      </c>
      <c r="H995" s="283" t="e">
        <f>ROUND(H987-H994,-2)</f>
        <v>#DIV/0!</v>
      </c>
      <c r="I995" s="283"/>
      <c r="J995" s="283"/>
      <c r="K995" s="109" t="s">
        <v>54</v>
      </c>
      <c r="M995" s="283" t="s">
        <v>92</v>
      </c>
      <c r="N995" s="283"/>
      <c r="O995" s="283"/>
      <c r="P995" s="283"/>
      <c r="Q995" s="283"/>
      <c r="R995" s="283"/>
      <c r="S995" s="109" t="s">
        <v>49</v>
      </c>
      <c r="T995" s="283" t="e">
        <f>ROUND(T987-T994,-2)</f>
        <v>#DIV/0!</v>
      </c>
      <c r="U995" s="283"/>
      <c r="V995" s="283"/>
      <c r="W995" s="109" t="s">
        <v>54</v>
      </c>
    </row>
    <row r="996" spans="1:24" ht="18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</row>
    <row r="997" spans="1:24" ht="18.75" customHeight="1">
      <c r="A997" s="109"/>
      <c r="B997" s="109"/>
      <c r="C997" s="109"/>
      <c r="D997" s="109"/>
      <c r="E997" s="109"/>
      <c r="F997" s="109"/>
      <c r="G997" s="109"/>
      <c r="H997" s="109"/>
      <c r="I997" s="283" t="s">
        <v>93</v>
      </c>
      <c r="J997" s="283"/>
      <c r="K997" s="283"/>
      <c r="M997" s="109"/>
      <c r="N997" s="109"/>
      <c r="O997" s="109"/>
      <c r="P997" s="109"/>
      <c r="Q997" s="109"/>
      <c r="R997" s="109"/>
      <c r="S997" s="109"/>
      <c r="T997" s="109"/>
      <c r="U997" s="283" t="s">
        <v>93</v>
      </c>
      <c r="V997" s="283"/>
      <c r="W997" s="283"/>
    </row>
    <row r="998" spans="1:24" ht="18.75" customHeight="1">
      <c r="A998" s="109"/>
      <c r="B998" s="283"/>
      <c r="C998" s="283"/>
      <c r="D998" s="283"/>
      <c r="E998" s="283"/>
      <c r="F998" s="109"/>
      <c r="G998" s="109"/>
      <c r="H998" s="109"/>
      <c r="I998" s="109"/>
      <c r="J998" s="109"/>
      <c r="K998" s="109"/>
      <c r="M998" s="109"/>
      <c r="N998" s="283"/>
      <c r="O998" s="283"/>
      <c r="P998" s="283"/>
      <c r="Q998" s="283"/>
      <c r="R998" s="109"/>
      <c r="S998" s="109"/>
      <c r="T998" s="109"/>
      <c r="U998" s="109"/>
      <c r="V998" s="109"/>
      <c r="W998" s="109"/>
    </row>
    <row r="999" spans="1:24" ht="18.75" customHeight="1">
      <c r="A999" s="109"/>
      <c r="B999" s="109"/>
      <c r="C999" s="109"/>
      <c r="D999" s="109"/>
      <c r="E999" s="109"/>
      <c r="F999" s="109"/>
      <c r="G999" s="109"/>
      <c r="H999" s="109"/>
      <c r="I999" s="283" t="s">
        <v>94</v>
      </c>
      <c r="J999" s="283"/>
      <c r="K999" s="283"/>
      <c r="M999" s="109"/>
      <c r="N999" s="109"/>
      <c r="O999" s="109"/>
      <c r="P999" s="109"/>
      <c r="Q999" s="109"/>
      <c r="R999" s="109"/>
      <c r="S999" s="109"/>
      <c r="T999" s="109"/>
      <c r="U999" s="283" t="s">
        <v>94</v>
      </c>
      <c r="V999" s="283"/>
      <c r="W999" s="283"/>
    </row>
    <row r="1001" spans="1:24" ht="18.75" customHeight="1">
      <c r="A1001" s="283" t="s">
        <v>43</v>
      </c>
      <c r="B1001" s="283"/>
      <c r="C1001" s="283"/>
      <c r="D1001" s="283"/>
      <c r="E1001" s="283"/>
      <c r="F1001" s="283"/>
      <c r="G1001" s="283"/>
      <c r="H1001" s="283"/>
      <c r="I1001" s="283"/>
      <c r="J1001" s="283"/>
      <c r="K1001" s="283"/>
      <c r="L1001" s="109">
        <v>24</v>
      </c>
      <c r="M1001" s="283" t="s">
        <v>43</v>
      </c>
      <c r="N1001" s="283"/>
      <c r="O1001" s="283"/>
      <c r="P1001" s="283"/>
      <c r="Q1001" s="283"/>
      <c r="R1001" s="283"/>
      <c r="S1001" s="283"/>
      <c r="T1001" s="283"/>
      <c r="U1001" s="283"/>
      <c r="V1001" s="283"/>
      <c r="W1001" s="283"/>
      <c r="X1001" s="109">
        <v>24</v>
      </c>
    </row>
    <row r="1002" spans="1:24" ht="18.75" customHeight="1">
      <c r="A1002" s="109" t="s">
        <v>162</v>
      </c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M1002" s="109" t="s">
        <v>163</v>
      </c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</row>
    <row r="1003" spans="1:24" ht="18.75" customHeight="1">
      <c r="A1003" s="283" t="s">
        <v>47</v>
      </c>
      <c r="B1003" s="283"/>
      <c r="C1003" s="283"/>
      <c r="D1003" s="283"/>
      <c r="E1003" s="283"/>
      <c r="F1003" s="283"/>
      <c r="G1003" s="283"/>
      <c r="H1003" s="283"/>
      <c r="I1003" s="283"/>
      <c r="J1003" s="283"/>
      <c r="K1003" s="283"/>
      <c r="M1003" s="283" t="s">
        <v>47</v>
      </c>
      <c r="N1003" s="283"/>
      <c r="O1003" s="283"/>
      <c r="P1003" s="283"/>
      <c r="Q1003" s="283"/>
      <c r="R1003" s="283"/>
      <c r="S1003" s="283"/>
      <c r="T1003" s="283"/>
      <c r="U1003" s="283"/>
      <c r="V1003" s="283"/>
      <c r="W1003" s="283"/>
    </row>
    <row r="1004" spans="1:24" ht="18.75" customHeight="1">
      <c r="A1004" s="283" t="s">
        <v>48</v>
      </c>
      <c r="B1004" s="283"/>
      <c r="C1004" s="283"/>
      <c r="D1004" s="283"/>
      <c r="E1004" s="109" t="s">
        <v>49</v>
      </c>
      <c r="F1004" s="283"/>
      <c r="G1004" s="283"/>
      <c r="H1004" s="283"/>
      <c r="I1004" s="283"/>
      <c r="J1004" s="283"/>
      <c r="K1004" s="283"/>
      <c r="M1004" s="283" t="s">
        <v>48</v>
      </c>
      <c r="N1004" s="283"/>
      <c r="O1004" s="283"/>
      <c r="P1004" s="283"/>
      <c r="Q1004" s="109" t="s">
        <v>49</v>
      </c>
      <c r="R1004" s="283"/>
      <c r="S1004" s="283"/>
      <c r="T1004" s="283"/>
      <c r="U1004" s="283"/>
      <c r="V1004" s="283"/>
      <c r="W1004" s="283"/>
    </row>
    <row r="1005" spans="1:24" ht="18.75" customHeight="1">
      <c r="A1005" s="283" t="s">
        <v>50</v>
      </c>
      <c r="B1005" s="283"/>
      <c r="C1005" s="283"/>
      <c r="D1005" s="283"/>
      <c r="E1005" s="109" t="s">
        <v>49</v>
      </c>
      <c r="F1005" s="283"/>
      <c r="G1005" s="283"/>
      <c r="H1005" s="283"/>
      <c r="I1005" s="283"/>
      <c r="J1005" s="283"/>
      <c r="K1005" s="283"/>
      <c r="M1005" s="283" t="s">
        <v>50</v>
      </c>
      <c r="N1005" s="283"/>
      <c r="O1005" s="283"/>
      <c r="P1005" s="283"/>
      <c r="Q1005" s="109" t="s">
        <v>49</v>
      </c>
      <c r="R1005" s="283"/>
      <c r="S1005" s="283"/>
      <c r="T1005" s="283"/>
      <c r="U1005" s="283"/>
      <c r="V1005" s="283"/>
      <c r="W1005" s="283"/>
    </row>
    <row r="1006" spans="1:24" ht="18.75" customHeight="1">
      <c r="A1006" s="283" t="s">
        <v>51</v>
      </c>
      <c r="B1006" s="283"/>
      <c r="C1006" s="283"/>
      <c r="D1006" s="283"/>
      <c r="E1006" s="109" t="s">
        <v>49</v>
      </c>
      <c r="F1006" s="283" t="s">
        <v>121</v>
      </c>
      <c r="G1006" s="283"/>
      <c r="H1006" s="283"/>
      <c r="I1006" s="283"/>
      <c r="J1006" s="283"/>
      <c r="K1006" s="283"/>
      <c r="M1006" s="283" t="s">
        <v>51</v>
      </c>
      <c r="N1006" s="283"/>
      <c r="O1006" s="283"/>
      <c r="P1006" s="283"/>
      <c r="Q1006" s="109" t="s">
        <v>49</v>
      </c>
      <c r="R1006" s="283" t="s">
        <v>121</v>
      </c>
      <c r="S1006" s="283"/>
      <c r="T1006" s="283"/>
      <c r="U1006" s="283"/>
      <c r="V1006" s="283"/>
      <c r="W1006" s="283"/>
    </row>
    <row r="1007" spans="1:24" ht="18.75" customHeight="1">
      <c r="A1007" s="283" t="s">
        <v>52</v>
      </c>
      <c r="B1007" s="283"/>
      <c r="C1007" s="283"/>
      <c r="D1007" s="283"/>
      <c r="E1007" s="283"/>
      <c r="F1007" s="283"/>
      <c r="G1007" s="283"/>
      <c r="H1007" s="283"/>
      <c r="I1007" s="283"/>
      <c r="J1007" s="283"/>
      <c r="K1007" s="283"/>
      <c r="M1007" s="283" t="s">
        <v>52</v>
      </c>
      <c r="N1007" s="283"/>
      <c r="O1007" s="283"/>
      <c r="P1007" s="283"/>
      <c r="Q1007" s="283"/>
      <c r="R1007" s="283"/>
      <c r="S1007" s="283"/>
      <c r="T1007" s="283"/>
      <c r="U1007" s="283"/>
      <c r="V1007" s="283"/>
      <c r="W1007" s="283"/>
    </row>
    <row r="1008" spans="1:24" ht="18.75" customHeight="1">
      <c r="A1008" s="283" t="s">
        <v>53</v>
      </c>
      <c r="B1008" s="283"/>
      <c r="C1008" s="283"/>
      <c r="D1008" s="283"/>
      <c r="E1008" s="109" t="s">
        <v>49</v>
      </c>
      <c r="F1008" s="283">
        <v>2915400</v>
      </c>
      <c r="G1008" s="283"/>
      <c r="H1008" s="283"/>
      <c r="I1008" s="283"/>
      <c r="J1008" s="109" t="s">
        <v>54</v>
      </c>
      <c r="K1008" s="109"/>
      <c r="M1008" s="283" t="s">
        <v>53</v>
      </c>
      <c r="N1008" s="283"/>
      <c r="O1008" s="283"/>
      <c r="P1008" s="283"/>
      <c r="Q1008" s="109" t="s">
        <v>49</v>
      </c>
      <c r="R1008" s="283">
        <v>2915400</v>
      </c>
      <c r="S1008" s="283"/>
      <c r="T1008" s="283"/>
      <c r="U1008" s="283"/>
      <c r="V1008" s="109" t="s">
        <v>54</v>
      </c>
      <c r="W1008" s="109"/>
    </row>
    <row r="1009" spans="1:24" ht="18.75" customHeight="1">
      <c r="A1009" s="109" t="s">
        <v>55</v>
      </c>
      <c r="B1009" s="109"/>
      <c r="C1009" s="109"/>
      <c r="D1009" s="109"/>
      <c r="E1009" s="109"/>
      <c r="F1009" s="109"/>
      <c r="G1009" s="109"/>
      <c r="H1009" s="109"/>
      <c r="I1009" s="109"/>
      <c r="J1009" s="109"/>
      <c r="K1009" s="109"/>
      <c r="M1009" s="109" t="s">
        <v>55</v>
      </c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</row>
    <row r="1010" spans="1:24" ht="18.75" customHeight="1">
      <c r="A1010" s="109" t="s">
        <v>56</v>
      </c>
      <c r="B1010" s="109"/>
      <c r="C1010" s="109"/>
      <c r="D1010" s="109"/>
      <c r="E1010" s="109"/>
      <c r="F1010" s="109"/>
      <c r="G1010" s="109"/>
      <c r="H1010" s="109"/>
      <c r="I1010" s="109" t="e">
        <f>I1011/C1011/8</f>
        <v>#DIV/0!</v>
      </c>
      <c r="J1010" s="109"/>
      <c r="K1010" s="109"/>
      <c r="M1010" s="109" t="s">
        <v>56</v>
      </c>
      <c r="N1010" s="109"/>
      <c r="O1010" s="109"/>
      <c r="P1010" s="109"/>
      <c r="Q1010" s="109"/>
      <c r="R1010" s="109"/>
      <c r="S1010" s="109"/>
      <c r="T1010" s="109"/>
      <c r="U1010" s="109" t="e">
        <f>U1011/O1011/8</f>
        <v>#DIV/0!</v>
      </c>
      <c r="V1010" s="109"/>
      <c r="W1010" s="109"/>
    </row>
    <row r="1011" spans="1:24" ht="18.75" customHeight="1">
      <c r="A1011" s="109" t="s">
        <v>57</v>
      </c>
      <c r="B1011" s="109" t="s">
        <v>49</v>
      </c>
      <c r="C1011" s="109"/>
      <c r="D1011" s="109" t="s">
        <v>58</v>
      </c>
      <c r="E1011" s="283" t="s">
        <v>59</v>
      </c>
      <c r="F1011" s="283"/>
      <c r="G1011" s="283"/>
      <c r="H1011" s="109" t="s">
        <v>49</v>
      </c>
      <c r="I1011" s="283" t="e">
        <f>I1009*680/((C1011-C1018)*8+C1018*7+C1015)*((C1011-C1018)*8+C1018*7)</f>
        <v>#DIV/0!</v>
      </c>
      <c r="J1011" s="283"/>
      <c r="K1011" s="109" t="s">
        <v>54</v>
      </c>
      <c r="L1011" s="109">
        <f>F1008/L1001*C1011</f>
        <v>0</v>
      </c>
      <c r="M1011" s="109" t="s">
        <v>57</v>
      </c>
      <c r="N1011" s="109" t="s">
        <v>49</v>
      </c>
      <c r="O1011" s="109"/>
      <c r="P1011" s="109" t="s">
        <v>58</v>
      </c>
      <c r="Q1011" s="283" t="s">
        <v>59</v>
      </c>
      <c r="R1011" s="283"/>
      <c r="S1011" s="283"/>
      <c r="T1011" s="109" t="s">
        <v>49</v>
      </c>
      <c r="U1011" s="283" t="e">
        <f>U1009*680/((O1011-O1018)*8+O1018*7+O1015)*((O1011-O1018)*8+O1018*7)</f>
        <v>#DIV/0!</v>
      </c>
      <c r="V1011" s="283"/>
      <c r="W1011" s="109" t="s">
        <v>54</v>
      </c>
      <c r="X1011" s="109">
        <f>R1008/X1001*O1011</f>
        <v>0</v>
      </c>
    </row>
    <row r="1012" spans="1:24" ht="18.75" customHeight="1">
      <c r="A1012" s="109" t="s">
        <v>60</v>
      </c>
      <c r="B1012" s="109" t="s">
        <v>49</v>
      </c>
      <c r="C1012" s="109"/>
      <c r="D1012" s="109" t="s">
        <v>58</v>
      </c>
      <c r="E1012" s="283" t="s">
        <v>61</v>
      </c>
      <c r="F1012" s="283"/>
      <c r="G1012" s="283"/>
      <c r="H1012" s="109" t="s">
        <v>49</v>
      </c>
      <c r="I1012" s="283">
        <f>$F$8/$L$1*C1012</f>
        <v>0</v>
      </c>
      <c r="J1012" s="283"/>
      <c r="K1012" s="109" t="s">
        <v>54</v>
      </c>
      <c r="L1012" s="109"/>
      <c r="M1012" s="109" t="s">
        <v>60</v>
      </c>
      <c r="N1012" s="109" t="s">
        <v>49</v>
      </c>
      <c r="O1012" s="109"/>
      <c r="P1012" s="109" t="s">
        <v>58</v>
      </c>
      <c r="Q1012" s="283" t="s">
        <v>61</v>
      </c>
      <c r="R1012" s="283"/>
      <c r="S1012" s="283"/>
      <c r="T1012" s="109" t="s">
        <v>49</v>
      </c>
      <c r="U1012" s="283">
        <f>$F$8/$L$1*O1012</f>
        <v>0</v>
      </c>
      <c r="V1012" s="283"/>
      <c r="W1012" s="109" t="s">
        <v>54</v>
      </c>
      <c r="X1012" s="109"/>
    </row>
    <row r="1013" spans="1:24" ht="18.75" customHeight="1">
      <c r="A1013" s="109" t="s">
        <v>62</v>
      </c>
      <c r="B1013" s="109" t="s">
        <v>49</v>
      </c>
      <c r="C1013" s="109"/>
      <c r="D1013" s="109" t="s">
        <v>58</v>
      </c>
      <c r="E1013" s="283" t="s">
        <v>63</v>
      </c>
      <c r="F1013" s="283"/>
      <c r="G1013" s="283"/>
      <c r="H1013" s="109" t="s">
        <v>49</v>
      </c>
      <c r="I1013" s="283">
        <f>$F$8/$L$1*C1013</f>
        <v>0</v>
      </c>
      <c r="J1013" s="283"/>
      <c r="K1013" s="109" t="s">
        <v>54</v>
      </c>
      <c r="L1013" s="109"/>
      <c r="M1013" s="109" t="s">
        <v>62</v>
      </c>
      <c r="N1013" s="109" t="s">
        <v>49</v>
      </c>
      <c r="O1013" s="109"/>
      <c r="P1013" s="109" t="s">
        <v>58</v>
      </c>
      <c r="Q1013" s="283" t="s">
        <v>63</v>
      </c>
      <c r="R1013" s="283"/>
      <c r="S1013" s="283"/>
      <c r="T1013" s="109" t="s">
        <v>49</v>
      </c>
      <c r="U1013" s="283">
        <f>$F$8/$L$1*O1013</f>
        <v>0</v>
      </c>
      <c r="V1013" s="283"/>
      <c r="W1013" s="109" t="s">
        <v>54</v>
      </c>
      <c r="X1013" s="109"/>
    </row>
    <row r="1014" spans="1:24" ht="18.75" customHeight="1">
      <c r="A1014" s="109" t="s">
        <v>64</v>
      </c>
      <c r="B1014" s="109" t="s">
        <v>49</v>
      </c>
      <c r="C1014" s="109"/>
      <c r="D1014" s="109" t="s">
        <v>58</v>
      </c>
      <c r="E1014" s="283" t="s">
        <v>65</v>
      </c>
      <c r="F1014" s="283"/>
      <c r="G1014" s="283"/>
      <c r="H1014" s="109" t="s">
        <v>49</v>
      </c>
      <c r="I1014" s="283">
        <f>$F$8/$L$1*C1014</f>
        <v>0</v>
      </c>
      <c r="J1014" s="283"/>
      <c r="K1014" s="109" t="s">
        <v>54</v>
      </c>
      <c r="L1014" s="109"/>
      <c r="M1014" s="109" t="s">
        <v>64</v>
      </c>
      <c r="N1014" s="109" t="s">
        <v>49</v>
      </c>
      <c r="O1014" s="109"/>
      <c r="P1014" s="109" t="s">
        <v>58</v>
      </c>
      <c r="Q1014" s="283" t="s">
        <v>65</v>
      </c>
      <c r="R1014" s="283"/>
      <c r="S1014" s="283"/>
      <c r="T1014" s="109" t="s">
        <v>49</v>
      </c>
      <c r="U1014" s="283">
        <f>$F$8/$L$1*O1014</f>
        <v>0</v>
      </c>
      <c r="V1014" s="283"/>
      <c r="W1014" s="109" t="s">
        <v>54</v>
      </c>
      <c r="X1014" s="109"/>
    </row>
    <row r="1015" spans="1:24" ht="18.75" customHeight="1">
      <c r="A1015" s="109" t="s">
        <v>66</v>
      </c>
      <c r="B1015" s="109" t="s">
        <v>49</v>
      </c>
      <c r="C1015" s="109"/>
      <c r="D1015" s="109" t="s">
        <v>67</v>
      </c>
      <c r="E1015" s="283" t="s">
        <v>68</v>
      </c>
      <c r="F1015" s="283"/>
      <c r="G1015" s="283"/>
      <c r="H1015" s="109" t="s">
        <v>49</v>
      </c>
      <c r="I1015" s="283" t="e">
        <f>I1011/C1011/8*C1015</f>
        <v>#DIV/0!</v>
      </c>
      <c r="J1015" s="283"/>
      <c r="K1015" s="109" t="s">
        <v>54</v>
      </c>
      <c r="L1015" s="109">
        <f>F1008*C1015/L1001/8*1.5</f>
        <v>0</v>
      </c>
      <c r="M1015" s="109" t="s">
        <v>66</v>
      </c>
      <c r="N1015" s="109" t="s">
        <v>49</v>
      </c>
      <c r="O1015" s="109"/>
      <c r="P1015" s="109" t="s">
        <v>67</v>
      </c>
      <c r="Q1015" s="283" t="s">
        <v>68</v>
      </c>
      <c r="R1015" s="283"/>
      <c r="S1015" s="283"/>
      <c r="T1015" s="109" t="s">
        <v>49</v>
      </c>
      <c r="U1015" s="283" t="e">
        <f>U1011/O1011/8*O1015</f>
        <v>#DIV/0!</v>
      </c>
      <c r="V1015" s="283"/>
      <c r="W1015" s="109" t="s">
        <v>54</v>
      </c>
      <c r="X1015" s="109">
        <f>R1008*O1015/X1001/8*1.5</f>
        <v>0</v>
      </c>
    </row>
    <row r="1016" spans="1:24" ht="18.75" customHeight="1">
      <c r="A1016" s="283" t="s">
        <v>69</v>
      </c>
      <c r="B1016" s="283"/>
      <c r="C1016" s="109"/>
      <c r="D1016" s="109" t="s">
        <v>58</v>
      </c>
      <c r="E1016" s="283" t="s">
        <v>70</v>
      </c>
      <c r="F1016" s="283"/>
      <c r="G1016" s="283"/>
      <c r="H1016" s="109" t="s">
        <v>49</v>
      </c>
      <c r="I1016" s="283"/>
      <c r="J1016" s="283"/>
      <c r="K1016" s="109" t="s">
        <v>54</v>
      </c>
      <c r="L1016" s="109"/>
      <c r="M1016" s="283" t="s">
        <v>69</v>
      </c>
      <c r="N1016" s="283"/>
      <c r="O1016" s="109"/>
      <c r="P1016" s="109" t="s">
        <v>58</v>
      </c>
      <c r="Q1016" s="283" t="s">
        <v>70</v>
      </c>
      <c r="R1016" s="283"/>
      <c r="S1016" s="283"/>
      <c r="T1016" s="109" t="s">
        <v>49</v>
      </c>
      <c r="U1016" s="283"/>
      <c r="V1016" s="283"/>
      <c r="W1016" s="109" t="s">
        <v>54</v>
      </c>
      <c r="X1016" s="109"/>
    </row>
    <row r="1017" spans="1:24" ht="18.75" customHeight="1">
      <c r="A1017" s="109" t="s">
        <v>71</v>
      </c>
      <c r="B1017" s="109" t="s">
        <v>49</v>
      </c>
      <c r="C1017" s="109"/>
      <c r="D1017" s="109" t="s">
        <v>58</v>
      </c>
      <c r="E1017" s="283" t="s">
        <v>72</v>
      </c>
      <c r="F1017" s="283"/>
      <c r="G1017" s="283"/>
      <c r="H1017" s="109" t="s">
        <v>49</v>
      </c>
      <c r="I1017" s="283"/>
      <c r="J1017" s="283"/>
      <c r="K1017" s="109" t="s">
        <v>54</v>
      </c>
      <c r="L1017" s="109"/>
      <c r="M1017" s="109" t="s">
        <v>71</v>
      </c>
      <c r="N1017" s="109" t="s">
        <v>49</v>
      </c>
      <c r="O1017" s="109"/>
      <c r="P1017" s="109" t="s">
        <v>58</v>
      </c>
      <c r="Q1017" s="283" t="s">
        <v>72</v>
      </c>
      <c r="R1017" s="283"/>
      <c r="S1017" s="283"/>
      <c r="T1017" s="109" t="s">
        <v>49</v>
      </c>
      <c r="U1017" s="283"/>
      <c r="V1017" s="283"/>
      <c r="W1017" s="109" t="s">
        <v>54</v>
      </c>
      <c r="X1017" s="109"/>
    </row>
    <row r="1018" spans="1:24" ht="18.75" customHeight="1">
      <c r="A1018" s="109" t="s">
        <v>73</v>
      </c>
      <c r="B1018" s="109"/>
      <c r="C1018" s="109"/>
      <c r="D1018" s="109" t="s">
        <v>67</v>
      </c>
      <c r="E1018" s="283" t="s">
        <v>74</v>
      </c>
      <c r="F1018" s="283"/>
      <c r="G1018" s="283"/>
      <c r="H1018" s="109" t="s">
        <v>49</v>
      </c>
      <c r="I1018" s="283">
        <f>$F$8*C1018/8/$L$1</f>
        <v>0</v>
      </c>
      <c r="J1018" s="283"/>
      <c r="K1018" s="109" t="s">
        <v>54</v>
      </c>
      <c r="L1018" s="109"/>
      <c r="M1018" s="109" t="s">
        <v>73</v>
      </c>
      <c r="N1018" s="109"/>
      <c r="O1018" s="109"/>
      <c r="P1018" s="109" t="s">
        <v>67</v>
      </c>
      <c r="Q1018" s="283" t="s">
        <v>74</v>
      </c>
      <c r="R1018" s="283"/>
      <c r="S1018" s="283"/>
      <c r="T1018" s="109" t="s">
        <v>49</v>
      </c>
      <c r="U1018" s="283">
        <f>$F$8*O1018/8/$L$1</f>
        <v>0</v>
      </c>
      <c r="V1018" s="283"/>
      <c r="W1018" s="109" t="s">
        <v>54</v>
      </c>
      <c r="X1018" s="109"/>
    </row>
    <row r="1019" spans="1:24" ht="18.75" customHeight="1">
      <c r="A1019" s="109" t="s">
        <v>75</v>
      </c>
      <c r="B1019" s="109" t="s">
        <v>49</v>
      </c>
      <c r="C1019" s="109"/>
      <c r="D1019" s="109" t="s">
        <v>67</v>
      </c>
      <c r="E1019" s="283" t="s">
        <v>97</v>
      </c>
      <c r="F1019" s="283"/>
      <c r="G1019" s="283"/>
      <c r="H1019" s="109" t="s">
        <v>49</v>
      </c>
      <c r="I1019" s="283"/>
      <c r="J1019" s="283"/>
      <c r="K1019" s="109" t="s">
        <v>54</v>
      </c>
      <c r="L1019" s="109"/>
      <c r="M1019" s="109" t="s">
        <v>75</v>
      </c>
      <c r="N1019" s="109" t="s">
        <v>49</v>
      </c>
      <c r="O1019" s="109"/>
      <c r="P1019" s="109" t="s">
        <v>67</v>
      </c>
      <c r="Q1019" s="283" t="s">
        <v>97</v>
      </c>
      <c r="R1019" s="283"/>
      <c r="S1019" s="283"/>
      <c r="T1019" s="109" t="s">
        <v>49</v>
      </c>
      <c r="U1019" s="283"/>
      <c r="V1019" s="283"/>
      <c r="W1019" s="109" t="s">
        <v>54</v>
      </c>
      <c r="X1019" s="109"/>
    </row>
    <row r="1020" spans="1:24" ht="18.75" customHeight="1">
      <c r="A1020" s="109" t="s">
        <v>77</v>
      </c>
      <c r="B1020" s="109" t="s">
        <v>49</v>
      </c>
      <c r="C1020" s="109"/>
      <c r="D1020" s="109" t="s">
        <v>78</v>
      </c>
      <c r="E1020" s="109" t="s">
        <v>79</v>
      </c>
      <c r="F1020" s="109"/>
      <c r="G1020" s="109"/>
      <c r="H1020" s="109" t="s">
        <v>49</v>
      </c>
      <c r="I1020" s="283"/>
      <c r="J1020" s="283"/>
      <c r="K1020" s="109" t="s">
        <v>54</v>
      </c>
      <c r="L1020" s="109" t="e">
        <f>+IF(L1011-I1011&lt;0,0,L1011-I1011)+IF(L1015-I1015&lt;0,0,L1015-I1015)</f>
        <v>#DIV/0!</v>
      </c>
      <c r="M1020" s="109" t="s">
        <v>77</v>
      </c>
      <c r="N1020" s="109" t="s">
        <v>49</v>
      </c>
      <c r="O1020" s="109"/>
      <c r="P1020" s="109" t="s">
        <v>78</v>
      </c>
      <c r="Q1020" s="109" t="s">
        <v>79</v>
      </c>
      <c r="R1020" s="109"/>
      <c r="S1020" s="109"/>
      <c r="T1020" s="109" t="s">
        <v>49</v>
      </c>
      <c r="U1020" s="283"/>
      <c r="V1020" s="283"/>
      <c r="W1020" s="109" t="s">
        <v>54</v>
      </c>
      <c r="X1020" s="109" t="e">
        <f>+IF(X1011-U1011&lt;0,0,X1011-U1011)+IF(X1015-U1015&lt;0,0,X1015-U1015)</f>
        <v>#DIV/0!</v>
      </c>
    </row>
    <row r="1021" spans="1:24" ht="18.75" customHeight="1">
      <c r="A1021" s="109" t="s">
        <v>122</v>
      </c>
      <c r="B1021" s="109"/>
      <c r="C1021" s="109"/>
      <c r="D1021" s="109" t="s">
        <v>58</v>
      </c>
      <c r="E1021" s="283" t="s">
        <v>123</v>
      </c>
      <c r="F1021" s="283"/>
      <c r="G1021" s="283"/>
      <c r="H1021" s="109" t="s">
        <v>49</v>
      </c>
      <c r="I1021" s="283"/>
      <c r="J1021" s="283"/>
      <c r="K1021" s="109" t="s">
        <v>54</v>
      </c>
      <c r="L1021" s="109"/>
      <c r="M1021" s="109" t="s">
        <v>122</v>
      </c>
      <c r="N1021" s="109"/>
      <c r="O1021" s="109"/>
      <c r="P1021" s="109" t="s">
        <v>58</v>
      </c>
      <c r="Q1021" s="283" t="s">
        <v>123</v>
      </c>
      <c r="R1021" s="283"/>
      <c r="S1021" s="283"/>
      <c r="T1021" s="109" t="s">
        <v>49</v>
      </c>
      <c r="U1021" s="283"/>
      <c r="V1021" s="283"/>
      <c r="W1021" s="109" t="s">
        <v>54</v>
      </c>
      <c r="X1021" s="109"/>
    </row>
    <row r="1022" spans="1:24" ht="18.75" customHeight="1">
      <c r="A1022" s="283" t="s">
        <v>82</v>
      </c>
      <c r="B1022" s="283"/>
      <c r="C1022" s="109"/>
      <c r="D1022" s="109"/>
      <c r="E1022" s="109"/>
      <c r="F1022" s="109"/>
      <c r="G1022" s="109"/>
      <c r="H1022" s="109" t="s">
        <v>49</v>
      </c>
      <c r="I1022" s="283"/>
      <c r="J1022" s="283"/>
      <c r="K1022" s="109" t="s">
        <v>54</v>
      </c>
      <c r="L1022" s="109"/>
      <c r="M1022" s="283" t="s">
        <v>82</v>
      </c>
      <c r="N1022" s="283"/>
      <c r="O1022" s="109"/>
      <c r="P1022" s="109"/>
      <c r="Q1022" s="109"/>
      <c r="R1022" s="109"/>
      <c r="S1022" s="109"/>
      <c r="T1022" s="109" t="s">
        <v>49</v>
      </c>
      <c r="U1022" s="283"/>
      <c r="V1022" s="283"/>
      <c r="W1022" s="109" t="s">
        <v>54</v>
      </c>
      <c r="X1022" s="109"/>
    </row>
    <row r="1023" spans="1:24" ht="18.75" customHeight="1">
      <c r="A1023" s="109" t="s">
        <v>83</v>
      </c>
      <c r="B1023" s="109" t="s">
        <v>49</v>
      </c>
      <c r="C1023" s="109"/>
      <c r="D1023" s="109"/>
      <c r="E1023" s="109" t="s">
        <v>84</v>
      </c>
      <c r="F1023" s="109"/>
      <c r="G1023" s="109"/>
      <c r="H1023" s="109" t="s">
        <v>49</v>
      </c>
      <c r="I1023" s="283" t="e">
        <f>L1020</f>
        <v>#DIV/0!</v>
      </c>
      <c r="J1023" s="283"/>
      <c r="K1023" s="109" t="s">
        <v>54</v>
      </c>
      <c r="L1023" s="109"/>
      <c r="M1023" s="109" t="s">
        <v>83</v>
      </c>
      <c r="N1023" s="109" t="s">
        <v>49</v>
      </c>
      <c r="O1023" s="109"/>
      <c r="P1023" s="109"/>
      <c r="Q1023" s="109" t="s">
        <v>84</v>
      </c>
      <c r="R1023" s="109"/>
      <c r="S1023" s="109"/>
      <c r="T1023" s="109" t="s">
        <v>49</v>
      </c>
      <c r="U1023" s="283" t="e">
        <f>X1020</f>
        <v>#DIV/0!</v>
      </c>
      <c r="V1023" s="283"/>
      <c r="W1023" s="109" t="s">
        <v>54</v>
      </c>
      <c r="X1023" s="109"/>
    </row>
    <row r="1024" spans="1:24" ht="18.75" customHeight="1">
      <c r="A1024" s="283" t="s">
        <v>85</v>
      </c>
      <c r="B1024" s="283"/>
      <c r="C1024" s="283"/>
      <c r="D1024" s="283"/>
      <c r="E1024" s="283"/>
      <c r="F1024" s="283"/>
      <c r="G1024" s="109" t="s">
        <v>49</v>
      </c>
      <c r="H1024" s="283" t="e">
        <f>I1011+I1012+I1013+I1014+I1015+I1018+I1022+I1023</f>
        <v>#DIV/0!</v>
      </c>
      <c r="I1024" s="283"/>
      <c r="J1024" s="283"/>
      <c r="K1024" s="109" t="s">
        <v>54</v>
      </c>
      <c r="M1024" s="283" t="s">
        <v>85</v>
      </c>
      <c r="N1024" s="283"/>
      <c r="O1024" s="283"/>
      <c r="P1024" s="283"/>
      <c r="Q1024" s="283"/>
      <c r="R1024" s="283"/>
      <c r="S1024" s="109" t="s">
        <v>49</v>
      </c>
      <c r="T1024" s="283" t="e">
        <f>U1011+U1012+U1013+U1014+U1015+U1018+U1022+U1023</f>
        <v>#DIV/0!</v>
      </c>
      <c r="U1024" s="283"/>
      <c r="V1024" s="283"/>
      <c r="W1024" s="109" t="s">
        <v>54</v>
      </c>
    </row>
    <row r="1025" spans="1:24" ht="18.75" customHeight="1">
      <c r="A1025" s="109"/>
      <c r="B1025" s="109"/>
      <c r="C1025" s="109"/>
      <c r="D1025" s="109"/>
      <c r="E1025" s="109"/>
      <c r="F1025" s="109"/>
      <c r="G1025" s="109"/>
      <c r="H1025" s="109"/>
      <c r="I1025" s="109"/>
      <c r="J1025" s="109"/>
      <c r="K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</row>
    <row r="1026" spans="1:24" ht="18.75" customHeight="1">
      <c r="A1026" s="283" t="s">
        <v>86</v>
      </c>
      <c r="B1026" s="283"/>
      <c r="C1026" s="283"/>
      <c r="D1026" s="283"/>
      <c r="E1026" s="283"/>
      <c r="F1026" s="283"/>
      <c r="G1026" s="109"/>
      <c r="H1026" s="109"/>
      <c r="I1026" s="109"/>
      <c r="J1026" s="109"/>
      <c r="K1026" s="109"/>
      <c r="M1026" s="283" t="s">
        <v>86</v>
      </c>
      <c r="N1026" s="283"/>
      <c r="O1026" s="283"/>
      <c r="P1026" s="283"/>
      <c r="Q1026" s="283"/>
      <c r="R1026" s="283"/>
      <c r="S1026" s="109"/>
      <c r="T1026" s="109"/>
      <c r="U1026" s="109"/>
      <c r="V1026" s="109"/>
      <c r="W1026" s="109"/>
    </row>
    <row r="1027" spans="1:24" ht="18.75" customHeight="1">
      <c r="A1027" s="283" t="s">
        <v>87</v>
      </c>
      <c r="B1027" s="283"/>
      <c r="C1027" s="283"/>
      <c r="D1027" s="283"/>
      <c r="E1027" s="283"/>
      <c r="F1027" s="283"/>
      <c r="G1027" s="109" t="s">
        <v>49</v>
      </c>
      <c r="H1027" s="283">
        <f>IF(($L$1-(C1011+C1012+C1013+C1014))&gt;12,0,F1008*8%)</f>
        <v>0</v>
      </c>
      <c r="I1027" s="283"/>
      <c r="J1027" s="283"/>
      <c r="K1027" s="109" t="s">
        <v>54</v>
      </c>
      <c r="M1027" s="283" t="s">
        <v>87</v>
      </c>
      <c r="N1027" s="283"/>
      <c r="O1027" s="283"/>
      <c r="P1027" s="283"/>
      <c r="Q1027" s="283"/>
      <c r="R1027" s="283"/>
      <c r="S1027" s="109" t="s">
        <v>49</v>
      </c>
      <c r="T1027" s="283">
        <f>IF(($L$1-(O1011+O1012+O1013+O1014))&gt;12,0,R1008*8%)</f>
        <v>0</v>
      </c>
      <c r="U1027" s="283"/>
      <c r="V1027" s="283"/>
      <c r="W1027" s="109" t="s">
        <v>54</v>
      </c>
    </row>
    <row r="1028" spans="1:24" ht="18.75" customHeight="1">
      <c r="A1028" s="283" t="s">
        <v>88</v>
      </c>
      <c r="B1028" s="283"/>
      <c r="C1028" s="283"/>
      <c r="D1028" s="283"/>
      <c r="E1028" s="283"/>
      <c r="F1028" s="283"/>
      <c r="G1028" s="109" t="s">
        <v>49</v>
      </c>
      <c r="H1028" s="283">
        <f>IF(($L$1-(C1011+C1012+C1013+C1014))&gt;12,0,F1008*1.5%)</f>
        <v>0</v>
      </c>
      <c r="I1028" s="283"/>
      <c r="J1028" s="283"/>
      <c r="K1028" s="109" t="s">
        <v>54</v>
      </c>
      <c r="M1028" s="283" t="s">
        <v>88</v>
      </c>
      <c r="N1028" s="283"/>
      <c r="O1028" s="283"/>
      <c r="P1028" s="283"/>
      <c r="Q1028" s="283"/>
      <c r="R1028" s="283"/>
      <c r="S1028" s="109" t="s">
        <v>49</v>
      </c>
      <c r="T1028" s="283">
        <f>IF(($L$1-(O1011+O1012+O1013+O1014))&gt;12,0,R1008*1.5%)</f>
        <v>0</v>
      </c>
      <c r="U1028" s="283"/>
      <c r="V1028" s="283"/>
      <c r="W1028" s="109" t="s">
        <v>54</v>
      </c>
    </row>
    <row r="1029" spans="1:24" ht="18.75" customHeight="1">
      <c r="A1029" s="283" t="s">
        <v>89</v>
      </c>
      <c r="B1029" s="283"/>
      <c r="C1029" s="283"/>
      <c r="D1029" s="283"/>
      <c r="E1029" s="283"/>
      <c r="F1029" s="283"/>
      <c r="G1029" s="109" t="s">
        <v>49</v>
      </c>
      <c r="H1029" s="283">
        <f>IF(($L$1-(C1011+C1012+C1013+C1014))&gt;12,0,F1008*1%)</f>
        <v>0</v>
      </c>
      <c r="I1029" s="283"/>
      <c r="J1029" s="283"/>
      <c r="K1029" s="109" t="s">
        <v>54</v>
      </c>
      <c r="M1029" s="283" t="s">
        <v>89</v>
      </c>
      <c r="N1029" s="283"/>
      <c r="O1029" s="283"/>
      <c r="P1029" s="283"/>
      <c r="Q1029" s="283"/>
      <c r="R1029" s="283"/>
      <c r="S1029" s="109" t="s">
        <v>49</v>
      </c>
      <c r="T1029" s="283">
        <f>IF(($L$1-(O1011+O1012+O1013+O1014))&gt;12,0,R1008*1%)</f>
        <v>0</v>
      </c>
      <c r="U1029" s="283"/>
      <c r="V1029" s="283"/>
      <c r="W1029" s="109" t="s">
        <v>54</v>
      </c>
    </row>
    <row r="1030" spans="1:24" ht="18.75" customHeight="1">
      <c r="A1030" s="283" t="s">
        <v>90</v>
      </c>
      <c r="B1030" s="283"/>
      <c r="C1030" s="283"/>
      <c r="D1030" s="283"/>
      <c r="E1030" s="283"/>
      <c r="F1030" s="283"/>
      <c r="G1030" s="109" t="s">
        <v>49</v>
      </c>
      <c r="H1030" s="283">
        <v>0</v>
      </c>
      <c r="I1030" s="283"/>
      <c r="J1030" s="283"/>
      <c r="K1030" s="109" t="s">
        <v>54</v>
      </c>
      <c r="M1030" s="283" t="s">
        <v>90</v>
      </c>
      <c r="N1030" s="283"/>
      <c r="O1030" s="283"/>
      <c r="P1030" s="283"/>
      <c r="Q1030" s="283"/>
      <c r="R1030" s="283"/>
      <c r="S1030" s="109" t="s">
        <v>49</v>
      </c>
      <c r="T1030" s="283">
        <v>0</v>
      </c>
      <c r="U1030" s="283"/>
      <c r="V1030" s="283"/>
      <c r="W1030" s="109" t="s">
        <v>54</v>
      </c>
    </row>
    <row r="1031" spans="1:24" ht="18.75" customHeight="1">
      <c r="A1031" s="283" t="s">
        <v>91</v>
      </c>
      <c r="B1031" s="283"/>
      <c r="C1031" s="283"/>
      <c r="D1031" s="283"/>
      <c r="E1031" s="283"/>
      <c r="F1031" s="283"/>
      <c r="G1031" s="109" t="s">
        <v>49</v>
      </c>
      <c r="H1031" s="283">
        <f>SUM(H1027:J1030)</f>
        <v>0</v>
      </c>
      <c r="I1031" s="283"/>
      <c r="J1031" s="283"/>
      <c r="K1031" s="109" t="s">
        <v>54</v>
      </c>
      <c r="M1031" s="283" t="s">
        <v>91</v>
      </c>
      <c r="N1031" s="283"/>
      <c r="O1031" s="283"/>
      <c r="P1031" s="283"/>
      <c r="Q1031" s="283"/>
      <c r="R1031" s="283"/>
      <c r="S1031" s="109" t="s">
        <v>49</v>
      </c>
      <c r="T1031" s="283">
        <f>SUM(T1027:V1030)</f>
        <v>0</v>
      </c>
      <c r="U1031" s="283"/>
      <c r="V1031" s="283"/>
      <c r="W1031" s="109" t="s">
        <v>54</v>
      </c>
    </row>
    <row r="1032" spans="1:24" ht="18.75" customHeight="1">
      <c r="A1032" s="283" t="s">
        <v>92</v>
      </c>
      <c r="B1032" s="283"/>
      <c r="C1032" s="283"/>
      <c r="D1032" s="283"/>
      <c r="E1032" s="283"/>
      <c r="F1032" s="283"/>
      <c r="G1032" s="109" t="s">
        <v>49</v>
      </c>
      <c r="H1032" s="283" t="e">
        <f>ROUND(H1024-H1031,-2)</f>
        <v>#DIV/0!</v>
      </c>
      <c r="I1032" s="283"/>
      <c r="J1032" s="283"/>
      <c r="K1032" s="109" t="s">
        <v>54</v>
      </c>
      <c r="M1032" s="283" t="s">
        <v>92</v>
      </c>
      <c r="N1032" s="283"/>
      <c r="O1032" s="283"/>
      <c r="P1032" s="283"/>
      <c r="Q1032" s="283"/>
      <c r="R1032" s="283"/>
      <c r="S1032" s="109" t="s">
        <v>49</v>
      </c>
      <c r="T1032" s="283" t="e">
        <f>ROUND(T1024-T1031,-2)</f>
        <v>#DIV/0!</v>
      </c>
      <c r="U1032" s="283"/>
      <c r="V1032" s="283"/>
      <c r="W1032" s="109" t="s">
        <v>54</v>
      </c>
    </row>
    <row r="1033" spans="1:24" ht="18.75" customHeight="1">
      <c r="A1033" s="109"/>
      <c r="B1033" s="109"/>
      <c r="C1033" s="109"/>
      <c r="D1033" s="109"/>
      <c r="E1033" s="109"/>
      <c r="F1033" s="109"/>
      <c r="G1033" s="109"/>
      <c r="H1033" s="109"/>
      <c r="I1033" s="109"/>
      <c r="J1033" s="109"/>
      <c r="K1033" s="109"/>
      <c r="M1033" s="109"/>
      <c r="N1033" s="109"/>
      <c r="O1033" s="109"/>
      <c r="P1033" s="109"/>
      <c r="Q1033" s="109"/>
      <c r="R1033" s="109"/>
      <c r="S1033" s="109"/>
      <c r="T1033" s="109"/>
      <c r="U1033" s="109"/>
      <c r="V1033" s="109"/>
      <c r="W1033" s="109"/>
    </row>
    <row r="1034" spans="1:24" ht="18.75" customHeight="1">
      <c r="A1034" s="109"/>
      <c r="B1034" s="109"/>
      <c r="C1034" s="109"/>
      <c r="D1034" s="109"/>
      <c r="E1034" s="109"/>
      <c r="F1034" s="109"/>
      <c r="G1034" s="109"/>
      <c r="H1034" s="109"/>
      <c r="I1034" s="283" t="s">
        <v>93</v>
      </c>
      <c r="J1034" s="283"/>
      <c r="K1034" s="283"/>
      <c r="M1034" s="109"/>
      <c r="N1034" s="109"/>
      <c r="O1034" s="109"/>
      <c r="P1034" s="109"/>
      <c r="Q1034" s="109"/>
      <c r="R1034" s="109"/>
      <c r="S1034" s="109"/>
      <c r="T1034" s="109"/>
      <c r="U1034" s="283" t="s">
        <v>93</v>
      </c>
      <c r="V1034" s="283"/>
      <c r="W1034" s="283"/>
    </row>
    <row r="1035" spans="1:24" ht="18.75" customHeight="1">
      <c r="A1035" s="109"/>
      <c r="B1035" s="283"/>
      <c r="C1035" s="283"/>
      <c r="D1035" s="283"/>
      <c r="E1035" s="283"/>
      <c r="F1035" s="109"/>
      <c r="G1035" s="109"/>
      <c r="H1035" s="109"/>
      <c r="I1035" s="109"/>
      <c r="J1035" s="109"/>
      <c r="K1035" s="109"/>
      <c r="M1035" s="109"/>
      <c r="N1035" s="283"/>
      <c r="O1035" s="283"/>
      <c r="P1035" s="283"/>
      <c r="Q1035" s="283"/>
      <c r="R1035" s="109"/>
      <c r="S1035" s="109"/>
      <c r="T1035" s="109"/>
      <c r="U1035" s="109"/>
      <c r="V1035" s="109"/>
      <c r="W1035" s="109"/>
    </row>
    <row r="1036" spans="1:24" ht="18.75" customHeight="1">
      <c r="A1036" s="109"/>
      <c r="B1036" s="109"/>
      <c r="C1036" s="109"/>
      <c r="D1036" s="109"/>
      <c r="E1036" s="109"/>
      <c r="F1036" s="109"/>
      <c r="G1036" s="109"/>
      <c r="H1036" s="109"/>
      <c r="I1036" s="283" t="s">
        <v>94</v>
      </c>
      <c r="J1036" s="283"/>
      <c r="K1036" s="283"/>
      <c r="M1036" s="109"/>
      <c r="N1036" s="109"/>
      <c r="O1036" s="109"/>
      <c r="P1036" s="109"/>
      <c r="Q1036" s="109"/>
      <c r="R1036" s="109"/>
      <c r="S1036" s="109"/>
      <c r="T1036" s="109"/>
      <c r="U1036" s="283" t="s">
        <v>94</v>
      </c>
      <c r="V1036" s="283"/>
      <c r="W1036" s="283"/>
    </row>
    <row r="1038" spans="1:24" ht="18.75" customHeight="1">
      <c r="A1038" s="283" t="s">
        <v>43</v>
      </c>
      <c r="B1038" s="283"/>
      <c r="C1038" s="283"/>
      <c r="D1038" s="283"/>
      <c r="E1038" s="283"/>
      <c r="F1038" s="283"/>
      <c r="G1038" s="283"/>
      <c r="H1038" s="283"/>
      <c r="I1038" s="283"/>
      <c r="J1038" s="283"/>
      <c r="K1038" s="283"/>
      <c r="L1038" s="109">
        <v>24</v>
      </c>
      <c r="M1038" s="283" t="s">
        <v>43</v>
      </c>
      <c r="N1038" s="283"/>
      <c r="O1038" s="283"/>
      <c r="P1038" s="283"/>
      <c r="Q1038" s="283"/>
      <c r="R1038" s="283"/>
      <c r="S1038" s="283"/>
      <c r="T1038" s="283"/>
      <c r="U1038" s="283"/>
      <c r="V1038" s="283"/>
      <c r="W1038" s="283"/>
      <c r="X1038" s="109">
        <v>24</v>
      </c>
    </row>
    <row r="1039" spans="1:24" ht="18.75" customHeight="1">
      <c r="A1039" s="109" t="s">
        <v>164</v>
      </c>
      <c r="B1039" s="109"/>
      <c r="C1039" s="109"/>
      <c r="D1039" s="109"/>
      <c r="E1039" s="109"/>
      <c r="F1039" s="109"/>
      <c r="G1039" s="109"/>
      <c r="H1039" s="109"/>
      <c r="I1039" s="109"/>
      <c r="J1039" s="109"/>
      <c r="K1039" s="109"/>
      <c r="M1039" s="109" t="s">
        <v>165</v>
      </c>
      <c r="N1039" s="109"/>
      <c r="O1039" s="109"/>
      <c r="P1039" s="109"/>
      <c r="Q1039" s="109"/>
      <c r="R1039" s="109"/>
      <c r="S1039" s="109"/>
      <c r="T1039" s="109"/>
      <c r="U1039" s="109"/>
      <c r="V1039" s="109"/>
      <c r="W1039" s="109"/>
    </row>
    <row r="1040" spans="1:24" ht="18.75" customHeight="1">
      <c r="A1040" s="283" t="s">
        <v>47</v>
      </c>
      <c r="B1040" s="283"/>
      <c r="C1040" s="283"/>
      <c r="D1040" s="283"/>
      <c r="E1040" s="283"/>
      <c r="F1040" s="283"/>
      <c r="G1040" s="283"/>
      <c r="H1040" s="283"/>
      <c r="I1040" s="283"/>
      <c r="J1040" s="283"/>
      <c r="K1040" s="283"/>
      <c r="M1040" s="283" t="s">
        <v>47</v>
      </c>
      <c r="N1040" s="283"/>
      <c r="O1040" s="283"/>
      <c r="P1040" s="283"/>
      <c r="Q1040" s="283"/>
      <c r="R1040" s="283"/>
      <c r="S1040" s="283"/>
      <c r="T1040" s="283"/>
      <c r="U1040" s="283"/>
      <c r="V1040" s="283"/>
      <c r="W1040" s="283"/>
    </row>
    <row r="1041" spans="1:24" ht="18.75" customHeight="1">
      <c r="A1041" s="283" t="s">
        <v>48</v>
      </c>
      <c r="B1041" s="283"/>
      <c r="C1041" s="283"/>
      <c r="D1041" s="283"/>
      <c r="E1041" s="109" t="s">
        <v>49</v>
      </c>
      <c r="F1041" s="283"/>
      <c r="G1041" s="283"/>
      <c r="H1041" s="283"/>
      <c r="I1041" s="283"/>
      <c r="J1041" s="283"/>
      <c r="K1041" s="283"/>
      <c r="M1041" s="283" t="s">
        <v>48</v>
      </c>
      <c r="N1041" s="283"/>
      <c r="O1041" s="283"/>
      <c r="P1041" s="283"/>
      <c r="Q1041" s="109" t="s">
        <v>49</v>
      </c>
      <c r="R1041" s="283"/>
      <c r="S1041" s="283"/>
      <c r="T1041" s="283"/>
      <c r="U1041" s="283"/>
      <c r="V1041" s="283"/>
      <c r="W1041" s="283"/>
    </row>
    <row r="1042" spans="1:24" ht="18.75" customHeight="1">
      <c r="A1042" s="283" t="s">
        <v>50</v>
      </c>
      <c r="B1042" s="283"/>
      <c r="C1042" s="283"/>
      <c r="D1042" s="283"/>
      <c r="E1042" s="109" t="s">
        <v>49</v>
      </c>
      <c r="F1042" s="283"/>
      <c r="G1042" s="283"/>
      <c r="H1042" s="283"/>
      <c r="I1042" s="283"/>
      <c r="J1042" s="283"/>
      <c r="K1042" s="283"/>
      <c r="M1042" s="283" t="s">
        <v>50</v>
      </c>
      <c r="N1042" s="283"/>
      <c r="O1042" s="283"/>
      <c r="P1042" s="283"/>
      <c r="Q1042" s="109" t="s">
        <v>49</v>
      </c>
      <c r="R1042" s="283"/>
      <c r="S1042" s="283"/>
      <c r="T1042" s="283"/>
      <c r="U1042" s="283"/>
      <c r="V1042" s="283"/>
      <c r="W1042" s="283"/>
    </row>
    <row r="1043" spans="1:24" ht="18.75" customHeight="1">
      <c r="A1043" s="283" t="s">
        <v>51</v>
      </c>
      <c r="B1043" s="283"/>
      <c r="C1043" s="283"/>
      <c r="D1043" s="283"/>
      <c r="E1043" s="109" t="s">
        <v>49</v>
      </c>
      <c r="F1043" s="283" t="s">
        <v>121</v>
      </c>
      <c r="G1043" s="283"/>
      <c r="H1043" s="283"/>
      <c r="I1043" s="283"/>
      <c r="J1043" s="283"/>
      <c r="K1043" s="283"/>
      <c r="M1043" s="283" t="s">
        <v>51</v>
      </c>
      <c r="N1043" s="283"/>
      <c r="O1043" s="283"/>
      <c r="P1043" s="283"/>
      <c r="Q1043" s="109" t="s">
        <v>49</v>
      </c>
      <c r="R1043" s="283" t="s">
        <v>121</v>
      </c>
      <c r="S1043" s="283"/>
      <c r="T1043" s="283"/>
      <c r="U1043" s="283"/>
      <c r="V1043" s="283"/>
      <c r="W1043" s="283"/>
    </row>
    <row r="1044" spans="1:24" ht="18.75" customHeight="1">
      <c r="A1044" s="283" t="s">
        <v>52</v>
      </c>
      <c r="B1044" s="283"/>
      <c r="C1044" s="283"/>
      <c r="D1044" s="283"/>
      <c r="E1044" s="283"/>
      <c r="F1044" s="283"/>
      <c r="G1044" s="283"/>
      <c r="H1044" s="283"/>
      <c r="I1044" s="283"/>
      <c r="J1044" s="283"/>
      <c r="K1044" s="283"/>
      <c r="M1044" s="283" t="s">
        <v>52</v>
      </c>
      <c r="N1044" s="283"/>
      <c r="O1044" s="283"/>
      <c r="P1044" s="283"/>
      <c r="Q1044" s="283"/>
      <c r="R1044" s="283"/>
      <c r="S1044" s="283"/>
      <c r="T1044" s="283"/>
      <c r="U1044" s="283"/>
      <c r="V1044" s="283"/>
      <c r="W1044" s="283"/>
    </row>
    <row r="1045" spans="1:24" ht="18.75" customHeight="1">
      <c r="A1045" s="283" t="s">
        <v>53</v>
      </c>
      <c r="B1045" s="283"/>
      <c r="C1045" s="283"/>
      <c r="D1045" s="283"/>
      <c r="E1045" s="109" t="s">
        <v>49</v>
      </c>
      <c r="F1045" s="283">
        <v>2915400</v>
      </c>
      <c r="G1045" s="283"/>
      <c r="H1045" s="283"/>
      <c r="I1045" s="283"/>
      <c r="J1045" s="109" t="s">
        <v>54</v>
      </c>
      <c r="K1045" s="109"/>
      <c r="M1045" s="283" t="s">
        <v>53</v>
      </c>
      <c r="N1045" s="283"/>
      <c r="O1045" s="283"/>
      <c r="P1045" s="283"/>
      <c r="Q1045" s="109" t="s">
        <v>49</v>
      </c>
      <c r="R1045" s="283">
        <v>2915400</v>
      </c>
      <c r="S1045" s="283"/>
      <c r="T1045" s="283"/>
      <c r="U1045" s="283"/>
      <c r="V1045" s="109" t="s">
        <v>54</v>
      </c>
      <c r="W1045" s="109"/>
    </row>
    <row r="1046" spans="1:24" ht="18.75" customHeight="1">
      <c r="A1046" s="109" t="s">
        <v>55</v>
      </c>
      <c r="B1046" s="109"/>
      <c r="C1046" s="109"/>
      <c r="D1046" s="109"/>
      <c r="E1046" s="109"/>
      <c r="F1046" s="109"/>
      <c r="G1046" s="109"/>
      <c r="H1046" s="109"/>
      <c r="I1046" s="109"/>
      <c r="J1046" s="109"/>
      <c r="K1046" s="109"/>
      <c r="M1046" s="109" t="s">
        <v>55</v>
      </c>
      <c r="N1046" s="109"/>
      <c r="O1046" s="109"/>
      <c r="P1046" s="109"/>
      <c r="Q1046" s="109"/>
      <c r="R1046" s="109"/>
      <c r="S1046" s="109"/>
      <c r="T1046" s="109"/>
      <c r="U1046" s="109"/>
      <c r="V1046" s="109"/>
      <c r="W1046" s="109"/>
    </row>
    <row r="1047" spans="1:24" ht="18.75" customHeight="1">
      <c r="A1047" s="109" t="s">
        <v>56</v>
      </c>
      <c r="B1047" s="109"/>
      <c r="C1047" s="109"/>
      <c r="D1047" s="109"/>
      <c r="E1047" s="109"/>
      <c r="F1047" s="109"/>
      <c r="G1047" s="109"/>
      <c r="H1047" s="109"/>
      <c r="I1047" s="109" t="e">
        <f>I1048/C1048/8</f>
        <v>#DIV/0!</v>
      </c>
      <c r="J1047" s="109"/>
      <c r="K1047" s="109"/>
      <c r="M1047" s="109" t="s">
        <v>56</v>
      </c>
      <c r="N1047" s="109"/>
      <c r="O1047" s="109"/>
      <c r="P1047" s="109"/>
      <c r="Q1047" s="109"/>
      <c r="R1047" s="109"/>
      <c r="S1047" s="109"/>
      <c r="T1047" s="109"/>
      <c r="U1047" s="109" t="e">
        <f>U1048/O1048/8</f>
        <v>#DIV/0!</v>
      </c>
      <c r="V1047" s="109"/>
      <c r="W1047" s="109"/>
    </row>
    <row r="1048" spans="1:24" ht="18.75" customHeight="1">
      <c r="A1048" s="109" t="s">
        <v>57</v>
      </c>
      <c r="B1048" s="109" t="s">
        <v>49</v>
      </c>
      <c r="C1048" s="109"/>
      <c r="D1048" s="109" t="s">
        <v>58</v>
      </c>
      <c r="E1048" s="283" t="s">
        <v>59</v>
      </c>
      <c r="F1048" s="283"/>
      <c r="G1048" s="283"/>
      <c r="H1048" s="109" t="s">
        <v>49</v>
      </c>
      <c r="I1048" s="283" t="e">
        <f>I1046*680/((C1048-C1055)*8+C1055*7+C1052)*((C1048-C1055)*8+C1055*7)</f>
        <v>#DIV/0!</v>
      </c>
      <c r="J1048" s="283"/>
      <c r="K1048" s="109" t="s">
        <v>54</v>
      </c>
      <c r="L1048" s="109">
        <f>F1045/L1038*C1048</f>
        <v>0</v>
      </c>
      <c r="M1048" s="109" t="s">
        <v>57</v>
      </c>
      <c r="N1048" s="109" t="s">
        <v>49</v>
      </c>
      <c r="O1048" s="109"/>
      <c r="P1048" s="109" t="s">
        <v>58</v>
      </c>
      <c r="Q1048" s="283" t="s">
        <v>59</v>
      </c>
      <c r="R1048" s="283"/>
      <c r="S1048" s="283"/>
      <c r="T1048" s="109" t="s">
        <v>49</v>
      </c>
      <c r="U1048" s="283" t="e">
        <f>U1046*680/((O1048-O1055)*8+O1055*7+O1052)*((O1048-O1055)*8+O1055*7)</f>
        <v>#DIV/0!</v>
      </c>
      <c r="V1048" s="283"/>
      <c r="W1048" s="109" t="s">
        <v>54</v>
      </c>
      <c r="X1048" s="109">
        <f>R1045/X1038*O1048</f>
        <v>0</v>
      </c>
    </row>
    <row r="1049" spans="1:24" ht="18.75" customHeight="1">
      <c r="A1049" s="109" t="s">
        <v>60</v>
      </c>
      <c r="B1049" s="109" t="s">
        <v>49</v>
      </c>
      <c r="C1049" s="109"/>
      <c r="D1049" s="109" t="s">
        <v>58</v>
      </c>
      <c r="E1049" s="283" t="s">
        <v>61</v>
      </c>
      <c r="F1049" s="283"/>
      <c r="G1049" s="283"/>
      <c r="H1049" s="109" t="s">
        <v>49</v>
      </c>
      <c r="I1049" s="283">
        <f>$F$8/$L$1*C1049</f>
        <v>0</v>
      </c>
      <c r="J1049" s="283"/>
      <c r="K1049" s="109" t="s">
        <v>54</v>
      </c>
      <c r="L1049" s="109"/>
      <c r="M1049" s="109" t="s">
        <v>60</v>
      </c>
      <c r="N1049" s="109" t="s">
        <v>49</v>
      </c>
      <c r="O1049" s="109"/>
      <c r="P1049" s="109" t="s">
        <v>58</v>
      </c>
      <c r="Q1049" s="283" t="s">
        <v>61</v>
      </c>
      <c r="R1049" s="283"/>
      <c r="S1049" s="283"/>
      <c r="T1049" s="109" t="s">
        <v>49</v>
      </c>
      <c r="U1049" s="283">
        <f>$F$8/$L$1*O1049</f>
        <v>0</v>
      </c>
      <c r="V1049" s="283"/>
      <c r="W1049" s="109" t="s">
        <v>54</v>
      </c>
      <c r="X1049" s="109"/>
    </row>
    <row r="1050" spans="1:24" ht="18.75" customHeight="1">
      <c r="A1050" s="109" t="s">
        <v>62</v>
      </c>
      <c r="B1050" s="109" t="s">
        <v>49</v>
      </c>
      <c r="C1050" s="109"/>
      <c r="D1050" s="109" t="s">
        <v>58</v>
      </c>
      <c r="E1050" s="283" t="s">
        <v>63</v>
      </c>
      <c r="F1050" s="283"/>
      <c r="G1050" s="283"/>
      <c r="H1050" s="109" t="s">
        <v>49</v>
      </c>
      <c r="I1050" s="283">
        <f>$F$8/$L$1*C1050</f>
        <v>0</v>
      </c>
      <c r="J1050" s="283"/>
      <c r="K1050" s="109" t="s">
        <v>54</v>
      </c>
      <c r="L1050" s="109"/>
      <c r="M1050" s="109" t="s">
        <v>62</v>
      </c>
      <c r="N1050" s="109" t="s">
        <v>49</v>
      </c>
      <c r="O1050" s="109"/>
      <c r="P1050" s="109" t="s">
        <v>58</v>
      </c>
      <c r="Q1050" s="283" t="s">
        <v>63</v>
      </c>
      <c r="R1050" s="283"/>
      <c r="S1050" s="283"/>
      <c r="T1050" s="109" t="s">
        <v>49</v>
      </c>
      <c r="U1050" s="283">
        <f>$F$8/$L$1*O1050</f>
        <v>0</v>
      </c>
      <c r="V1050" s="283"/>
      <c r="W1050" s="109" t="s">
        <v>54</v>
      </c>
      <c r="X1050" s="109"/>
    </row>
    <row r="1051" spans="1:24" ht="18.75" customHeight="1">
      <c r="A1051" s="109" t="s">
        <v>64</v>
      </c>
      <c r="B1051" s="109" t="s">
        <v>49</v>
      </c>
      <c r="C1051" s="109"/>
      <c r="D1051" s="109" t="s">
        <v>58</v>
      </c>
      <c r="E1051" s="283" t="s">
        <v>65</v>
      </c>
      <c r="F1051" s="283"/>
      <c r="G1051" s="283"/>
      <c r="H1051" s="109" t="s">
        <v>49</v>
      </c>
      <c r="I1051" s="283">
        <f>$F$8/$L$1*C1051</f>
        <v>0</v>
      </c>
      <c r="J1051" s="283"/>
      <c r="K1051" s="109" t="s">
        <v>54</v>
      </c>
      <c r="L1051" s="109"/>
      <c r="M1051" s="109" t="s">
        <v>64</v>
      </c>
      <c r="N1051" s="109" t="s">
        <v>49</v>
      </c>
      <c r="O1051" s="109"/>
      <c r="P1051" s="109" t="s">
        <v>58</v>
      </c>
      <c r="Q1051" s="283" t="s">
        <v>65</v>
      </c>
      <c r="R1051" s="283"/>
      <c r="S1051" s="283"/>
      <c r="T1051" s="109" t="s">
        <v>49</v>
      </c>
      <c r="U1051" s="283">
        <f>$F$8/$L$1*O1051</f>
        <v>0</v>
      </c>
      <c r="V1051" s="283"/>
      <c r="W1051" s="109" t="s">
        <v>54</v>
      </c>
      <c r="X1051" s="109"/>
    </row>
    <row r="1052" spans="1:24" ht="18.75" customHeight="1">
      <c r="A1052" s="109" t="s">
        <v>66</v>
      </c>
      <c r="B1052" s="109" t="s">
        <v>49</v>
      </c>
      <c r="C1052" s="109"/>
      <c r="D1052" s="109" t="s">
        <v>67</v>
      </c>
      <c r="E1052" s="283" t="s">
        <v>68</v>
      </c>
      <c r="F1052" s="283"/>
      <c r="G1052" s="283"/>
      <c r="H1052" s="109" t="s">
        <v>49</v>
      </c>
      <c r="I1052" s="283" t="e">
        <f>I1048/C1048/8*C1052</f>
        <v>#DIV/0!</v>
      </c>
      <c r="J1052" s="283"/>
      <c r="K1052" s="109" t="s">
        <v>54</v>
      </c>
      <c r="L1052" s="109">
        <f>F1045*C1052/L1038/8*1.5</f>
        <v>0</v>
      </c>
      <c r="M1052" s="109" t="s">
        <v>66</v>
      </c>
      <c r="N1052" s="109" t="s">
        <v>49</v>
      </c>
      <c r="O1052" s="109"/>
      <c r="P1052" s="109" t="s">
        <v>67</v>
      </c>
      <c r="Q1052" s="283" t="s">
        <v>68</v>
      </c>
      <c r="R1052" s="283"/>
      <c r="S1052" s="283"/>
      <c r="T1052" s="109" t="s">
        <v>49</v>
      </c>
      <c r="U1052" s="283" t="e">
        <f>U1048/O1048/8*O1052</f>
        <v>#DIV/0!</v>
      </c>
      <c r="V1052" s="283"/>
      <c r="W1052" s="109" t="s">
        <v>54</v>
      </c>
      <c r="X1052" s="109">
        <f>R1045*O1052/X1038/8*1.5</f>
        <v>0</v>
      </c>
    </row>
    <row r="1053" spans="1:24" ht="18.75" customHeight="1">
      <c r="A1053" s="283" t="s">
        <v>69</v>
      </c>
      <c r="B1053" s="283"/>
      <c r="C1053" s="109"/>
      <c r="D1053" s="109" t="s">
        <v>58</v>
      </c>
      <c r="E1053" s="283" t="s">
        <v>70</v>
      </c>
      <c r="F1053" s="283"/>
      <c r="G1053" s="283"/>
      <c r="H1053" s="109" t="s">
        <v>49</v>
      </c>
      <c r="I1053" s="283"/>
      <c r="J1053" s="283"/>
      <c r="K1053" s="109" t="s">
        <v>54</v>
      </c>
      <c r="L1053" s="109"/>
      <c r="M1053" s="283" t="s">
        <v>69</v>
      </c>
      <c r="N1053" s="283"/>
      <c r="O1053" s="109"/>
      <c r="P1053" s="109" t="s">
        <v>58</v>
      </c>
      <c r="Q1053" s="283" t="s">
        <v>70</v>
      </c>
      <c r="R1053" s="283"/>
      <c r="S1053" s="283"/>
      <c r="T1053" s="109" t="s">
        <v>49</v>
      </c>
      <c r="U1053" s="283"/>
      <c r="V1053" s="283"/>
      <c r="W1053" s="109" t="s">
        <v>54</v>
      </c>
      <c r="X1053" s="109"/>
    </row>
    <row r="1054" spans="1:24" ht="18.75" customHeight="1">
      <c r="A1054" s="109" t="s">
        <v>71</v>
      </c>
      <c r="B1054" s="109" t="s">
        <v>49</v>
      </c>
      <c r="C1054" s="109"/>
      <c r="D1054" s="109" t="s">
        <v>58</v>
      </c>
      <c r="E1054" s="283" t="s">
        <v>72</v>
      </c>
      <c r="F1054" s="283"/>
      <c r="G1054" s="283"/>
      <c r="H1054" s="109" t="s">
        <v>49</v>
      </c>
      <c r="I1054" s="283"/>
      <c r="J1054" s="283"/>
      <c r="K1054" s="109" t="s">
        <v>54</v>
      </c>
      <c r="L1054" s="109"/>
      <c r="M1054" s="109" t="s">
        <v>71</v>
      </c>
      <c r="N1054" s="109" t="s">
        <v>49</v>
      </c>
      <c r="O1054" s="109"/>
      <c r="P1054" s="109" t="s">
        <v>58</v>
      </c>
      <c r="Q1054" s="283" t="s">
        <v>72</v>
      </c>
      <c r="R1054" s="283"/>
      <c r="S1054" s="283"/>
      <c r="T1054" s="109" t="s">
        <v>49</v>
      </c>
      <c r="U1054" s="283"/>
      <c r="V1054" s="283"/>
      <c r="W1054" s="109" t="s">
        <v>54</v>
      </c>
      <c r="X1054" s="109"/>
    </row>
    <row r="1055" spans="1:24" ht="18.75" customHeight="1">
      <c r="A1055" s="109" t="s">
        <v>73</v>
      </c>
      <c r="B1055" s="109"/>
      <c r="C1055" s="109"/>
      <c r="D1055" s="109" t="s">
        <v>67</v>
      </c>
      <c r="E1055" s="283" t="s">
        <v>74</v>
      </c>
      <c r="F1055" s="283"/>
      <c r="G1055" s="283"/>
      <c r="H1055" s="109" t="s">
        <v>49</v>
      </c>
      <c r="I1055" s="283">
        <f>$F$8*C1055/8/$L$1</f>
        <v>0</v>
      </c>
      <c r="J1055" s="283"/>
      <c r="K1055" s="109" t="s">
        <v>54</v>
      </c>
      <c r="L1055" s="109"/>
      <c r="M1055" s="109" t="s">
        <v>73</v>
      </c>
      <c r="N1055" s="109"/>
      <c r="O1055" s="109"/>
      <c r="P1055" s="109" t="s">
        <v>67</v>
      </c>
      <c r="Q1055" s="283" t="s">
        <v>74</v>
      </c>
      <c r="R1055" s="283"/>
      <c r="S1055" s="283"/>
      <c r="T1055" s="109" t="s">
        <v>49</v>
      </c>
      <c r="U1055" s="283">
        <f>$F$8*O1055/8/$L$1</f>
        <v>0</v>
      </c>
      <c r="V1055" s="283"/>
      <c r="W1055" s="109" t="s">
        <v>54</v>
      </c>
      <c r="X1055" s="109"/>
    </row>
    <row r="1056" spans="1:24" ht="18.75" customHeight="1">
      <c r="A1056" s="109" t="s">
        <v>75</v>
      </c>
      <c r="B1056" s="109" t="s">
        <v>49</v>
      </c>
      <c r="C1056" s="109"/>
      <c r="D1056" s="109" t="s">
        <v>67</v>
      </c>
      <c r="E1056" s="283" t="s">
        <v>97</v>
      </c>
      <c r="F1056" s="283"/>
      <c r="G1056" s="283"/>
      <c r="H1056" s="109" t="s">
        <v>49</v>
      </c>
      <c r="I1056" s="283"/>
      <c r="J1056" s="283"/>
      <c r="K1056" s="109" t="s">
        <v>54</v>
      </c>
      <c r="L1056" s="109"/>
      <c r="M1056" s="109" t="s">
        <v>75</v>
      </c>
      <c r="N1056" s="109" t="s">
        <v>49</v>
      </c>
      <c r="O1056" s="109"/>
      <c r="P1056" s="109" t="s">
        <v>67</v>
      </c>
      <c r="Q1056" s="283" t="s">
        <v>97</v>
      </c>
      <c r="R1056" s="283"/>
      <c r="S1056" s="283"/>
      <c r="T1056" s="109" t="s">
        <v>49</v>
      </c>
      <c r="U1056" s="283"/>
      <c r="V1056" s="283"/>
      <c r="W1056" s="109" t="s">
        <v>54</v>
      </c>
      <c r="X1056" s="109"/>
    </row>
    <row r="1057" spans="1:24" ht="18.75" customHeight="1">
      <c r="A1057" s="109" t="s">
        <v>77</v>
      </c>
      <c r="B1057" s="109" t="s">
        <v>49</v>
      </c>
      <c r="C1057" s="109"/>
      <c r="D1057" s="109" t="s">
        <v>78</v>
      </c>
      <c r="E1057" s="109" t="s">
        <v>79</v>
      </c>
      <c r="F1057" s="109"/>
      <c r="G1057" s="109"/>
      <c r="H1057" s="109" t="s">
        <v>49</v>
      </c>
      <c r="I1057" s="283"/>
      <c r="J1057" s="283"/>
      <c r="K1057" s="109" t="s">
        <v>54</v>
      </c>
      <c r="L1057" s="109" t="e">
        <f>+IF(L1048-I1048&lt;0,0,L1048-I1048)+IF(L1052-I1052&lt;0,0,L1052-I1052)</f>
        <v>#DIV/0!</v>
      </c>
      <c r="M1057" s="109" t="s">
        <v>77</v>
      </c>
      <c r="N1057" s="109" t="s">
        <v>49</v>
      </c>
      <c r="O1057" s="109"/>
      <c r="P1057" s="109" t="s">
        <v>78</v>
      </c>
      <c r="Q1057" s="109" t="s">
        <v>79</v>
      </c>
      <c r="R1057" s="109"/>
      <c r="S1057" s="109"/>
      <c r="T1057" s="109" t="s">
        <v>49</v>
      </c>
      <c r="U1057" s="283"/>
      <c r="V1057" s="283"/>
      <c r="W1057" s="109" t="s">
        <v>54</v>
      </c>
      <c r="X1057" s="109" t="e">
        <f>+IF(X1048-U1048&lt;0,0,X1048-U1048)+IF(X1052-U1052&lt;0,0,X1052-U1052)</f>
        <v>#DIV/0!</v>
      </c>
    </row>
    <row r="1058" spans="1:24" ht="18.75" customHeight="1">
      <c r="A1058" s="109" t="s">
        <v>122</v>
      </c>
      <c r="B1058" s="109"/>
      <c r="C1058" s="109"/>
      <c r="D1058" s="109" t="s">
        <v>58</v>
      </c>
      <c r="E1058" s="283" t="s">
        <v>123</v>
      </c>
      <c r="F1058" s="283"/>
      <c r="G1058" s="283"/>
      <c r="H1058" s="109" t="s">
        <v>49</v>
      </c>
      <c r="I1058" s="283"/>
      <c r="J1058" s="283"/>
      <c r="K1058" s="109" t="s">
        <v>54</v>
      </c>
      <c r="L1058" s="109"/>
      <c r="M1058" s="109" t="s">
        <v>122</v>
      </c>
      <c r="N1058" s="109"/>
      <c r="O1058" s="109"/>
      <c r="P1058" s="109" t="s">
        <v>58</v>
      </c>
      <c r="Q1058" s="283" t="s">
        <v>123</v>
      </c>
      <c r="R1058" s="283"/>
      <c r="S1058" s="283"/>
      <c r="T1058" s="109" t="s">
        <v>49</v>
      </c>
      <c r="U1058" s="283"/>
      <c r="V1058" s="283"/>
      <c r="W1058" s="109" t="s">
        <v>54</v>
      </c>
      <c r="X1058" s="109"/>
    </row>
    <row r="1059" spans="1:24" ht="18.75" customHeight="1">
      <c r="A1059" s="283" t="s">
        <v>82</v>
      </c>
      <c r="B1059" s="283"/>
      <c r="C1059" s="109"/>
      <c r="D1059" s="109"/>
      <c r="E1059" s="109"/>
      <c r="F1059" s="109"/>
      <c r="G1059" s="109"/>
      <c r="H1059" s="109" t="s">
        <v>49</v>
      </c>
      <c r="I1059" s="283"/>
      <c r="J1059" s="283"/>
      <c r="K1059" s="109" t="s">
        <v>54</v>
      </c>
      <c r="L1059" s="109"/>
      <c r="M1059" s="283" t="s">
        <v>82</v>
      </c>
      <c r="N1059" s="283"/>
      <c r="O1059" s="109"/>
      <c r="P1059" s="109"/>
      <c r="Q1059" s="109"/>
      <c r="R1059" s="109"/>
      <c r="S1059" s="109"/>
      <c r="T1059" s="109" t="s">
        <v>49</v>
      </c>
      <c r="U1059" s="283"/>
      <c r="V1059" s="283"/>
      <c r="W1059" s="109" t="s">
        <v>54</v>
      </c>
      <c r="X1059" s="109"/>
    </row>
    <row r="1060" spans="1:24" ht="18.75" customHeight="1">
      <c r="A1060" s="109" t="s">
        <v>83</v>
      </c>
      <c r="B1060" s="109" t="s">
        <v>49</v>
      </c>
      <c r="C1060" s="109"/>
      <c r="D1060" s="109"/>
      <c r="E1060" s="109" t="s">
        <v>84</v>
      </c>
      <c r="F1060" s="109"/>
      <c r="G1060" s="109"/>
      <c r="H1060" s="109" t="s">
        <v>49</v>
      </c>
      <c r="I1060" s="283" t="e">
        <f>L1057</f>
        <v>#DIV/0!</v>
      </c>
      <c r="J1060" s="283"/>
      <c r="K1060" s="109" t="s">
        <v>54</v>
      </c>
      <c r="L1060" s="109"/>
      <c r="M1060" s="109" t="s">
        <v>83</v>
      </c>
      <c r="N1060" s="109" t="s">
        <v>49</v>
      </c>
      <c r="O1060" s="109"/>
      <c r="P1060" s="109"/>
      <c r="Q1060" s="109" t="s">
        <v>84</v>
      </c>
      <c r="R1060" s="109"/>
      <c r="S1060" s="109"/>
      <c r="T1060" s="109" t="s">
        <v>49</v>
      </c>
      <c r="U1060" s="283" t="e">
        <f>X1057</f>
        <v>#DIV/0!</v>
      </c>
      <c r="V1060" s="283"/>
      <c r="W1060" s="109" t="s">
        <v>54</v>
      </c>
      <c r="X1060" s="109"/>
    </row>
    <row r="1061" spans="1:24" ht="18.75" customHeight="1">
      <c r="A1061" s="283" t="s">
        <v>85</v>
      </c>
      <c r="B1061" s="283"/>
      <c r="C1061" s="283"/>
      <c r="D1061" s="283"/>
      <c r="E1061" s="283"/>
      <c r="F1061" s="283"/>
      <c r="G1061" s="109" t="s">
        <v>49</v>
      </c>
      <c r="H1061" s="283" t="e">
        <f>I1048+I1049+I1050+I1051+I1052+I1055+I1059+I1060</f>
        <v>#DIV/0!</v>
      </c>
      <c r="I1061" s="283"/>
      <c r="J1061" s="283"/>
      <c r="K1061" s="109" t="s">
        <v>54</v>
      </c>
      <c r="M1061" s="283" t="s">
        <v>85</v>
      </c>
      <c r="N1061" s="283"/>
      <c r="O1061" s="283"/>
      <c r="P1061" s="283"/>
      <c r="Q1061" s="283"/>
      <c r="R1061" s="283"/>
      <c r="S1061" s="109" t="s">
        <v>49</v>
      </c>
      <c r="T1061" s="283" t="e">
        <f>U1048+U1049+U1050+U1051+U1052+U1055+U1059+U1060</f>
        <v>#DIV/0!</v>
      </c>
      <c r="U1061" s="283"/>
      <c r="V1061" s="283"/>
      <c r="W1061" s="109" t="s">
        <v>54</v>
      </c>
    </row>
    <row r="1062" spans="1:24" ht="18.75" customHeight="1">
      <c r="A1062" s="109"/>
      <c r="B1062" s="109"/>
      <c r="C1062" s="109"/>
      <c r="D1062" s="109"/>
      <c r="E1062" s="109"/>
      <c r="F1062" s="109"/>
      <c r="G1062" s="109"/>
      <c r="H1062" s="109"/>
      <c r="I1062" s="109"/>
      <c r="J1062" s="109"/>
      <c r="K1062" s="109"/>
      <c r="M1062" s="109"/>
      <c r="N1062" s="109"/>
      <c r="O1062" s="109"/>
      <c r="P1062" s="109"/>
      <c r="Q1062" s="109"/>
      <c r="R1062" s="109"/>
      <c r="S1062" s="109"/>
      <c r="T1062" s="109"/>
      <c r="U1062" s="109"/>
      <c r="V1062" s="109"/>
      <c r="W1062" s="109"/>
    </row>
    <row r="1063" spans="1:24" ht="18.75" customHeight="1">
      <c r="A1063" s="283" t="s">
        <v>86</v>
      </c>
      <c r="B1063" s="283"/>
      <c r="C1063" s="283"/>
      <c r="D1063" s="283"/>
      <c r="E1063" s="283"/>
      <c r="F1063" s="283"/>
      <c r="G1063" s="109"/>
      <c r="H1063" s="109"/>
      <c r="I1063" s="109"/>
      <c r="J1063" s="109"/>
      <c r="K1063" s="109"/>
      <c r="M1063" s="283" t="s">
        <v>86</v>
      </c>
      <c r="N1063" s="283"/>
      <c r="O1063" s="283"/>
      <c r="P1063" s="283"/>
      <c r="Q1063" s="283"/>
      <c r="R1063" s="283"/>
      <c r="S1063" s="109"/>
      <c r="T1063" s="109"/>
      <c r="U1063" s="109"/>
      <c r="V1063" s="109"/>
      <c r="W1063" s="109"/>
    </row>
    <row r="1064" spans="1:24" ht="18.75" customHeight="1">
      <c r="A1064" s="283" t="s">
        <v>87</v>
      </c>
      <c r="B1064" s="283"/>
      <c r="C1064" s="283"/>
      <c r="D1064" s="283"/>
      <c r="E1064" s="283"/>
      <c r="F1064" s="283"/>
      <c r="G1064" s="109" t="s">
        <v>49</v>
      </c>
      <c r="H1064" s="283">
        <f>IF(($L$1-(C1048+C1049+C1050+C1051))&gt;12,0,F1045*8%)</f>
        <v>0</v>
      </c>
      <c r="I1064" s="283"/>
      <c r="J1064" s="283"/>
      <c r="K1064" s="109" t="s">
        <v>54</v>
      </c>
      <c r="M1064" s="283" t="s">
        <v>87</v>
      </c>
      <c r="N1064" s="283"/>
      <c r="O1064" s="283"/>
      <c r="P1064" s="283"/>
      <c r="Q1064" s="283"/>
      <c r="R1064" s="283"/>
      <c r="S1064" s="109" t="s">
        <v>49</v>
      </c>
      <c r="T1064" s="283">
        <f>IF(($L$1-(O1048+O1049+O1050+O1051))&gt;12,0,R1045*8%)</f>
        <v>0</v>
      </c>
      <c r="U1064" s="283"/>
      <c r="V1064" s="283"/>
      <c r="W1064" s="109" t="s">
        <v>54</v>
      </c>
    </row>
    <row r="1065" spans="1:24" ht="18.75" customHeight="1">
      <c r="A1065" s="283" t="s">
        <v>88</v>
      </c>
      <c r="B1065" s="283"/>
      <c r="C1065" s="283"/>
      <c r="D1065" s="283"/>
      <c r="E1065" s="283"/>
      <c r="F1065" s="283"/>
      <c r="G1065" s="109" t="s">
        <v>49</v>
      </c>
      <c r="H1065" s="283">
        <f>IF(($L$1-(C1048+C1049+C1050+C1051))&gt;12,0,F1045*1.5%)</f>
        <v>0</v>
      </c>
      <c r="I1065" s="283"/>
      <c r="J1065" s="283"/>
      <c r="K1065" s="109" t="s">
        <v>54</v>
      </c>
      <c r="M1065" s="283" t="s">
        <v>88</v>
      </c>
      <c r="N1065" s="283"/>
      <c r="O1065" s="283"/>
      <c r="P1065" s="283"/>
      <c r="Q1065" s="283"/>
      <c r="R1065" s="283"/>
      <c r="S1065" s="109" t="s">
        <v>49</v>
      </c>
      <c r="T1065" s="283">
        <f>IF(($L$1-(O1048+O1049+O1050+O1051))&gt;12,0,R1045*1.5%)</f>
        <v>0</v>
      </c>
      <c r="U1065" s="283"/>
      <c r="V1065" s="283"/>
      <c r="W1065" s="109" t="s">
        <v>54</v>
      </c>
    </row>
    <row r="1066" spans="1:24" ht="18.75" customHeight="1">
      <c r="A1066" s="283" t="s">
        <v>89</v>
      </c>
      <c r="B1066" s="283"/>
      <c r="C1066" s="283"/>
      <c r="D1066" s="283"/>
      <c r="E1066" s="283"/>
      <c r="F1066" s="283"/>
      <c r="G1066" s="109" t="s">
        <v>49</v>
      </c>
      <c r="H1066" s="283">
        <f>IF(($L$1-(C1048+C1049+C1050+C1051))&gt;12,0,F1045*1%)</f>
        <v>0</v>
      </c>
      <c r="I1066" s="283"/>
      <c r="J1066" s="283"/>
      <c r="K1066" s="109" t="s">
        <v>54</v>
      </c>
      <c r="M1066" s="283" t="s">
        <v>89</v>
      </c>
      <c r="N1066" s="283"/>
      <c r="O1066" s="283"/>
      <c r="P1066" s="283"/>
      <c r="Q1066" s="283"/>
      <c r="R1066" s="283"/>
      <c r="S1066" s="109" t="s">
        <v>49</v>
      </c>
      <c r="T1066" s="283">
        <f>IF(($L$1-(O1048+O1049+O1050+O1051))&gt;12,0,R1045*1%)</f>
        <v>0</v>
      </c>
      <c r="U1066" s="283"/>
      <c r="V1066" s="283"/>
      <c r="W1066" s="109" t="s">
        <v>54</v>
      </c>
    </row>
    <row r="1067" spans="1:24" ht="18.75" customHeight="1">
      <c r="A1067" s="283" t="s">
        <v>90</v>
      </c>
      <c r="B1067" s="283"/>
      <c r="C1067" s="283"/>
      <c r="D1067" s="283"/>
      <c r="E1067" s="283"/>
      <c r="F1067" s="283"/>
      <c r="G1067" s="109" t="s">
        <v>49</v>
      </c>
      <c r="H1067" s="283">
        <v>0</v>
      </c>
      <c r="I1067" s="283"/>
      <c r="J1067" s="283"/>
      <c r="K1067" s="109" t="s">
        <v>54</v>
      </c>
      <c r="M1067" s="283" t="s">
        <v>90</v>
      </c>
      <c r="N1067" s="283"/>
      <c r="O1067" s="283"/>
      <c r="P1067" s="283"/>
      <c r="Q1067" s="283"/>
      <c r="R1067" s="283"/>
      <c r="S1067" s="109" t="s">
        <v>49</v>
      </c>
      <c r="T1067" s="283">
        <v>0</v>
      </c>
      <c r="U1067" s="283"/>
      <c r="V1067" s="283"/>
      <c r="W1067" s="109" t="s">
        <v>54</v>
      </c>
    </row>
    <row r="1068" spans="1:24" ht="18.75" customHeight="1">
      <c r="A1068" s="283" t="s">
        <v>91</v>
      </c>
      <c r="B1068" s="283"/>
      <c r="C1068" s="283"/>
      <c r="D1068" s="283"/>
      <c r="E1068" s="283"/>
      <c r="F1068" s="283"/>
      <c r="G1068" s="109" t="s">
        <v>49</v>
      </c>
      <c r="H1068" s="283">
        <f>SUM(H1064:J1067)</f>
        <v>0</v>
      </c>
      <c r="I1068" s="283"/>
      <c r="J1068" s="283"/>
      <c r="K1068" s="109" t="s">
        <v>54</v>
      </c>
      <c r="M1068" s="283" t="s">
        <v>91</v>
      </c>
      <c r="N1068" s="283"/>
      <c r="O1068" s="283"/>
      <c r="P1068" s="283"/>
      <c r="Q1068" s="283"/>
      <c r="R1068" s="283"/>
      <c r="S1068" s="109" t="s">
        <v>49</v>
      </c>
      <c r="T1068" s="283">
        <f>SUM(T1064:V1067)</f>
        <v>0</v>
      </c>
      <c r="U1068" s="283"/>
      <c r="V1068" s="283"/>
      <c r="W1068" s="109" t="s">
        <v>54</v>
      </c>
    </row>
    <row r="1069" spans="1:24" ht="18.75" customHeight="1">
      <c r="A1069" s="283" t="s">
        <v>92</v>
      </c>
      <c r="B1069" s="283"/>
      <c r="C1069" s="283"/>
      <c r="D1069" s="283"/>
      <c r="E1069" s="283"/>
      <c r="F1069" s="283"/>
      <c r="G1069" s="109" t="s">
        <v>49</v>
      </c>
      <c r="H1069" s="283" t="e">
        <f>ROUND(H1061-H1068,-2)</f>
        <v>#DIV/0!</v>
      </c>
      <c r="I1069" s="283"/>
      <c r="J1069" s="283"/>
      <c r="K1069" s="109" t="s">
        <v>54</v>
      </c>
      <c r="M1069" s="283" t="s">
        <v>92</v>
      </c>
      <c r="N1069" s="283"/>
      <c r="O1069" s="283"/>
      <c r="P1069" s="283"/>
      <c r="Q1069" s="283"/>
      <c r="R1069" s="283"/>
      <c r="S1069" s="109" t="s">
        <v>49</v>
      </c>
      <c r="T1069" s="283" t="e">
        <f>ROUND(T1061-T1068,-2)</f>
        <v>#DIV/0!</v>
      </c>
      <c r="U1069" s="283"/>
      <c r="V1069" s="283"/>
      <c r="W1069" s="109" t="s">
        <v>54</v>
      </c>
    </row>
    <row r="1070" spans="1:24" ht="18.75" customHeight="1">
      <c r="A1070" s="109"/>
      <c r="B1070" s="109"/>
      <c r="C1070" s="109"/>
      <c r="D1070" s="109"/>
      <c r="E1070" s="109"/>
      <c r="F1070" s="109"/>
      <c r="G1070" s="109"/>
      <c r="H1070" s="109"/>
      <c r="I1070" s="109"/>
      <c r="J1070" s="109"/>
      <c r="K1070" s="109"/>
      <c r="M1070" s="109"/>
      <c r="N1070" s="109"/>
      <c r="O1070" s="109"/>
      <c r="P1070" s="109"/>
      <c r="Q1070" s="109"/>
      <c r="R1070" s="109"/>
      <c r="S1070" s="109"/>
      <c r="T1070" s="109"/>
      <c r="U1070" s="109"/>
      <c r="V1070" s="109"/>
      <c r="W1070" s="109"/>
    </row>
    <row r="1071" spans="1:24" ht="18.75" customHeight="1">
      <c r="A1071" s="109"/>
      <c r="B1071" s="109"/>
      <c r="C1071" s="109"/>
      <c r="D1071" s="109"/>
      <c r="E1071" s="109"/>
      <c r="F1071" s="109"/>
      <c r="G1071" s="109"/>
      <c r="H1071" s="109"/>
      <c r="I1071" s="283" t="s">
        <v>93</v>
      </c>
      <c r="J1071" s="283"/>
      <c r="K1071" s="283"/>
      <c r="M1071" s="109"/>
      <c r="N1071" s="109"/>
      <c r="O1071" s="109"/>
      <c r="P1071" s="109"/>
      <c r="Q1071" s="109"/>
      <c r="R1071" s="109"/>
      <c r="S1071" s="109"/>
      <c r="T1071" s="109"/>
      <c r="U1071" s="283" t="s">
        <v>93</v>
      </c>
      <c r="V1071" s="283"/>
      <c r="W1071" s="283"/>
    </row>
    <row r="1072" spans="1:24" ht="18.75" customHeight="1">
      <c r="A1072" s="109"/>
      <c r="B1072" s="283"/>
      <c r="C1072" s="283"/>
      <c r="D1072" s="283"/>
      <c r="E1072" s="283"/>
      <c r="F1072" s="109"/>
      <c r="G1072" s="109"/>
      <c r="H1072" s="109"/>
      <c r="I1072" s="109"/>
      <c r="J1072" s="109"/>
      <c r="K1072" s="109"/>
      <c r="M1072" s="109"/>
      <c r="N1072" s="283"/>
      <c r="O1072" s="283"/>
      <c r="P1072" s="283"/>
      <c r="Q1072" s="283"/>
      <c r="R1072" s="109"/>
      <c r="S1072" s="109"/>
      <c r="T1072" s="109"/>
      <c r="U1072" s="109"/>
      <c r="V1072" s="109"/>
      <c r="W1072" s="109"/>
    </row>
    <row r="1073" spans="1:24" ht="18.75" customHeight="1">
      <c r="A1073" s="109"/>
      <c r="B1073" s="109"/>
      <c r="C1073" s="109"/>
      <c r="D1073" s="109"/>
      <c r="E1073" s="109"/>
      <c r="F1073" s="109"/>
      <c r="G1073" s="109"/>
      <c r="H1073" s="109"/>
      <c r="I1073" s="283" t="s">
        <v>94</v>
      </c>
      <c r="J1073" s="283"/>
      <c r="K1073" s="283"/>
      <c r="M1073" s="109"/>
      <c r="N1073" s="109"/>
      <c r="O1073" s="109"/>
      <c r="P1073" s="109"/>
      <c r="Q1073" s="109"/>
      <c r="R1073" s="109"/>
      <c r="S1073" s="109"/>
      <c r="T1073" s="109"/>
      <c r="U1073" s="283" t="s">
        <v>94</v>
      </c>
      <c r="V1073" s="283"/>
      <c r="W1073" s="283"/>
    </row>
    <row r="1075" spans="1:24" ht="18.75" customHeight="1">
      <c r="A1075" s="283" t="s">
        <v>43</v>
      </c>
      <c r="B1075" s="283"/>
      <c r="C1075" s="283"/>
      <c r="D1075" s="283"/>
      <c r="E1075" s="283"/>
      <c r="F1075" s="283"/>
      <c r="G1075" s="283"/>
      <c r="H1075" s="283"/>
      <c r="I1075" s="283"/>
      <c r="J1075" s="283"/>
      <c r="K1075" s="283"/>
      <c r="L1075" s="109">
        <v>24</v>
      </c>
      <c r="M1075" s="283" t="s">
        <v>43</v>
      </c>
      <c r="N1075" s="283"/>
      <c r="O1075" s="283"/>
      <c r="P1075" s="283"/>
      <c r="Q1075" s="283"/>
      <c r="R1075" s="283"/>
      <c r="S1075" s="283"/>
      <c r="T1075" s="283"/>
      <c r="U1075" s="283"/>
      <c r="V1075" s="283"/>
      <c r="W1075" s="283"/>
      <c r="X1075" s="109">
        <v>24</v>
      </c>
    </row>
    <row r="1076" spans="1:24" ht="18.75" customHeight="1">
      <c r="A1076" s="109" t="s">
        <v>166</v>
      </c>
      <c r="B1076" s="109"/>
      <c r="C1076" s="109"/>
      <c r="D1076" s="109"/>
      <c r="E1076" s="109"/>
      <c r="F1076" s="109"/>
      <c r="G1076" s="109"/>
      <c r="H1076" s="109"/>
      <c r="I1076" s="109"/>
      <c r="J1076" s="109"/>
      <c r="K1076" s="109"/>
      <c r="M1076" s="109" t="s">
        <v>167</v>
      </c>
      <c r="N1076" s="109"/>
      <c r="O1076" s="109"/>
      <c r="P1076" s="109"/>
      <c r="Q1076" s="109"/>
      <c r="R1076" s="109"/>
      <c r="S1076" s="109"/>
      <c r="T1076" s="109"/>
      <c r="U1076" s="109"/>
      <c r="V1076" s="109"/>
      <c r="W1076" s="109"/>
    </row>
    <row r="1077" spans="1:24" ht="18.75" customHeight="1">
      <c r="A1077" s="283" t="s">
        <v>47</v>
      </c>
      <c r="B1077" s="283"/>
      <c r="C1077" s="283"/>
      <c r="D1077" s="283"/>
      <c r="E1077" s="283"/>
      <c r="F1077" s="283"/>
      <c r="G1077" s="283"/>
      <c r="H1077" s="283"/>
      <c r="I1077" s="283"/>
      <c r="J1077" s="283"/>
      <c r="K1077" s="283"/>
      <c r="M1077" s="283" t="s">
        <v>47</v>
      </c>
      <c r="N1077" s="283"/>
      <c r="O1077" s="283"/>
      <c r="P1077" s="283"/>
      <c r="Q1077" s="283"/>
      <c r="R1077" s="283"/>
      <c r="S1077" s="283"/>
      <c r="T1077" s="283"/>
      <c r="U1077" s="283"/>
      <c r="V1077" s="283"/>
      <c r="W1077" s="283"/>
    </row>
    <row r="1078" spans="1:24" ht="18.75" customHeight="1">
      <c r="A1078" s="283" t="s">
        <v>48</v>
      </c>
      <c r="B1078" s="283"/>
      <c r="C1078" s="283"/>
      <c r="D1078" s="283"/>
      <c r="E1078" s="109" t="s">
        <v>49</v>
      </c>
      <c r="F1078" s="283"/>
      <c r="G1078" s="283"/>
      <c r="H1078" s="283"/>
      <c r="I1078" s="283"/>
      <c r="J1078" s="283"/>
      <c r="K1078" s="283"/>
      <c r="M1078" s="283" t="s">
        <v>48</v>
      </c>
      <c r="N1078" s="283"/>
      <c r="O1078" s="283"/>
      <c r="P1078" s="283"/>
      <c r="Q1078" s="109" t="s">
        <v>49</v>
      </c>
      <c r="R1078" s="283"/>
      <c r="S1078" s="283"/>
      <c r="T1078" s="283"/>
      <c r="U1078" s="283"/>
      <c r="V1078" s="283"/>
      <c r="W1078" s="283"/>
    </row>
    <row r="1079" spans="1:24" ht="18.75" customHeight="1">
      <c r="A1079" s="283" t="s">
        <v>50</v>
      </c>
      <c r="B1079" s="283"/>
      <c r="C1079" s="283"/>
      <c r="D1079" s="283"/>
      <c r="E1079" s="109" t="s">
        <v>49</v>
      </c>
      <c r="F1079" s="283"/>
      <c r="G1079" s="283"/>
      <c r="H1079" s="283"/>
      <c r="I1079" s="283"/>
      <c r="J1079" s="283"/>
      <c r="K1079" s="283"/>
      <c r="M1079" s="283" t="s">
        <v>50</v>
      </c>
      <c r="N1079" s="283"/>
      <c r="O1079" s="283"/>
      <c r="P1079" s="283"/>
      <c r="Q1079" s="109" t="s">
        <v>49</v>
      </c>
      <c r="R1079" s="283"/>
      <c r="S1079" s="283"/>
      <c r="T1079" s="283"/>
      <c r="U1079" s="283"/>
      <c r="V1079" s="283"/>
      <c r="W1079" s="283"/>
    </row>
    <row r="1080" spans="1:24" ht="18.75" customHeight="1">
      <c r="A1080" s="283" t="s">
        <v>51</v>
      </c>
      <c r="B1080" s="283"/>
      <c r="C1080" s="283"/>
      <c r="D1080" s="283"/>
      <c r="E1080" s="109" t="s">
        <v>49</v>
      </c>
      <c r="F1080" s="283" t="s">
        <v>121</v>
      </c>
      <c r="G1080" s="283"/>
      <c r="H1080" s="283"/>
      <c r="I1080" s="283"/>
      <c r="J1080" s="283"/>
      <c r="K1080" s="283"/>
      <c r="M1080" s="283" t="s">
        <v>51</v>
      </c>
      <c r="N1080" s="283"/>
      <c r="O1080" s="283"/>
      <c r="P1080" s="283"/>
      <c r="Q1080" s="109" t="s">
        <v>49</v>
      </c>
      <c r="R1080" s="283" t="s">
        <v>121</v>
      </c>
      <c r="S1080" s="283"/>
      <c r="T1080" s="283"/>
      <c r="U1080" s="283"/>
      <c r="V1080" s="283"/>
      <c r="W1080" s="283"/>
    </row>
    <row r="1081" spans="1:24" ht="18.75" customHeight="1">
      <c r="A1081" s="283" t="s">
        <v>52</v>
      </c>
      <c r="B1081" s="283"/>
      <c r="C1081" s="283"/>
      <c r="D1081" s="283"/>
      <c r="E1081" s="283"/>
      <c r="F1081" s="283"/>
      <c r="G1081" s="283"/>
      <c r="H1081" s="283"/>
      <c r="I1081" s="283"/>
      <c r="J1081" s="283"/>
      <c r="K1081" s="283"/>
      <c r="M1081" s="283" t="s">
        <v>52</v>
      </c>
      <c r="N1081" s="283"/>
      <c r="O1081" s="283"/>
      <c r="P1081" s="283"/>
      <c r="Q1081" s="283"/>
      <c r="R1081" s="283"/>
      <c r="S1081" s="283"/>
      <c r="T1081" s="283"/>
      <c r="U1081" s="283"/>
      <c r="V1081" s="283"/>
      <c r="W1081" s="283"/>
    </row>
    <row r="1082" spans="1:24" ht="18.75" customHeight="1">
      <c r="A1082" s="283" t="s">
        <v>53</v>
      </c>
      <c r="B1082" s="283"/>
      <c r="C1082" s="283"/>
      <c r="D1082" s="283"/>
      <c r="E1082" s="109" t="s">
        <v>49</v>
      </c>
      <c r="F1082" s="283">
        <v>2915400</v>
      </c>
      <c r="G1082" s="283"/>
      <c r="H1082" s="283"/>
      <c r="I1082" s="283"/>
      <c r="J1082" s="109" t="s">
        <v>54</v>
      </c>
      <c r="K1082" s="109"/>
      <c r="M1082" s="283" t="s">
        <v>53</v>
      </c>
      <c r="N1082" s="283"/>
      <c r="O1082" s="283"/>
      <c r="P1082" s="283"/>
      <c r="Q1082" s="109" t="s">
        <v>49</v>
      </c>
      <c r="R1082" s="283">
        <v>2915400</v>
      </c>
      <c r="S1082" s="283"/>
      <c r="T1082" s="283"/>
      <c r="U1082" s="283"/>
      <c r="V1082" s="109" t="s">
        <v>54</v>
      </c>
      <c r="W1082" s="109"/>
    </row>
    <row r="1083" spans="1:24" ht="18.75" customHeight="1">
      <c r="A1083" s="109" t="s">
        <v>55</v>
      </c>
      <c r="B1083" s="109"/>
      <c r="C1083" s="109"/>
      <c r="D1083" s="109"/>
      <c r="E1083" s="109"/>
      <c r="F1083" s="109"/>
      <c r="G1083" s="109"/>
      <c r="H1083" s="109"/>
      <c r="I1083" s="109"/>
      <c r="J1083" s="109"/>
      <c r="K1083" s="109"/>
      <c r="M1083" s="109" t="s">
        <v>55</v>
      </c>
      <c r="N1083" s="109"/>
      <c r="O1083" s="109"/>
      <c r="P1083" s="109"/>
      <c r="Q1083" s="109"/>
      <c r="R1083" s="109"/>
      <c r="S1083" s="109"/>
      <c r="T1083" s="109"/>
      <c r="U1083" s="109"/>
      <c r="V1083" s="109"/>
      <c r="W1083" s="109"/>
    </row>
    <row r="1084" spans="1:24" ht="18.75" customHeight="1">
      <c r="A1084" s="109" t="s">
        <v>56</v>
      </c>
      <c r="B1084" s="109"/>
      <c r="C1084" s="109"/>
      <c r="D1084" s="109"/>
      <c r="E1084" s="109"/>
      <c r="F1084" s="109"/>
      <c r="G1084" s="109"/>
      <c r="H1084" s="109"/>
      <c r="I1084" s="109" t="e">
        <f>I1085/C1085/8</f>
        <v>#DIV/0!</v>
      </c>
      <c r="J1084" s="109"/>
      <c r="K1084" s="109"/>
      <c r="M1084" s="109" t="s">
        <v>56</v>
      </c>
      <c r="N1084" s="109"/>
      <c r="O1084" s="109"/>
      <c r="P1084" s="109"/>
      <c r="Q1084" s="109"/>
      <c r="R1084" s="109"/>
      <c r="S1084" s="109"/>
      <c r="T1084" s="109"/>
      <c r="U1084" s="109" t="e">
        <f>U1085/O1085/8</f>
        <v>#DIV/0!</v>
      </c>
      <c r="V1084" s="109"/>
      <c r="W1084" s="109"/>
    </row>
    <row r="1085" spans="1:24" ht="18.75" customHeight="1">
      <c r="A1085" s="109" t="s">
        <v>57</v>
      </c>
      <c r="B1085" s="109" t="s">
        <v>49</v>
      </c>
      <c r="C1085" s="109"/>
      <c r="D1085" s="109" t="s">
        <v>58</v>
      </c>
      <c r="E1085" s="283" t="s">
        <v>59</v>
      </c>
      <c r="F1085" s="283"/>
      <c r="G1085" s="283"/>
      <c r="H1085" s="109" t="s">
        <v>49</v>
      </c>
      <c r="I1085" s="283" t="e">
        <f>I1083*680/((C1085-C1092)*8+C1092*7+C1089)*((C1085-C1092)*8+C1092*7)</f>
        <v>#DIV/0!</v>
      </c>
      <c r="J1085" s="283"/>
      <c r="K1085" s="109" t="s">
        <v>54</v>
      </c>
      <c r="L1085" s="109">
        <f>F1082/L1075*C1085</f>
        <v>0</v>
      </c>
      <c r="M1085" s="109" t="s">
        <v>57</v>
      </c>
      <c r="N1085" s="109" t="s">
        <v>49</v>
      </c>
      <c r="O1085" s="109"/>
      <c r="P1085" s="109" t="s">
        <v>58</v>
      </c>
      <c r="Q1085" s="283" t="s">
        <v>59</v>
      </c>
      <c r="R1085" s="283"/>
      <c r="S1085" s="283"/>
      <c r="T1085" s="109" t="s">
        <v>49</v>
      </c>
      <c r="U1085" s="283" t="e">
        <f>U1083*680/((O1085-O1092)*8+O1092*7+O1089)*((O1085-O1092)*8+O1092*7)</f>
        <v>#DIV/0!</v>
      </c>
      <c r="V1085" s="283"/>
      <c r="W1085" s="109" t="s">
        <v>54</v>
      </c>
      <c r="X1085" s="109">
        <f>R1082/X1075*O1085</f>
        <v>0</v>
      </c>
    </row>
    <row r="1086" spans="1:24" ht="18.75" customHeight="1">
      <c r="A1086" s="109" t="s">
        <v>60</v>
      </c>
      <c r="B1086" s="109" t="s">
        <v>49</v>
      </c>
      <c r="C1086" s="109"/>
      <c r="D1086" s="109" t="s">
        <v>58</v>
      </c>
      <c r="E1086" s="283" t="s">
        <v>61</v>
      </c>
      <c r="F1086" s="283"/>
      <c r="G1086" s="283"/>
      <c r="H1086" s="109" t="s">
        <v>49</v>
      </c>
      <c r="I1086" s="283">
        <f>$F$8/$L$1*C1086</f>
        <v>0</v>
      </c>
      <c r="J1086" s="283"/>
      <c r="K1086" s="109" t="s">
        <v>54</v>
      </c>
      <c r="L1086" s="109"/>
      <c r="M1086" s="109" t="s">
        <v>60</v>
      </c>
      <c r="N1086" s="109" t="s">
        <v>49</v>
      </c>
      <c r="O1086" s="109"/>
      <c r="P1086" s="109" t="s">
        <v>58</v>
      </c>
      <c r="Q1086" s="283" t="s">
        <v>61</v>
      </c>
      <c r="R1086" s="283"/>
      <c r="S1086" s="283"/>
      <c r="T1086" s="109" t="s">
        <v>49</v>
      </c>
      <c r="U1086" s="283">
        <f>$F$8/$L$1*O1086</f>
        <v>0</v>
      </c>
      <c r="V1086" s="283"/>
      <c r="W1086" s="109" t="s">
        <v>54</v>
      </c>
      <c r="X1086" s="109"/>
    </row>
    <row r="1087" spans="1:24" ht="18.75" customHeight="1">
      <c r="A1087" s="109" t="s">
        <v>62</v>
      </c>
      <c r="B1087" s="109" t="s">
        <v>49</v>
      </c>
      <c r="C1087" s="109"/>
      <c r="D1087" s="109" t="s">
        <v>58</v>
      </c>
      <c r="E1087" s="283" t="s">
        <v>63</v>
      </c>
      <c r="F1087" s="283"/>
      <c r="G1087" s="283"/>
      <c r="H1087" s="109" t="s">
        <v>49</v>
      </c>
      <c r="I1087" s="283">
        <f>$F$8/$L$1*C1087</f>
        <v>0</v>
      </c>
      <c r="J1087" s="283"/>
      <c r="K1087" s="109" t="s">
        <v>54</v>
      </c>
      <c r="L1087" s="109"/>
      <c r="M1087" s="109" t="s">
        <v>62</v>
      </c>
      <c r="N1087" s="109" t="s">
        <v>49</v>
      </c>
      <c r="O1087" s="109"/>
      <c r="P1087" s="109" t="s">
        <v>58</v>
      </c>
      <c r="Q1087" s="283" t="s">
        <v>63</v>
      </c>
      <c r="R1087" s="283"/>
      <c r="S1087" s="283"/>
      <c r="T1087" s="109" t="s">
        <v>49</v>
      </c>
      <c r="U1087" s="283">
        <f>$F$8/$L$1*O1087</f>
        <v>0</v>
      </c>
      <c r="V1087" s="283"/>
      <c r="W1087" s="109" t="s">
        <v>54</v>
      </c>
      <c r="X1087" s="109"/>
    </row>
    <row r="1088" spans="1:24" ht="18.75" customHeight="1">
      <c r="A1088" s="109" t="s">
        <v>64</v>
      </c>
      <c r="B1088" s="109" t="s">
        <v>49</v>
      </c>
      <c r="C1088" s="109"/>
      <c r="D1088" s="109" t="s">
        <v>58</v>
      </c>
      <c r="E1088" s="283" t="s">
        <v>65</v>
      </c>
      <c r="F1088" s="283"/>
      <c r="G1088" s="283"/>
      <c r="H1088" s="109" t="s">
        <v>49</v>
      </c>
      <c r="I1088" s="283">
        <f>$F$8/$L$1*C1088</f>
        <v>0</v>
      </c>
      <c r="J1088" s="283"/>
      <c r="K1088" s="109" t="s">
        <v>54</v>
      </c>
      <c r="L1088" s="109"/>
      <c r="M1088" s="109" t="s">
        <v>64</v>
      </c>
      <c r="N1088" s="109" t="s">
        <v>49</v>
      </c>
      <c r="O1088" s="109"/>
      <c r="P1088" s="109" t="s">
        <v>58</v>
      </c>
      <c r="Q1088" s="283" t="s">
        <v>65</v>
      </c>
      <c r="R1088" s="283"/>
      <c r="S1088" s="283"/>
      <c r="T1088" s="109" t="s">
        <v>49</v>
      </c>
      <c r="U1088" s="283">
        <f>$F$8/$L$1*O1088</f>
        <v>0</v>
      </c>
      <c r="V1088" s="283"/>
      <c r="W1088" s="109" t="s">
        <v>54</v>
      </c>
      <c r="X1088" s="109"/>
    </row>
    <row r="1089" spans="1:24" ht="18.75" customHeight="1">
      <c r="A1089" s="109" t="s">
        <v>66</v>
      </c>
      <c r="B1089" s="109" t="s">
        <v>49</v>
      </c>
      <c r="C1089" s="109"/>
      <c r="D1089" s="109" t="s">
        <v>67</v>
      </c>
      <c r="E1089" s="283" t="s">
        <v>68</v>
      </c>
      <c r="F1089" s="283"/>
      <c r="G1089" s="283"/>
      <c r="H1089" s="109" t="s">
        <v>49</v>
      </c>
      <c r="I1089" s="283" t="e">
        <f>I1085/C1085/8*C1089</f>
        <v>#DIV/0!</v>
      </c>
      <c r="J1089" s="283"/>
      <c r="K1089" s="109" t="s">
        <v>54</v>
      </c>
      <c r="L1089" s="109">
        <f>F1082*C1089/L1075/8*1.5</f>
        <v>0</v>
      </c>
      <c r="M1089" s="109" t="s">
        <v>66</v>
      </c>
      <c r="N1089" s="109" t="s">
        <v>49</v>
      </c>
      <c r="O1089" s="109"/>
      <c r="P1089" s="109" t="s">
        <v>67</v>
      </c>
      <c r="Q1089" s="283" t="s">
        <v>68</v>
      </c>
      <c r="R1089" s="283"/>
      <c r="S1089" s="283"/>
      <c r="T1089" s="109" t="s">
        <v>49</v>
      </c>
      <c r="U1089" s="283" t="e">
        <f>U1085/O1085/8*O1089</f>
        <v>#DIV/0!</v>
      </c>
      <c r="V1089" s="283"/>
      <c r="W1089" s="109" t="s">
        <v>54</v>
      </c>
      <c r="X1089" s="109">
        <f>R1082*O1089/X1075/8*1.5</f>
        <v>0</v>
      </c>
    </row>
    <row r="1090" spans="1:24" ht="18.75" customHeight="1">
      <c r="A1090" s="283" t="s">
        <v>69</v>
      </c>
      <c r="B1090" s="283"/>
      <c r="C1090" s="109"/>
      <c r="D1090" s="109" t="s">
        <v>58</v>
      </c>
      <c r="E1090" s="283" t="s">
        <v>70</v>
      </c>
      <c r="F1090" s="283"/>
      <c r="G1090" s="283"/>
      <c r="H1090" s="109" t="s">
        <v>49</v>
      </c>
      <c r="I1090" s="283"/>
      <c r="J1090" s="283"/>
      <c r="K1090" s="109" t="s">
        <v>54</v>
      </c>
      <c r="L1090" s="109"/>
      <c r="M1090" s="283" t="s">
        <v>69</v>
      </c>
      <c r="N1090" s="283"/>
      <c r="O1090" s="109"/>
      <c r="P1090" s="109" t="s">
        <v>58</v>
      </c>
      <c r="Q1090" s="283" t="s">
        <v>70</v>
      </c>
      <c r="R1090" s="283"/>
      <c r="S1090" s="283"/>
      <c r="T1090" s="109" t="s">
        <v>49</v>
      </c>
      <c r="U1090" s="283"/>
      <c r="V1090" s="283"/>
      <c r="W1090" s="109" t="s">
        <v>54</v>
      </c>
      <c r="X1090" s="109"/>
    </row>
    <row r="1091" spans="1:24" ht="18.75" customHeight="1">
      <c r="A1091" s="109" t="s">
        <v>71</v>
      </c>
      <c r="B1091" s="109" t="s">
        <v>49</v>
      </c>
      <c r="C1091" s="109"/>
      <c r="D1091" s="109" t="s">
        <v>58</v>
      </c>
      <c r="E1091" s="283" t="s">
        <v>72</v>
      </c>
      <c r="F1091" s="283"/>
      <c r="G1091" s="283"/>
      <c r="H1091" s="109" t="s">
        <v>49</v>
      </c>
      <c r="I1091" s="283"/>
      <c r="J1091" s="283"/>
      <c r="K1091" s="109" t="s">
        <v>54</v>
      </c>
      <c r="L1091" s="109"/>
      <c r="M1091" s="109" t="s">
        <v>71</v>
      </c>
      <c r="N1091" s="109" t="s">
        <v>49</v>
      </c>
      <c r="O1091" s="109"/>
      <c r="P1091" s="109" t="s">
        <v>58</v>
      </c>
      <c r="Q1091" s="283" t="s">
        <v>72</v>
      </c>
      <c r="R1091" s="283"/>
      <c r="S1091" s="283"/>
      <c r="T1091" s="109" t="s">
        <v>49</v>
      </c>
      <c r="U1091" s="283"/>
      <c r="V1091" s="283"/>
      <c r="W1091" s="109" t="s">
        <v>54</v>
      </c>
      <c r="X1091" s="109"/>
    </row>
    <row r="1092" spans="1:24" ht="18.75" customHeight="1">
      <c r="A1092" s="109" t="s">
        <v>73</v>
      </c>
      <c r="B1092" s="109"/>
      <c r="C1092" s="109"/>
      <c r="D1092" s="109" t="s">
        <v>67</v>
      </c>
      <c r="E1092" s="283" t="s">
        <v>74</v>
      </c>
      <c r="F1092" s="283"/>
      <c r="G1092" s="283"/>
      <c r="H1092" s="109" t="s">
        <v>49</v>
      </c>
      <c r="I1092" s="283">
        <f>$F$8*C1092/8/$L$1</f>
        <v>0</v>
      </c>
      <c r="J1092" s="283"/>
      <c r="K1092" s="109" t="s">
        <v>54</v>
      </c>
      <c r="L1092" s="109"/>
      <c r="M1092" s="109" t="s">
        <v>73</v>
      </c>
      <c r="N1092" s="109"/>
      <c r="O1092" s="109"/>
      <c r="P1092" s="109" t="s">
        <v>67</v>
      </c>
      <c r="Q1092" s="283" t="s">
        <v>74</v>
      </c>
      <c r="R1092" s="283"/>
      <c r="S1092" s="283"/>
      <c r="T1092" s="109" t="s">
        <v>49</v>
      </c>
      <c r="U1092" s="283">
        <f>$F$8*O1092/8/$L$1</f>
        <v>0</v>
      </c>
      <c r="V1092" s="283"/>
      <c r="W1092" s="109" t="s">
        <v>54</v>
      </c>
      <c r="X1092" s="109"/>
    </row>
    <row r="1093" spans="1:24" ht="18.75" customHeight="1">
      <c r="A1093" s="109" t="s">
        <v>75</v>
      </c>
      <c r="B1093" s="109" t="s">
        <v>49</v>
      </c>
      <c r="C1093" s="109"/>
      <c r="D1093" s="109" t="s">
        <v>67</v>
      </c>
      <c r="E1093" s="283" t="s">
        <v>97</v>
      </c>
      <c r="F1093" s="283"/>
      <c r="G1093" s="283"/>
      <c r="H1093" s="109" t="s">
        <v>49</v>
      </c>
      <c r="I1093" s="283"/>
      <c r="J1093" s="283"/>
      <c r="K1093" s="109" t="s">
        <v>54</v>
      </c>
      <c r="L1093" s="109"/>
      <c r="M1093" s="109" t="s">
        <v>75</v>
      </c>
      <c r="N1093" s="109" t="s">
        <v>49</v>
      </c>
      <c r="O1093" s="109"/>
      <c r="P1093" s="109" t="s">
        <v>67</v>
      </c>
      <c r="Q1093" s="283" t="s">
        <v>97</v>
      </c>
      <c r="R1093" s="283"/>
      <c r="S1093" s="283"/>
      <c r="T1093" s="109" t="s">
        <v>49</v>
      </c>
      <c r="U1093" s="283"/>
      <c r="V1093" s="283"/>
      <c r="W1093" s="109" t="s">
        <v>54</v>
      </c>
      <c r="X1093" s="109"/>
    </row>
    <row r="1094" spans="1:24" ht="18.75" customHeight="1">
      <c r="A1094" s="109" t="s">
        <v>77</v>
      </c>
      <c r="B1094" s="109" t="s">
        <v>49</v>
      </c>
      <c r="C1094" s="109"/>
      <c r="D1094" s="109" t="s">
        <v>78</v>
      </c>
      <c r="E1094" s="109" t="s">
        <v>79</v>
      </c>
      <c r="F1094" s="109"/>
      <c r="G1094" s="109"/>
      <c r="H1094" s="109" t="s">
        <v>49</v>
      </c>
      <c r="I1094" s="283"/>
      <c r="J1094" s="283"/>
      <c r="K1094" s="109" t="s">
        <v>54</v>
      </c>
      <c r="L1094" s="109" t="e">
        <f>+IF(L1085-I1085&lt;0,0,L1085-I1085)+IF(L1089-I1089&lt;0,0,L1089-I1089)</f>
        <v>#DIV/0!</v>
      </c>
      <c r="M1094" s="109" t="s">
        <v>77</v>
      </c>
      <c r="N1094" s="109" t="s">
        <v>49</v>
      </c>
      <c r="O1094" s="109"/>
      <c r="P1094" s="109" t="s">
        <v>78</v>
      </c>
      <c r="Q1094" s="109" t="s">
        <v>79</v>
      </c>
      <c r="R1094" s="109"/>
      <c r="S1094" s="109"/>
      <c r="T1094" s="109" t="s">
        <v>49</v>
      </c>
      <c r="U1094" s="283"/>
      <c r="V1094" s="283"/>
      <c r="W1094" s="109" t="s">
        <v>54</v>
      </c>
      <c r="X1094" s="109" t="e">
        <f>+IF(X1085-U1085&lt;0,0,X1085-U1085)+IF(X1089-U1089&lt;0,0,X1089-U1089)</f>
        <v>#DIV/0!</v>
      </c>
    </row>
    <row r="1095" spans="1:24" ht="18.75" customHeight="1">
      <c r="A1095" s="109" t="s">
        <v>122</v>
      </c>
      <c r="B1095" s="109"/>
      <c r="C1095" s="109"/>
      <c r="D1095" s="109" t="s">
        <v>58</v>
      </c>
      <c r="E1095" s="283" t="s">
        <v>123</v>
      </c>
      <c r="F1095" s="283"/>
      <c r="G1095" s="283"/>
      <c r="H1095" s="109" t="s">
        <v>49</v>
      </c>
      <c r="I1095" s="283"/>
      <c r="J1095" s="283"/>
      <c r="K1095" s="109" t="s">
        <v>54</v>
      </c>
      <c r="L1095" s="109"/>
      <c r="M1095" s="109" t="s">
        <v>122</v>
      </c>
      <c r="N1095" s="109"/>
      <c r="O1095" s="109"/>
      <c r="P1095" s="109" t="s">
        <v>58</v>
      </c>
      <c r="Q1095" s="283" t="s">
        <v>123</v>
      </c>
      <c r="R1095" s="283"/>
      <c r="S1095" s="283"/>
      <c r="T1095" s="109" t="s">
        <v>49</v>
      </c>
      <c r="U1095" s="283"/>
      <c r="V1095" s="283"/>
      <c r="W1095" s="109" t="s">
        <v>54</v>
      </c>
      <c r="X1095" s="109"/>
    </row>
    <row r="1096" spans="1:24" ht="18.75" customHeight="1">
      <c r="A1096" s="283" t="s">
        <v>82</v>
      </c>
      <c r="B1096" s="283"/>
      <c r="C1096" s="109"/>
      <c r="D1096" s="109"/>
      <c r="E1096" s="109"/>
      <c r="F1096" s="109"/>
      <c r="G1096" s="109"/>
      <c r="H1096" s="109" t="s">
        <v>49</v>
      </c>
      <c r="I1096" s="283"/>
      <c r="J1096" s="283"/>
      <c r="K1096" s="109" t="s">
        <v>54</v>
      </c>
      <c r="L1096" s="109"/>
      <c r="M1096" s="283" t="s">
        <v>82</v>
      </c>
      <c r="N1096" s="283"/>
      <c r="O1096" s="109"/>
      <c r="P1096" s="109"/>
      <c r="Q1096" s="109"/>
      <c r="R1096" s="109"/>
      <c r="S1096" s="109"/>
      <c r="T1096" s="109" t="s">
        <v>49</v>
      </c>
      <c r="U1096" s="283"/>
      <c r="V1096" s="283"/>
      <c r="W1096" s="109" t="s">
        <v>54</v>
      </c>
      <c r="X1096" s="109"/>
    </row>
    <row r="1097" spans="1:24" ht="18.75" customHeight="1">
      <c r="A1097" s="109" t="s">
        <v>83</v>
      </c>
      <c r="B1097" s="109" t="s">
        <v>49</v>
      </c>
      <c r="C1097" s="109"/>
      <c r="D1097" s="109"/>
      <c r="E1097" s="109" t="s">
        <v>84</v>
      </c>
      <c r="F1097" s="109"/>
      <c r="G1097" s="109"/>
      <c r="H1097" s="109" t="s">
        <v>49</v>
      </c>
      <c r="I1097" s="283" t="e">
        <f>L1094</f>
        <v>#DIV/0!</v>
      </c>
      <c r="J1097" s="283"/>
      <c r="K1097" s="109" t="s">
        <v>54</v>
      </c>
      <c r="L1097" s="109"/>
      <c r="M1097" s="109" t="s">
        <v>83</v>
      </c>
      <c r="N1097" s="109" t="s">
        <v>49</v>
      </c>
      <c r="O1097" s="109"/>
      <c r="P1097" s="109"/>
      <c r="Q1097" s="109" t="s">
        <v>84</v>
      </c>
      <c r="R1097" s="109"/>
      <c r="S1097" s="109"/>
      <c r="T1097" s="109" t="s">
        <v>49</v>
      </c>
      <c r="U1097" s="283" t="e">
        <f>X1094</f>
        <v>#DIV/0!</v>
      </c>
      <c r="V1097" s="283"/>
      <c r="W1097" s="109" t="s">
        <v>54</v>
      </c>
      <c r="X1097" s="109"/>
    </row>
    <row r="1098" spans="1:24" ht="18.75" customHeight="1">
      <c r="A1098" s="283" t="s">
        <v>85</v>
      </c>
      <c r="B1098" s="283"/>
      <c r="C1098" s="283"/>
      <c r="D1098" s="283"/>
      <c r="E1098" s="283"/>
      <c r="F1098" s="283"/>
      <c r="G1098" s="109" t="s">
        <v>49</v>
      </c>
      <c r="H1098" s="283" t="e">
        <f>I1085+I1086+I1087+I1088+I1089+I1092+I1096+I1097</f>
        <v>#DIV/0!</v>
      </c>
      <c r="I1098" s="283"/>
      <c r="J1098" s="283"/>
      <c r="K1098" s="109" t="s">
        <v>54</v>
      </c>
      <c r="M1098" s="283" t="s">
        <v>85</v>
      </c>
      <c r="N1098" s="283"/>
      <c r="O1098" s="283"/>
      <c r="P1098" s="283"/>
      <c r="Q1098" s="283"/>
      <c r="R1098" s="283"/>
      <c r="S1098" s="109" t="s">
        <v>49</v>
      </c>
      <c r="T1098" s="283" t="e">
        <f>U1085+U1086+U1087+U1088+U1089+U1092+U1096+U1097</f>
        <v>#DIV/0!</v>
      </c>
      <c r="U1098" s="283"/>
      <c r="V1098" s="283"/>
      <c r="W1098" s="109" t="s">
        <v>54</v>
      </c>
    </row>
    <row r="1099" spans="1:24" ht="18.75" customHeight="1">
      <c r="A1099" s="109"/>
      <c r="B1099" s="109"/>
      <c r="C1099" s="109"/>
      <c r="D1099" s="109"/>
      <c r="E1099" s="109"/>
      <c r="F1099" s="109"/>
      <c r="G1099" s="109"/>
      <c r="H1099" s="109"/>
      <c r="I1099" s="109"/>
      <c r="J1099" s="109"/>
      <c r="K1099" s="109"/>
      <c r="M1099" s="109"/>
      <c r="N1099" s="109"/>
      <c r="O1099" s="109"/>
      <c r="P1099" s="109"/>
      <c r="Q1099" s="109"/>
      <c r="R1099" s="109"/>
      <c r="S1099" s="109"/>
      <c r="T1099" s="109"/>
      <c r="U1099" s="109"/>
      <c r="V1099" s="109"/>
      <c r="W1099" s="109"/>
    </row>
    <row r="1100" spans="1:24" ht="18.75" customHeight="1">
      <c r="A1100" s="283" t="s">
        <v>86</v>
      </c>
      <c r="B1100" s="283"/>
      <c r="C1100" s="283"/>
      <c r="D1100" s="283"/>
      <c r="E1100" s="283"/>
      <c r="F1100" s="283"/>
      <c r="G1100" s="109"/>
      <c r="H1100" s="109"/>
      <c r="I1100" s="109"/>
      <c r="J1100" s="109"/>
      <c r="K1100" s="109"/>
      <c r="M1100" s="283" t="s">
        <v>86</v>
      </c>
      <c r="N1100" s="283"/>
      <c r="O1100" s="283"/>
      <c r="P1100" s="283"/>
      <c r="Q1100" s="283"/>
      <c r="R1100" s="283"/>
      <c r="S1100" s="109"/>
      <c r="T1100" s="109"/>
      <c r="U1100" s="109"/>
      <c r="V1100" s="109"/>
      <c r="W1100" s="109"/>
    </row>
    <row r="1101" spans="1:24" ht="18.75" customHeight="1">
      <c r="A1101" s="283" t="s">
        <v>87</v>
      </c>
      <c r="B1101" s="283"/>
      <c r="C1101" s="283"/>
      <c r="D1101" s="283"/>
      <c r="E1101" s="283"/>
      <c r="F1101" s="283"/>
      <c r="G1101" s="109" t="s">
        <v>49</v>
      </c>
      <c r="H1101" s="283">
        <f>IF(($L$1-(C1085+C1086+C1087+C1088))&gt;12,0,F1082*8%)</f>
        <v>0</v>
      </c>
      <c r="I1101" s="283"/>
      <c r="J1101" s="283"/>
      <c r="K1101" s="109" t="s">
        <v>54</v>
      </c>
      <c r="M1101" s="283" t="s">
        <v>87</v>
      </c>
      <c r="N1101" s="283"/>
      <c r="O1101" s="283"/>
      <c r="P1101" s="283"/>
      <c r="Q1101" s="283"/>
      <c r="R1101" s="283"/>
      <c r="S1101" s="109" t="s">
        <v>49</v>
      </c>
      <c r="T1101" s="283">
        <f>IF(($L$1-(O1085+O1086+O1087+O1088))&gt;12,0,R1082*8%)</f>
        <v>0</v>
      </c>
      <c r="U1101" s="283"/>
      <c r="V1101" s="283"/>
      <c r="W1101" s="109" t="s">
        <v>54</v>
      </c>
    </row>
    <row r="1102" spans="1:24" ht="18.75" customHeight="1">
      <c r="A1102" s="283" t="s">
        <v>88</v>
      </c>
      <c r="B1102" s="283"/>
      <c r="C1102" s="283"/>
      <c r="D1102" s="283"/>
      <c r="E1102" s="283"/>
      <c r="F1102" s="283"/>
      <c r="G1102" s="109" t="s">
        <v>49</v>
      </c>
      <c r="H1102" s="283">
        <f>IF(($L$1-(C1085+C1086+C1087+C1088))&gt;12,0,F1082*1.5%)</f>
        <v>0</v>
      </c>
      <c r="I1102" s="283"/>
      <c r="J1102" s="283"/>
      <c r="K1102" s="109" t="s">
        <v>54</v>
      </c>
      <c r="M1102" s="283" t="s">
        <v>88</v>
      </c>
      <c r="N1102" s="283"/>
      <c r="O1102" s="283"/>
      <c r="P1102" s="283"/>
      <c r="Q1102" s="283"/>
      <c r="R1102" s="283"/>
      <c r="S1102" s="109" t="s">
        <v>49</v>
      </c>
      <c r="T1102" s="283">
        <f>IF(($L$1-(O1085+O1086+O1087+O1088))&gt;12,0,R1082*1.5%)</f>
        <v>0</v>
      </c>
      <c r="U1102" s="283"/>
      <c r="V1102" s="283"/>
      <c r="W1102" s="109" t="s">
        <v>54</v>
      </c>
    </row>
    <row r="1103" spans="1:24" ht="18.75" customHeight="1">
      <c r="A1103" s="283" t="s">
        <v>89</v>
      </c>
      <c r="B1103" s="283"/>
      <c r="C1103" s="283"/>
      <c r="D1103" s="283"/>
      <c r="E1103" s="283"/>
      <c r="F1103" s="283"/>
      <c r="G1103" s="109" t="s">
        <v>49</v>
      </c>
      <c r="H1103" s="283">
        <f>IF(($L$1-(C1085+C1086+C1087+C1088))&gt;12,0,F1082*1%)</f>
        <v>0</v>
      </c>
      <c r="I1103" s="283"/>
      <c r="J1103" s="283"/>
      <c r="K1103" s="109" t="s">
        <v>54</v>
      </c>
      <c r="M1103" s="283" t="s">
        <v>89</v>
      </c>
      <c r="N1103" s="283"/>
      <c r="O1103" s="283"/>
      <c r="P1103" s="283"/>
      <c r="Q1103" s="283"/>
      <c r="R1103" s="283"/>
      <c r="S1103" s="109" t="s">
        <v>49</v>
      </c>
      <c r="T1103" s="283">
        <f>IF(($L$1-(O1085+O1086+O1087+O1088))&gt;12,0,R1082*1%)</f>
        <v>0</v>
      </c>
      <c r="U1103" s="283"/>
      <c r="V1103" s="283"/>
      <c r="W1103" s="109" t="s">
        <v>54</v>
      </c>
    </row>
    <row r="1104" spans="1:24" ht="18.75" customHeight="1">
      <c r="A1104" s="283" t="s">
        <v>90</v>
      </c>
      <c r="B1104" s="283"/>
      <c r="C1104" s="283"/>
      <c r="D1104" s="283"/>
      <c r="E1104" s="283"/>
      <c r="F1104" s="283"/>
      <c r="G1104" s="109" t="s">
        <v>49</v>
      </c>
      <c r="H1104" s="283">
        <v>0</v>
      </c>
      <c r="I1104" s="283"/>
      <c r="J1104" s="283"/>
      <c r="K1104" s="109" t="s">
        <v>54</v>
      </c>
      <c r="M1104" s="283" t="s">
        <v>90</v>
      </c>
      <c r="N1104" s="283"/>
      <c r="O1104" s="283"/>
      <c r="P1104" s="283"/>
      <c r="Q1104" s="283"/>
      <c r="R1104" s="283"/>
      <c r="S1104" s="109" t="s">
        <v>49</v>
      </c>
      <c r="T1104" s="283">
        <v>0</v>
      </c>
      <c r="U1104" s="283"/>
      <c r="V1104" s="283"/>
      <c r="W1104" s="109" t="s">
        <v>54</v>
      </c>
    </row>
    <row r="1105" spans="1:24" ht="18.75" customHeight="1">
      <c r="A1105" s="283" t="s">
        <v>91</v>
      </c>
      <c r="B1105" s="283"/>
      <c r="C1105" s="283"/>
      <c r="D1105" s="283"/>
      <c r="E1105" s="283"/>
      <c r="F1105" s="283"/>
      <c r="G1105" s="109" t="s">
        <v>49</v>
      </c>
      <c r="H1105" s="283">
        <f>SUM(H1101:J1104)</f>
        <v>0</v>
      </c>
      <c r="I1105" s="283"/>
      <c r="J1105" s="283"/>
      <c r="K1105" s="109" t="s">
        <v>54</v>
      </c>
      <c r="M1105" s="283" t="s">
        <v>91</v>
      </c>
      <c r="N1105" s="283"/>
      <c r="O1105" s="283"/>
      <c r="P1105" s="283"/>
      <c r="Q1105" s="283"/>
      <c r="R1105" s="283"/>
      <c r="S1105" s="109" t="s">
        <v>49</v>
      </c>
      <c r="T1105" s="283">
        <f>SUM(T1101:V1104)</f>
        <v>0</v>
      </c>
      <c r="U1105" s="283"/>
      <c r="V1105" s="283"/>
      <c r="W1105" s="109" t="s">
        <v>54</v>
      </c>
    </row>
    <row r="1106" spans="1:24" ht="18.75" customHeight="1">
      <c r="A1106" s="283" t="s">
        <v>92</v>
      </c>
      <c r="B1106" s="283"/>
      <c r="C1106" s="283"/>
      <c r="D1106" s="283"/>
      <c r="E1106" s="283"/>
      <c r="F1106" s="283"/>
      <c r="G1106" s="109" t="s">
        <v>49</v>
      </c>
      <c r="H1106" s="283" t="e">
        <f>ROUND(H1098-H1105,-2)</f>
        <v>#DIV/0!</v>
      </c>
      <c r="I1106" s="283"/>
      <c r="J1106" s="283"/>
      <c r="K1106" s="109" t="s">
        <v>54</v>
      </c>
      <c r="M1106" s="283" t="s">
        <v>92</v>
      </c>
      <c r="N1106" s="283"/>
      <c r="O1106" s="283"/>
      <c r="P1106" s="283"/>
      <c r="Q1106" s="283"/>
      <c r="R1106" s="283"/>
      <c r="S1106" s="109" t="s">
        <v>49</v>
      </c>
      <c r="T1106" s="283" t="e">
        <f>ROUND(T1098-T1105,-2)</f>
        <v>#DIV/0!</v>
      </c>
      <c r="U1106" s="283"/>
      <c r="V1106" s="283"/>
      <c r="W1106" s="109" t="s">
        <v>54</v>
      </c>
    </row>
    <row r="1107" spans="1:24" ht="18.75" customHeight="1">
      <c r="A1107" s="109"/>
      <c r="B1107" s="109"/>
      <c r="C1107" s="109"/>
      <c r="D1107" s="109"/>
      <c r="E1107" s="109"/>
      <c r="F1107" s="109"/>
      <c r="G1107" s="109"/>
      <c r="H1107" s="109"/>
      <c r="I1107" s="109"/>
      <c r="J1107" s="109"/>
      <c r="K1107" s="109"/>
      <c r="M1107" s="109"/>
      <c r="N1107" s="109"/>
      <c r="O1107" s="109"/>
      <c r="P1107" s="109"/>
      <c r="Q1107" s="109"/>
      <c r="R1107" s="109"/>
      <c r="S1107" s="109"/>
      <c r="T1107" s="109"/>
      <c r="U1107" s="109"/>
      <c r="V1107" s="109"/>
      <c r="W1107" s="109"/>
    </row>
    <row r="1108" spans="1:24" ht="18.75" customHeight="1">
      <c r="A1108" s="109"/>
      <c r="B1108" s="109"/>
      <c r="C1108" s="109"/>
      <c r="D1108" s="109"/>
      <c r="E1108" s="109"/>
      <c r="F1108" s="109"/>
      <c r="G1108" s="109"/>
      <c r="H1108" s="109"/>
      <c r="I1108" s="283" t="s">
        <v>93</v>
      </c>
      <c r="J1108" s="283"/>
      <c r="K1108" s="283"/>
      <c r="M1108" s="109"/>
      <c r="N1108" s="109"/>
      <c r="O1108" s="109"/>
      <c r="P1108" s="109"/>
      <c r="Q1108" s="109"/>
      <c r="R1108" s="109"/>
      <c r="S1108" s="109"/>
      <c r="T1108" s="109"/>
      <c r="U1108" s="283" t="s">
        <v>93</v>
      </c>
      <c r="V1108" s="283"/>
      <c r="W1108" s="283"/>
    </row>
    <row r="1109" spans="1:24" ht="18.75" customHeight="1">
      <c r="A1109" s="109"/>
      <c r="B1109" s="283"/>
      <c r="C1109" s="283"/>
      <c r="D1109" s="283"/>
      <c r="E1109" s="283"/>
      <c r="F1109" s="109"/>
      <c r="G1109" s="109"/>
      <c r="H1109" s="109"/>
      <c r="I1109" s="109"/>
      <c r="J1109" s="109"/>
      <c r="K1109" s="109"/>
      <c r="M1109" s="109"/>
      <c r="N1109" s="283"/>
      <c r="O1109" s="283"/>
      <c r="P1109" s="283"/>
      <c r="Q1109" s="283"/>
      <c r="R1109" s="109"/>
      <c r="S1109" s="109"/>
      <c r="T1109" s="109"/>
      <c r="U1109" s="109"/>
      <c r="V1109" s="109"/>
      <c r="W1109" s="109"/>
    </row>
    <row r="1110" spans="1:24" ht="18.75" customHeight="1">
      <c r="A1110" s="109"/>
      <c r="B1110" s="109"/>
      <c r="C1110" s="109"/>
      <c r="D1110" s="109"/>
      <c r="E1110" s="109"/>
      <c r="F1110" s="109"/>
      <c r="G1110" s="109"/>
      <c r="H1110" s="109"/>
      <c r="I1110" s="283" t="s">
        <v>94</v>
      </c>
      <c r="J1110" s="283"/>
      <c r="K1110" s="283"/>
      <c r="M1110" s="109"/>
      <c r="N1110" s="109"/>
      <c r="O1110" s="109"/>
      <c r="P1110" s="109"/>
      <c r="Q1110" s="109"/>
      <c r="R1110" s="109"/>
      <c r="S1110" s="109"/>
      <c r="T1110" s="109"/>
      <c r="U1110" s="283" t="s">
        <v>94</v>
      </c>
      <c r="V1110" s="283"/>
      <c r="W1110" s="283"/>
    </row>
    <row r="1112" spans="1:24" ht="18.75" customHeight="1">
      <c r="A1112" s="283" t="s">
        <v>43</v>
      </c>
      <c r="B1112" s="283"/>
      <c r="C1112" s="283"/>
      <c r="D1112" s="283"/>
      <c r="E1112" s="283"/>
      <c r="F1112" s="283"/>
      <c r="G1112" s="283"/>
      <c r="H1112" s="283"/>
      <c r="I1112" s="283"/>
      <c r="J1112" s="283"/>
      <c r="K1112" s="283"/>
      <c r="L1112" s="109">
        <v>24</v>
      </c>
      <c r="M1112" s="283" t="s">
        <v>43</v>
      </c>
      <c r="N1112" s="283"/>
      <c r="O1112" s="283"/>
      <c r="P1112" s="283"/>
      <c r="Q1112" s="283"/>
      <c r="R1112" s="283"/>
      <c r="S1112" s="283"/>
      <c r="T1112" s="283"/>
      <c r="U1112" s="283"/>
      <c r="V1112" s="283"/>
      <c r="W1112" s="283"/>
      <c r="X1112" s="109">
        <v>24</v>
      </c>
    </row>
    <row r="1113" spans="1:24" ht="18.75" customHeight="1">
      <c r="A1113" s="109" t="s">
        <v>168</v>
      </c>
      <c r="B1113" s="109"/>
      <c r="C1113" s="109"/>
      <c r="D1113" s="109"/>
      <c r="E1113" s="109"/>
      <c r="F1113" s="109"/>
      <c r="G1113" s="109"/>
      <c r="H1113" s="109"/>
      <c r="I1113" s="109"/>
      <c r="J1113" s="109"/>
      <c r="K1113" s="109"/>
      <c r="M1113" s="109" t="s">
        <v>169</v>
      </c>
      <c r="N1113" s="109"/>
      <c r="O1113" s="109"/>
      <c r="P1113" s="109"/>
      <c r="Q1113" s="109"/>
      <c r="R1113" s="109"/>
      <c r="S1113" s="109"/>
      <c r="T1113" s="109"/>
      <c r="U1113" s="109"/>
      <c r="V1113" s="109"/>
      <c r="W1113" s="109"/>
    </row>
    <row r="1114" spans="1:24" ht="18.75" customHeight="1">
      <c r="A1114" s="283" t="s">
        <v>47</v>
      </c>
      <c r="B1114" s="283"/>
      <c r="C1114" s="283"/>
      <c r="D1114" s="283"/>
      <c r="E1114" s="283"/>
      <c r="F1114" s="283"/>
      <c r="G1114" s="283"/>
      <c r="H1114" s="283"/>
      <c r="I1114" s="283"/>
      <c r="J1114" s="283"/>
      <c r="K1114" s="283"/>
      <c r="M1114" s="283" t="s">
        <v>47</v>
      </c>
      <c r="N1114" s="283"/>
      <c r="O1114" s="283"/>
      <c r="P1114" s="283"/>
      <c r="Q1114" s="283"/>
      <c r="R1114" s="283"/>
      <c r="S1114" s="283"/>
      <c r="T1114" s="283"/>
      <c r="U1114" s="283"/>
      <c r="V1114" s="283"/>
      <c r="W1114" s="283"/>
    </row>
    <row r="1115" spans="1:24" ht="18.75" customHeight="1">
      <c r="A1115" s="283" t="s">
        <v>48</v>
      </c>
      <c r="B1115" s="283"/>
      <c r="C1115" s="283"/>
      <c r="D1115" s="283"/>
      <c r="E1115" s="109" t="s">
        <v>49</v>
      </c>
      <c r="F1115" s="283"/>
      <c r="G1115" s="283"/>
      <c r="H1115" s="283"/>
      <c r="I1115" s="283"/>
      <c r="J1115" s="283"/>
      <c r="K1115" s="283"/>
      <c r="M1115" s="283" t="s">
        <v>48</v>
      </c>
      <c r="N1115" s="283"/>
      <c r="O1115" s="283"/>
      <c r="P1115" s="283"/>
      <c r="Q1115" s="109" t="s">
        <v>49</v>
      </c>
      <c r="R1115" s="283"/>
      <c r="S1115" s="283"/>
      <c r="T1115" s="283"/>
      <c r="U1115" s="283"/>
      <c r="V1115" s="283"/>
      <c r="W1115" s="283"/>
    </row>
    <row r="1116" spans="1:24" ht="18.75" customHeight="1">
      <c r="A1116" s="283" t="s">
        <v>50</v>
      </c>
      <c r="B1116" s="283"/>
      <c r="C1116" s="283"/>
      <c r="D1116" s="283"/>
      <c r="E1116" s="109" t="s">
        <v>49</v>
      </c>
      <c r="F1116" s="283"/>
      <c r="G1116" s="283"/>
      <c r="H1116" s="283"/>
      <c r="I1116" s="283"/>
      <c r="J1116" s="283"/>
      <c r="K1116" s="283"/>
      <c r="M1116" s="283" t="s">
        <v>50</v>
      </c>
      <c r="N1116" s="283"/>
      <c r="O1116" s="283"/>
      <c r="P1116" s="283"/>
      <c r="Q1116" s="109" t="s">
        <v>49</v>
      </c>
      <c r="R1116" s="283"/>
      <c r="S1116" s="283"/>
      <c r="T1116" s="283"/>
      <c r="U1116" s="283"/>
      <c r="V1116" s="283"/>
      <c r="W1116" s="283"/>
    </row>
    <row r="1117" spans="1:24" ht="18.75" customHeight="1">
      <c r="A1117" s="283" t="s">
        <v>51</v>
      </c>
      <c r="B1117" s="283"/>
      <c r="C1117" s="283"/>
      <c r="D1117" s="283"/>
      <c r="E1117" s="109" t="s">
        <v>49</v>
      </c>
      <c r="F1117" s="283" t="s">
        <v>121</v>
      </c>
      <c r="G1117" s="283"/>
      <c r="H1117" s="283"/>
      <c r="I1117" s="283"/>
      <c r="J1117" s="283"/>
      <c r="K1117" s="283"/>
      <c r="M1117" s="283" t="s">
        <v>51</v>
      </c>
      <c r="N1117" s="283"/>
      <c r="O1117" s="283"/>
      <c r="P1117" s="283"/>
      <c r="Q1117" s="109" t="s">
        <v>49</v>
      </c>
      <c r="R1117" s="283" t="s">
        <v>121</v>
      </c>
      <c r="S1117" s="283"/>
      <c r="T1117" s="283"/>
      <c r="U1117" s="283"/>
      <c r="V1117" s="283"/>
      <c r="W1117" s="283"/>
    </row>
    <row r="1118" spans="1:24" ht="18.75" customHeight="1">
      <c r="A1118" s="283" t="s">
        <v>52</v>
      </c>
      <c r="B1118" s="283"/>
      <c r="C1118" s="283"/>
      <c r="D1118" s="283"/>
      <c r="E1118" s="283"/>
      <c r="F1118" s="283"/>
      <c r="G1118" s="283"/>
      <c r="H1118" s="283"/>
      <c r="I1118" s="283"/>
      <c r="J1118" s="283"/>
      <c r="K1118" s="283"/>
      <c r="M1118" s="283" t="s">
        <v>52</v>
      </c>
      <c r="N1118" s="283"/>
      <c r="O1118" s="283"/>
      <c r="P1118" s="283"/>
      <c r="Q1118" s="283"/>
      <c r="R1118" s="283"/>
      <c r="S1118" s="283"/>
      <c r="T1118" s="283"/>
      <c r="U1118" s="283"/>
      <c r="V1118" s="283"/>
      <c r="W1118" s="283"/>
    </row>
    <row r="1119" spans="1:24" ht="18.75" customHeight="1">
      <c r="A1119" s="283" t="s">
        <v>53</v>
      </c>
      <c r="B1119" s="283"/>
      <c r="C1119" s="283"/>
      <c r="D1119" s="283"/>
      <c r="E1119" s="109" t="s">
        <v>49</v>
      </c>
      <c r="F1119" s="283">
        <v>2915400</v>
      </c>
      <c r="G1119" s="283"/>
      <c r="H1119" s="283"/>
      <c r="I1119" s="283"/>
      <c r="J1119" s="109" t="s">
        <v>54</v>
      </c>
      <c r="K1119" s="109"/>
      <c r="M1119" s="283" t="s">
        <v>53</v>
      </c>
      <c r="N1119" s="283"/>
      <c r="O1119" s="283"/>
      <c r="P1119" s="283"/>
      <c r="Q1119" s="109" t="s">
        <v>49</v>
      </c>
      <c r="R1119" s="283">
        <v>2915400</v>
      </c>
      <c r="S1119" s="283"/>
      <c r="T1119" s="283"/>
      <c r="U1119" s="283"/>
      <c r="V1119" s="109" t="s">
        <v>54</v>
      </c>
      <c r="W1119" s="109"/>
    </row>
    <row r="1120" spans="1:24" ht="18.75" customHeight="1">
      <c r="A1120" s="109" t="s">
        <v>55</v>
      </c>
      <c r="B1120" s="109"/>
      <c r="C1120" s="109"/>
      <c r="D1120" s="109"/>
      <c r="E1120" s="109"/>
      <c r="F1120" s="109"/>
      <c r="G1120" s="109"/>
      <c r="H1120" s="109"/>
      <c r="I1120" s="109"/>
      <c r="J1120" s="109"/>
      <c r="K1120" s="109"/>
      <c r="M1120" s="109" t="s">
        <v>55</v>
      </c>
      <c r="N1120" s="109"/>
      <c r="O1120" s="109"/>
      <c r="P1120" s="109"/>
      <c r="Q1120" s="109"/>
      <c r="R1120" s="109"/>
      <c r="S1120" s="109"/>
      <c r="T1120" s="109"/>
      <c r="U1120" s="109"/>
      <c r="V1120" s="109"/>
      <c r="W1120" s="109"/>
    </row>
    <row r="1121" spans="1:24" ht="18.75" customHeight="1">
      <c r="A1121" s="109" t="s">
        <v>56</v>
      </c>
      <c r="B1121" s="109"/>
      <c r="C1121" s="109"/>
      <c r="D1121" s="109"/>
      <c r="E1121" s="109"/>
      <c r="F1121" s="109"/>
      <c r="G1121" s="109"/>
      <c r="H1121" s="109"/>
      <c r="I1121" s="109" t="e">
        <f>I1122/C1122/8</f>
        <v>#DIV/0!</v>
      </c>
      <c r="J1121" s="109"/>
      <c r="K1121" s="109"/>
      <c r="M1121" s="109" t="s">
        <v>56</v>
      </c>
      <c r="N1121" s="109"/>
      <c r="O1121" s="109"/>
      <c r="P1121" s="109"/>
      <c r="Q1121" s="109"/>
      <c r="R1121" s="109"/>
      <c r="S1121" s="109"/>
      <c r="T1121" s="109"/>
      <c r="U1121" s="109" t="e">
        <f>U1122/O1122/8</f>
        <v>#DIV/0!</v>
      </c>
      <c r="V1121" s="109"/>
      <c r="W1121" s="109"/>
    </row>
    <row r="1122" spans="1:24" ht="18.75" customHeight="1">
      <c r="A1122" s="109" t="s">
        <v>57</v>
      </c>
      <c r="B1122" s="109" t="s">
        <v>49</v>
      </c>
      <c r="C1122" s="109"/>
      <c r="D1122" s="109" t="s">
        <v>58</v>
      </c>
      <c r="E1122" s="283" t="s">
        <v>59</v>
      </c>
      <c r="F1122" s="283"/>
      <c r="G1122" s="283"/>
      <c r="H1122" s="109" t="s">
        <v>49</v>
      </c>
      <c r="I1122" s="283" t="e">
        <f>I1120*680/((C1122-C1129)*8+C1129*7+C1126)*((C1122-C1129)*8+C1129*7)</f>
        <v>#DIV/0!</v>
      </c>
      <c r="J1122" s="283"/>
      <c r="K1122" s="109" t="s">
        <v>54</v>
      </c>
      <c r="L1122" s="109">
        <f>F1119/L1112*C1122</f>
        <v>0</v>
      </c>
      <c r="M1122" s="109" t="s">
        <v>57</v>
      </c>
      <c r="N1122" s="109" t="s">
        <v>49</v>
      </c>
      <c r="O1122" s="109"/>
      <c r="P1122" s="109" t="s">
        <v>58</v>
      </c>
      <c r="Q1122" s="283" t="s">
        <v>59</v>
      </c>
      <c r="R1122" s="283"/>
      <c r="S1122" s="283"/>
      <c r="T1122" s="109" t="s">
        <v>49</v>
      </c>
      <c r="U1122" s="283" t="e">
        <f>U1120*680/((O1122-O1129)*8+O1129*7+O1126)*((O1122-O1129)*8+O1129*7)</f>
        <v>#DIV/0!</v>
      </c>
      <c r="V1122" s="283"/>
      <c r="W1122" s="109" t="s">
        <v>54</v>
      </c>
      <c r="X1122" s="109">
        <f>R1119/X1112*O1122</f>
        <v>0</v>
      </c>
    </row>
    <row r="1123" spans="1:24" ht="18.75" customHeight="1">
      <c r="A1123" s="109" t="s">
        <v>60</v>
      </c>
      <c r="B1123" s="109" t="s">
        <v>49</v>
      </c>
      <c r="C1123" s="109"/>
      <c r="D1123" s="109" t="s">
        <v>58</v>
      </c>
      <c r="E1123" s="283" t="s">
        <v>61</v>
      </c>
      <c r="F1123" s="283"/>
      <c r="G1123" s="283"/>
      <c r="H1123" s="109" t="s">
        <v>49</v>
      </c>
      <c r="I1123" s="283">
        <f>$F$8/$L$1*C1123</f>
        <v>0</v>
      </c>
      <c r="J1123" s="283"/>
      <c r="K1123" s="109" t="s">
        <v>54</v>
      </c>
      <c r="L1123" s="109"/>
      <c r="M1123" s="109" t="s">
        <v>60</v>
      </c>
      <c r="N1123" s="109" t="s">
        <v>49</v>
      </c>
      <c r="O1123" s="109"/>
      <c r="P1123" s="109" t="s">
        <v>58</v>
      </c>
      <c r="Q1123" s="283" t="s">
        <v>61</v>
      </c>
      <c r="R1123" s="283"/>
      <c r="S1123" s="283"/>
      <c r="T1123" s="109" t="s">
        <v>49</v>
      </c>
      <c r="U1123" s="283">
        <f>$F$8/$L$1*O1123</f>
        <v>0</v>
      </c>
      <c r="V1123" s="283"/>
      <c r="W1123" s="109" t="s">
        <v>54</v>
      </c>
      <c r="X1123" s="109"/>
    </row>
    <row r="1124" spans="1:24" ht="18.75" customHeight="1">
      <c r="A1124" s="109" t="s">
        <v>62</v>
      </c>
      <c r="B1124" s="109" t="s">
        <v>49</v>
      </c>
      <c r="C1124" s="109"/>
      <c r="D1124" s="109" t="s">
        <v>58</v>
      </c>
      <c r="E1124" s="283" t="s">
        <v>63</v>
      </c>
      <c r="F1124" s="283"/>
      <c r="G1124" s="283"/>
      <c r="H1124" s="109" t="s">
        <v>49</v>
      </c>
      <c r="I1124" s="283">
        <f>$F$8/$L$1*C1124</f>
        <v>0</v>
      </c>
      <c r="J1124" s="283"/>
      <c r="K1124" s="109" t="s">
        <v>54</v>
      </c>
      <c r="L1124" s="109"/>
      <c r="M1124" s="109" t="s">
        <v>62</v>
      </c>
      <c r="N1124" s="109" t="s">
        <v>49</v>
      </c>
      <c r="O1124" s="109"/>
      <c r="P1124" s="109" t="s">
        <v>58</v>
      </c>
      <c r="Q1124" s="283" t="s">
        <v>63</v>
      </c>
      <c r="R1124" s="283"/>
      <c r="S1124" s="283"/>
      <c r="T1124" s="109" t="s">
        <v>49</v>
      </c>
      <c r="U1124" s="283">
        <f>$F$8/$L$1*O1124</f>
        <v>0</v>
      </c>
      <c r="V1124" s="283"/>
      <c r="W1124" s="109" t="s">
        <v>54</v>
      </c>
      <c r="X1124" s="109"/>
    </row>
    <row r="1125" spans="1:24" ht="18.75" customHeight="1">
      <c r="A1125" s="109" t="s">
        <v>64</v>
      </c>
      <c r="B1125" s="109" t="s">
        <v>49</v>
      </c>
      <c r="C1125" s="109"/>
      <c r="D1125" s="109" t="s">
        <v>58</v>
      </c>
      <c r="E1125" s="283" t="s">
        <v>65</v>
      </c>
      <c r="F1125" s="283"/>
      <c r="G1125" s="283"/>
      <c r="H1125" s="109" t="s">
        <v>49</v>
      </c>
      <c r="I1125" s="283">
        <f>$F$8/$L$1*C1125</f>
        <v>0</v>
      </c>
      <c r="J1125" s="283"/>
      <c r="K1125" s="109" t="s">
        <v>54</v>
      </c>
      <c r="L1125" s="109"/>
      <c r="M1125" s="109" t="s">
        <v>64</v>
      </c>
      <c r="N1125" s="109" t="s">
        <v>49</v>
      </c>
      <c r="O1125" s="109"/>
      <c r="P1125" s="109" t="s">
        <v>58</v>
      </c>
      <c r="Q1125" s="283" t="s">
        <v>65</v>
      </c>
      <c r="R1125" s="283"/>
      <c r="S1125" s="283"/>
      <c r="T1125" s="109" t="s">
        <v>49</v>
      </c>
      <c r="U1125" s="283">
        <f>$F$8/$L$1*O1125</f>
        <v>0</v>
      </c>
      <c r="V1125" s="283"/>
      <c r="W1125" s="109" t="s">
        <v>54</v>
      </c>
      <c r="X1125" s="109"/>
    </row>
    <row r="1126" spans="1:24" ht="18.75" customHeight="1">
      <c r="A1126" s="109" t="s">
        <v>66</v>
      </c>
      <c r="B1126" s="109" t="s">
        <v>49</v>
      </c>
      <c r="C1126" s="109"/>
      <c r="D1126" s="109" t="s">
        <v>67</v>
      </c>
      <c r="E1126" s="283" t="s">
        <v>68</v>
      </c>
      <c r="F1126" s="283"/>
      <c r="G1126" s="283"/>
      <c r="H1126" s="109" t="s">
        <v>49</v>
      </c>
      <c r="I1126" s="283" t="e">
        <f>I1122/C1122/8*C1126</f>
        <v>#DIV/0!</v>
      </c>
      <c r="J1126" s="283"/>
      <c r="K1126" s="109" t="s">
        <v>54</v>
      </c>
      <c r="L1126" s="109">
        <f>F1119*C1126/L1112/8*1.5</f>
        <v>0</v>
      </c>
      <c r="M1126" s="109" t="s">
        <v>66</v>
      </c>
      <c r="N1126" s="109" t="s">
        <v>49</v>
      </c>
      <c r="O1126" s="109"/>
      <c r="P1126" s="109" t="s">
        <v>67</v>
      </c>
      <c r="Q1126" s="283" t="s">
        <v>68</v>
      </c>
      <c r="R1126" s="283"/>
      <c r="S1126" s="283"/>
      <c r="T1126" s="109" t="s">
        <v>49</v>
      </c>
      <c r="U1126" s="283" t="e">
        <f>U1122/O1122/8*O1126</f>
        <v>#DIV/0!</v>
      </c>
      <c r="V1126" s="283"/>
      <c r="W1126" s="109" t="s">
        <v>54</v>
      </c>
      <c r="X1126" s="109">
        <f>R1119*O1126/X1112/8*1.5</f>
        <v>0</v>
      </c>
    </row>
    <row r="1127" spans="1:24" ht="18.75" customHeight="1">
      <c r="A1127" s="283" t="s">
        <v>69</v>
      </c>
      <c r="B1127" s="283"/>
      <c r="C1127" s="109"/>
      <c r="D1127" s="109" t="s">
        <v>58</v>
      </c>
      <c r="E1127" s="283" t="s">
        <v>70</v>
      </c>
      <c r="F1127" s="283"/>
      <c r="G1127" s="283"/>
      <c r="H1127" s="109" t="s">
        <v>49</v>
      </c>
      <c r="I1127" s="283"/>
      <c r="J1127" s="283"/>
      <c r="K1127" s="109" t="s">
        <v>54</v>
      </c>
      <c r="L1127" s="109"/>
      <c r="M1127" s="283" t="s">
        <v>69</v>
      </c>
      <c r="N1127" s="283"/>
      <c r="O1127" s="109"/>
      <c r="P1127" s="109" t="s">
        <v>58</v>
      </c>
      <c r="Q1127" s="283" t="s">
        <v>70</v>
      </c>
      <c r="R1127" s="283"/>
      <c r="S1127" s="283"/>
      <c r="T1127" s="109" t="s">
        <v>49</v>
      </c>
      <c r="U1127" s="283"/>
      <c r="V1127" s="283"/>
      <c r="W1127" s="109" t="s">
        <v>54</v>
      </c>
      <c r="X1127" s="109"/>
    </row>
    <row r="1128" spans="1:24" ht="18.75" customHeight="1">
      <c r="A1128" s="109" t="s">
        <v>71</v>
      </c>
      <c r="B1128" s="109" t="s">
        <v>49</v>
      </c>
      <c r="C1128" s="109"/>
      <c r="D1128" s="109" t="s">
        <v>58</v>
      </c>
      <c r="E1128" s="283" t="s">
        <v>72</v>
      </c>
      <c r="F1128" s="283"/>
      <c r="G1128" s="283"/>
      <c r="H1128" s="109" t="s">
        <v>49</v>
      </c>
      <c r="I1128" s="283"/>
      <c r="J1128" s="283"/>
      <c r="K1128" s="109" t="s">
        <v>54</v>
      </c>
      <c r="L1128" s="109"/>
      <c r="M1128" s="109" t="s">
        <v>71</v>
      </c>
      <c r="N1128" s="109" t="s">
        <v>49</v>
      </c>
      <c r="O1128" s="109"/>
      <c r="P1128" s="109" t="s">
        <v>58</v>
      </c>
      <c r="Q1128" s="283" t="s">
        <v>72</v>
      </c>
      <c r="R1128" s="283"/>
      <c r="S1128" s="283"/>
      <c r="T1128" s="109" t="s">
        <v>49</v>
      </c>
      <c r="U1128" s="283"/>
      <c r="V1128" s="283"/>
      <c r="W1128" s="109" t="s">
        <v>54</v>
      </c>
      <c r="X1128" s="109"/>
    </row>
    <row r="1129" spans="1:24" ht="18.75" customHeight="1">
      <c r="A1129" s="109" t="s">
        <v>73</v>
      </c>
      <c r="B1129" s="109"/>
      <c r="C1129" s="109"/>
      <c r="D1129" s="109" t="s">
        <v>67</v>
      </c>
      <c r="E1129" s="283" t="s">
        <v>74</v>
      </c>
      <c r="F1129" s="283"/>
      <c r="G1129" s="283"/>
      <c r="H1129" s="109" t="s">
        <v>49</v>
      </c>
      <c r="I1129" s="283">
        <f>$F$8*C1129/8/$L$1</f>
        <v>0</v>
      </c>
      <c r="J1129" s="283"/>
      <c r="K1129" s="109" t="s">
        <v>54</v>
      </c>
      <c r="L1129" s="109"/>
      <c r="M1129" s="109" t="s">
        <v>73</v>
      </c>
      <c r="N1129" s="109"/>
      <c r="O1129" s="109"/>
      <c r="P1129" s="109" t="s">
        <v>67</v>
      </c>
      <c r="Q1129" s="283" t="s">
        <v>74</v>
      </c>
      <c r="R1129" s="283"/>
      <c r="S1129" s="283"/>
      <c r="T1129" s="109" t="s">
        <v>49</v>
      </c>
      <c r="U1129" s="283">
        <f>$F$8*O1129/8/$L$1</f>
        <v>0</v>
      </c>
      <c r="V1129" s="283"/>
      <c r="W1129" s="109" t="s">
        <v>54</v>
      </c>
      <c r="X1129" s="109"/>
    </row>
    <row r="1130" spans="1:24" ht="18.75" customHeight="1">
      <c r="A1130" s="109" t="s">
        <v>75</v>
      </c>
      <c r="B1130" s="109" t="s">
        <v>49</v>
      </c>
      <c r="C1130" s="109"/>
      <c r="D1130" s="109" t="s">
        <v>67</v>
      </c>
      <c r="E1130" s="283" t="s">
        <v>97</v>
      </c>
      <c r="F1130" s="283"/>
      <c r="G1130" s="283"/>
      <c r="H1130" s="109" t="s">
        <v>49</v>
      </c>
      <c r="I1130" s="283"/>
      <c r="J1130" s="283"/>
      <c r="K1130" s="109" t="s">
        <v>54</v>
      </c>
      <c r="L1130" s="109"/>
      <c r="M1130" s="109" t="s">
        <v>75</v>
      </c>
      <c r="N1130" s="109" t="s">
        <v>49</v>
      </c>
      <c r="O1130" s="109"/>
      <c r="P1130" s="109" t="s">
        <v>67</v>
      </c>
      <c r="Q1130" s="283" t="s">
        <v>97</v>
      </c>
      <c r="R1130" s="283"/>
      <c r="S1130" s="283"/>
      <c r="T1130" s="109" t="s">
        <v>49</v>
      </c>
      <c r="U1130" s="283"/>
      <c r="V1130" s="283"/>
      <c r="W1130" s="109" t="s">
        <v>54</v>
      </c>
      <c r="X1130" s="109"/>
    </row>
    <row r="1131" spans="1:24" ht="18.75" customHeight="1">
      <c r="A1131" s="109" t="s">
        <v>77</v>
      </c>
      <c r="B1131" s="109" t="s">
        <v>49</v>
      </c>
      <c r="C1131" s="109"/>
      <c r="D1131" s="109" t="s">
        <v>78</v>
      </c>
      <c r="E1131" s="109" t="s">
        <v>79</v>
      </c>
      <c r="F1131" s="109"/>
      <c r="G1131" s="109"/>
      <c r="H1131" s="109" t="s">
        <v>49</v>
      </c>
      <c r="I1131" s="283"/>
      <c r="J1131" s="283"/>
      <c r="K1131" s="109" t="s">
        <v>54</v>
      </c>
      <c r="L1131" s="109" t="e">
        <f>+IF(L1122-I1122&lt;0,0,L1122-I1122)+IF(L1126-I1126&lt;0,0,L1126-I1126)</f>
        <v>#DIV/0!</v>
      </c>
      <c r="M1131" s="109" t="s">
        <v>77</v>
      </c>
      <c r="N1131" s="109" t="s">
        <v>49</v>
      </c>
      <c r="O1131" s="109"/>
      <c r="P1131" s="109" t="s">
        <v>78</v>
      </c>
      <c r="Q1131" s="109" t="s">
        <v>79</v>
      </c>
      <c r="R1131" s="109"/>
      <c r="S1131" s="109"/>
      <c r="T1131" s="109" t="s">
        <v>49</v>
      </c>
      <c r="U1131" s="283"/>
      <c r="V1131" s="283"/>
      <c r="W1131" s="109" t="s">
        <v>54</v>
      </c>
      <c r="X1131" s="109" t="e">
        <f>+IF(X1122-U1122&lt;0,0,X1122-U1122)+IF(X1126-U1126&lt;0,0,X1126-U1126)</f>
        <v>#DIV/0!</v>
      </c>
    </row>
    <row r="1132" spans="1:24" ht="18.75" customHeight="1">
      <c r="A1132" s="109" t="s">
        <v>122</v>
      </c>
      <c r="B1132" s="109"/>
      <c r="C1132" s="109"/>
      <c r="D1132" s="109" t="s">
        <v>58</v>
      </c>
      <c r="E1132" s="283" t="s">
        <v>123</v>
      </c>
      <c r="F1132" s="283"/>
      <c r="G1132" s="283"/>
      <c r="H1132" s="109" t="s">
        <v>49</v>
      </c>
      <c r="I1132" s="283"/>
      <c r="J1132" s="283"/>
      <c r="K1132" s="109" t="s">
        <v>54</v>
      </c>
      <c r="L1132" s="109"/>
      <c r="M1132" s="109" t="s">
        <v>122</v>
      </c>
      <c r="N1132" s="109"/>
      <c r="O1132" s="109"/>
      <c r="P1132" s="109" t="s">
        <v>58</v>
      </c>
      <c r="Q1132" s="283" t="s">
        <v>123</v>
      </c>
      <c r="R1132" s="283"/>
      <c r="S1132" s="283"/>
      <c r="T1132" s="109" t="s">
        <v>49</v>
      </c>
      <c r="U1132" s="283"/>
      <c r="V1132" s="283"/>
      <c r="W1132" s="109" t="s">
        <v>54</v>
      </c>
      <c r="X1132" s="109"/>
    </row>
    <row r="1133" spans="1:24" ht="18.75" customHeight="1">
      <c r="A1133" s="283" t="s">
        <v>82</v>
      </c>
      <c r="B1133" s="283"/>
      <c r="C1133" s="109"/>
      <c r="D1133" s="109"/>
      <c r="E1133" s="109"/>
      <c r="F1133" s="109"/>
      <c r="G1133" s="109"/>
      <c r="H1133" s="109" t="s">
        <v>49</v>
      </c>
      <c r="I1133" s="283"/>
      <c r="J1133" s="283"/>
      <c r="K1133" s="109" t="s">
        <v>54</v>
      </c>
      <c r="L1133" s="109"/>
      <c r="M1133" s="283" t="s">
        <v>82</v>
      </c>
      <c r="N1133" s="283"/>
      <c r="O1133" s="109"/>
      <c r="P1133" s="109"/>
      <c r="Q1133" s="109"/>
      <c r="R1133" s="109"/>
      <c r="S1133" s="109"/>
      <c r="T1133" s="109" t="s">
        <v>49</v>
      </c>
      <c r="U1133" s="283"/>
      <c r="V1133" s="283"/>
      <c r="W1133" s="109" t="s">
        <v>54</v>
      </c>
      <c r="X1133" s="109"/>
    </row>
    <row r="1134" spans="1:24" ht="18.75" customHeight="1">
      <c r="A1134" s="109" t="s">
        <v>83</v>
      </c>
      <c r="B1134" s="109" t="s">
        <v>49</v>
      </c>
      <c r="C1134" s="109"/>
      <c r="D1134" s="109"/>
      <c r="E1134" s="109" t="s">
        <v>84</v>
      </c>
      <c r="F1134" s="109"/>
      <c r="G1134" s="109"/>
      <c r="H1134" s="109" t="s">
        <v>49</v>
      </c>
      <c r="I1134" s="283" t="e">
        <f>L1131</f>
        <v>#DIV/0!</v>
      </c>
      <c r="J1134" s="283"/>
      <c r="K1134" s="109" t="s">
        <v>54</v>
      </c>
      <c r="L1134" s="109"/>
      <c r="M1134" s="109" t="s">
        <v>83</v>
      </c>
      <c r="N1134" s="109" t="s">
        <v>49</v>
      </c>
      <c r="O1134" s="109"/>
      <c r="P1134" s="109"/>
      <c r="Q1134" s="109" t="s">
        <v>84</v>
      </c>
      <c r="R1134" s="109"/>
      <c r="S1134" s="109"/>
      <c r="T1134" s="109" t="s">
        <v>49</v>
      </c>
      <c r="U1134" s="283" t="e">
        <f>X1131</f>
        <v>#DIV/0!</v>
      </c>
      <c r="V1134" s="283"/>
      <c r="W1134" s="109" t="s">
        <v>54</v>
      </c>
      <c r="X1134" s="109"/>
    </row>
    <row r="1135" spans="1:24" ht="18.75" customHeight="1">
      <c r="A1135" s="283" t="s">
        <v>85</v>
      </c>
      <c r="B1135" s="283"/>
      <c r="C1135" s="283"/>
      <c r="D1135" s="283"/>
      <c r="E1135" s="283"/>
      <c r="F1135" s="283"/>
      <c r="G1135" s="109" t="s">
        <v>49</v>
      </c>
      <c r="H1135" s="283" t="e">
        <f>I1122+I1123+I1124+I1125+I1126+I1129+I1133+I1134</f>
        <v>#DIV/0!</v>
      </c>
      <c r="I1135" s="283"/>
      <c r="J1135" s="283"/>
      <c r="K1135" s="109" t="s">
        <v>54</v>
      </c>
      <c r="M1135" s="283" t="s">
        <v>85</v>
      </c>
      <c r="N1135" s="283"/>
      <c r="O1135" s="283"/>
      <c r="P1135" s="283"/>
      <c r="Q1135" s="283"/>
      <c r="R1135" s="283"/>
      <c r="S1135" s="109" t="s">
        <v>49</v>
      </c>
      <c r="T1135" s="283" t="e">
        <f>U1122+U1123+U1124+U1125+U1126+U1129+U1133+U1134</f>
        <v>#DIV/0!</v>
      </c>
      <c r="U1135" s="283"/>
      <c r="V1135" s="283"/>
      <c r="W1135" s="109" t="s">
        <v>54</v>
      </c>
    </row>
    <row r="1136" spans="1:24" ht="18.75" customHeight="1">
      <c r="A1136" s="109"/>
      <c r="B1136" s="109"/>
      <c r="C1136" s="109"/>
      <c r="D1136" s="109"/>
      <c r="E1136" s="109"/>
      <c r="F1136" s="109"/>
      <c r="G1136" s="109"/>
      <c r="H1136" s="109"/>
      <c r="I1136" s="109"/>
      <c r="J1136" s="109"/>
      <c r="K1136" s="109"/>
      <c r="M1136" s="109"/>
      <c r="N1136" s="109"/>
      <c r="O1136" s="109"/>
      <c r="P1136" s="109"/>
      <c r="Q1136" s="109"/>
      <c r="R1136" s="109"/>
      <c r="S1136" s="109"/>
      <c r="T1136" s="109"/>
      <c r="U1136" s="109"/>
      <c r="V1136" s="109"/>
      <c r="W1136" s="109"/>
    </row>
    <row r="1137" spans="1:24" ht="18.75" customHeight="1">
      <c r="A1137" s="283" t="s">
        <v>86</v>
      </c>
      <c r="B1137" s="283"/>
      <c r="C1137" s="283"/>
      <c r="D1137" s="283"/>
      <c r="E1137" s="283"/>
      <c r="F1137" s="283"/>
      <c r="G1137" s="109"/>
      <c r="H1137" s="109"/>
      <c r="I1137" s="109"/>
      <c r="J1137" s="109"/>
      <c r="K1137" s="109"/>
      <c r="M1137" s="283" t="s">
        <v>86</v>
      </c>
      <c r="N1137" s="283"/>
      <c r="O1137" s="283"/>
      <c r="P1137" s="283"/>
      <c r="Q1137" s="283"/>
      <c r="R1137" s="283"/>
      <c r="S1137" s="109"/>
      <c r="T1137" s="109"/>
      <c r="U1137" s="109"/>
      <c r="V1137" s="109"/>
      <c r="W1137" s="109"/>
    </row>
    <row r="1138" spans="1:24" ht="18.75" customHeight="1">
      <c r="A1138" s="283" t="s">
        <v>87</v>
      </c>
      <c r="B1138" s="283"/>
      <c r="C1138" s="283"/>
      <c r="D1138" s="283"/>
      <c r="E1138" s="283"/>
      <c r="F1138" s="283"/>
      <c r="G1138" s="109" t="s">
        <v>49</v>
      </c>
      <c r="H1138" s="283">
        <f>IF(($L$1-(C1122+C1123+C1124+C1125))&gt;12,0,F1119*8%)</f>
        <v>0</v>
      </c>
      <c r="I1138" s="283"/>
      <c r="J1138" s="283"/>
      <c r="K1138" s="109" t="s">
        <v>54</v>
      </c>
      <c r="M1138" s="283" t="s">
        <v>87</v>
      </c>
      <c r="N1138" s="283"/>
      <c r="O1138" s="283"/>
      <c r="P1138" s="283"/>
      <c r="Q1138" s="283"/>
      <c r="R1138" s="283"/>
      <c r="S1138" s="109" t="s">
        <v>49</v>
      </c>
      <c r="T1138" s="283">
        <f>IF(($L$1-(O1122+O1123+O1124+O1125))&gt;12,0,R1119*8%)</f>
        <v>0</v>
      </c>
      <c r="U1138" s="283"/>
      <c r="V1138" s="283"/>
      <c r="W1138" s="109" t="s">
        <v>54</v>
      </c>
    </row>
    <row r="1139" spans="1:24" ht="18.75" customHeight="1">
      <c r="A1139" s="283" t="s">
        <v>88</v>
      </c>
      <c r="B1139" s="283"/>
      <c r="C1139" s="283"/>
      <c r="D1139" s="283"/>
      <c r="E1139" s="283"/>
      <c r="F1139" s="283"/>
      <c r="G1139" s="109" t="s">
        <v>49</v>
      </c>
      <c r="H1139" s="283">
        <f>IF(($L$1-(C1122+C1123+C1124+C1125))&gt;12,0,F1119*1.5%)</f>
        <v>0</v>
      </c>
      <c r="I1139" s="283"/>
      <c r="J1139" s="283"/>
      <c r="K1139" s="109" t="s">
        <v>54</v>
      </c>
      <c r="M1139" s="283" t="s">
        <v>88</v>
      </c>
      <c r="N1139" s="283"/>
      <c r="O1139" s="283"/>
      <c r="P1139" s="283"/>
      <c r="Q1139" s="283"/>
      <c r="R1139" s="283"/>
      <c r="S1139" s="109" t="s">
        <v>49</v>
      </c>
      <c r="T1139" s="283">
        <f>IF(($L$1-(O1122+O1123+O1124+O1125))&gt;12,0,R1119*1.5%)</f>
        <v>0</v>
      </c>
      <c r="U1139" s="283"/>
      <c r="V1139" s="283"/>
      <c r="W1139" s="109" t="s">
        <v>54</v>
      </c>
    </row>
    <row r="1140" spans="1:24" ht="18.75" customHeight="1">
      <c r="A1140" s="283" t="s">
        <v>89</v>
      </c>
      <c r="B1140" s="283"/>
      <c r="C1140" s="283"/>
      <c r="D1140" s="283"/>
      <c r="E1140" s="283"/>
      <c r="F1140" s="283"/>
      <c r="G1140" s="109" t="s">
        <v>49</v>
      </c>
      <c r="H1140" s="283">
        <f>IF(($L$1-(C1122+C1123+C1124+C1125))&gt;12,0,F1119*1%)</f>
        <v>0</v>
      </c>
      <c r="I1140" s="283"/>
      <c r="J1140" s="283"/>
      <c r="K1140" s="109" t="s">
        <v>54</v>
      </c>
      <c r="M1140" s="283" t="s">
        <v>89</v>
      </c>
      <c r="N1140" s="283"/>
      <c r="O1140" s="283"/>
      <c r="P1140" s="283"/>
      <c r="Q1140" s="283"/>
      <c r="R1140" s="283"/>
      <c r="S1140" s="109" t="s">
        <v>49</v>
      </c>
      <c r="T1140" s="283">
        <f>IF(($L$1-(O1122+O1123+O1124+O1125))&gt;12,0,R1119*1%)</f>
        <v>0</v>
      </c>
      <c r="U1140" s="283"/>
      <c r="V1140" s="283"/>
      <c r="W1140" s="109" t="s">
        <v>54</v>
      </c>
    </row>
    <row r="1141" spans="1:24" ht="18.75" customHeight="1">
      <c r="A1141" s="283" t="s">
        <v>90</v>
      </c>
      <c r="B1141" s="283"/>
      <c r="C1141" s="283"/>
      <c r="D1141" s="283"/>
      <c r="E1141" s="283"/>
      <c r="F1141" s="283"/>
      <c r="G1141" s="109" t="s">
        <v>49</v>
      </c>
      <c r="H1141" s="283">
        <v>0</v>
      </c>
      <c r="I1141" s="283"/>
      <c r="J1141" s="283"/>
      <c r="K1141" s="109" t="s">
        <v>54</v>
      </c>
      <c r="M1141" s="283" t="s">
        <v>90</v>
      </c>
      <c r="N1141" s="283"/>
      <c r="O1141" s="283"/>
      <c r="P1141" s="283"/>
      <c r="Q1141" s="283"/>
      <c r="R1141" s="283"/>
      <c r="S1141" s="109" t="s">
        <v>49</v>
      </c>
      <c r="T1141" s="283">
        <v>0</v>
      </c>
      <c r="U1141" s="283"/>
      <c r="V1141" s="283"/>
      <c r="W1141" s="109" t="s">
        <v>54</v>
      </c>
    </row>
    <row r="1142" spans="1:24" ht="18.75" customHeight="1">
      <c r="A1142" s="283" t="s">
        <v>91</v>
      </c>
      <c r="B1142" s="283"/>
      <c r="C1142" s="283"/>
      <c r="D1142" s="283"/>
      <c r="E1142" s="283"/>
      <c r="F1142" s="283"/>
      <c r="G1142" s="109" t="s">
        <v>49</v>
      </c>
      <c r="H1142" s="283">
        <f>SUM(H1138:J1141)</f>
        <v>0</v>
      </c>
      <c r="I1142" s="283"/>
      <c r="J1142" s="283"/>
      <c r="K1142" s="109" t="s">
        <v>54</v>
      </c>
      <c r="M1142" s="283" t="s">
        <v>91</v>
      </c>
      <c r="N1142" s="283"/>
      <c r="O1142" s="283"/>
      <c r="P1142" s="283"/>
      <c r="Q1142" s="283"/>
      <c r="R1142" s="283"/>
      <c r="S1142" s="109" t="s">
        <v>49</v>
      </c>
      <c r="T1142" s="283">
        <f>SUM(T1138:V1141)</f>
        <v>0</v>
      </c>
      <c r="U1142" s="283"/>
      <c r="V1142" s="283"/>
      <c r="W1142" s="109" t="s">
        <v>54</v>
      </c>
    </row>
    <row r="1143" spans="1:24" ht="18.75" customHeight="1">
      <c r="A1143" s="283" t="s">
        <v>92</v>
      </c>
      <c r="B1143" s="283"/>
      <c r="C1143" s="283"/>
      <c r="D1143" s="283"/>
      <c r="E1143" s="283"/>
      <c r="F1143" s="283"/>
      <c r="G1143" s="109" t="s">
        <v>49</v>
      </c>
      <c r="H1143" s="283" t="e">
        <f>ROUND(H1135-H1142,-2)</f>
        <v>#DIV/0!</v>
      </c>
      <c r="I1143" s="283"/>
      <c r="J1143" s="283"/>
      <c r="K1143" s="109" t="s">
        <v>54</v>
      </c>
      <c r="M1143" s="283" t="s">
        <v>92</v>
      </c>
      <c r="N1143" s="283"/>
      <c r="O1143" s="283"/>
      <c r="P1143" s="283"/>
      <c r="Q1143" s="283"/>
      <c r="R1143" s="283"/>
      <c r="S1143" s="109" t="s">
        <v>49</v>
      </c>
      <c r="T1143" s="283" t="e">
        <f>ROUND(T1135-T1142,-2)</f>
        <v>#DIV/0!</v>
      </c>
      <c r="U1143" s="283"/>
      <c r="V1143" s="283"/>
      <c r="W1143" s="109" t="s">
        <v>54</v>
      </c>
    </row>
    <row r="1144" spans="1:24" ht="18.75" customHeight="1">
      <c r="A1144" s="109"/>
      <c r="B1144" s="109"/>
      <c r="C1144" s="109"/>
      <c r="D1144" s="109"/>
      <c r="E1144" s="109"/>
      <c r="F1144" s="109"/>
      <c r="G1144" s="109"/>
      <c r="H1144" s="109"/>
      <c r="I1144" s="109"/>
      <c r="J1144" s="109"/>
      <c r="K1144" s="109"/>
      <c r="M1144" s="109"/>
      <c r="N1144" s="109"/>
      <c r="O1144" s="109"/>
      <c r="P1144" s="109"/>
      <c r="Q1144" s="109"/>
      <c r="R1144" s="109"/>
      <c r="S1144" s="109"/>
      <c r="T1144" s="109"/>
      <c r="U1144" s="109"/>
      <c r="V1144" s="109"/>
      <c r="W1144" s="109"/>
    </row>
    <row r="1145" spans="1:24" ht="18.75" customHeight="1">
      <c r="A1145" s="109"/>
      <c r="B1145" s="109"/>
      <c r="C1145" s="109"/>
      <c r="D1145" s="109"/>
      <c r="E1145" s="109"/>
      <c r="F1145" s="109"/>
      <c r="G1145" s="109"/>
      <c r="H1145" s="109"/>
      <c r="I1145" s="283" t="s">
        <v>93</v>
      </c>
      <c r="J1145" s="283"/>
      <c r="K1145" s="283"/>
      <c r="M1145" s="109"/>
      <c r="N1145" s="109"/>
      <c r="O1145" s="109"/>
      <c r="P1145" s="109"/>
      <c r="Q1145" s="109"/>
      <c r="R1145" s="109"/>
      <c r="S1145" s="109"/>
      <c r="T1145" s="109"/>
      <c r="U1145" s="283" t="s">
        <v>93</v>
      </c>
      <c r="V1145" s="283"/>
      <c r="W1145" s="283"/>
    </row>
    <row r="1146" spans="1:24" ht="18.75" customHeight="1">
      <c r="A1146" s="109"/>
      <c r="B1146" s="283"/>
      <c r="C1146" s="283"/>
      <c r="D1146" s="283"/>
      <c r="E1146" s="283"/>
      <c r="F1146" s="109"/>
      <c r="G1146" s="109"/>
      <c r="H1146" s="109"/>
      <c r="I1146" s="109"/>
      <c r="J1146" s="109"/>
      <c r="K1146" s="109"/>
      <c r="M1146" s="109"/>
      <c r="N1146" s="283"/>
      <c r="O1146" s="283"/>
      <c r="P1146" s="283"/>
      <c r="Q1146" s="283"/>
      <c r="R1146" s="109"/>
      <c r="S1146" s="109"/>
      <c r="T1146" s="109"/>
      <c r="U1146" s="109"/>
      <c r="V1146" s="109"/>
      <c r="W1146" s="109"/>
    </row>
    <row r="1147" spans="1:24" ht="18.75" customHeight="1">
      <c r="A1147" s="109"/>
      <c r="B1147" s="109"/>
      <c r="C1147" s="109"/>
      <c r="D1147" s="109"/>
      <c r="E1147" s="109"/>
      <c r="F1147" s="109"/>
      <c r="G1147" s="109"/>
      <c r="H1147" s="109"/>
      <c r="I1147" s="283" t="s">
        <v>94</v>
      </c>
      <c r="J1147" s="283"/>
      <c r="K1147" s="283"/>
      <c r="M1147" s="109"/>
      <c r="N1147" s="109"/>
      <c r="O1147" s="109"/>
      <c r="P1147" s="109"/>
      <c r="Q1147" s="109"/>
      <c r="R1147" s="109"/>
      <c r="S1147" s="109"/>
      <c r="T1147" s="109"/>
      <c r="U1147" s="283" t="s">
        <v>94</v>
      </c>
      <c r="V1147" s="283"/>
      <c r="W1147" s="283"/>
    </row>
    <row r="1149" spans="1:24" ht="18.75" customHeight="1">
      <c r="A1149" s="283" t="s">
        <v>43</v>
      </c>
      <c r="B1149" s="283"/>
      <c r="C1149" s="283"/>
      <c r="D1149" s="283"/>
      <c r="E1149" s="283"/>
      <c r="F1149" s="283"/>
      <c r="G1149" s="283"/>
      <c r="H1149" s="283"/>
      <c r="I1149" s="283"/>
      <c r="J1149" s="283"/>
      <c r="K1149" s="283"/>
      <c r="L1149" s="109">
        <v>24</v>
      </c>
      <c r="M1149" s="283" t="s">
        <v>43</v>
      </c>
      <c r="N1149" s="283"/>
      <c r="O1149" s="283"/>
      <c r="P1149" s="283"/>
      <c r="Q1149" s="283"/>
      <c r="R1149" s="283"/>
      <c r="S1149" s="283"/>
      <c r="T1149" s="283"/>
      <c r="U1149" s="283"/>
      <c r="V1149" s="283"/>
      <c r="W1149" s="283"/>
      <c r="X1149" s="109">
        <v>24</v>
      </c>
    </row>
    <row r="1150" spans="1:24" ht="18.75" customHeight="1">
      <c r="A1150" s="109" t="s">
        <v>170</v>
      </c>
      <c r="B1150" s="109"/>
      <c r="C1150" s="109"/>
      <c r="D1150" s="109"/>
      <c r="E1150" s="109"/>
      <c r="F1150" s="109"/>
      <c r="G1150" s="109"/>
      <c r="H1150" s="109"/>
      <c r="I1150" s="109"/>
      <c r="J1150" s="109"/>
      <c r="K1150" s="109"/>
      <c r="M1150" s="109" t="s">
        <v>171</v>
      </c>
      <c r="N1150" s="109"/>
      <c r="O1150" s="109"/>
      <c r="P1150" s="109"/>
      <c r="Q1150" s="109"/>
      <c r="R1150" s="109"/>
      <c r="S1150" s="109"/>
      <c r="T1150" s="109"/>
      <c r="U1150" s="109"/>
      <c r="V1150" s="109"/>
      <c r="W1150" s="109"/>
    </row>
    <row r="1151" spans="1:24" ht="18.75" customHeight="1">
      <c r="A1151" s="283" t="s">
        <v>47</v>
      </c>
      <c r="B1151" s="283"/>
      <c r="C1151" s="283"/>
      <c r="D1151" s="283"/>
      <c r="E1151" s="283"/>
      <c r="F1151" s="283"/>
      <c r="G1151" s="283"/>
      <c r="H1151" s="283"/>
      <c r="I1151" s="283"/>
      <c r="J1151" s="283"/>
      <c r="K1151" s="283"/>
      <c r="M1151" s="283" t="s">
        <v>47</v>
      </c>
      <c r="N1151" s="283"/>
      <c r="O1151" s="283"/>
      <c r="P1151" s="283"/>
      <c r="Q1151" s="283"/>
      <c r="R1151" s="283"/>
      <c r="S1151" s="283"/>
      <c r="T1151" s="283"/>
      <c r="U1151" s="283"/>
      <c r="V1151" s="283"/>
      <c r="W1151" s="283"/>
    </row>
    <row r="1152" spans="1:24" ht="18.75" customHeight="1">
      <c r="A1152" s="283" t="s">
        <v>48</v>
      </c>
      <c r="B1152" s="283"/>
      <c r="C1152" s="283"/>
      <c r="D1152" s="283"/>
      <c r="E1152" s="109" t="s">
        <v>49</v>
      </c>
      <c r="F1152" s="283"/>
      <c r="G1152" s="283"/>
      <c r="H1152" s="283"/>
      <c r="I1152" s="283"/>
      <c r="J1152" s="283"/>
      <c r="K1152" s="283"/>
      <c r="M1152" s="283" t="s">
        <v>48</v>
      </c>
      <c r="N1152" s="283"/>
      <c r="O1152" s="283"/>
      <c r="P1152" s="283"/>
      <c r="Q1152" s="109" t="s">
        <v>49</v>
      </c>
      <c r="R1152" s="283"/>
      <c r="S1152" s="283"/>
      <c r="T1152" s="283"/>
      <c r="U1152" s="283"/>
      <c r="V1152" s="283"/>
      <c r="W1152" s="283"/>
    </row>
    <row r="1153" spans="1:24" ht="18.75" customHeight="1">
      <c r="A1153" s="283" t="s">
        <v>50</v>
      </c>
      <c r="B1153" s="283"/>
      <c r="C1153" s="283"/>
      <c r="D1153" s="283"/>
      <c r="E1153" s="109" t="s">
        <v>49</v>
      </c>
      <c r="F1153" s="283"/>
      <c r="G1153" s="283"/>
      <c r="H1153" s="283"/>
      <c r="I1153" s="283"/>
      <c r="J1153" s="283"/>
      <c r="K1153" s="283"/>
      <c r="M1153" s="283" t="s">
        <v>50</v>
      </c>
      <c r="N1153" s="283"/>
      <c r="O1153" s="283"/>
      <c r="P1153" s="283"/>
      <c r="Q1153" s="109" t="s">
        <v>49</v>
      </c>
      <c r="R1153" s="283"/>
      <c r="S1153" s="283"/>
      <c r="T1153" s="283"/>
      <c r="U1153" s="283"/>
      <c r="V1153" s="283"/>
      <c r="W1153" s="283"/>
    </row>
    <row r="1154" spans="1:24" ht="18.75" customHeight="1">
      <c r="A1154" s="283" t="s">
        <v>51</v>
      </c>
      <c r="B1154" s="283"/>
      <c r="C1154" s="283"/>
      <c r="D1154" s="283"/>
      <c r="E1154" s="109" t="s">
        <v>49</v>
      </c>
      <c r="F1154" s="283" t="s">
        <v>121</v>
      </c>
      <c r="G1154" s="283"/>
      <c r="H1154" s="283"/>
      <c r="I1154" s="283"/>
      <c r="J1154" s="283"/>
      <c r="K1154" s="283"/>
      <c r="M1154" s="283" t="s">
        <v>51</v>
      </c>
      <c r="N1154" s="283"/>
      <c r="O1154" s="283"/>
      <c r="P1154" s="283"/>
      <c r="Q1154" s="109" t="s">
        <v>49</v>
      </c>
      <c r="R1154" s="283" t="s">
        <v>121</v>
      </c>
      <c r="S1154" s="283"/>
      <c r="T1154" s="283"/>
      <c r="U1154" s="283"/>
      <c r="V1154" s="283"/>
      <c r="W1154" s="283"/>
    </row>
    <row r="1155" spans="1:24" ht="18.75" customHeight="1">
      <c r="A1155" s="283" t="s">
        <v>52</v>
      </c>
      <c r="B1155" s="283"/>
      <c r="C1155" s="283"/>
      <c r="D1155" s="283"/>
      <c r="E1155" s="283"/>
      <c r="F1155" s="283"/>
      <c r="G1155" s="283"/>
      <c r="H1155" s="283"/>
      <c r="I1155" s="283"/>
      <c r="J1155" s="283"/>
      <c r="K1155" s="283"/>
      <c r="M1155" s="283" t="s">
        <v>52</v>
      </c>
      <c r="N1155" s="283"/>
      <c r="O1155" s="283"/>
      <c r="P1155" s="283"/>
      <c r="Q1155" s="283"/>
      <c r="R1155" s="283"/>
      <c r="S1155" s="283"/>
      <c r="T1155" s="283"/>
      <c r="U1155" s="283"/>
      <c r="V1155" s="283"/>
      <c r="W1155" s="283"/>
    </row>
    <row r="1156" spans="1:24" ht="18.75" customHeight="1">
      <c r="A1156" s="283" t="s">
        <v>53</v>
      </c>
      <c r="B1156" s="283"/>
      <c r="C1156" s="283"/>
      <c r="D1156" s="283"/>
      <c r="E1156" s="109" t="s">
        <v>49</v>
      </c>
      <c r="F1156" s="283">
        <v>2915400</v>
      </c>
      <c r="G1156" s="283"/>
      <c r="H1156" s="283"/>
      <c r="I1156" s="283"/>
      <c r="J1156" s="109" t="s">
        <v>54</v>
      </c>
      <c r="K1156" s="109"/>
      <c r="M1156" s="283" t="s">
        <v>53</v>
      </c>
      <c r="N1156" s="283"/>
      <c r="O1156" s="283"/>
      <c r="P1156" s="283"/>
      <c r="Q1156" s="109" t="s">
        <v>49</v>
      </c>
      <c r="R1156" s="283">
        <v>2915400</v>
      </c>
      <c r="S1156" s="283"/>
      <c r="T1156" s="283"/>
      <c r="U1156" s="283"/>
      <c r="V1156" s="109" t="s">
        <v>54</v>
      </c>
      <c r="W1156" s="109"/>
    </row>
    <row r="1157" spans="1:24" ht="18.75" customHeight="1">
      <c r="A1157" s="109" t="s">
        <v>55</v>
      </c>
      <c r="B1157" s="109"/>
      <c r="C1157" s="109"/>
      <c r="D1157" s="109"/>
      <c r="E1157" s="109"/>
      <c r="F1157" s="109"/>
      <c r="G1157" s="109"/>
      <c r="H1157" s="109"/>
      <c r="I1157" s="109"/>
      <c r="J1157" s="109"/>
      <c r="K1157" s="109"/>
      <c r="M1157" s="109" t="s">
        <v>55</v>
      </c>
      <c r="N1157" s="109"/>
      <c r="O1157" s="109"/>
      <c r="P1157" s="109"/>
      <c r="Q1157" s="109"/>
      <c r="R1157" s="109"/>
      <c r="S1157" s="109"/>
      <c r="T1157" s="109"/>
      <c r="U1157" s="109"/>
      <c r="V1157" s="109"/>
      <c r="W1157" s="109"/>
    </row>
    <row r="1158" spans="1:24" ht="18.75" customHeight="1">
      <c r="A1158" s="109" t="s">
        <v>56</v>
      </c>
      <c r="B1158" s="109"/>
      <c r="C1158" s="109"/>
      <c r="D1158" s="109"/>
      <c r="E1158" s="109"/>
      <c r="F1158" s="109"/>
      <c r="G1158" s="109"/>
      <c r="H1158" s="109"/>
      <c r="I1158" s="109" t="e">
        <f>I1159/C1159/8</f>
        <v>#DIV/0!</v>
      </c>
      <c r="J1158" s="109"/>
      <c r="K1158" s="109"/>
      <c r="M1158" s="109" t="s">
        <v>56</v>
      </c>
      <c r="N1158" s="109"/>
      <c r="O1158" s="109"/>
      <c r="P1158" s="109"/>
      <c r="Q1158" s="109"/>
      <c r="R1158" s="109"/>
      <c r="S1158" s="109"/>
      <c r="T1158" s="109"/>
      <c r="U1158" s="109" t="e">
        <f>U1159/O1159/8</f>
        <v>#DIV/0!</v>
      </c>
      <c r="V1158" s="109"/>
      <c r="W1158" s="109"/>
    </row>
    <row r="1159" spans="1:24" ht="18.75" customHeight="1">
      <c r="A1159" s="109" t="s">
        <v>57</v>
      </c>
      <c r="B1159" s="109" t="s">
        <v>49</v>
      </c>
      <c r="C1159" s="109"/>
      <c r="D1159" s="109" t="s">
        <v>58</v>
      </c>
      <c r="E1159" s="283" t="s">
        <v>59</v>
      </c>
      <c r="F1159" s="283"/>
      <c r="G1159" s="283"/>
      <c r="H1159" s="109" t="s">
        <v>49</v>
      </c>
      <c r="I1159" s="283" t="e">
        <f>I1157*680/((C1159-C1166)*8+C1166*7+C1163)*((C1159-C1166)*8+C1166*7)</f>
        <v>#DIV/0!</v>
      </c>
      <c r="J1159" s="283"/>
      <c r="K1159" s="109" t="s">
        <v>54</v>
      </c>
      <c r="L1159" s="109">
        <f>F1156/L1149*C1159</f>
        <v>0</v>
      </c>
      <c r="M1159" s="109" t="s">
        <v>57</v>
      </c>
      <c r="N1159" s="109" t="s">
        <v>49</v>
      </c>
      <c r="O1159" s="109"/>
      <c r="P1159" s="109" t="s">
        <v>58</v>
      </c>
      <c r="Q1159" s="283" t="s">
        <v>59</v>
      </c>
      <c r="R1159" s="283"/>
      <c r="S1159" s="283"/>
      <c r="T1159" s="109" t="s">
        <v>49</v>
      </c>
      <c r="U1159" s="283" t="e">
        <f>U1157*680/((O1159-O1166)*8+O1166*7+O1163)*((O1159-O1166)*8+O1166*7)</f>
        <v>#DIV/0!</v>
      </c>
      <c r="V1159" s="283"/>
      <c r="W1159" s="109" t="s">
        <v>54</v>
      </c>
      <c r="X1159" s="109">
        <f>R1156/X1149*O1159</f>
        <v>0</v>
      </c>
    </row>
    <row r="1160" spans="1:24" ht="18.75" customHeight="1">
      <c r="A1160" s="109" t="s">
        <v>60</v>
      </c>
      <c r="B1160" s="109" t="s">
        <v>49</v>
      </c>
      <c r="C1160" s="109"/>
      <c r="D1160" s="109" t="s">
        <v>58</v>
      </c>
      <c r="E1160" s="283" t="s">
        <v>61</v>
      </c>
      <c r="F1160" s="283"/>
      <c r="G1160" s="283"/>
      <c r="H1160" s="109" t="s">
        <v>49</v>
      </c>
      <c r="I1160" s="283">
        <f>$F$8/$L$1*C1160</f>
        <v>0</v>
      </c>
      <c r="J1160" s="283"/>
      <c r="K1160" s="109" t="s">
        <v>54</v>
      </c>
      <c r="L1160" s="109"/>
      <c r="M1160" s="109" t="s">
        <v>60</v>
      </c>
      <c r="N1160" s="109" t="s">
        <v>49</v>
      </c>
      <c r="O1160" s="109"/>
      <c r="P1160" s="109" t="s">
        <v>58</v>
      </c>
      <c r="Q1160" s="283" t="s">
        <v>61</v>
      </c>
      <c r="R1160" s="283"/>
      <c r="S1160" s="283"/>
      <c r="T1160" s="109" t="s">
        <v>49</v>
      </c>
      <c r="U1160" s="283">
        <f>$F$8/$L$1*O1160</f>
        <v>0</v>
      </c>
      <c r="V1160" s="283"/>
      <c r="W1160" s="109" t="s">
        <v>54</v>
      </c>
      <c r="X1160" s="109"/>
    </row>
    <row r="1161" spans="1:24" ht="18.75" customHeight="1">
      <c r="A1161" s="109" t="s">
        <v>62</v>
      </c>
      <c r="B1161" s="109" t="s">
        <v>49</v>
      </c>
      <c r="C1161" s="109"/>
      <c r="D1161" s="109" t="s">
        <v>58</v>
      </c>
      <c r="E1161" s="283" t="s">
        <v>63</v>
      </c>
      <c r="F1161" s="283"/>
      <c r="G1161" s="283"/>
      <c r="H1161" s="109" t="s">
        <v>49</v>
      </c>
      <c r="I1161" s="283">
        <f>$F$8/$L$1*C1161</f>
        <v>0</v>
      </c>
      <c r="J1161" s="283"/>
      <c r="K1161" s="109" t="s">
        <v>54</v>
      </c>
      <c r="L1161" s="109"/>
      <c r="M1161" s="109" t="s">
        <v>62</v>
      </c>
      <c r="N1161" s="109" t="s">
        <v>49</v>
      </c>
      <c r="O1161" s="109"/>
      <c r="P1161" s="109" t="s">
        <v>58</v>
      </c>
      <c r="Q1161" s="283" t="s">
        <v>63</v>
      </c>
      <c r="R1161" s="283"/>
      <c r="S1161" s="283"/>
      <c r="T1161" s="109" t="s">
        <v>49</v>
      </c>
      <c r="U1161" s="283">
        <f>$F$8/$L$1*O1161</f>
        <v>0</v>
      </c>
      <c r="V1161" s="283"/>
      <c r="W1161" s="109" t="s">
        <v>54</v>
      </c>
      <c r="X1161" s="109"/>
    </row>
    <row r="1162" spans="1:24" ht="18.75" customHeight="1">
      <c r="A1162" s="109" t="s">
        <v>64</v>
      </c>
      <c r="B1162" s="109" t="s">
        <v>49</v>
      </c>
      <c r="C1162" s="109"/>
      <c r="D1162" s="109" t="s">
        <v>58</v>
      </c>
      <c r="E1162" s="283" t="s">
        <v>65</v>
      </c>
      <c r="F1162" s="283"/>
      <c r="G1162" s="283"/>
      <c r="H1162" s="109" t="s">
        <v>49</v>
      </c>
      <c r="I1162" s="283">
        <f>$F$8/$L$1*C1162</f>
        <v>0</v>
      </c>
      <c r="J1162" s="283"/>
      <c r="K1162" s="109" t="s">
        <v>54</v>
      </c>
      <c r="L1162" s="109"/>
      <c r="M1162" s="109" t="s">
        <v>64</v>
      </c>
      <c r="N1162" s="109" t="s">
        <v>49</v>
      </c>
      <c r="O1162" s="109"/>
      <c r="P1162" s="109" t="s">
        <v>58</v>
      </c>
      <c r="Q1162" s="283" t="s">
        <v>65</v>
      </c>
      <c r="R1162" s="283"/>
      <c r="S1162" s="283"/>
      <c r="T1162" s="109" t="s">
        <v>49</v>
      </c>
      <c r="U1162" s="283">
        <f>$F$8/$L$1*O1162</f>
        <v>0</v>
      </c>
      <c r="V1162" s="283"/>
      <c r="W1162" s="109" t="s">
        <v>54</v>
      </c>
      <c r="X1162" s="109"/>
    </row>
    <row r="1163" spans="1:24" ht="18.75" customHeight="1">
      <c r="A1163" s="109" t="s">
        <v>66</v>
      </c>
      <c r="B1163" s="109" t="s">
        <v>49</v>
      </c>
      <c r="C1163" s="109"/>
      <c r="D1163" s="109" t="s">
        <v>67</v>
      </c>
      <c r="E1163" s="283" t="s">
        <v>68</v>
      </c>
      <c r="F1163" s="283"/>
      <c r="G1163" s="283"/>
      <c r="H1163" s="109" t="s">
        <v>49</v>
      </c>
      <c r="I1163" s="283" t="e">
        <f>I1159/C1159/8*C1163</f>
        <v>#DIV/0!</v>
      </c>
      <c r="J1163" s="283"/>
      <c r="K1163" s="109" t="s">
        <v>54</v>
      </c>
      <c r="L1163" s="109">
        <f>F1156*C1163/L1149/8*1.5</f>
        <v>0</v>
      </c>
      <c r="M1163" s="109" t="s">
        <v>66</v>
      </c>
      <c r="N1163" s="109" t="s">
        <v>49</v>
      </c>
      <c r="O1163" s="109"/>
      <c r="P1163" s="109" t="s">
        <v>67</v>
      </c>
      <c r="Q1163" s="283" t="s">
        <v>68</v>
      </c>
      <c r="R1163" s="283"/>
      <c r="S1163" s="283"/>
      <c r="T1163" s="109" t="s">
        <v>49</v>
      </c>
      <c r="U1163" s="283" t="e">
        <f>U1159/O1159/8*O1163</f>
        <v>#DIV/0!</v>
      </c>
      <c r="V1163" s="283"/>
      <c r="W1163" s="109" t="s">
        <v>54</v>
      </c>
      <c r="X1163" s="109">
        <f>R1156*O1163/X1149/8*1.5</f>
        <v>0</v>
      </c>
    </row>
    <row r="1164" spans="1:24" ht="18.75" customHeight="1">
      <c r="A1164" s="283" t="s">
        <v>69</v>
      </c>
      <c r="B1164" s="283"/>
      <c r="C1164" s="109"/>
      <c r="D1164" s="109" t="s">
        <v>58</v>
      </c>
      <c r="E1164" s="283" t="s">
        <v>70</v>
      </c>
      <c r="F1164" s="283"/>
      <c r="G1164" s="283"/>
      <c r="H1164" s="109" t="s">
        <v>49</v>
      </c>
      <c r="I1164" s="283"/>
      <c r="J1164" s="283"/>
      <c r="K1164" s="109" t="s">
        <v>54</v>
      </c>
      <c r="L1164" s="109"/>
      <c r="M1164" s="283" t="s">
        <v>69</v>
      </c>
      <c r="N1164" s="283"/>
      <c r="O1164" s="109"/>
      <c r="P1164" s="109" t="s">
        <v>58</v>
      </c>
      <c r="Q1164" s="283" t="s">
        <v>70</v>
      </c>
      <c r="R1164" s="283"/>
      <c r="S1164" s="283"/>
      <c r="T1164" s="109" t="s">
        <v>49</v>
      </c>
      <c r="U1164" s="283"/>
      <c r="V1164" s="283"/>
      <c r="W1164" s="109" t="s">
        <v>54</v>
      </c>
      <c r="X1164" s="109"/>
    </row>
    <row r="1165" spans="1:24" ht="18.75" customHeight="1">
      <c r="A1165" s="109" t="s">
        <v>71</v>
      </c>
      <c r="B1165" s="109" t="s">
        <v>49</v>
      </c>
      <c r="C1165" s="109"/>
      <c r="D1165" s="109" t="s">
        <v>58</v>
      </c>
      <c r="E1165" s="283" t="s">
        <v>72</v>
      </c>
      <c r="F1165" s="283"/>
      <c r="G1165" s="283"/>
      <c r="H1165" s="109" t="s">
        <v>49</v>
      </c>
      <c r="I1165" s="283"/>
      <c r="J1165" s="283"/>
      <c r="K1165" s="109" t="s">
        <v>54</v>
      </c>
      <c r="L1165" s="109"/>
      <c r="M1165" s="109" t="s">
        <v>71</v>
      </c>
      <c r="N1165" s="109" t="s">
        <v>49</v>
      </c>
      <c r="O1165" s="109"/>
      <c r="P1165" s="109" t="s">
        <v>58</v>
      </c>
      <c r="Q1165" s="283" t="s">
        <v>72</v>
      </c>
      <c r="R1165" s="283"/>
      <c r="S1165" s="283"/>
      <c r="T1165" s="109" t="s">
        <v>49</v>
      </c>
      <c r="U1165" s="283"/>
      <c r="V1165" s="283"/>
      <c r="W1165" s="109" t="s">
        <v>54</v>
      </c>
      <c r="X1165" s="109"/>
    </row>
    <row r="1166" spans="1:24" ht="18.75" customHeight="1">
      <c r="A1166" s="109" t="s">
        <v>73</v>
      </c>
      <c r="B1166" s="109"/>
      <c r="C1166" s="109"/>
      <c r="D1166" s="109" t="s">
        <v>67</v>
      </c>
      <c r="E1166" s="283" t="s">
        <v>74</v>
      </c>
      <c r="F1166" s="283"/>
      <c r="G1166" s="283"/>
      <c r="H1166" s="109" t="s">
        <v>49</v>
      </c>
      <c r="I1166" s="283">
        <f>$F$8*C1166/8/$L$1</f>
        <v>0</v>
      </c>
      <c r="J1166" s="283"/>
      <c r="K1166" s="109" t="s">
        <v>54</v>
      </c>
      <c r="L1166" s="109"/>
      <c r="M1166" s="109" t="s">
        <v>73</v>
      </c>
      <c r="N1166" s="109"/>
      <c r="O1166" s="109"/>
      <c r="P1166" s="109" t="s">
        <v>67</v>
      </c>
      <c r="Q1166" s="283" t="s">
        <v>74</v>
      </c>
      <c r="R1166" s="283"/>
      <c r="S1166" s="283"/>
      <c r="T1166" s="109" t="s">
        <v>49</v>
      </c>
      <c r="U1166" s="283">
        <f>$F$8*O1166/8/$L$1</f>
        <v>0</v>
      </c>
      <c r="V1166" s="283"/>
      <c r="W1166" s="109" t="s">
        <v>54</v>
      </c>
      <c r="X1166" s="109"/>
    </row>
    <row r="1167" spans="1:24" ht="18.75" customHeight="1">
      <c r="A1167" s="109" t="s">
        <v>75</v>
      </c>
      <c r="B1167" s="109" t="s">
        <v>49</v>
      </c>
      <c r="C1167" s="109"/>
      <c r="D1167" s="109" t="s">
        <v>67</v>
      </c>
      <c r="E1167" s="283" t="s">
        <v>97</v>
      </c>
      <c r="F1167" s="283"/>
      <c r="G1167" s="283"/>
      <c r="H1167" s="109" t="s">
        <v>49</v>
      </c>
      <c r="I1167" s="283"/>
      <c r="J1167" s="283"/>
      <c r="K1167" s="109" t="s">
        <v>54</v>
      </c>
      <c r="L1167" s="109"/>
      <c r="M1167" s="109" t="s">
        <v>75</v>
      </c>
      <c r="N1167" s="109" t="s">
        <v>49</v>
      </c>
      <c r="O1167" s="109"/>
      <c r="P1167" s="109" t="s">
        <v>67</v>
      </c>
      <c r="Q1167" s="283" t="s">
        <v>97</v>
      </c>
      <c r="R1167" s="283"/>
      <c r="S1167" s="283"/>
      <c r="T1167" s="109" t="s">
        <v>49</v>
      </c>
      <c r="U1167" s="283"/>
      <c r="V1167" s="283"/>
      <c r="W1167" s="109" t="s">
        <v>54</v>
      </c>
      <c r="X1167" s="109"/>
    </row>
    <row r="1168" spans="1:24" ht="18.75" customHeight="1">
      <c r="A1168" s="109" t="s">
        <v>77</v>
      </c>
      <c r="B1168" s="109" t="s">
        <v>49</v>
      </c>
      <c r="C1168" s="109"/>
      <c r="D1168" s="109" t="s">
        <v>78</v>
      </c>
      <c r="E1168" s="109" t="s">
        <v>79</v>
      </c>
      <c r="F1168" s="109"/>
      <c r="G1168" s="109"/>
      <c r="H1168" s="109" t="s">
        <v>49</v>
      </c>
      <c r="I1168" s="283"/>
      <c r="J1168" s="283"/>
      <c r="K1168" s="109" t="s">
        <v>54</v>
      </c>
      <c r="L1168" s="109" t="e">
        <f>+IF(L1159-I1159&lt;0,0,L1159-I1159)+IF(L1163-I1163&lt;0,0,L1163-I1163)</f>
        <v>#DIV/0!</v>
      </c>
      <c r="M1168" s="109" t="s">
        <v>77</v>
      </c>
      <c r="N1168" s="109" t="s">
        <v>49</v>
      </c>
      <c r="O1168" s="109"/>
      <c r="P1168" s="109" t="s">
        <v>78</v>
      </c>
      <c r="Q1168" s="109" t="s">
        <v>79</v>
      </c>
      <c r="R1168" s="109"/>
      <c r="S1168" s="109"/>
      <c r="T1168" s="109" t="s">
        <v>49</v>
      </c>
      <c r="U1168" s="283"/>
      <c r="V1168" s="283"/>
      <c r="W1168" s="109" t="s">
        <v>54</v>
      </c>
      <c r="X1168" s="109" t="e">
        <f>+IF(X1159-U1159&lt;0,0,X1159-U1159)+IF(X1163-U1163&lt;0,0,X1163-U1163)</f>
        <v>#DIV/0!</v>
      </c>
    </row>
    <row r="1169" spans="1:24" ht="18.75" customHeight="1">
      <c r="A1169" s="109" t="s">
        <v>122</v>
      </c>
      <c r="B1169" s="109"/>
      <c r="C1169" s="109"/>
      <c r="D1169" s="109" t="s">
        <v>58</v>
      </c>
      <c r="E1169" s="283" t="s">
        <v>123</v>
      </c>
      <c r="F1169" s="283"/>
      <c r="G1169" s="283"/>
      <c r="H1169" s="109" t="s">
        <v>49</v>
      </c>
      <c r="I1169" s="283"/>
      <c r="J1169" s="283"/>
      <c r="K1169" s="109" t="s">
        <v>54</v>
      </c>
      <c r="L1169" s="109"/>
      <c r="M1169" s="109" t="s">
        <v>122</v>
      </c>
      <c r="N1169" s="109"/>
      <c r="O1169" s="109"/>
      <c r="P1169" s="109" t="s">
        <v>58</v>
      </c>
      <c r="Q1169" s="283" t="s">
        <v>123</v>
      </c>
      <c r="R1169" s="283"/>
      <c r="S1169" s="283"/>
      <c r="T1169" s="109" t="s">
        <v>49</v>
      </c>
      <c r="U1169" s="283"/>
      <c r="V1169" s="283"/>
      <c r="W1169" s="109" t="s">
        <v>54</v>
      </c>
      <c r="X1169" s="109"/>
    </row>
    <row r="1170" spans="1:24" ht="18.75" customHeight="1">
      <c r="A1170" s="283" t="s">
        <v>82</v>
      </c>
      <c r="B1170" s="283"/>
      <c r="C1170" s="109"/>
      <c r="D1170" s="109"/>
      <c r="E1170" s="109"/>
      <c r="F1170" s="109"/>
      <c r="G1170" s="109"/>
      <c r="H1170" s="109" t="s">
        <v>49</v>
      </c>
      <c r="I1170" s="283"/>
      <c r="J1170" s="283"/>
      <c r="K1170" s="109" t="s">
        <v>54</v>
      </c>
      <c r="L1170" s="109"/>
      <c r="M1170" s="283" t="s">
        <v>82</v>
      </c>
      <c r="N1170" s="283"/>
      <c r="O1170" s="109"/>
      <c r="P1170" s="109"/>
      <c r="Q1170" s="109"/>
      <c r="R1170" s="109"/>
      <c r="S1170" s="109"/>
      <c r="T1170" s="109" t="s">
        <v>49</v>
      </c>
      <c r="U1170" s="283"/>
      <c r="V1170" s="283"/>
      <c r="W1170" s="109" t="s">
        <v>54</v>
      </c>
      <c r="X1170" s="109"/>
    </row>
    <row r="1171" spans="1:24" ht="18.75" customHeight="1">
      <c r="A1171" s="109" t="s">
        <v>83</v>
      </c>
      <c r="B1171" s="109" t="s">
        <v>49</v>
      </c>
      <c r="C1171" s="109"/>
      <c r="D1171" s="109"/>
      <c r="E1171" s="109" t="s">
        <v>84</v>
      </c>
      <c r="F1171" s="109"/>
      <c r="G1171" s="109"/>
      <c r="H1171" s="109" t="s">
        <v>49</v>
      </c>
      <c r="I1171" s="283" t="e">
        <f>L1168</f>
        <v>#DIV/0!</v>
      </c>
      <c r="J1171" s="283"/>
      <c r="K1171" s="109" t="s">
        <v>54</v>
      </c>
      <c r="L1171" s="109"/>
      <c r="M1171" s="109" t="s">
        <v>83</v>
      </c>
      <c r="N1171" s="109" t="s">
        <v>49</v>
      </c>
      <c r="O1171" s="109"/>
      <c r="P1171" s="109"/>
      <c r="Q1171" s="109" t="s">
        <v>84</v>
      </c>
      <c r="R1171" s="109"/>
      <c r="S1171" s="109"/>
      <c r="T1171" s="109" t="s">
        <v>49</v>
      </c>
      <c r="U1171" s="283" t="e">
        <f>X1168</f>
        <v>#DIV/0!</v>
      </c>
      <c r="V1171" s="283"/>
      <c r="W1171" s="109" t="s">
        <v>54</v>
      </c>
      <c r="X1171" s="109"/>
    </row>
    <row r="1172" spans="1:24" ht="18.75" customHeight="1">
      <c r="A1172" s="283" t="s">
        <v>85</v>
      </c>
      <c r="B1172" s="283"/>
      <c r="C1172" s="283"/>
      <c r="D1172" s="283"/>
      <c r="E1172" s="283"/>
      <c r="F1172" s="283"/>
      <c r="G1172" s="109" t="s">
        <v>49</v>
      </c>
      <c r="H1172" s="283" t="e">
        <f>I1159+I1160+I1161+I1162+I1163+I1166+I1170+I1171</f>
        <v>#DIV/0!</v>
      </c>
      <c r="I1172" s="283"/>
      <c r="J1172" s="283"/>
      <c r="K1172" s="109" t="s">
        <v>54</v>
      </c>
      <c r="M1172" s="283" t="s">
        <v>85</v>
      </c>
      <c r="N1172" s="283"/>
      <c r="O1172" s="283"/>
      <c r="P1172" s="283"/>
      <c r="Q1172" s="283"/>
      <c r="R1172" s="283"/>
      <c r="S1172" s="109" t="s">
        <v>49</v>
      </c>
      <c r="T1172" s="283" t="e">
        <f>U1159+U1160+U1161+U1162+U1163+U1166+U1170+U1171</f>
        <v>#DIV/0!</v>
      </c>
      <c r="U1172" s="283"/>
      <c r="V1172" s="283"/>
      <c r="W1172" s="109" t="s">
        <v>54</v>
      </c>
    </row>
    <row r="1173" spans="1:24" ht="18.75" customHeight="1">
      <c r="A1173" s="109"/>
      <c r="B1173" s="109"/>
      <c r="C1173" s="109"/>
      <c r="D1173" s="109"/>
      <c r="E1173" s="109"/>
      <c r="F1173" s="109"/>
      <c r="G1173" s="109"/>
      <c r="H1173" s="109"/>
      <c r="I1173" s="109"/>
      <c r="J1173" s="109"/>
      <c r="K1173" s="109"/>
      <c r="M1173" s="109"/>
      <c r="N1173" s="109"/>
      <c r="O1173" s="109"/>
      <c r="P1173" s="109"/>
      <c r="Q1173" s="109"/>
      <c r="R1173" s="109"/>
      <c r="S1173" s="109"/>
      <c r="T1173" s="109"/>
      <c r="U1173" s="109"/>
      <c r="V1173" s="109"/>
      <c r="W1173" s="109"/>
    </row>
    <row r="1174" spans="1:24" ht="18.75" customHeight="1">
      <c r="A1174" s="283" t="s">
        <v>86</v>
      </c>
      <c r="B1174" s="283"/>
      <c r="C1174" s="283"/>
      <c r="D1174" s="283"/>
      <c r="E1174" s="283"/>
      <c r="F1174" s="283"/>
      <c r="G1174" s="109"/>
      <c r="H1174" s="109"/>
      <c r="I1174" s="109"/>
      <c r="J1174" s="109"/>
      <c r="K1174" s="109"/>
      <c r="M1174" s="283" t="s">
        <v>86</v>
      </c>
      <c r="N1174" s="283"/>
      <c r="O1174" s="283"/>
      <c r="P1174" s="283"/>
      <c r="Q1174" s="283"/>
      <c r="R1174" s="283"/>
      <c r="S1174" s="109"/>
      <c r="T1174" s="109"/>
      <c r="U1174" s="109"/>
      <c r="V1174" s="109"/>
      <c r="W1174" s="109"/>
    </row>
    <row r="1175" spans="1:24" ht="18.75" customHeight="1">
      <c r="A1175" s="283" t="s">
        <v>87</v>
      </c>
      <c r="B1175" s="283"/>
      <c r="C1175" s="283"/>
      <c r="D1175" s="283"/>
      <c r="E1175" s="283"/>
      <c r="F1175" s="283"/>
      <c r="G1175" s="109" t="s">
        <v>49</v>
      </c>
      <c r="H1175" s="283">
        <f>IF(($L$1-(C1159+C1160+C1161+C1162))&gt;12,0,F1156*8%)</f>
        <v>0</v>
      </c>
      <c r="I1175" s="283"/>
      <c r="J1175" s="283"/>
      <c r="K1175" s="109" t="s">
        <v>54</v>
      </c>
      <c r="M1175" s="283" t="s">
        <v>87</v>
      </c>
      <c r="N1175" s="283"/>
      <c r="O1175" s="283"/>
      <c r="P1175" s="283"/>
      <c r="Q1175" s="283"/>
      <c r="R1175" s="283"/>
      <c r="S1175" s="109" t="s">
        <v>49</v>
      </c>
      <c r="T1175" s="283">
        <f t="shared" ref="T1175:T1180" si="0">IF(($L$1-(O1159+O1160+O1161+O1162))&gt;12,0,R1156*8%)</f>
        <v>0</v>
      </c>
      <c r="U1175" s="283"/>
      <c r="V1175" s="283"/>
      <c r="W1175" s="109" t="s">
        <v>54</v>
      </c>
    </row>
    <row r="1176" spans="1:24" ht="18.75" customHeight="1">
      <c r="A1176" s="283" t="s">
        <v>88</v>
      </c>
      <c r="B1176" s="283"/>
      <c r="C1176" s="283"/>
      <c r="D1176" s="283"/>
      <c r="E1176" s="283"/>
      <c r="F1176" s="283"/>
      <c r="G1176" s="109" t="s">
        <v>49</v>
      </c>
      <c r="H1176" s="283">
        <f>IF(($L$1-(C1159+C1160+C1161+C1162))&gt;12,0,F1156*1.5%)</f>
        <v>0</v>
      </c>
      <c r="I1176" s="283"/>
      <c r="J1176" s="283"/>
      <c r="K1176" s="109" t="s">
        <v>54</v>
      </c>
      <c r="M1176" s="283" t="s">
        <v>88</v>
      </c>
      <c r="N1176" s="283"/>
      <c r="O1176" s="283"/>
      <c r="P1176" s="283"/>
      <c r="Q1176" s="283"/>
      <c r="R1176" s="283"/>
      <c r="S1176" s="109" t="s">
        <v>49</v>
      </c>
      <c r="T1176" s="283">
        <f t="shared" si="0"/>
        <v>0</v>
      </c>
      <c r="U1176" s="283"/>
      <c r="V1176" s="283"/>
      <c r="W1176" s="109" t="s">
        <v>54</v>
      </c>
    </row>
    <row r="1177" spans="1:24" ht="18.75" customHeight="1">
      <c r="A1177" s="283" t="s">
        <v>89</v>
      </c>
      <c r="B1177" s="283"/>
      <c r="C1177" s="283"/>
      <c r="D1177" s="283"/>
      <c r="E1177" s="283"/>
      <c r="F1177" s="283"/>
      <c r="G1177" s="109" t="s">
        <v>49</v>
      </c>
      <c r="H1177" s="283">
        <f>IF(($L$1-(C1159+C1160+C1161+C1162))&gt;12,0,F1156*1%)</f>
        <v>0</v>
      </c>
      <c r="I1177" s="283"/>
      <c r="J1177" s="283"/>
      <c r="K1177" s="109" t="s">
        <v>54</v>
      </c>
      <c r="M1177" s="283" t="s">
        <v>89</v>
      </c>
      <c r="N1177" s="283"/>
      <c r="O1177" s="283"/>
      <c r="P1177" s="283"/>
      <c r="Q1177" s="283"/>
      <c r="R1177" s="283"/>
      <c r="S1177" s="109" t="s">
        <v>49</v>
      </c>
      <c r="T1177" s="283">
        <f t="shared" si="0"/>
        <v>0</v>
      </c>
      <c r="U1177" s="283"/>
      <c r="V1177" s="283"/>
      <c r="W1177" s="109" t="s">
        <v>54</v>
      </c>
    </row>
    <row r="1178" spans="1:24" ht="18.75" customHeight="1">
      <c r="A1178" s="283" t="s">
        <v>90</v>
      </c>
      <c r="B1178" s="283"/>
      <c r="C1178" s="283"/>
      <c r="D1178" s="283"/>
      <c r="E1178" s="283"/>
      <c r="F1178" s="283"/>
      <c r="G1178" s="109" t="s">
        <v>49</v>
      </c>
      <c r="H1178" s="283">
        <v>0</v>
      </c>
      <c r="I1178" s="283"/>
      <c r="J1178" s="283"/>
      <c r="K1178" s="109" t="s">
        <v>54</v>
      </c>
      <c r="M1178" s="283" t="s">
        <v>90</v>
      </c>
      <c r="N1178" s="283"/>
      <c r="O1178" s="283"/>
      <c r="P1178" s="283"/>
      <c r="Q1178" s="283"/>
      <c r="R1178" s="283"/>
      <c r="S1178" s="109" t="s">
        <v>49</v>
      </c>
      <c r="T1178" s="283">
        <f t="shared" si="0"/>
        <v>0</v>
      </c>
      <c r="U1178" s="283"/>
      <c r="V1178" s="283"/>
      <c r="W1178" s="109" t="s">
        <v>54</v>
      </c>
    </row>
    <row r="1179" spans="1:24" ht="18.75" customHeight="1">
      <c r="A1179" s="283" t="s">
        <v>91</v>
      </c>
      <c r="B1179" s="283"/>
      <c r="C1179" s="283"/>
      <c r="D1179" s="283"/>
      <c r="E1179" s="283"/>
      <c r="F1179" s="283"/>
      <c r="G1179" s="109" t="s">
        <v>49</v>
      </c>
      <c r="H1179" s="283">
        <f>SUM(H1175:J1178)</f>
        <v>0</v>
      </c>
      <c r="I1179" s="283"/>
      <c r="J1179" s="283"/>
      <c r="K1179" s="109" t="s">
        <v>54</v>
      </c>
      <c r="M1179" s="283" t="s">
        <v>91</v>
      </c>
      <c r="N1179" s="283"/>
      <c r="O1179" s="283"/>
      <c r="P1179" s="283"/>
      <c r="Q1179" s="283"/>
      <c r="R1179" s="283"/>
      <c r="S1179" s="109" t="s">
        <v>49</v>
      </c>
      <c r="T1179" s="283">
        <f t="shared" si="0"/>
        <v>0</v>
      </c>
      <c r="U1179" s="283"/>
      <c r="V1179" s="283"/>
      <c r="W1179" s="109" t="s">
        <v>54</v>
      </c>
    </row>
    <row r="1180" spans="1:24" ht="18.75" customHeight="1">
      <c r="A1180" s="283" t="s">
        <v>92</v>
      </c>
      <c r="B1180" s="283"/>
      <c r="C1180" s="283"/>
      <c r="D1180" s="283"/>
      <c r="E1180" s="283"/>
      <c r="F1180" s="283"/>
      <c r="G1180" s="109" t="s">
        <v>49</v>
      </c>
      <c r="H1180" s="283" t="e">
        <f>ROUND(H1172-H1179,-2)</f>
        <v>#DIV/0!</v>
      </c>
      <c r="I1180" s="283"/>
      <c r="J1180" s="283"/>
      <c r="K1180" s="109" t="s">
        <v>54</v>
      </c>
      <c r="M1180" s="283" t="s">
        <v>92</v>
      </c>
      <c r="N1180" s="283"/>
      <c r="O1180" s="283"/>
      <c r="P1180" s="283"/>
      <c r="Q1180" s="283"/>
      <c r="R1180" s="283"/>
      <c r="S1180" s="109" t="s">
        <v>49</v>
      </c>
      <c r="T1180" s="283">
        <f t="shared" si="0"/>
        <v>0</v>
      </c>
      <c r="U1180" s="283"/>
      <c r="V1180" s="283"/>
      <c r="W1180" s="109" t="s">
        <v>54</v>
      </c>
    </row>
    <row r="1181" spans="1:24" ht="18.75" customHeight="1">
      <c r="A1181" s="109"/>
      <c r="B1181" s="109"/>
      <c r="C1181" s="109"/>
      <c r="D1181" s="109"/>
      <c r="E1181" s="109"/>
      <c r="F1181" s="109"/>
      <c r="G1181" s="109"/>
      <c r="H1181" s="109"/>
      <c r="I1181" s="109"/>
      <c r="J1181" s="109"/>
      <c r="K1181" s="109"/>
      <c r="M1181" s="109"/>
      <c r="N1181" s="109"/>
      <c r="O1181" s="109"/>
      <c r="P1181" s="109"/>
      <c r="Q1181" s="109"/>
      <c r="R1181" s="109"/>
      <c r="S1181" s="109"/>
      <c r="T1181" s="109"/>
      <c r="U1181" s="109"/>
      <c r="V1181" s="109"/>
      <c r="W1181" s="109"/>
    </row>
    <row r="1182" spans="1:24" ht="18.75" customHeight="1">
      <c r="A1182" s="109"/>
      <c r="B1182" s="109"/>
      <c r="C1182" s="109"/>
      <c r="D1182" s="109"/>
      <c r="E1182" s="109"/>
      <c r="F1182" s="109"/>
      <c r="G1182" s="109"/>
      <c r="H1182" s="109"/>
      <c r="I1182" s="283" t="s">
        <v>93</v>
      </c>
      <c r="J1182" s="283"/>
      <c r="K1182" s="283"/>
      <c r="M1182" s="109"/>
      <c r="N1182" s="109"/>
      <c r="O1182" s="109"/>
      <c r="P1182" s="109"/>
      <c r="Q1182" s="109"/>
      <c r="R1182" s="109"/>
      <c r="S1182" s="109"/>
      <c r="T1182" s="109"/>
      <c r="U1182" s="283" t="s">
        <v>93</v>
      </c>
      <c r="V1182" s="283"/>
      <c r="W1182" s="283"/>
    </row>
    <row r="1183" spans="1:24" ht="18.75" customHeight="1">
      <c r="A1183" s="109"/>
      <c r="B1183" s="283"/>
      <c r="C1183" s="283"/>
      <c r="D1183" s="283"/>
      <c r="E1183" s="283"/>
      <c r="F1183" s="109"/>
      <c r="G1183" s="109"/>
      <c r="H1183" s="109"/>
      <c r="I1183" s="109"/>
      <c r="J1183" s="109"/>
      <c r="K1183" s="109"/>
      <c r="M1183" s="109"/>
      <c r="N1183" s="283"/>
      <c r="O1183" s="283"/>
      <c r="P1183" s="283"/>
      <c r="Q1183" s="283"/>
      <c r="R1183" s="109"/>
      <c r="S1183" s="109"/>
      <c r="T1183" s="109"/>
      <c r="U1183" s="109"/>
      <c r="V1183" s="109"/>
      <c r="W1183" s="109"/>
    </row>
    <row r="1184" spans="1:24" ht="18.75" customHeight="1">
      <c r="A1184" s="109"/>
      <c r="B1184" s="109"/>
      <c r="C1184" s="109"/>
      <c r="D1184" s="109"/>
      <c r="E1184" s="109"/>
      <c r="F1184" s="109"/>
      <c r="G1184" s="109"/>
      <c r="H1184" s="109"/>
      <c r="I1184" s="283" t="s">
        <v>94</v>
      </c>
      <c r="J1184" s="283"/>
      <c r="K1184" s="283"/>
      <c r="M1184" s="109"/>
      <c r="N1184" s="109"/>
      <c r="O1184" s="109"/>
      <c r="P1184" s="109"/>
      <c r="Q1184" s="109"/>
      <c r="R1184" s="109"/>
      <c r="S1184" s="109"/>
      <c r="T1184" s="109"/>
      <c r="U1184" s="283" t="s">
        <v>94</v>
      </c>
      <c r="V1184" s="283"/>
      <c r="W1184" s="283"/>
    </row>
  </sheetData>
  <mergeCells count="3456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dcterms:created xsi:type="dcterms:W3CDTF">2015-06-05T18:17:20Z</dcterms:created>
  <dcterms:modified xsi:type="dcterms:W3CDTF">2026-05-29T16:09:19Z</dcterms:modified>
</cp:coreProperties>
</file>