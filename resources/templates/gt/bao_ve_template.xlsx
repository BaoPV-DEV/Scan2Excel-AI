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13F590B7-BE71-4127-B266-D8F309519C67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Bang TH nop" sheetId="1" r:id="rId1"/>
    <sheet name="LƯƠNG Tx" sheetId="2" r:id="rId2"/>
  </sheets>
  <externalReferences>
    <externalReference r:id="rId3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I10" i="2"/>
  <c r="H10" i="2"/>
  <c r="G68" i="2" a="1"/>
  <c r="G68" i="2" s="1"/>
  <c r="G67" i="2" a="1"/>
  <c r="G67" i="2" s="1"/>
  <c r="G10" i="2"/>
  <c r="N9" i="1" l="1"/>
  <c r="AE12" i="2" l="1"/>
  <c r="AC12" i="2" s="1"/>
  <c r="AD12" i="2" s="1"/>
  <c r="AE14" i="2"/>
  <c r="AC14" i="2" s="1"/>
  <c r="AD14" i="2" s="1"/>
  <c r="AE16" i="2"/>
  <c r="AC16" i="2" s="1"/>
  <c r="AD16" i="2" s="1"/>
  <c r="AE18" i="2"/>
  <c r="AE20" i="2"/>
  <c r="AE22" i="2"/>
  <c r="AD18" i="2"/>
  <c r="AC18" i="2"/>
  <c r="AC20" i="2"/>
  <c r="AD20" i="2" s="1"/>
  <c r="AC22" i="2"/>
  <c r="AD22" i="2" s="1"/>
  <c r="AB12" i="2"/>
  <c r="AB14" i="2"/>
  <c r="AB16" i="2"/>
  <c r="AB18" i="2"/>
  <c r="AB20" i="2"/>
  <c r="AB22" i="2"/>
  <c r="AB10" i="2"/>
  <c r="Y12" i="2"/>
  <c r="Y68" i="2" s="1" a="1"/>
  <c r="Y68" i="2" s="1"/>
  <c r="Y14" i="2"/>
  <c r="Y16" i="2"/>
  <c r="Y18" i="2"/>
  <c r="Y20" i="2"/>
  <c r="Y22" i="2"/>
  <c r="Y10" i="2"/>
  <c r="X12" i="2"/>
  <c r="X14" i="2"/>
  <c r="X16" i="2"/>
  <c r="X18" i="2"/>
  <c r="X20" i="2"/>
  <c r="X22" i="2"/>
  <c r="W12" i="2"/>
  <c r="W14" i="2"/>
  <c r="W16" i="2"/>
  <c r="W18" i="2"/>
  <c r="W20" i="2"/>
  <c r="W22" i="2"/>
  <c r="W10" i="2"/>
  <c r="T67" i="2" a="1"/>
  <c r="T67" i="2" s="1"/>
  <c r="V67" i="2" a="1"/>
  <c r="V67" i="2" s="1"/>
  <c r="W67" i="2" a="1"/>
  <c r="W67" i="2" s="1"/>
  <c r="Y67" i="2" a="1"/>
  <c r="Y67" i="2" s="1"/>
  <c r="T68" i="2" a="1"/>
  <c r="T68" i="2" s="1"/>
  <c r="V68" i="2" a="1"/>
  <c r="V68" i="2" s="1"/>
  <c r="W68" i="2" a="1"/>
  <c r="W68" i="2" s="1"/>
  <c r="U12" i="2" a="1"/>
  <c r="U12" i="2" s="1"/>
  <c r="U14" i="2" a="1"/>
  <c r="U14" i="2" s="1"/>
  <c r="U16" i="2" a="1"/>
  <c r="U16" i="2" s="1"/>
  <c r="U18" i="2" a="1"/>
  <c r="U18" i="2"/>
  <c r="U20" i="2" a="1"/>
  <c r="U20" i="2" s="1"/>
  <c r="U22" i="2" a="1"/>
  <c r="U22" i="2" s="1"/>
  <c r="S11" i="2"/>
  <c r="S12" i="2" s="1"/>
  <c r="S13" i="2"/>
  <c r="S14" i="2" s="1"/>
  <c r="S15" i="2"/>
  <c r="S16" i="2"/>
  <c r="S17" i="2"/>
  <c r="S18" i="2"/>
  <c r="S19" i="2"/>
  <c r="S20" i="2"/>
  <c r="S21" i="2"/>
  <c r="S22" i="2"/>
  <c r="S10" i="2"/>
  <c r="R12" i="2"/>
  <c r="R14" i="2"/>
  <c r="R16" i="2"/>
  <c r="R18" i="2"/>
  <c r="R20" i="2"/>
  <c r="R22" i="2"/>
  <c r="R10" i="2"/>
  <c r="P67" i="2" a="1"/>
  <c r="P67" i="2" s="1"/>
  <c r="Q67" i="2" a="1"/>
  <c r="Q67" i="2" s="1"/>
  <c r="R67" i="2" a="1"/>
  <c r="R67" i="2" s="1"/>
  <c r="P68" i="2" a="1"/>
  <c r="P68" i="2" s="1"/>
  <c r="Q68" i="2" a="1"/>
  <c r="Q68" i="2" s="1"/>
  <c r="R68" i="2" a="1"/>
  <c r="R68" i="2" s="1"/>
  <c r="N67" i="2" a="1"/>
  <c r="N67" i="2" s="1"/>
  <c r="N68" i="2" a="1"/>
  <c r="N68" i="2" s="1"/>
  <c r="M67" i="2" a="1"/>
  <c r="M67" i="2" s="1"/>
  <c r="M68" i="2" a="1"/>
  <c r="M68" i="2" s="1"/>
  <c r="M12" i="2"/>
  <c r="M14" i="2"/>
  <c r="M16" i="2"/>
  <c r="M18" i="2"/>
  <c r="M20" i="2"/>
  <c r="M22" i="2"/>
  <c r="M10" i="2"/>
  <c r="L67" i="2" a="1"/>
  <c r="L67" i="2" s="1"/>
  <c r="L68" i="2" a="1"/>
  <c r="L68" i="2" s="1"/>
  <c r="L11" i="2"/>
  <c r="L12" i="2" s="1"/>
  <c r="L13" i="2"/>
  <c r="L14" i="2" s="1"/>
  <c r="L15" i="2"/>
  <c r="L16" i="2" s="1"/>
  <c r="L17" i="2"/>
  <c r="L18" i="2"/>
  <c r="L19" i="2"/>
  <c r="L20" i="2" s="1"/>
  <c r="L21" i="2"/>
  <c r="L22" i="2" s="1"/>
  <c r="L10" i="2"/>
  <c r="J67" i="2" a="1"/>
  <c r="J67" i="2" s="1"/>
  <c r="K67" i="2" a="1"/>
  <c r="K67" i="2" s="1"/>
  <c r="J68" i="2" a="1"/>
  <c r="J68" i="2" s="1"/>
  <c r="K68" i="2" a="1"/>
  <c r="K68" i="2" s="1"/>
  <c r="J11" i="2"/>
  <c r="J12" i="2"/>
  <c r="J13" i="2"/>
  <c r="J14" i="2" s="1"/>
  <c r="J15" i="2"/>
  <c r="J16" i="2"/>
  <c r="J17" i="2"/>
  <c r="J18" i="2"/>
  <c r="J19" i="2"/>
  <c r="J20" i="2"/>
  <c r="J21" i="2"/>
  <c r="J22" i="2" s="1"/>
  <c r="J10" i="2"/>
  <c r="K11" i="2"/>
  <c r="K12" i="2"/>
  <c r="K13" i="2"/>
  <c r="K14" i="2" s="1"/>
  <c r="K15" i="2"/>
  <c r="K16" i="2"/>
  <c r="K17" i="2"/>
  <c r="K18" i="2"/>
  <c r="K19" i="2"/>
  <c r="K20" i="2"/>
  <c r="K21" i="2"/>
  <c r="K22" i="2" s="1"/>
  <c r="I67" i="2" a="1"/>
  <c r="I67" i="2" s="1"/>
  <c r="I68" i="2" a="1"/>
  <c r="I68" i="2" s="1"/>
  <c r="I11" i="2"/>
  <c r="I12" i="2" s="1"/>
  <c r="I13" i="2"/>
  <c r="I14" i="2" s="1"/>
  <c r="I15" i="2"/>
  <c r="I16" i="2"/>
  <c r="I17" i="2"/>
  <c r="I18" i="2"/>
  <c r="I19" i="2"/>
  <c r="I20" i="2" s="1"/>
  <c r="I21" i="2"/>
  <c r="I22" i="2" s="1"/>
  <c r="H68" i="2" a="1"/>
  <c r="H68" i="2" s="1"/>
  <c r="H67" i="2" a="1"/>
  <c r="H67" i="2" s="1"/>
  <c r="H11" i="2"/>
  <c r="H12" i="2" s="1"/>
  <c r="H13" i="2"/>
  <c r="H14" i="2"/>
  <c r="H15" i="2"/>
  <c r="H16" i="2" s="1"/>
  <c r="H17" i="2"/>
  <c r="H18" i="2"/>
  <c r="H19" i="2"/>
  <c r="H20" i="2" s="1"/>
  <c r="H21" i="2"/>
  <c r="H22" i="2"/>
  <c r="G11" i="2"/>
  <c r="G12" i="2" s="1"/>
  <c r="G13" i="2"/>
  <c r="G14" i="2"/>
  <c r="G15" i="2"/>
  <c r="G16" i="2"/>
  <c r="G17" i="2"/>
  <c r="G18" i="2"/>
  <c r="G19" i="2"/>
  <c r="G20" i="2" s="1"/>
  <c r="G21" i="2"/>
  <c r="G22" i="2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O53" i="1"/>
  <c r="O55" i="1"/>
  <c r="O57" i="1"/>
  <c r="O59" i="1"/>
  <c r="O61" i="1"/>
  <c r="O63" i="1"/>
  <c r="O65" i="1"/>
  <c r="O67" i="1"/>
  <c r="O69" i="1"/>
  <c r="O71" i="1"/>
  <c r="O73" i="1"/>
  <c r="O75" i="1"/>
  <c r="O77" i="1"/>
  <c r="O79" i="1"/>
  <c r="O81" i="1"/>
  <c r="O83" i="1"/>
  <c r="O85" i="1"/>
  <c r="O87" i="1"/>
  <c r="O9" i="1"/>
  <c r="N11" i="1"/>
  <c r="N13" i="1"/>
  <c r="N15" i="1"/>
  <c r="N17" i="1"/>
  <c r="N19" i="1"/>
  <c r="N21" i="1"/>
  <c r="N23" i="1"/>
  <c r="N25" i="1"/>
  <c r="N27" i="1"/>
  <c r="N29" i="1"/>
  <c r="N31" i="1"/>
  <c r="N33" i="1"/>
  <c r="N35" i="1"/>
  <c r="N37" i="1"/>
  <c r="N39" i="1"/>
  <c r="N41" i="1"/>
  <c r="N43" i="1"/>
  <c r="N45" i="1"/>
  <c r="N47" i="1"/>
  <c r="N49" i="1"/>
  <c r="N51" i="1"/>
  <c r="N53" i="1"/>
  <c r="N55" i="1"/>
  <c r="N57" i="1"/>
  <c r="N59" i="1"/>
  <c r="N61" i="1"/>
  <c r="N63" i="1"/>
  <c r="N65" i="1"/>
  <c r="N67" i="1"/>
  <c r="N69" i="1"/>
  <c r="N71" i="1"/>
  <c r="N73" i="1"/>
  <c r="N75" i="1"/>
  <c r="N77" i="1"/>
  <c r="N79" i="1"/>
  <c r="N81" i="1"/>
  <c r="N83" i="1"/>
  <c r="N85" i="1"/>
  <c r="N87" i="1"/>
  <c r="S67" i="2" l="1" a="1"/>
  <c r="S67" i="2" s="1"/>
  <c r="S68" i="2" a="1"/>
  <c r="S68" i="2" s="1"/>
  <c r="P12" i="2" l="1"/>
  <c r="P14" i="2"/>
  <c r="P16" i="2"/>
  <c r="P18" i="2"/>
  <c r="P20" i="2"/>
  <c r="P22" i="2"/>
  <c r="P10" i="2"/>
  <c r="Z24" i="2"/>
  <c r="AA24" i="2"/>
  <c r="Z26" i="2"/>
  <c r="AA26" i="2"/>
  <c r="Z28" i="2"/>
  <c r="AA28" i="2"/>
  <c r="Z30" i="2"/>
  <c r="AA30" i="2"/>
  <c r="Z32" i="2"/>
  <c r="AA32" i="2"/>
  <c r="Z34" i="2"/>
  <c r="AA34" i="2"/>
  <c r="Z36" i="2"/>
  <c r="AA36" i="2"/>
  <c r="Z38" i="2"/>
  <c r="AA38" i="2"/>
  <c r="Z40" i="2"/>
  <c r="AA40" i="2"/>
  <c r="Z42" i="2"/>
  <c r="AA42" i="2"/>
  <c r="Z44" i="2"/>
  <c r="AA44" i="2"/>
  <c r="Z46" i="2"/>
  <c r="AA46" i="2"/>
  <c r="Z48" i="2"/>
  <c r="AA48" i="2"/>
  <c r="Z50" i="2"/>
  <c r="AA50" i="2"/>
  <c r="Z52" i="2"/>
  <c r="AA52" i="2"/>
  <c r="Z54" i="2"/>
  <c r="AA54" i="2"/>
  <c r="Z56" i="2"/>
  <c r="AA56" i="2"/>
  <c r="Z58" i="2"/>
  <c r="AA58" i="2"/>
  <c r="Z60" i="2"/>
  <c r="AA60" i="2"/>
  <c r="Z62" i="2"/>
  <c r="AA62" i="2"/>
  <c r="Z64" i="2"/>
  <c r="AA64" i="2"/>
  <c r="Z66" i="2"/>
  <c r="AA66" i="2"/>
  <c r="L23" i="2" l="1"/>
  <c r="L24" i="2" s="1"/>
  <c r="L25" i="2"/>
  <c r="L26" i="2" s="1"/>
  <c r="L27" i="2"/>
  <c r="L28" i="2" s="1"/>
  <c r="L29" i="2"/>
  <c r="L30" i="2" s="1"/>
  <c r="L31" i="2"/>
  <c r="L32" i="2" s="1"/>
  <c r="L33" i="2"/>
  <c r="L34" i="2" s="1"/>
  <c r="L35" i="2"/>
  <c r="L36" i="2" s="1"/>
  <c r="L37" i="2"/>
  <c r="L38" i="2" s="1"/>
  <c r="L39" i="2"/>
  <c r="L40" i="2" s="1"/>
  <c r="L41" i="2"/>
  <c r="L42" i="2" s="1"/>
  <c r="L43" i="2"/>
  <c r="L44" i="2" s="1"/>
  <c r="L45" i="2"/>
  <c r="L46" i="2" s="1"/>
  <c r="L47" i="2"/>
  <c r="L48" i="2" s="1"/>
  <c r="L49" i="2"/>
  <c r="L50" i="2" s="1"/>
  <c r="L51" i="2"/>
  <c r="L52" i="2" s="1"/>
  <c r="L53" i="2"/>
  <c r="L54" i="2" s="1"/>
  <c r="L55" i="2"/>
  <c r="L56" i="2" s="1"/>
  <c r="L57" i="2"/>
  <c r="L58" i="2" s="1"/>
  <c r="L59" i="2"/>
  <c r="L60" i="2" s="1"/>
  <c r="L61" i="2"/>
  <c r="L62" i="2" s="1"/>
  <c r="L63" i="2"/>
  <c r="L64" i="2" s="1"/>
  <c r="L65" i="2"/>
  <c r="L66" i="2" s="1"/>
  <c r="K23" i="2"/>
  <c r="K24" i="2" s="1"/>
  <c r="K25" i="2"/>
  <c r="K26" i="2" s="1"/>
  <c r="K27" i="2"/>
  <c r="K28" i="2" s="1"/>
  <c r="K29" i="2"/>
  <c r="K30" i="2" s="1"/>
  <c r="K31" i="2"/>
  <c r="K32" i="2" s="1"/>
  <c r="K33" i="2"/>
  <c r="K34" i="2" s="1"/>
  <c r="K35" i="2"/>
  <c r="K36" i="2" s="1"/>
  <c r="K37" i="2"/>
  <c r="K38" i="2" s="1"/>
  <c r="K39" i="2"/>
  <c r="K40" i="2" s="1"/>
  <c r="K41" i="2"/>
  <c r="K42" i="2" s="1"/>
  <c r="K43" i="2"/>
  <c r="K44" i="2" s="1"/>
  <c r="K45" i="2"/>
  <c r="K46" i="2" s="1"/>
  <c r="K47" i="2"/>
  <c r="K48" i="2" s="1"/>
  <c r="K49" i="2"/>
  <c r="K50" i="2" s="1"/>
  <c r="K51" i="2"/>
  <c r="K52" i="2" s="1"/>
  <c r="K53" i="2"/>
  <c r="K54" i="2" s="1"/>
  <c r="K55" i="2"/>
  <c r="K56" i="2" s="1"/>
  <c r="K57" i="2"/>
  <c r="K58" i="2" s="1"/>
  <c r="K59" i="2"/>
  <c r="K60" i="2" s="1"/>
  <c r="K61" i="2"/>
  <c r="K62" i="2" s="1"/>
  <c r="K63" i="2"/>
  <c r="K64" i="2" s="1"/>
  <c r="K65" i="2"/>
  <c r="K66" i="2" s="1"/>
  <c r="D12" i="2"/>
  <c r="D14" i="2"/>
  <c r="D16" i="2"/>
  <c r="D18" i="2"/>
  <c r="D20" i="2"/>
  <c r="D22" i="2"/>
  <c r="D10" i="2"/>
  <c r="F12" i="2"/>
  <c r="F14" i="2"/>
  <c r="F16" i="2"/>
  <c r="F18" i="2"/>
  <c r="F20" i="2"/>
  <c r="F22" i="2"/>
  <c r="F10" i="2"/>
  <c r="L9" i="2" l="1"/>
  <c r="N12" i="2" l="1"/>
  <c r="N18" i="2"/>
  <c r="O12" i="2"/>
  <c r="O14" i="2"/>
  <c r="O18" i="2"/>
  <c r="O20" i="2"/>
  <c r="O22" i="2"/>
  <c r="Q22" i="2"/>
  <c r="N22" i="2"/>
  <c r="C21" i="2"/>
  <c r="B21" i="2"/>
  <c r="Q20" i="2"/>
  <c r="N20" i="2"/>
  <c r="C19" i="2"/>
  <c r="B19" i="2"/>
  <c r="Q18" i="2"/>
  <c r="C17" i="2"/>
  <c r="B17" i="2"/>
  <c r="Q16" i="2"/>
  <c r="O16" i="2"/>
  <c r="N16" i="2"/>
  <c r="C15" i="2"/>
  <c r="B15" i="2"/>
  <c r="Q14" i="2"/>
  <c r="N14" i="2"/>
  <c r="C13" i="2"/>
  <c r="B13" i="2"/>
  <c r="Q12" i="2"/>
  <c r="C11" i="2"/>
  <c r="B11" i="2"/>
  <c r="N10" i="2" l="1"/>
  <c r="J9" i="2" l="1"/>
  <c r="I9" i="2"/>
  <c r="G9" i="2"/>
  <c r="K9" i="2"/>
  <c r="Q10" i="2" l="1"/>
  <c r="S9" i="2" l="1"/>
  <c r="H9" i="2"/>
  <c r="C9" i="2"/>
  <c r="B9" i="2"/>
  <c r="B123" i="2"/>
  <c r="W70" i="2"/>
  <c r="E70" i="2"/>
  <c r="Y69" i="2"/>
  <c r="X69" i="2"/>
  <c r="W69" i="2"/>
  <c r="V69" i="2"/>
  <c r="U69" i="2"/>
  <c r="R69" i="2"/>
  <c r="Q69" i="2"/>
  <c r="P69" i="2"/>
  <c r="O69" i="2"/>
  <c r="N69" i="2"/>
  <c r="K69" i="2"/>
  <c r="E69" i="2"/>
  <c r="R70" i="2"/>
  <c r="O10" i="2"/>
  <c r="O67" i="2" l="1" a="1"/>
  <c r="O67" i="2" s="1"/>
  <c r="U10" i="2" a="1"/>
  <c r="U10" i="2" s="1"/>
  <c r="O68" i="2" a="1"/>
  <c r="O68" i="2" s="1"/>
  <c r="J69" i="2"/>
  <c r="Q70" i="2"/>
  <c r="H69" i="2"/>
  <c r="O70" i="2"/>
  <c r="N70" i="2"/>
  <c r="D69" i="2"/>
  <c r="D70" i="2"/>
  <c r="L69" i="2"/>
  <c r="G69" i="2"/>
  <c r="S69" i="2"/>
  <c r="I69" i="2"/>
  <c r="X10" i="2" l="1"/>
  <c r="U68" i="2" a="1"/>
  <c r="U68" i="2" s="1"/>
  <c r="Z68" i="2" s="1"/>
  <c r="Z71" i="2" s="1"/>
  <c r="AE10" i="2"/>
  <c r="U67" i="2" a="1"/>
  <c r="U67" i="2" s="1"/>
  <c r="S70" i="2"/>
  <c r="J70" i="2"/>
  <c r="G70" i="2"/>
  <c r="I70" i="2"/>
  <c r="Y70" i="2"/>
  <c r="L70" i="2"/>
  <c r="H70" i="2"/>
  <c r="P70" i="2"/>
  <c r="K70" i="2"/>
  <c r="V70" i="2"/>
  <c r="AC10" i="2" l="1"/>
  <c r="AD10" i="2" s="1"/>
  <c r="AE68" i="2" a="1"/>
  <c r="AE68" i="2" s="1"/>
  <c r="AA68" i="2" s="1"/>
  <c r="AA71" i="2" s="1"/>
  <c r="U70" i="2"/>
  <c r="X68" i="2" l="1" a="1"/>
  <c r="X68" i="2" s="1"/>
  <c r="X67" i="2" a="1"/>
  <c r="X67" i="2" s="1"/>
  <c r="X70" i="2"/>
  <c r="K74" i="2" a="1"/>
  <c r="K7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<sst xmlns="http://schemas.openxmlformats.org/spreadsheetml/2006/main" count="73" uniqueCount="64">
  <si>
    <t>TT</t>
  </si>
  <si>
    <t>Họ và tên</t>
  </si>
  <si>
    <t>Mã số</t>
  </si>
  <si>
    <t>Mức lương</t>
  </si>
  <si>
    <t>Công</t>
  </si>
  <si>
    <t>Phép</t>
  </si>
  <si>
    <t>Học, họp</t>
  </si>
  <si>
    <t>Công ca 3</t>
  </si>
  <si>
    <t>Thêm giờ</t>
  </si>
  <si>
    <t>Công không ăn</t>
  </si>
  <si>
    <t>Chăm hoa</t>
  </si>
  <si>
    <t>Khuyến công</t>
  </si>
  <si>
    <t>Người lập</t>
  </si>
  <si>
    <t>CÔNG TY TNHH SD TẠI THANH HOÁ</t>
  </si>
  <si>
    <t xml:space="preserve">Bộ phận: Bảo vệ </t>
  </si>
  <si>
    <t>Lễ tết</t>
  </si>
  <si>
    <t>Xăng xe</t>
  </si>
  <si>
    <t>CN CÔNG TY TNHH S&amp;D TẠI THANH HOÁ</t>
  </si>
  <si>
    <t>Tổ: Bảo vệ</t>
  </si>
  <si>
    <t>BẢNG CHI TIẾT THANH TOÁN LƯƠNG</t>
  </si>
  <si>
    <t>Stt</t>
  </si>
  <si>
    <t>Ngày tiếp nhận / Mức lương CB</t>
  </si>
  <si>
    <t>Ăn ca</t>
  </si>
  <si>
    <t>Tổng cộng</t>
  </si>
  <si>
    <t>Khấu trừ</t>
  </si>
  <si>
    <t>Thực lĩnh</t>
  </si>
  <si>
    <t>Ký tên</t>
  </si>
  <si>
    <t>Chủ nhật</t>
  </si>
  <si>
    <t>Ca ba</t>
  </si>
  <si>
    <t>BHXH, BHYT, BHTN</t>
  </si>
  <si>
    <t>Cộng</t>
  </si>
  <si>
    <t>Lập biểu</t>
  </si>
  <si>
    <t>l­¬ng 1 giê</t>
  </si>
  <si>
    <t>L­¬ng SP</t>
  </si>
  <si>
    <t>So sánh</t>
  </si>
  <si>
    <t>Bằng chữ:</t>
  </si>
  <si>
    <t>PC ATV</t>
  </si>
  <si>
    <t>Phụ cấp chức vụ+ATV</t>
  </si>
  <si>
    <t>Tổng lương thực tế</t>
  </si>
  <si>
    <t>Chức vụ</t>
  </si>
  <si>
    <t>Lê Thị Linh</t>
  </si>
  <si>
    <t>CĐ</t>
  </si>
  <si>
    <t>Phụ trách đơn vị</t>
  </si>
  <si>
    <t>Lê Văn Bắc</t>
  </si>
  <si>
    <t>Các khoản tiền lương</t>
  </si>
  <si>
    <t>Công SP</t>
  </si>
  <si>
    <t xml:space="preserve"> Các khoản hỗ trợ</t>
  </si>
  <si>
    <t>Chuyên cần</t>
  </si>
  <si>
    <t>Thưởng theo KQKD</t>
  </si>
  <si>
    <t>25=24/23</t>
  </si>
  <si>
    <t>27=26/25</t>
  </si>
  <si>
    <t>26=28/22</t>
  </si>
  <si>
    <t>28=18-8</t>
  </si>
  <si>
    <t>Đi lại</t>
  </si>
  <si>
    <t>Thâm niên</t>
  </si>
  <si>
    <t>Lương SP</t>
  </si>
  <si>
    <t>Lương CB</t>
  </si>
  <si>
    <t>BQT03</t>
  </si>
  <si>
    <t>Tháng 04 năm 2026</t>
  </si>
  <si>
    <t>Công T03</t>
  </si>
  <si>
    <t>Lương T03</t>
  </si>
  <si>
    <t>BQT04</t>
  </si>
  <si>
    <t>Ngày 15  tháng 05 năm 2026</t>
  </si>
  <si>
    <t>Ca ba lễ tết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</si>
</sst>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&quot;?&quot;&quot;?&quot;_);_(@_)"/>
    <numFmt numFmtId="166" formatCode="_(* #,##0_);_(* \(#,##0\);_(* &quot;-&quot;&quot;?&quot;&quot;?&quot;_);_(@_)"/>
    <numFmt numFmtId="167" formatCode="0.0"/>
    <numFmt numFmtId="168" formatCode="_(* #,##0.0_);_(* \(#,##0.0\);_(* &quot;-&quot;&quot;?&quot;&quot;?&quot;_);_(@_)"/>
    <numFmt numFmtId="169" formatCode="_-* #,##0_-;\-* #,##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name val=".VnTime"/>
      <family val="2"/>
    </font>
    <font>
      <sz val="12"/>
      <color indexed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i/>
      <u val="singleAccounting"/>
      <sz val="10"/>
      <name val="Times New Roman"/>
      <family val="1"/>
    </font>
    <font>
      <b/>
      <i/>
      <u/>
      <sz val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</cellStyleXfs>
  <cellXfs count="17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/>
    <xf numFmtId="167" fontId="2" fillId="0" borderId="0" xfId="0" applyNumberFormat="1" applyFont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/>
    <xf numFmtId="0" fontId="2" fillId="0" borderId="1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/>
    <xf numFmtId="0" fontId="3" fillId="3" borderId="5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14" fontId="2" fillId="0" borderId="5" xfId="0" applyNumberFormat="1" applyFont="1" applyBorder="1"/>
    <xf numFmtId="0" fontId="2" fillId="0" borderId="5" xfId="0" applyFont="1" applyBorder="1"/>
    <xf numFmtId="167" fontId="2" fillId="0" borderId="5" xfId="0" applyNumberFormat="1" applyFont="1" applyBorder="1"/>
    <xf numFmtId="0" fontId="6" fillId="0" borderId="5" xfId="0" applyFont="1" applyBorder="1"/>
    <xf numFmtId="1" fontId="7" fillId="2" borderId="9" xfId="0" applyNumberFormat="1" applyFont="1" applyFill="1" applyBorder="1" applyAlignment="1">
      <alignment vertical="center" shrinkToFit="1"/>
    </xf>
    <xf numFmtId="167" fontId="7" fillId="2" borderId="9" xfId="0" applyNumberFormat="1" applyFont="1" applyFill="1" applyBorder="1" applyAlignment="1">
      <alignment vertical="center" shrinkToFit="1"/>
    </xf>
    <xf numFmtId="0" fontId="7" fillId="2" borderId="9" xfId="0" applyFont="1" applyFill="1" applyBorder="1" applyAlignment="1">
      <alignment vertical="center" shrinkToFit="1"/>
    </xf>
    <xf numFmtId="165" fontId="7" fillId="2" borderId="9" xfId="1" applyNumberFormat="1" applyFont="1" applyFill="1" applyBorder="1" applyAlignment="1">
      <alignment vertical="center" shrinkToFit="1"/>
    </xf>
    <xf numFmtId="166" fontId="7" fillId="2" borderId="9" xfId="1" applyNumberFormat="1" applyFont="1" applyFill="1" applyBorder="1" applyAlignment="1">
      <alignment vertical="center" shrinkToFit="1"/>
    </xf>
    <xf numFmtId="168" fontId="7" fillId="2" borderId="9" xfId="1" applyNumberFormat="1" applyFont="1" applyFill="1" applyBorder="1" applyAlignment="1">
      <alignment vertical="center" shrinkToFit="1"/>
    </xf>
    <xf numFmtId="3" fontId="7" fillId="2" borderId="9" xfId="0" applyNumberFormat="1" applyFont="1" applyFill="1" applyBorder="1" applyAlignment="1">
      <alignment vertical="center" shrinkToFit="1"/>
    </xf>
    <xf numFmtId="3" fontId="7" fillId="2" borderId="9" xfId="1" applyNumberFormat="1" applyFont="1" applyFill="1" applyBorder="1" applyAlignment="1">
      <alignment vertical="center" shrinkToFit="1"/>
    </xf>
    <xf numFmtId="3" fontId="7" fillId="2" borderId="9" xfId="2" applyNumberFormat="1" applyFont="1" applyFill="1" applyBorder="1" applyAlignment="1">
      <alignment vertical="center" shrinkToFit="1"/>
    </xf>
    <xf numFmtId="3" fontId="9" fillId="2" borderId="9" xfId="1" applyNumberFormat="1" applyFont="1" applyFill="1" applyBorder="1" applyAlignment="1">
      <alignment vertical="center" shrinkToFit="1"/>
    </xf>
    <xf numFmtId="169" fontId="2" fillId="0" borderId="5" xfId="1" applyNumberFormat="1" applyFont="1" applyFill="1" applyBorder="1"/>
    <xf numFmtId="1" fontId="7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166" fontId="9" fillId="2" borderId="0" xfId="1" applyNumberFormat="1" applyFont="1" applyFill="1"/>
    <xf numFmtId="166" fontId="9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6" fontId="7" fillId="2" borderId="0" xfId="1" applyNumberFormat="1" applyFont="1" applyFill="1"/>
    <xf numFmtId="166" fontId="7" fillId="2" borderId="0" xfId="0" applyNumberFormat="1" applyFont="1" applyFill="1"/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/>
    <xf numFmtId="1" fontId="7" fillId="2" borderId="9" xfId="0" applyNumberFormat="1" applyFont="1" applyFill="1" applyBorder="1" applyAlignment="1">
      <alignment horizontal="center" vertical="center" wrapText="1"/>
    </xf>
    <xf numFmtId="166" fontId="7" fillId="2" borderId="3" xfId="1" applyNumberFormat="1" applyFont="1" applyFill="1" applyBorder="1" applyAlignment="1">
      <alignment vertical="center" shrinkToFit="1"/>
    </xf>
    <xf numFmtId="168" fontId="7" fillId="2" borderId="3" xfId="1" applyNumberFormat="1" applyFont="1" applyFill="1" applyBorder="1" applyAlignment="1">
      <alignment vertical="center" shrinkToFit="1"/>
    </xf>
    <xf numFmtId="169" fontId="9" fillId="2" borderId="0" xfId="1" applyNumberFormat="1" applyFont="1" applyFill="1"/>
    <xf numFmtId="1" fontId="9" fillId="2" borderId="0" xfId="0" applyNumberFormat="1" applyFont="1" applyFill="1"/>
    <xf numFmtId="1" fontId="9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0" fontId="9" fillId="2" borderId="0" xfId="1" applyNumberFormat="1" applyFont="1" applyFill="1"/>
    <xf numFmtId="3" fontId="9" fillId="2" borderId="0" xfId="1" applyNumberFormat="1" applyFont="1" applyFill="1"/>
    <xf numFmtId="1" fontId="7" fillId="2" borderId="0" xfId="1" applyNumberFormat="1" applyFont="1" applyFill="1"/>
    <xf numFmtId="166" fontId="7" fillId="2" borderId="0" xfId="1" applyNumberFormat="1" applyFont="1" applyFill="1" applyBorder="1"/>
    <xf numFmtId="1" fontId="7" fillId="2" borderId="1" xfId="0" applyNumberFormat="1" applyFont="1" applyFill="1" applyBorder="1" applyAlignment="1">
      <alignment horizontal="center" vertical="center" wrapText="1"/>
    </xf>
    <xf numFmtId="166" fontId="12" fillId="2" borderId="1" xfId="2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9" xfId="0" applyFont="1" applyFill="1" applyBorder="1"/>
    <xf numFmtId="0" fontId="11" fillId="4" borderId="9" xfId="0" applyFont="1" applyFill="1" applyBorder="1"/>
    <xf numFmtId="2" fontId="11" fillId="4" borderId="9" xfId="0" applyNumberFormat="1" applyFont="1" applyFill="1" applyBorder="1"/>
    <xf numFmtId="166" fontId="11" fillId="3" borderId="9" xfId="2" applyNumberFormat="1" applyFont="1" applyFill="1" applyBorder="1"/>
    <xf numFmtId="3" fontId="7" fillId="2" borderId="3" xfId="0" applyNumberFormat="1" applyFont="1" applyFill="1" applyBorder="1" applyAlignment="1">
      <alignment vertical="center" shrinkToFit="1"/>
    </xf>
    <xf numFmtId="167" fontId="7" fillId="2" borderId="2" xfId="0" applyNumberFormat="1" applyFont="1" applyFill="1" applyBorder="1" applyAlignment="1">
      <alignment vertical="center" shrinkToFit="1"/>
    </xf>
    <xf numFmtId="3" fontId="7" fillId="2" borderId="4" xfId="0" applyNumberFormat="1" applyFont="1" applyFill="1" applyBorder="1" applyAlignment="1">
      <alignment vertical="center" shrinkToFit="1"/>
    </xf>
    <xf numFmtId="3" fontId="7" fillId="2" borderId="3" xfId="1" applyNumberFormat="1" applyFont="1" applyFill="1" applyBorder="1" applyAlignment="1">
      <alignment vertical="center" shrinkToFit="1"/>
    </xf>
    <xf numFmtId="0" fontId="7" fillId="2" borderId="2" xfId="0" applyFont="1" applyFill="1" applyBorder="1" applyAlignment="1">
      <alignment vertical="center" shrinkToFit="1"/>
    </xf>
    <xf numFmtId="3" fontId="7" fillId="2" borderId="4" xfId="1" applyNumberFormat="1" applyFont="1" applyFill="1" applyBorder="1" applyAlignment="1">
      <alignment vertical="center" shrinkToFit="1"/>
    </xf>
    <xf numFmtId="165" fontId="7" fillId="2" borderId="2" xfId="1" applyNumberFormat="1" applyFont="1" applyFill="1" applyBorder="1" applyAlignment="1">
      <alignment vertical="center" shrinkToFit="1"/>
    </xf>
    <xf numFmtId="166" fontId="7" fillId="2" borderId="1" xfId="1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vertical="center" shrinkToFit="1"/>
    </xf>
    <xf numFmtId="166" fontId="7" fillId="2" borderId="1" xfId="1" applyNumberFormat="1" applyFont="1" applyFill="1" applyBorder="1" applyAlignment="1">
      <alignment vertical="center" shrinkToFit="1"/>
    </xf>
    <xf numFmtId="3" fontId="7" fillId="2" borderId="3" xfId="2" applyNumberFormat="1" applyFont="1" applyFill="1" applyBorder="1" applyAlignment="1">
      <alignment vertical="center" shrinkToFit="1"/>
    </xf>
    <xf numFmtId="168" fontId="7" fillId="2" borderId="1" xfId="1" applyNumberFormat="1" applyFont="1" applyFill="1" applyBorder="1" applyAlignment="1">
      <alignment vertical="center" shrinkToFit="1"/>
    </xf>
    <xf numFmtId="1" fontId="3" fillId="2" borderId="0" xfId="0" applyNumberFormat="1" applyFont="1" applyFill="1"/>
    <xf numFmtId="1" fontId="4" fillId="2" borderId="0" xfId="0" applyNumberFormat="1" applyFont="1" applyFill="1" applyAlignment="1">
      <alignment horizontal="left"/>
    </xf>
    <xf numFmtId="3" fontId="3" fillId="2" borderId="0" xfId="0" applyNumberFormat="1" applyFont="1" applyFill="1"/>
    <xf numFmtId="1" fontId="13" fillId="2" borderId="0" xfId="0" applyNumberFormat="1" applyFont="1" applyFill="1"/>
    <xf numFmtId="0" fontId="11" fillId="0" borderId="9" xfId="3" applyFont="1" applyBorder="1"/>
    <xf numFmtId="166" fontId="12" fillId="2" borderId="1" xfId="4" applyNumberFormat="1" applyFont="1" applyFill="1" applyBorder="1" applyAlignment="1">
      <alignment horizontal="center" vertical="center" wrapText="1"/>
    </xf>
    <xf numFmtId="166" fontId="11" fillId="4" borderId="9" xfId="4" applyNumberFormat="1" applyFont="1" applyFill="1" applyBorder="1"/>
    <xf numFmtId="9" fontId="11" fillId="4" borderId="9" xfId="5" applyFont="1" applyFill="1" applyBorder="1"/>
    <xf numFmtId="169" fontId="16" fillId="2" borderId="0" xfId="1" applyNumberFormat="1" applyFont="1" applyFill="1"/>
    <xf numFmtId="1" fontId="17" fillId="2" borderId="0" xfId="0" applyNumberFormat="1" applyFont="1" applyFill="1"/>
    <xf numFmtId="0" fontId="12" fillId="0" borderId="9" xfId="3" applyFont="1" applyBorder="1" applyAlignment="1">
      <alignment horizontal="center" vertical="center"/>
    </xf>
    <xf numFmtId="166" fontId="11" fillId="2" borderId="0" xfId="1" applyNumberFormat="1" applyFont="1" applyFill="1"/>
    <xf numFmtId="1" fontId="11" fillId="2" borderId="0" xfId="0" applyNumberFormat="1" applyFont="1" applyFill="1" applyAlignment="1">
      <alignment horizontal="center" vertical="center"/>
    </xf>
    <xf numFmtId="168" fontId="12" fillId="2" borderId="1" xfId="2" applyNumberFormat="1" applyFont="1" applyFill="1" applyBorder="1" applyAlignment="1">
      <alignment horizontal="center" vertical="center" wrapText="1"/>
    </xf>
    <xf numFmtId="168" fontId="11" fillId="3" borderId="9" xfId="2" applyNumberFormat="1" applyFont="1" applyFill="1" applyBorder="1"/>
    <xf numFmtId="1" fontId="8" fillId="2" borderId="1" xfId="0" applyNumberFormat="1" applyFont="1" applyFill="1" applyBorder="1" applyAlignment="1">
      <alignment vertical="center"/>
    </xf>
    <xf numFmtId="1" fontId="8" fillId="2" borderId="3" xfId="0" applyNumberFormat="1" applyFont="1" applyFill="1" applyBorder="1" applyAlignment="1">
      <alignment vertical="center"/>
    </xf>
    <xf numFmtId="1" fontId="8" fillId="2" borderId="9" xfId="0" applyNumberFormat="1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169" fontId="7" fillId="2" borderId="4" xfId="1" applyNumberFormat="1" applyFont="1" applyFill="1" applyBorder="1" applyAlignment="1">
      <alignment horizontal="center" vertical="center" shrinkToFit="1"/>
    </xf>
    <xf numFmtId="169" fontId="2" fillId="0" borderId="5" xfId="1" applyNumberFormat="1" applyFont="1" applyBorder="1"/>
    <xf numFmtId="0" fontId="20" fillId="2" borderId="0" xfId="0" applyFont="1" applyFill="1"/>
    <xf numFmtId="0" fontId="21" fillId="2" borderId="0" xfId="0" applyFont="1" applyFill="1" applyAlignment="1">
      <alignment horizontal="center"/>
    </xf>
    <xf numFmtId="0" fontId="21" fillId="2" borderId="0" xfId="0" applyFont="1" applyFill="1"/>
    <xf numFmtId="166" fontId="14" fillId="2" borderId="0" xfId="1" applyNumberFormat="1" applyFont="1" applyFill="1" applyAlignment="1"/>
    <xf numFmtId="0" fontId="2" fillId="0" borderId="18" xfId="0" applyFont="1" applyBorder="1"/>
    <xf numFmtId="0" fontId="6" fillId="0" borderId="18" xfId="0" applyFont="1" applyBorder="1"/>
    <xf numFmtId="14" fontId="2" fillId="0" borderId="19" xfId="0" applyNumberFormat="1" applyFont="1" applyBorder="1"/>
    <xf numFmtId="169" fontId="2" fillId="0" borderId="18" xfId="1" applyNumberFormat="1" applyFont="1" applyBorder="1"/>
    <xf numFmtId="0" fontId="2" fillId="0" borderId="15" xfId="0" applyFont="1" applyBorder="1"/>
    <xf numFmtId="0" fontId="2" fillId="0" borderId="1" xfId="0" applyFont="1" applyBorder="1"/>
    <xf numFmtId="14" fontId="2" fillId="0" borderId="9" xfId="0" applyNumberFormat="1" applyFont="1" applyBorder="1"/>
    <xf numFmtId="167" fontId="2" fillId="0" borderId="9" xfId="0" applyNumberFormat="1" applyFont="1" applyBorder="1"/>
    <xf numFmtId="0" fontId="9" fillId="2" borderId="17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left" vertical="center" wrapText="1"/>
    </xf>
    <xf numFmtId="1" fontId="7" fillId="2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shrinkToFit="1"/>
    </xf>
    <xf numFmtId="166" fontId="18" fillId="2" borderId="0" xfId="1" applyNumberFormat="1" applyFont="1" applyFill="1" applyAlignment="1">
      <alignment horizontal="center"/>
    </xf>
    <xf numFmtId="166" fontId="14" fillId="2" borderId="0" xfId="1" applyNumberFormat="1" applyFont="1" applyFill="1" applyAlignment="1">
      <alignment horizontal="right"/>
    </xf>
    <xf numFmtId="166" fontId="19" fillId="2" borderId="0" xfId="1" applyNumberFormat="1" applyFont="1" applyFill="1" applyAlignment="1">
      <alignment horizontal="center"/>
    </xf>
    <xf numFmtId="1" fontId="18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 wrapText="1"/>
    </xf>
    <xf numFmtId="0" fontId="11" fillId="5" borderId="5" xfId="3" applyFont="1" applyFill="1" applyBorder="1" applyAlignment="1">
      <alignment horizontal="center" vertical="center" wrapText="1"/>
    </xf>
    <xf numFmtId="0" fontId="11" fillId="5" borderId="3" xfId="3" applyFont="1" applyFill="1" applyBorder="1" applyAlignment="1">
      <alignment horizontal="center" vertical="center" wrapText="1"/>
    </xf>
    <xf numFmtId="1" fontId="4" fillId="2" borderId="0" xfId="0" applyNumberFormat="1" applyFont="1" applyFill="1" applyAlignment="1">
      <alignment horizontal="right" vertical="center"/>
    </xf>
    <xf numFmtId="14" fontId="7" fillId="2" borderId="9" xfId="0" applyNumberFormat="1" applyFont="1" applyFill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2" fontId="11" fillId="4" borderId="5" xfId="0" applyNumberFormat="1" applyFont="1" applyFill="1" applyBorder="1" applyAlignment="1">
      <alignment horizontal="center" vertical="center"/>
    </xf>
    <xf numFmtId="2" fontId="11" fillId="4" borderId="3" xfId="0" applyNumberFormat="1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 wrapText="1"/>
    </xf>
    <xf numFmtId="1" fontId="9" fillId="2" borderId="9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8" fontId="11" fillId="3" borderId="9" xfId="2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66" fontId="9" fillId="2" borderId="3" xfId="1" applyNumberFormat="1" applyFont="1" applyFill="1" applyBorder="1" applyAlignment="1">
      <alignment horizontal="center" vertical="center" wrapText="1"/>
    </xf>
    <xf numFmtId="166" fontId="9" fillId="2" borderId="9" xfId="1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66" fontId="9" fillId="2" borderId="9" xfId="0" applyNumberFormat="1" applyFont="1" applyFill="1" applyBorder="1" applyAlignment="1">
      <alignment horizontal="center" vertical="center" wrapText="1"/>
    </xf>
    <xf numFmtId="166" fontId="9" fillId="2" borderId="13" xfId="1" applyNumberFormat="1" applyFont="1" applyFill="1" applyBorder="1" applyAlignment="1">
      <alignment horizontal="center" vertical="center" wrapText="1"/>
    </xf>
    <xf numFmtId="166" fontId="9" fillId="2" borderId="17" xfId="1" applyNumberFormat="1" applyFont="1" applyFill="1" applyBorder="1" applyAlignment="1">
      <alignment horizontal="center" vertical="center" wrapText="1"/>
    </xf>
    <xf numFmtId="166" fontId="9" fillId="2" borderId="16" xfId="1" applyNumberFormat="1" applyFont="1" applyFill="1" applyBorder="1" applyAlignment="1">
      <alignment horizontal="center" vertical="center" wrapText="1"/>
    </xf>
    <xf numFmtId="166" fontId="9" fillId="2" borderId="1" xfId="1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166" fontId="9" fillId="2" borderId="5" xfId="1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3" borderId="9" xfId="3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8">
    <cellStyle name="Comma" xfId="1" builtinId="3"/>
    <cellStyle name="Comma 2 2" xfId="4" xr:uid="{00000000-0005-0000-0000-000001000000}"/>
    <cellStyle name="Comma 4" xfId="2" xr:uid="{00000000-0005-0000-0000-000002000000}"/>
    <cellStyle name="Comma 4 2" xfId="7" xr:uid="{79EDDD06-1707-46F5-A4C8-7FCA2E6AB4FD}"/>
    <cellStyle name="Normal" xfId="0" builtinId="0"/>
    <cellStyle name="Normal 2" xfId="3" xr:uid="{00000000-0005-0000-0000-000004000000}"/>
    <cellStyle name="Normal 4" xfId="6" xr:uid="{41266E88-2785-474F-8404-5FE2DF88C762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10-2025/CK%20th&#225;ng%2010-2025.xlsx" TargetMode="External"/><Relationship Id="rId2" Type="http://schemas.openxmlformats.org/officeDocument/2006/relationships/externalLinkPath" Target="file:///D:\H&#7890;%20S&#416;+L&#431;&#416;NG%20SD\L&#431;&#416;NG\L&#431;&#416;NG%20+%20C&#212;NG%202025\Th&#225;ng%2010-2025\CK%20th&#225;ng%2010-2025.xlsx" TargetMode="External"/><Relationship Id="rId1" Type="http://schemas.openxmlformats.org/officeDocument/2006/relationships/externalLinkPath" Target="/H&#7890;%20S&#416;+L&#431;&#416;NG%20SD/L&#431;&#416;NG/L&#431;&#416;NG%20+%20C&#212;NG%202025/Th&#225;ng%2010-2025/CK%20th&#225;ng%20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10"/>
      <sheetName val="Sheet1"/>
      <sheetName val="VTB"/>
      <sheetName val="TM Tổng"/>
      <sheetName val="TM CĐ"/>
      <sheetName val="TM C Nga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Kế toán</v>
          </cell>
          <cell r="F2">
            <v>3000000</v>
          </cell>
          <cell r="G2"/>
          <cell r="I2">
            <v>3000000</v>
          </cell>
          <cell r="J2"/>
        </row>
        <row r="3">
          <cell r="C3" t="str">
            <v>Nhóm trưởng</v>
          </cell>
          <cell r="D3"/>
          <cell r="E3"/>
          <cell r="F3">
            <v>700000</v>
          </cell>
          <cell r="I3">
            <v>700000</v>
          </cell>
          <cell r="J3"/>
        </row>
        <row r="4">
          <cell r="C4" t="str">
            <v>IE</v>
          </cell>
          <cell r="D4"/>
          <cell r="E4"/>
          <cell r="F4">
            <v>500000</v>
          </cell>
          <cell r="I4">
            <v>500000</v>
          </cell>
          <cell r="J4"/>
        </row>
        <row r="5">
          <cell r="C5" t="str">
            <v>QA</v>
          </cell>
          <cell r="F5">
            <v>1000000</v>
          </cell>
          <cell r="I5">
            <v>1000000</v>
          </cell>
          <cell r="J5"/>
        </row>
        <row r="6">
          <cell r="C6">
            <v>81120</v>
          </cell>
          <cell r="D6"/>
          <cell r="E6"/>
          <cell r="F6">
            <v>2000000</v>
          </cell>
          <cell r="I6">
            <v>2000000</v>
          </cell>
          <cell r="J6"/>
        </row>
        <row r="7">
          <cell r="C7">
            <v>81896</v>
          </cell>
          <cell r="D7"/>
          <cell r="E7"/>
          <cell r="F7">
            <v>1000000</v>
          </cell>
          <cell r="I7">
            <v>1000000</v>
          </cell>
          <cell r="J7"/>
        </row>
        <row r="8">
          <cell r="C8" t="str">
            <v>XNK1</v>
          </cell>
          <cell r="D8"/>
          <cell r="E8"/>
          <cell r="F8">
            <v>1000000</v>
          </cell>
          <cell r="I8">
            <v>1000000</v>
          </cell>
          <cell r="J8"/>
        </row>
        <row r="9">
          <cell r="C9" t="str">
            <v>XNK2</v>
          </cell>
          <cell r="D9"/>
          <cell r="E9"/>
          <cell r="F9">
            <v>1000000</v>
          </cell>
          <cell r="I9">
            <v>1000000</v>
          </cell>
          <cell r="J9"/>
        </row>
        <row r="10">
          <cell r="C10" t="str">
            <v>XNK3</v>
          </cell>
          <cell r="D10"/>
          <cell r="E10"/>
          <cell r="F10">
            <v>1000000</v>
          </cell>
          <cell r="I10">
            <v>1000000</v>
          </cell>
          <cell r="J10"/>
        </row>
        <row r="11">
          <cell r="C11">
            <v>52215</v>
          </cell>
          <cell r="E11">
            <v>0</v>
          </cell>
          <cell r="F11">
            <v>8423689.2396850027</v>
          </cell>
          <cell r="H11">
            <v>0</v>
          </cell>
          <cell r="I11">
            <v>8423700</v>
          </cell>
          <cell r="J11">
            <v>27</v>
          </cell>
        </row>
        <row r="12">
          <cell r="C12" t="str">
            <v>TV</v>
          </cell>
          <cell r="D12"/>
          <cell r="E12"/>
          <cell r="F12">
            <v>9855000</v>
          </cell>
          <cell r="H12">
            <v>0</v>
          </cell>
          <cell r="I12">
            <v>9855000</v>
          </cell>
          <cell r="J12">
            <v>27</v>
          </cell>
        </row>
        <row r="13">
          <cell r="C13" t="str">
            <v>TVLA81</v>
          </cell>
          <cell r="F13">
            <v>732663.11009026004</v>
          </cell>
          <cell r="G13">
            <v>0</v>
          </cell>
          <cell r="I13">
            <v>732700</v>
          </cell>
          <cell r="J13">
            <v>5</v>
          </cell>
        </row>
        <row r="14">
          <cell r="C14">
            <v>52222</v>
          </cell>
          <cell r="D14"/>
          <cell r="E14"/>
          <cell r="F14">
            <v>440500.94549485244</v>
          </cell>
          <cell r="G14">
            <v>0</v>
          </cell>
          <cell r="I14">
            <v>440500</v>
          </cell>
          <cell r="J14">
            <v>3.9375</v>
          </cell>
        </row>
        <row r="15">
          <cell r="C15">
            <v>10358</v>
          </cell>
          <cell r="F15">
            <v>723235.66981025145</v>
          </cell>
          <cell r="G15">
            <v>0</v>
          </cell>
          <cell r="I15">
            <v>723200</v>
          </cell>
          <cell r="J15">
            <v>6.604166666666667</v>
          </cell>
        </row>
        <row r="16">
          <cell r="C16">
            <v>52182</v>
          </cell>
          <cell r="D16"/>
          <cell r="E16"/>
          <cell r="F16">
            <v>1600045.0357894734</v>
          </cell>
          <cell r="I16">
            <v>1600000</v>
          </cell>
          <cell r="J16">
            <v>5.5</v>
          </cell>
        </row>
        <row r="17">
          <cell r="C17">
            <v>10370</v>
          </cell>
          <cell r="D17">
            <v>162777.37209946822</v>
          </cell>
          <cell r="E17">
            <v>0</v>
          </cell>
          <cell r="F17">
            <v>1324253.220240057</v>
          </cell>
          <cell r="G17">
            <v>0</v>
          </cell>
          <cell r="H17">
            <v>0</v>
          </cell>
          <cell r="I17">
            <v>1324300</v>
          </cell>
          <cell r="J17">
            <v>9</v>
          </cell>
        </row>
        <row r="18">
          <cell r="C18">
            <v>10368</v>
          </cell>
          <cell r="D18">
            <v>126797.80304573433</v>
          </cell>
          <cell r="E18">
            <v>0</v>
          </cell>
          <cell r="F18">
            <v>2497785.4103072416</v>
          </cell>
          <cell r="G18">
            <v>0</v>
          </cell>
          <cell r="H18">
            <v>0</v>
          </cell>
          <cell r="I18">
            <v>2497800</v>
          </cell>
          <cell r="J18">
            <v>13</v>
          </cell>
        </row>
        <row r="19">
          <cell r="C19">
            <v>52221</v>
          </cell>
          <cell r="D19">
            <v>365681.28747114202</v>
          </cell>
          <cell r="E19">
            <v>0</v>
          </cell>
          <cell r="F19">
            <v>6140797.4837404201</v>
          </cell>
          <cell r="H19">
            <v>0</v>
          </cell>
          <cell r="I19">
            <v>6140800</v>
          </cell>
          <cell r="J19">
            <v>27.5</v>
          </cell>
        </row>
        <row r="20">
          <cell r="C20">
            <v>10367</v>
          </cell>
          <cell r="D20">
            <v>39307.147347668506</v>
          </cell>
          <cell r="E20">
            <v>0</v>
          </cell>
          <cell r="F20">
            <v>3809804.7769740885</v>
          </cell>
          <cell r="H20">
            <v>0</v>
          </cell>
          <cell r="I20">
            <v>3809800</v>
          </cell>
          <cell r="J20">
            <v>16</v>
          </cell>
        </row>
        <row r="21">
          <cell r="C21">
            <v>52216</v>
          </cell>
          <cell r="D21">
            <v>135122.85673861572</v>
          </cell>
          <cell r="E21">
            <v>0</v>
          </cell>
          <cell r="F21">
            <v>6300055.9490149217</v>
          </cell>
          <cell r="H21">
            <v>0</v>
          </cell>
          <cell r="I21">
            <v>6300100</v>
          </cell>
          <cell r="J21">
            <v>25.875</v>
          </cell>
        </row>
        <row r="22">
          <cell r="C22">
            <v>10357</v>
          </cell>
          <cell r="D22">
            <v>239601.28458655416</v>
          </cell>
          <cell r="E22">
            <v>0</v>
          </cell>
          <cell r="F22">
            <v>6499221.3866249528</v>
          </cell>
          <cell r="H22">
            <v>0</v>
          </cell>
          <cell r="I22">
            <v>6499200</v>
          </cell>
          <cell r="J22">
            <v>27</v>
          </cell>
        </row>
        <row r="23">
          <cell r="C23">
            <v>10362</v>
          </cell>
          <cell r="D23">
            <v>197930.81759965236</v>
          </cell>
          <cell r="E23">
            <v>-510000</v>
          </cell>
          <cell r="F23">
            <v>4969288.209594205</v>
          </cell>
          <cell r="H23">
            <v>0</v>
          </cell>
          <cell r="I23">
            <v>4969300</v>
          </cell>
          <cell r="J23">
            <v>25</v>
          </cell>
        </row>
        <row r="24">
          <cell r="C24">
            <v>52220</v>
          </cell>
          <cell r="D24">
            <v>289347.15534071426</v>
          </cell>
          <cell r="E24">
            <v>-255000</v>
          </cell>
          <cell r="F24">
            <v>4897225.4944479428</v>
          </cell>
          <cell r="H24">
            <v>0</v>
          </cell>
          <cell r="I24">
            <v>4897200</v>
          </cell>
          <cell r="J24">
            <v>25</v>
          </cell>
        </row>
        <row r="25">
          <cell r="C25">
            <v>10366</v>
          </cell>
          <cell r="D25">
            <v>317812.08552041149</v>
          </cell>
          <cell r="E25">
            <v>-178500</v>
          </cell>
          <cell r="F25">
            <v>3421616.8588233804</v>
          </cell>
          <cell r="H25">
            <v>0</v>
          </cell>
          <cell r="I25">
            <v>3421600</v>
          </cell>
          <cell r="J25">
            <v>19.5</v>
          </cell>
        </row>
        <row r="26">
          <cell r="C26">
            <v>10359</v>
          </cell>
          <cell r="D26">
            <v>196320.00036992459</v>
          </cell>
          <cell r="E26">
            <v>-782000</v>
          </cell>
          <cell r="F26">
            <v>4333166.4679073207</v>
          </cell>
          <cell r="H26">
            <v>0</v>
          </cell>
          <cell r="I26">
            <v>4333200</v>
          </cell>
          <cell r="J26">
            <v>23</v>
          </cell>
        </row>
        <row r="27">
          <cell r="C27">
            <v>52140</v>
          </cell>
          <cell r="D27">
            <v>58339.938786176353</v>
          </cell>
          <cell r="E27">
            <v>0</v>
          </cell>
          <cell r="F27">
            <v>5344519.0013052886</v>
          </cell>
          <cell r="H27">
            <v>0</v>
          </cell>
          <cell r="I27">
            <v>5344500</v>
          </cell>
          <cell r="J27">
            <v>22.135416666666668</v>
          </cell>
        </row>
        <row r="28">
          <cell r="C28">
            <v>10344</v>
          </cell>
          <cell r="D28">
            <v>239286.1234240169</v>
          </cell>
          <cell r="E28">
            <v>0</v>
          </cell>
          <cell r="F28">
            <v>6365485.1393433334</v>
          </cell>
          <cell r="H28">
            <v>0</v>
          </cell>
          <cell r="I28">
            <v>6365500</v>
          </cell>
          <cell r="J28">
            <v>27</v>
          </cell>
        </row>
        <row r="29">
          <cell r="C29">
            <v>10360</v>
          </cell>
          <cell r="D29">
            <v>97109.675081160589</v>
          </cell>
          <cell r="E29">
            <v>0</v>
          </cell>
          <cell r="F29">
            <v>6982680.1093719024</v>
          </cell>
          <cell r="H29">
            <v>0</v>
          </cell>
          <cell r="I29">
            <v>6982700</v>
          </cell>
          <cell r="J29">
            <v>27.5</v>
          </cell>
        </row>
        <row r="30">
          <cell r="C30">
            <v>52217</v>
          </cell>
          <cell r="D30">
            <v>31005.896256397245</v>
          </cell>
          <cell r="E30">
            <v>0</v>
          </cell>
          <cell r="F30">
            <v>6363649.2182820905</v>
          </cell>
          <cell r="H30">
            <v>0</v>
          </cell>
          <cell r="I30">
            <v>6363600</v>
          </cell>
          <cell r="J30">
            <v>26.8125</v>
          </cell>
        </row>
        <row r="31">
          <cell r="C31">
            <v>10365</v>
          </cell>
          <cell r="D31">
            <v>208116.06122291228</v>
          </cell>
          <cell r="E31">
            <v>0</v>
          </cell>
          <cell r="F31">
            <v>4232250.7746645957</v>
          </cell>
          <cell r="G31"/>
          <cell r="H31">
            <v>0</v>
          </cell>
          <cell r="I31">
            <v>4232300</v>
          </cell>
          <cell r="J31">
            <v>21</v>
          </cell>
        </row>
        <row r="32">
          <cell r="C32">
            <v>52208</v>
          </cell>
          <cell r="D32">
            <v>194694.49721946736</v>
          </cell>
          <cell r="E32">
            <v>0</v>
          </cell>
          <cell r="F32">
            <v>5273259.1899655303</v>
          </cell>
          <cell r="H32">
            <v>0</v>
          </cell>
          <cell r="I32">
            <v>5273300</v>
          </cell>
          <cell r="J32">
            <v>25</v>
          </cell>
        </row>
        <row r="33">
          <cell r="C33">
            <v>10363</v>
          </cell>
          <cell r="D33">
            <v>228283.86892588402</v>
          </cell>
          <cell r="E33">
            <v>-849645.83333333326</v>
          </cell>
          <cell r="F33">
            <v>4438759.9494901542</v>
          </cell>
          <cell r="H33">
            <v>0</v>
          </cell>
          <cell r="I33">
            <v>4438800</v>
          </cell>
          <cell r="J33">
            <v>25.489583333333332</v>
          </cell>
        </row>
        <row r="34">
          <cell r="C34" t="str">
            <v>TVLA03</v>
          </cell>
          <cell r="F34">
            <v>5703955.4411898786</v>
          </cell>
          <cell r="H34">
            <v>0</v>
          </cell>
          <cell r="I34">
            <v>5704000</v>
          </cell>
          <cell r="J34">
            <v>26.5</v>
          </cell>
        </row>
        <row r="35">
          <cell r="C35" t="str">
            <v>TVLA64</v>
          </cell>
          <cell r="F35">
            <v>6714815.7712958315</v>
          </cell>
          <cell r="H35">
            <v>0</v>
          </cell>
          <cell r="I35">
            <v>6714800</v>
          </cell>
          <cell r="J35">
            <v>27</v>
          </cell>
        </row>
        <row r="36">
          <cell r="C36" t="str">
            <v>TVLA65</v>
          </cell>
          <cell r="F36">
            <v>5603100.3880294412</v>
          </cell>
          <cell r="H36">
            <v>0</v>
          </cell>
          <cell r="I36">
            <v>5603100</v>
          </cell>
          <cell r="J36">
            <v>24.5</v>
          </cell>
        </row>
        <row r="37">
          <cell r="C37" t="str">
            <v>TVLA66</v>
          </cell>
          <cell r="F37">
            <v>6048828.7981279995</v>
          </cell>
          <cell r="H37">
            <v>0</v>
          </cell>
          <cell r="I37">
            <v>6048800</v>
          </cell>
          <cell r="J37">
            <v>26.9375</v>
          </cell>
        </row>
        <row r="38">
          <cell r="C38" t="str">
            <v>TVLA70</v>
          </cell>
          <cell r="F38">
            <v>6006169.2233280065</v>
          </cell>
          <cell r="H38">
            <v>0</v>
          </cell>
          <cell r="I38">
            <v>6006200</v>
          </cell>
          <cell r="J38">
            <v>26</v>
          </cell>
        </row>
        <row r="39">
          <cell r="C39" t="str">
            <v>TVLA83</v>
          </cell>
          <cell r="D39"/>
          <cell r="E39"/>
          <cell r="F39">
            <v>5186995.5435115686</v>
          </cell>
          <cell r="H39">
            <v>0</v>
          </cell>
          <cell r="I39">
            <v>5187000</v>
          </cell>
          <cell r="J39">
            <v>22.1875</v>
          </cell>
        </row>
        <row r="40">
          <cell r="C40" t="str">
            <v>TVLA85</v>
          </cell>
          <cell r="F40">
            <v>5406641.80165477</v>
          </cell>
          <cell r="H40">
            <v>0</v>
          </cell>
          <cell r="I40">
            <v>5406600</v>
          </cell>
          <cell r="J40">
            <v>26</v>
          </cell>
        </row>
        <row r="41">
          <cell r="C41" t="str">
            <v>TVLA89</v>
          </cell>
          <cell r="D41"/>
          <cell r="E41"/>
          <cell r="F41">
            <v>5720881.9597162139</v>
          </cell>
          <cell r="H41">
            <v>0</v>
          </cell>
          <cell r="I41">
            <v>5720900</v>
          </cell>
          <cell r="J41">
            <v>27.5</v>
          </cell>
        </row>
        <row r="42">
          <cell r="C42" t="str">
            <v>TVLA90</v>
          </cell>
          <cell r="F42">
            <v>6395375.1328088865</v>
          </cell>
          <cell r="H42">
            <v>0</v>
          </cell>
          <cell r="I42">
            <v>6395400</v>
          </cell>
          <cell r="J42">
            <v>27.5</v>
          </cell>
        </row>
        <row r="43">
          <cell r="C43" t="str">
            <v>TVLA91</v>
          </cell>
          <cell r="F43">
            <v>5769258.8356882194</v>
          </cell>
          <cell r="H43">
            <v>0</v>
          </cell>
          <cell r="I43">
            <v>5769300</v>
          </cell>
          <cell r="J43">
            <v>27</v>
          </cell>
        </row>
        <row r="44">
          <cell r="C44" t="str">
            <v>TVLA92</v>
          </cell>
          <cell r="F44">
            <v>5817277.8321330473</v>
          </cell>
          <cell r="H44">
            <v>0</v>
          </cell>
          <cell r="I44">
            <v>5817300</v>
          </cell>
          <cell r="J44">
            <v>27.5</v>
          </cell>
        </row>
        <row r="45">
          <cell r="C45" t="str">
            <v>TVLA94</v>
          </cell>
          <cell r="D45"/>
          <cell r="E45"/>
          <cell r="F45">
            <v>4720185.1851851856</v>
          </cell>
          <cell r="H45">
            <v>0</v>
          </cell>
          <cell r="I45">
            <v>4720200</v>
          </cell>
          <cell r="J45">
            <v>25</v>
          </cell>
        </row>
        <row r="46">
          <cell r="C46" t="str">
            <v>TVLA95</v>
          </cell>
          <cell r="F46">
            <v>7011485.7535908595</v>
          </cell>
          <cell r="G46"/>
          <cell r="H46">
            <v>0</v>
          </cell>
          <cell r="I46">
            <v>7011500</v>
          </cell>
          <cell r="J46">
            <v>27.4375</v>
          </cell>
        </row>
        <row r="47">
          <cell r="C47" t="str">
            <v>TVLA97</v>
          </cell>
          <cell r="F47">
            <v>5948168.2141445316</v>
          </cell>
          <cell r="H47">
            <v>0</v>
          </cell>
          <cell r="I47">
            <v>5948200</v>
          </cell>
          <cell r="J47">
            <v>27</v>
          </cell>
        </row>
        <row r="48">
          <cell r="C48" t="str">
            <v>TVLA101</v>
          </cell>
          <cell r="F48">
            <v>5744554.1211977117</v>
          </cell>
          <cell r="H48">
            <v>0</v>
          </cell>
          <cell r="I48">
            <v>5744600</v>
          </cell>
          <cell r="J48">
            <v>27.5</v>
          </cell>
        </row>
        <row r="49">
          <cell r="C49">
            <v>51643</v>
          </cell>
          <cell r="D49"/>
          <cell r="E49"/>
          <cell r="F49">
            <v>6665101.682692307</v>
          </cell>
          <cell r="G49">
            <v>518595</v>
          </cell>
          <cell r="H49">
            <v>24700</v>
          </cell>
          <cell r="I49">
            <v>6121800</v>
          </cell>
          <cell r="J49">
            <v>26.983333333333334</v>
          </cell>
        </row>
        <row r="50">
          <cell r="C50">
            <v>51902</v>
          </cell>
          <cell r="F50">
            <v>4102534.6152028604</v>
          </cell>
          <cell r="G50">
            <v>518595</v>
          </cell>
          <cell r="I50">
            <v>3583900</v>
          </cell>
          <cell r="J50">
            <v>23.106249999999999</v>
          </cell>
        </row>
        <row r="51">
          <cell r="C51" t="str">
            <v>Q.trị 8</v>
          </cell>
          <cell r="D51"/>
          <cell r="E51"/>
          <cell r="F51">
            <v>13260000</v>
          </cell>
          <cell r="G51">
            <v>749805</v>
          </cell>
          <cell r="H51">
            <v>35700</v>
          </cell>
          <cell r="I51">
            <v>12474500</v>
          </cell>
          <cell r="J51">
            <v>27</v>
          </cell>
        </row>
        <row r="52">
          <cell r="C52">
            <v>10144</v>
          </cell>
          <cell r="D52">
            <v>0</v>
          </cell>
          <cell r="E52">
            <v>0</v>
          </cell>
          <cell r="F52">
            <v>7449603.0843654908</v>
          </cell>
          <cell r="H52">
            <v>0</v>
          </cell>
          <cell r="I52">
            <v>7449600</v>
          </cell>
          <cell r="J52">
            <v>26.777083333333334</v>
          </cell>
        </row>
        <row r="53">
          <cell r="C53" t="str">
            <v>Q.trị 7</v>
          </cell>
          <cell r="D53"/>
          <cell r="E53"/>
          <cell r="F53">
            <v>14660000</v>
          </cell>
          <cell r="G53">
            <v>657510</v>
          </cell>
          <cell r="H53">
            <v>31300</v>
          </cell>
          <cell r="I53">
            <v>13971200</v>
          </cell>
          <cell r="J53">
            <v>27</v>
          </cell>
        </row>
        <row r="54">
          <cell r="C54">
            <v>10369</v>
          </cell>
          <cell r="D54">
            <v>79964.334541167016</v>
          </cell>
          <cell r="E54">
            <v>0</v>
          </cell>
          <cell r="F54">
            <v>3086930.0465901745</v>
          </cell>
          <cell r="G54">
            <v>0</v>
          </cell>
          <cell r="H54">
            <v>0</v>
          </cell>
          <cell r="I54">
            <v>3086900</v>
          </cell>
          <cell r="J54">
            <v>13</v>
          </cell>
        </row>
        <row r="55">
          <cell r="C55">
            <v>52227</v>
          </cell>
          <cell r="D55">
            <v>19357.829119183894</v>
          </cell>
          <cell r="E55">
            <v>0</v>
          </cell>
          <cell r="F55">
            <v>3193327.5543091153</v>
          </cell>
          <cell r="H55">
            <v>0</v>
          </cell>
          <cell r="I55">
            <v>3193300</v>
          </cell>
          <cell r="J55">
            <v>15</v>
          </cell>
        </row>
        <row r="56">
          <cell r="C56">
            <v>10262</v>
          </cell>
          <cell r="F56">
            <v>2411667.2097110664</v>
          </cell>
          <cell r="I56">
            <v>2411700</v>
          </cell>
          <cell r="J56">
            <v>14</v>
          </cell>
        </row>
        <row r="57">
          <cell r="C57">
            <v>52198</v>
          </cell>
          <cell r="D57">
            <v>453149.50437979633</v>
          </cell>
          <cell r="E57">
            <v>-275400</v>
          </cell>
          <cell r="F57">
            <v>5785771.6791683026</v>
          </cell>
          <cell r="G57">
            <v>518595</v>
          </cell>
          <cell r="H57">
            <v>24700</v>
          </cell>
          <cell r="I57">
            <v>5242500</v>
          </cell>
          <cell r="J57">
            <v>27</v>
          </cell>
        </row>
        <row r="58">
          <cell r="C58">
            <v>52219</v>
          </cell>
          <cell r="D58">
            <v>195618.4991480241</v>
          </cell>
          <cell r="E58">
            <v>0</v>
          </cell>
          <cell r="F58">
            <v>6188344.6895217402</v>
          </cell>
          <cell r="H58">
            <v>0</v>
          </cell>
          <cell r="I58">
            <v>6188300</v>
          </cell>
          <cell r="J58">
            <v>26</v>
          </cell>
        </row>
        <row r="59">
          <cell r="C59">
            <v>51860</v>
          </cell>
          <cell r="D59">
            <v>130906.62171841096</v>
          </cell>
          <cell r="E59">
            <v>-680000</v>
          </cell>
          <cell r="F59">
            <v>4708456.6647592969</v>
          </cell>
          <cell r="G59">
            <v>518595</v>
          </cell>
          <cell r="H59">
            <v>24700</v>
          </cell>
          <cell r="I59">
            <v>4165200</v>
          </cell>
          <cell r="J59">
            <v>20</v>
          </cell>
        </row>
        <row r="60">
          <cell r="C60">
            <v>10361</v>
          </cell>
          <cell r="D60">
            <v>315325.39983908797</v>
          </cell>
          <cell r="E60">
            <v>-260100</v>
          </cell>
          <cell r="F60">
            <v>4828111.701123761</v>
          </cell>
          <cell r="H60">
            <v>0</v>
          </cell>
          <cell r="I60">
            <v>4828100</v>
          </cell>
          <cell r="J60">
            <v>25.5</v>
          </cell>
        </row>
        <row r="61">
          <cell r="C61">
            <v>10335</v>
          </cell>
          <cell r="D61">
            <v>64271.461010616418</v>
          </cell>
          <cell r="E61">
            <v>0</v>
          </cell>
          <cell r="F61">
            <v>5599154.3669681503</v>
          </cell>
          <cell r="H61">
            <v>0</v>
          </cell>
          <cell r="I61">
            <v>5599200</v>
          </cell>
          <cell r="J61">
            <v>25</v>
          </cell>
        </row>
        <row r="62">
          <cell r="C62">
            <v>52122</v>
          </cell>
          <cell r="E62">
            <v>0</v>
          </cell>
          <cell r="F62">
            <v>7059372.3537269533</v>
          </cell>
          <cell r="G62">
            <v>518595</v>
          </cell>
          <cell r="H62">
            <v>24700</v>
          </cell>
          <cell r="I62">
            <v>6516100</v>
          </cell>
          <cell r="J62">
            <v>23.5</v>
          </cell>
        </row>
        <row r="63">
          <cell r="C63">
            <v>84284</v>
          </cell>
          <cell r="D63"/>
          <cell r="E63"/>
          <cell r="F63">
            <v>17910000</v>
          </cell>
          <cell r="G63">
            <v>1013250</v>
          </cell>
          <cell r="H63">
            <v>48300</v>
          </cell>
          <cell r="I63">
            <v>16848500</v>
          </cell>
          <cell r="J63">
            <v>27</v>
          </cell>
        </row>
        <row r="64">
          <cell r="C64">
            <v>52226</v>
          </cell>
          <cell r="D64">
            <v>46846.985821681243</v>
          </cell>
          <cell r="E64">
            <v>0</v>
          </cell>
          <cell r="F64">
            <v>5300747.7711748388</v>
          </cell>
          <cell r="H64">
            <v>0</v>
          </cell>
          <cell r="I64">
            <v>5300700</v>
          </cell>
          <cell r="J64">
            <v>23</v>
          </cell>
        </row>
        <row r="65">
          <cell r="C65">
            <v>50038</v>
          </cell>
          <cell r="F65">
            <v>8505764.0327782165</v>
          </cell>
          <cell r="G65">
            <v>518595</v>
          </cell>
          <cell r="H65">
            <v>24700</v>
          </cell>
          <cell r="I65">
            <v>7962500</v>
          </cell>
          <cell r="J65">
            <v>25.5</v>
          </cell>
        </row>
        <row r="66">
          <cell r="C66">
            <v>52204</v>
          </cell>
          <cell r="D66">
            <v>214514.28085512828</v>
          </cell>
          <cell r="E66">
            <v>0</v>
          </cell>
          <cell r="F66">
            <v>6323973.9843576914</v>
          </cell>
          <cell r="H66">
            <v>0</v>
          </cell>
          <cell r="I66">
            <v>6324000</v>
          </cell>
          <cell r="J66">
            <v>27</v>
          </cell>
        </row>
        <row r="67">
          <cell r="C67">
            <v>52102</v>
          </cell>
          <cell r="D67">
            <v>137912.02772089269</v>
          </cell>
          <cell r="E67">
            <v>0</v>
          </cell>
          <cell r="F67">
            <v>6551042.8671578346</v>
          </cell>
          <cell r="G67">
            <v>518595</v>
          </cell>
          <cell r="H67">
            <v>24700</v>
          </cell>
          <cell r="I67">
            <v>6007700</v>
          </cell>
          <cell r="J67">
            <v>24</v>
          </cell>
        </row>
        <row r="68">
          <cell r="C68">
            <v>52224</v>
          </cell>
          <cell r="D68"/>
          <cell r="E68">
            <v>0</v>
          </cell>
          <cell r="F68">
            <v>6302934.6162694655</v>
          </cell>
          <cell r="H68">
            <v>0</v>
          </cell>
          <cell r="I68">
            <v>6302900</v>
          </cell>
          <cell r="J68">
            <v>25</v>
          </cell>
        </row>
        <row r="69">
          <cell r="C69">
            <v>10355</v>
          </cell>
          <cell r="D69">
            <v>236647.32132458856</v>
          </cell>
          <cell r="E69">
            <v>0</v>
          </cell>
          <cell r="F69">
            <v>7033036.4014108488</v>
          </cell>
          <cell r="H69">
            <v>0</v>
          </cell>
          <cell r="I69">
            <v>7033000</v>
          </cell>
          <cell r="J69">
            <v>27</v>
          </cell>
        </row>
        <row r="70">
          <cell r="C70">
            <v>52206</v>
          </cell>
          <cell r="D70"/>
          <cell r="E70">
            <v>0</v>
          </cell>
          <cell r="F70">
            <v>6845147.9596376074</v>
          </cell>
          <cell r="H70">
            <v>0</v>
          </cell>
          <cell r="I70">
            <v>6845100</v>
          </cell>
          <cell r="J70">
            <v>27</v>
          </cell>
        </row>
        <row r="71">
          <cell r="C71">
            <v>52205</v>
          </cell>
          <cell r="D71">
            <v>0</v>
          </cell>
          <cell r="E71">
            <v>0</v>
          </cell>
          <cell r="F71">
            <v>9762516.0061634332</v>
          </cell>
          <cell r="G71">
            <v>518595</v>
          </cell>
          <cell r="H71">
            <v>24700</v>
          </cell>
          <cell r="I71">
            <v>9219200</v>
          </cell>
          <cell r="J71">
            <v>27.5</v>
          </cell>
        </row>
        <row r="72">
          <cell r="C72">
            <v>51978</v>
          </cell>
          <cell r="D72">
            <v>202971.56148093395</v>
          </cell>
          <cell r="E72">
            <v>0</v>
          </cell>
          <cell r="F72">
            <v>5974092.4469674546</v>
          </cell>
          <cell r="G72">
            <v>518595</v>
          </cell>
          <cell r="H72">
            <v>24700</v>
          </cell>
          <cell r="I72">
            <v>5430800</v>
          </cell>
          <cell r="J72">
            <v>21</v>
          </cell>
        </row>
        <row r="73">
          <cell r="C73">
            <v>51264</v>
          </cell>
          <cell r="D73">
            <v>105720.69009401707</v>
          </cell>
          <cell r="E73">
            <v>0</v>
          </cell>
          <cell r="F73">
            <v>6813275.607780627</v>
          </cell>
          <cell r="G73">
            <v>518595</v>
          </cell>
          <cell r="H73">
            <v>24700</v>
          </cell>
          <cell r="I73">
            <v>6270000</v>
          </cell>
          <cell r="J73">
            <v>22.833333333333332</v>
          </cell>
        </row>
        <row r="74">
          <cell r="C74">
            <v>51589</v>
          </cell>
          <cell r="D74">
            <v>214947.50250953672</v>
          </cell>
          <cell r="E74">
            <v>-340000</v>
          </cell>
          <cell r="F74">
            <v>1970130.5026209624</v>
          </cell>
          <cell r="G74">
            <v>0</v>
          </cell>
          <cell r="H74">
            <v>24700</v>
          </cell>
          <cell r="I74">
            <v>1945400</v>
          </cell>
          <cell r="J74">
            <v>10</v>
          </cell>
        </row>
        <row r="75">
          <cell r="C75">
            <v>51968</v>
          </cell>
          <cell r="D75">
            <v>114959.48840823723</v>
          </cell>
          <cell r="E75">
            <v>0</v>
          </cell>
          <cell r="F75">
            <v>7811919.2274391055</v>
          </cell>
          <cell r="G75">
            <v>518595</v>
          </cell>
          <cell r="H75">
            <v>24700</v>
          </cell>
          <cell r="I75">
            <v>7268600</v>
          </cell>
          <cell r="J75">
            <v>25.697916666666668</v>
          </cell>
        </row>
        <row r="76">
          <cell r="C76">
            <v>52082</v>
          </cell>
          <cell r="D76">
            <v>247690.2825909399</v>
          </cell>
          <cell r="E76">
            <v>0</v>
          </cell>
          <cell r="F76">
            <v>6343555.8824622231</v>
          </cell>
          <cell r="G76">
            <v>518595</v>
          </cell>
          <cell r="H76">
            <v>24700</v>
          </cell>
          <cell r="I76">
            <v>5800300</v>
          </cell>
          <cell r="J76">
            <v>26</v>
          </cell>
        </row>
        <row r="77">
          <cell r="C77">
            <v>50203</v>
          </cell>
          <cell r="F77">
            <v>7918750</v>
          </cell>
          <cell r="H77">
            <v>24000</v>
          </cell>
          <cell r="I77">
            <v>7894800</v>
          </cell>
          <cell r="J77">
            <v>27</v>
          </cell>
        </row>
        <row r="78">
          <cell r="C78">
            <v>50205</v>
          </cell>
          <cell r="F78">
            <v>7364750</v>
          </cell>
          <cell r="H78">
            <v>24000</v>
          </cell>
          <cell r="I78">
            <v>7340800</v>
          </cell>
          <cell r="J78">
            <v>28</v>
          </cell>
        </row>
        <row r="79">
          <cell r="C79">
            <v>50309</v>
          </cell>
          <cell r="F79">
            <v>6864150</v>
          </cell>
          <cell r="G79">
            <v>495495</v>
          </cell>
          <cell r="H79">
            <v>24000</v>
          </cell>
          <cell r="I79">
            <v>6344700</v>
          </cell>
          <cell r="J79">
            <v>27</v>
          </cell>
        </row>
        <row r="80">
          <cell r="C80">
            <v>50375</v>
          </cell>
          <cell r="D80"/>
          <cell r="E80"/>
          <cell r="F80">
            <v>7364750</v>
          </cell>
          <cell r="G80">
            <v>495495</v>
          </cell>
          <cell r="H80">
            <v>24000</v>
          </cell>
          <cell r="I80">
            <v>6845300</v>
          </cell>
          <cell r="J80">
            <v>28</v>
          </cell>
        </row>
        <row r="81">
          <cell r="C81">
            <v>50468</v>
          </cell>
          <cell r="D81"/>
          <cell r="E81"/>
          <cell r="F81">
            <v>7434350</v>
          </cell>
          <cell r="G81">
            <v>495495</v>
          </cell>
          <cell r="H81">
            <v>24000</v>
          </cell>
          <cell r="I81">
            <v>6914900</v>
          </cell>
          <cell r="J81">
            <v>28</v>
          </cell>
        </row>
        <row r="82">
          <cell r="C82">
            <v>50736</v>
          </cell>
          <cell r="F82">
            <v>7205150</v>
          </cell>
          <cell r="G82">
            <v>495495</v>
          </cell>
          <cell r="H82">
            <v>24000</v>
          </cell>
          <cell r="I82">
            <v>6685700</v>
          </cell>
          <cell r="J82">
            <v>28</v>
          </cell>
        </row>
        <row r="83">
          <cell r="C83">
            <v>51641</v>
          </cell>
          <cell r="F83">
            <v>7258162.5</v>
          </cell>
          <cell r="G83">
            <v>495495</v>
          </cell>
          <cell r="H83">
            <v>24000</v>
          </cell>
          <cell r="I83">
            <v>6738700</v>
          </cell>
          <cell r="J83">
            <v>28</v>
          </cell>
        </row>
        <row r="84">
          <cell r="C84">
            <v>50417</v>
          </cell>
          <cell r="D84"/>
          <cell r="E84"/>
          <cell r="F84">
            <v>7916890.625</v>
          </cell>
          <cell r="G84">
            <v>495495</v>
          </cell>
          <cell r="H84">
            <v>24000</v>
          </cell>
          <cell r="I84">
            <v>7397400</v>
          </cell>
          <cell r="J84">
            <v>27</v>
          </cell>
        </row>
        <row r="85">
          <cell r="C85">
            <v>50659</v>
          </cell>
          <cell r="F85">
            <v>7206604.166666666</v>
          </cell>
          <cell r="G85">
            <v>495495</v>
          </cell>
          <cell r="H85">
            <v>24000</v>
          </cell>
          <cell r="I85">
            <v>6687100</v>
          </cell>
          <cell r="J85">
            <v>27</v>
          </cell>
        </row>
        <row r="86">
          <cell r="C86">
            <v>50902</v>
          </cell>
          <cell r="F86">
            <v>6837177.083333333</v>
          </cell>
          <cell r="G86">
            <v>495495</v>
          </cell>
          <cell r="H86">
            <v>24000</v>
          </cell>
          <cell r="I86">
            <v>6317700</v>
          </cell>
          <cell r="J86">
            <v>27</v>
          </cell>
        </row>
        <row r="87">
          <cell r="C87">
            <v>50903</v>
          </cell>
          <cell r="F87">
            <v>6702276.041666667</v>
          </cell>
          <cell r="G87">
            <v>495495</v>
          </cell>
          <cell r="H87">
            <v>24000</v>
          </cell>
          <cell r="I87">
            <v>6182800</v>
          </cell>
          <cell r="J87">
            <v>26</v>
          </cell>
        </row>
        <row r="88">
          <cell r="C88">
            <v>51896</v>
          </cell>
          <cell r="D88"/>
          <cell r="E88"/>
          <cell r="F88">
            <v>6387119.791666667</v>
          </cell>
          <cell r="G88">
            <v>495495</v>
          </cell>
          <cell r="H88">
            <v>24000</v>
          </cell>
          <cell r="I88">
            <v>5867600</v>
          </cell>
          <cell r="J88">
            <v>26</v>
          </cell>
        </row>
        <row r="89">
          <cell r="C89">
            <v>51644</v>
          </cell>
          <cell r="D89"/>
          <cell r="E89"/>
          <cell r="F89">
            <v>7166990.384615384</v>
          </cell>
          <cell r="G89">
            <v>518595</v>
          </cell>
          <cell r="H89">
            <v>24700</v>
          </cell>
          <cell r="I89">
            <v>6623700</v>
          </cell>
          <cell r="J89">
            <v>26.760416666666668</v>
          </cell>
        </row>
        <row r="90">
          <cell r="C90">
            <v>51702</v>
          </cell>
          <cell r="D90"/>
          <cell r="E90"/>
          <cell r="F90">
            <v>6640594.9519230751</v>
          </cell>
          <cell r="G90">
            <v>518595</v>
          </cell>
          <cell r="H90">
            <v>24700</v>
          </cell>
          <cell r="I90">
            <v>6097300</v>
          </cell>
          <cell r="J90">
            <v>24</v>
          </cell>
        </row>
        <row r="91">
          <cell r="C91">
            <v>52104</v>
          </cell>
          <cell r="F91">
            <v>6682774.0384615371</v>
          </cell>
          <cell r="G91">
            <v>518595</v>
          </cell>
          <cell r="H91">
            <v>24700</v>
          </cell>
          <cell r="I91">
            <v>6139500</v>
          </cell>
          <cell r="J91">
            <v>26.15625</v>
          </cell>
        </row>
        <row r="92">
          <cell r="C92">
            <v>50033</v>
          </cell>
          <cell r="D92">
            <v>0</v>
          </cell>
          <cell r="E92">
            <v>0</v>
          </cell>
          <cell r="F92">
            <v>9172558.8588950559</v>
          </cell>
          <cell r="G92">
            <v>518595</v>
          </cell>
          <cell r="H92">
            <v>24700</v>
          </cell>
          <cell r="I92">
            <v>8629300</v>
          </cell>
          <cell r="J92">
            <v>26</v>
          </cell>
        </row>
        <row r="93">
          <cell r="C93">
            <v>50039</v>
          </cell>
          <cell r="D93">
            <v>0</v>
          </cell>
          <cell r="E93">
            <v>0</v>
          </cell>
          <cell r="F93">
            <v>7032336.1564183813</v>
          </cell>
          <cell r="G93">
            <v>518595</v>
          </cell>
          <cell r="H93">
            <v>24700</v>
          </cell>
          <cell r="I93">
            <v>6489000</v>
          </cell>
          <cell r="J93">
            <v>21.5</v>
          </cell>
        </row>
        <row r="94">
          <cell r="C94">
            <v>50130</v>
          </cell>
          <cell r="D94">
            <v>0</v>
          </cell>
          <cell r="E94">
            <v>0</v>
          </cell>
          <cell r="F94">
            <v>7779563.2701951014</v>
          </cell>
          <cell r="G94">
            <v>518595</v>
          </cell>
          <cell r="H94">
            <v>24700</v>
          </cell>
          <cell r="I94">
            <v>7236300</v>
          </cell>
          <cell r="J94">
            <v>20.25</v>
          </cell>
        </row>
        <row r="95">
          <cell r="C95">
            <v>50185</v>
          </cell>
          <cell r="D95">
            <v>0</v>
          </cell>
          <cell r="E95">
            <v>0</v>
          </cell>
          <cell r="F95">
            <v>8112157.2688413346</v>
          </cell>
          <cell r="G95">
            <v>518595</v>
          </cell>
          <cell r="H95">
            <v>24700</v>
          </cell>
          <cell r="I95">
            <v>7568900</v>
          </cell>
          <cell r="J95">
            <v>26.912500000000001</v>
          </cell>
        </row>
        <row r="96">
          <cell r="C96">
            <v>50191</v>
          </cell>
          <cell r="D96">
            <v>0</v>
          </cell>
          <cell r="E96">
            <v>0</v>
          </cell>
          <cell r="F96">
            <v>8060171.727213853</v>
          </cell>
          <cell r="G96">
            <v>518595</v>
          </cell>
          <cell r="H96">
            <v>24700</v>
          </cell>
          <cell r="I96">
            <v>7516900</v>
          </cell>
          <cell r="J96">
            <v>27</v>
          </cell>
        </row>
        <row r="97">
          <cell r="C97">
            <v>50319</v>
          </cell>
          <cell r="D97">
            <v>0</v>
          </cell>
          <cell r="E97">
            <v>0</v>
          </cell>
          <cell r="F97">
            <v>7941449.5037801284</v>
          </cell>
          <cell r="G97">
            <v>518595</v>
          </cell>
          <cell r="H97">
            <v>24700</v>
          </cell>
          <cell r="I97">
            <v>7398200</v>
          </cell>
          <cell r="J97">
            <v>25.84375</v>
          </cell>
        </row>
        <row r="98">
          <cell r="C98">
            <v>50338</v>
          </cell>
          <cell r="D98">
            <v>0</v>
          </cell>
          <cell r="E98">
            <v>0</v>
          </cell>
          <cell r="F98">
            <v>8154753.8666168181</v>
          </cell>
          <cell r="G98">
            <v>518595</v>
          </cell>
          <cell r="H98">
            <v>24700</v>
          </cell>
          <cell r="I98">
            <v>7611500</v>
          </cell>
          <cell r="J98">
            <v>26.8125</v>
          </cell>
        </row>
        <row r="99">
          <cell r="C99">
            <v>50389</v>
          </cell>
          <cell r="D99">
            <v>0</v>
          </cell>
          <cell r="E99">
            <v>0</v>
          </cell>
          <cell r="F99">
            <v>9025628.9519214779</v>
          </cell>
          <cell r="G99">
            <v>518595</v>
          </cell>
          <cell r="H99">
            <v>24700</v>
          </cell>
          <cell r="I99">
            <v>8482300</v>
          </cell>
          <cell r="J99">
            <v>26.5</v>
          </cell>
        </row>
        <row r="100">
          <cell r="C100">
            <v>50423</v>
          </cell>
          <cell r="D100">
            <v>0</v>
          </cell>
          <cell r="E100">
            <v>0</v>
          </cell>
          <cell r="F100">
            <v>7633571.2026964882</v>
          </cell>
          <cell r="G100">
            <v>518595</v>
          </cell>
          <cell r="H100">
            <v>24700</v>
          </cell>
          <cell r="I100">
            <v>7090300</v>
          </cell>
          <cell r="J100">
            <v>24.697916666666668</v>
          </cell>
        </row>
        <row r="101">
          <cell r="C101">
            <v>50518</v>
          </cell>
          <cell r="D101">
            <v>0</v>
          </cell>
          <cell r="E101">
            <v>0</v>
          </cell>
          <cell r="F101">
            <v>8556558.6778462362</v>
          </cell>
          <cell r="G101">
            <v>518595</v>
          </cell>
          <cell r="H101">
            <v>24700</v>
          </cell>
          <cell r="I101">
            <v>8013300</v>
          </cell>
          <cell r="J101">
            <v>27</v>
          </cell>
        </row>
        <row r="102">
          <cell r="C102">
            <v>50793</v>
          </cell>
          <cell r="D102">
            <v>0</v>
          </cell>
          <cell r="E102">
            <v>0</v>
          </cell>
          <cell r="F102">
            <v>9352553.8183393702</v>
          </cell>
          <cell r="G102">
            <v>518595</v>
          </cell>
          <cell r="H102">
            <v>24700</v>
          </cell>
          <cell r="I102">
            <v>8809300</v>
          </cell>
          <cell r="J102">
            <v>27</v>
          </cell>
        </row>
        <row r="103">
          <cell r="C103">
            <v>50840</v>
          </cell>
          <cell r="D103">
            <v>0</v>
          </cell>
          <cell r="E103">
            <v>0</v>
          </cell>
          <cell r="F103">
            <v>7811758.659284221</v>
          </cell>
          <cell r="G103">
            <v>518595</v>
          </cell>
          <cell r="H103">
            <v>24700</v>
          </cell>
          <cell r="I103">
            <v>7268500</v>
          </cell>
          <cell r="J103">
            <v>26.489583333333332</v>
          </cell>
        </row>
        <row r="104">
          <cell r="C104">
            <v>50884</v>
          </cell>
          <cell r="D104">
            <v>0</v>
          </cell>
          <cell r="E104">
            <v>0</v>
          </cell>
          <cell r="F104">
            <v>8098227.7932409775</v>
          </cell>
          <cell r="G104">
            <v>518595</v>
          </cell>
          <cell r="H104">
            <v>24700</v>
          </cell>
          <cell r="I104">
            <v>7554900</v>
          </cell>
          <cell r="J104">
            <v>27</v>
          </cell>
        </row>
        <row r="105">
          <cell r="C105">
            <v>51377</v>
          </cell>
          <cell r="D105">
            <v>0</v>
          </cell>
          <cell r="E105">
            <v>0</v>
          </cell>
          <cell r="F105">
            <v>7936807.2619358562</v>
          </cell>
          <cell r="G105">
            <v>518595</v>
          </cell>
          <cell r="H105">
            <v>24700</v>
          </cell>
          <cell r="I105">
            <v>7393500</v>
          </cell>
          <cell r="J105">
            <v>27</v>
          </cell>
        </row>
        <row r="106">
          <cell r="C106">
            <v>51771</v>
          </cell>
          <cell r="D106">
            <v>0</v>
          </cell>
          <cell r="E106">
            <v>0</v>
          </cell>
          <cell r="F106">
            <v>9727211.7412139662</v>
          </cell>
          <cell r="G106">
            <v>518595</v>
          </cell>
          <cell r="H106">
            <v>24700</v>
          </cell>
          <cell r="I106">
            <v>9183900</v>
          </cell>
          <cell r="J106">
            <v>26.5</v>
          </cell>
        </row>
        <row r="107">
          <cell r="C107">
            <v>51795</v>
          </cell>
          <cell r="D107">
            <v>0</v>
          </cell>
          <cell r="E107">
            <v>0</v>
          </cell>
          <cell r="F107">
            <v>8050008.5967031131</v>
          </cell>
          <cell r="G107">
            <v>518595</v>
          </cell>
          <cell r="H107">
            <v>24700</v>
          </cell>
          <cell r="I107">
            <v>7506700</v>
          </cell>
          <cell r="J107">
            <v>27</v>
          </cell>
        </row>
        <row r="108">
          <cell r="C108">
            <v>51847</v>
          </cell>
          <cell r="D108">
            <v>0</v>
          </cell>
          <cell r="E108">
            <v>0</v>
          </cell>
          <cell r="F108">
            <v>8580946.2414404806</v>
          </cell>
          <cell r="G108">
            <v>518595</v>
          </cell>
          <cell r="H108">
            <v>24700</v>
          </cell>
          <cell r="I108">
            <v>8037700</v>
          </cell>
          <cell r="J108">
            <v>26.5</v>
          </cell>
        </row>
        <row r="109">
          <cell r="C109">
            <v>51871</v>
          </cell>
          <cell r="D109">
            <v>0</v>
          </cell>
          <cell r="E109">
            <v>0</v>
          </cell>
          <cell r="F109">
            <v>7929009.3422564333</v>
          </cell>
          <cell r="G109">
            <v>518595</v>
          </cell>
          <cell r="H109">
            <v>24700</v>
          </cell>
          <cell r="I109">
            <v>7385700</v>
          </cell>
          <cell r="J109">
            <v>27</v>
          </cell>
        </row>
        <row r="110">
          <cell r="C110">
            <v>51954</v>
          </cell>
          <cell r="D110">
            <v>0</v>
          </cell>
          <cell r="E110">
            <v>0</v>
          </cell>
          <cell r="F110">
            <v>7959616.1722362796</v>
          </cell>
          <cell r="G110">
            <v>518595</v>
          </cell>
          <cell r="H110">
            <v>24700</v>
          </cell>
          <cell r="I110">
            <v>7416300</v>
          </cell>
          <cell r="J110">
            <v>26.527083333333334</v>
          </cell>
        </row>
        <row r="111">
          <cell r="C111">
            <v>51995</v>
          </cell>
          <cell r="D111">
            <v>0</v>
          </cell>
          <cell r="E111">
            <v>0</v>
          </cell>
          <cell r="F111">
            <v>7872677.1275179107</v>
          </cell>
          <cell r="G111">
            <v>518595</v>
          </cell>
          <cell r="H111">
            <v>24700</v>
          </cell>
          <cell r="I111">
            <v>7329400</v>
          </cell>
          <cell r="J111">
            <v>27</v>
          </cell>
        </row>
        <row r="112">
          <cell r="C112">
            <v>52060</v>
          </cell>
          <cell r="D112">
            <v>251151.81468985527</v>
          </cell>
          <cell r="E112">
            <v>0</v>
          </cell>
          <cell r="F112">
            <v>6548932.4239859898</v>
          </cell>
          <cell r="G112">
            <v>518595</v>
          </cell>
          <cell r="H112">
            <v>24700</v>
          </cell>
          <cell r="I112">
            <v>6005600</v>
          </cell>
          <cell r="J112">
            <v>25.8125</v>
          </cell>
        </row>
        <row r="113">
          <cell r="C113">
            <v>52126</v>
          </cell>
          <cell r="D113">
            <v>0</v>
          </cell>
          <cell r="E113">
            <v>0</v>
          </cell>
          <cell r="F113">
            <v>11051479.616908144</v>
          </cell>
          <cell r="G113">
            <v>518595</v>
          </cell>
          <cell r="H113">
            <v>24700</v>
          </cell>
          <cell r="I113">
            <v>10508200</v>
          </cell>
          <cell r="J113">
            <v>26.572916666666668</v>
          </cell>
        </row>
        <row r="114">
          <cell r="C114">
            <v>52184</v>
          </cell>
          <cell r="D114">
            <v>283551.64059942297</v>
          </cell>
          <cell r="E114">
            <v>0</v>
          </cell>
          <cell r="F114">
            <v>5953262.7051604204</v>
          </cell>
          <cell r="G114">
            <v>518595</v>
          </cell>
          <cell r="H114">
            <v>24700</v>
          </cell>
          <cell r="I114">
            <v>5410000</v>
          </cell>
          <cell r="J114">
            <v>24.947916666666668</v>
          </cell>
        </row>
        <row r="115">
          <cell r="C115">
            <v>52190</v>
          </cell>
          <cell r="D115">
            <v>101710.29257106478</v>
          </cell>
          <cell r="E115">
            <v>0</v>
          </cell>
          <cell r="F115">
            <v>5996549.8947227029</v>
          </cell>
          <cell r="G115">
            <v>518595</v>
          </cell>
          <cell r="H115">
            <v>24700</v>
          </cell>
          <cell r="I115">
            <v>5453300</v>
          </cell>
          <cell r="J115">
            <v>24</v>
          </cell>
        </row>
        <row r="116">
          <cell r="C116">
            <v>10342</v>
          </cell>
          <cell r="D116">
            <v>0</v>
          </cell>
          <cell r="E116">
            <v>0</v>
          </cell>
          <cell r="F116">
            <v>5756164.3417897476</v>
          </cell>
          <cell r="G116"/>
          <cell r="H116">
            <v>0</v>
          </cell>
          <cell r="I116">
            <v>5756200</v>
          </cell>
          <cell r="J116">
            <v>24.5</v>
          </cell>
        </row>
        <row r="117">
          <cell r="C117">
            <v>50386</v>
          </cell>
          <cell r="D117">
            <v>158941.99353972831</v>
          </cell>
          <cell r="E117">
            <v>0</v>
          </cell>
          <cell r="F117">
            <v>3699143.1374446633</v>
          </cell>
          <cell r="G117">
            <v>518595</v>
          </cell>
          <cell r="H117">
            <v>24700</v>
          </cell>
          <cell r="I117">
            <v>3155800</v>
          </cell>
          <cell r="J117">
            <v>14</v>
          </cell>
        </row>
        <row r="118">
          <cell r="C118">
            <v>50001</v>
          </cell>
          <cell r="F118">
            <v>14069964.042735042</v>
          </cell>
          <cell r="G118">
            <v>657510</v>
          </cell>
          <cell r="H118">
            <v>31000</v>
          </cell>
          <cell r="I118">
            <v>13381500</v>
          </cell>
          <cell r="J118">
            <v>26</v>
          </cell>
        </row>
        <row r="119">
          <cell r="C119">
            <v>80137</v>
          </cell>
          <cell r="D119"/>
          <cell r="E119"/>
          <cell r="F119">
            <v>14164311.965811964</v>
          </cell>
          <cell r="G119">
            <v>588105</v>
          </cell>
          <cell r="H119">
            <v>28000</v>
          </cell>
          <cell r="I119">
            <v>13548200</v>
          </cell>
          <cell r="J119">
            <v>26</v>
          </cell>
        </row>
        <row r="120">
          <cell r="C120">
            <v>50254</v>
          </cell>
          <cell r="F120">
            <v>13107222.222222222</v>
          </cell>
          <cell r="G120">
            <v>541800</v>
          </cell>
          <cell r="H120">
            <v>26000</v>
          </cell>
          <cell r="I120">
            <v>12539400</v>
          </cell>
          <cell r="J120">
            <v>26.75</v>
          </cell>
        </row>
        <row r="121">
          <cell r="C121">
            <v>50286</v>
          </cell>
          <cell r="F121">
            <v>11360000</v>
          </cell>
          <cell r="G121">
            <v>541800</v>
          </cell>
          <cell r="H121">
            <v>26000</v>
          </cell>
          <cell r="I121">
            <v>10792200</v>
          </cell>
          <cell r="J121">
            <v>27</v>
          </cell>
        </row>
        <row r="122">
          <cell r="C122">
            <v>50587</v>
          </cell>
          <cell r="F122">
            <v>12380000</v>
          </cell>
          <cell r="G122">
            <v>541800</v>
          </cell>
          <cell r="H122">
            <v>26000</v>
          </cell>
          <cell r="I122">
            <v>11812200</v>
          </cell>
          <cell r="J122">
            <v>27</v>
          </cell>
        </row>
        <row r="123">
          <cell r="C123">
            <v>82238</v>
          </cell>
          <cell r="D123"/>
          <cell r="E123"/>
          <cell r="F123">
            <v>12643846.153846154</v>
          </cell>
          <cell r="G123">
            <v>564900</v>
          </cell>
          <cell r="H123">
            <v>27000</v>
          </cell>
          <cell r="I123">
            <v>12051900</v>
          </cell>
          <cell r="J123">
            <v>25</v>
          </cell>
        </row>
        <row r="124">
          <cell r="C124">
            <v>80665</v>
          </cell>
          <cell r="F124">
            <v>12653675.213675214</v>
          </cell>
          <cell r="G124">
            <v>541800</v>
          </cell>
          <cell r="H124">
            <v>26000</v>
          </cell>
          <cell r="I124">
            <v>12085900</v>
          </cell>
          <cell r="J124">
            <v>26.5</v>
          </cell>
        </row>
        <row r="125">
          <cell r="C125">
            <v>82450</v>
          </cell>
          <cell r="D125"/>
          <cell r="E125"/>
          <cell r="F125">
            <v>11800000</v>
          </cell>
          <cell r="G125">
            <v>541800</v>
          </cell>
          <cell r="H125">
            <v>26000</v>
          </cell>
          <cell r="I125">
            <v>11232200</v>
          </cell>
          <cell r="J125">
            <v>27</v>
          </cell>
        </row>
        <row r="126">
          <cell r="C126">
            <v>80089</v>
          </cell>
          <cell r="F126">
            <v>12210000</v>
          </cell>
          <cell r="G126">
            <v>541800</v>
          </cell>
          <cell r="H126">
            <v>26000</v>
          </cell>
          <cell r="I126">
            <v>11642200</v>
          </cell>
          <cell r="J126">
            <v>27</v>
          </cell>
        </row>
        <row r="127">
          <cell r="C127">
            <v>51868</v>
          </cell>
          <cell r="D127"/>
          <cell r="E127"/>
          <cell r="F127">
            <v>12470000</v>
          </cell>
          <cell r="G127">
            <v>541800</v>
          </cell>
          <cell r="H127">
            <v>26000</v>
          </cell>
          <cell r="I127">
            <v>11902200</v>
          </cell>
          <cell r="J127">
            <v>27</v>
          </cell>
        </row>
        <row r="128">
          <cell r="C128">
            <v>50524</v>
          </cell>
          <cell r="D128"/>
          <cell r="E128"/>
          <cell r="F128">
            <v>6721656.25</v>
          </cell>
          <cell r="G128">
            <v>495495</v>
          </cell>
          <cell r="H128">
            <v>24000</v>
          </cell>
          <cell r="I128">
            <v>6202200</v>
          </cell>
          <cell r="J128">
            <v>27</v>
          </cell>
        </row>
        <row r="129">
          <cell r="C129">
            <v>51479</v>
          </cell>
          <cell r="F129">
            <v>6376833.333333333</v>
          </cell>
          <cell r="G129">
            <v>495495</v>
          </cell>
          <cell r="H129">
            <v>24000</v>
          </cell>
          <cell r="I129">
            <v>5857300</v>
          </cell>
          <cell r="J129">
            <v>26.5</v>
          </cell>
        </row>
        <row r="130">
          <cell r="C130">
            <v>51495</v>
          </cell>
          <cell r="D130"/>
          <cell r="E130"/>
          <cell r="F130">
            <v>6448552.083333333</v>
          </cell>
          <cell r="G130">
            <v>495495</v>
          </cell>
          <cell r="H130">
            <v>24000</v>
          </cell>
          <cell r="I130">
            <v>5929100</v>
          </cell>
          <cell r="J130">
            <v>27</v>
          </cell>
        </row>
        <row r="131">
          <cell r="C131">
            <v>50041</v>
          </cell>
          <cell r="D131"/>
          <cell r="E131"/>
          <cell r="F131">
            <v>8002280.2274800641</v>
          </cell>
          <cell r="G131">
            <v>518595</v>
          </cell>
          <cell r="H131">
            <v>24700</v>
          </cell>
          <cell r="I131">
            <v>7459000</v>
          </cell>
          <cell r="J131">
            <v>24</v>
          </cell>
        </row>
        <row r="132">
          <cell r="C132">
            <v>50842</v>
          </cell>
          <cell r="D132"/>
          <cell r="E132"/>
          <cell r="F132">
            <v>9016576.3099699356</v>
          </cell>
          <cell r="G132">
            <v>518595</v>
          </cell>
          <cell r="H132">
            <v>24700</v>
          </cell>
          <cell r="I132">
            <v>8473300</v>
          </cell>
          <cell r="J132">
            <v>26.760416666666668</v>
          </cell>
        </row>
        <row r="133">
          <cell r="C133">
            <v>50868</v>
          </cell>
          <cell r="D133"/>
          <cell r="E133"/>
          <cell r="F133">
            <v>9529297.9884359613</v>
          </cell>
          <cell r="G133">
            <v>518595</v>
          </cell>
          <cell r="H133">
            <v>24700</v>
          </cell>
          <cell r="I133">
            <v>8986000</v>
          </cell>
          <cell r="J133">
            <v>27.5</v>
          </cell>
        </row>
        <row r="134">
          <cell r="C134">
            <v>51274</v>
          </cell>
          <cell r="D134"/>
          <cell r="E134"/>
          <cell r="F134">
            <v>6250813.7330840454</v>
          </cell>
          <cell r="G134">
            <v>518595</v>
          </cell>
          <cell r="H134">
            <v>24700</v>
          </cell>
          <cell r="I134">
            <v>5707500</v>
          </cell>
          <cell r="J134">
            <v>21.770833333333332</v>
          </cell>
        </row>
        <row r="135">
          <cell r="C135">
            <v>51491</v>
          </cell>
          <cell r="D135"/>
          <cell r="E135"/>
          <cell r="F135">
            <v>8763213.4521266632</v>
          </cell>
          <cell r="G135">
            <v>518595</v>
          </cell>
          <cell r="H135">
            <v>24700</v>
          </cell>
          <cell r="I135">
            <v>8219900</v>
          </cell>
          <cell r="J135">
            <v>26</v>
          </cell>
        </row>
        <row r="136">
          <cell r="C136">
            <v>51759</v>
          </cell>
          <cell r="D136"/>
          <cell r="E136"/>
          <cell r="F136">
            <v>10033857.658580458</v>
          </cell>
          <cell r="G136">
            <v>518595</v>
          </cell>
          <cell r="H136">
            <v>24700</v>
          </cell>
          <cell r="I136">
            <v>9490600</v>
          </cell>
          <cell r="J136">
            <v>27</v>
          </cell>
        </row>
        <row r="137">
          <cell r="C137">
            <v>51760</v>
          </cell>
          <cell r="D137"/>
          <cell r="E137"/>
          <cell r="F137">
            <v>8244600.991759941</v>
          </cell>
          <cell r="G137">
            <v>518595</v>
          </cell>
          <cell r="H137">
            <v>24700</v>
          </cell>
          <cell r="I137">
            <v>7701300</v>
          </cell>
          <cell r="J137">
            <v>24.854166666666668</v>
          </cell>
        </row>
        <row r="138">
          <cell r="C138">
            <v>50813</v>
          </cell>
          <cell r="D138"/>
          <cell r="E138"/>
          <cell r="F138">
            <v>7850923.076923077</v>
          </cell>
          <cell r="G138">
            <v>495495</v>
          </cell>
          <cell r="H138">
            <v>24000</v>
          </cell>
          <cell r="I138">
            <v>7331400</v>
          </cell>
          <cell r="J138">
            <v>27</v>
          </cell>
        </row>
        <row r="139">
          <cell r="C139">
            <v>50023</v>
          </cell>
          <cell r="D139">
            <v>0</v>
          </cell>
          <cell r="E139">
            <v>0</v>
          </cell>
          <cell r="F139">
            <v>10533115.292464945</v>
          </cell>
          <cell r="G139">
            <v>518595</v>
          </cell>
          <cell r="H139">
            <v>25000</v>
          </cell>
          <cell r="I139">
            <v>9989500</v>
          </cell>
          <cell r="J139">
            <v>27.5</v>
          </cell>
        </row>
        <row r="140">
          <cell r="C140">
            <v>50268</v>
          </cell>
          <cell r="D140">
            <v>0</v>
          </cell>
          <cell r="E140">
            <v>0</v>
          </cell>
          <cell r="F140">
            <v>8392194.1426212415</v>
          </cell>
          <cell r="G140">
            <v>518595</v>
          </cell>
          <cell r="H140">
            <v>24700</v>
          </cell>
          <cell r="I140">
            <v>7848900</v>
          </cell>
          <cell r="J140">
            <v>23</v>
          </cell>
        </row>
        <row r="141">
          <cell r="C141">
            <v>50741</v>
          </cell>
          <cell r="D141">
            <v>0</v>
          </cell>
          <cell r="E141">
            <v>-646000</v>
          </cell>
          <cell r="F141">
            <v>5505055.0573563436</v>
          </cell>
          <cell r="G141">
            <v>518595</v>
          </cell>
          <cell r="H141">
            <v>24700</v>
          </cell>
          <cell r="I141">
            <v>4961800</v>
          </cell>
          <cell r="J141">
            <v>19</v>
          </cell>
        </row>
        <row r="142">
          <cell r="C142">
            <v>50760</v>
          </cell>
          <cell r="D142">
            <v>0</v>
          </cell>
          <cell r="E142">
            <v>0</v>
          </cell>
          <cell r="F142">
            <v>9805077.9734146893</v>
          </cell>
          <cell r="G142">
            <v>518595</v>
          </cell>
          <cell r="H142">
            <v>24700</v>
          </cell>
          <cell r="I142">
            <v>9261800</v>
          </cell>
          <cell r="J142">
            <v>27.5</v>
          </cell>
        </row>
        <row r="143">
          <cell r="C143">
            <v>50808</v>
          </cell>
          <cell r="D143">
            <v>0</v>
          </cell>
          <cell r="E143">
            <v>0</v>
          </cell>
          <cell r="F143">
            <v>9591303.9956217203</v>
          </cell>
          <cell r="G143">
            <v>518595</v>
          </cell>
          <cell r="H143">
            <v>24700</v>
          </cell>
          <cell r="I143">
            <v>9048000</v>
          </cell>
          <cell r="J143">
            <v>27.5</v>
          </cell>
        </row>
        <row r="144">
          <cell r="C144">
            <v>50866</v>
          </cell>
          <cell r="D144">
            <v>0</v>
          </cell>
          <cell r="E144">
            <v>0</v>
          </cell>
          <cell r="F144">
            <v>11438361.991472723</v>
          </cell>
          <cell r="G144">
            <v>541800</v>
          </cell>
          <cell r="H144">
            <v>24700</v>
          </cell>
          <cell r="I144">
            <v>10871900</v>
          </cell>
          <cell r="J144">
            <v>27.375</v>
          </cell>
        </row>
        <row r="145">
          <cell r="C145">
            <v>50921</v>
          </cell>
          <cell r="D145">
            <v>0</v>
          </cell>
          <cell r="E145">
            <v>0</v>
          </cell>
          <cell r="F145">
            <v>8377085.4028074984</v>
          </cell>
          <cell r="G145">
            <v>518595</v>
          </cell>
          <cell r="H145">
            <v>24700</v>
          </cell>
          <cell r="I145">
            <v>7833800</v>
          </cell>
          <cell r="J145">
            <v>25.729166666666668</v>
          </cell>
        </row>
        <row r="146">
          <cell r="C146">
            <v>51580</v>
          </cell>
          <cell r="D146">
            <v>0</v>
          </cell>
          <cell r="E146">
            <v>0</v>
          </cell>
          <cell r="F146">
            <v>10558138.43654957</v>
          </cell>
          <cell r="G146">
            <v>518595</v>
          </cell>
          <cell r="H146">
            <v>24700</v>
          </cell>
          <cell r="I146">
            <v>10014800</v>
          </cell>
          <cell r="J146">
            <v>26.5</v>
          </cell>
        </row>
        <row r="147">
          <cell r="C147">
            <v>51636</v>
          </cell>
          <cell r="D147">
            <v>0</v>
          </cell>
          <cell r="E147">
            <v>0</v>
          </cell>
          <cell r="F147">
            <v>9559838.3059585113</v>
          </cell>
          <cell r="G147">
            <v>518595</v>
          </cell>
          <cell r="H147">
            <v>24700</v>
          </cell>
          <cell r="I147">
            <v>9016500</v>
          </cell>
          <cell r="J147">
            <v>26.625</v>
          </cell>
        </row>
        <row r="148">
          <cell r="C148">
            <v>51972</v>
          </cell>
          <cell r="D148">
            <v>0</v>
          </cell>
          <cell r="E148">
            <v>0</v>
          </cell>
          <cell r="F148">
            <v>8596321.0981790572</v>
          </cell>
          <cell r="G148">
            <v>518595</v>
          </cell>
          <cell r="H148">
            <v>24700</v>
          </cell>
          <cell r="I148">
            <v>8053000</v>
          </cell>
          <cell r="J148">
            <v>25</v>
          </cell>
        </row>
        <row r="149">
          <cell r="C149">
            <v>52027</v>
          </cell>
          <cell r="D149">
            <v>99058.898178833275</v>
          </cell>
          <cell r="E149">
            <v>0</v>
          </cell>
          <cell r="F149">
            <v>7592474.1104848674</v>
          </cell>
          <cell r="G149">
            <v>518595</v>
          </cell>
          <cell r="H149">
            <v>24700</v>
          </cell>
          <cell r="I149">
            <v>7049200</v>
          </cell>
          <cell r="J149">
            <v>27</v>
          </cell>
        </row>
        <row r="150">
          <cell r="C150">
            <v>52115</v>
          </cell>
          <cell r="D150">
            <v>0</v>
          </cell>
          <cell r="E150">
            <v>0</v>
          </cell>
          <cell r="F150">
            <v>8666501.2346174717</v>
          </cell>
          <cell r="G150">
            <v>518595</v>
          </cell>
          <cell r="H150">
            <v>24700</v>
          </cell>
          <cell r="I150">
            <v>8123200</v>
          </cell>
          <cell r="J150">
            <v>26.5</v>
          </cell>
        </row>
        <row r="151">
          <cell r="C151">
            <v>50071</v>
          </cell>
          <cell r="D151">
            <v>0</v>
          </cell>
          <cell r="E151">
            <v>0</v>
          </cell>
          <cell r="F151">
            <v>8070006.1693100082</v>
          </cell>
          <cell r="G151">
            <v>518595</v>
          </cell>
          <cell r="H151">
            <v>24700</v>
          </cell>
          <cell r="I151">
            <v>7526700</v>
          </cell>
          <cell r="J151">
            <v>26.5</v>
          </cell>
        </row>
        <row r="152">
          <cell r="C152">
            <v>50147</v>
          </cell>
          <cell r="D152">
            <v>177572.79153557567</v>
          </cell>
          <cell r="E152">
            <v>0</v>
          </cell>
          <cell r="F152">
            <v>6289543.1366112214</v>
          </cell>
          <cell r="G152">
            <v>518595</v>
          </cell>
          <cell r="H152">
            <v>24700</v>
          </cell>
          <cell r="I152">
            <v>5746200</v>
          </cell>
          <cell r="J152">
            <v>25.5</v>
          </cell>
        </row>
        <row r="153">
          <cell r="C153">
            <v>50366</v>
          </cell>
          <cell r="D153">
            <v>232953.6177137919</v>
          </cell>
          <cell r="E153">
            <v>0</v>
          </cell>
          <cell r="F153">
            <v>6719406.4545509312</v>
          </cell>
          <cell r="G153">
            <v>518595</v>
          </cell>
          <cell r="H153">
            <v>24700</v>
          </cell>
          <cell r="I153">
            <v>6176100</v>
          </cell>
          <cell r="J153">
            <v>27</v>
          </cell>
        </row>
        <row r="154">
          <cell r="C154">
            <v>50377</v>
          </cell>
          <cell r="D154">
            <v>0</v>
          </cell>
          <cell r="E154">
            <v>0</v>
          </cell>
          <cell r="F154">
            <v>7942185.9511676123</v>
          </cell>
          <cell r="G154">
            <v>518595</v>
          </cell>
          <cell r="H154">
            <v>24700</v>
          </cell>
          <cell r="I154">
            <v>7398900</v>
          </cell>
          <cell r="J154">
            <v>25.75</v>
          </cell>
        </row>
        <row r="155">
          <cell r="C155">
            <v>50380</v>
          </cell>
          <cell r="D155">
            <v>0</v>
          </cell>
          <cell r="E155">
            <v>0</v>
          </cell>
          <cell r="F155">
            <v>8242321.0803826591</v>
          </cell>
          <cell r="G155">
            <v>518595</v>
          </cell>
          <cell r="H155">
            <v>24700</v>
          </cell>
          <cell r="I155">
            <v>7699000</v>
          </cell>
          <cell r="J155">
            <v>25.516666666666666</v>
          </cell>
        </row>
        <row r="156">
          <cell r="C156">
            <v>50978</v>
          </cell>
          <cell r="D156">
            <v>0</v>
          </cell>
          <cell r="E156">
            <v>0</v>
          </cell>
          <cell r="F156">
            <v>2946894.4878769154</v>
          </cell>
          <cell r="G156">
            <v>0</v>
          </cell>
          <cell r="H156">
            <v>24700</v>
          </cell>
          <cell r="I156">
            <v>2922200</v>
          </cell>
          <cell r="J156">
            <v>11.375</v>
          </cell>
        </row>
        <row r="157">
          <cell r="C157">
            <v>51049</v>
          </cell>
          <cell r="D157">
            <v>0</v>
          </cell>
          <cell r="E157">
            <v>0</v>
          </cell>
          <cell r="F157">
            <v>8575891.0667768531</v>
          </cell>
          <cell r="G157">
            <v>518595</v>
          </cell>
          <cell r="H157">
            <v>24700</v>
          </cell>
          <cell r="I157">
            <v>8032600</v>
          </cell>
          <cell r="J157">
            <v>27</v>
          </cell>
        </row>
        <row r="158">
          <cell r="C158">
            <v>51076</v>
          </cell>
          <cell r="D158">
            <v>258793.3506276175</v>
          </cell>
          <cell r="E158">
            <v>0</v>
          </cell>
          <cell r="F158">
            <v>6390808.4222980598</v>
          </cell>
          <cell r="G158">
            <v>518595</v>
          </cell>
          <cell r="H158">
            <v>24700</v>
          </cell>
          <cell r="I158">
            <v>5847500</v>
          </cell>
          <cell r="J158">
            <v>26.479166666666668</v>
          </cell>
        </row>
        <row r="159">
          <cell r="C159">
            <v>51085</v>
          </cell>
          <cell r="D159">
            <v>168537.84201956235</v>
          </cell>
          <cell r="E159">
            <v>0</v>
          </cell>
          <cell r="F159">
            <v>6721596.5337703722</v>
          </cell>
          <cell r="G159">
            <v>518595</v>
          </cell>
          <cell r="H159">
            <v>24700</v>
          </cell>
          <cell r="I159">
            <v>6178300</v>
          </cell>
          <cell r="J159">
            <v>26.5</v>
          </cell>
        </row>
        <row r="160">
          <cell r="C160">
            <v>51104</v>
          </cell>
          <cell r="D160">
            <v>0</v>
          </cell>
          <cell r="E160">
            <v>0</v>
          </cell>
          <cell r="F160">
            <v>8259161.3004411375</v>
          </cell>
          <cell r="G160">
            <v>518595</v>
          </cell>
          <cell r="H160">
            <v>24700</v>
          </cell>
          <cell r="I160">
            <v>7715900</v>
          </cell>
          <cell r="J160">
            <v>26</v>
          </cell>
        </row>
        <row r="161">
          <cell r="C161">
            <v>51569</v>
          </cell>
          <cell r="D161">
            <v>91118.96284211264</v>
          </cell>
          <cell r="E161">
            <v>0</v>
          </cell>
          <cell r="F161">
            <v>7504706.3326275079</v>
          </cell>
          <cell r="G161">
            <v>518595</v>
          </cell>
          <cell r="H161">
            <v>24700</v>
          </cell>
          <cell r="I161">
            <v>6961400</v>
          </cell>
          <cell r="J161">
            <v>27</v>
          </cell>
        </row>
        <row r="162">
          <cell r="C162">
            <v>51601</v>
          </cell>
          <cell r="D162">
            <v>108916.85148236484</v>
          </cell>
          <cell r="E162">
            <v>0</v>
          </cell>
          <cell r="F162">
            <v>6708031.5844417941</v>
          </cell>
          <cell r="G162">
            <v>518595</v>
          </cell>
          <cell r="H162">
            <v>24700</v>
          </cell>
          <cell r="I162">
            <v>6164700</v>
          </cell>
          <cell r="J162">
            <v>26</v>
          </cell>
        </row>
        <row r="163">
          <cell r="C163">
            <v>51639</v>
          </cell>
          <cell r="D163">
            <v>390545.20829288737</v>
          </cell>
          <cell r="E163">
            <v>0</v>
          </cell>
          <cell r="F163">
            <v>6265082.5241598003</v>
          </cell>
          <cell r="G163">
            <v>518595</v>
          </cell>
          <cell r="H163">
            <v>24700</v>
          </cell>
          <cell r="I163">
            <v>5721800</v>
          </cell>
          <cell r="J163">
            <v>27</v>
          </cell>
        </row>
        <row r="164">
          <cell r="C164">
            <v>51709</v>
          </cell>
          <cell r="D164">
            <v>286733.76871046639</v>
          </cell>
          <cell r="E164">
            <v>0</v>
          </cell>
          <cell r="F164">
            <v>6228248.2569027878</v>
          </cell>
          <cell r="G164">
            <v>518595</v>
          </cell>
          <cell r="H164">
            <v>24700</v>
          </cell>
          <cell r="I164">
            <v>5685000</v>
          </cell>
          <cell r="J164">
            <v>26.3125</v>
          </cell>
        </row>
        <row r="165">
          <cell r="C165">
            <v>51728</v>
          </cell>
          <cell r="D165">
            <v>268167.53915308858</v>
          </cell>
          <cell r="E165">
            <v>0</v>
          </cell>
          <cell r="F165">
            <v>6100139.4973911615</v>
          </cell>
          <cell r="G165">
            <v>518595</v>
          </cell>
          <cell r="H165">
            <v>24700</v>
          </cell>
          <cell r="I165">
            <v>5556800</v>
          </cell>
          <cell r="J165">
            <v>26</v>
          </cell>
        </row>
        <row r="166">
          <cell r="C166">
            <v>51732</v>
          </cell>
          <cell r="D166">
            <v>364729.41570512822</v>
          </cell>
          <cell r="E166">
            <v>0</v>
          </cell>
          <cell r="F166">
            <v>5859810.6075854711</v>
          </cell>
          <cell r="G166">
            <v>518595</v>
          </cell>
          <cell r="H166">
            <v>24700</v>
          </cell>
          <cell r="I166">
            <v>5316500</v>
          </cell>
          <cell r="J166">
            <v>25</v>
          </cell>
        </row>
        <row r="167">
          <cell r="C167">
            <v>51979</v>
          </cell>
          <cell r="D167">
            <v>396213.31754396926</v>
          </cell>
          <cell r="E167">
            <v>0</v>
          </cell>
          <cell r="F167">
            <v>5551613.8662783485</v>
          </cell>
          <cell r="G167">
            <v>518595</v>
          </cell>
          <cell r="H167">
            <v>24700</v>
          </cell>
          <cell r="I167">
            <v>5008300</v>
          </cell>
          <cell r="J167">
            <v>25.5</v>
          </cell>
        </row>
        <row r="168">
          <cell r="C168">
            <v>51114</v>
          </cell>
          <cell r="D168">
            <v>88328.539707385033</v>
          </cell>
          <cell r="E168">
            <v>0</v>
          </cell>
          <cell r="F168">
            <v>3863559.813570152</v>
          </cell>
          <cell r="G168">
            <v>518595</v>
          </cell>
          <cell r="H168">
            <v>24700</v>
          </cell>
          <cell r="I168">
            <v>3320300</v>
          </cell>
          <cell r="J168">
            <v>16</v>
          </cell>
        </row>
        <row r="169">
          <cell r="C169">
            <v>50658</v>
          </cell>
          <cell r="D169"/>
          <cell r="E169">
            <v>0</v>
          </cell>
          <cell r="F169">
            <v>10525978.201923076</v>
          </cell>
          <cell r="G169">
            <v>518595</v>
          </cell>
          <cell r="H169">
            <v>25000</v>
          </cell>
          <cell r="I169">
            <v>9982400</v>
          </cell>
          <cell r="J169">
            <v>29</v>
          </cell>
        </row>
        <row r="170">
          <cell r="C170">
            <v>50761</v>
          </cell>
          <cell r="E170">
            <v>0</v>
          </cell>
          <cell r="F170">
            <v>11508974.913461538</v>
          </cell>
          <cell r="G170">
            <v>518595</v>
          </cell>
          <cell r="H170">
            <v>24700</v>
          </cell>
          <cell r="I170">
            <v>10965700</v>
          </cell>
          <cell r="J170">
            <v>27</v>
          </cell>
        </row>
        <row r="171">
          <cell r="C171">
            <v>51342</v>
          </cell>
          <cell r="D171"/>
          <cell r="E171">
            <v>0</v>
          </cell>
          <cell r="F171">
            <v>13157258.298076922</v>
          </cell>
          <cell r="G171">
            <v>518595</v>
          </cell>
          <cell r="H171">
            <v>24700</v>
          </cell>
          <cell r="I171">
            <v>12614000</v>
          </cell>
          <cell r="J171">
            <v>29</v>
          </cell>
        </row>
        <row r="172">
          <cell r="C172">
            <v>51421</v>
          </cell>
          <cell r="E172">
            <v>0</v>
          </cell>
          <cell r="F172">
            <v>10593754.355769232</v>
          </cell>
          <cell r="G172">
            <v>518595</v>
          </cell>
          <cell r="H172">
            <v>24700</v>
          </cell>
          <cell r="I172">
            <v>10050500</v>
          </cell>
          <cell r="J172">
            <v>29</v>
          </cell>
        </row>
        <row r="173">
          <cell r="C173">
            <v>51685</v>
          </cell>
          <cell r="D173"/>
          <cell r="E173">
            <v>0</v>
          </cell>
          <cell r="F173">
            <v>10616933.815883191</v>
          </cell>
          <cell r="G173">
            <v>518595</v>
          </cell>
          <cell r="H173">
            <v>24700</v>
          </cell>
          <cell r="I173">
            <v>10073600</v>
          </cell>
          <cell r="J173">
            <v>26.9375</v>
          </cell>
        </row>
        <row r="174">
          <cell r="C174">
            <v>51698</v>
          </cell>
          <cell r="E174">
            <v>0</v>
          </cell>
          <cell r="F174">
            <v>7815065.3294159546</v>
          </cell>
          <cell r="G174">
            <v>518595</v>
          </cell>
          <cell r="H174">
            <v>24700</v>
          </cell>
          <cell r="I174">
            <v>7271800</v>
          </cell>
          <cell r="J174">
            <v>25</v>
          </cell>
        </row>
        <row r="175">
          <cell r="C175">
            <v>51763</v>
          </cell>
          <cell r="D175"/>
          <cell r="E175">
            <v>0</v>
          </cell>
          <cell r="F175">
            <v>8067341.230769231</v>
          </cell>
          <cell r="G175">
            <v>518595</v>
          </cell>
          <cell r="H175">
            <v>24700</v>
          </cell>
          <cell r="I175">
            <v>7524000</v>
          </cell>
          <cell r="J175">
            <v>27</v>
          </cell>
        </row>
        <row r="176">
          <cell r="C176">
            <v>51764</v>
          </cell>
          <cell r="D176"/>
          <cell r="E176">
            <v>0</v>
          </cell>
          <cell r="F176">
            <v>7759603.538461539</v>
          </cell>
          <cell r="G176">
            <v>518595</v>
          </cell>
          <cell r="H176">
            <v>24700</v>
          </cell>
          <cell r="I176">
            <v>7216300</v>
          </cell>
          <cell r="J176">
            <v>27</v>
          </cell>
        </row>
        <row r="177">
          <cell r="C177">
            <v>51846</v>
          </cell>
          <cell r="E177">
            <v>0</v>
          </cell>
          <cell r="F177">
            <v>7550569.1691595437</v>
          </cell>
          <cell r="G177">
            <v>518595</v>
          </cell>
          <cell r="H177">
            <v>24700</v>
          </cell>
          <cell r="I177">
            <v>7007300</v>
          </cell>
          <cell r="J177">
            <v>20.5</v>
          </cell>
        </row>
        <row r="178">
          <cell r="C178">
            <v>51930</v>
          </cell>
          <cell r="D178"/>
          <cell r="E178">
            <v>0</v>
          </cell>
          <cell r="F178">
            <v>10694034.403846156</v>
          </cell>
          <cell r="G178">
            <v>518595</v>
          </cell>
          <cell r="H178">
            <v>24700</v>
          </cell>
          <cell r="I178">
            <v>10150700</v>
          </cell>
          <cell r="J178">
            <v>29</v>
          </cell>
        </row>
        <row r="179">
          <cell r="C179">
            <v>51947</v>
          </cell>
          <cell r="E179">
            <v>0</v>
          </cell>
          <cell r="F179">
            <v>10745798.711538462</v>
          </cell>
          <cell r="G179">
            <v>518595</v>
          </cell>
          <cell r="H179">
            <v>24700</v>
          </cell>
          <cell r="I179">
            <v>10202500</v>
          </cell>
          <cell r="J179">
            <v>27</v>
          </cell>
        </row>
        <row r="180">
          <cell r="C180">
            <v>52048</v>
          </cell>
          <cell r="E180">
            <v>0</v>
          </cell>
          <cell r="F180">
            <v>8696140.9430199433</v>
          </cell>
          <cell r="G180">
            <v>518595</v>
          </cell>
          <cell r="H180">
            <v>24700</v>
          </cell>
          <cell r="I180">
            <v>8152800</v>
          </cell>
          <cell r="J180">
            <v>24.5</v>
          </cell>
        </row>
        <row r="181">
          <cell r="C181">
            <v>52059</v>
          </cell>
          <cell r="E181">
            <v>0</v>
          </cell>
          <cell r="F181">
            <v>10171115.979700854</v>
          </cell>
          <cell r="G181">
            <v>518595</v>
          </cell>
          <cell r="H181">
            <v>24700</v>
          </cell>
          <cell r="I181">
            <v>9627800</v>
          </cell>
          <cell r="J181">
            <v>26</v>
          </cell>
        </row>
        <row r="182">
          <cell r="C182">
            <v>52061</v>
          </cell>
          <cell r="D182"/>
          <cell r="E182">
            <v>0</v>
          </cell>
          <cell r="F182">
            <v>7669603.538461539</v>
          </cell>
          <cell r="G182">
            <v>518595</v>
          </cell>
          <cell r="H182">
            <v>24700</v>
          </cell>
          <cell r="I182">
            <v>7126300</v>
          </cell>
          <cell r="J182">
            <v>27</v>
          </cell>
        </row>
        <row r="183">
          <cell r="C183">
            <v>52062</v>
          </cell>
          <cell r="E183">
            <v>0</v>
          </cell>
          <cell r="F183">
            <v>7533293.3233618233</v>
          </cell>
          <cell r="G183">
            <v>518595</v>
          </cell>
          <cell r="H183">
            <v>24700</v>
          </cell>
          <cell r="I183">
            <v>6990000</v>
          </cell>
          <cell r="J183">
            <v>26</v>
          </cell>
        </row>
        <row r="184">
          <cell r="C184">
            <v>52141</v>
          </cell>
          <cell r="E184">
            <v>0</v>
          </cell>
          <cell r="F184">
            <v>8589680.0961538479</v>
          </cell>
          <cell r="G184">
            <v>518595</v>
          </cell>
          <cell r="H184">
            <v>24700</v>
          </cell>
          <cell r="I184">
            <v>8046400</v>
          </cell>
          <cell r="J184">
            <v>27</v>
          </cell>
        </row>
        <row r="185">
          <cell r="C185">
            <v>51798</v>
          </cell>
          <cell r="E185">
            <v>0</v>
          </cell>
          <cell r="F185">
            <v>2257995.9804131053</v>
          </cell>
          <cell r="G185">
            <v>0</v>
          </cell>
          <cell r="H185">
            <v>24700</v>
          </cell>
          <cell r="I185">
            <v>2233300</v>
          </cell>
          <cell r="J185">
            <v>8</v>
          </cell>
        </row>
        <row r="186">
          <cell r="C186">
            <v>50124</v>
          </cell>
          <cell r="D186"/>
          <cell r="E186"/>
          <cell r="F186">
            <v>9297958.5606707558</v>
          </cell>
          <cell r="G186">
            <v>518595</v>
          </cell>
          <cell r="H186">
            <v>24700</v>
          </cell>
          <cell r="I186">
            <v>8754700</v>
          </cell>
          <cell r="J186">
            <v>27</v>
          </cell>
        </row>
        <row r="187">
          <cell r="C187">
            <v>50584</v>
          </cell>
          <cell r="D187"/>
          <cell r="E187"/>
          <cell r="F187">
            <v>7516878.7411669698</v>
          </cell>
          <cell r="G187">
            <v>518595</v>
          </cell>
          <cell r="H187">
            <v>24700</v>
          </cell>
          <cell r="I187">
            <v>6973600</v>
          </cell>
          <cell r="J187">
            <v>24</v>
          </cell>
        </row>
        <row r="188">
          <cell r="C188">
            <v>50689</v>
          </cell>
          <cell r="D188"/>
          <cell r="E188"/>
          <cell r="F188">
            <v>7234076.5364668202</v>
          </cell>
          <cell r="G188">
            <v>518595</v>
          </cell>
          <cell r="H188">
            <v>24700</v>
          </cell>
          <cell r="I188">
            <v>6690800</v>
          </cell>
          <cell r="J188">
            <v>24</v>
          </cell>
        </row>
        <row r="189">
          <cell r="C189">
            <v>51632</v>
          </cell>
          <cell r="F189">
            <v>7988215.6025741026</v>
          </cell>
          <cell r="G189">
            <v>518595</v>
          </cell>
          <cell r="H189">
            <v>24700</v>
          </cell>
          <cell r="I189">
            <v>7444900</v>
          </cell>
          <cell r="J189">
            <v>24.985416666666666</v>
          </cell>
        </row>
        <row r="190">
          <cell r="C190">
            <v>51696</v>
          </cell>
          <cell r="F190">
            <v>8298311.8105298961</v>
          </cell>
          <cell r="G190">
            <v>518595</v>
          </cell>
          <cell r="H190">
            <v>24700</v>
          </cell>
          <cell r="I190">
            <v>7755000</v>
          </cell>
          <cell r="J190">
            <v>27</v>
          </cell>
        </row>
        <row r="191">
          <cell r="C191">
            <v>52128</v>
          </cell>
          <cell r="D191"/>
          <cell r="E191"/>
          <cell r="F191">
            <v>7425205.5120658409</v>
          </cell>
          <cell r="G191">
            <v>518595</v>
          </cell>
          <cell r="H191">
            <v>24700</v>
          </cell>
          <cell r="I191">
            <v>6881900</v>
          </cell>
          <cell r="J191">
            <v>26</v>
          </cell>
        </row>
        <row r="192">
          <cell r="C192">
            <v>52210</v>
          </cell>
          <cell r="F192">
            <v>5644893.3749430319</v>
          </cell>
          <cell r="G192"/>
          <cell r="H192">
            <v>0</v>
          </cell>
          <cell r="I192">
            <v>5644900</v>
          </cell>
          <cell r="J192">
            <v>24.895833333333332</v>
          </cell>
        </row>
        <row r="193">
          <cell r="C193">
            <v>10341</v>
          </cell>
          <cell r="F193">
            <v>7533093.8952243207</v>
          </cell>
          <cell r="H193">
            <v>0</v>
          </cell>
          <cell r="I193">
            <v>7533100</v>
          </cell>
          <cell r="J193">
            <v>26.5</v>
          </cell>
        </row>
        <row r="194">
          <cell r="C194">
            <v>50091</v>
          </cell>
          <cell r="D194"/>
          <cell r="E194"/>
          <cell r="F194">
            <v>9497452.1478419937</v>
          </cell>
          <cell r="G194">
            <v>518595</v>
          </cell>
          <cell r="H194">
            <v>24700</v>
          </cell>
          <cell r="I194">
            <v>8954200</v>
          </cell>
          <cell r="J194">
            <v>27</v>
          </cell>
        </row>
        <row r="195">
          <cell r="C195">
            <v>51653</v>
          </cell>
          <cell r="F195">
            <v>9298882.906660445</v>
          </cell>
          <cell r="G195">
            <v>518595</v>
          </cell>
          <cell r="H195">
            <v>24700</v>
          </cell>
          <cell r="I195">
            <v>8755600</v>
          </cell>
          <cell r="J195">
            <v>27</v>
          </cell>
        </row>
        <row r="196">
          <cell r="C196">
            <v>51820</v>
          </cell>
          <cell r="F196">
            <v>9361100.9543186203</v>
          </cell>
          <cell r="G196">
            <v>518595</v>
          </cell>
          <cell r="H196">
            <v>24700</v>
          </cell>
          <cell r="I196">
            <v>8817800</v>
          </cell>
          <cell r="J196">
            <v>26.78125</v>
          </cell>
        </row>
        <row r="197">
          <cell r="C197">
            <v>51843</v>
          </cell>
          <cell r="F197">
            <v>8805871.6369488891</v>
          </cell>
          <cell r="G197">
            <v>518595</v>
          </cell>
          <cell r="H197">
            <v>24700</v>
          </cell>
          <cell r="I197">
            <v>8262600</v>
          </cell>
          <cell r="J197">
            <v>25.979166666666668</v>
          </cell>
        </row>
        <row r="198">
          <cell r="C198">
            <v>50145</v>
          </cell>
          <cell r="D198"/>
          <cell r="E198"/>
          <cell r="F198">
            <v>10420549.304988038</v>
          </cell>
          <cell r="G198">
            <v>518595</v>
          </cell>
          <cell r="H198">
            <v>24700</v>
          </cell>
          <cell r="I198">
            <v>9877300</v>
          </cell>
          <cell r="J198">
            <v>27</v>
          </cell>
        </row>
        <row r="199">
          <cell r="C199">
            <v>50460</v>
          </cell>
          <cell r="D199"/>
          <cell r="E199"/>
          <cell r="F199">
            <v>9607257.7631174829</v>
          </cell>
          <cell r="G199">
            <v>518595</v>
          </cell>
          <cell r="H199">
            <v>24700</v>
          </cell>
          <cell r="I199">
            <v>9064000</v>
          </cell>
          <cell r="J199">
            <v>27</v>
          </cell>
        </row>
        <row r="200">
          <cell r="C200">
            <v>50723</v>
          </cell>
          <cell r="F200">
            <v>9560404.302202018</v>
          </cell>
          <cell r="G200">
            <v>518595</v>
          </cell>
          <cell r="H200">
            <v>24700</v>
          </cell>
          <cell r="I200">
            <v>9017100</v>
          </cell>
          <cell r="J200">
            <v>27</v>
          </cell>
        </row>
        <row r="201">
          <cell r="C201">
            <v>50834</v>
          </cell>
          <cell r="D201"/>
          <cell r="E201"/>
          <cell r="F201">
            <v>9002852.5970681757</v>
          </cell>
          <cell r="G201">
            <v>518595</v>
          </cell>
          <cell r="H201">
            <v>24700</v>
          </cell>
          <cell r="I201">
            <v>8459600</v>
          </cell>
          <cell r="J201">
            <v>27</v>
          </cell>
        </row>
        <row r="202">
          <cell r="C202">
            <v>50105</v>
          </cell>
          <cell r="D202"/>
          <cell r="E202"/>
          <cell r="F202">
            <v>9530331.4672430288</v>
          </cell>
          <cell r="G202">
            <v>518595</v>
          </cell>
          <cell r="H202">
            <v>24700</v>
          </cell>
          <cell r="I202">
            <v>8987000</v>
          </cell>
          <cell r="J202">
            <v>27</v>
          </cell>
        </row>
        <row r="203">
          <cell r="C203">
            <v>50814</v>
          </cell>
          <cell r="F203">
            <v>8671071.1337868478</v>
          </cell>
          <cell r="G203">
            <v>518595</v>
          </cell>
          <cell r="H203">
            <v>24700</v>
          </cell>
          <cell r="I203">
            <v>8127800</v>
          </cell>
          <cell r="J203">
            <v>26</v>
          </cell>
        </row>
        <row r="204">
          <cell r="C204">
            <v>50854</v>
          </cell>
          <cell r="D204"/>
          <cell r="E204"/>
          <cell r="F204">
            <v>9359664.8114969674</v>
          </cell>
          <cell r="G204">
            <v>518595</v>
          </cell>
          <cell r="H204">
            <v>24700</v>
          </cell>
          <cell r="I204">
            <v>8816400</v>
          </cell>
          <cell r="J204">
            <v>26.979166666666668</v>
          </cell>
        </row>
        <row r="205">
          <cell r="C205">
            <v>50858</v>
          </cell>
          <cell r="D205"/>
          <cell r="E205"/>
          <cell r="F205">
            <v>8771957.2911202256</v>
          </cell>
          <cell r="G205">
            <v>518595</v>
          </cell>
          <cell r="H205">
            <v>24700</v>
          </cell>
          <cell r="I205">
            <v>8228700</v>
          </cell>
          <cell r="J205">
            <v>23.625</v>
          </cell>
        </row>
        <row r="206">
          <cell r="C206">
            <v>51463</v>
          </cell>
          <cell r="F206">
            <v>9270457.7177773714</v>
          </cell>
          <cell r="G206">
            <v>518595</v>
          </cell>
          <cell r="H206">
            <v>24700</v>
          </cell>
          <cell r="I206">
            <v>8727200</v>
          </cell>
          <cell r="J206">
            <v>26.947916666666668</v>
          </cell>
        </row>
        <row r="207">
          <cell r="C207">
            <v>51722</v>
          </cell>
          <cell r="D207"/>
          <cell r="E207"/>
          <cell r="F207">
            <v>9000422.2824119981</v>
          </cell>
          <cell r="G207">
            <v>518595</v>
          </cell>
          <cell r="H207">
            <v>24700</v>
          </cell>
          <cell r="I207">
            <v>8457100</v>
          </cell>
          <cell r="J207">
            <v>26.1875</v>
          </cell>
        </row>
        <row r="208">
          <cell r="C208">
            <v>51775</v>
          </cell>
          <cell r="D208"/>
          <cell r="E208"/>
          <cell r="F208">
            <v>9653766.9106217939</v>
          </cell>
          <cell r="G208">
            <v>518595</v>
          </cell>
          <cell r="H208">
            <v>24700</v>
          </cell>
          <cell r="I208">
            <v>9110500</v>
          </cell>
          <cell r="J208">
            <v>27</v>
          </cell>
        </row>
        <row r="209">
          <cell r="C209">
            <v>50047</v>
          </cell>
          <cell r="E209">
            <v>-776120.83333333337</v>
          </cell>
          <cell r="F209">
            <v>7692971.5061864471</v>
          </cell>
          <cell r="G209">
            <v>518595</v>
          </cell>
          <cell r="H209">
            <v>24700</v>
          </cell>
          <cell r="I209">
            <v>7149700</v>
          </cell>
          <cell r="J209">
            <v>22.827083333333334</v>
          </cell>
        </row>
        <row r="210">
          <cell r="C210">
            <v>50168</v>
          </cell>
          <cell r="E210">
            <v>0</v>
          </cell>
          <cell r="F210">
            <v>8159901.7140171994</v>
          </cell>
          <cell r="G210">
            <v>518595</v>
          </cell>
          <cell r="H210">
            <v>24700</v>
          </cell>
          <cell r="I210">
            <v>7616600</v>
          </cell>
          <cell r="J210">
            <v>25.802083333333332</v>
          </cell>
        </row>
        <row r="211">
          <cell r="C211">
            <v>50173</v>
          </cell>
          <cell r="E211">
            <v>0</v>
          </cell>
          <cell r="F211">
            <v>7113564.7773113931</v>
          </cell>
          <cell r="G211">
            <v>518595</v>
          </cell>
          <cell r="H211">
            <v>24700</v>
          </cell>
          <cell r="I211">
            <v>6570300</v>
          </cell>
          <cell r="J211">
            <v>26.5</v>
          </cell>
        </row>
        <row r="212">
          <cell r="C212">
            <v>50288</v>
          </cell>
          <cell r="E212">
            <v>0</v>
          </cell>
          <cell r="F212">
            <v>12789411.279198514</v>
          </cell>
          <cell r="G212">
            <v>541800</v>
          </cell>
          <cell r="H212">
            <v>24700</v>
          </cell>
          <cell r="I212">
            <v>12222900</v>
          </cell>
          <cell r="J212">
            <v>26.947916666666668</v>
          </cell>
        </row>
        <row r="213">
          <cell r="C213">
            <v>50564</v>
          </cell>
          <cell r="E213">
            <v>0</v>
          </cell>
          <cell r="F213">
            <v>9403632.785111025</v>
          </cell>
          <cell r="G213">
            <v>518595</v>
          </cell>
          <cell r="H213">
            <v>24700</v>
          </cell>
          <cell r="I213">
            <v>8860300</v>
          </cell>
          <cell r="J213">
            <v>25.989583333333332</v>
          </cell>
        </row>
        <row r="214">
          <cell r="C214">
            <v>51398</v>
          </cell>
          <cell r="D214"/>
          <cell r="E214">
            <v>0</v>
          </cell>
          <cell r="F214">
            <v>8458758.6648655832</v>
          </cell>
          <cell r="G214">
            <v>518595</v>
          </cell>
          <cell r="H214">
            <v>24700</v>
          </cell>
          <cell r="I214">
            <v>7915500</v>
          </cell>
          <cell r="J214">
            <v>27.5</v>
          </cell>
        </row>
        <row r="215">
          <cell r="C215">
            <v>51629</v>
          </cell>
          <cell r="E215">
            <v>0</v>
          </cell>
          <cell r="F215">
            <v>8656819.0292404555</v>
          </cell>
          <cell r="G215">
            <v>518595</v>
          </cell>
          <cell r="H215">
            <v>24700</v>
          </cell>
          <cell r="I215">
            <v>8113500</v>
          </cell>
          <cell r="J215">
            <v>27.354166666666668</v>
          </cell>
        </row>
        <row r="216">
          <cell r="C216">
            <v>51792</v>
          </cell>
          <cell r="E216">
            <v>0</v>
          </cell>
          <cell r="F216">
            <v>7590294.7746557212</v>
          </cell>
          <cell r="G216">
            <v>518595</v>
          </cell>
          <cell r="H216">
            <v>24700</v>
          </cell>
          <cell r="I216">
            <v>7047000</v>
          </cell>
          <cell r="J216">
            <v>27</v>
          </cell>
        </row>
        <row r="217">
          <cell r="C217">
            <v>52039</v>
          </cell>
          <cell r="E217">
            <v>0</v>
          </cell>
          <cell r="F217">
            <v>8248727.7264537718</v>
          </cell>
          <cell r="G217">
            <v>518595</v>
          </cell>
          <cell r="H217">
            <v>24700</v>
          </cell>
          <cell r="I217">
            <v>7705400</v>
          </cell>
          <cell r="J217">
            <v>26.34375</v>
          </cell>
        </row>
        <row r="218">
          <cell r="C218">
            <v>52070</v>
          </cell>
          <cell r="D218"/>
          <cell r="E218">
            <v>0</v>
          </cell>
          <cell r="F218">
            <v>8622294.957172174</v>
          </cell>
          <cell r="G218">
            <v>518595</v>
          </cell>
          <cell r="H218">
            <v>24700</v>
          </cell>
          <cell r="I218">
            <v>8079000</v>
          </cell>
          <cell r="J218">
            <v>25</v>
          </cell>
        </row>
        <row r="219">
          <cell r="C219">
            <v>52085</v>
          </cell>
          <cell r="E219">
            <v>0</v>
          </cell>
          <cell r="F219">
            <v>8098938.5964947399</v>
          </cell>
          <cell r="G219">
            <v>518595</v>
          </cell>
          <cell r="H219">
            <v>24700</v>
          </cell>
          <cell r="I219">
            <v>7555600</v>
          </cell>
          <cell r="J219">
            <v>25</v>
          </cell>
        </row>
        <row r="220">
          <cell r="C220">
            <v>52101</v>
          </cell>
          <cell r="D220"/>
          <cell r="E220">
            <v>0</v>
          </cell>
          <cell r="F220">
            <v>8028583.1178404279</v>
          </cell>
          <cell r="G220">
            <v>518595</v>
          </cell>
          <cell r="H220">
            <v>24700</v>
          </cell>
          <cell r="I220">
            <v>7485300</v>
          </cell>
          <cell r="J220">
            <v>26.5</v>
          </cell>
        </row>
        <row r="221">
          <cell r="C221">
            <v>52137</v>
          </cell>
          <cell r="D221"/>
          <cell r="E221">
            <v>0</v>
          </cell>
          <cell r="F221">
            <v>9491143.9485816862</v>
          </cell>
          <cell r="G221">
            <v>518595</v>
          </cell>
          <cell r="H221">
            <v>24700</v>
          </cell>
          <cell r="I221">
            <v>8947800</v>
          </cell>
          <cell r="J221">
            <v>26.71875</v>
          </cell>
        </row>
        <row r="222">
          <cell r="C222">
            <v>52162</v>
          </cell>
          <cell r="D222"/>
          <cell r="E222">
            <v>0</v>
          </cell>
          <cell r="F222">
            <v>7648821.5105566522</v>
          </cell>
          <cell r="H222">
            <v>0</v>
          </cell>
          <cell r="I222">
            <v>7648800</v>
          </cell>
          <cell r="J222">
            <v>27.5</v>
          </cell>
        </row>
        <row r="223">
          <cell r="C223">
            <v>10316</v>
          </cell>
          <cell r="D223"/>
          <cell r="E223">
            <v>0</v>
          </cell>
          <cell r="F223">
            <v>7544930.7376200035</v>
          </cell>
          <cell r="H223">
            <v>0</v>
          </cell>
          <cell r="I223">
            <v>7544900</v>
          </cell>
          <cell r="J223">
            <v>27.5</v>
          </cell>
        </row>
        <row r="224">
          <cell r="C224">
            <v>50565</v>
          </cell>
          <cell r="D224"/>
          <cell r="E224">
            <v>0</v>
          </cell>
          <cell r="F224">
            <v>7689159.8799580429</v>
          </cell>
          <cell r="G224">
            <v>518595</v>
          </cell>
          <cell r="H224">
            <v>24700</v>
          </cell>
          <cell r="I224">
            <v>7145900</v>
          </cell>
          <cell r="J224">
            <v>23.15625</v>
          </cell>
        </row>
        <row r="225">
          <cell r="C225">
            <v>52146</v>
          </cell>
          <cell r="E225">
            <v>0</v>
          </cell>
          <cell r="F225">
            <v>7910826.4793711314</v>
          </cell>
          <cell r="G225">
            <v>518595</v>
          </cell>
          <cell r="H225">
            <v>24700</v>
          </cell>
          <cell r="I225">
            <v>7367500</v>
          </cell>
          <cell r="J225">
            <v>27.5</v>
          </cell>
        </row>
        <row r="226">
          <cell r="C226">
            <v>50547</v>
          </cell>
          <cell r="D226"/>
          <cell r="E226"/>
          <cell r="F226">
            <v>9199683.8942307699</v>
          </cell>
          <cell r="G226">
            <v>518595</v>
          </cell>
          <cell r="H226">
            <v>24700</v>
          </cell>
          <cell r="I226">
            <v>8656400</v>
          </cell>
          <cell r="J226">
            <v>27</v>
          </cell>
        </row>
        <row r="227">
          <cell r="C227" t="str">
            <v>Q.trị 3</v>
          </cell>
          <cell r="F227">
            <v>26160000</v>
          </cell>
          <cell r="G227">
            <v>1514205</v>
          </cell>
          <cell r="H227">
            <v>674579.5</v>
          </cell>
          <cell r="I227">
            <v>23971200</v>
          </cell>
          <cell r="J227">
            <v>27</v>
          </cell>
        </row>
        <row r="228">
          <cell r="C228">
            <v>80261</v>
          </cell>
          <cell r="D228"/>
          <cell r="E228"/>
          <cell r="F228">
            <v>18160000</v>
          </cell>
          <cell r="G228">
            <v>749805</v>
          </cell>
          <cell r="H228">
            <v>35700</v>
          </cell>
          <cell r="I228">
            <v>17374500</v>
          </cell>
          <cell r="J228">
            <v>27</v>
          </cell>
        </row>
        <row r="229">
          <cell r="C229">
            <v>50888</v>
          </cell>
          <cell r="D229"/>
          <cell r="E229"/>
          <cell r="F229">
            <v>15111067.52136752</v>
          </cell>
          <cell r="G229">
            <v>608900</v>
          </cell>
          <cell r="H229">
            <v>26900</v>
          </cell>
          <cell r="I229">
            <v>14475300</v>
          </cell>
          <cell r="J229">
            <v>26.5</v>
          </cell>
        </row>
        <row r="230">
          <cell r="C230">
            <v>51614</v>
          </cell>
          <cell r="D230"/>
          <cell r="E230"/>
          <cell r="F230">
            <v>1170962.4372436099</v>
          </cell>
          <cell r="G230">
            <v>0</v>
          </cell>
          <cell r="I230">
            <v>1171000</v>
          </cell>
          <cell r="J230">
            <v>6</v>
          </cell>
        </row>
        <row r="231">
          <cell r="C231">
            <v>52124</v>
          </cell>
          <cell r="F231">
            <v>2574780.8449321268</v>
          </cell>
          <cell r="G231">
            <v>0</v>
          </cell>
          <cell r="I231">
            <v>2574800</v>
          </cell>
          <cell r="J231">
            <v>13</v>
          </cell>
        </row>
        <row r="232">
          <cell r="C232">
            <v>52013</v>
          </cell>
          <cell r="F232">
            <v>5083295.9053365933</v>
          </cell>
          <cell r="G232">
            <v>518595</v>
          </cell>
          <cell r="I232">
            <v>4564700</v>
          </cell>
          <cell r="J232">
            <v>23.125</v>
          </cell>
        </row>
        <row r="233">
          <cell r="C233">
            <v>52201</v>
          </cell>
          <cell r="D233"/>
          <cell r="E233"/>
          <cell r="F233">
            <v>1139732.9211157116</v>
          </cell>
          <cell r="G233">
            <v>0</v>
          </cell>
          <cell r="I233">
            <v>1139700</v>
          </cell>
          <cell r="J233">
            <v>5</v>
          </cell>
        </row>
        <row r="234">
          <cell r="C234">
            <v>52149</v>
          </cell>
          <cell r="F234">
            <v>1808310.0752424919</v>
          </cell>
          <cell r="G234">
            <v>0</v>
          </cell>
          <cell r="I234">
            <v>1808300</v>
          </cell>
          <cell r="J234">
            <v>11</v>
          </cell>
        </row>
        <row r="235">
          <cell r="C235">
            <v>10353</v>
          </cell>
          <cell r="F235">
            <v>1672456.4238952538</v>
          </cell>
          <cell r="I235">
            <v>1672500</v>
          </cell>
          <cell r="J235">
            <v>15</v>
          </cell>
        </row>
        <row r="236">
          <cell r="C236">
            <v>10252</v>
          </cell>
          <cell r="F236">
            <v>4001683.6918328479</v>
          </cell>
          <cell r="I236">
            <v>4001700</v>
          </cell>
          <cell r="J236">
            <v>23.5</v>
          </cell>
        </row>
        <row r="237">
          <cell r="C237">
            <v>50035</v>
          </cell>
          <cell r="D237">
            <v>232772.96787566555</v>
          </cell>
          <cell r="E237">
            <v>0</v>
          </cell>
          <cell r="F237">
            <v>7469698.404065311</v>
          </cell>
          <cell r="G237">
            <v>518595</v>
          </cell>
          <cell r="H237">
            <v>25000</v>
          </cell>
          <cell r="I237">
            <v>6926100</v>
          </cell>
          <cell r="J237">
            <v>27.5</v>
          </cell>
        </row>
        <row r="238">
          <cell r="C238">
            <v>50247</v>
          </cell>
          <cell r="D238">
            <v>0</v>
          </cell>
          <cell r="E238">
            <v>0</v>
          </cell>
          <cell r="F238">
            <v>8512966.4306991175</v>
          </cell>
          <cell r="G238">
            <v>518595</v>
          </cell>
          <cell r="H238">
            <v>24700</v>
          </cell>
          <cell r="I238">
            <v>7969700</v>
          </cell>
          <cell r="J238">
            <v>27</v>
          </cell>
        </row>
        <row r="239">
          <cell r="C239">
            <v>50274</v>
          </cell>
          <cell r="D239">
            <v>315193.53570263064</v>
          </cell>
          <cell r="E239">
            <v>-265200</v>
          </cell>
          <cell r="F239">
            <v>6536671.3635117663</v>
          </cell>
          <cell r="G239">
            <v>518595</v>
          </cell>
          <cell r="H239">
            <v>24700</v>
          </cell>
          <cell r="I239">
            <v>5993400</v>
          </cell>
          <cell r="J239">
            <v>26</v>
          </cell>
        </row>
        <row r="240">
          <cell r="C240">
            <v>50329</v>
          </cell>
          <cell r="D240">
            <v>0</v>
          </cell>
          <cell r="E240">
            <v>0</v>
          </cell>
          <cell r="F240">
            <v>9217881.2922851704</v>
          </cell>
          <cell r="G240">
            <v>518595</v>
          </cell>
          <cell r="H240">
            <v>24700</v>
          </cell>
          <cell r="I240">
            <v>8674600</v>
          </cell>
          <cell r="J240">
            <v>27.5</v>
          </cell>
        </row>
        <row r="241">
          <cell r="C241">
            <v>50615</v>
          </cell>
          <cell r="D241">
            <v>175090.07766932488</v>
          </cell>
          <cell r="E241">
            <v>0</v>
          </cell>
          <cell r="F241">
            <v>7528451.6419920251</v>
          </cell>
          <cell r="G241">
            <v>518595</v>
          </cell>
          <cell r="H241">
            <v>24700</v>
          </cell>
          <cell r="I241">
            <v>6985200</v>
          </cell>
          <cell r="J241">
            <v>27</v>
          </cell>
        </row>
        <row r="242">
          <cell r="C242">
            <v>50878</v>
          </cell>
          <cell r="D242">
            <v>204714.64801083202</v>
          </cell>
          <cell r="E242">
            <v>0</v>
          </cell>
          <cell r="F242">
            <v>7906459.3011598112</v>
          </cell>
          <cell r="G242">
            <v>518595</v>
          </cell>
          <cell r="H242">
            <v>24700</v>
          </cell>
          <cell r="I242">
            <v>7363200</v>
          </cell>
          <cell r="J242">
            <v>27</v>
          </cell>
        </row>
        <row r="243">
          <cell r="C243">
            <v>50965</v>
          </cell>
          <cell r="D243">
            <v>92277.465497310652</v>
          </cell>
          <cell r="E243">
            <v>0</v>
          </cell>
          <cell r="F243">
            <v>7501817.0641562147</v>
          </cell>
          <cell r="G243">
            <v>518595</v>
          </cell>
          <cell r="H243">
            <v>24700</v>
          </cell>
          <cell r="I243">
            <v>6958500</v>
          </cell>
          <cell r="J243">
            <v>26.458333333333332</v>
          </cell>
        </row>
        <row r="244">
          <cell r="C244">
            <v>51118</v>
          </cell>
          <cell r="D244">
            <v>239708.31051891879</v>
          </cell>
          <cell r="E244">
            <v>0</v>
          </cell>
          <cell r="F244">
            <v>7506592.2025244413</v>
          </cell>
          <cell r="G244">
            <v>518595</v>
          </cell>
          <cell r="H244">
            <v>24700</v>
          </cell>
          <cell r="I244">
            <v>6963300</v>
          </cell>
          <cell r="J244">
            <v>26.84375</v>
          </cell>
        </row>
        <row r="245">
          <cell r="C245">
            <v>51120</v>
          </cell>
          <cell r="D245">
            <v>120033.87859300181</v>
          </cell>
          <cell r="E245">
            <v>0</v>
          </cell>
          <cell r="F245">
            <v>7235041.0891141575</v>
          </cell>
          <cell r="G245">
            <v>518595</v>
          </cell>
          <cell r="H245">
            <v>24700</v>
          </cell>
          <cell r="I245">
            <v>6691700</v>
          </cell>
          <cell r="J245">
            <v>25</v>
          </cell>
        </row>
        <row r="246">
          <cell r="C246">
            <v>51456</v>
          </cell>
          <cell r="D246">
            <v>317896.46606019372</v>
          </cell>
          <cell r="E246">
            <v>-275400</v>
          </cell>
          <cell r="F246">
            <v>6758102.5489348024</v>
          </cell>
          <cell r="G246">
            <v>518595</v>
          </cell>
          <cell r="H246">
            <v>24700</v>
          </cell>
          <cell r="I246">
            <v>6214800</v>
          </cell>
          <cell r="J246">
            <v>27.5</v>
          </cell>
        </row>
        <row r="247">
          <cell r="C247">
            <v>52071</v>
          </cell>
          <cell r="D247">
            <v>259982.36786524317</v>
          </cell>
          <cell r="E247">
            <v>0</v>
          </cell>
          <cell r="F247">
            <v>6837865.2762119621</v>
          </cell>
          <cell r="G247">
            <v>518595</v>
          </cell>
          <cell r="H247">
            <v>24700</v>
          </cell>
          <cell r="I247">
            <v>6294600</v>
          </cell>
          <cell r="J247">
            <v>27</v>
          </cell>
        </row>
        <row r="248">
          <cell r="C248">
            <v>52106</v>
          </cell>
          <cell r="D248">
            <v>252307.70194701685</v>
          </cell>
          <cell r="E248">
            <v>0</v>
          </cell>
          <cell r="F248">
            <v>6649395.1633897182</v>
          </cell>
          <cell r="G248">
            <v>518595</v>
          </cell>
          <cell r="H248">
            <v>24700</v>
          </cell>
          <cell r="I248">
            <v>6106100</v>
          </cell>
          <cell r="J248">
            <v>27</v>
          </cell>
        </row>
        <row r="249">
          <cell r="C249">
            <v>52114</v>
          </cell>
          <cell r="D249">
            <v>88708.57192003142</v>
          </cell>
          <cell r="E249">
            <v>-629000</v>
          </cell>
          <cell r="F249">
            <v>4175405.3109493069</v>
          </cell>
          <cell r="G249">
            <v>518595</v>
          </cell>
          <cell r="H249">
            <v>24700</v>
          </cell>
          <cell r="I249">
            <v>3632100</v>
          </cell>
          <cell r="J249">
            <v>18.5</v>
          </cell>
        </row>
        <row r="250">
          <cell r="C250">
            <v>52161</v>
          </cell>
          <cell r="D250">
            <v>252089.3811300653</v>
          </cell>
          <cell r="E250">
            <v>0</v>
          </cell>
          <cell r="F250">
            <v>6688042.4335328806</v>
          </cell>
          <cell r="G250">
            <v>518595</v>
          </cell>
          <cell r="H250">
            <v>24700</v>
          </cell>
          <cell r="I250">
            <v>6144700</v>
          </cell>
          <cell r="J250">
            <v>27</v>
          </cell>
        </row>
        <row r="251">
          <cell r="C251">
            <v>10276</v>
          </cell>
          <cell r="D251">
            <v>167465.15137212491</v>
          </cell>
          <cell r="E251">
            <v>0</v>
          </cell>
          <cell r="F251">
            <v>6668630.5074220859</v>
          </cell>
          <cell r="H251">
            <v>0</v>
          </cell>
          <cell r="I251">
            <v>6668600</v>
          </cell>
          <cell r="J251">
            <v>27.5</v>
          </cell>
        </row>
        <row r="252">
          <cell r="C252">
            <v>10271</v>
          </cell>
          <cell r="D252">
            <v>65833.347114169272</v>
          </cell>
          <cell r="E252">
            <v>0</v>
          </cell>
          <cell r="F252">
            <v>7084605.24711903</v>
          </cell>
          <cell r="H252">
            <v>0</v>
          </cell>
          <cell r="I252">
            <v>7084600</v>
          </cell>
          <cell r="J252">
            <v>27.5</v>
          </cell>
        </row>
        <row r="253">
          <cell r="C253">
            <v>10267</v>
          </cell>
          <cell r="D253">
            <v>198382.35032770503</v>
          </cell>
          <cell r="E253">
            <v>0</v>
          </cell>
          <cell r="F253">
            <v>5937657.2225211579</v>
          </cell>
          <cell r="H253">
            <v>0</v>
          </cell>
          <cell r="I253">
            <v>5937700</v>
          </cell>
          <cell r="J253">
            <v>26</v>
          </cell>
        </row>
        <row r="254">
          <cell r="C254">
            <v>10237</v>
          </cell>
          <cell r="D254">
            <v>205353.00264117584</v>
          </cell>
          <cell r="E254">
            <v>-265200</v>
          </cell>
          <cell r="F254">
            <v>5832433.4867345924</v>
          </cell>
          <cell r="H254">
            <v>0</v>
          </cell>
          <cell r="I254">
            <v>5832400</v>
          </cell>
          <cell r="J254">
            <v>26</v>
          </cell>
        </row>
        <row r="255">
          <cell r="C255">
            <v>10232</v>
          </cell>
          <cell r="D255">
            <v>148732.87782431353</v>
          </cell>
          <cell r="E255">
            <v>0</v>
          </cell>
          <cell r="F255">
            <v>5715904.1977236411</v>
          </cell>
          <cell r="H255">
            <v>0</v>
          </cell>
          <cell r="I255">
            <v>5715900</v>
          </cell>
          <cell r="J255">
            <v>26</v>
          </cell>
        </row>
        <row r="256">
          <cell r="C256">
            <v>50014</v>
          </cell>
          <cell r="D256">
            <v>0</v>
          </cell>
          <cell r="E256">
            <v>0</v>
          </cell>
          <cell r="F256">
            <v>9639079.7022846006</v>
          </cell>
          <cell r="G256">
            <v>518595</v>
          </cell>
          <cell r="H256">
            <v>25000</v>
          </cell>
          <cell r="I256">
            <v>9095500</v>
          </cell>
          <cell r="J256">
            <v>27.5</v>
          </cell>
        </row>
        <row r="257">
          <cell r="C257">
            <v>50139</v>
          </cell>
          <cell r="D257">
            <v>118961.35841351206</v>
          </cell>
          <cell r="E257">
            <v>0</v>
          </cell>
          <cell r="F257">
            <v>7932236.8426725697</v>
          </cell>
          <cell r="G257">
            <v>518595</v>
          </cell>
          <cell r="H257">
            <v>24700</v>
          </cell>
          <cell r="I257">
            <v>7388900</v>
          </cell>
          <cell r="J257">
            <v>26.952083333333334</v>
          </cell>
        </row>
        <row r="258">
          <cell r="C258">
            <v>50148</v>
          </cell>
          <cell r="D258">
            <v>22834.045018183533</v>
          </cell>
          <cell r="E258">
            <v>0</v>
          </cell>
          <cell r="F258">
            <v>8263153.3937916029</v>
          </cell>
          <cell r="G258">
            <v>518595</v>
          </cell>
          <cell r="H258">
            <v>24700</v>
          </cell>
          <cell r="I258">
            <v>7719900</v>
          </cell>
          <cell r="J258">
            <v>27</v>
          </cell>
        </row>
        <row r="259">
          <cell r="C259">
            <v>50787</v>
          </cell>
          <cell r="D259">
            <v>0</v>
          </cell>
          <cell r="E259">
            <v>0</v>
          </cell>
          <cell r="F259">
            <v>8157007.0392312026</v>
          </cell>
          <cell r="G259">
            <v>518595</v>
          </cell>
          <cell r="H259">
            <v>24700</v>
          </cell>
          <cell r="I259">
            <v>7613700</v>
          </cell>
          <cell r="J259">
            <v>26.5</v>
          </cell>
        </row>
        <row r="260">
          <cell r="C260">
            <v>50883</v>
          </cell>
          <cell r="D260">
            <v>83576.645042245334</v>
          </cell>
          <cell r="E260">
            <v>0</v>
          </cell>
          <cell r="F260">
            <v>7839820.0285484772</v>
          </cell>
          <cell r="G260">
            <v>518595</v>
          </cell>
          <cell r="H260">
            <v>24700</v>
          </cell>
          <cell r="I260">
            <v>7296500</v>
          </cell>
          <cell r="J260">
            <v>26.5</v>
          </cell>
        </row>
        <row r="261">
          <cell r="C261">
            <v>50892</v>
          </cell>
          <cell r="D261">
            <v>0</v>
          </cell>
          <cell r="E261">
            <v>-275400</v>
          </cell>
          <cell r="F261">
            <v>8119227.0609510764</v>
          </cell>
          <cell r="G261">
            <v>518595</v>
          </cell>
          <cell r="H261">
            <v>24700</v>
          </cell>
          <cell r="I261">
            <v>7575900</v>
          </cell>
          <cell r="J261">
            <v>27</v>
          </cell>
        </row>
        <row r="262">
          <cell r="C262">
            <v>51152</v>
          </cell>
          <cell r="D262">
            <v>0</v>
          </cell>
          <cell r="E262">
            <v>0</v>
          </cell>
          <cell r="F262">
            <v>8716155.0673601255</v>
          </cell>
          <cell r="G262">
            <v>518595</v>
          </cell>
          <cell r="H262">
            <v>24700</v>
          </cell>
          <cell r="I262">
            <v>8172900</v>
          </cell>
          <cell r="J262">
            <v>27.5</v>
          </cell>
        </row>
        <row r="263">
          <cell r="C263">
            <v>51223</v>
          </cell>
          <cell r="D263">
            <v>88660.265844644367</v>
          </cell>
          <cell r="E263">
            <v>0</v>
          </cell>
          <cell r="F263">
            <v>7267818.3450942719</v>
          </cell>
          <cell r="G263">
            <v>518595</v>
          </cell>
          <cell r="H263">
            <v>24700</v>
          </cell>
          <cell r="I263">
            <v>6724500</v>
          </cell>
          <cell r="J263">
            <v>24</v>
          </cell>
        </row>
        <row r="264">
          <cell r="C264">
            <v>51330</v>
          </cell>
          <cell r="D264">
            <v>146395.31729549688</v>
          </cell>
          <cell r="E264">
            <v>0</v>
          </cell>
          <cell r="F264">
            <v>7861459.974929749</v>
          </cell>
          <cell r="G264">
            <v>518595</v>
          </cell>
          <cell r="H264">
            <v>24700</v>
          </cell>
          <cell r="I264">
            <v>7318200</v>
          </cell>
          <cell r="J264">
            <v>26.96875</v>
          </cell>
        </row>
        <row r="265">
          <cell r="C265">
            <v>51334</v>
          </cell>
          <cell r="E265">
            <v>0</v>
          </cell>
          <cell r="F265">
            <v>8204805.9400903899</v>
          </cell>
          <cell r="G265">
            <v>518595</v>
          </cell>
          <cell r="H265">
            <v>24700</v>
          </cell>
          <cell r="I265">
            <v>7661500</v>
          </cell>
          <cell r="J265">
            <v>27</v>
          </cell>
        </row>
        <row r="266">
          <cell r="C266">
            <v>51668</v>
          </cell>
          <cell r="D266">
            <v>0</v>
          </cell>
          <cell r="E266">
            <v>0</v>
          </cell>
          <cell r="F266">
            <v>11824695.23578109</v>
          </cell>
          <cell r="G266">
            <v>518595</v>
          </cell>
          <cell r="H266">
            <v>24700</v>
          </cell>
          <cell r="I266">
            <v>11281400</v>
          </cell>
          <cell r="J266">
            <v>27.5</v>
          </cell>
        </row>
        <row r="267">
          <cell r="C267">
            <v>51920</v>
          </cell>
          <cell r="D267">
            <v>16455.3654522422</v>
          </cell>
          <cell r="E267">
            <v>0</v>
          </cell>
          <cell r="F267">
            <v>8254712.2690278878</v>
          </cell>
          <cell r="G267">
            <v>518595</v>
          </cell>
          <cell r="H267">
            <v>24700</v>
          </cell>
          <cell r="I267">
            <v>7711400</v>
          </cell>
          <cell r="J267">
            <v>27.5</v>
          </cell>
        </row>
        <row r="268">
          <cell r="C268">
            <v>51941</v>
          </cell>
          <cell r="D268">
            <v>132792.69525916755</v>
          </cell>
          <cell r="E268">
            <v>0</v>
          </cell>
          <cell r="F268">
            <v>7307514.7026840355</v>
          </cell>
          <cell r="G268">
            <v>518595</v>
          </cell>
          <cell r="H268">
            <v>24700</v>
          </cell>
          <cell r="I268">
            <v>6764200</v>
          </cell>
          <cell r="J268">
            <v>27</v>
          </cell>
        </row>
        <row r="269">
          <cell r="C269">
            <v>52189</v>
          </cell>
          <cell r="D269">
            <v>133812.08352740412</v>
          </cell>
          <cell r="E269">
            <v>0</v>
          </cell>
          <cell r="F269">
            <v>7444224.4940759083</v>
          </cell>
          <cell r="G269">
            <v>518595</v>
          </cell>
          <cell r="H269">
            <v>24700</v>
          </cell>
          <cell r="I269">
            <v>6900900</v>
          </cell>
          <cell r="J269">
            <v>26.5</v>
          </cell>
        </row>
        <row r="270">
          <cell r="C270">
            <v>52199</v>
          </cell>
          <cell r="D270">
            <v>311742.39472110209</v>
          </cell>
          <cell r="E270">
            <v>-251387.5</v>
          </cell>
          <cell r="F270">
            <v>5670617.4549036445</v>
          </cell>
          <cell r="G270">
            <v>518595</v>
          </cell>
          <cell r="H270">
            <v>24700</v>
          </cell>
          <cell r="I270">
            <v>5127300</v>
          </cell>
          <cell r="J270">
            <v>26.645833333333332</v>
          </cell>
        </row>
        <row r="271">
          <cell r="C271">
            <v>52202</v>
          </cell>
          <cell r="D271">
            <v>39689.017325824767</v>
          </cell>
          <cell r="E271">
            <v>0</v>
          </cell>
          <cell r="F271">
            <v>7454287.5153302178</v>
          </cell>
          <cell r="H271">
            <v>0</v>
          </cell>
          <cell r="I271">
            <v>7454300</v>
          </cell>
          <cell r="J271">
            <v>27.5</v>
          </cell>
        </row>
        <row r="272">
          <cell r="C272">
            <v>10351</v>
          </cell>
          <cell r="D272">
            <v>234934.58069943546</v>
          </cell>
          <cell r="E272">
            <v>0</v>
          </cell>
          <cell r="F272">
            <v>5729299.0890982747</v>
          </cell>
          <cell r="G272"/>
          <cell r="H272">
            <v>0</v>
          </cell>
          <cell r="I272">
            <v>5729300</v>
          </cell>
          <cell r="J272">
            <v>26</v>
          </cell>
        </row>
        <row r="273">
          <cell r="C273">
            <v>51828</v>
          </cell>
          <cell r="D273">
            <v>211785.17544063253</v>
          </cell>
          <cell r="E273">
            <v>-646000</v>
          </cell>
          <cell r="F273">
            <v>4040552.4597892128</v>
          </cell>
          <cell r="I273">
            <v>4040600</v>
          </cell>
          <cell r="J273">
            <v>19</v>
          </cell>
        </row>
        <row r="274">
          <cell r="C274">
            <v>50063</v>
          </cell>
          <cell r="D274">
            <v>0</v>
          </cell>
          <cell r="E274">
            <v>0</v>
          </cell>
          <cell r="F274">
            <v>8976778.7887291387</v>
          </cell>
          <cell r="G274">
            <v>518595</v>
          </cell>
          <cell r="H274">
            <v>25000</v>
          </cell>
          <cell r="I274">
            <v>8433200</v>
          </cell>
          <cell r="J274">
            <v>27</v>
          </cell>
        </row>
        <row r="275">
          <cell r="C275">
            <v>50616</v>
          </cell>
          <cell r="D275">
            <v>351688.08206900489</v>
          </cell>
          <cell r="E275">
            <v>-275400</v>
          </cell>
          <cell r="F275">
            <v>6997166.0422545243</v>
          </cell>
          <cell r="G275">
            <v>518595</v>
          </cell>
          <cell r="H275">
            <v>24700</v>
          </cell>
          <cell r="I275">
            <v>6453900</v>
          </cell>
          <cell r="J275">
            <v>27</v>
          </cell>
        </row>
        <row r="276">
          <cell r="C276">
            <v>50863</v>
          </cell>
          <cell r="D276">
            <v>138020.81025948573</v>
          </cell>
          <cell r="E276">
            <v>0</v>
          </cell>
          <cell r="F276">
            <v>7393511.9898055876</v>
          </cell>
          <cell r="G276">
            <v>518595</v>
          </cell>
          <cell r="H276">
            <v>24700</v>
          </cell>
          <cell r="I276">
            <v>6850200</v>
          </cell>
          <cell r="J276">
            <v>26.270833333333332</v>
          </cell>
        </row>
        <row r="277">
          <cell r="C277">
            <v>51062</v>
          </cell>
          <cell r="D277">
            <v>0</v>
          </cell>
          <cell r="E277">
            <v>0</v>
          </cell>
          <cell r="F277">
            <v>8441100.7086781301</v>
          </cell>
          <cell r="G277">
            <v>518595</v>
          </cell>
          <cell r="H277">
            <v>24700</v>
          </cell>
          <cell r="I277">
            <v>7897800</v>
          </cell>
          <cell r="J277">
            <v>26.875</v>
          </cell>
        </row>
        <row r="278">
          <cell r="C278">
            <v>51694</v>
          </cell>
          <cell r="D278">
            <v>371138.80091899494</v>
          </cell>
          <cell r="E278">
            <v>-273657.5</v>
          </cell>
          <cell r="F278">
            <v>6637364.2872358914</v>
          </cell>
          <cell r="G278">
            <v>518595</v>
          </cell>
          <cell r="H278">
            <v>24700</v>
          </cell>
          <cell r="I278">
            <v>6094100</v>
          </cell>
          <cell r="J278">
            <v>26.829166666666666</v>
          </cell>
        </row>
        <row r="279">
          <cell r="C279">
            <v>51823</v>
          </cell>
          <cell r="D279">
            <v>284989.34841557901</v>
          </cell>
          <cell r="E279">
            <v>-275400</v>
          </cell>
          <cell r="F279">
            <v>7032087.603791724</v>
          </cell>
          <cell r="G279">
            <v>518595</v>
          </cell>
          <cell r="H279">
            <v>24700</v>
          </cell>
          <cell r="I279">
            <v>6488800</v>
          </cell>
          <cell r="J279">
            <v>27</v>
          </cell>
        </row>
        <row r="280">
          <cell r="C280">
            <v>51962</v>
          </cell>
          <cell r="D280">
            <v>329548.77482931374</v>
          </cell>
          <cell r="E280">
            <v>-275400</v>
          </cell>
          <cell r="F280">
            <v>7012816.7764735986</v>
          </cell>
          <cell r="G280">
            <v>518595</v>
          </cell>
          <cell r="H280">
            <v>24700</v>
          </cell>
          <cell r="I280">
            <v>6469500</v>
          </cell>
          <cell r="J280">
            <v>27.5</v>
          </cell>
        </row>
        <row r="281">
          <cell r="C281">
            <v>51963</v>
          </cell>
          <cell r="D281">
            <v>374642.10103419889</v>
          </cell>
          <cell r="E281">
            <v>-263712.5</v>
          </cell>
          <cell r="F281">
            <v>6389539.351633871</v>
          </cell>
          <cell r="G281">
            <v>518595</v>
          </cell>
          <cell r="H281">
            <v>24700</v>
          </cell>
          <cell r="I281">
            <v>5846200</v>
          </cell>
          <cell r="J281">
            <v>26.354166666666668</v>
          </cell>
        </row>
        <row r="282">
          <cell r="C282">
            <v>51974</v>
          </cell>
          <cell r="D282">
            <v>166609.29303446575</v>
          </cell>
          <cell r="E282">
            <v>0</v>
          </cell>
          <cell r="F282">
            <v>7286797.529016261</v>
          </cell>
          <cell r="G282">
            <v>518595</v>
          </cell>
          <cell r="H282">
            <v>24700</v>
          </cell>
          <cell r="I282">
            <v>6743500</v>
          </cell>
          <cell r="J282">
            <v>26.5</v>
          </cell>
        </row>
        <row r="283">
          <cell r="C283">
            <v>52000</v>
          </cell>
          <cell r="D283">
            <v>202952.3681813234</v>
          </cell>
          <cell r="E283">
            <v>0</v>
          </cell>
          <cell r="F283">
            <v>7350571.2385828113</v>
          </cell>
          <cell r="G283">
            <v>518595</v>
          </cell>
          <cell r="H283">
            <v>24700</v>
          </cell>
          <cell r="I283">
            <v>6807300</v>
          </cell>
          <cell r="J283">
            <v>26.845833333333335</v>
          </cell>
        </row>
        <row r="284">
          <cell r="C284">
            <v>52009</v>
          </cell>
          <cell r="D284">
            <v>151635.89577570814</v>
          </cell>
          <cell r="E284">
            <v>0</v>
          </cell>
          <cell r="F284">
            <v>6783395.4317968078</v>
          </cell>
          <cell r="G284">
            <v>518595</v>
          </cell>
          <cell r="H284">
            <v>24700</v>
          </cell>
          <cell r="I284">
            <v>6240100</v>
          </cell>
          <cell r="J284">
            <v>25</v>
          </cell>
        </row>
        <row r="285">
          <cell r="C285">
            <v>52043</v>
          </cell>
          <cell r="D285">
            <v>443405.11700804101</v>
          </cell>
          <cell r="E285">
            <v>-275400</v>
          </cell>
          <cell r="F285">
            <v>6047337.2932066452</v>
          </cell>
          <cell r="G285">
            <v>518595</v>
          </cell>
          <cell r="H285">
            <v>24700</v>
          </cell>
          <cell r="I285">
            <v>5504000</v>
          </cell>
          <cell r="J285">
            <v>27</v>
          </cell>
        </row>
        <row r="286">
          <cell r="C286">
            <v>52088</v>
          </cell>
          <cell r="D286">
            <v>420088.49734106543</v>
          </cell>
          <cell r="E286">
            <v>-275400</v>
          </cell>
          <cell r="F286">
            <v>6447243.7627844959</v>
          </cell>
          <cell r="G286">
            <v>518595</v>
          </cell>
          <cell r="H286">
            <v>24700</v>
          </cell>
          <cell r="I286">
            <v>5903900</v>
          </cell>
          <cell r="J286">
            <v>27</v>
          </cell>
        </row>
        <row r="287">
          <cell r="C287">
            <v>52112</v>
          </cell>
          <cell r="D287">
            <v>417719.06991439464</v>
          </cell>
          <cell r="E287">
            <v>-265200</v>
          </cell>
          <cell r="F287">
            <v>5539403.0733764749</v>
          </cell>
          <cell r="G287">
            <v>518595</v>
          </cell>
          <cell r="H287">
            <v>24700</v>
          </cell>
          <cell r="I287">
            <v>4996100</v>
          </cell>
          <cell r="J287">
            <v>26</v>
          </cell>
        </row>
        <row r="288">
          <cell r="C288">
            <v>52139</v>
          </cell>
          <cell r="D288">
            <v>213672.71699788471</v>
          </cell>
          <cell r="E288">
            <v>-469200</v>
          </cell>
          <cell r="F288">
            <v>5107557.5968695944</v>
          </cell>
          <cell r="G288">
            <v>518595</v>
          </cell>
          <cell r="H288">
            <v>24700</v>
          </cell>
          <cell r="I288">
            <v>4564300</v>
          </cell>
          <cell r="J288">
            <v>23</v>
          </cell>
        </row>
        <row r="289">
          <cell r="C289">
            <v>52147</v>
          </cell>
          <cell r="D289">
            <v>224390.93630799669</v>
          </cell>
          <cell r="E289">
            <v>0</v>
          </cell>
          <cell r="F289">
            <v>7430836.9266529325</v>
          </cell>
          <cell r="G289">
            <v>518595</v>
          </cell>
          <cell r="H289">
            <v>24700</v>
          </cell>
          <cell r="I289">
            <v>6887500</v>
          </cell>
          <cell r="J289">
            <v>27.5</v>
          </cell>
        </row>
        <row r="290">
          <cell r="C290">
            <v>52177</v>
          </cell>
          <cell r="D290">
            <v>166379.3086660585</v>
          </cell>
          <cell r="E290">
            <v>0</v>
          </cell>
          <cell r="F290">
            <v>6853051.7241086625</v>
          </cell>
          <cell r="G290">
            <v>518595</v>
          </cell>
          <cell r="H290">
            <v>24700</v>
          </cell>
          <cell r="I290">
            <v>6309800</v>
          </cell>
          <cell r="J290">
            <v>26.1875</v>
          </cell>
        </row>
        <row r="291">
          <cell r="C291">
            <v>10268</v>
          </cell>
          <cell r="D291">
            <v>219835.57101638516</v>
          </cell>
          <cell r="E291">
            <v>0</v>
          </cell>
          <cell r="F291">
            <v>6322185.5946431514</v>
          </cell>
          <cell r="H291">
            <v>0</v>
          </cell>
          <cell r="I291">
            <v>6322200</v>
          </cell>
          <cell r="J291">
            <v>27</v>
          </cell>
        </row>
        <row r="292">
          <cell r="C292">
            <v>10213</v>
          </cell>
          <cell r="D292">
            <v>176865.18842987367</v>
          </cell>
          <cell r="E292">
            <v>0</v>
          </cell>
          <cell r="F292">
            <v>6774101.5500949929</v>
          </cell>
          <cell r="H292">
            <v>0</v>
          </cell>
          <cell r="I292">
            <v>6774100</v>
          </cell>
          <cell r="J292">
            <v>27</v>
          </cell>
        </row>
        <row r="293">
          <cell r="C293">
            <v>50137</v>
          </cell>
          <cell r="D293">
            <v>92744.742041427991</v>
          </cell>
          <cell r="E293">
            <v>-565250</v>
          </cell>
          <cell r="F293">
            <v>5057398.1036349675</v>
          </cell>
          <cell r="G293">
            <v>518595</v>
          </cell>
          <cell r="H293">
            <v>24700</v>
          </cell>
          <cell r="I293">
            <v>4514100</v>
          </cell>
          <cell r="J293">
            <v>16.625</v>
          </cell>
        </row>
        <row r="294">
          <cell r="C294">
            <v>50034</v>
          </cell>
          <cell r="D294">
            <v>223397.89997613794</v>
          </cell>
          <cell r="E294">
            <v>0</v>
          </cell>
          <cell r="F294">
            <v>7494531.901033124</v>
          </cell>
          <cell r="G294">
            <v>518595</v>
          </cell>
          <cell r="H294">
            <v>25000</v>
          </cell>
          <cell r="I294">
            <v>6950900</v>
          </cell>
          <cell r="J294">
            <v>27</v>
          </cell>
        </row>
        <row r="295">
          <cell r="C295">
            <v>50265</v>
          </cell>
          <cell r="D295">
            <v>144477.22906339512</v>
          </cell>
          <cell r="E295">
            <v>-270300</v>
          </cell>
          <cell r="F295">
            <v>7306650.0072542587</v>
          </cell>
          <cell r="G295">
            <v>518595</v>
          </cell>
          <cell r="H295">
            <v>24700</v>
          </cell>
          <cell r="I295">
            <v>6763400</v>
          </cell>
          <cell r="J295">
            <v>26.5</v>
          </cell>
        </row>
        <row r="296">
          <cell r="C296">
            <v>50292</v>
          </cell>
          <cell r="D296">
            <v>0</v>
          </cell>
          <cell r="E296">
            <v>0</v>
          </cell>
          <cell r="F296">
            <v>8256220.7388564413</v>
          </cell>
          <cell r="G296">
            <v>518595</v>
          </cell>
          <cell r="H296">
            <v>24700</v>
          </cell>
          <cell r="I296">
            <v>7712900</v>
          </cell>
          <cell r="J296">
            <v>27.5</v>
          </cell>
        </row>
        <row r="297">
          <cell r="C297">
            <v>51923</v>
          </cell>
          <cell r="D297">
            <v>302429.51282648451</v>
          </cell>
          <cell r="E297">
            <v>-273168.75</v>
          </cell>
          <cell r="F297">
            <v>6800844.7280803742</v>
          </cell>
          <cell r="G297">
            <v>518595</v>
          </cell>
          <cell r="H297">
            <v>24700</v>
          </cell>
          <cell r="I297">
            <v>6257500</v>
          </cell>
          <cell r="J297">
            <v>27.28125</v>
          </cell>
        </row>
        <row r="298">
          <cell r="C298">
            <v>51981</v>
          </cell>
          <cell r="D298">
            <v>310613.80756101198</v>
          </cell>
          <cell r="E298">
            <v>-275400</v>
          </cell>
          <cell r="F298">
            <v>6746953.168663118</v>
          </cell>
          <cell r="G298">
            <v>518595</v>
          </cell>
          <cell r="H298">
            <v>24700</v>
          </cell>
          <cell r="I298">
            <v>6203700</v>
          </cell>
          <cell r="J298">
            <v>27</v>
          </cell>
        </row>
        <row r="299">
          <cell r="C299">
            <v>52054</v>
          </cell>
          <cell r="D299">
            <v>241522.28555531957</v>
          </cell>
          <cell r="E299">
            <v>0</v>
          </cell>
          <cell r="F299">
            <v>7285491.5567955803</v>
          </cell>
          <cell r="G299">
            <v>518595</v>
          </cell>
          <cell r="H299">
            <v>24700</v>
          </cell>
          <cell r="I299">
            <v>6742200</v>
          </cell>
          <cell r="J299">
            <v>27.5</v>
          </cell>
        </row>
        <row r="300">
          <cell r="C300">
            <v>52072</v>
          </cell>
          <cell r="D300">
            <v>0</v>
          </cell>
          <cell r="E300">
            <v>-272000</v>
          </cell>
          <cell r="F300">
            <v>2067404.7939360901</v>
          </cell>
          <cell r="G300">
            <v>0</v>
          </cell>
          <cell r="H300">
            <v>24700</v>
          </cell>
          <cell r="I300">
            <v>2042700</v>
          </cell>
          <cell r="J300">
            <v>8</v>
          </cell>
        </row>
        <row r="301">
          <cell r="C301">
            <v>52178</v>
          </cell>
          <cell r="D301">
            <v>275069.47803990776</v>
          </cell>
          <cell r="E301">
            <v>-252768.75</v>
          </cell>
          <cell r="F301">
            <v>6176799.8890640363</v>
          </cell>
          <cell r="G301">
            <v>518595</v>
          </cell>
          <cell r="H301">
            <v>24700</v>
          </cell>
          <cell r="I301">
            <v>5633500</v>
          </cell>
          <cell r="J301">
            <v>25.28125</v>
          </cell>
        </row>
        <row r="302">
          <cell r="C302">
            <v>52211</v>
          </cell>
          <cell r="D302">
            <v>120660.88375452432</v>
          </cell>
          <cell r="E302">
            <v>-610725</v>
          </cell>
          <cell r="F302">
            <v>3567282.1724543753</v>
          </cell>
          <cell r="H302">
            <v>0</v>
          </cell>
          <cell r="I302">
            <v>3567300</v>
          </cell>
          <cell r="J302">
            <v>18.462499999999999</v>
          </cell>
        </row>
        <row r="303">
          <cell r="C303">
            <v>10354</v>
          </cell>
          <cell r="D303">
            <v>212663.92120250539</v>
          </cell>
          <cell r="E303">
            <v>0</v>
          </cell>
          <cell r="F303">
            <v>6684265.4479309442</v>
          </cell>
          <cell r="H303">
            <v>0</v>
          </cell>
          <cell r="I303">
            <v>6684300</v>
          </cell>
          <cell r="J303">
            <v>27</v>
          </cell>
        </row>
        <row r="304">
          <cell r="C304">
            <v>10350</v>
          </cell>
          <cell r="D304">
            <v>283808.87437170447</v>
          </cell>
          <cell r="E304">
            <v>-257975</v>
          </cell>
          <cell r="F304">
            <v>5131381.1582239186</v>
          </cell>
          <cell r="H304">
            <v>0</v>
          </cell>
          <cell r="I304">
            <v>5131400</v>
          </cell>
          <cell r="J304">
            <v>25.291666666666668</v>
          </cell>
        </row>
        <row r="305">
          <cell r="C305">
            <v>10349</v>
          </cell>
          <cell r="D305">
            <v>187810.14252460617</v>
          </cell>
          <cell r="E305">
            <v>0</v>
          </cell>
          <cell r="F305">
            <v>6205522.9378107963</v>
          </cell>
          <cell r="H305">
            <v>0</v>
          </cell>
          <cell r="I305">
            <v>6205500</v>
          </cell>
          <cell r="J305">
            <v>27</v>
          </cell>
        </row>
        <row r="306">
          <cell r="C306">
            <v>10345</v>
          </cell>
          <cell r="D306">
            <v>273812.3449105827</v>
          </cell>
          <cell r="E306">
            <v>-275400</v>
          </cell>
          <cell r="F306">
            <v>5352504.5518067125</v>
          </cell>
          <cell r="H306">
            <v>0</v>
          </cell>
          <cell r="I306">
            <v>5352500</v>
          </cell>
          <cell r="J306">
            <v>27</v>
          </cell>
        </row>
        <row r="307">
          <cell r="C307">
            <v>10343</v>
          </cell>
          <cell r="D307">
            <v>254933.67075586732</v>
          </cell>
          <cell r="E307">
            <v>0</v>
          </cell>
          <cell r="F307">
            <v>5462373.9076041924</v>
          </cell>
          <cell r="H307">
            <v>0</v>
          </cell>
          <cell r="I307">
            <v>5462400</v>
          </cell>
          <cell r="J307">
            <v>25.5</v>
          </cell>
        </row>
        <row r="308">
          <cell r="C308">
            <v>10338</v>
          </cell>
          <cell r="D308">
            <v>257113.08707368263</v>
          </cell>
          <cell r="E308">
            <v>0</v>
          </cell>
          <cell r="F308">
            <v>6515676.6041635675</v>
          </cell>
          <cell r="H308">
            <v>0</v>
          </cell>
          <cell r="I308">
            <v>6515700</v>
          </cell>
          <cell r="J308">
            <v>27</v>
          </cell>
        </row>
        <row r="309">
          <cell r="C309">
            <v>10336</v>
          </cell>
          <cell r="D309">
            <v>165025.49757452257</v>
          </cell>
          <cell r="E309">
            <v>0</v>
          </cell>
          <cell r="F309">
            <v>6731461.7284302777</v>
          </cell>
          <cell r="H309">
            <v>0</v>
          </cell>
          <cell r="I309">
            <v>6731500</v>
          </cell>
          <cell r="J309">
            <v>27</v>
          </cell>
        </row>
        <row r="310">
          <cell r="C310">
            <v>10327</v>
          </cell>
          <cell r="D310">
            <v>42294.440680871252</v>
          </cell>
          <cell r="E310">
            <v>0</v>
          </cell>
          <cell r="F310">
            <v>7148471.4856496938</v>
          </cell>
          <cell r="H310">
            <v>0</v>
          </cell>
          <cell r="I310">
            <v>7148500</v>
          </cell>
          <cell r="J310">
            <v>27.5</v>
          </cell>
        </row>
        <row r="311">
          <cell r="C311">
            <v>10326</v>
          </cell>
          <cell r="D311">
            <v>135703.6477571284</v>
          </cell>
          <cell r="E311">
            <v>0</v>
          </cell>
          <cell r="F311">
            <v>6901365.0182670765</v>
          </cell>
          <cell r="H311">
            <v>0</v>
          </cell>
          <cell r="I311">
            <v>6901400</v>
          </cell>
          <cell r="J311">
            <v>27.5</v>
          </cell>
        </row>
        <row r="312">
          <cell r="C312">
            <v>50046</v>
          </cell>
          <cell r="D312">
            <v>32176.527735925803</v>
          </cell>
          <cell r="E312">
            <v>0</v>
          </cell>
          <cell r="F312">
            <v>8393806.3542922214</v>
          </cell>
          <cell r="G312">
            <v>518595</v>
          </cell>
          <cell r="H312">
            <v>25000</v>
          </cell>
          <cell r="I312">
            <v>7850200</v>
          </cell>
          <cell r="J312">
            <v>27</v>
          </cell>
        </row>
        <row r="313">
          <cell r="C313">
            <v>50138</v>
          </cell>
          <cell r="D313">
            <v>0</v>
          </cell>
          <cell r="E313">
            <v>0</v>
          </cell>
          <cell r="F313">
            <v>9061000.7176457085</v>
          </cell>
          <cell r="G313">
            <v>518595</v>
          </cell>
          <cell r="H313">
            <v>24700</v>
          </cell>
          <cell r="I313">
            <v>8517700</v>
          </cell>
          <cell r="J313">
            <v>27</v>
          </cell>
        </row>
        <row r="314">
          <cell r="C314">
            <v>50394</v>
          </cell>
          <cell r="D314">
            <v>0</v>
          </cell>
          <cell r="E314">
            <v>0</v>
          </cell>
          <cell r="F314">
            <v>9353455.9474589732</v>
          </cell>
          <cell r="G314">
            <v>518595</v>
          </cell>
          <cell r="H314">
            <v>24700</v>
          </cell>
          <cell r="I314">
            <v>8810200</v>
          </cell>
          <cell r="J314">
            <v>26.7</v>
          </cell>
        </row>
        <row r="315">
          <cell r="C315">
            <v>50628</v>
          </cell>
          <cell r="D315">
            <v>0</v>
          </cell>
          <cell r="E315">
            <v>0</v>
          </cell>
          <cell r="F315">
            <v>8341653.8894203473</v>
          </cell>
          <cell r="G315">
            <v>518595</v>
          </cell>
          <cell r="H315">
            <v>24700</v>
          </cell>
          <cell r="I315">
            <v>7798400</v>
          </cell>
          <cell r="J315">
            <v>25.693750000000001</v>
          </cell>
        </row>
        <row r="316">
          <cell r="C316">
            <v>50788</v>
          </cell>
          <cell r="D316">
            <v>0</v>
          </cell>
          <cell r="E316">
            <v>0</v>
          </cell>
          <cell r="F316">
            <v>8662068.9088902436</v>
          </cell>
          <cell r="G316">
            <v>518595</v>
          </cell>
          <cell r="H316">
            <v>24700</v>
          </cell>
          <cell r="I316">
            <v>8118800</v>
          </cell>
          <cell r="J316">
            <v>27</v>
          </cell>
        </row>
        <row r="317">
          <cell r="C317">
            <v>50998</v>
          </cell>
          <cell r="D317">
            <v>0</v>
          </cell>
          <cell r="E317">
            <v>0</v>
          </cell>
          <cell r="F317">
            <v>8894769.4011727571</v>
          </cell>
          <cell r="G317">
            <v>518595</v>
          </cell>
          <cell r="H317">
            <v>24700</v>
          </cell>
          <cell r="I317">
            <v>8351500</v>
          </cell>
          <cell r="J317">
            <v>27</v>
          </cell>
        </row>
        <row r="318">
          <cell r="C318">
            <v>51440</v>
          </cell>
          <cell r="D318">
            <v>0</v>
          </cell>
          <cell r="E318">
            <v>0</v>
          </cell>
          <cell r="F318">
            <v>8705976.5874540508</v>
          </cell>
          <cell r="G318">
            <v>518595</v>
          </cell>
          <cell r="H318">
            <v>24700</v>
          </cell>
          <cell r="I318">
            <v>8162700</v>
          </cell>
          <cell r="J318">
            <v>27</v>
          </cell>
        </row>
        <row r="319">
          <cell r="C319">
            <v>51548</v>
          </cell>
          <cell r="D319">
            <v>219824.18320201797</v>
          </cell>
          <cell r="E319">
            <v>0</v>
          </cell>
          <cell r="F319">
            <v>7873928.1715477919</v>
          </cell>
          <cell r="G319">
            <v>518595</v>
          </cell>
          <cell r="H319">
            <v>24700</v>
          </cell>
          <cell r="I319">
            <v>7330600</v>
          </cell>
          <cell r="J319">
            <v>27</v>
          </cell>
        </row>
        <row r="320">
          <cell r="C320">
            <v>51586</v>
          </cell>
          <cell r="D320">
            <v>0</v>
          </cell>
          <cell r="E320">
            <v>0</v>
          </cell>
          <cell r="F320">
            <v>8514978.6101454403</v>
          </cell>
          <cell r="G320">
            <v>518595</v>
          </cell>
          <cell r="H320">
            <v>24700</v>
          </cell>
          <cell r="I320">
            <v>7971700</v>
          </cell>
          <cell r="J320">
            <v>26</v>
          </cell>
        </row>
        <row r="321">
          <cell r="C321">
            <v>51707</v>
          </cell>
          <cell r="D321">
            <v>0</v>
          </cell>
          <cell r="E321">
            <v>-270193.75</v>
          </cell>
          <cell r="F321">
            <v>8339712.9552876074</v>
          </cell>
          <cell r="G321">
            <v>518595</v>
          </cell>
          <cell r="H321">
            <v>24700</v>
          </cell>
          <cell r="I321">
            <v>7796400</v>
          </cell>
          <cell r="J321">
            <v>26.489583333333332</v>
          </cell>
        </row>
        <row r="322">
          <cell r="C322">
            <v>51742</v>
          </cell>
          <cell r="D322">
            <v>0</v>
          </cell>
          <cell r="E322">
            <v>0</v>
          </cell>
          <cell r="F322">
            <v>9298581.4903828949</v>
          </cell>
          <cell r="G322">
            <v>518595</v>
          </cell>
          <cell r="H322">
            <v>24700</v>
          </cell>
          <cell r="I322">
            <v>8755300</v>
          </cell>
          <cell r="J322">
            <v>27</v>
          </cell>
        </row>
        <row r="323">
          <cell r="C323">
            <v>52041</v>
          </cell>
          <cell r="D323">
            <v>0</v>
          </cell>
          <cell r="E323">
            <v>0</v>
          </cell>
          <cell r="F323">
            <v>8438033.49177102</v>
          </cell>
          <cell r="G323">
            <v>518595</v>
          </cell>
          <cell r="H323">
            <v>24700</v>
          </cell>
          <cell r="I323">
            <v>7894700</v>
          </cell>
          <cell r="J323">
            <v>27.5</v>
          </cell>
        </row>
        <row r="324">
          <cell r="C324">
            <v>10308</v>
          </cell>
          <cell r="D324">
            <v>177358.04199156153</v>
          </cell>
          <cell r="E324">
            <v>0</v>
          </cell>
          <cell r="F324">
            <v>6650437.8932560841</v>
          </cell>
          <cell r="H324">
            <v>0</v>
          </cell>
          <cell r="I324">
            <v>6650400</v>
          </cell>
          <cell r="J324">
            <v>27</v>
          </cell>
        </row>
        <row r="325">
          <cell r="C325">
            <v>10217</v>
          </cell>
          <cell r="D325">
            <v>0</v>
          </cell>
          <cell r="E325">
            <v>0</v>
          </cell>
          <cell r="F325">
            <v>7132076.3459474817</v>
          </cell>
          <cell r="H325">
            <v>0</v>
          </cell>
          <cell r="I325">
            <v>7132100</v>
          </cell>
          <cell r="J325">
            <v>26</v>
          </cell>
        </row>
        <row r="326">
          <cell r="C326">
            <v>10198</v>
          </cell>
          <cell r="D326">
            <v>246790.03074506184</v>
          </cell>
          <cell r="E326">
            <v>0</v>
          </cell>
          <cell r="F326">
            <v>6473414.7635340439</v>
          </cell>
          <cell r="H326">
            <v>0</v>
          </cell>
          <cell r="I326">
            <v>6473400</v>
          </cell>
          <cell r="J326">
            <v>27</v>
          </cell>
        </row>
        <row r="327">
          <cell r="C327">
            <v>50258</v>
          </cell>
          <cell r="D327">
            <v>168234.73858552921</v>
          </cell>
          <cell r="E327">
            <v>0</v>
          </cell>
          <cell r="F327">
            <v>7475476.3130895654</v>
          </cell>
          <cell r="G327">
            <v>518595</v>
          </cell>
          <cell r="H327">
            <v>25000</v>
          </cell>
          <cell r="I327">
            <v>6931900</v>
          </cell>
          <cell r="J327">
            <v>27</v>
          </cell>
        </row>
        <row r="328">
          <cell r="C328">
            <v>50343</v>
          </cell>
          <cell r="D328">
            <v>221364.6346419504</v>
          </cell>
          <cell r="E328">
            <v>0</v>
          </cell>
          <cell r="F328">
            <v>7188815.350881841</v>
          </cell>
          <cell r="G328">
            <v>518595</v>
          </cell>
          <cell r="H328">
            <v>24700</v>
          </cell>
          <cell r="I328">
            <v>6645500</v>
          </cell>
          <cell r="J328">
            <v>27.5</v>
          </cell>
        </row>
        <row r="329">
          <cell r="C329">
            <v>50427</v>
          </cell>
          <cell r="D329">
            <v>216524.83298072606</v>
          </cell>
          <cell r="E329">
            <v>0</v>
          </cell>
          <cell r="F329">
            <v>7247263.3616347443</v>
          </cell>
          <cell r="G329">
            <v>518595</v>
          </cell>
          <cell r="H329">
            <v>24700</v>
          </cell>
          <cell r="I329">
            <v>6704000</v>
          </cell>
          <cell r="J329">
            <v>27</v>
          </cell>
        </row>
        <row r="330">
          <cell r="C330">
            <v>50697</v>
          </cell>
          <cell r="D330">
            <v>0</v>
          </cell>
          <cell r="E330">
            <v>0</v>
          </cell>
          <cell r="F330">
            <v>7835212.577592073</v>
          </cell>
          <cell r="G330">
            <v>518595</v>
          </cell>
          <cell r="H330">
            <v>24700</v>
          </cell>
          <cell r="I330">
            <v>7291900</v>
          </cell>
          <cell r="J330">
            <v>26</v>
          </cell>
        </row>
        <row r="331">
          <cell r="C331">
            <v>50783</v>
          </cell>
          <cell r="D331">
            <v>198693.51370135567</v>
          </cell>
          <cell r="E331">
            <v>0</v>
          </cell>
          <cell r="F331">
            <v>7339149.6271651639</v>
          </cell>
          <cell r="G331">
            <v>518595</v>
          </cell>
          <cell r="H331">
            <v>24700</v>
          </cell>
          <cell r="I331">
            <v>6795900</v>
          </cell>
          <cell r="J331">
            <v>27.5</v>
          </cell>
        </row>
        <row r="332">
          <cell r="C332">
            <v>51343</v>
          </cell>
          <cell r="D332">
            <v>0</v>
          </cell>
          <cell r="E332">
            <v>0</v>
          </cell>
          <cell r="F332">
            <v>8126548.3513353253</v>
          </cell>
          <cell r="G332">
            <v>518595</v>
          </cell>
          <cell r="H332">
            <v>24700</v>
          </cell>
          <cell r="I332">
            <v>7583300</v>
          </cell>
          <cell r="J332">
            <v>27.5</v>
          </cell>
        </row>
        <row r="333">
          <cell r="C333">
            <v>51474</v>
          </cell>
          <cell r="D333">
            <v>0</v>
          </cell>
          <cell r="E333">
            <v>0</v>
          </cell>
          <cell r="F333">
            <v>8270156.8350337381</v>
          </cell>
          <cell r="G333">
            <v>518595</v>
          </cell>
          <cell r="H333">
            <v>24700</v>
          </cell>
          <cell r="I333">
            <v>7726900</v>
          </cell>
          <cell r="J333">
            <v>27.5</v>
          </cell>
        </row>
        <row r="334">
          <cell r="C334">
            <v>51581</v>
          </cell>
          <cell r="D334">
            <v>177902.07523773593</v>
          </cell>
          <cell r="E334">
            <v>0</v>
          </cell>
          <cell r="F334">
            <v>6699408.6508893566</v>
          </cell>
          <cell r="G334">
            <v>518595</v>
          </cell>
          <cell r="H334">
            <v>24700</v>
          </cell>
          <cell r="I334">
            <v>6156100</v>
          </cell>
          <cell r="J334">
            <v>26</v>
          </cell>
        </row>
        <row r="335">
          <cell r="C335">
            <v>51929</v>
          </cell>
          <cell r="D335">
            <v>255006.03883196303</v>
          </cell>
          <cell r="E335">
            <v>0</v>
          </cell>
          <cell r="F335">
            <v>7294613.9748502644</v>
          </cell>
          <cell r="G335">
            <v>518595</v>
          </cell>
          <cell r="H335">
            <v>24700</v>
          </cell>
          <cell r="I335">
            <v>6751300</v>
          </cell>
          <cell r="J335">
            <v>27</v>
          </cell>
        </row>
        <row r="336">
          <cell r="C336">
            <v>52018</v>
          </cell>
          <cell r="D336">
            <v>0</v>
          </cell>
          <cell r="E336">
            <v>0</v>
          </cell>
          <cell r="F336">
            <v>7429607.7732649473</v>
          </cell>
          <cell r="G336">
            <v>518595</v>
          </cell>
          <cell r="H336">
            <v>24700</v>
          </cell>
          <cell r="I336">
            <v>6886300</v>
          </cell>
          <cell r="J336">
            <v>24.302083333333332</v>
          </cell>
        </row>
        <row r="337">
          <cell r="C337">
            <v>52020</v>
          </cell>
          <cell r="D337">
            <v>70882.841245117976</v>
          </cell>
          <cell r="E337">
            <v>0</v>
          </cell>
          <cell r="F337">
            <v>6977074.9976321664</v>
          </cell>
          <cell r="G337">
            <v>518595</v>
          </cell>
          <cell r="H337">
            <v>24700</v>
          </cell>
          <cell r="I337">
            <v>6433800</v>
          </cell>
          <cell r="J337">
            <v>26.5</v>
          </cell>
        </row>
        <row r="338">
          <cell r="C338">
            <v>52036</v>
          </cell>
          <cell r="D338">
            <v>208529.79694543959</v>
          </cell>
          <cell r="E338">
            <v>0</v>
          </cell>
          <cell r="F338">
            <v>6078629.7138645351</v>
          </cell>
          <cell r="G338">
            <v>518595</v>
          </cell>
          <cell r="H338">
            <v>24700</v>
          </cell>
          <cell r="I338">
            <v>5535300</v>
          </cell>
          <cell r="J338">
            <v>25</v>
          </cell>
        </row>
        <row r="339">
          <cell r="C339">
            <v>52057</v>
          </cell>
          <cell r="D339">
            <v>0</v>
          </cell>
          <cell r="E339">
            <v>0</v>
          </cell>
          <cell r="F339">
            <v>7771335.9756370438</v>
          </cell>
          <cell r="G339">
            <v>518595</v>
          </cell>
          <cell r="H339">
            <v>24700</v>
          </cell>
          <cell r="I339">
            <v>7228000</v>
          </cell>
          <cell r="J339">
            <v>27.5</v>
          </cell>
        </row>
        <row r="340">
          <cell r="C340">
            <v>52116</v>
          </cell>
          <cell r="D340">
            <v>159769.93923688919</v>
          </cell>
          <cell r="E340">
            <v>0</v>
          </cell>
          <cell r="F340">
            <v>6884636.5038705291</v>
          </cell>
          <cell r="G340">
            <v>518595</v>
          </cell>
          <cell r="H340">
            <v>24700</v>
          </cell>
          <cell r="I340">
            <v>6341300</v>
          </cell>
          <cell r="J340">
            <v>26.5</v>
          </cell>
        </row>
        <row r="341">
          <cell r="C341">
            <v>10356</v>
          </cell>
          <cell r="D341">
            <v>133080.03388348699</v>
          </cell>
          <cell r="E341">
            <v>-612000</v>
          </cell>
          <cell r="F341">
            <v>3436664.9464264619</v>
          </cell>
          <cell r="H341">
            <v>0</v>
          </cell>
          <cell r="I341">
            <v>3436700</v>
          </cell>
          <cell r="J341">
            <v>18</v>
          </cell>
        </row>
        <row r="342">
          <cell r="C342">
            <v>10201</v>
          </cell>
          <cell r="D342">
            <v>257335.30803535393</v>
          </cell>
          <cell r="E342">
            <v>-265200</v>
          </cell>
          <cell r="F342">
            <v>5158366.8590135965</v>
          </cell>
          <cell r="H342">
            <v>0</v>
          </cell>
          <cell r="I342">
            <v>5158400</v>
          </cell>
          <cell r="J342">
            <v>26</v>
          </cell>
        </row>
        <row r="343">
          <cell r="C343">
            <v>50089</v>
          </cell>
          <cell r="D343">
            <v>388607.1562967354</v>
          </cell>
          <cell r="E343">
            <v>-254681.25</v>
          </cell>
          <cell r="F343">
            <v>6344525.596280735</v>
          </cell>
          <cell r="G343">
            <v>518595</v>
          </cell>
          <cell r="H343">
            <v>25000</v>
          </cell>
          <cell r="I343">
            <v>5800900</v>
          </cell>
          <cell r="J343">
            <v>24.96875</v>
          </cell>
        </row>
        <row r="344">
          <cell r="C344">
            <v>50198</v>
          </cell>
          <cell r="D344">
            <v>53072.453578781482</v>
          </cell>
          <cell r="E344">
            <v>0</v>
          </cell>
          <cell r="F344">
            <v>7868745.427191006</v>
          </cell>
          <cell r="G344">
            <v>518595</v>
          </cell>
          <cell r="H344">
            <v>24700</v>
          </cell>
          <cell r="I344">
            <v>7325500</v>
          </cell>
          <cell r="J344">
            <v>26</v>
          </cell>
        </row>
        <row r="345">
          <cell r="C345">
            <v>50871</v>
          </cell>
          <cell r="D345">
            <v>165916.6494767761</v>
          </cell>
          <cell r="E345">
            <v>0</v>
          </cell>
          <cell r="F345">
            <v>7406524.2940910393</v>
          </cell>
          <cell r="G345">
            <v>518595</v>
          </cell>
          <cell r="H345">
            <v>24700</v>
          </cell>
          <cell r="I345">
            <v>6863200</v>
          </cell>
          <cell r="J345">
            <v>26.887499999999999</v>
          </cell>
        </row>
        <row r="346">
          <cell r="C346">
            <v>50946</v>
          </cell>
          <cell r="D346">
            <v>0</v>
          </cell>
          <cell r="E346">
            <v>-680000</v>
          </cell>
          <cell r="F346">
            <v>5809417.8563689776</v>
          </cell>
          <cell r="G346">
            <v>518595</v>
          </cell>
          <cell r="H346">
            <v>24700</v>
          </cell>
          <cell r="I346">
            <v>5266100</v>
          </cell>
          <cell r="J346">
            <v>20</v>
          </cell>
        </row>
        <row r="347">
          <cell r="C347">
            <v>50952</v>
          </cell>
          <cell r="D347">
            <v>239499.11944134228</v>
          </cell>
          <cell r="E347">
            <v>0</v>
          </cell>
          <cell r="F347">
            <v>7224802.7930292496</v>
          </cell>
          <cell r="G347">
            <v>518595</v>
          </cell>
          <cell r="H347">
            <v>24700</v>
          </cell>
          <cell r="I347">
            <v>6681500</v>
          </cell>
          <cell r="J347">
            <v>26.270833333333332</v>
          </cell>
        </row>
        <row r="348">
          <cell r="C348">
            <v>51031</v>
          </cell>
          <cell r="D348"/>
          <cell r="E348">
            <v>0</v>
          </cell>
          <cell r="F348">
            <v>7783534.5196647542</v>
          </cell>
          <cell r="G348">
            <v>518595</v>
          </cell>
          <cell r="H348">
            <v>24700</v>
          </cell>
          <cell r="I348">
            <v>7240200</v>
          </cell>
          <cell r="J348">
            <v>26</v>
          </cell>
        </row>
        <row r="349">
          <cell r="C349">
            <v>51140</v>
          </cell>
          <cell r="D349">
            <v>29093.787260699377</v>
          </cell>
          <cell r="E349">
            <v>0</v>
          </cell>
          <cell r="F349">
            <v>8105421.4026409779</v>
          </cell>
          <cell r="G349">
            <v>518595</v>
          </cell>
          <cell r="H349">
            <v>24700</v>
          </cell>
          <cell r="I349">
            <v>7562100</v>
          </cell>
          <cell r="J349">
            <v>27</v>
          </cell>
        </row>
        <row r="350">
          <cell r="C350">
            <v>51230</v>
          </cell>
          <cell r="D350">
            <v>0</v>
          </cell>
          <cell r="E350">
            <v>0</v>
          </cell>
          <cell r="F350">
            <v>9661653.0428962894</v>
          </cell>
          <cell r="G350">
            <v>518595</v>
          </cell>
          <cell r="H350">
            <v>24700</v>
          </cell>
          <cell r="I350">
            <v>9118400</v>
          </cell>
          <cell r="J350">
            <v>27.483333333333334</v>
          </cell>
        </row>
        <row r="351">
          <cell r="C351">
            <v>51324</v>
          </cell>
          <cell r="D351">
            <v>0</v>
          </cell>
          <cell r="E351">
            <v>0</v>
          </cell>
          <cell r="F351">
            <v>8674715.8793926332</v>
          </cell>
          <cell r="G351">
            <v>518595</v>
          </cell>
          <cell r="H351">
            <v>24700</v>
          </cell>
          <cell r="I351">
            <v>8131400</v>
          </cell>
          <cell r="J351">
            <v>26.75</v>
          </cell>
        </row>
        <row r="352">
          <cell r="C352">
            <v>51441</v>
          </cell>
          <cell r="D352">
            <v>292702.3250609556</v>
          </cell>
          <cell r="E352">
            <v>-270300</v>
          </cell>
          <cell r="F352">
            <v>6856433.4933000384</v>
          </cell>
          <cell r="G352">
            <v>518595</v>
          </cell>
          <cell r="H352">
            <v>24700</v>
          </cell>
          <cell r="I352">
            <v>6313100</v>
          </cell>
          <cell r="J352">
            <v>26.5</v>
          </cell>
        </row>
        <row r="353">
          <cell r="C353">
            <v>51613</v>
          </cell>
          <cell r="D353">
            <v>0</v>
          </cell>
          <cell r="E353">
            <v>0</v>
          </cell>
          <cell r="F353">
            <v>9271048.0305943713</v>
          </cell>
          <cell r="G353">
            <v>518595</v>
          </cell>
          <cell r="H353">
            <v>24700</v>
          </cell>
          <cell r="I353">
            <v>8727800</v>
          </cell>
          <cell r="J353">
            <v>27.45</v>
          </cell>
        </row>
        <row r="354">
          <cell r="C354">
            <v>51753</v>
          </cell>
          <cell r="D354">
            <v>0</v>
          </cell>
          <cell r="E354">
            <v>0</v>
          </cell>
          <cell r="F354">
            <v>9247011.1056548227</v>
          </cell>
          <cell r="G354">
            <v>518595</v>
          </cell>
          <cell r="H354">
            <v>24700</v>
          </cell>
          <cell r="I354">
            <v>8703700</v>
          </cell>
          <cell r="J354">
            <v>26.429166666666667</v>
          </cell>
        </row>
        <row r="355">
          <cell r="C355">
            <v>51922</v>
          </cell>
          <cell r="D355">
            <v>93535.512876761961</v>
          </cell>
          <cell r="E355">
            <v>0</v>
          </cell>
          <cell r="F355">
            <v>7388747.7215192858</v>
          </cell>
          <cell r="G355">
            <v>518595</v>
          </cell>
          <cell r="H355">
            <v>24700</v>
          </cell>
          <cell r="I355">
            <v>6845500</v>
          </cell>
          <cell r="J355">
            <v>26.875</v>
          </cell>
        </row>
        <row r="356">
          <cell r="C356">
            <v>52105</v>
          </cell>
          <cell r="D356">
            <v>0</v>
          </cell>
          <cell r="E356">
            <v>0</v>
          </cell>
          <cell r="F356">
            <v>8374368.809982446</v>
          </cell>
          <cell r="G356">
            <v>518595</v>
          </cell>
          <cell r="H356">
            <v>24700</v>
          </cell>
          <cell r="I356">
            <v>7831100</v>
          </cell>
          <cell r="J356">
            <v>27.5</v>
          </cell>
        </row>
        <row r="357">
          <cell r="C357">
            <v>10352</v>
          </cell>
          <cell r="D357">
            <v>0</v>
          </cell>
          <cell r="E357">
            <v>0</v>
          </cell>
          <cell r="F357">
            <v>7233892.9996885275</v>
          </cell>
          <cell r="H357">
            <v>0</v>
          </cell>
          <cell r="I357">
            <v>7233900</v>
          </cell>
          <cell r="J357">
            <v>27</v>
          </cell>
        </row>
        <row r="358">
          <cell r="C358">
            <v>10286</v>
          </cell>
          <cell r="D358">
            <v>0</v>
          </cell>
          <cell r="E358">
            <v>-646000</v>
          </cell>
          <cell r="F358">
            <v>4556781.2458233964</v>
          </cell>
          <cell r="H358">
            <v>0</v>
          </cell>
          <cell r="I358">
            <v>4556800</v>
          </cell>
          <cell r="J358">
            <v>19.5</v>
          </cell>
        </row>
        <row r="359">
          <cell r="C359">
            <v>50101</v>
          </cell>
          <cell r="D359">
            <v>366630.84115351544</v>
          </cell>
          <cell r="E359">
            <v>-265200</v>
          </cell>
          <cell r="F359">
            <v>6506104.7596591124</v>
          </cell>
          <cell r="G359">
            <v>518595</v>
          </cell>
          <cell r="H359">
            <v>25000</v>
          </cell>
          <cell r="I359">
            <v>5962500</v>
          </cell>
          <cell r="J359">
            <v>26.5</v>
          </cell>
        </row>
        <row r="360">
          <cell r="C360">
            <v>50404</v>
          </cell>
          <cell r="D360">
            <v>124951.67939506279</v>
          </cell>
          <cell r="E360">
            <v>-254893.75</v>
          </cell>
          <cell r="F360">
            <v>6447871.4219287708</v>
          </cell>
          <cell r="G360">
            <v>518595</v>
          </cell>
          <cell r="H360">
            <v>24700</v>
          </cell>
          <cell r="I360">
            <v>5904600</v>
          </cell>
          <cell r="J360">
            <v>25.489583333333332</v>
          </cell>
        </row>
        <row r="361">
          <cell r="C361">
            <v>50872</v>
          </cell>
          <cell r="D361">
            <v>10483.206884372368</v>
          </cell>
          <cell r="E361">
            <v>0</v>
          </cell>
          <cell r="F361">
            <v>8016468.612252865</v>
          </cell>
          <cell r="G361">
            <v>518595</v>
          </cell>
          <cell r="H361">
            <v>24700</v>
          </cell>
          <cell r="I361">
            <v>7473200</v>
          </cell>
          <cell r="J361">
            <v>26.5</v>
          </cell>
        </row>
        <row r="362">
          <cell r="C362">
            <v>50879</v>
          </cell>
          <cell r="D362">
            <v>359748.93193741358</v>
          </cell>
          <cell r="E362">
            <v>-275400</v>
          </cell>
          <cell r="F362">
            <v>7031049.3580339113</v>
          </cell>
          <cell r="G362">
            <v>518595</v>
          </cell>
          <cell r="H362">
            <v>24700</v>
          </cell>
          <cell r="I362">
            <v>6487800</v>
          </cell>
          <cell r="J362">
            <v>27.5</v>
          </cell>
        </row>
        <row r="363">
          <cell r="C363">
            <v>50882</v>
          </cell>
          <cell r="D363">
            <v>192478.79396951321</v>
          </cell>
          <cell r="E363">
            <v>0</v>
          </cell>
          <cell r="F363">
            <v>7838843.1853991514</v>
          </cell>
          <cell r="G363">
            <v>518595</v>
          </cell>
          <cell r="H363">
            <v>24700</v>
          </cell>
          <cell r="I363">
            <v>7295500</v>
          </cell>
          <cell r="J363">
            <v>27.5</v>
          </cell>
        </row>
        <row r="364">
          <cell r="C364">
            <v>51317</v>
          </cell>
          <cell r="D364">
            <v>140167.41599869711</v>
          </cell>
          <cell r="E364">
            <v>0</v>
          </cell>
          <cell r="F364">
            <v>7901411.8145039082</v>
          </cell>
          <cell r="G364">
            <v>518595</v>
          </cell>
          <cell r="H364">
            <v>24700</v>
          </cell>
          <cell r="I364">
            <v>7358100</v>
          </cell>
          <cell r="J364">
            <v>27</v>
          </cell>
        </row>
        <row r="365">
          <cell r="C365">
            <v>51521</v>
          </cell>
          <cell r="D365">
            <v>115362.3185169776</v>
          </cell>
          <cell r="E365">
            <v>0</v>
          </cell>
          <cell r="F365">
            <v>7808760.7843561098</v>
          </cell>
          <cell r="G365">
            <v>518595</v>
          </cell>
          <cell r="H365">
            <v>24700</v>
          </cell>
          <cell r="I365">
            <v>7265500</v>
          </cell>
          <cell r="J365">
            <v>25</v>
          </cell>
        </row>
        <row r="366">
          <cell r="C366">
            <v>51655</v>
          </cell>
          <cell r="D366">
            <v>234628.85951222855</v>
          </cell>
          <cell r="E366">
            <v>0</v>
          </cell>
          <cell r="F366">
            <v>7021968.0363137415</v>
          </cell>
          <cell r="G366">
            <v>518595</v>
          </cell>
          <cell r="H366">
            <v>24700</v>
          </cell>
          <cell r="I366">
            <v>6478700</v>
          </cell>
          <cell r="J366">
            <v>26.5</v>
          </cell>
        </row>
        <row r="367">
          <cell r="C367">
            <v>51704</v>
          </cell>
          <cell r="D367">
            <v>346344.30324761616</v>
          </cell>
          <cell r="E367">
            <v>-275400</v>
          </cell>
          <cell r="F367">
            <v>6832764.085449459</v>
          </cell>
          <cell r="G367">
            <v>518595</v>
          </cell>
          <cell r="H367">
            <v>24700</v>
          </cell>
          <cell r="I367">
            <v>6289500</v>
          </cell>
          <cell r="J367">
            <v>27</v>
          </cell>
        </row>
        <row r="368">
          <cell r="C368">
            <v>51897</v>
          </cell>
          <cell r="D368">
            <v>83220.862566216587</v>
          </cell>
          <cell r="E368">
            <v>0</v>
          </cell>
          <cell r="F368">
            <v>7516434.2146517774</v>
          </cell>
          <cell r="G368">
            <v>518595</v>
          </cell>
          <cell r="H368">
            <v>24700</v>
          </cell>
          <cell r="I368">
            <v>6973100</v>
          </cell>
          <cell r="J368">
            <v>26</v>
          </cell>
        </row>
        <row r="369">
          <cell r="C369">
            <v>51907</v>
          </cell>
          <cell r="D369">
            <v>333125.31627974741</v>
          </cell>
          <cell r="E369">
            <v>-275400</v>
          </cell>
          <cell r="F369">
            <v>6285455.6617376804</v>
          </cell>
          <cell r="G369">
            <v>518595</v>
          </cell>
          <cell r="H369">
            <v>24700</v>
          </cell>
          <cell r="I369">
            <v>5742200</v>
          </cell>
          <cell r="J369">
            <v>26</v>
          </cell>
        </row>
        <row r="370">
          <cell r="C370">
            <v>51911</v>
          </cell>
          <cell r="D370">
            <v>309388.89030991716</v>
          </cell>
          <cell r="E370">
            <v>-275400</v>
          </cell>
          <cell r="F370">
            <v>6964499.0742625548</v>
          </cell>
          <cell r="G370">
            <v>518595</v>
          </cell>
          <cell r="H370">
            <v>24700</v>
          </cell>
          <cell r="I370">
            <v>6421200</v>
          </cell>
          <cell r="J370">
            <v>27</v>
          </cell>
        </row>
        <row r="371">
          <cell r="C371">
            <v>51961</v>
          </cell>
          <cell r="D371">
            <v>237649.90146262402</v>
          </cell>
          <cell r="E371">
            <v>0</v>
          </cell>
          <cell r="F371">
            <v>7111164.2364953179</v>
          </cell>
          <cell r="G371">
            <v>518595</v>
          </cell>
          <cell r="H371">
            <v>24700</v>
          </cell>
          <cell r="I371">
            <v>6567900</v>
          </cell>
          <cell r="J371">
            <v>26.464583333333334</v>
          </cell>
        </row>
        <row r="372">
          <cell r="C372">
            <v>51982</v>
          </cell>
          <cell r="D372">
            <v>163819.361022572</v>
          </cell>
          <cell r="E372">
            <v>0</v>
          </cell>
          <cell r="F372">
            <v>7707509.585201514</v>
          </cell>
          <cell r="G372">
            <v>518595</v>
          </cell>
          <cell r="H372">
            <v>24700</v>
          </cell>
          <cell r="I372">
            <v>7164200</v>
          </cell>
          <cell r="J372">
            <v>27.5</v>
          </cell>
        </row>
        <row r="373">
          <cell r="C373">
            <v>52005</v>
          </cell>
          <cell r="D373">
            <v>316863.33946083451</v>
          </cell>
          <cell r="E373">
            <v>-275400</v>
          </cell>
          <cell r="F373">
            <v>6485082.3373867264</v>
          </cell>
          <cell r="G373">
            <v>518595</v>
          </cell>
          <cell r="H373">
            <v>24700</v>
          </cell>
          <cell r="I373">
            <v>5941800</v>
          </cell>
          <cell r="J373">
            <v>27</v>
          </cell>
        </row>
        <row r="374">
          <cell r="C374">
            <v>52120</v>
          </cell>
          <cell r="D374">
            <v>309990.53040405421</v>
          </cell>
          <cell r="E374">
            <v>-255000</v>
          </cell>
          <cell r="F374">
            <v>6055050.3404117692</v>
          </cell>
          <cell r="G374">
            <v>518595</v>
          </cell>
          <cell r="H374">
            <v>24700</v>
          </cell>
          <cell r="I374">
            <v>5511800</v>
          </cell>
          <cell r="J374">
            <v>25</v>
          </cell>
        </row>
        <row r="375">
          <cell r="C375">
            <v>10313</v>
          </cell>
          <cell r="D375">
            <v>242810.63286132028</v>
          </cell>
          <cell r="E375">
            <v>0</v>
          </cell>
          <cell r="F375">
            <v>6613064.985319173</v>
          </cell>
          <cell r="H375">
            <v>0</v>
          </cell>
          <cell r="I375">
            <v>6613100</v>
          </cell>
          <cell r="J375">
            <v>26.979166666666668</v>
          </cell>
        </row>
        <row r="376">
          <cell r="C376">
            <v>10312</v>
          </cell>
          <cell r="D376">
            <v>185814.45533232411</v>
          </cell>
          <cell r="E376">
            <v>0</v>
          </cell>
          <cell r="F376">
            <v>6385599.0129204066</v>
          </cell>
          <cell r="H376">
            <v>0</v>
          </cell>
          <cell r="I376">
            <v>6385600</v>
          </cell>
          <cell r="J376">
            <v>26.270833333333332</v>
          </cell>
        </row>
        <row r="377">
          <cell r="C377">
            <v>10292</v>
          </cell>
          <cell r="D377">
            <v>201129.1681313806</v>
          </cell>
          <cell r="E377">
            <v>0</v>
          </cell>
          <cell r="F377">
            <v>6350588.4571443181</v>
          </cell>
          <cell r="H377">
            <v>0</v>
          </cell>
          <cell r="I377">
            <v>6350600</v>
          </cell>
          <cell r="J377">
            <v>27</v>
          </cell>
        </row>
        <row r="378">
          <cell r="C378">
            <v>10233</v>
          </cell>
          <cell r="D378">
            <v>121378.53787880734</v>
          </cell>
          <cell r="E378">
            <v>0</v>
          </cell>
          <cell r="F378">
            <v>5137757.148115715</v>
          </cell>
          <cell r="H378">
            <v>0</v>
          </cell>
          <cell r="I378">
            <v>5137800</v>
          </cell>
          <cell r="J378">
            <v>22.5</v>
          </cell>
        </row>
        <row r="379">
          <cell r="C379">
            <v>10163</v>
          </cell>
          <cell r="D379">
            <v>196033.59963533137</v>
          </cell>
          <cell r="E379">
            <v>0</v>
          </cell>
          <cell r="F379">
            <v>6441396.5301538333</v>
          </cell>
          <cell r="H379">
            <v>0</v>
          </cell>
          <cell r="I379">
            <v>6441400</v>
          </cell>
          <cell r="J379">
            <v>27</v>
          </cell>
        </row>
        <row r="380">
          <cell r="C380">
            <v>50364</v>
          </cell>
          <cell r="D380">
            <v>115629.55565977556</v>
          </cell>
          <cell r="E380">
            <v>0</v>
          </cell>
          <cell r="F380">
            <v>8367085.0109052891</v>
          </cell>
          <cell r="G380">
            <v>518595</v>
          </cell>
          <cell r="H380">
            <v>25000</v>
          </cell>
          <cell r="I380">
            <v>7823500</v>
          </cell>
          <cell r="J380">
            <v>27.5</v>
          </cell>
        </row>
        <row r="381">
          <cell r="C381">
            <v>50522</v>
          </cell>
          <cell r="D381">
            <v>108035.10992634599</v>
          </cell>
          <cell r="E381">
            <v>0</v>
          </cell>
          <cell r="F381">
            <v>8206991.3456444237</v>
          </cell>
          <cell r="G381">
            <v>518595</v>
          </cell>
          <cell r="H381">
            <v>24700</v>
          </cell>
          <cell r="I381">
            <v>7663700</v>
          </cell>
          <cell r="J381">
            <v>25.875</v>
          </cell>
        </row>
        <row r="382">
          <cell r="C382">
            <v>50786</v>
          </cell>
          <cell r="D382">
            <v>138966.49820776365</v>
          </cell>
          <cell r="E382">
            <v>0</v>
          </cell>
          <cell r="F382">
            <v>7888440.1325134607</v>
          </cell>
          <cell r="G382">
            <v>518595</v>
          </cell>
          <cell r="H382">
            <v>24700</v>
          </cell>
          <cell r="I382">
            <v>7345100</v>
          </cell>
          <cell r="J382">
            <v>27</v>
          </cell>
        </row>
        <row r="383">
          <cell r="C383">
            <v>51048</v>
          </cell>
          <cell r="D383">
            <v>34149.07704269659</v>
          </cell>
          <cell r="E383">
            <v>0</v>
          </cell>
          <cell r="F383">
            <v>7873890.0760300308</v>
          </cell>
          <cell r="G383">
            <v>518595</v>
          </cell>
          <cell r="H383">
            <v>24700</v>
          </cell>
          <cell r="I383">
            <v>7330600</v>
          </cell>
          <cell r="J383">
            <v>26.5</v>
          </cell>
        </row>
        <row r="384">
          <cell r="C384">
            <v>51340</v>
          </cell>
          <cell r="D384">
            <v>111009.08889353712</v>
          </cell>
          <cell r="E384">
            <v>0</v>
          </cell>
          <cell r="F384">
            <v>7520607.0810757997</v>
          </cell>
          <cell r="G384">
            <v>518595</v>
          </cell>
          <cell r="H384">
            <v>24700</v>
          </cell>
          <cell r="I384">
            <v>6977300</v>
          </cell>
          <cell r="J384">
            <v>26</v>
          </cell>
        </row>
        <row r="385">
          <cell r="C385">
            <v>51373</v>
          </cell>
          <cell r="D385">
            <v>0</v>
          </cell>
          <cell r="E385">
            <v>0</v>
          </cell>
          <cell r="F385">
            <v>8722526.1863743551</v>
          </cell>
          <cell r="G385">
            <v>518595</v>
          </cell>
          <cell r="H385">
            <v>24700</v>
          </cell>
          <cell r="I385">
            <v>8179200</v>
          </cell>
          <cell r="J385">
            <v>27.5</v>
          </cell>
        </row>
        <row r="386">
          <cell r="C386">
            <v>51374</v>
          </cell>
          <cell r="D386">
            <v>64354.775939948333</v>
          </cell>
          <cell r="E386">
            <v>0</v>
          </cell>
          <cell r="F386">
            <v>8157903.3181915516</v>
          </cell>
          <cell r="G386">
            <v>518595</v>
          </cell>
          <cell r="H386">
            <v>24700</v>
          </cell>
          <cell r="I386">
            <v>7614600</v>
          </cell>
          <cell r="J386">
            <v>27.458333333333332</v>
          </cell>
        </row>
        <row r="387">
          <cell r="C387">
            <v>51426</v>
          </cell>
          <cell r="D387">
            <v>122246.96779020416</v>
          </cell>
          <cell r="E387">
            <v>0</v>
          </cell>
          <cell r="F387">
            <v>8173039.2648986187</v>
          </cell>
          <cell r="G387">
            <v>518595</v>
          </cell>
          <cell r="H387">
            <v>24700</v>
          </cell>
          <cell r="I387">
            <v>7629700</v>
          </cell>
          <cell r="J387">
            <v>27.5</v>
          </cell>
        </row>
        <row r="388">
          <cell r="C388">
            <v>51438</v>
          </cell>
          <cell r="D388">
            <v>221945.96844349528</v>
          </cell>
          <cell r="E388">
            <v>0</v>
          </cell>
          <cell r="F388">
            <v>7720694.0658233603</v>
          </cell>
          <cell r="G388">
            <v>518595</v>
          </cell>
          <cell r="H388">
            <v>24700</v>
          </cell>
          <cell r="I388">
            <v>7177400</v>
          </cell>
          <cell r="J388">
            <v>27.5</v>
          </cell>
        </row>
        <row r="389">
          <cell r="C389">
            <v>51493</v>
          </cell>
          <cell r="D389">
            <v>56716.57710820128</v>
          </cell>
          <cell r="E389">
            <v>0</v>
          </cell>
          <cell r="F389">
            <v>8180947.8648292432</v>
          </cell>
          <cell r="G389">
            <v>518595</v>
          </cell>
          <cell r="H389">
            <v>24700</v>
          </cell>
          <cell r="I389">
            <v>7637700</v>
          </cell>
          <cell r="J389">
            <v>27.5</v>
          </cell>
        </row>
        <row r="390">
          <cell r="C390">
            <v>51526</v>
          </cell>
          <cell r="D390">
            <v>254721.06693084459</v>
          </cell>
          <cell r="E390">
            <v>0</v>
          </cell>
          <cell r="F390">
            <v>7537663.1213228507</v>
          </cell>
          <cell r="G390">
            <v>518595</v>
          </cell>
          <cell r="H390">
            <v>24700</v>
          </cell>
          <cell r="I390">
            <v>6994400</v>
          </cell>
          <cell r="J390">
            <v>27.5</v>
          </cell>
        </row>
        <row r="391">
          <cell r="C391">
            <v>51662</v>
          </cell>
          <cell r="D391">
            <v>379776.8265863703</v>
          </cell>
          <cell r="E391">
            <v>-271893.75</v>
          </cell>
          <cell r="F391">
            <v>7043145.027719521</v>
          </cell>
          <cell r="G391">
            <v>518595</v>
          </cell>
          <cell r="H391">
            <v>24700</v>
          </cell>
          <cell r="I391">
            <v>6499900</v>
          </cell>
          <cell r="J391">
            <v>27.15625</v>
          </cell>
        </row>
        <row r="392">
          <cell r="C392">
            <v>51715</v>
          </cell>
          <cell r="D392">
            <v>109363.84592536557</v>
          </cell>
          <cell r="E392">
            <v>-265200</v>
          </cell>
          <cell r="F392">
            <v>7060630.4039974073</v>
          </cell>
          <cell r="G392">
            <v>518595</v>
          </cell>
          <cell r="H392">
            <v>24700</v>
          </cell>
          <cell r="I392">
            <v>6517300</v>
          </cell>
          <cell r="J392">
            <v>26</v>
          </cell>
        </row>
        <row r="393">
          <cell r="C393">
            <v>51808</v>
          </cell>
          <cell r="D393">
            <v>0</v>
          </cell>
          <cell r="E393">
            <v>0</v>
          </cell>
          <cell r="F393">
            <v>8779275.3723248318</v>
          </cell>
          <cell r="G393">
            <v>518595</v>
          </cell>
          <cell r="H393">
            <v>24700</v>
          </cell>
          <cell r="I393">
            <v>8236000</v>
          </cell>
          <cell r="J393">
            <v>27.5</v>
          </cell>
        </row>
        <row r="394">
          <cell r="C394">
            <v>52135</v>
          </cell>
          <cell r="D394">
            <v>0</v>
          </cell>
          <cell r="E394">
            <v>0</v>
          </cell>
          <cell r="F394">
            <v>8380784.7299251715</v>
          </cell>
          <cell r="H394">
            <v>0</v>
          </cell>
          <cell r="I394">
            <v>8380800</v>
          </cell>
          <cell r="J394">
            <v>27.375</v>
          </cell>
        </row>
        <row r="395">
          <cell r="C395">
            <v>52154</v>
          </cell>
          <cell r="D395">
            <v>492239.21649488591</v>
          </cell>
          <cell r="E395">
            <v>-265200</v>
          </cell>
          <cell r="F395">
            <v>4751626.8216691893</v>
          </cell>
          <cell r="H395">
            <v>0</v>
          </cell>
          <cell r="I395">
            <v>4751600</v>
          </cell>
          <cell r="J395">
            <v>26.5</v>
          </cell>
        </row>
        <row r="396">
          <cell r="C396">
            <v>52166</v>
          </cell>
          <cell r="D396">
            <v>37301.644751984684</v>
          </cell>
          <cell r="E396">
            <v>0</v>
          </cell>
          <cell r="F396">
            <v>3543246.7306300853</v>
          </cell>
          <cell r="H396">
            <v>0</v>
          </cell>
          <cell r="I396">
            <v>3543200</v>
          </cell>
          <cell r="J396">
            <v>14.966666666666667</v>
          </cell>
        </row>
        <row r="397">
          <cell r="C397">
            <v>10348</v>
          </cell>
          <cell r="D397">
            <v>272794.35461538448</v>
          </cell>
          <cell r="E397">
            <v>-275400</v>
          </cell>
          <cell r="F397">
            <v>5803271.7438461538</v>
          </cell>
          <cell r="H397">
            <v>0</v>
          </cell>
          <cell r="I397">
            <v>5803300</v>
          </cell>
          <cell r="J397">
            <v>27</v>
          </cell>
        </row>
        <row r="398">
          <cell r="C398">
            <v>50289</v>
          </cell>
          <cell r="D398">
            <v>134451.63582202111</v>
          </cell>
          <cell r="E398">
            <v>0</v>
          </cell>
          <cell r="F398">
            <v>7794905.6694570128</v>
          </cell>
          <cell r="G398">
            <v>518595</v>
          </cell>
          <cell r="H398">
            <v>25000</v>
          </cell>
          <cell r="I398">
            <v>7251300</v>
          </cell>
          <cell r="J398">
            <v>27.5</v>
          </cell>
        </row>
        <row r="399">
          <cell r="C399">
            <v>50528</v>
          </cell>
          <cell r="D399">
            <v>332527.85352745338</v>
          </cell>
          <cell r="E399">
            <v>-275400</v>
          </cell>
          <cell r="F399">
            <v>6924343.2423022548</v>
          </cell>
          <cell r="G399">
            <v>518595</v>
          </cell>
          <cell r="H399">
            <v>24700</v>
          </cell>
          <cell r="I399">
            <v>6381000</v>
          </cell>
          <cell r="J399">
            <v>27</v>
          </cell>
        </row>
        <row r="400">
          <cell r="C400">
            <v>50757</v>
          </cell>
          <cell r="D400">
            <v>311692.96000997408</v>
          </cell>
          <cell r="E400">
            <v>-275400</v>
          </cell>
          <cell r="F400">
            <v>6786702.7305470016</v>
          </cell>
          <cell r="G400">
            <v>518595</v>
          </cell>
          <cell r="H400">
            <v>24700</v>
          </cell>
          <cell r="I400">
            <v>6243400</v>
          </cell>
          <cell r="J400">
            <v>27.5</v>
          </cell>
        </row>
        <row r="401">
          <cell r="C401">
            <v>51141</v>
          </cell>
          <cell r="D401">
            <v>20650.510292727791</v>
          </cell>
          <cell r="E401">
            <v>0</v>
          </cell>
          <cell r="F401">
            <v>8101413.4931602776</v>
          </cell>
          <cell r="G401">
            <v>518595</v>
          </cell>
          <cell r="H401">
            <v>24700</v>
          </cell>
          <cell r="I401">
            <v>7558100</v>
          </cell>
          <cell r="J401">
            <v>27.5</v>
          </cell>
        </row>
        <row r="402">
          <cell r="C402">
            <v>51239</v>
          </cell>
          <cell r="D402">
            <v>100940.60183131986</v>
          </cell>
          <cell r="E402">
            <v>0</v>
          </cell>
          <cell r="F402">
            <v>7760586.6079675779</v>
          </cell>
          <cell r="G402">
            <v>518595</v>
          </cell>
          <cell r="H402">
            <v>24700</v>
          </cell>
          <cell r="I402">
            <v>7217300</v>
          </cell>
          <cell r="J402">
            <v>27</v>
          </cell>
        </row>
        <row r="403">
          <cell r="C403">
            <v>51280</v>
          </cell>
          <cell r="D403">
            <v>294692.61104738823</v>
          </cell>
          <cell r="E403">
            <v>-270300</v>
          </cell>
          <cell r="F403">
            <v>7563471.890148432</v>
          </cell>
          <cell r="G403">
            <v>518595</v>
          </cell>
          <cell r="H403">
            <v>24700</v>
          </cell>
          <cell r="I403">
            <v>7020200</v>
          </cell>
          <cell r="J403">
            <v>26.5</v>
          </cell>
        </row>
        <row r="404">
          <cell r="C404">
            <v>51288</v>
          </cell>
          <cell r="D404">
            <v>154933.14128594968</v>
          </cell>
          <cell r="E404">
            <v>0</v>
          </cell>
          <cell r="F404">
            <v>7752138.797295996</v>
          </cell>
          <cell r="G404">
            <v>518595</v>
          </cell>
          <cell r="H404">
            <v>24700</v>
          </cell>
          <cell r="I404">
            <v>7208800</v>
          </cell>
          <cell r="J404">
            <v>27.5</v>
          </cell>
        </row>
        <row r="405">
          <cell r="C405">
            <v>51292</v>
          </cell>
          <cell r="D405">
            <v>470931.93477675808</v>
          </cell>
          <cell r="E405">
            <v>-748000</v>
          </cell>
          <cell r="F405">
            <v>3866006.5535757085</v>
          </cell>
          <cell r="G405">
            <v>518595</v>
          </cell>
          <cell r="H405">
            <v>24700</v>
          </cell>
          <cell r="I405">
            <v>3322700</v>
          </cell>
          <cell r="J405">
            <v>22</v>
          </cell>
        </row>
        <row r="406">
          <cell r="C406">
            <v>51302</v>
          </cell>
          <cell r="D406">
            <v>0</v>
          </cell>
          <cell r="E406">
            <v>0</v>
          </cell>
          <cell r="F406">
            <v>8261778.1548731271</v>
          </cell>
          <cell r="G406">
            <v>518595</v>
          </cell>
          <cell r="H406">
            <v>24700</v>
          </cell>
          <cell r="I406">
            <v>7718500</v>
          </cell>
          <cell r="J406">
            <v>27.5</v>
          </cell>
        </row>
        <row r="407">
          <cell r="C407">
            <v>51336</v>
          </cell>
          <cell r="D407">
            <v>267902.44497712085</v>
          </cell>
          <cell r="E407">
            <v>0</v>
          </cell>
          <cell r="F407">
            <v>6763561.3424190646</v>
          </cell>
          <cell r="G407">
            <v>518595</v>
          </cell>
          <cell r="H407">
            <v>24700</v>
          </cell>
          <cell r="I407">
            <v>6220300</v>
          </cell>
          <cell r="J407">
            <v>26</v>
          </cell>
        </row>
        <row r="408">
          <cell r="C408">
            <v>51349</v>
          </cell>
          <cell r="D408">
            <v>134234.34182977892</v>
          </cell>
          <cell r="E408">
            <v>0</v>
          </cell>
          <cell r="F408">
            <v>7719474.7389337402</v>
          </cell>
          <cell r="G408">
            <v>518595</v>
          </cell>
          <cell r="H408">
            <v>24700</v>
          </cell>
          <cell r="I408">
            <v>7176200</v>
          </cell>
          <cell r="J408">
            <v>27</v>
          </cell>
        </row>
        <row r="409">
          <cell r="C409">
            <v>51624</v>
          </cell>
          <cell r="D409">
            <v>105036.57102175275</v>
          </cell>
          <cell r="E409">
            <v>0</v>
          </cell>
          <cell r="F409">
            <v>7692958.6763578188</v>
          </cell>
          <cell r="G409">
            <v>518595</v>
          </cell>
          <cell r="H409">
            <v>24700</v>
          </cell>
          <cell r="I409">
            <v>7149700</v>
          </cell>
          <cell r="J409">
            <v>27</v>
          </cell>
        </row>
        <row r="410">
          <cell r="C410">
            <v>51845</v>
          </cell>
          <cell r="D410">
            <v>248670.8653672653</v>
          </cell>
          <cell r="E410">
            <v>0</v>
          </cell>
          <cell r="F410">
            <v>6525245.2003725637</v>
          </cell>
          <cell r="G410">
            <v>518595</v>
          </cell>
          <cell r="H410">
            <v>24700</v>
          </cell>
          <cell r="I410">
            <v>5982000</v>
          </cell>
          <cell r="J410">
            <v>24.5</v>
          </cell>
        </row>
        <row r="411">
          <cell r="C411">
            <v>51874</v>
          </cell>
          <cell r="D411">
            <v>185521.86927661503</v>
          </cell>
          <cell r="E411">
            <v>0</v>
          </cell>
          <cell r="F411">
            <v>7245544.8667071927</v>
          </cell>
          <cell r="G411">
            <v>518595</v>
          </cell>
          <cell r="H411">
            <v>24700</v>
          </cell>
          <cell r="I411">
            <v>6702200</v>
          </cell>
          <cell r="J411">
            <v>27.083333333333332</v>
          </cell>
        </row>
        <row r="412">
          <cell r="C412">
            <v>51953</v>
          </cell>
          <cell r="D412">
            <v>353845.55533038737</v>
          </cell>
          <cell r="E412">
            <v>-234600</v>
          </cell>
          <cell r="F412">
            <v>5526979.192449009</v>
          </cell>
          <cell r="G412">
            <v>518595</v>
          </cell>
          <cell r="H412">
            <v>24700</v>
          </cell>
          <cell r="I412">
            <v>4983700</v>
          </cell>
          <cell r="J412">
            <v>23</v>
          </cell>
        </row>
        <row r="413">
          <cell r="C413">
            <v>52087</v>
          </cell>
          <cell r="D413">
            <v>416064.21715891815</v>
          </cell>
          <cell r="E413">
            <v>-275400</v>
          </cell>
          <cell r="F413">
            <v>5884236.4350617062</v>
          </cell>
          <cell r="G413">
            <v>518595</v>
          </cell>
          <cell r="H413">
            <v>24700</v>
          </cell>
          <cell r="I413">
            <v>5340900</v>
          </cell>
          <cell r="J413">
            <v>27</v>
          </cell>
        </row>
        <row r="414">
          <cell r="C414">
            <v>52117</v>
          </cell>
          <cell r="D414">
            <v>71418.033101221023</v>
          </cell>
          <cell r="E414">
            <v>0</v>
          </cell>
          <cell r="F414">
            <v>7604769.6186450552</v>
          </cell>
          <cell r="G414">
            <v>518595</v>
          </cell>
          <cell r="H414">
            <v>24700</v>
          </cell>
          <cell r="I414">
            <v>7061500</v>
          </cell>
          <cell r="J414">
            <v>27.125</v>
          </cell>
        </row>
        <row r="415">
          <cell r="C415">
            <v>52195</v>
          </cell>
          <cell r="D415">
            <v>251571.58754042958</v>
          </cell>
          <cell r="E415">
            <v>0</v>
          </cell>
          <cell r="F415">
            <v>5526802.7320368309</v>
          </cell>
          <cell r="H415">
            <v>0</v>
          </cell>
          <cell r="I415">
            <v>5526800</v>
          </cell>
          <cell r="J415">
            <v>26</v>
          </cell>
        </row>
        <row r="416">
          <cell r="C416">
            <v>10226</v>
          </cell>
          <cell r="D416">
            <v>241055.21508305884</v>
          </cell>
          <cell r="E416">
            <v>0</v>
          </cell>
          <cell r="F416">
            <v>6050739.4028277453</v>
          </cell>
          <cell r="H416">
            <v>0</v>
          </cell>
          <cell r="I416">
            <v>6050700</v>
          </cell>
          <cell r="J416">
            <v>27</v>
          </cell>
        </row>
        <row r="417">
          <cell r="C417">
            <v>50062</v>
          </cell>
          <cell r="D417">
            <v>129391.47173756652</v>
          </cell>
          <cell r="E417">
            <v>0</v>
          </cell>
          <cell r="F417">
            <v>7852693.6136334538</v>
          </cell>
          <cell r="G417">
            <v>518595</v>
          </cell>
          <cell r="H417">
            <v>25000</v>
          </cell>
          <cell r="I417">
            <v>7309100</v>
          </cell>
          <cell r="J417">
            <v>27</v>
          </cell>
        </row>
        <row r="418">
          <cell r="C418">
            <v>50136</v>
          </cell>
          <cell r="D418">
            <v>133677.84257296834</v>
          </cell>
          <cell r="E418">
            <v>0</v>
          </cell>
          <cell r="F418">
            <v>8192626.9290118637</v>
          </cell>
          <cell r="G418">
            <v>518595</v>
          </cell>
          <cell r="H418">
            <v>24700</v>
          </cell>
          <cell r="I418">
            <v>7649300</v>
          </cell>
          <cell r="J418">
            <v>27</v>
          </cell>
        </row>
        <row r="419">
          <cell r="C419">
            <v>50252</v>
          </cell>
          <cell r="D419">
            <v>0</v>
          </cell>
          <cell r="E419">
            <v>0</v>
          </cell>
          <cell r="F419">
            <v>8094246.3438836029</v>
          </cell>
          <cell r="G419">
            <v>518595</v>
          </cell>
          <cell r="H419">
            <v>24700</v>
          </cell>
          <cell r="I419">
            <v>7551000</v>
          </cell>
          <cell r="J419">
            <v>26.583333333333332</v>
          </cell>
        </row>
        <row r="420">
          <cell r="C420">
            <v>50263</v>
          </cell>
          <cell r="D420">
            <v>58450.601954800135</v>
          </cell>
          <cell r="E420">
            <v>0</v>
          </cell>
          <cell r="F420">
            <v>7831143.1594133768</v>
          </cell>
          <cell r="G420">
            <v>518595</v>
          </cell>
          <cell r="H420">
            <v>24700</v>
          </cell>
          <cell r="I420">
            <v>7287800</v>
          </cell>
          <cell r="J420">
            <v>27.1875</v>
          </cell>
        </row>
        <row r="421">
          <cell r="C421">
            <v>50313</v>
          </cell>
          <cell r="D421">
            <v>126375.96885625081</v>
          </cell>
          <cell r="E421">
            <v>0</v>
          </cell>
          <cell r="F421">
            <v>7783279.0645850925</v>
          </cell>
          <cell r="G421">
            <v>518595</v>
          </cell>
          <cell r="H421">
            <v>24700</v>
          </cell>
          <cell r="I421">
            <v>7240000</v>
          </cell>
          <cell r="J421">
            <v>27</v>
          </cell>
        </row>
        <row r="422">
          <cell r="C422">
            <v>50773</v>
          </cell>
          <cell r="D422">
            <v>0</v>
          </cell>
          <cell r="E422">
            <v>-275400</v>
          </cell>
          <cell r="F422">
            <v>7821611.3989268551</v>
          </cell>
          <cell r="G422">
            <v>518595</v>
          </cell>
          <cell r="H422">
            <v>24700</v>
          </cell>
          <cell r="I422">
            <v>7278300</v>
          </cell>
          <cell r="J422">
            <v>27</v>
          </cell>
        </row>
        <row r="423">
          <cell r="C423">
            <v>50948</v>
          </cell>
          <cell r="D423">
            <v>21791.048340099049</v>
          </cell>
          <cell r="E423">
            <v>0</v>
          </cell>
          <cell r="F423">
            <v>8014440.5569027802</v>
          </cell>
          <cell r="G423">
            <v>518595</v>
          </cell>
          <cell r="H423">
            <v>24700</v>
          </cell>
          <cell r="I423">
            <v>7471100</v>
          </cell>
          <cell r="J423">
            <v>27</v>
          </cell>
        </row>
        <row r="424">
          <cell r="C424">
            <v>50954</v>
          </cell>
          <cell r="D424"/>
          <cell r="E424">
            <v>0</v>
          </cell>
          <cell r="F424">
            <v>8070946.9176401552</v>
          </cell>
          <cell r="G424">
            <v>518595</v>
          </cell>
          <cell r="H424">
            <v>24700</v>
          </cell>
          <cell r="I424">
            <v>7527700</v>
          </cell>
          <cell r="J424">
            <v>27</v>
          </cell>
        </row>
        <row r="425">
          <cell r="C425">
            <v>51040</v>
          </cell>
          <cell r="D425">
            <v>116264.51142069473</v>
          </cell>
          <cell r="E425">
            <v>-646000</v>
          </cell>
          <cell r="F425">
            <v>4744882.0431951806</v>
          </cell>
          <cell r="G425">
            <v>518595</v>
          </cell>
          <cell r="H425">
            <v>24700</v>
          </cell>
          <cell r="I425">
            <v>4201600</v>
          </cell>
          <cell r="J425">
            <v>19</v>
          </cell>
        </row>
        <row r="426">
          <cell r="C426">
            <v>51237</v>
          </cell>
          <cell r="D426">
            <v>190365.37802764657</v>
          </cell>
          <cell r="E426">
            <v>0</v>
          </cell>
          <cell r="F426">
            <v>7169525.0673059495</v>
          </cell>
          <cell r="G426">
            <v>518595</v>
          </cell>
          <cell r="H426">
            <v>24700</v>
          </cell>
          <cell r="I426">
            <v>6626200</v>
          </cell>
          <cell r="J426">
            <v>26</v>
          </cell>
        </row>
        <row r="427">
          <cell r="C427">
            <v>51238</v>
          </cell>
          <cell r="D427">
            <v>27841.055944763124</v>
          </cell>
          <cell r="E427">
            <v>0</v>
          </cell>
          <cell r="F427">
            <v>8183520.4120120676</v>
          </cell>
          <cell r="G427">
            <v>518595</v>
          </cell>
          <cell r="H427">
            <v>24700</v>
          </cell>
          <cell r="I427">
            <v>7640200</v>
          </cell>
          <cell r="J427">
            <v>25.5</v>
          </cell>
        </row>
        <row r="428">
          <cell r="C428">
            <v>51364</v>
          </cell>
          <cell r="D428">
            <v>184339.25645989325</v>
          </cell>
          <cell r="E428">
            <v>0</v>
          </cell>
          <cell r="F428">
            <v>7801873.4565818589</v>
          </cell>
          <cell r="G428">
            <v>518595</v>
          </cell>
          <cell r="H428">
            <v>24700</v>
          </cell>
          <cell r="I428">
            <v>7258600</v>
          </cell>
          <cell r="J428">
            <v>27</v>
          </cell>
        </row>
        <row r="429">
          <cell r="C429">
            <v>51547</v>
          </cell>
          <cell r="D429">
            <v>233428.62926571089</v>
          </cell>
          <cell r="E429">
            <v>0</v>
          </cell>
          <cell r="F429">
            <v>7454143.9198951749</v>
          </cell>
          <cell r="G429">
            <v>518595</v>
          </cell>
          <cell r="H429">
            <v>24700</v>
          </cell>
          <cell r="I429">
            <v>6910800</v>
          </cell>
          <cell r="J429">
            <v>27</v>
          </cell>
        </row>
        <row r="430">
          <cell r="C430">
            <v>51603</v>
          </cell>
          <cell r="E430">
            <v>0</v>
          </cell>
          <cell r="F430">
            <v>7499244.3053397378</v>
          </cell>
          <cell r="G430">
            <v>518595</v>
          </cell>
          <cell r="H430">
            <v>24700</v>
          </cell>
          <cell r="I430">
            <v>6955900</v>
          </cell>
          <cell r="J430">
            <v>26</v>
          </cell>
        </row>
        <row r="431">
          <cell r="C431">
            <v>52191</v>
          </cell>
          <cell r="D431">
            <v>295169.09913891112</v>
          </cell>
          <cell r="E431">
            <v>-253300</v>
          </cell>
          <cell r="F431">
            <v>5768569.0900476547</v>
          </cell>
          <cell r="G431">
            <v>518595</v>
          </cell>
          <cell r="H431">
            <v>24700</v>
          </cell>
          <cell r="I431">
            <v>5225300</v>
          </cell>
          <cell r="J431">
            <v>24.833333333333332</v>
          </cell>
        </row>
        <row r="432">
          <cell r="C432">
            <v>10258</v>
          </cell>
          <cell r="D432">
            <v>176456.50532102148</v>
          </cell>
          <cell r="E432">
            <v>0</v>
          </cell>
          <cell r="F432">
            <v>6126634.0898061646</v>
          </cell>
          <cell r="H432">
            <v>0</v>
          </cell>
          <cell r="I432">
            <v>6126600</v>
          </cell>
          <cell r="J432">
            <v>27</v>
          </cell>
        </row>
        <row r="433">
          <cell r="C433">
            <v>10127</v>
          </cell>
          <cell r="D433">
            <v>120151.86649217698</v>
          </cell>
          <cell r="E433">
            <v>0</v>
          </cell>
          <cell r="F433">
            <v>6695788.6045832979</v>
          </cell>
          <cell r="H433">
            <v>0</v>
          </cell>
          <cell r="I433">
            <v>6695800</v>
          </cell>
          <cell r="J433">
            <v>26.5</v>
          </cell>
        </row>
        <row r="434">
          <cell r="C434">
            <v>51191</v>
          </cell>
          <cell r="E434">
            <v>-40800</v>
          </cell>
          <cell r="F434">
            <v>1463395.8395511194</v>
          </cell>
          <cell r="G434">
            <v>0</v>
          </cell>
          <cell r="I434">
            <v>1463400</v>
          </cell>
          <cell r="J434">
            <v>4</v>
          </cell>
        </row>
        <row r="435">
          <cell r="C435">
            <v>50284</v>
          </cell>
          <cell r="D435">
            <v>143704.69921476045</v>
          </cell>
          <cell r="E435">
            <v>0</v>
          </cell>
          <cell r="F435">
            <v>8140874.1292368723</v>
          </cell>
          <cell r="G435">
            <v>518595</v>
          </cell>
          <cell r="H435">
            <v>25000</v>
          </cell>
          <cell r="I435">
            <v>7597300</v>
          </cell>
          <cell r="J435">
            <v>26.933333333333334</v>
          </cell>
        </row>
        <row r="436">
          <cell r="C436">
            <v>51125</v>
          </cell>
          <cell r="D436">
            <v>133685.03317178966</v>
          </cell>
          <cell r="E436">
            <v>0</v>
          </cell>
          <cell r="F436">
            <v>7047971.4437538618</v>
          </cell>
          <cell r="G436">
            <v>518595</v>
          </cell>
          <cell r="H436">
            <v>24700</v>
          </cell>
          <cell r="I436">
            <v>6504700</v>
          </cell>
          <cell r="J436">
            <v>26.375</v>
          </cell>
        </row>
        <row r="437">
          <cell r="C437">
            <v>51156</v>
          </cell>
          <cell r="D437">
            <v>140129.99937723414</v>
          </cell>
          <cell r="E437">
            <v>0</v>
          </cell>
          <cell r="F437">
            <v>7932056.7318512006</v>
          </cell>
          <cell r="G437">
            <v>518595</v>
          </cell>
          <cell r="H437">
            <v>24700</v>
          </cell>
          <cell r="I437">
            <v>7388800</v>
          </cell>
          <cell r="J437">
            <v>27</v>
          </cell>
        </row>
        <row r="438">
          <cell r="C438">
            <v>51523</v>
          </cell>
          <cell r="D438">
            <v>326317.37854209874</v>
          </cell>
          <cell r="E438">
            <v>-275400</v>
          </cell>
          <cell r="F438">
            <v>7163989.8114890885</v>
          </cell>
          <cell r="G438">
            <v>518595</v>
          </cell>
          <cell r="H438">
            <v>24700</v>
          </cell>
          <cell r="I438">
            <v>6620700</v>
          </cell>
          <cell r="J438">
            <v>27</v>
          </cell>
        </row>
        <row r="439">
          <cell r="C439">
            <v>51680</v>
          </cell>
          <cell r="D439">
            <v>173306.55906848179</v>
          </cell>
          <cell r="E439">
            <v>-806791.66666666674</v>
          </cell>
          <cell r="F439">
            <v>5549934.5058429874</v>
          </cell>
          <cell r="G439">
            <v>518595</v>
          </cell>
          <cell r="H439">
            <v>24700</v>
          </cell>
          <cell r="I439">
            <v>5006600</v>
          </cell>
          <cell r="J439">
            <v>23.729166666666668</v>
          </cell>
        </row>
        <row r="440">
          <cell r="C440">
            <v>51780</v>
          </cell>
          <cell r="D440">
            <v>173774.73545733537</v>
          </cell>
          <cell r="E440">
            <v>0</v>
          </cell>
          <cell r="F440">
            <v>6944625.8865767121</v>
          </cell>
          <cell r="G440">
            <v>518595</v>
          </cell>
          <cell r="H440">
            <v>24700</v>
          </cell>
          <cell r="I440">
            <v>6401300</v>
          </cell>
          <cell r="J440">
            <v>26</v>
          </cell>
        </row>
        <row r="441">
          <cell r="C441">
            <v>51938</v>
          </cell>
          <cell r="D441">
            <v>288876.47414461244</v>
          </cell>
          <cell r="E441">
            <v>-265200</v>
          </cell>
          <cell r="F441">
            <v>5896076.2741473587</v>
          </cell>
          <cell r="G441">
            <v>518595</v>
          </cell>
          <cell r="H441">
            <v>24700</v>
          </cell>
          <cell r="I441">
            <v>5352800</v>
          </cell>
          <cell r="J441">
            <v>26</v>
          </cell>
        </row>
        <row r="442">
          <cell r="C442">
            <v>52064</v>
          </cell>
          <cell r="D442">
            <v>320729.79308538954</v>
          </cell>
          <cell r="E442">
            <v>-275400</v>
          </cell>
          <cell r="F442">
            <v>6029235.8611284457</v>
          </cell>
          <cell r="G442">
            <v>518595</v>
          </cell>
          <cell r="H442">
            <v>24700</v>
          </cell>
          <cell r="I442">
            <v>5485900</v>
          </cell>
          <cell r="J442">
            <v>27</v>
          </cell>
        </row>
        <row r="443">
          <cell r="C443">
            <v>52065</v>
          </cell>
          <cell r="D443">
            <v>139670.29152453865</v>
          </cell>
          <cell r="E443">
            <v>0</v>
          </cell>
          <cell r="F443">
            <v>7327099.2653836496</v>
          </cell>
          <cell r="G443">
            <v>518595</v>
          </cell>
          <cell r="H443">
            <v>24700</v>
          </cell>
          <cell r="I443">
            <v>6783800</v>
          </cell>
          <cell r="J443">
            <v>26.8125</v>
          </cell>
        </row>
        <row r="444">
          <cell r="C444">
            <v>52074</v>
          </cell>
          <cell r="D444">
            <v>97786.77822229726</v>
          </cell>
          <cell r="E444">
            <v>0</v>
          </cell>
          <cell r="F444">
            <v>7767262.9826408001</v>
          </cell>
          <cell r="G444">
            <v>518595</v>
          </cell>
          <cell r="H444">
            <v>24700</v>
          </cell>
          <cell r="I444">
            <v>7224000</v>
          </cell>
          <cell r="J444">
            <v>27</v>
          </cell>
        </row>
        <row r="445">
          <cell r="C445">
            <v>52092</v>
          </cell>
          <cell r="D445">
            <v>390075.15634390537</v>
          </cell>
          <cell r="E445">
            <v>-265200</v>
          </cell>
          <cell r="F445">
            <v>5990650.1987033263</v>
          </cell>
          <cell r="G445">
            <v>518595</v>
          </cell>
          <cell r="H445">
            <v>24700</v>
          </cell>
          <cell r="I445">
            <v>5447400</v>
          </cell>
          <cell r="J445">
            <v>26.5</v>
          </cell>
        </row>
        <row r="446">
          <cell r="C446">
            <v>52159</v>
          </cell>
          <cell r="D446">
            <v>53008.077269885864</v>
          </cell>
          <cell r="E446">
            <v>0</v>
          </cell>
          <cell r="F446">
            <v>7851609.301844188</v>
          </cell>
          <cell r="G446">
            <v>518595</v>
          </cell>
          <cell r="H446">
            <v>24700</v>
          </cell>
          <cell r="I446">
            <v>7308300</v>
          </cell>
          <cell r="J446">
            <v>27.5</v>
          </cell>
        </row>
        <row r="447">
          <cell r="C447">
            <v>52168</v>
          </cell>
          <cell r="D447">
            <v>285822.37273426179</v>
          </cell>
          <cell r="E447">
            <v>-244800</v>
          </cell>
          <cell r="F447">
            <v>5790355.96192542</v>
          </cell>
          <cell r="G447">
            <v>518595</v>
          </cell>
          <cell r="H447">
            <v>24700</v>
          </cell>
          <cell r="I447">
            <v>5247100</v>
          </cell>
          <cell r="J447">
            <v>24.5</v>
          </cell>
        </row>
        <row r="448">
          <cell r="C448">
            <v>10322</v>
          </cell>
          <cell r="D448">
            <v>187734.35845264519</v>
          </cell>
          <cell r="E448">
            <v>0</v>
          </cell>
          <cell r="F448">
            <v>6730055.3381036017</v>
          </cell>
          <cell r="H448">
            <v>0</v>
          </cell>
          <cell r="I448">
            <v>6730100</v>
          </cell>
          <cell r="J448">
            <v>27</v>
          </cell>
        </row>
        <row r="449">
          <cell r="C449">
            <v>10285</v>
          </cell>
          <cell r="D449">
            <v>185967.30334856303</v>
          </cell>
          <cell r="E449">
            <v>0</v>
          </cell>
          <cell r="F449">
            <v>6434203.8591850791</v>
          </cell>
          <cell r="H449">
            <v>0</v>
          </cell>
          <cell r="I449">
            <v>6434200</v>
          </cell>
          <cell r="J449">
            <v>27</v>
          </cell>
        </row>
        <row r="450">
          <cell r="C450">
            <v>10272</v>
          </cell>
          <cell r="D450">
            <v>172845.21298357885</v>
          </cell>
          <cell r="E450">
            <v>0</v>
          </cell>
          <cell r="F450">
            <v>5578670.5576304588</v>
          </cell>
          <cell r="G450"/>
          <cell r="H450">
            <v>0</v>
          </cell>
          <cell r="I450">
            <v>5578700</v>
          </cell>
          <cell r="J450">
            <v>26</v>
          </cell>
        </row>
        <row r="451">
          <cell r="C451">
            <v>10238</v>
          </cell>
          <cell r="D451">
            <v>126208.88410533199</v>
          </cell>
          <cell r="E451">
            <v>0</v>
          </cell>
          <cell r="F451">
            <v>6079288.6788805854</v>
          </cell>
          <cell r="H451">
            <v>0</v>
          </cell>
          <cell r="I451">
            <v>6079300</v>
          </cell>
          <cell r="J451">
            <v>26</v>
          </cell>
        </row>
        <row r="452">
          <cell r="C452">
            <v>10225</v>
          </cell>
          <cell r="D452">
            <v>93764.07819082457</v>
          </cell>
          <cell r="E452">
            <v>0</v>
          </cell>
          <cell r="F452">
            <v>6076909.020769407</v>
          </cell>
          <cell r="H452">
            <v>0</v>
          </cell>
          <cell r="I452">
            <v>6076900</v>
          </cell>
          <cell r="J452">
            <v>25.75</v>
          </cell>
        </row>
        <row r="453">
          <cell r="C453">
            <v>50024</v>
          </cell>
          <cell r="D453"/>
          <cell r="E453">
            <v>-274656.25</v>
          </cell>
          <cell r="F453">
            <v>11349144.704237105</v>
          </cell>
          <cell r="G453">
            <v>541800</v>
          </cell>
          <cell r="H453">
            <v>24700</v>
          </cell>
          <cell r="I453">
            <v>10782600</v>
          </cell>
          <cell r="J453">
            <v>26.927083333333332</v>
          </cell>
        </row>
        <row r="454">
          <cell r="C454">
            <v>50222</v>
          </cell>
          <cell r="E454">
            <v>0</v>
          </cell>
          <cell r="F454">
            <v>12417228.376576595</v>
          </cell>
          <cell r="G454">
            <v>518595</v>
          </cell>
          <cell r="H454">
            <v>24700</v>
          </cell>
          <cell r="I454">
            <v>11873900</v>
          </cell>
          <cell r="J454">
            <v>27.458333333333332</v>
          </cell>
        </row>
        <row r="455">
          <cell r="C455">
            <v>50581</v>
          </cell>
          <cell r="E455">
            <v>0</v>
          </cell>
          <cell r="F455">
            <v>11174926.980741316</v>
          </cell>
          <cell r="G455">
            <v>541800</v>
          </cell>
          <cell r="H455">
            <v>24700</v>
          </cell>
          <cell r="I455">
            <v>10608400</v>
          </cell>
          <cell r="J455">
            <v>27.5</v>
          </cell>
        </row>
        <row r="456">
          <cell r="C456">
            <v>50894</v>
          </cell>
          <cell r="E456">
            <v>-272212.5</v>
          </cell>
          <cell r="F456">
            <v>10119070.512933005</v>
          </cell>
          <cell r="G456">
            <v>518595</v>
          </cell>
          <cell r="H456">
            <v>24700</v>
          </cell>
          <cell r="I456">
            <v>9575800</v>
          </cell>
          <cell r="J456">
            <v>27.1875</v>
          </cell>
        </row>
        <row r="457">
          <cell r="C457">
            <v>50918</v>
          </cell>
          <cell r="E457">
            <v>-269556.25</v>
          </cell>
          <cell r="F457">
            <v>10222751.915039526</v>
          </cell>
          <cell r="G457">
            <v>518595</v>
          </cell>
          <cell r="H457">
            <v>24700</v>
          </cell>
          <cell r="I457">
            <v>9679500</v>
          </cell>
          <cell r="J457">
            <v>26.927083333333332</v>
          </cell>
        </row>
        <row r="458">
          <cell r="C458">
            <v>51130</v>
          </cell>
          <cell r="E458">
            <v>0</v>
          </cell>
          <cell r="F458">
            <v>11014556.483906947</v>
          </cell>
          <cell r="G458">
            <v>541800</v>
          </cell>
          <cell r="H458">
            <v>24700</v>
          </cell>
          <cell r="I458">
            <v>10448100</v>
          </cell>
          <cell r="J458">
            <v>27.114583333333332</v>
          </cell>
        </row>
        <row r="459">
          <cell r="C459">
            <v>51473</v>
          </cell>
          <cell r="E459">
            <v>0</v>
          </cell>
          <cell r="F459">
            <v>10544668.582374226</v>
          </cell>
          <cell r="G459">
            <v>518595</v>
          </cell>
          <cell r="H459">
            <v>24700</v>
          </cell>
          <cell r="I459">
            <v>10001400</v>
          </cell>
          <cell r="J459">
            <v>27.375</v>
          </cell>
        </row>
        <row r="460">
          <cell r="C460">
            <v>51618</v>
          </cell>
          <cell r="D460"/>
          <cell r="E460">
            <v>-260100</v>
          </cell>
          <cell r="F460">
            <v>10188881.454361863</v>
          </cell>
          <cell r="G460">
            <v>541800</v>
          </cell>
          <cell r="H460">
            <v>24700</v>
          </cell>
          <cell r="I460">
            <v>9622400</v>
          </cell>
          <cell r="J460">
            <v>25.5</v>
          </cell>
        </row>
        <row r="461">
          <cell r="C461">
            <v>51652</v>
          </cell>
          <cell r="E461">
            <v>0</v>
          </cell>
          <cell r="F461">
            <v>9607621.8737090938</v>
          </cell>
          <cell r="G461">
            <v>541800</v>
          </cell>
          <cell r="H461">
            <v>24700</v>
          </cell>
          <cell r="I461">
            <v>9041100</v>
          </cell>
          <cell r="J461">
            <v>21.791666666666668</v>
          </cell>
        </row>
        <row r="462">
          <cell r="C462">
            <v>51723</v>
          </cell>
          <cell r="E462">
            <v>-275400</v>
          </cell>
          <cell r="F462">
            <v>11364704.641197706</v>
          </cell>
          <cell r="G462">
            <v>518595</v>
          </cell>
          <cell r="H462">
            <v>24700</v>
          </cell>
          <cell r="I462">
            <v>10821400</v>
          </cell>
          <cell r="J462">
            <v>27.5</v>
          </cell>
        </row>
        <row r="463">
          <cell r="C463">
            <v>51946</v>
          </cell>
          <cell r="E463">
            <v>0</v>
          </cell>
          <cell r="F463">
            <v>10591892.983639041</v>
          </cell>
          <cell r="G463">
            <v>518595</v>
          </cell>
          <cell r="H463">
            <v>24700</v>
          </cell>
          <cell r="I463">
            <v>10048600</v>
          </cell>
          <cell r="J463">
            <v>27.5</v>
          </cell>
        </row>
        <row r="464">
          <cell r="C464">
            <v>51948</v>
          </cell>
          <cell r="E464">
            <v>-163200</v>
          </cell>
          <cell r="F464">
            <v>7426005.1443494055</v>
          </cell>
          <cell r="G464">
            <v>518595</v>
          </cell>
          <cell r="H464">
            <v>24700</v>
          </cell>
          <cell r="I464">
            <v>6882700</v>
          </cell>
          <cell r="J464">
            <v>16</v>
          </cell>
        </row>
        <row r="465">
          <cell r="C465">
            <v>50005</v>
          </cell>
          <cell r="D465"/>
          <cell r="E465"/>
          <cell r="F465">
            <v>15607512.82051282</v>
          </cell>
          <cell r="G465">
            <v>696570</v>
          </cell>
          <cell r="H465">
            <v>174294</v>
          </cell>
          <cell r="I465">
            <v>14736600</v>
          </cell>
          <cell r="J465">
            <v>24</v>
          </cell>
        </row>
        <row r="466">
          <cell r="C466">
            <v>50928</v>
          </cell>
          <cell r="F466">
            <v>9290993.7460317444</v>
          </cell>
          <cell r="G466">
            <v>518595</v>
          </cell>
          <cell r="H466">
            <v>24700</v>
          </cell>
          <cell r="I466">
            <v>8747700</v>
          </cell>
          <cell r="J466">
            <v>26</v>
          </cell>
        </row>
        <row r="467">
          <cell r="C467">
            <v>51394</v>
          </cell>
          <cell r="F467">
            <v>9382134.0325146895</v>
          </cell>
          <cell r="G467">
            <v>518595</v>
          </cell>
          <cell r="H467">
            <v>24700</v>
          </cell>
          <cell r="I467">
            <v>8838800</v>
          </cell>
          <cell r="J467">
            <v>27</v>
          </cell>
        </row>
        <row r="468">
          <cell r="C468">
            <v>51905</v>
          </cell>
          <cell r="F468">
            <v>8934946.9700954054</v>
          </cell>
          <cell r="G468">
            <v>518595</v>
          </cell>
          <cell r="H468">
            <v>24700</v>
          </cell>
          <cell r="I468">
            <v>8391700</v>
          </cell>
          <cell r="J468">
            <v>27</v>
          </cell>
        </row>
        <row r="469">
          <cell r="C469">
            <v>51759</v>
          </cell>
          <cell r="F469">
            <v>1000000</v>
          </cell>
          <cell r="I469">
            <v>1000000</v>
          </cell>
        </row>
        <row r="470">
          <cell r="D470"/>
          <cell r="E470"/>
          <cell r="J470"/>
        </row>
        <row r="471">
          <cell r="D471">
            <v>43151631.329809748</v>
          </cell>
          <cell r="E471">
            <v>-27032790.833333332</v>
          </cell>
          <cell r="F471">
            <v>3435062383.3161502</v>
          </cell>
          <cell r="G471">
            <v>181531355</v>
          </cell>
          <cell r="H471">
            <v>9488173.5</v>
          </cell>
          <cell r="I471">
            <v>3244044300</v>
          </cell>
          <cell r="J471">
            <v>11619.181250000005</v>
          </cell>
        </row>
        <row r="474">
          <cell r="D474"/>
          <cell r="E474"/>
          <cell r="J474"/>
        </row>
        <row r="475">
          <cell r="D475"/>
          <cell r="E475"/>
          <cell r="J475"/>
        </row>
        <row r="478">
          <cell r="D478"/>
          <cell r="E478"/>
          <cell r="J478"/>
        </row>
        <row r="480">
          <cell r="D480"/>
          <cell r="E480"/>
          <cell r="J480"/>
        </row>
        <row r="484">
          <cell r="F484"/>
          <cell r="G484"/>
          <cell r="J484"/>
        </row>
        <row r="486">
          <cell r="F486"/>
          <cell r="J486"/>
        </row>
        <row r="487">
          <cell r="J487"/>
        </row>
        <row r="489">
          <cell r="J489"/>
        </row>
        <row r="493">
          <cell r="D493"/>
          <cell r="E493"/>
          <cell r="J493"/>
        </row>
        <row r="494">
          <cell r="F494"/>
          <cell r="J494"/>
        </row>
        <row r="495">
          <cell r="D495"/>
          <cell r="E495"/>
          <cell r="J495"/>
        </row>
        <row r="498">
          <cell r="F498"/>
          <cell r="G498"/>
          <cell r="J498"/>
        </row>
        <row r="500">
          <cell r="J500"/>
        </row>
        <row r="503">
          <cell r="D503"/>
          <cell r="E503"/>
          <cell r="J503"/>
        </row>
        <row r="511">
          <cell r="D511"/>
          <cell r="E511"/>
          <cell r="J511"/>
        </row>
        <row r="512">
          <cell r="J512"/>
        </row>
        <row r="513">
          <cell r="J513"/>
        </row>
        <row r="514">
          <cell r="F514"/>
          <cell r="G514"/>
          <cell r="J514"/>
        </row>
        <row r="517">
          <cell r="D517"/>
          <cell r="E517"/>
          <cell r="J517"/>
        </row>
        <row r="519">
          <cell r="D519"/>
          <cell r="E519"/>
          <cell r="J519"/>
        </row>
        <row r="522">
          <cell r="D522"/>
          <cell r="E522"/>
          <cell r="J522"/>
        </row>
        <row r="523">
          <cell r="D523"/>
          <cell r="E523"/>
          <cell r="F523"/>
          <cell r="G523"/>
          <cell r="H523"/>
          <cell r="I523"/>
          <cell r="J523"/>
        </row>
        <row r="525">
          <cell r="D525"/>
          <cell r="E525"/>
          <cell r="J525"/>
        </row>
        <row r="526">
          <cell r="D526"/>
          <cell r="E526"/>
          <cell r="J526"/>
        </row>
        <row r="527">
          <cell r="D527"/>
          <cell r="E527"/>
          <cell r="J527"/>
        </row>
        <row r="528">
          <cell r="J528"/>
        </row>
        <row r="529">
          <cell r="D529"/>
          <cell r="E529"/>
          <cell r="J529"/>
        </row>
        <row r="530">
          <cell r="D530"/>
          <cell r="E530"/>
          <cell r="J530"/>
        </row>
        <row r="531">
          <cell r="D531"/>
          <cell r="E531"/>
          <cell r="J531"/>
        </row>
        <row r="533">
          <cell r="F533"/>
          <cell r="G533"/>
          <cell r="H533"/>
          <cell r="J533"/>
        </row>
        <row r="534">
          <cell r="D534"/>
          <cell r="E534"/>
          <cell r="J534"/>
        </row>
        <row r="536">
          <cell r="D536"/>
          <cell r="E536"/>
          <cell r="J536"/>
        </row>
        <row r="537">
          <cell r="D537"/>
          <cell r="E537"/>
          <cell r="J537"/>
        </row>
        <row r="538">
          <cell r="J538"/>
        </row>
        <row r="539">
          <cell r="F539"/>
          <cell r="G539"/>
          <cell r="J539"/>
        </row>
        <row r="541">
          <cell r="D541"/>
          <cell r="E541"/>
          <cell r="J541"/>
        </row>
        <row r="544">
          <cell r="D544"/>
          <cell r="E544"/>
          <cell r="J544"/>
        </row>
        <row r="545">
          <cell r="J545"/>
        </row>
        <row r="546">
          <cell r="D546"/>
          <cell r="E546"/>
          <cell r="J546"/>
        </row>
        <row r="547">
          <cell r="F547"/>
          <cell r="G547"/>
          <cell r="J547"/>
        </row>
        <row r="551">
          <cell r="J551"/>
        </row>
        <row r="554">
          <cell r="J554"/>
        </row>
        <row r="555">
          <cell r="J555"/>
        </row>
        <row r="557">
          <cell r="J557"/>
        </row>
        <row r="560">
          <cell r="F560"/>
          <cell r="G560"/>
          <cell r="J560"/>
        </row>
        <row r="569">
          <cell r="J569"/>
        </row>
        <row r="574">
          <cell r="D574"/>
          <cell r="E574"/>
          <cell r="J574"/>
        </row>
        <row r="575">
          <cell r="J575"/>
        </row>
        <row r="576">
          <cell r="J576"/>
        </row>
        <row r="577">
          <cell r="D577"/>
          <cell r="E577"/>
          <cell r="J577"/>
        </row>
        <row r="579">
          <cell r="J579"/>
        </row>
        <row r="580">
          <cell r="D580"/>
          <cell r="E580"/>
          <cell r="J580"/>
        </row>
        <row r="585">
          <cell r="D585"/>
          <cell r="E585"/>
          <cell r="J585"/>
        </row>
        <row r="587">
          <cell r="D587"/>
          <cell r="E587"/>
          <cell r="J587"/>
        </row>
        <row r="588">
          <cell r="D588"/>
          <cell r="E588"/>
          <cell r="J588"/>
        </row>
        <row r="589">
          <cell r="J589"/>
        </row>
        <row r="590">
          <cell r="D590"/>
          <cell r="E590"/>
          <cell r="J590"/>
        </row>
        <row r="592">
          <cell r="D592"/>
          <cell r="E592"/>
          <cell r="J592"/>
        </row>
        <row r="593">
          <cell r="F593"/>
          <cell r="G593"/>
          <cell r="J593"/>
        </row>
        <row r="594">
          <cell r="D594"/>
          <cell r="E594"/>
          <cell r="J594"/>
        </row>
        <row r="596">
          <cell r="D596"/>
          <cell r="E596"/>
          <cell r="J596"/>
        </row>
        <row r="597">
          <cell r="J597"/>
        </row>
        <row r="599">
          <cell r="F599"/>
          <cell r="G599"/>
          <cell r="H599"/>
          <cell r="I599"/>
        </row>
        <row r="600">
          <cell r="F600"/>
          <cell r="G600"/>
          <cell r="H600"/>
          <cell r="I600"/>
          <cell r="J600"/>
        </row>
        <row r="604">
          <cell r="D604"/>
          <cell r="E604"/>
          <cell r="J604"/>
        </row>
        <row r="605">
          <cell r="D605"/>
          <cell r="E605"/>
          <cell r="J605"/>
        </row>
        <row r="606">
          <cell r="F606"/>
          <cell r="G606"/>
          <cell r="H606"/>
          <cell r="I606"/>
        </row>
        <row r="608">
          <cell r="D608"/>
          <cell r="E608"/>
          <cell r="J608"/>
        </row>
        <row r="611">
          <cell r="D611"/>
          <cell r="E611"/>
          <cell r="J611"/>
        </row>
        <row r="612">
          <cell r="D612"/>
          <cell r="E612"/>
          <cell r="J612"/>
        </row>
        <row r="614">
          <cell r="D614"/>
          <cell r="E614"/>
          <cell r="J614"/>
        </row>
        <row r="615">
          <cell r="D615"/>
          <cell r="E615"/>
          <cell r="J615"/>
        </row>
        <row r="616">
          <cell r="D616"/>
          <cell r="E616"/>
          <cell r="J616"/>
        </row>
        <row r="617">
          <cell r="D617"/>
          <cell r="E617"/>
          <cell r="J617"/>
        </row>
        <row r="618">
          <cell r="D618"/>
          <cell r="E618"/>
          <cell r="J618"/>
        </row>
        <row r="619">
          <cell r="D619"/>
          <cell r="E619"/>
          <cell r="J619"/>
        </row>
        <row r="621">
          <cell r="D621"/>
          <cell r="E621"/>
          <cell r="J621"/>
        </row>
        <row r="622">
          <cell r="F622"/>
          <cell r="J622"/>
        </row>
        <row r="623">
          <cell r="D623"/>
          <cell r="E623"/>
          <cell r="J623"/>
        </row>
        <row r="624">
          <cell r="D624"/>
          <cell r="E624"/>
          <cell r="J624"/>
        </row>
        <row r="625">
          <cell r="D625"/>
          <cell r="E625"/>
          <cell r="J625"/>
        </row>
        <row r="627">
          <cell r="D627"/>
          <cell r="E627"/>
          <cell r="J627"/>
        </row>
        <row r="630">
          <cell r="D630"/>
          <cell r="E630"/>
          <cell r="J630"/>
        </row>
        <row r="633">
          <cell r="J633"/>
        </row>
        <row r="634">
          <cell r="D634"/>
          <cell r="E634"/>
          <cell r="J634"/>
        </row>
        <row r="635">
          <cell r="D635"/>
          <cell r="E635"/>
          <cell r="J635"/>
        </row>
        <row r="636">
          <cell r="D636"/>
          <cell r="E636"/>
          <cell r="J636"/>
        </row>
        <row r="637">
          <cell r="D637"/>
          <cell r="E637"/>
          <cell r="J637"/>
        </row>
        <row r="638">
          <cell r="D638"/>
          <cell r="E638"/>
          <cell r="J638"/>
        </row>
        <row r="639">
          <cell r="D639"/>
          <cell r="E639"/>
          <cell r="F639"/>
          <cell r="G639"/>
          <cell r="H639"/>
          <cell r="J639"/>
        </row>
        <row r="640">
          <cell r="D640"/>
          <cell r="E640"/>
          <cell r="J640"/>
        </row>
        <row r="641">
          <cell r="F641"/>
          <cell r="J641"/>
        </row>
        <row r="642">
          <cell r="D642"/>
          <cell r="E642"/>
          <cell r="J642"/>
        </row>
        <row r="643">
          <cell r="D643"/>
          <cell r="E643"/>
          <cell r="J643"/>
        </row>
        <row r="645">
          <cell r="J645"/>
        </row>
        <row r="646">
          <cell r="F646"/>
          <cell r="J646"/>
        </row>
        <row r="647">
          <cell r="F647"/>
          <cell r="J647"/>
        </row>
        <row r="648">
          <cell r="D648"/>
          <cell r="E648"/>
          <cell r="J648"/>
        </row>
        <row r="649">
          <cell r="D649"/>
          <cell r="E649"/>
          <cell r="J649"/>
        </row>
        <row r="651">
          <cell r="D651"/>
          <cell r="E651"/>
          <cell r="J651"/>
        </row>
        <row r="652">
          <cell r="J652"/>
        </row>
        <row r="654">
          <cell r="J654"/>
        </row>
        <row r="659">
          <cell r="D659"/>
          <cell r="E659"/>
          <cell r="J659"/>
        </row>
        <row r="660">
          <cell r="D660"/>
          <cell r="E660"/>
          <cell r="J660"/>
        </row>
        <row r="661">
          <cell r="F661"/>
          <cell r="G661"/>
          <cell r="H661"/>
          <cell r="J661"/>
        </row>
        <row r="662">
          <cell r="D662"/>
          <cell r="E662"/>
          <cell r="J662"/>
        </row>
        <row r="666">
          <cell r="F666"/>
          <cell r="G666"/>
          <cell r="J666"/>
        </row>
        <row r="667">
          <cell r="D667"/>
          <cell r="E667"/>
          <cell r="J667"/>
        </row>
        <row r="674">
          <cell r="D674"/>
          <cell r="E674"/>
          <cell r="J674"/>
        </row>
        <row r="676">
          <cell r="D676"/>
          <cell r="E676"/>
          <cell r="J676"/>
        </row>
        <row r="677">
          <cell r="J677"/>
        </row>
        <row r="678">
          <cell r="D678"/>
          <cell r="E678"/>
          <cell r="I678"/>
          <cell r="J678"/>
        </row>
        <row r="683">
          <cell r="D683"/>
          <cell r="E683"/>
          <cell r="J683"/>
        </row>
        <row r="684">
          <cell r="F684"/>
          <cell r="J684"/>
        </row>
        <row r="686">
          <cell r="D686"/>
          <cell r="E686"/>
          <cell r="J686"/>
        </row>
        <row r="688">
          <cell r="F688"/>
          <cell r="J688"/>
        </row>
        <row r="689">
          <cell r="D689"/>
          <cell r="E689"/>
          <cell r="J689"/>
        </row>
        <row r="690">
          <cell r="J690"/>
        </row>
        <row r="694">
          <cell r="F694"/>
          <cell r="J694"/>
        </row>
        <row r="695">
          <cell r="J695"/>
        </row>
        <row r="701">
          <cell r="J701"/>
        </row>
        <row r="702">
          <cell r="F702"/>
          <cell r="G702"/>
          <cell r="J702"/>
        </row>
        <row r="703">
          <cell r="D703"/>
          <cell r="E703"/>
          <cell r="J703"/>
        </row>
        <row r="704">
          <cell r="D704"/>
          <cell r="E704"/>
          <cell r="J704"/>
        </row>
        <row r="705">
          <cell r="J705"/>
        </row>
        <row r="706">
          <cell r="F706"/>
          <cell r="G706"/>
          <cell r="H706"/>
          <cell r="J706"/>
        </row>
        <row r="707">
          <cell r="F707"/>
          <cell r="G707"/>
          <cell r="H707"/>
          <cell r="I707"/>
          <cell r="J707"/>
        </row>
        <row r="709">
          <cell r="D709"/>
          <cell r="E709"/>
          <cell r="J709"/>
        </row>
        <row r="711">
          <cell r="D711"/>
          <cell r="E711"/>
          <cell r="J711"/>
        </row>
        <row r="712">
          <cell r="D712"/>
          <cell r="E712"/>
          <cell r="J712"/>
        </row>
        <row r="713">
          <cell r="D713"/>
          <cell r="E713"/>
          <cell r="J713"/>
        </row>
        <row r="714">
          <cell r="F714"/>
          <cell r="G714"/>
          <cell r="H714"/>
          <cell r="J714"/>
        </row>
        <row r="715">
          <cell r="D715"/>
          <cell r="E715"/>
          <cell r="J715"/>
        </row>
        <row r="717">
          <cell r="D717"/>
          <cell r="E717"/>
          <cell r="J717"/>
        </row>
        <row r="718">
          <cell r="F718"/>
          <cell r="J718"/>
        </row>
        <row r="723">
          <cell r="D723"/>
          <cell r="E723"/>
          <cell r="J723"/>
        </row>
        <row r="724">
          <cell r="F724"/>
          <cell r="G724"/>
          <cell r="J724"/>
        </row>
        <row r="725">
          <cell r="F725"/>
          <cell r="G725"/>
          <cell r="J725"/>
        </row>
        <row r="726">
          <cell r="D726"/>
          <cell r="E726"/>
          <cell r="J726"/>
        </row>
        <row r="727">
          <cell r="J727"/>
        </row>
        <row r="728">
          <cell r="D728"/>
          <cell r="E728"/>
          <cell r="J728"/>
        </row>
        <row r="729">
          <cell r="J729"/>
        </row>
        <row r="731">
          <cell r="D731"/>
          <cell r="E731"/>
          <cell r="J731"/>
        </row>
        <row r="733">
          <cell r="D733"/>
          <cell r="E733"/>
          <cell r="J733"/>
        </row>
        <row r="734">
          <cell r="D734"/>
          <cell r="E734"/>
          <cell r="J734"/>
        </row>
        <row r="735">
          <cell r="D735"/>
          <cell r="E735"/>
          <cell r="J735"/>
        </row>
        <row r="736">
          <cell r="D736"/>
          <cell r="E736"/>
          <cell r="J736"/>
        </row>
        <row r="737">
          <cell r="J737"/>
        </row>
        <row r="738">
          <cell r="D738"/>
          <cell r="E738"/>
          <cell r="J738"/>
        </row>
        <row r="739">
          <cell r="J739"/>
        </row>
        <row r="740">
          <cell r="D740"/>
          <cell r="E740"/>
          <cell r="J740"/>
        </row>
        <row r="743">
          <cell r="D743"/>
          <cell r="E743"/>
          <cell r="J743"/>
        </row>
        <row r="744">
          <cell r="D744"/>
          <cell r="E744"/>
          <cell r="J744"/>
        </row>
        <row r="745">
          <cell r="D745"/>
          <cell r="E745"/>
          <cell r="J745"/>
        </row>
        <row r="748">
          <cell r="D748"/>
          <cell r="E748"/>
          <cell r="J748"/>
        </row>
        <row r="753">
          <cell r="J753"/>
        </row>
        <row r="755">
          <cell r="J755"/>
        </row>
        <row r="758">
          <cell r="I758"/>
          <cell r="J758"/>
        </row>
        <row r="759">
          <cell r="D759"/>
          <cell r="E759"/>
          <cell r="J759"/>
        </row>
        <row r="760">
          <cell r="D760"/>
          <cell r="E760"/>
          <cell r="J760"/>
        </row>
        <row r="761">
          <cell r="D761"/>
          <cell r="E761"/>
          <cell r="J761"/>
        </row>
        <row r="764">
          <cell r="F764"/>
          <cell r="G764"/>
          <cell r="J764"/>
        </row>
        <row r="765">
          <cell r="D765"/>
          <cell r="E765"/>
          <cell r="J765"/>
        </row>
        <row r="766">
          <cell r="F766"/>
          <cell r="G766"/>
          <cell r="H766"/>
          <cell r="J766"/>
        </row>
        <row r="767">
          <cell r="F767"/>
          <cell r="G767"/>
          <cell r="J767"/>
        </row>
        <row r="768">
          <cell r="J768"/>
        </row>
        <row r="771">
          <cell r="D771"/>
          <cell r="E771"/>
          <cell r="J771"/>
        </row>
        <row r="772">
          <cell r="D772"/>
          <cell r="E772"/>
          <cell r="J772"/>
        </row>
        <row r="774">
          <cell r="F774"/>
          <cell r="J774"/>
        </row>
        <row r="778">
          <cell r="D778"/>
          <cell r="E778"/>
          <cell r="J778"/>
        </row>
        <row r="779">
          <cell r="J779"/>
        </row>
        <row r="784">
          <cell r="D784"/>
          <cell r="E784"/>
          <cell r="J784"/>
        </row>
        <row r="785">
          <cell r="D785"/>
          <cell r="E785"/>
          <cell r="J785"/>
        </row>
        <row r="790">
          <cell r="J790"/>
        </row>
        <row r="792">
          <cell r="F792"/>
          <cell r="J792"/>
        </row>
        <row r="793">
          <cell r="D793"/>
          <cell r="E793"/>
          <cell r="J793"/>
        </row>
        <row r="796">
          <cell r="F796"/>
          <cell r="J796"/>
        </row>
        <row r="797">
          <cell r="J797"/>
        </row>
        <row r="798">
          <cell r="I798"/>
          <cell r="J798"/>
        </row>
        <row r="799">
          <cell r="D799"/>
          <cell r="E799"/>
          <cell r="J799"/>
        </row>
        <row r="801">
          <cell r="J801"/>
        </row>
        <row r="802">
          <cell r="D802"/>
          <cell r="E802"/>
          <cell r="J802"/>
        </row>
        <row r="803">
          <cell r="J803"/>
        </row>
        <row r="804">
          <cell r="F804"/>
          <cell r="G804"/>
          <cell r="J804"/>
        </row>
        <row r="807">
          <cell r="J807"/>
        </row>
        <row r="808">
          <cell r="D808"/>
          <cell r="E808"/>
          <cell r="J808"/>
        </row>
        <row r="811">
          <cell r="D811"/>
          <cell r="E811"/>
          <cell r="J811"/>
        </row>
        <row r="812">
          <cell r="F812"/>
          <cell r="J812"/>
        </row>
        <row r="813">
          <cell r="J813"/>
        </row>
        <row r="814">
          <cell r="D814"/>
          <cell r="E814"/>
          <cell r="J814"/>
        </row>
        <row r="815">
          <cell r="D815"/>
          <cell r="E815"/>
          <cell r="J815"/>
        </row>
        <row r="816">
          <cell r="D816"/>
          <cell r="E816"/>
          <cell r="J816"/>
        </row>
        <row r="817">
          <cell r="D817"/>
          <cell r="E817"/>
          <cell r="J817"/>
        </row>
        <row r="818">
          <cell r="D818"/>
          <cell r="E818"/>
          <cell r="J818"/>
        </row>
        <row r="819">
          <cell r="F819"/>
          <cell r="G819"/>
          <cell r="J819"/>
        </row>
        <row r="822">
          <cell r="D822"/>
          <cell r="E822"/>
          <cell r="J822"/>
        </row>
        <row r="823">
          <cell r="J823"/>
        </row>
        <row r="824">
          <cell r="D824"/>
          <cell r="E824"/>
          <cell r="J824"/>
        </row>
        <row r="825">
          <cell r="J825"/>
        </row>
        <row r="826">
          <cell r="F826"/>
          <cell r="G826"/>
          <cell r="H826"/>
          <cell r="J826"/>
        </row>
        <row r="827">
          <cell r="D827"/>
          <cell r="E827"/>
          <cell r="J827"/>
        </row>
        <row r="835">
          <cell r="D835"/>
          <cell r="E835"/>
          <cell r="J835"/>
        </row>
        <row r="838">
          <cell r="D838"/>
          <cell r="E838"/>
          <cell r="J838"/>
        </row>
        <row r="846">
          <cell r="D846"/>
          <cell r="E846"/>
          <cell r="J846"/>
        </row>
        <row r="849">
          <cell r="D849"/>
          <cell r="E849"/>
          <cell r="J849"/>
        </row>
        <row r="851">
          <cell r="D851"/>
          <cell r="E851"/>
          <cell r="J851"/>
        </row>
        <row r="852">
          <cell r="D852"/>
          <cell r="E852"/>
          <cell r="J852"/>
        </row>
        <row r="853">
          <cell r="D853"/>
          <cell r="E853"/>
          <cell r="J853"/>
        </row>
        <row r="861">
          <cell r="D861"/>
          <cell r="E861"/>
          <cell r="J861"/>
        </row>
        <row r="863">
          <cell r="D863"/>
          <cell r="E863"/>
          <cell r="J863"/>
        </row>
        <row r="864">
          <cell r="J864"/>
        </row>
        <row r="865">
          <cell r="D865"/>
          <cell r="E865"/>
          <cell r="J865"/>
        </row>
        <row r="869">
          <cell r="D869"/>
          <cell r="E869"/>
          <cell r="J869"/>
        </row>
        <row r="873">
          <cell r="F873"/>
          <cell r="G873"/>
          <cell r="H873"/>
        </row>
        <row r="874">
          <cell r="D874"/>
          <cell r="E874"/>
          <cell r="J874"/>
        </row>
        <row r="876">
          <cell r="D876"/>
          <cell r="E876"/>
          <cell r="J876"/>
        </row>
        <row r="878">
          <cell r="F878"/>
          <cell r="G878"/>
          <cell r="J878"/>
        </row>
        <row r="881">
          <cell r="D881"/>
          <cell r="E881"/>
          <cell r="J881"/>
        </row>
        <row r="886">
          <cell r="J886"/>
        </row>
        <row r="887">
          <cell r="D887"/>
          <cell r="E887"/>
          <cell r="J887"/>
        </row>
        <row r="890">
          <cell r="D890"/>
          <cell r="E890"/>
          <cell r="J890"/>
        </row>
        <row r="891">
          <cell r="F891"/>
          <cell r="G891"/>
          <cell r="H891"/>
          <cell r="J891"/>
        </row>
        <row r="896">
          <cell r="D896"/>
          <cell r="E896"/>
          <cell r="J896"/>
        </row>
        <row r="898">
          <cell r="J898"/>
        </row>
        <row r="899">
          <cell r="D899"/>
          <cell r="E899"/>
          <cell r="J899"/>
        </row>
        <row r="900">
          <cell r="J900"/>
        </row>
        <row r="901">
          <cell r="J901"/>
        </row>
        <row r="903">
          <cell r="D903"/>
          <cell r="E903"/>
          <cell r="J903"/>
        </row>
        <row r="904">
          <cell r="F904"/>
          <cell r="G904"/>
          <cell r="H904"/>
          <cell r="J904"/>
        </row>
        <row r="905">
          <cell r="J905"/>
        </row>
        <row r="906">
          <cell r="D906"/>
          <cell r="E906"/>
          <cell r="J906"/>
        </row>
        <row r="907">
          <cell r="F907"/>
          <cell r="G907"/>
          <cell r="H907"/>
        </row>
        <row r="908">
          <cell r="J908"/>
        </row>
        <row r="909">
          <cell r="J909"/>
        </row>
        <row r="910">
          <cell r="D910"/>
          <cell r="E910"/>
          <cell r="J910"/>
        </row>
        <row r="911">
          <cell r="D911"/>
          <cell r="E911"/>
          <cell r="J911"/>
        </row>
        <row r="912">
          <cell r="D912"/>
          <cell r="E912"/>
          <cell r="J912"/>
        </row>
        <row r="913">
          <cell r="F913"/>
          <cell r="G913"/>
          <cell r="H913"/>
          <cell r="I913"/>
          <cell r="J913"/>
        </row>
        <row r="914">
          <cell r="F914"/>
          <cell r="G914"/>
          <cell r="H914"/>
          <cell r="J914"/>
        </row>
        <row r="915">
          <cell r="J915"/>
        </row>
        <row r="916">
          <cell r="J916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96"/>
  <sheetViews>
    <sheetView workbookViewId="0">
      <selection activeCell="B9" sqref="B9"/>
    </sheetView>
  </sheetViews>
  <sheetFormatPr defaultRowHeight="15.75"/>
  <cols>
    <col min="1" max="1" width="4.140625" style="2" customWidth="1"/>
    <col min="2" max="2" width="24" style="2" customWidth="1"/>
    <col min="3" max="3" width="9" style="2" customWidth="1"/>
    <col min="4" max="4" width="12.42578125" style="2" customWidth="1"/>
    <col min="5" max="5" width="13.42578125" style="2" customWidth="1"/>
    <col min="6" max="19" width="11.42578125" style="2" customWidth="1"/>
    <col min="20" max="241" width="9.140625" style="2"/>
    <col min="242" max="242" width="4.140625" style="2" customWidth="1"/>
    <col min="243" max="243" width="24" style="2" customWidth="1"/>
    <col min="244" max="244" width="9" style="2" customWidth="1"/>
    <col min="245" max="245" width="16.28515625" style="2" customWidth="1"/>
    <col min="246" max="246" width="12" style="2" customWidth="1"/>
    <col min="247" max="247" width="17.140625" style="2" customWidth="1"/>
    <col min="248" max="248" width="13.85546875" style="2" customWidth="1"/>
    <col min="249" max="249" width="19.28515625" style="2" customWidth="1"/>
    <col min="250" max="250" width="14.85546875" style="2" bestFit="1" customWidth="1"/>
    <col min="251" max="251" width="9.140625" style="2"/>
    <col min="252" max="272" width="11.42578125" style="2" customWidth="1"/>
    <col min="273" max="497" width="9.140625" style="2"/>
    <col min="498" max="498" width="4.140625" style="2" customWidth="1"/>
    <col min="499" max="499" width="24" style="2" customWidth="1"/>
    <col min="500" max="500" width="9" style="2" customWidth="1"/>
    <col min="501" max="501" width="16.28515625" style="2" customWidth="1"/>
    <col min="502" max="502" width="12" style="2" customWidth="1"/>
    <col min="503" max="503" width="17.140625" style="2" customWidth="1"/>
    <col min="504" max="504" width="13.85546875" style="2" customWidth="1"/>
    <col min="505" max="505" width="19.28515625" style="2" customWidth="1"/>
    <col min="506" max="506" width="14.85546875" style="2" bestFit="1" customWidth="1"/>
    <col min="507" max="507" width="9.140625" style="2"/>
    <col min="508" max="528" width="11.42578125" style="2" customWidth="1"/>
    <col min="529" max="753" width="9.140625" style="2"/>
    <col min="754" max="754" width="4.140625" style="2" customWidth="1"/>
    <col min="755" max="755" width="24" style="2" customWidth="1"/>
    <col min="756" max="756" width="9" style="2" customWidth="1"/>
    <col min="757" max="757" width="16.28515625" style="2" customWidth="1"/>
    <col min="758" max="758" width="12" style="2" customWidth="1"/>
    <col min="759" max="759" width="17.140625" style="2" customWidth="1"/>
    <col min="760" max="760" width="13.85546875" style="2" customWidth="1"/>
    <col min="761" max="761" width="19.28515625" style="2" customWidth="1"/>
    <col min="762" max="762" width="14.85546875" style="2" bestFit="1" customWidth="1"/>
    <col min="763" max="763" width="9.140625" style="2"/>
    <col min="764" max="784" width="11.42578125" style="2" customWidth="1"/>
    <col min="785" max="1009" width="9.140625" style="2"/>
    <col min="1010" max="1010" width="4.140625" style="2" customWidth="1"/>
    <col min="1011" max="1011" width="24" style="2" customWidth="1"/>
    <col min="1012" max="1012" width="9" style="2" customWidth="1"/>
    <col min="1013" max="1013" width="16.28515625" style="2" customWidth="1"/>
    <col min="1014" max="1014" width="12" style="2" customWidth="1"/>
    <col min="1015" max="1015" width="17.140625" style="2" customWidth="1"/>
    <col min="1016" max="1016" width="13.85546875" style="2" customWidth="1"/>
    <col min="1017" max="1017" width="19.28515625" style="2" customWidth="1"/>
    <col min="1018" max="1018" width="14.85546875" style="2" bestFit="1" customWidth="1"/>
    <col min="1019" max="1019" width="9.140625" style="2"/>
    <col min="1020" max="1040" width="11.42578125" style="2" customWidth="1"/>
    <col min="1041" max="1265" width="9.140625" style="2"/>
    <col min="1266" max="1266" width="4.140625" style="2" customWidth="1"/>
    <col min="1267" max="1267" width="24" style="2" customWidth="1"/>
    <col min="1268" max="1268" width="9" style="2" customWidth="1"/>
    <col min="1269" max="1269" width="16.28515625" style="2" customWidth="1"/>
    <col min="1270" max="1270" width="12" style="2" customWidth="1"/>
    <col min="1271" max="1271" width="17.140625" style="2" customWidth="1"/>
    <col min="1272" max="1272" width="13.85546875" style="2" customWidth="1"/>
    <col min="1273" max="1273" width="19.28515625" style="2" customWidth="1"/>
    <col min="1274" max="1274" width="14.85546875" style="2" bestFit="1" customWidth="1"/>
    <col min="1275" max="1275" width="9.140625" style="2"/>
    <col min="1276" max="1296" width="11.42578125" style="2" customWidth="1"/>
    <col min="1297" max="1521" width="9.140625" style="2"/>
    <col min="1522" max="1522" width="4.140625" style="2" customWidth="1"/>
    <col min="1523" max="1523" width="24" style="2" customWidth="1"/>
    <col min="1524" max="1524" width="9" style="2" customWidth="1"/>
    <col min="1525" max="1525" width="16.28515625" style="2" customWidth="1"/>
    <col min="1526" max="1526" width="12" style="2" customWidth="1"/>
    <col min="1527" max="1527" width="17.140625" style="2" customWidth="1"/>
    <col min="1528" max="1528" width="13.85546875" style="2" customWidth="1"/>
    <col min="1529" max="1529" width="19.28515625" style="2" customWidth="1"/>
    <col min="1530" max="1530" width="14.85546875" style="2" bestFit="1" customWidth="1"/>
    <col min="1531" max="1531" width="9.140625" style="2"/>
    <col min="1532" max="1552" width="11.42578125" style="2" customWidth="1"/>
    <col min="1553" max="1777" width="9.140625" style="2"/>
    <col min="1778" max="1778" width="4.140625" style="2" customWidth="1"/>
    <col min="1779" max="1779" width="24" style="2" customWidth="1"/>
    <col min="1780" max="1780" width="9" style="2" customWidth="1"/>
    <col min="1781" max="1781" width="16.28515625" style="2" customWidth="1"/>
    <col min="1782" max="1782" width="12" style="2" customWidth="1"/>
    <col min="1783" max="1783" width="17.140625" style="2" customWidth="1"/>
    <col min="1784" max="1784" width="13.85546875" style="2" customWidth="1"/>
    <col min="1785" max="1785" width="19.28515625" style="2" customWidth="1"/>
    <col min="1786" max="1786" width="14.85546875" style="2" bestFit="1" customWidth="1"/>
    <col min="1787" max="1787" width="9.140625" style="2"/>
    <col min="1788" max="1808" width="11.42578125" style="2" customWidth="1"/>
    <col min="1809" max="2033" width="9.140625" style="2"/>
    <col min="2034" max="2034" width="4.140625" style="2" customWidth="1"/>
    <col min="2035" max="2035" width="24" style="2" customWidth="1"/>
    <col min="2036" max="2036" width="9" style="2" customWidth="1"/>
    <col min="2037" max="2037" width="16.28515625" style="2" customWidth="1"/>
    <col min="2038" max="2038" width="12" style="2" customWidth="1"/>
    <col min="2039" max="2039" width="17.140625" style="2" customWidth="1"/>
    <col min="2040" max="2040" width="13.85546875" style="2" customWidth="1"/>
    <col min="2041" max="2041" width="19.28515625" style="2" customWidth="1"/>
    <col min="2042" max="2042" width="14.85546875" style="2" bestFit="1" customWidth="1"/>
    <col min="2043" max="2043" width="9.140625" style="2"/>
    <col min="2044" max="2064" width="11.42578125" style="2" customWidth="1"/>
    <col min="2065" max="2289" width="9.140625" style="2"/>
    <col min="2290" max="2290" width="4.140625" style="2" customWidth="1"/>
    <col min="2291" max="2291" width="24" style="2" customWidth="1"/>
    <col min="2292" max="2292" width="9" style="2" customWidth="1"/>
    <col min="2293" max="2293" width="16.28515625" style="2" customWidth="1"/>
    <col min="2294" max="2294" width="12" style="2" customWidth="1"/>
    <col min="2295" max="2295" width="17.140625" style="2" customWidth="1"/>
    <col min="2296" max="2296" width="13.85546875" style="2" customWidth="1"/>
    <col min="2297" max="2297" width="19.28515625" style="2" customWidth="1"/>
    <col min="2298" max="2298" width="14.85546875" style="2" bestFit="1" customWidth="1"/>
    <col min="2299" max="2299" width="9.140625" style="2"/>
    <col min="2300" max="2320" width="11.42578125" style="2" customWidth="1"/>
    <col min="2321" max="2545" width="9.140625" style="2"/>
    <col min="2546" max="2546" width="4.140625" style="2" customWidth="1"/>
    <col min="2547" max="2547" width="24" style="2" customWidth="1"/>
    <col min="2548" max="2548" width="9" style="2" customWidth="1"/>
    <col min="2549" max="2549" width="16.28515625" style="2" customWidth="1"/>
    <col min="2550" max="2550" width="12" style="2" customWidth="1"/>
    <col min="2551" max="2551" width="17.140625" style="2" customWidth="1"/>
    <col min="2552" max="2552" width="13.85546875" style="2" customWidth="1"/>
    <col min="2553" max="2553" width="19.28515625" style="2" customWidth="1"/>
    <col min="2554" max="2554" width="14.85546875" style="2" bestFit="1" customWidth="1"/>
    <col min="2555" max="2555" width="9.140625" style="2"/>
    <col min="2556" max="2576" width="11.42578125" style="2" customWidth="1"/>
    <col min="2577" max="2801" width="9.140625" style="2"/>
    <col min="2802" max="2802" width="4.140625" style="2" customWidth="1"/>
    <col min="2803" max="2803" width="24" style="2" customWidth="1"/>
    <col min="2804" max="2804" width="9" style="2" customWidth="1"/>
    <col min="2805" max="2805" width="16.28515625" style="2" customWidth="1"/>
    <col min="2806" max="2806" width="12" style="2" customWidth="1"/>
    <col min="2807" max="2807" width="17.140625" style="2" customWidth="1"/>
    <col min="2808" max="2808" width="13.85546875" style="2" customWidth="1"/>
    <col min="2809" max="2809" width="19.28515625" style="2" customWidth="1"/>
    <col min="2810" max="2810" width="14.85546875" style="2" bestFit="1" customWidth="1"/>
    <col min="2811" max="2811" width="9.140625" style="2"/>
    <col min="2812" max="2832" width="11.42578125" style="2" customWidth="1"/>
    <col min="2833" max="3057" width="9.140625" style="2"/>
    <col min="3058" max="3058" width="4.140625" style="2" customWidth="1"/>
    <col min="3059" max="3059" width="24" style="2" customWidth="1"/>
    <col min="3060" max="3060" width="9" style="2" customWidth="1"/>
    <col min="3061" max="3061" width="16.28515625" style="2" customWidth="1"/>
    <col min="3062" max="3062" width="12" style="2" customWidth="1"/>
    <col min="3063" max="3063" width="17.140625" style="2" customWidth="1"/>
    <col min="3064" max="3064" width="13.85546875" style="2" customWidth="1"/>
    <col min="3065" max="3065" width="19.28515625" style="2" customWidth="1"/>
    <col min="3066" max="3066" width="14.85546875" style="2" bestFit="1" customWidth="1"/>
    <col min="3067" max="3067" width="9.140625" style="2"/>
    <col min="3068" max="3088" width="11.42578125" style="2" customWidth="1"/>
    <col min="3089" max="3313" width="9.140625" style="2"/>
    <col min="3314" max="3314" width="4.140625" style="2" customWidth="1"/>
    <col min="3315" max="3315" width="24" style="2" customWidth="1"/>
    <col min="3316" max="3316" width="9" style="2" customWidth="1"/>
    <col min="3317" max="3317" width="16.28515625" style="2" customWidth="1"/>
    <col min="3318" max="3318" width="12" style="2" customWidth="1"/>
    <col min="3319" max="3319" width="17.140625" style="2" customWidth="1"/>
    <col min="3320" max="3320" width="13.85546875" style="2" customWidth="1"/>
    <col min="3321" max="3321" width="19.28515625" style="2" customWidth="1"/>
    <col min="3322" max="3322" width="14.85546875" style="2" bestFit="1" customWidth="1"/>
    <col min="3323" max="3323" width="9.140625" style="2"/>
    <col min="3324" max="3344" width="11.42578125" style="2" customWidth="1"/>
    <col min="3345" max="3569" width="9.140625" style="2"/>
    <col min="3570" max="3570" width="4.140625" style="2" customWidth="1"/>
    <col min="3571" max="3571" width="24" style="2" customWidth="1"/>
    <col min="3572" max="3572" width="9" style="2" customWidth="1"/>
    <col min="3573" max="3573" width="16.28515625" style="2" customWidth="1"/>
    <col min="3574" max="3574" width="12" style="2" customWidth="1"/>
    <col min="3575" max="3575" width="17.140625" style="2" customWidth="1"/>
    <col min="3576" max="3576" width="13.85546875" style="2" customWidth="1"/>
    <col min="3577" max="3577" width="19.28515625" style="2" customWidth="1"/>
    <col min="3578" max="3578" width="14.85546875" style="2" bestFit="1" customWidth="1"/>
    <col min="3579" max="3579" width="9.140625" style="2"/>
    <col min="3580" max="3600" width="11.42578125" style="2" customWidth="1"/>
    <col min="3601" max="3825" width="9.140625" style="2"/>
    <col min="3826" max="3826" width="4.140625" style="2" customWidth="1"/>
    <col min="3827" max="3827" width="24" style="2" customWidth="1"/>
    <col min="3828" max="3828" width="9" style="2" customWidth="1"/>
    <col min="3829" max="3829" width="16.28515625" style="2" customWidth="1"/>
    <col min="3830" max="3830" width="12" style="2" customWidth="1"/>
    <col min="3831" max="3831" width="17.140625" style="2" customWidth="1"/>
    <col min="3832" max="3832" width="13.85546875" style="2" customWidth="1"/>
    <col min="3833" max="3833" width="19.28515625" style="2" customWidth="1"/>
    <col min="3834" max="3834" width="14.85546875" style="2" bestFit="1" customWidth="1"/>
    <col min="3835" max="3835" width="9.140625" style="2"/>
    <col min="3836" max="3856" width="11.42578125" style="2" customWidth="1"/>
    <col min="3857" max="4081" width="9.140625" style="2"/>
    <col min="4082" max="4082" width="4.140625" style="2" customWidth="1"/>
    <col min="4083" max="4083" width="24" style="2" customWidth="1"/>
    <col min="4084" max="4084" width="9" style="2" customWidth="1"/>
    <col min="4085" max="4085" width="16.28515625" style="2" customWidth="1"/>
    <col min="4086" max="4086" width="12" style="2" customWidth="1"/>
    <col min="4087" max="4087" width="17.140625" style="2" customWidth="1"/>
    <col min="4088" max="4088" width="13.85546875" style="2" customWidth="1"/>
    <col min="4089" max="4089" width="19.28515625" style="2" customWidth="1"/>
    <col min="4090" max="4090" width="14.85546875" style="2" bestFit="1" customWidth="1"/>
    <col min="4091" max="4091" width="9.140625" style="2"/>
    <col min="4092" max="4112" width="11.42578125" style="2" customWidth="1"/>
    <col min="4113" max="4337" width="9.140625" style="2"/>
    <col min="4338" max="4338" width="4.140625" style="2" customWidth="1"/>
    <col min="4339" max="4339" width="24" style="2" customWidth="1"/>
    <col min="4340" max="4340" width="9" style="2" customWidth="1"/>
    <col min="4341" max="4341" width="16.28515625" style="2" customWidth="1"/>
    <col min="4342" max="4342" width="12" style="2" customWidth="1"/>
    <col min="4343" max="4343" width="17.140625" style="2" customWidth="1"/>
    <col min="4344" max="4344" width="13.85546875" style="2" customWidth="1"/>
    <col min="4345" max="4345" width="19.28515625" style="2" customWidth="1"/>
    <col min="4346" max="4346" width="14.85546875" style="2" bestFit="1" customWidth="1"/>
    <col min="4347" max="4347" width="9.140625" style="2"/>
    <col min="4348" max="4368" width="11.42578125" style="2" customWidth="1"/>
    <col min="4369" max="4593" width="9.140625" style="2"/>
    <col min="4594" max="4594" width="4.140625" style="2" customWidth="1"/>
    <col min="4595" max="4595" width="24" style="2" customWidth="1"/>
    <col min="4596" max="4596" width="9" style="2" customWidth="1"/>
    <col min="4597" max="4597" width="16.28515625" style="2" customWidth="1"/>
    <col min="4598" max="4598" width="12" style="2" customWidth="1"/>
    <col min="4599" max="4599" width="17.140625" style="2" customWidth="1"/>
    <col min="4600" max="4600" width="13.85546875" style="2" customWidth="1"/>
    <col min="4601" max="4601" width="19.28515625" style="2" customWidth="1"/>
    <col min="4602" max="4602" width="14.85546875" style="2" bestFit="1" customWidth="1"/>
    <col min="4603" max="4603" width="9.140625" style="2"/>
    <col min="4604" max="4624" width="11.42578125" style="2" customWidth="1"/>
    <col min="4625" max="4849" width="9.140625" style="2"/>
    <col min="4850" max="4850" width="4.140625" style="2" customWidth="1"/>
    <col min="4851" max="4851" width="24" style="2" customWidth="1"/>
    <col min="4852" max="4852" width="9" style="2" customWidth="1"/>
    <col min="4853" max="4853" width="16.28515625" style="2" customWidth="1"/>
    <col min="4854" max="4854" width="12" style="2" customWidth="1"/>
    <col min="4855" max="4855" width="17.140625" style="2" customWidth="1"/>
    <col min="4856" max="4856" width="13.85546875" style="2" customWidth="1"/>
    <col min="4857" max="4857" width="19.28515625" style="2" customWidth="1"/>
    <col min="4858" max="4858" width="14.85546875" style="2" bestFit="1" customWidth="1"/>
    <col min="4859" max="4859" width="9.140625" style="2"/>
    <col min="4860" max="4880" width="11.42578125" style="2" customWidth="1"/>
    <col min="4881" max="5105" width="9.140625" style="2"/>
    <col min="5106" max="5106" width="4.140625" style="2" customWidth="1"/>
    <col min="5107" max="5107" width="24" style="2" customWidth="1"/>
    <col min="5108" max="5108" width="9" style="2" customWidth="1"/>
    <col min="5109" max="5109" width="16.28515625" style="2" customWidth="1"/>
    <col min="5110" max="5110" width="12" style="2" customWidth="1"/>
    <col min="5111" max="5111" width="17.140625" style="2" customWidth="1"/>
    <col min="5112" max="5112" width="13.85546875" style="2" customWidth="1"/>
    <col min="5113" max="5113" width="19.28515625" style="2" customWidth="1"/>
    <col min="5114" max="5114" width="14.85546875" style="2" bestFit="1" customWidth="1"/>
    <col min="5115" max="5115" width="9.140625" style="2"/>
    <col min="5116" max="5136" width="11.42578125" style="2" customWidth="1"/>
    <col min="5137" max="5361" width="9.140625" style="2"/>
    <col min="5362" max="5362" width="4.140625" style="2" customWidth="1"/>
    <col min="5363" max="5363" width="24" style="2" customWidth="1"/>
    <col min="5364" max="5364" width="9" style="2" customWidth="1"/>
    <col min="5365" max="5365" width="16.28515625" style="2" customWidth="1"/>
    <col min="5366" max="5366" width="12" style="2" customWidth="1"/>
    <col min="5367" max="5367" width="17.140625" style="2" customWidth="1"/>
    <col min="5368" max="5368" width="13.85546875" style="2" customWidth="1"/>
    <col min="5369" max="5369" width="19.28515625" style="2" customWidth="1"/>
    <col min="5370" max="5370" width="14.85546875" style="2" bestFit="1" customWidth="1"/>
    <col min="5371" max="5371" width="9.140625" style="2"/>
    <col min="5372" max="5392" width="11.42578125" style="2" customWidth="1"/>
    <col min="5393" max="5617" width="9.140625" style="2"/>
    <col min="5618" max="5618" width="4.140625" style="2" customWidth="1"/>
    <col min="5619" max="5619" width="24" style="2" customWidth="1"/>
    <col min="5620" max="5620" width="9" style="2" customWidth="1"/>
    <col min="5621" max="5621" width="16.28515625" style="2" customWidth="1"/>
    <col min="5622" max="5622" width="12" style="2" customWidth="1"/>
    <col min="5623" max="5623" width="17.140625" style="2" customWidth="1"/>
    <col min="5624" max="5624" width="13.85546875" style="2" customWidth="1"/>
    <col min="5625" max="5625" width="19.28515625" style="2" customWidth="1"/>
    <col min="5626" max="5626" width="14.85546875" style="2" bestFit="1" customWidth="1"/>
    <col min="5627" max="5627" width="9.140625" style="2"/>
    <col min="5628" max="5648" width="11.42578125" style="2" customWidth="1"/>
    <col min="5649" max="5873" width="9.140625" style="2"/>
    <col min="5874" max="5874" width="4.140625" style="2" customWidth="1"/>
    <col min="5875" max="5875" width="24" style="2" customWidth="1"/>
    <col min="5876" max="5876" width="9" style="2" customWidth="1"/>
    <col min="5877" max="5877" width="16.28515625" style="2" customWidth="1"/>
    <col min="5878" max="5878" width="12" style="2" customWidth="1"/>
    <col min="5879" max="5879" width="17.140625" style="2" customWidth="1"/>
    <col min="5880" max="5880" width="13.85546875" style="2" customWidth="1"/>
    <col min="5881" max="5881" width="19.28515625" style="2" customWidth="1"/>
    <col min="5882" max="5882" width="14.85546875" style="2" bestFit="1" customWidth="1"/>
    <col min="5883" max="5883" width="9.140625" style="2"/>
    <col min="5884" max="5904" width="11.42578125" style="2" customWidth="1"/>
    <col min="5905" max="6129" width="9.140625" style="2"/>
    <col min="6130" max="6130" width="4.140625" style="2" customWidth="1"/>
    <col min="6131" max="6131" width="24" style="2" customWidth="1"/>
    <col min="6132" max="6132" width="9" style="2" customWidth="1"/>
    <col min="6133" max="6133" width="16.28515625" style="2" customWidth="1"/>
    <col min="6134" max="6134" width="12" style="2" customWidth="1"/>
    <col min="6135" max="6135" width="17.140625" style="2" customWidth="1"/>
    <col min="6136" max="6136" width="13.85546875" style="2" customWidth="1"/>
    <col min="6137" max="6137" width="19.28515625" style="2" customWidth="1"/>
    <col min="6138" max="6138" width="14.85546875" style="2" bestFit="1" customWidth="1"/>
    <col min="6139" max="6139" width="9.140625" style="2"/>
    <col min="6140" max="6160" width="11.42578125" style="2" customWidth="1"/>
    <col min="6161" max="6385" width="9.140625" style="2"/>
    <col min="6386" max="6386" width="4.140625" style="2" customWidth="1"/>
    <col min="6387" max="6387" width="24" style="2" customWidth="1"/>
    <col min="6388" max="6388" width="9" style="2" customWidth="1"/>
    <col min="6389" max="6389" width="16.28515625" style="2" customWidth="1"/>
    <col min="6390" max="6390" width="12" style="2" customWidth="1"/>
    <col min="6391" max="6391" width="17.140625" style="2" customWidth="1"/>
    <col min="6392" max="6392" width="13.85546875" style="2" customWidth="1"/>
    <col min="6393" max="6393" width="19.28515625" style="2" customWidth="1"/>
    <col min="6394" max="6394" width="14.85546875" style="2" bestFit="1" customWidth="1"/>
    <col min="6395" max="6395" width="9.140625" style="2"/>
    <col min="6396" max="6416" width="11.42578125" style="2" customWidth="1"/>
    <col min="6417" max="6641" width="9.140625" style="2"/>
    <col min="6642" max="6642" width="4.140625" style="2" customWidth="1"/>
    <col min="6643" max="6643" width="24" style="2" customWidth="1"/>
    <col min="6644" max="6644" width="9" style="2" customWidth="1"/>
    <col min="6645" max="6645" width="16.28515625" style="2" customWidth="1"/>
    <col min="6646" max="6646" width="12" style="2" customWidth="1"/>
    <col min="6647" max="6647" width="17.140625" style="2" customWidth="1"/>
    <col min="6648" max="6648" width="13.85546875" style="2" customWidth="1"/>
    <col min="6649" max="6649" width="19.28515625" style="2" customWidth="1"/>
    <col min="6650" max="6650" width="14.85546875" style="2" bestFit="1" customWidth="1"/>
    <col min="6651" max="6651" width="9.140625" style="2"/>
    <col min="6652" max="6672" width="11.42578125" style="2" customWidth="1"/>
    <col min="6673" max="6897" width="9.140625" style="2"/>
    <col min="6898" max="6898" width="4.140625" style="2" customWidth="1"/>
    <col min="6899" max="6899" width="24" style="2" customWidth="1"/>
    <col min="6900" max="6900" width="9" style="2" customWidth="1"/>
    <col min="6901" max="6901" width="16.28515625" style="2" customWidth="1"/>
    <col min="6902" max="6902" width="12" style="2" customWidth="1"/>
    <col min="6903" max="6903" width="17.140625" style="2" customWidth="1"/>
    <col min="6904" max="6904" width="13.85546875" style="2" customWidth="1"/>
    <col min="6905" max="6905" width="19.28515625" style="2" customWidth="1"/>
    <col min="6906" max="6906" width="14.85546875" style="2" bestFit="1" customWidth="1"/>
    <col min="6907" max="6907" width="9.140625" style="2"/>
    <col min="6908" max="6928" width="11.42578125" style="2" customWidth="1"/>
    <col min="6929" max="7153" width="9.140625" style="2"/>
    <col min="7154" max="7154" width="4.140625" style="2" customWidth="1"/>
    <col min="7155" max="7155" width="24" style="2" customWidth="1"/>
    <col min="7156" max="7156" width="9" style="2" customWidth="1"/>
    <col min="7157" max="7157" width="16.28515625" style="2" customWidth="1"/>
    <col min="7158" max="7158" width="12" style="2" customWidth="1"/>
    <col min="7159" max="7159" width="17.140625" style="2" customWidth="1"/>
    <col min="7160" max="7160" width="13.85546875" style="2" customWidth="1"/>
    <col min="7161" max="7161" width="19.28515625" style="2" customWidth="1"/>
    <col min="7162" max="7162" width="14.85546875" style="2" bestFit="1" customWidth="1"/>
    <col min="7163" max="7163" width="9.140625" style="2"/>
    <col min="7164" max="7184" width="11.42578125" style="2" customWidth="1"/>
    <col min="7185" max="7409" width="9.140625" style="2"/>
    <col min="7410" max="7410" width="4.140625" style="2" customWidth="1"/>
    <col min="7411" max="7411" width="24" style="2" customWidth="1"/>
    <col min="7412" max="7412" width="9" style="2" customWidth="1"/>
    <col min="7413" max="7413" width="16.28515625" style="2" customWidth="1"/>
    <col min="7414" max="7414" width="12" style="2" customWidth="1"/>
    <col min="7415" max="7415" width="17.140625" style="2" customWidth="1"/>
    <col min="7416" max="7416" width="13.85546875" style="2" customWidth="1"/>
    <col min="7417" max="7417" width="19.28515625" style="2" customWidth="1"/>
    <col min="7418" max="7418" width="14.85546875" style="2" bestFit="1" customWidth="1"/>
    <col min="7419" max="7419" width="9.140625" style="2"/>
    <col min="7420" max="7440" width="11.42578125" style="2" customWidth="1"/>
    <col min="7441" max="7665" width="9.140625" style="2"/>
    <col min="7666" max="7666" width="4.140625" style="2" customWidth="1"/>
    <col min="7667" max="7667" width="24" style="2" customWidth="1"/>
    <col min="7668" max="7668" width="9" style="2" customWidth="1"/>
    <col min="7669" max="7669" width="16.28515625" style="2" customWidth="1"/>
    <col min="7670" max="7670" width="12" style="2" customWidth="1"/>
    <col min="7671" max="7671" width="17.140625" style="2" customWidth="1"/>
    <col min="7672" max="7672" width="13.85546875" style="2" customWidth="1"/>
    <col min="7673" max="7673" width="19.28515625" style="2" customWidth="1"/>
    <col min="7674" max="7674" width="14.85546875" style="2" bestFit="1" customWidth="1"/>
    <col min="7675" max="7675" width="9.140625" style="2"/>
    <col min="7676" max="7696" width="11.42578125" style="2" customWidth="1"/>
    <col min="7697" max="7921" width="9.140625" style="2"/>
    <col min="7922" max="7922" width="4.140625" style="2" customWidth="1"/>
    <col min="7923" max="7923" width="24" style="2" customWidth="1"/>
    <col min="7924" max="7924" width="9" style="2" customWidth="1"/>
    <col min="7925" max="7925" width="16.28515625" style="2" customWidth="1"/>
    <col min="7926" max="7926" width="12" style="2" customWidth="1"/>
    <col min="7927" max="7927" width="17.140625" style="2" customWidth="1"/>
    <col min="7928" max="7928" width="13.85546875" style="2" customWidth="1"/>
    <col min="7929" max="7929" width="19.28515625" style="2" customWidth="1"/>
    <col min="7930" max="7930" width="14.85546875" style="2" bestFit="1" customWidth="1"/>
    <col min="7931" max="7931" width="9.140625" style="2"/>
    <col min="7932" max="7952" width="11.42578125" style="2" customWidth="1"/>
    <col min="7953" max="8177" width="9.140625" style="2"/>
    <col min="8178" max="8178" width="4.140625" style="2" customWidth="1"/>
    <col min="8179" max="8179" width="24" style="2" customWidth="1"/>
    <col min="8180" max="8180" width="9" style="2" customWidth="1"/>
    <col min="8181" max="8181" width="16.28515625" style="2" customWidth="1"/>
    <col min="8182" max="8182" width="12" style="2" customWidth="1"/>
    <col min="8183" max="8183" width="17.140625" style="2" customWidth="1"/>
    <col min="8184" max="8184" width="13.85546875" style="2" customWidth="1"/>
    <col min="8185" max="8185" width="19.28515625" style="2" customWidth="1"/>
    <col min="8186" max="8186" width="14.85546875" style="2" bestFit="1" customWidth="1"/>
    <col min="8187" max="8187" width="9.140625" style="2"/>
    <col min="8188" max="8208" width="11.42578125" style="2" customWidth="1"/>
    <col min="8209" max="8433" width="9.140625" style="2"/>
    <col min="8434" max="8434" width="4.140625" style="2" customWidth="1"/>
    <col min="8435" max="8435" width="24" style="2" customWidth="1"/>
    <col min="8436" max="8436" width="9" style="2" customWidth="1"/>
    <col min="8437" max="8437" width="16.28515625" style="2" customWidth="1"/>
    <col min="8438" max="8438" width="12" style="2" customWidth="1"/>
    <col min="8439" max="8439" width="17.140625" style="2" customWidth="1"/>
    <col min="8440" max="8440" width="13.85546875" style="2" customWidth="1"/>
    <col min="8441" max="8441" width="19.28515625" style="2" customWidth="1"/>
    <col min="8442" max="8442" width="14.85546875" style="2" bestFit="1" customWidth="1"/>
    <col min="8443" max="8443" width="9.140625" style="2"/>
    <col min="8444" max="8464" width="11.42578125" style="2" customWidth="1"/>
    <col min="8465" max="8689" width="9.140625" style="2"/>
    <col min="8690" max="8690" width="4.140625" style="2" customWidth="1"/>
    <col min="8691" max="8691" width="24" style="2" customWidth="1"/>
    <col min="8692" max="8692" width="9" style="2" customWidth="1"/>
    <col min="8693" max="8693" width="16.28515625" style="2" customWidth="1"/>
    <col min="8694" max="8694" width="12" style="2" customWidth="1"/>
    <col min="8695" max="8695" width="17.140625" style="2" customWidth="1"/>
    <col min="8696" max="8696" width="13.85546875" style="2" customWidth="1"/>
    <col min="8697" max="8697" width="19.28515625" style="2" customWidth="1"/>
    <col min="8698" max="8698" width="14.85546875" style="2" bestFit="1" customWidth="1"/>
    <col min="8699" max="8699" width="9.140625" style="2"/>
    <col min="8700" max="8720" width="11.42578125" style="2" customWidth="1"/>
    <col min="8721" max="8945" width="9.140625" style="2"/>
    <col min="8946" max="8946" width="4.140625" style="2" customWidth="1"/>
    <col min="8947" max="8947" width="24" style="2" customWidth="1"/>
    <col min="8948" max="8948" width="9" style="2" customWidth="1"/>
    <col min="8949" max="8949" width="16.28515625" style="2" customWidth="1"/>
    <col min="8950" max="8950" width="12" style="2" customWidth="1"/>
    <col min="8951" max="8951" width="17.140625" style="2" customWidth="1"/>
    <col min="8952" max="8952" width="13.85546875" style="2" customWidth="1"/>
    <col min="8953" max="8953" width="19.28515625" style="2" customWidth="1"/>
    <col min="8954" max="8954" width="14.85546875" style="2" bestFit="1" customWidth="1"/>
    <col min="8955" max="8955" width="9.140625" style="2"/>
    <col min="8956" max="8976" width="11.42578125" style="2" customWidth="1"/>
    <col min="8977" max="9201" width="9.140625" style="2"/>
    <col min="9202" max="9202" width="4.140625" style="2" customWidth="1"/>
    <col min="9203" max="9203" width="24" style="2" customWidth="1"/>
    <col min="9204" max="9204" width="9" style="2" customWidth="1"/>
    <col min="9205" max="9205" width="16.28515625" style="2" customWidth="1"/>
    <col min="9206" max="9206" width="12" style="2" customWidth="1"/>
    <col min="9207" max="9207" width="17.140625" style="2" customWidth="1"/>
    <col min="9208" max="9208" width="13.85546875" style="2" customWidth="1"/>
    <col min="9209" max="9209" width="19.28515625" style="2" customWidth="1"/>
    <col min="9210" max="9210" width="14.85546875" style="2" bestFit="1" customWidth="1"/>
    <col min="9211" max="9211" width="9.140625" style="2"/>
    <col min="9212" max="9232" width="11.42578125" style="2" customWidth="1"/>
    <col min="9233" max="9457" width="9.140625" style="2"/>
    <col min="9458" max="9458" width="4.140625" style="2" customWidth="1"/>
    <col min="9459" max="9459" width="24" style="2" customWidth="1"/>
    <col min="9460" max="9460" width="9" style="2" customWidth="1"/>
    <col min="9461" max="9461" width="16.28515625" style="2" customWidth="1"/>
    <col min="9462" max="9462" width="12" style="2" customWidth="1"/>
    <col min="9463" max="9463" width="17.140625" style="2" customWidth="1"/>
    <col min="9464" max="9464" width="13.85546875" style="2" customWidth="1"/>
    <col min="9465" max="9465" width="19.28515625" style="2" customWidth="1"/>
    <col min="9466" max="9466" width="14.85546875" style="2" bestFit="1" customWidth="1"/>
    <col min="9467" max="9467" width="9.140625" style="2"/>
    <col min="9468" max="9488" width="11.42578125" style="2" customWidth="1"/>
    <col min="9489" max="9713" width="9.140625" style="2"/>
    <col min="9714" max="9714" width="4.140625" style="2" customWidth="1"/>
    <col min="9715" max="9715" width="24" style="2" customWidth="1"/>
    <col min="9716" max="9716" width="9" style="2" customWidth="1"/>
    <col min="9717" max="9717" width="16.28515625" style="2" customWidth="1"/>
    <col min="9718" max="9718" width="12" style="2" customWidth="1"/>
    <col min="9719" max="9719" width="17.140625" style="2" customWidth="1"/>
    <col min="9720" max="9720" width="13.85546875" style="2" customWidth="1"/>
    <col min="9721" max="9721" width="19.28515625" style="2" customWidth="1"/>
    <col min="9722" max="9722" width="14.85546875" style="2" bestFit="1" customWidth="1"/>
    <col min="9723" max="9723" width="9.140625" style="2"/>
    <col min="9724" max="9744" width="11.42578125" style="2" customWidth="1"/>
    <col min="9745" max="9969" width="9.140625" style="2"/>
    <col min="9970" max="9970" width="4.140625" style="2" customWidth="1"/>
    <col min="9971" max="9971" width="24" style="2" customWidth="1"/>
    <col min="9972" max="9972" width="9" style="2" customWidth="1"/>
    <col min="9973" max="9973" width="16.28515625" style="2" customWidth="1"/>
    <col min="9974" max="9974" width="12" style="2" customWidth="1"/>
    <col min="9975" max="9975" width="17.140625" style="2" customWidth="1"/>
    <col min="9976" max="9976" width="13.85546875" style="2" customWidth="1"/>
    <col min="9977" max="9977" width="19.28515625" style="2" customWidth="1"/>
    <col min="9978" max="9978" width="14.85546875" style="2" bestFit="1" customWidth="1"/>
    <col min="9979" max="9979" width="9.140625" style="2"/>
    <col min="9980" max="10000" width="11.42578125" style="2" customWidth="1"/>
    <col min="10001" max="10225" width="9.140625" style="2"/>
    <col min="10226" max="10226" width="4.140625" style="2" customWidth="1"/>
    <col min="10227" max="10227" width="24" style="2" customWidth="1"/>
    <col min="10228" max="10228" width="9" style="2" customWidth="1"/>
    <col min="10229" max="10229" width="16.28515625" style="2" customWidth="1"/>
    <col min="10230" max="10230" width="12" style="2" customWidth="1"/>
    <col min="10231" max="10231" width="17.140625" style="2" customWidth="1"/>
    <col min="10232" max="10232" width="13.85546875" style="2" customWidth="1"/>
    <col min="10233" max="10233" width="19.28515625" style="2" customWidth="1"/>
    <col min="10234" max="10234" width="14.85546875" style="2" bestFit="1" customWidth="1"/>
    <col min="10235" max="10235" width="9.140625" style="2"/>
    <col min="10236" max="10256" width="11.42578125" style="2" customWidth="1"/>
    <col min="10257" max="10481" width="9.140625" style="2"/>
    <col min="10482" max="10482" width="4.140625" style="2" customWidth="1"/>
    <col min="10483" max="10483" width="24" style="2" customWidth="1"/>
    <col min="10484" max="10484" width="9" style="2" customWidth="1"/>
    <col min="10485" max="10485" width="16.28515625" style="2" customWidth="1"/>
    <col min="10486" max="10486" width="12" style="2" customWidth="1"/>
    <col min="10487" max="10487" width="17.140625" style="2" customWidth="1"/>
    <col min="10488" max="10488" width="13.85546875" style="2" customWidth="1"/>
    <col min="10489" max="10489" width="19.28515625" style="2" customWidth="1"/>
    <col min="10490" max="10490" width="14.85546875" style="2" bestFit="1" customWidth="1"/>
    <col min="10491" max="10491" width="9.140625" style="2"/>
    <col min="10492" max="10512" width="11.42578125" style="2" customWidth="1"/>
    <col min="10513" max="10737" width="9.140625" style="2"/>
    <col min="10738" max="10738" width="4.140625" style="2" customWidth="1"/>
    <col min="10739" max="10739" width="24" style="2" customWidth="1"/>
    <col min="10740" max="10740" width="9" style="2" customWidth="1"/>
    <col min="10741" max="10741" width="16.28515625" style="2" customWidth="1"/>
    <col min="10742" max="10742" width="12" style="2" customWidth="1"/>
    <col min="10743" max="10743" width="17.140625" style="2" customWidth="1"/>
    <col min="10744" max="10744" width="13.85546875" style="2" customWidth="1"/>
    <col min="10745" max="10745" width="19.28515625" style="2" customWidth="1"/>
    <col min="10746" max="10746" width="14.85546875" style="2" bestFit="1" customWidth="1"/>
    <col min="10747" max="10747" width="9.140625" style="2"/>
    <col min="10748" max="10768" width="11.42578125" style="2" customWidth="1"/>
    <col min="10769" max="10993" width="9.140625" style="2"/>
    <col min="10994" max="10994" width="4.140625" style="2" customWidth="1"/>
    <col min="10995" max="10995" width="24" style="2" customWidth="1"/>
    <col min="10996" max="10996" width="9" style="2" customWidth="1"/>
    <col min="10997" max="10997" width="16.28515625" style="2" customWidth="1"/>
    <col min="10998" max="10998" width="12" style="2" customWidth="1"/>
    <col min="10999" max="10999" width="17.140625" style="2" customWidth="1"/>
    <col min="11000" max="11000" width="13.85546875" style="2" customWidth="1"/>
    <col min="11001" max="11001" width="19.28515625" style="2" customWidth="1"/>
    <col min="11002" max="11002" width="14.85546875" style="2" bestFit="1" customWidth="1"/>
    <col min="11003" max="11003" width="9.140625" style="2"/>
    <col min="11004" max="11024" width="11.42578125" style="2" customWidth="1"/>
    <col min="11025" max="11249" width="9.140625" style="2"/>
    <col min="11250" max="11250" width="4.140625" style="2" customWidth="1"/>
    <col min="11251" max="11251" width="24" style="2" customWidth="1"/>
    <col min="11252" max="11252" width="9" style="2" customWidth="1"/>
    <col min="11253" max="11253" width="16.28515625" style="2" customWidth="1"/>
    <col min="11254" max="11254" width="12" style="2" customWidth="1"/>
    <col min="11255" max="11255" width="17.140625" style="2" customWidth="1"/>
    <col min="11256" max="11256" width="13.85546875" style="2" customWidth="1"/>
    <col min="11257" max="11257" width="19.28515625" style="2" customWidth="1"/>
    <col min="11258" max="11258" width="14.85546875" style="2" bestFit="1" customWidth="1"/>
    <col min="11259" max="11259" width="9.140625" style="2"/>
    <col min="11260" max="11280" width="11.42578125" style="2" customWidth="1"/>
    <col min="11281" max="11505" width="9.140625" style="2"/>
    <col min="11506" max="11506" width="4.140625" style="2" customWidth="1"/>
    <col min="11507" max="11507" width="24" style="2" customWidth="1"/>
    <col min="11508" max="11508" width="9" style="2" customWidth="1"/>
    <col min="11509" max="11509" width="16.28515625" style="2" customWidth="1"/>
    <col min="11510" max="11510" width="12" style="2" customWidth="1"/>
    <col min="11511" max="11511" width="17.140625" style="2" customWidth="1"/>
    <col min="11512" max="11512" width="13.85546875" style="2" customWidth="1"/>
    <col min="11513" max="11513" width="19.28515625" style="2" customWidth="1"/>
    <col min="11514" max="11514" width="14.85546875" style="2" bestFit="1" customWidth="1"/>
    <col min="11515" max="11515" width="9.140625" style="2"/>
    <col min="11516" max="11536" width="11.42578125" style="2" customWidth="1"/>
    <col min="11537" max="11761" width="9.140625" style="2"/>
    <col min="11762" max="11762" width="4.140625" style="2" customWidth="1"/>
    <col min="11763" max="11763" width="24" style="2" customWidth="1"/>
    <col min="11764" max="11764" width="9" style="2" customWidth="1"/>
    <col min="11765" max="11765" width="16.28515625" style="2" customWidth="1"/>
    <col min="11766" max="11766" width="12" style="2" customWidth="1"/>
    <col min="11767" max="11767" width="17.140625" style="2" customWidth="1"/>
    <col min="11768" max="11768" width="13.85546875" style="2" customWidth="1"/>
    <col min="11769" max="11769" width="19.28515625" style="2" customWidth="1"/>
    <col min="11770" max="11770" width="14.85546875" style="2" bestFit="1" customWidth="1"/>
    <col min="11771" max="11771" width="9.140625" style="2"/>
    <col min="11772" max="11792" width="11.42578125" style="2" customWidth="1"/>
    <col min="11793" max="12017" width="9.140625" style="2"/>
    <col min="12018" max="12018" width="4.140625" style="2" customWidth="1"/>
    <col min="12019" max="12019" width="24" style="2" customWidth="1"/>
    <col min="12020" max="12020" width="9" style="2" customWidth="1"/>
    <col min="12021" max="12021" width="16.28515625" style="2" customWidth="1"/>
    <col min="12022" max="12022" width="12" style="2" customWidth="1"/>
    <col min="12023" max="12023" width="17.140625" style="2" customWidth="1"/>
    <col min="12024" max="12024" width="13.85546875" style="2" customWidth="1"/>
    <col min="12025" max="12025" width="19.28515625" style="2" customWidth="1"/>
    <col min="12026" max="12026" width="14.85546875" style="2" bestFit="1" customWidth="1"/>
    <col min="12027" max="12027" width="9.140625" style="2"/>
    <col min="12028" max="12048" width="11.42578125" style="2" customWidth="1"/>
    <col min="12049" max="12273" width="9.140625" style="2"/>
    <col min="12274" max="12274" width="4.140625" style="2" customWidth="1"/>
    <col min="12275" max="12275" width="24" style="2" customWidth="1"/>
    <col min="12276" max="12276" width="9" style="2" customWidth="1"/>
    <col min="12277" max="12277" width="16.28515625" style="2" customWidth="1"/>
    <col min="12278" max="12278" width="12" style="2" customWidth="1"/>
    <col min="12279" max="12279" width="17.140625" style="2" customWidth="1"/>
    <col min="12280" max="12280" width="13.85546875" style="2" customWidth="1"/>
    <col min="12281" max="12281" width="19.28515625" style="2" customWidth="1"/>
    <col min="12282" max="12282" width="14.85546875" style="2" bestFit="1" customWidth="1"/>
    <col min="12283" max="12283" width="9.140625" style="2"/>
    <col min="12284" max="12304" width="11.42578125" style="2" customWidth="1"/>
    <col min="12305" max="12529" width="9.140625" style="2"/>
    <col min="12530" max="12530" width="4.140625" style="2" customWidth="1"/>
    <col min="12531" max="12531" width="24" style="2" customWidth="1"/>
    <col min="12532" max="12532" width="9" style="2" customWidth="1"/>
    <col min="12533" max="12533" width="16.28515625" style="2" customWidth="1"/>
    <col min="12534" max="12534" width="12" style="2" customWidth="1"/>
    <col min="12535" max="12535" width="17.140625" style="2" customWidth="1"/>
    <col min="12536" max="12536" width="13.85546875" style="2" customWidth="1"/>
    <col min="12537" max="12537" width="19.28515625" style="2" customWidth="1"/>
    <col min="12538" max="12538" width="14.85546875" style="2" bestFit="1" customWidth="1"/>
    <col min="12539" max="12539" width="9.140625" style="2"/>
    <col min="12540" max="12560" width="11.42578125" style="2" customWidth="1"/>
    <col min="12561" max="12785" width="9.140625" style="2"/>
    <col min="12786" max="12786" width="4.140625" style="2" customWidth="1"/>
    <col min="12787" max="12787" width="24" style="2" customWidth="1"/>
    <col min="12788" max="12788" width="9" style="2" customWidth="1"/>
    <col min="12789" max="12789" width="16.28515625" style="2" customWidth="1"/>
    <col min="12790" max="12790" width="12" style="2" customWidth="1"/>
    <col min="12791" max="12791" width="17.140625" style="2" customWidth="1"/>
    <col min="12792" max="12792" width="13.85546875" style="2" customWidth="1"/>
    <col min="12793" max="12793" width="19.28515625" style="2" customWidth="1"/>
    <col min="12794" max="12794" width="14.85546875" style="2" bestFit="1" customWidth="1"/>
    <col min="12795" max="12795" width="9.140625" style="2"/>
    <col min="12796" max="12816" width="11.42578125" style="2" customWidth="1"/>
    <col min="12817" max="13041" width="9.140625" style="2"/>
    <col min="13042" max="13042" width="4.140625" style="2" customWidth="1"/>
    <col min="13043" max="13043" width="24" style="2" customWidth="1"/>
    <col min="13044" max="13044" width="9" style="2" customWidth="1"/>
    <col min="13045" max="13045" width="16.28515625" style="2" customWidth="1"/>
    <col min="13046" max="13046" width="12" style="2" customWidth="1"/>
    <col min="13047" max="13047" width="17.140625" style="2" customWidth="1"/>
    <col min="13048" max="13048" width="13.85546875" style="2" customWidth="1"/>
    <col min="13049" max="13049" width="19.28515625" style="2" customWidth="1"/>
    <col min="13050" max="13050" width="14.85546875" style="2" bestFit="1" customWidth="1"/>
    <col min="13051" max="13051" width="9.140625" style="2"/>
    <col min="13052" max="13072" width="11.42578125" style="2" customWidth="1"/>
    <col min="13073" max="13297" width="9.140625" style="2"/>
    <col min="13298" max="13298" width="4.140625" style="2" customWidth="1"/>
    <col min="13299" max="13299" width="24" style="2" customWidth="1"/>
    <col min="13300" max="13300" width="9" style="2" customWidth="1"/>
    <col min="13301" max="13301" width="16.28515625" style="2" customWidth="1"/>
    <col min="13302" max="13302" width="12" style="2" customWidth="1"/>
    <col min="13303" max="13303" width="17.140625" style="2" customWidth="1"/>
    <col min="13304" max="13304" width="13.85546875" style="2" customWidth="1"/>
    <col min="13305" max="13305" width="19.28515625" style="2" customWidth="1"/>
    <col min="13306" max="13306" width="14.85546875" style="2" bestFit="1" customWidth="1"/>
    <col min="13307" max="13307" width="9.140625" style="2"/>
    <col min="13308" max="13328" width="11.42578125" style="2" customWidth="1"/>
    <col min="13329" max="13553" width="9.140625" style="2"/>
    <col min="13554" max="13554" width="4.140625" style="2" customWidth="1"/>
    <col min="13555" max="13555" width="24" style="2" customWidth="1"/>
    <col min="13556" max="13556" width="9" style="2" customWidth="1"/>
    <col min="13557" max="13557" width="16.28515625" style="2" customWidth="1"/>
    <col min="13558" max="13558" width="12" style="2" customWidth="1"/>
    <col min="13559" max="13559" width="17.140625" style="2" customWidth="1"/>
    <col min="13560" max="13560" width="13.85546875" style="2" customWidth="1"/>
    <col min="13561" max="13561" width="19.28515625" style="2" customWidth="1"/>
    <col min="13562" max="13562" width="14.85546875" style="2" bestFit="1" customWidth="1"/>
    <col min="13563" max="13563" width="9.140625" style="2"/>
    <col min="13564" max="13584" width="11.42578125" style="2" customWidth="1"/>
    <col min="13585" max="13809" width="9.140625" style="2"/>
    <col min="13810" max="13810" width="4.140625" style="2" customWidth="1"/>
    <col min="13811" max="13811" width="24" style="2" customWidth="1"/>
    <col min="13812" max="13812" width="9" style="2" customWidth="1"/>
    <col min="13813" max="13813" width="16.28515625" style="2" customWidth="1"/>
    <col min="13814" max="13814" width="12" style="2" customWidth="1"/>
    <col min="13815" max="13815" width="17.140625" style="2" customWidth="1"/>
    <col min="13816" max="13816" width="13.85546875" style="2" customWidth="1"/>
    <col min="13817" max="13817" width="19.28515625" style="2" customWidth="1"/>
    <col min="13818" max="13818" width="14.85546875" style="2" bestFit="1" customWidth="1"/>
    <col min="13819" max="13819" width="9.140625" style="2"/>
    <col min="13820" max="13840" width="11.42578125" style="2" customWidth="1"/>
    <col min="13841" max="14065" width="9.140625" style="2"/>
    <col min="14066" max="14066" width="4.140625" style="2" customWidth="1"/>
    <col min="14067" max="14067" width="24" style="2" customWidth="1"/>
    <col min="14068" max="14068" width="9" style="2" customWidth="1"/>
    <col min="14069" max="14069" width="16.28515625" style="2" customWidth="1"/>
    <col min="14070" max="14070" width="12" style="2" customWidth="1"/>
    <col min="14071" max="14071" width="17.140625" style="2" customWidth="1"/>
    <col min="14072" max="14072" width="13.85546875" style="2" customWidth="1"/>
    <col min="14073" max="14073" width="19.28515625" style="2" customWidth="1"/>
    <col min="14074" max="14074" width="14.85546875" style="2" bestFit="1" customWidth="1"/>
    <col min="14075" max="14075" width="9.140625" style="2"/>
    <col min="14076" max="14096" width="11.42578125" style="2" customWidth="1"/>
    <col min="14097" max="14321" width="9.140625" style="2"/>
    <col min="14322" max="14322" width="4.140625" style="2" customWidth="1"/>
    <col min="14323" max="14323" width="24" style="2" customWidth="1"/>
    <col min="14324" max="14324" width="9" style="2" customWidth="1"/>
    <col min="14325" max="14325" width="16.28515625" style="2" customWidth="1"/>
    <col min="14326" max="14326" width="12" style="2" customWidth="1"/>
    <col min="14327" max="14327" width="17.140625" style="2" customWidth="1"/>
    <col min="14328" max="14328" width="13.85546875" style="2" customWidth="1"/>
    <col min="14329" max="14329" width="19.28515625" style="2" customWidth="1"/>
    <col min="14330" max="14330" width="14.85546875" style="2" bestFit="1" customWidth="1"/>
    <col min="14331" max="14331" width="9.140625" style="2"/>
    <col min="14332" max="14352" width="11.42578125" style="2" customWidth="1"/>
    <col min="14353" max="14577" width="9.140625" style="2"/>
    <col min="14578" max="14578" width="4.140625" style="2" customWidth="1"/>
    <col min="14579" max="14579" width="24" style="2" customWidth="1"/>
    <col min="14580" max="14580" width="9" style="2" customWidth="1"/>
    <col min="14581" max="14581" width="16.28515625" style="2" customWidth="1"/>
    <col min="14582" max="14582" width="12" style="2" customWidth="1"/>
    <col min="14583" max="14583" width="17.140625" style="2" customWidth="1"/>
    <col min="14584" max="14584" width="13.85546875" style="2" customWidth="1"/>
    <col min="14585" max="14585" width="19.28515625" style="2" customWidth="1"/>
    <col min="14586" max="14586" width="14.85546875" style="2" bestFit="1" customWidth="1"/>
    <col min="14587" max="14587" width="9.140625" style="2"/>
    <col min="14588" max="14608" width="11.42578125" style="2" customWidth="1"/>
    <col min="14609" max="14833" width="9.140625" style="2"/>
    <col min="14834" max="14834" width="4.140625" style="2" customWidth="1"/>
    <col min="14835" max="14835" width="24" style="2" customWidth="1"/>
    <col min="14836" max="14836" width="9" style="2" customWidth="1"/>
    <col min="14837" max="14837" width="16.28515625" style="2" customWidth="1"/>
    <col min="14838" max="14838" width="12" style="2" customWidth="1"/>
    <col min="14839" max="14839" width="17.140625" style="2" customWidth="1"/>
    <col min="14840" max="14840" width="13.85546875" style="2" customWidth="1"/>
    <col min="14841" max="14841" width="19.28515625" style="2" customWidth="1"/>
    <col min="14842" max="14842" width="14.85546875" style="2" bestFit="1" customWidth="1"/>
    <col min="14843" max="14843" width="9.140625" style="2"/>
    <col min="14844" max="14864" width="11.42578125" style="2" customWidth="1"/>
    <col min="14865" max="15089" width="9.140625" style="2"/>
    <col min="15090" max="15090" width="4.140625" style="2" customWidth="1"/>
    <col min="15091" max="15091" width="24" style="2" customWidth="1"/>
    <col min="15092" max="15092" width="9" style="2" customWidth="1"/>
    <col min="15093" max="15093" width="16.28515625" style="2" customWidth="1"/>
    <col min="15094" max="15094" width="12" style="2" customWidth="1"/>
    <col min="15095" max="15095" width="17.140625" style="2" customWidth="1"/>
    <col min="15096" max="15096" width="13.85546875" style="2" customWidth="1"/>
    <col min="15097" max="15097" width="19.28515625" style="2" customWidth="1"/>
    <col min="15098" max="15098" width="14.85546875" style="2" bestFit="1" customWidth="1"/>
    <col min="15099" max="15099" width="9.140625" style="2"/>
    <col min="15100" max="15120" width="11.42578125" style="2" customWidth="1"/>
    <col min="15121" max="15345" width="9.140625" style="2"/>
    <col min="15346" max="15346" width="4.140625" style="2" customWidth="1"/>
    <col min="15347" max="15347" width="24" style="2" customWidth="1"/>
    <col min="15348" max="15348" width="9" style="2" customWidth="1"/>
    <col min="15349" max="15349" width="16.28515625" style="2" customWidth="1"/>
    <col min="15350" max="15350" width="12" style="2" customWidth="1"/>
    <col min="15351" max="15351" width="17.140625" style="2" customWidth="1"/>
    <col min="15352" max="15352" width="13.85546875" style="2" customWidth="1"/>
    <col min="15353" max="15353" width="19.28515625" style="2" customWidth="1"/>
    <col min="15354" max="15354" width="14.85546875" style="2" bestFit="1" customWidth="1"/>
    <col min="15355" max="15355" width="9.140625" style="2"/>
    <col min="15356" max="15376" width="11.42578125" style="2" customWidth="1"/>
    <col min="15377" max="15601" width="9.140625" style="2"/>
    <col min="15602" max="15602" width="4.140625" style="2" customWidth="1"/>
    <col min="15603" max="15603" width="24" style="2" customWidth="1"/>
    <col min="15604" max="15604" width="9" style="2" customWidth="1"/>
    <col min="15605" max="15605" width="16.28515625" style="2" customWidth="1"/>
    <col min="15606" max="15606" width="12" style="2" customWidth="1"/>
    <col min="15607" max="15607" width="17.140625" style="2" customWidth="1"/>
    <col min="15608" max="15608" width="13.85546875" style="2" customWidth="1"/>
    <col min="15609" max="15609" width="19.28515625" style="2" customWidth="1"/>
    <col min="15610" max="15610" width="14.85546875" style="2" bestFit="1" customWidth="1"/>
    <col min="15611" max="15611" width="9.140625" style="2"/>
    <col min="15612" max="15632" width="11.42578125" style="2" customWidth="1"/>
    <col min="15633" max="15857" width="9.140625" style="2"/>
    <col min="15858" max="15858" width="4.140625" style="2" customWidth="1"/>
    <col min="15859" max="15859" width="24" style="2" customWidth="1"/>
    <col min="15860" max="15860" width="9" style="2" customWidth="1"/>
    <col min="15861" max="15861" width="16.28515625" style="2" customWidth="1"/>
    <col min="15862" max="15862" width="12" style="2" customWidth="1"/>
    <col min="15863" max="15863" width="17.140625" style="2" customWidth="1"/>
    <col min="15864" max="15864" width="13.85546875" style="2" customWidth="1"/>
    <col min="15865" max="15865" width="19.28515625" style="2" customWidth="1"/>
    <col min="15866" max="15866" width="14.85546875" style="2" bestFit="1" customWidth="1"/>
    <col min="15867" max="15867" width="9.140625" style="2"/>
    <col min="15868" max="15888" width="11.42578125" style="2" customWidth="1"/>
    <col min="15889" max="16113" width="9.140625" style="2"/>
    <col min="16114" max="16114" width="4.140625" style="2" customWidth="1"/>
    <col min="16115" max="16115" width="24" style="2" customWidth="1"/>
    <col min="16116" max="16116" width="9" style="2" customWidth="1"/>
    <col min="16117" max="16117" width="16.28515625" style="2" customWidth="1"/>
    <col min="16118" max="16118" width="12" style="2" customWidth="1"/>
    <col min="16119" max="16119" width="17.140625" style="2" customWidth="1"/>
    <col min="16120" max="16120" width="13.85546875" style="2" customWidth="1"/>
    <col min="16121" max="16121" width="19.28515625" style="2" customWidth="1"/>
    <col min="16122" max="16122" width="14.85546875" style="2" bestFit="1" customWidth="1"/>
    <col min="16123" max="16123" width="9.140625" style="2"/>
    <col min="16124" max="16144" width="11.42578125" style="2" customWidth="1"/>
    <col min="16145" max="16383" width="9.140625" style="2"/>
    <col min="16384" max="16384" width="9.140625" style="2" customWidth="1"/>
  </cols>
  <sheetData>
    <row r="1" spans="1:19" s="1" customFormat="1" ht="18" customHeight="1">
      <c r="A1" s="1" t="s">
        <v>13</v>
      </c>
    </row>
    <row r="2" spans="1:19" s="3" customFormat="1" ht="37.5" customHeight="1">
      <c r="A2" s="172" t="s">
        <v>14</v>
      </c>
      <c r="B2" s="172"/>
      <c r="C2" s="17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>
      <c r="A3" s="173"/>
      <c r="B3" s="173"/>
      <c r="C3" s="173"/>
    </row>
    <row r="4" spans="1:19" ht="18" customHeight="1">
      <c r="D4" s="4"/>
      <c r="E4" s="5"/>
      <c r="F4" s="6"/>
      <c r="G4" s="6"/>
      <c r="H4" s="6"/>
      <c r="I4" s="6"/>
      <c r="J4" s="6"/>
      <c r="K4" s="6"/>
      <c r="L4" s="6"/>
      <c r="M4" s="7"/>
    </row>
    <row r="5" spans="1:19" ht="29.25" customHeight="1">
      <c r="A5" s="174" t="s">
        <v>0</v>
      </c>
      <c r="B5" s="174" t="s">
        <v>1</v>
      </c>
      <c r="C5" s="174" t="s">
        <v>2</v>
      </c>
      <c r="D5" s="167" t="s">
        <v>56</v>
      </c>
      <c r="E5" s="170" t="s">
        <v>3</v>
      </c>
      <c r="F5" s="171" t="s">
        <v>4</v>
      </c>
      <c r="G5" s="171" t="s">
        <v>5</v>
      </c>
      <c r="H5" s="171" t="s">
        <v>15</v>
      </c>
      <c r="I5" s="171" t="s">
        <v>6</v>
      </c>
      <c r="J5" s="171" t="s">
        <v>7</v>
      </c>
      <c r="K5" s="171" t="s">
        <v>8</v>
      </c>
      <c r="L5" s="171" t="s">
        <v>9</v>
      </c>
      <c r="M5" s="167" t="s">
        <v>10</v>
      </c>
      <c r="N5" s="167" t="s">
        <v>11</v>
      </c>
      <c r="O5" s="168" t="s">
        <v>16</v>
      </c>
      <c r="P5" s="166" t="s">
        <v>36</v>
      </c>
      <c r="Q5" s="166" t="s">
        <v>39</v>
      </c>
      <c r="R5" s="166" t="s">
        <v>27</v>
      </c>
      <c r="S5" s="166" t="s">
        <v>54</v>
      </c>
    </row>
    <row r="6" spans="1:19" ht="18" customHeight="1">
      <c r="A6" s="175"/>
      <c r="B6" s="175"/>
      <c r="C6" s="175"/>
      <c r="D6" s="167"/>
      <c r="E6" s="170"/>
      <c r="F6" s="171"/>
      <c r="G6" s="171"/>
      <c r="H6" s="171"/>
      <c r="I6" s="171"/>
      <c r="J6" s="171"/>
      <c r="K6" s="171"/>
      <c r="L6" s="171"/>
      <c r="M6" s="167"/>
      <c r="N6" s="167"/>
      <c r="O6" s="168"/>
      <c r="P6" s="166"/>
      <c r="Q6" s="166"/>
      <c r="R6" s="166"/>
      <c r="S6" s="166"/>
    </row>
    <row r="7" spans="1:19" ht="18" hidden="1" customHeight="1">
      <c r="A7" s="26"/>
      <c r="B7" s="26"/>
      <c r="C7" s="26"/>
      <c r="D7" s="7"/>
      <c r="E7" s="27"/>
      <c r="F7" s="28"/>
      <c r="G7" s="28"/>
      <c r="H7" s="28"/>
      <c r="I7" s="28"/>
      <c r="J7" s="28"/>
      <c r="K7" s="28"/>
      <c r="L7" s="28"/>
      <c r="M7" s="7"/>
      <c r="N7" s="7"/>
      <c r="O7" s="24"/>
      <c r="P7" s="166"/>
      <c r="Q7" s="166"/>
      <c r="R7" s="166"/>
      <c r="S7" s="166"/>
    </row>
    <row r="8" spans="1:19" ht="18" customHeight="1">
      <c r="A8" s="10"/>
      <c r="B8" s="10"/>
      <c r="C8" s="10"/>
      <c r="D8" s="109"/>
      <c r="E8" s="30"/>
      <c r="F8" s="31"/>
      <c r="G8" s="31"/>
      <c r="H8" s="31"/>
      <c r="I8" s="31"/>
      <c r="J8" s="31"/>
      <c r="K8" s="31"/>
      <c r="L8" s="31"/>
      <c r="M8" s="30"/>
      <c r="N8" s="30"/>
      <c r="O8" s="30"/>
      <c r="P8" s="118"/>
      <c r="Q8" s="119"/>
      <c r="R8" s="119"/>
      <c r="S8" s="119"/>
    </row>
    <row r="9" spans="1:19" ht="18" customHeight="1">
      <c r="A9" s="11"/>
      <c r="B9" s="12"/>
      <c r="C9" s="13"/>
      <c r="D9" s="109"/>
      <c r="E9" s="43"/>
      <c r="F9" s="30"/>
      <c r="G9" s="30"/>
      <c r="H9" s="30"/>
      <c r="I9" s="30"/>
      <c r="J9" s="30"/>
      <c r="K9" s="30"/>
      <c r="L9" s="30"/>
      <c r="M9" s="30"/>
      <c r="N9" s="30">
        <f>12000*(IFERROR(F9,0)+IFERROR(R9,0)+IFERROR(H9,0))</f>
        <v>0</v>
      </c>
      <c r="O9" s="30">
        <f>10000*(IFERROR(F9,0)+IFERROR(R9,0)+IFERROR(H9,0))</f>
        <v>0</v>
      </c>
      <c r="P9" s="114"/>
      <c r="Q9" s="30"/>
      <c r="R9" s="30"/>
      <c r="S9" s="114"/>
    </row>
    <row r="10" spans="1:19" ht="18" hidden="1" customHeight="1">
      <c r="A10" s="10"/>
      <c r="B10" s="12"/>
      <c r="C10" s="13"/>
      <c r="D10" s="109"/>
      <c r="E10" s="30"/>
      <c r="F10" s="31"/>
      <c r="G10" s="30"/>
      <c r="H10" s="31"/>
      <c r="I10" s="30"/>
      <c r="J10" s="30"/>
      <c r="K10" s="31"/>
      <c r="L10" s="31"/>
      <c r="M10" s="30"/>
      <c r="N10" s="30"/>
      <c r="O10" s="30"/>
      <c r="P10" s="114"/>
      <c r="Q10" s="30"/>
      <c r="R10" s="114"/>
      <c r="S10" s="114"/>
    </row>
    <row r="11" spans="1:19" ht="18" customHeight="1">
      <c r="A11" s="11"/>
      <c r="B11" s="12"/>
      <c r="C11" s="13"/>
      <c r="D11" s="109"/>
      <c r="E11" s="43"/>
      <c r="F11" s="30"/>
      <c r="G11" s="30"/>
      <c r="H11" s="30"/>
      <c r="I11" s="30"/>
      <c r="J11" s="30"/>
      <c r="K11" s="30"/>
      <c r="L11" s="30"/>
      <c r="M11" s="30"/>
      <c r="N11" s="30">
        <f t="shared" ref="N11:N42" si="0">12000*(IFERROR(F11,0)+IFERROR(R11,0)+IFERROR(H11,0))</f>
        <v>0</v>
      </c>
      <c r="O11" s="30">
        <f t="shared" ref="O11:O42" si="1">10000*(IFERROR(F11,0)+IFERROR(R11,0)+IFERROR(H11,0))</f>
        <v>0</v>
      </c>
      <c r="P11" s="114"/>
      <c r="Q11" s="30"/>
      <c r="R11" s="114"/>
      <c r="S11" s="114"/>
    </row>
    <row r="12" spans="1:19" ht="18" hidden="1" customHeight="1">
      <c r="A12" s="10"/>
      <c r="B12" s="12"/>
      <c r="C12" s="13"/>
      <c r="D12" s="109"/>
      <c r="E12" s="43"/>
      <c r="F12" s="31"/>
      <c r="G12" s="31"/>
      <c r="H12" s="31"/>
      <c r="I12" s="31"/>
      <c r="J12" s="31"/>
      <c r="K12" s="31"/>
      <c r="L12" s="31"/>
      <c r="M12" s="30"/>
      <c r="N12" s="30"/>
      <c r="O12" s="30"/>
      <c r="P12" s="114"/>
      <c r="Q12" s="30"/>
      <c r="R12" s="114"/>
      <c r="S12" s="114"/>
    </row>
    <row r="13" spans="1:19" ht="18" customHeight="1">
      <c r="A13" s="11"/>
      <c r="B13" s="12"/>
      <c r="C13" s="13"/>
      <c r="D13" s="109"/>
      <c r="E13" s="43"/>
      <c r="F13" s="30"/>
      <c r="G13" s="30"/>
      <c r="H13" s="30"/>
      <c r="I13" s="30"/>
      <c r="J13" s="30"/>
      <c r="K13" s="30"/>
      <c r="L13" s="30"/>
      <c r="M13" s="30"/>
      <c r="N13" s="30">
        <f t="shared" ref="N13:N44" si="2">12000*(IFERROR(F13,0)+IFERROR(R13,0)+IFERROR(H13,0))</f>
        <v>0</v>
      </c>
      <c r="O13" s="30">
        <f t="shared" ref="O13:O44" si="3">10000*(IFERROR(F13,0)+IFERROR(R13,0)+IFERROR(H13,0))</f>
        <v>0</v>
      </c>
      <c r="P13" s="114"/>
      <c r="Q13" s="30"/>
      <c r="R13" s="114"/>
      <c r="S13" s="114"/>
    </row>
    <row r="14" spans="1:19" ht="18" hidden="1" customHeight="1">
      <c r="A14" s="10"/>
      <c r="B14" s="12"/>
      <c r="C14" s="14"/>
      <c r="D14" s="109"/>
      <c r="E14" s="43"/>
      <c r="F14" s="31"/>
      <c r="G14" s="31"/>
      <c r="H14" s="31"/>
      <c r="I14" s="31"/>
      <c r="J14" s="31"/>
      <c r="K14" s="31"/>
      <c r="L14" s="31"/>
      <c r="M14" s="30"/>
      <c r="N14" s="30"/>
      <c r="O14" s="30"/>
      <c r="P14" s="114"/>
      <c r="Q14" s="30"/>
      <c r="R14" s="114"/>
      <c r="S14" s="114"/>
    </row>
    <row r="15" spans="1:19" ht="18" customHeight="1">
      <c r="A15" s="11"/>
      <c r="B15" s="12"/>
      <c r="C15" s="114"/>
      <c r="D15" s="117"/>
      <c r="E15" s="43"/>
      <c r="F15" s="30"/>
      <c r="G15" s="30"/>
      <c r="H15" s="30"/>
      <c r="I15" s="30"/>
      <c r="J15" s="30"/>
      <c r="K15" s="30"/>
      <c r="L15" s="30"/>
      <c r="M15" s="30"/>
      <c r="N15" s="30">
        <f t="shared" ref="N15:N46" si="4">12000*(IFERROR(F15,0)+IFERROR(R15,0)+IFERROR(H15,0))</f>
        <v>0</v>
      </c>
      <c r="O15" s="30">
        <f t="shared" ref="O15:O46" si="5">10000*(IFERROR(F15,0)+IFERROR(R15,0)+IFERROR(H15,0))</f>
        <v>0</v>
      </c>
      <c r="P15" s="114"/>
      <c r="Q15" s="30"/>
      <c r="R15" s="114"/>
      <c r="S15" s="114"/>
    </row>
    <row r="16" spans="1:19" ht="18" hidden="1" customHeight="1">
      <c r="A16" s="10"/>
      <c r="B16" s="12"/>
      <c r="C16" s="114"/>
      <c r="D16" s="117"/>
      <c r="E16" s="43"/>
      <c r="F16" s="31"/>
      <c r="G16" s="31"/>
      <c r="H16" s="31"/>
      <c r="I16" s="31"/>
      <c r="J16" s="31"/>
      <c r="K16" s="31"/>
      <c r="L16" s="31"/>
      <c r="M16" s="30"/>
      <c r="N16" s="30"/>
      <c r="O16" s="30"/>
      <c r="P16" s="114"/>
      <c r="Q16" s="30"/>
      <c r="R16" s="114"/>
      <c r="S16" s="114"/>
    </row>
    <row r="17" spans="1:19" s="16" customFormat="1" ht="18" customHeight="1">
      <c r="A17" s="11"/>
      <c r="B17" s="17"/>
      <c r="C17" s="114"/>
      <c r="D17" s="117"/>
      <c r="E17" s="43"/>
      <c r="F17" s="30"/>
      <c r="G17" s="30"/>
      <c r="H17" s="30"/>
      <c r="I17" s="30"/>
      <c r="J17" s="30"/>
      <c r="K17" s="30"/>
      <c r="L17" s="30"/>
      <c r="M17" s="30"/>
      <c r="N17" s="30">
        <f t="shared" ref="N17:N48" si="6">12000*(IFERROR(F17,0)+IFERROR(R17,0)+IFERROR(H17,0))</f>
        <v>0</v>
      </c>
      <c r="O17" s="30">
        <f t="shared" ref="O17:O48" si="7">10000*(IFERROR(F17,0)+IFERROR(R17,0)+IFERROR(H17,0))</f>
        <v>0</v>
      </c>
      <c r="P17" s="114"/>
      <c r="Q17" s="30"/>
      <c r="R17" s="114"/>
      <c r="S17" s="114"/>
    </row>
    <row r="18" spans="1:19" s="16" customFormat="1" ht="18" hidden="1" customHeight="1">
      <c r="A18" s="10"/>
      <c r="B18" s="12"/>
      <c r="C18" s="18"/>
      <c r="D18" s="117"/>
      <c r="E18" s="43"/>
      <c r="F18" s="31"/>
      <c r="G18" s="31"/>
      <c r="H18" s="31"/>
      <c r="I18" s="31"/>
      <c r="J18" s="31"/>
      <c r="K18" s="31"/>
      <c r="L18" s="31"/>
      <c r="M18" s="30"/>
      <c r="N18" s="30"/>
      <c r="O18" s="30"/>
      <c r="P18" s="114"/>
      <c r="Q18" s="30"/>
      <c r="R18" s="114"/>
      <c r="S18" s="114"/>
    </row>
    <row r="19" spans="1:19" s="16" customFormat="1" ht="18" customHeight="1">
      <c r="A19" s="11"/>
      <c r="B19" s="12"/>
      <c r="C19" s="13"/>
      <c r="D19" s="117"/>
      <c r="E19" s="43"/>
      <c r="F19" s="30"/>
      <c r="G19" s="30"/>
      <c r="H19" s="30"/>
      <c r="I19" s="30"/>
      <c r="J19" s="30"/>
      <c r="K19" s="30"/>
      <c r="L19" s="30"/>
      <c r="M19" s="30"/>
      <c r="N19" s="30">
        <f t="shared" ref="N19:N50" si="8">12000*(IFERROR(F19,0)+IFERROR(R19,0)+IFERROR(H19,0))</f>
        <v>0</v>
      </c>
      <c r="O19" s="30">
        <f t="shared" ref="O19:O50" si="9">10000*(IFERROR(F19,0)+IFERROR(R19,0)+IFERROR(H19,0))</f>
        <v>0</v>
      </c>
      <c r="P19" s="114"/>
      <c r="Q19" s="30"/>
      <c r="R19" s="114"/>
      <c r="S19" s="114"/>
    </row>
    <row r="20" spans="1:19" s="16" customFormat="1" ht="18" hidden="1" customHeight="1">
      <c r="A20" s="10"/>
      <c r="D20" s="109"/>
      <c r="E20" s="43"/>
      <c r="F20" s="31"/>
      <c r="G20" s="31"/>
      <c r="H20" s="31"/>
      <c r="I20" s="31"/>
      <c r="J20" s="31"/>
      <c r="K20" s="31"/>
      <c r="L20" s="31"/>
      <c r="M20" s="30"/>
      <c r="N20" s="30"/>
      <c r="O20" s="30"/>
      <c r="P20" s="114"/>
      <c r="Q20" s="30"/>
      <c r="R20" s="114"/>
      <c r="S20" s="114"/>
    </row>
    <row r="21" spans="1:19" s="16" customFormat="1" ht="18" customHeight="1">
      <c r="A21" s="11"/>
      <c r="C21" s="13"/>
      <c r="D21" s="109"/>
      <c r="E21" s="43"/>
      <c r="F21" s="30"/>
      <c r="G21" s="30"/>
      <c r="H21" s="30"/>
      <c r="I21" s="30"/>
      <c r="J21" s="30"/>
      <c r="K21" s="30"/>
      <c r="L21" s="30"/>
      <c r="M21" s="30"/>
      <c r="N21" s="30">
        <f t="shared" ref="N21:N52" si="10">12000*(IFERROR(F21,0)+IFERROR(R21,0)+IFERROR(H21,0))</f>
        <v>0</v>
      </c>
      <c r="O21" s="30">
        <f t="shared" ref="O21:O52" si="11">10000*(IFERROR(F21,0)+IFERROR(R21,0)+IFERROR(H21,0))</f>
        <v>0</v>
      </c>
      <c r="P21" s="114"/>
      <c r="Q21" s="30"/>
      <c r="R21" s="114"/>
      <c r="S21" s="114"/>
    </row>
    <row r="22" spans="1:19" s="16" customFormat="1" ht="18" hidden="1" customHeight="1">
      <c r="A22" s="10"/>
      <c r="B22" s="12"/>
      <c r="C22" s="13"/>
      <c r="D22" s="29"/>
      <c r="E22" s="30"/>
      <c r="F22" s="30"/>
      <c r="G22" s="31"/>
      <c r="H22" s="31"/>
      <c r="I22" s="31"/>
      <c r="J22" s="31"/>
      <c r="K22" s="31"/>
      <c r="L22" s="31"/>
      <c r="M22" s="30"/>
      <c r="N22" s="30"/>
      <c r="O22" s="30"/>
      <c r="P22" s="114"/>
      <c r="Q22" s="30"/>
      <c r="R22" s="114"/>
      <c r="S22" s="114"/>
    </row>
    <row r="23" spans="1:19" s="16" customFormat="1" ht="18" customHeight="1">
      <c r="A23" s="11"/>
      <c r="B23" s="12"/>
      <c r="C23" s="13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>
        <f t="shared" ref="N23:N54" si="12">12000*(IFERROR(F23,0)+IFERROR(R23,0)+IFERROR(H23,0))</f>
        <v>0</v>
      </c>
      <c r="O23" s="30">
        <f t="shared" ref="O23:O54" si="13">10000*(IFERROR(F23,0)+IFERROR(R23,0)+IFERROR(H23,0))</f>
        <v>0</v>
      </c>
      <c r="P23" s="114"/>
      <c r="Q23" s="30"/>
      <c r="R23" s="114"/>
      <c r="S23" s="114"/>
    </row>
    <row r="24" spans="1:19" s="16" customFormat="1" ht="18" hidden="1" customHeight="1">
      <c r="A24" s="10"/>
      <c r="B24" s="12"/>
      <c r="C24" s="13"/>
      <c r="D24" s="29"/>
      <c r="E24" s="30"/>
      <c r="F24" s="30"/>
      <c r="G24" s="31"/>
      <c r="H24" s="31"/>
      <c r="I24" s="31"/>
      <c r="J24" s="31"/>
      <c r="K24" s="31"/>
      <c r="L24" s="31"/>
      <c r="M24" s="30"/>
      <c r="N24" s="30"/>
      <c r="O24" s="30"/>
      <c r="P24" s="114"/>
      <c r="Q24" s="30"/>
      <c r="R24" s="114"/>
      <c r="S24" s="114"/>
    </row>
    <row r="25" spans="1:19" s="16" customFormat="1" ht="18" customHeight="1">
      <c r="A25" s="11"/>
      <c r="B25" s="17"/>
      <c r="C25" s="13"/>
      <c r="D25" s="29"/>
      <c r="E25" s="30"/>
      <c r="F25" s="30"/>
      <c r="G25" s="30"/>
      <c r="H25" s="30"/>
      <c r="I25" s="30"/>
      <c r="J25" s="30"/>
      <c r="K25" s="30"/>
      <c r="L25" s="30"/>
      <c r="M25" s="30"/>
      <c r="N25" s="30">
        <f t="shared" ref="N25:N56" si="14">12000*(IFERROR(F25,0)+IFERROR(R25,0)+IFERROR(H25,0))</f>
        <v>0</v>
      </c>
      <c r="O25" s="30">
        <f t="shared" ref="O25:O56" si="15">10000*(IFERROR(F25,0)+IFERROR(R25,0)+IFERROR(H25,0))</f>
        <v>0</v>
      </c>
      <c r="P25" s="114"/>
      <c r="Q25" s="30"/>
      <c r="R25" s="114"/>
      <c r="S25" s="114"/>
    </row>
    <row r="26" spans="1:19" s="16" customFormat="1" ht="18" hidden="1" customHeight="1">
      <c r="A26" s="10"/>
      <c r="B26" s="12"/>
      <c r="C26" s="13"/>
      <c r="D26" s="29"/>
      <c r="E26" s="30"/>
      <c r="F26" s="30"/>
      <c r="G26" s="31"/>
      <c r="H26" s="31"/>
      <c r="I26" s="31"/>
      <c r="J26" s="31"/>
      <c r="K26" s="31"/>
      <c r="L26" s="31"/>
      <c r="M26" s="30"/>
      <c r="N26" s="30"/>
      <c r="O26" s="30"/>
      <c r="P26" s="114"/>
      <c r="Q26" s="30"/>
      <c r="R26" s="114"/>
      <c r="S26" s="114"/>
    </row>
    <row r="27" spans="1:19" s="16" customFormat="1" ht="18" customHeight="1">
      <c r="A27" s="11"/>
      <c r="B27" s="12"/>
      <c r="C27" s="13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>
        <f t="shared" ref="N27:N58" si="16">12000*(IFERROR(F27,0)+IFERROR(R27,0)+IFERROR(H27,0))</f>
        <v>0</v>
      </c>
      <c r="O27" s="30">
        <f t="shared" ref="O27:O58" si="17">10000*(IFERROR(F27,0)+IFERROR(R27,0)+IFERROR(H27,0))</f>
        <v>0</v>
      </c>
      <c r="P27" s="114"/>
      <c r="Q27" s="30"/>
      <c r="R27" s="114"/>
      <c r="S27" s="114"/>
    </row>
    <row r="28" spans="1:19" s="16" customFormat="1" ht="18" hidden="1" customHeight="1">
      <c r="A28" s="10"/>
      <c r="B28" s="12"/>
      <c r="C28" s="13"/>
      <c r="D28" s="29"/>
      <c r="E28" s="30"/>
      <c r="F28" s="30"/>
      <c r="G28" s="30"/>
      <c r="H28" s="31"/>
      <c r="I28" s="30"/>
      <c r="J28" s="30"/>
      <c r="K28" s="31"/>
      <c r="L28" s="31"/>
      <c r="M28" s="30"/>
      <c r="N28" s="30"/>
      <c r="O28" s="30"/>
      <c r="P28" s="114"/>
      <c r="Q28" s="30"/>
      <c r="R28" s="114"/>
      <c r="S28" s="114"/>
    </row>
    <row r="29" spans="1:19" s="16" customFormat="1" ht="18" customHeight="1">
      <c r="A29" s="11"/>
      <c r="B29" s="12"/>
      <c r="C29" s="13"/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>
        <f t="shared" ref="N29:N60" si="18">12000*(IFERROR(F29,0)+IFERROR(R29,0)+IFERROR(H29,0))</f>
        <v>0</v>
      </c>
      <c r="O29" s="30">
        <f t="shared" ref="O29:O60" si="19">10000*(IFERROR(F29,0)+IFERROR(R29,0)+IFERROR(H29,0))</f>
        <v>0</v>
      </c>
      <c r="P29" s="114"/>
      <c r="Q29" s="30"/>
      <c r="R29" s="114"/>
      <c r="S29" s="114"/>
    </row>
    <row r="30" spans="1:19" s="16" customFormat="1" ht="18" hidden="1" customHeight="1">
      <c r="A30" s="10"/>
      <c r="B30" s="12"/>
      <c r="C30" s="13"/>
      <c r="D30" s="29"/>
      <c r="E30" s="30"/>
      <c r="F30" s="30"/>
      <c r="G30" s="31"/>
      <c r="H30" s="31"/>
      <c r="I30" s="31"/>
      <c r="J30" s="31"/>
      <c r="K30" s="31"/>
      <c r="L30" s="31"/>
      <c r="M30" s="30"/>
      <c r="N30" s="30"/>
      <c r="O30" s="30"/>
      <c r="P30" s="114"/>
      <c r="Q30" s="30"/>
      <c r="R30" s="114"/>
      <c r="S30" s="114"/>
    </row>
    <row r="31" spans="1:19" s="16" customFormat="1" ht="18" customHeight="1">
      <c r="A31" s="11"/>
      <c r="B31" s="12"/>
      <c r="C31" s="13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>
        <f t="shared" ref="N31:N62" si="20">12000*(IFERROR(F31,0)+IFERROR(R31,0)+IFERROR(H31,0))</f>
        <v>0</v>
      </c>
      <c r="O31" s="30">
        <f t="shared" ref="O31:O62" si="21">10000*(IFERROR(F31,0)+IFERROR(R31,0)+IFERROR(H31,0))</f>
        <v>0</v>
      </c>
      <c r="P31" s="114"/>
      <c r="Q31" s="30"/>
      <c r="R31" s="114"/>
      <c r="S31" s="114"/>
    </row>
    <row r="32" spans="1:19" s="16" customFormat="1" ht="18" hidden="1" customHeight="1">
      <c r="A32" s="10"/>
      <c r="B32" s="12"/>
      <c r="C32" s="13"/>
      <c r="D32" s="29"/>
      <c r="E32" s="30"/>
      <c r="F32" s="30"/>
      <c r="G32" s="31"/>
      <c r="H32" s="31"/>
      <c r="I32" s="31"/>
      <c r="J32" s="31"/>
      <c r="K32" s="31"/>
      <c r="L32" s="31"/>
      <c r="M32" s="30"/>
      <c r="N32" s="30"/>
      <c r="O32" s="30"/>
      <c r="P32" s="115"/>
      <c r="Q32" s="32"/>
      <c r="R32" s="115"/>
      <c r="S32" s="115"/>
    </row>
    <row r="33" spans="1:19" s="16" customFormat="1" ht="18" customHeight="1">
      <c r="A33" s="11"/>
      <c r="B33" s="12"/>
      <c r="C33" s="13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>
        <f t="shared" ref="N33:N64" si="22">12000*(IFERROR(F33,0)+IFERROR(R33,0)+IFERROR(H33,0))</f>
        <v>0</v>
      </c>
      <c r="O33" s="30">
        <f t="shared" ref="O33:O64" si="23">10000*(IFERROR(F33,0)+IFERROR(R33,0)+IFERROR(H33,0))</f>
        <v>0</v>
      </c>
      <c r="P33" s="114"/>
      <c r="Q33" s="30"/>
      <c r="R33" s="114"/>
      <c r="S33" s="114"/>
    </row>
    <row r="34" spans="1:19" s="16" customFormat="1" ht="18" hidden="1" customHeight="1">
      <c r="A34" s="10"/>
      <c r="B34" s="12"/>
      <c r="C34" s="13"/>
      <c r="D34" s="29"/>
      <c r="E34" s="30"/>
      <c r="F34" s="30"/>
      <c r="G34" s="31"/>
      <c r="H34" s="31"/>
      <c r="I34" s="31"/>
      <c r="J34" s="31"/>
      <c r="K34" s="31"/>
      <c r="L34" s="31"/>
      <c r="M34" s="30"/>
      <c r="N34" s="30"/>
      <c r="O34" s="30"/>
      <c r="P34" s="115"/>
      <c r="Q34" s="32"/>
      <c r="R34" s="115"/>
      <c r="S34" s="115"/>
    </row>
    <row r="35" spans="1:19" s="16" customFormat="1" ht="18" customHeight="1">
      <c r="A35" s="11"/>
      <c r="B35" s="12"/>
      <c r="C35" s="13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>
        <f t="shared" ref="N35:N66" si="24">12000*(IFERROR(F35,0)+IFERROR(R35,0)+IFERROR(H35,0))</f>
        <v>0</v>
      </c>
      <c r="O35" s="30">
        <f t="shared" ref="O35:O66" si="25">10000*(IFERROR(F35,0)+IFERROR(R35,0)+IFERROR(H35,0))</f>
        <v>0</v>
      </c>
      <c r="P35" s="114"/>
      <c r="Q35" s="30"/>
      <c r="R35" s="114"/>
      <c r="S35" s="114"/>
    </row>
    <row r="36" spans="1:19" s="16" customFormat="1" ht="18" hidden="1" customHeight="1">
      <c r="A36" s="10"/>
      <c r="B36" s="12"/>
      <c r="C36" s="13"/>
      <c r="D36" s="29"/>
      <c r="E36" s="30"/>
      <c r="F36" s="30"/>
      <c r="G36" s="31"/>
      <c r="H36" s="31"/>
      <c r="I36" s="31"/>
      <c r="J36" s="31"/>
      <c r="K36" s="31"/>
      <c r="L36" s="31"/>
      <c r="M36" s="30"/>
      <c r="N36" s="30"/>
      <c r="O36" s="30"/>
      <c r="P36" s="114"/>
      <c r="Q36" s="30"/>
      <c r="R36" s="114"/>
      <c r="S36" s="114"/>
    </row>
    <row r="37" spans="1:19" s="16" customFormat="1" ht="18" customHeight="1">
      <c r="A37" s="11"/>
      <c r="B37" s="12"/>
      <c r="C37" s="13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>
        <f t="shared" ref="N37:N68" si="26">12000*(IFERROR(F37,0)+IFERROR(R37,0)+IFERROR(H37,0))</f>
        <v>0</v>
      </c>
      <c r="O37" s="30">
        <f t="shared" ref="O37:O68" si="27">10000*(IFERROR(F37,0)+IFERROR(R37,0)+IFERROR(H37,0))</f>
        <v>0</v>
      </c>
      <c r="P37" s="114"/>
      <c r="Q37" s="30"/>
      <c r="R37" s="114"/>
      <c r="S37" s="114"/>
    </row>
    <row r="38" spans="1:19" s="16" customFormat="1" ht="18" hidden="1" customHeight="1">
      <c r="A38" s="10"/>
      <c r="B38" s="12"/>
      <c r="C38" s="13"/>
      <c r="D38" s="116"/>
      <c r="E38" s="2"/>
      <c r="F38" s="2"/>
      <c r="G38" s="9"/>
      <c r="H38" s="9"/>
      <c r="I38" s="9"/>
      <c r="J38" s="9"/>
      <c r="K38" s="9"/>
      <c r="L38" s="9"/>
      <c r="M38" s="2"/>
      <c r="N38" s="30"/>
      <c r="O38" s="30"/>
      <c r="P38" s="114"/>
      <c r="Q38" s="30"/>
      <c r="R38" s="114"/>
      <c r="S38" s="114"/>
    </row>
    <row r="39" spans="1:19" s="16" customFormat="1" ht="18" customHeight="1">
      <c r="A39" s="11"/>
      <c r="B39" s="12"/>
      <c r="C39" s="13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>
        <f t="shared" ref="N39:N70" si="28">12000*(IFERROR(F39,0)+IFERROR(R39,0)+IFERROR(H39,0))</f>
        <v>0</v>
      </c>
      <c r="O39" s="30">
        <f t="shared" ref="O39:O70" si="29">10000*(IFERROR(F39,0)+IFERROR(R39,0)+IFERROR(H39,0))</f>
        <v>0</v>
      </c>
      <c r="P39" s="114"/>
      <c r="Q39" s="30"/>
      <c r="R39" s="114"/>
      <c r="S39" s="114"/>
    </row>
    <row r="40" spans="1:19" s="16" customFormat="1" ht="18" hidden="1" customHeight="1">
      <c r="A40" s="10"/>
      <c r="B40" s="12"/>
      <c r="C40" s="13"/>
      <c r="D40" s="29"/>
      <c r="E40" s="30"/>
      <c r="F40" s="30"/>
      <c r="G40" s="31"/>
      <c r="H40" s="31"/>
      <c r="I40" s="31"/>
      <c r="J40" s="31"/>
      <c r="K40" s="31"/>
      <c r="L40" s="31"/>
      <c r="M40" s="30"/>
      <c r="N40" s="30"/>
      <c r="O40" s="30"/>
      <c r="P40" s="114"/>
      <c r="Q40" s="30"/>
      <c r="R40" s="114"/>
      <c r="S40" s="114"/>
    </row>
    <row r="41" spans="1:19" s="16" customFormat="1" ht="18" customHeight="1">
      <c r="A41" s="11"/>
      <c r="B41" s="12"/>
      <c r="C41" s="13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>
        <f t="shared" ref="N41:N87" si="30">12000*(IFERROR(F41,0)+IFERROR(R41,0)+IFERROR(H41,0))</f>
        <v>0</v>
      </c>
      <c r="O41" s="30">
        <f t="shared" ref="O41:O87" si="31">10000*(IFERROR(F41,0)+IFERROR(R41,0)+IFERROR(H41,0))</f>
        <v>0</v>
      </c>
      <c r="P41" s="114"/>
      <c r="Q41" s="30"/>
      <c r="R41" s="114"/>
      <c r="S41" s="114"/>
    </row>
    <row r="42" spans="1:19" s="16" customFormat="1" ht="18" hidden="1" customHeight="1">
      <c r="A42" s="10"/>
      <c r="B42" s="12"/>
      <c r="C42" s="13"/>
      <c r="D42" s="29"/>
      <c r="E42" s="30"/>
      <c r="F42" s="30"/>
      <c r="G42" s="31"/>
      <c r="H42" s="31"/>
      <c r="I42" s="31"/>
      <c r="J42" s="31"/>
      <c r="K42" s="31"/>
      <c r="L42" s="31"/>
      <c r="M42" s="30"/>
      <c r="N42" s="30"/>
      <c r="O42" s="30"/>
      <c r="P42" s="114"/>
      <c r="Q42" s="30"/>
      <c r="R42" s="114"/>
      <c r="S42" s="114"/>
    </row>
    <row r="43" spans="1:19" s="16" customFormat="1" ht="18" customHeight="1">
      <c r="A43" s="11"/>
      <c r="B43" s="12"/>
      <c r="C43" s="13"/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>
        <f t="shared" ref="N43:N87" si="32">12000*(IFERROR(F43,0)+IFERROR(R43,0)+IFERROR(H43,0))</f>
        <v>0</v>
      </c>
      <c r="O43" s="30">
        <f t="shared" ref="O43:O87" si="33">10000*(IFERROR(F43,0)+IFERROR(R43,0)+IFERROR(H43,0))</f>
        <v>0</v>
      </c>
      <c r="P43" s="114"/>
      <c r="Q43" s="30"/>
      <c r="R43" s="114"/>
      <c r="S43" s="114"/>
    </row>
    <row r="44" spans="1:19" s="16" customFormat="1" ht="18" hidden="1" customHeight="1">
      <c r="A44" s="10"/>
      <c r="B44" s="12"/>
      <c r="C44" s="13"/>
      <c r="D44" s="29"/>
      <c r="E44" s="30"/>
      <c r="F44" s="30"/>
      <c r="G44" s="31"/>
      <c r="H44" s="31"/>
      <c r="I44" s="31"/>
      <c r="J44" s="31"/>
      <c r="K44" s="31"/>
      <c r="L44" s="31"/>
      <c r="M44" s="30"/>
      <c r="N44" s="30"/>
      <c r="O44" s="30"/>
      <c r="P44" s="114"/>
      <c r="Q44" s="30"/>
      <c r="R44" s="114"/>
      <c r="S44" s="114"/>
    </row>
    <row r="45" spans="1:19" s="16" customFormat="1" ht="18" customHeight="1">
      <c r="A45" s="11"/>
      <c r="B45" s="12"/>
      <c r="C45" s="13"/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>
        <f t="shared" ref="N45:N87" si="34">12000*(IFERROR(F45,0)+IFERROR(R45,0)+IFERROR(H45,0))</f>
        <v>0</v>
      </c>
      <c r="O45" s="30">
        <f t="shared" ref="O45:O87" si="35">10000*(IFERROR(F45,0)+IFERROR(R45,0)+IFERROR(H45,0))</f>
        <v>0</v>
      </c>
      <c r="P45" s="114"/>
      <c r="Q45" s="30"/>
      <c r="R45" s="114"/>
      <c r="S45" s="114"/>
    </row>
    <row r="46" spans="1:19" s="16" customFormat="1" ht="18" hidden="1" customHeight="1">
      <c r="A46" s="10"/>
      <c r="B46" s="12"/>
      <c r="C46" s="13"/>
      <c r="D46" s="29"/>
      <c r="E46" s="30"/>
      <c r="F46" s="30"/>
      <c r="G46" s="31"/>
      <c r="H46" s="31"/>
      <c r="I46" s="31"/>
      <c r="J46" s="31"/>
      <c r="K46" s="31"/>
      <c r="L46" s="31"/>
      <c r="M46" s="30"/>
      <c r="N46" s="30"/>
      <c r="O46" s="30"/>
      <c r="P46" s="114"/>
      <c r="Q46" s="30"/>
      <c r="R46" s="114"/>
      <c r="S46" s="114"/>
    </row>
    <row r="47" spans="1:19" s="16" customFormat="1" ht="18" customHeight="1">
      <c r="A47" s="11"/>
      <c r="B47" s="12"/>
      <c r="C47" s="13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>
        <f t="shared" ref="N47:N87" si="36">12000*(IFERROR(F47,0)+IFERROR(R47,0)+IFERROR(H47,0))</f>
        <v>0</v>
      </c>
      <c r="O47" s="30">
        <f t="shared" ref="O47:O87" si="37">10000*(IFERROR(F47,0)+IFERROR(R47,0)+IFERROR(H47,0))</f>
        <v>0</v>
      </c>
      <c r="P47" s="114"/>
      <c r="Q47" s="30"/>
      <c r="R47" s="114"/>
      <c r="S47" s="114"/>
    </row>
    <row r="48" spans="1:19" s="16" customFormat="1" ht="18" hidden="1" customHeight="1">
      <c r="A48" s="19"/>
      <c r="B48" s="12"/>
      <c r="C48" s="13"/>
      <c r="D48" s="29"/>
      <c r="E48" s="30"/>
      <c r="F48" s="30"/>
      <c r="G48" s="31"/>
      <c r="H48" s="31"/>
      <c r="I48" s="31"/>
      <c r="J48" s="31"/>
      <c r="K48" s="31"/>
      <c r="L48" s="31"/>
      <c r="M48" s="30"/>
      <c r="N48" s="30"/>
      <c r="O48" s="30"/>
      <c r="P48" s="114"/>
      <c r="Q48" s="30"/>
      <c r="R48" s="114"/>
      <c r="S48" s="114"/>
    </row>
    <row r="49" spans="1:19" s="16" customFormat="1" ht="18" customHeight="1">
      <c r="A49" s="19"/>
      <c r="B49" s="12"/>
      <c r="C49" s="13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>
        <f t="shared" ref="N49:N87" si="38">12000*(IFERROR(F49,0)+IFERROR(R49,0)+IFERROR(H49,0))</f>
        <v>0</v>
      </c>
      <c r="O49" s="30">
        <f t="shared" ref="O49:O87" si="39">10000*(IFERROR(F49,0)+IFERROR(R49,0)+IFERROR(H49,0))</f>
        <v>0</v>
      </c>
      <c r="P49" s="114"/>
      <c r="Q49" s="30"/>
      <c r="R49" s="114"/>
      <c r="S49" s="114"/>
    </row>
    <row r="50" spans="1:19" s="16" customFormat="1" ht="18" hidden="1" customHeight="1">
      <c r="A50" s="19"/>
      <c r="B50" s="12"/>
      <c r="C50" s="13"/>
      <c r="D50" s="29"/>
      <c r="E50" s="30"/>
      <c r="F50" s="31"/>
      <c r="G50" s="31"/>
      <c r="H50" s="31"/>
      <c r="I50" s="31"/>
      <c r="J50" s="31"/>
      <c r="K50" s="30"/>
      <c r="L50" s="30"/>
      <c r="M50" s="30"/>
      <c r="N50" s="30"/>
      <c r="O50" s="30"/>
      <c r="P50" s="114"/>
      <c r="Q50" s="30"/>
      <c r="R50" s="114"/>
      <c r="S50" s="114"/>
    </row>
    <row r="51" spans="1:19" s="16" customFormat="1" ht="18" customHeight="1">
      <c r="A51" s="19"/>
      <c r="B51" s="12"/>
      <c r="C51" s="13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>
        <f t="shared" ref="N51:N87" si="40">12000*(IFERROR(F51,0)+IFERROR(R51,0)+IFERROR(H51,0))</f>
        <v>0</v>
      </c>
      <c r="O51" s="30">
        <f t="shared" ref="O51:O87" si="41">10000*(IFERROR(F51,0)+IFERROR(R51,0)+IFERROR(H51,0))</f>
        <v>0</v>
      </c>
      <c r="P51" s="114"/>
      <c r="Q51" s="30"/>
      <c r="R51" s="114"/>
      <c r="S51" s="114"/>
    </row>
    <row r="52" spans="1:19" s="16" customFormat="1" ht="18" hidden="1" customHeight="1">
      <c r="A52" s="19"/>
      <c r="B52" s="12"/>
      <c r="C52" s="13"/>
      <c r="D52" s="29"/>
      <c r="E52" s="30"/>
      <c r="F52" s="31"/>
      <c r="G52" s="31"/>
      <c r="H52" s="31"/>
      <c r="I52" s="31"/>
      <c r="J52" s="31"/>
      <c r="K52" s="31"/>
      <c r="L52" s="31"/>
      <c r="M52" s="30"/>
      <c r="N52" s="30"/>
      <c r="O52" s="30"/>
      <c r="P52" s="114"/>
      <c r="Q52" s="30"/>
      <c r="R52" s="114"/>
      <c r="S52" s="114"/>
    </row>
    <row r="53" spans="1:19" s="16" customFormat="1" ht="18" customHeight="1">
      <c r="A53" s="19"/>
      <c r="B53" s="12"/>
      <c r="C53" s="13"/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>
        <f t="shared" ref="N53:N87" si="42">12000*(IFERROR(F53,0)+IFERROR(R53,0)+IFERROR(H53,0))</f>
        <v>0</v>
      </c>
      <c r="O53" s="30">
        <f t="shared" ref="O53:O87" si="43">10000*(IFERROR(F53,0)+IFERROR(R53,0)+IFERROR(H53,0))</f>
        <v>0</v>
      </c>
      <c r="P53" s="114"/>
      <c r="Q53" s="30"/>
      <c r="R53" s="114"/>
      <c r="S53" s="114"/>
    </row>
    <row r="54" spans="1:19" s="16" customFormat="1" ht="18" customHeight="1">
      <c r="A54" s="19"/>
      <c r="B54" s="12"/>
      <c r="C54" s="13"/>
      <c r="D54" s="29"/>
      <c r="E54" s="30"/>
      <c r="F54" s="31"/>
      <c r="G54" s="31"/>
      <c r="H54" s="31"/>
      <c r="I54" s="31"/>
      <c r="J54" s="31"/>
      <c r="K54" s="31"/>
      <c r="L54" s="31"/>
      <c r="M54" s="30"/>
      <c r="N54" s="30"/>
      <c r="O54" s="30"/>
      <c r="P54" s="114"/>
      <c r="Q54" s="30"/>
      <c r="R54" s="114"/>
      <c r="S54" s="114"/>
    </row>
    <row r="55" spans="1:19" s="16" customFormat="1" ht="18" customHeight="1">
      <c r="A55" s="19"/>
      <c r="B55" s="12"/>
      <c r="C55" s="13"/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>
        <f t="shared" ref="N55:N87" si="44">12000*(IFERROR(F55,0)+IFERROR(R55,0)+IFERROR(H55,0))</f>
        <v>0</v>
      </c>
      <c r="O55" s="30">
        <f t="shared" ref="O55:O87" si="45">10000*(IFERROR(F55,0)+IFERROR(R55,0)+IFERROR(H55,0))</f>
        <v>0</v>
      </c>
      <c r="P55" s="114"/>
      <c r="Q55" s="30"/>
      <c r="R55" s="114"/>
      <c r="S55" s="114"/>
    </row>
    <row r="56" spans="1:19" s="16" customFormat="1" ht="18" customHeight="1">
      <c r="A56" s="19"/>
      <c r="B56" s="12"/>
      <c r="C56" s="13"/>
      <c r="D56" s="29"/>
      <c r="E56" s="30"/>
      <c r="F56" s="31"/>
      <c r="G56" s="31"/>
      <c r="H56" s="31"/>
      <c r="I56" s="31"/>
      <c r="J56" s="31"/>
      <c r="K56" s="31"/>
      <c r="L56" s="31"/>
      <c r="M56" s="30"/>
      <c r="N56" s="30"/>
      <c r="O56" s="30"/>
      <c r="P56" s="114"/>
      <c r="Q56" s="30"/>
      <c r="R56" s="114"/>
      <c r="S56" s="114"/>
    </row>
    <row r="57" spans="1:19" s="16" customFormat="1" ht="18" customHeight="1">
      <c r="A57" s="19"/>
      <c r="B57" s="12"/>
      <c r="C57" s="13"/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>
        <f t="shared" ref="N57:N87" si="46">12000*(IFERROR(F57,0)+IFERROR(R57,0)+IFERROR(H57,0))</f>
        <v>0</v>
      </c>
      <c r="O57" s="30">
        <f t="shared" ref="O57:O87" si="47">10000*(IFERROR(F57,0)+IFERROR(R57,0)+IFERROR(H57,0))</f>
        <v>0</v>
      </c>
      <c r="P57" s="114"/>
      <c r="Q57" s="30"/>
      <c r="R57" s="114"/>
      <c r="S57" s="114"/>
    </row>
    <row r="58" spans="1:19" s="16" customFormat="1" ht="18" customHeight="1">
      <c r="A58" s="19"/>
      <c r="B58" s="12"/>
      <c r="C58" s="13"/>
      <c r="D58" s="29"/>
      <c r="E58" s="30"/>
      <c r="F58" s="31"/>
      <c r="G58" s="31"/>
      <c r="H58" s="31"/>
      <c r="I58" s="31"/>
      <c r="J58" s="31"/>
      <c r="K58" s="31"/>
      <c r="L58" s="31"/>
      <c r="M58" s="30"/>
      <c r="N58" s="30"/>
      <c r="O58" s="30"/>
      <c r="P58" s="114"/>
      <c r="Q58" s="30"/>
      <c r="R58" s="114"/>
      <c r="S58" s="114"/>
    </row>
    <row r="59" spans="1:19" s="16" customFormat="1" ht="18" customHeight="1">
      <c r="A59" s="19"/>
      <c r="B59" s="12"/>
      <c r="C59" s="13"/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>
        <f t="shared" ref="N59:N87" si="48">12000*(IFERROR(F59,0)+IFERROR(R59,0)+IFERROR(H59,0))</f>
        <v>0</v>
      </c>
      <c r="O59" s="30">
        <f t="shared" ref="O59:O87" si="49">10000*(IFERROR(F59,0)+IFERROR(R59,0)+IFERROR(H59,0))</f>
        <v>0</v>
      </c>
      <c r="P59" s="114"/>
      <c r="Q59" s="30"/>
      <c r="R59" s="114"/>
      <c r="S59" s="114"/>
    </row>
    <row r="60" spans="1:19" s="16" customFormat="1" ht="18" customHeight="1">
      <c r="A60" s="19"/>
      <c r="B60" s="12"/>
      <c r="C60" s="13"/>
      <c r="D60" s="29"/>
      <c r="E60" s="30"/>
      <c r="F60" s="31"/>
      <c r="G60" s="31"/>
      <c r="H60" s="31"/>
      <c r="I60" s="31"/>
      <c r="J60" s="31"/>
      <c r="K60" s="31"/>
      <c r="L60" s="31"/>
      <c r="M60" s="30"/>
      <c r="N60" s="30"/>
      <c r="O60" s="30"/>
      <c r="P60" s="114"/>
      <c r="Q60" s="30"/>
      <c r="R60" s="114"/>
      <c r="S60" s="114"/>
    </row>
    <row r="61" spans="1:19" s="16" customFormat="1" ht="18" customHeight="1">
      <c r="A61" s="19"/>
      <c r="B61" s="12"/>
      <c r="C61" s="13"/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>
        <f t="shared" ref="N61:N87" si="50">12000*(IFERROR(F61,0)+IFERROR(R61,0)+IFERROR(H61,0))</f>
        <v>0</v>
      </c>
      <c r="O61" s="30">
        <f t="shared" ref="O61:O87" si="51">10000*(IFERROR(F61,0)+IFERROR(R61,0)+IFERROR(H61,0))</f>
        <v>0</v>
      </c>
      <c r="P61" s="114"/>
      <c r="Q61" s="30"/>
      <c r="R61" s="114"/>
      <c r="S61" s="114"/>
    </row>
    <row r="62" spans="1:19" s="16" customFormat="1" ht="18" customHeight="1">
      <c r="A62" s="19"/>
      <c r="B62" s="12"/>
      <c r="C62" s="13"/>
      <c r="D62" s="29"/>
      <c r="E62" s="30"/>
      <c r="F62" s="31"/>
      <c r="G62" s="31"/>
      <c r="H62" s="31"/>
      <c r="I62" s="31"/>
      <c r="J62" s="31"/>
      <c r="K62" s="31"/>
      <c r="L62" s="31"/>
      <c r="M62" s="30"/>
      <c r="N62" s="30"/>
      <c r="O62" s="30"/>
      <c r="P62" s="114"/>
      <c r="Q62" s="30"/>
      <c r="R62" s="114"/>
      <c r="S62" s="114"/>
    </row>
    <row r="63" spans="1:19" s="16" customFormat="1" ht="18" customHeight="1">
      <c r="A63" s="19"/>
      <c r="B63" s="12"/>
      <c r="C63" s="13"/>
      <c r="D63" s="29"/>
      <c r="E63" s="30"/>
      <c r="F63" s="30"/>
      <c r="G63" s="30"/>
      <c r="H63" s="30"/>
      <c r="I63" s="30"/>
      <c r="J63" s="30"/>
      <c r="K63" s="30"/>
      <c r="L63" s="30"/>
      <c r="M63" s="30"/>
      <c r="N63" s="30">
        <f t="shared" ref="N63:N87" si="52">12000*(IFERROR(F63,0)+IFERROR(R63,0)+IFERROR(H63,0))</f>
        <v>0</v>
      </c>
      <c r="O63" s="30">
        <f t="shared" ref="O63:O87" si="53">10000*(IFERROR(F63,0)+IFERROR(R63,0)+IFERROR(H63,0))</f>
        <v>0</v>
      </c>
      <c r="P63" s="114"/>
      <c r="Q63" s="30"/>
      <c r="R63" s="114"/>
      <c r="S63" s="114"/>
    </row>
    <row r="64" spans="1:19" s="16" customFormat="1" ht="18" customHeight="1">
      <c r="A64" s="19"/>
      <c r="B64" s="12"/>
      <c r="C64" s="13"/>
      <c r="D64" s="29"/>
      <c r="E64" s="30"/>
      <c r="F64" s="31"/>
      <c r="G64" s="31"/>
      <c r="H64" s="31"/>
      <c r="I64" s="31"/>
      <c r="J64" s="31"/>
      <c r="K64" s="31"/>
      <c r="L64" s="31"/>
      <c r="M64" s="30"/>
      <c r="N64" s="30"/>
      <c r="O64" s="30"/>
      <c r="P64" s="114"/>
      <c r="Q64" s="30"/>
      <c r="R64" s="114"/>
      <c r="S64" s="114"/>
    </row>
    <row r="65" spans="1:19" s="16" customFormat="1" ht="18" customHeight="1">
      <c r="A65" s="19"/>
      <c r="B65" s="12"/>
      <c r="C65" s="13"/>
      <c r="D65" s="29"/>
      <c r="E65" s="30"/>
      <c r="F65" s="30"/>
      <c r="G65" s="30"/>
      <c r="H65" s="30"/>
      <c r="I65" s="30"/>
      <c r="J65" s="30"/>
      <c r="K65" s="30"/>
      <c r="L65" s="30"/>
      <c r="M65" s="30"/>
      <c r="N65" s="30">
        <f t="shared" ref="N65:N87" si="54">12000*(IFERROR(F65,0)+IFERROR(R65,0)+IFERROR(H65,0))</f>
        <v>0</v>
      </c>
      <c r="O65" s="30">
        <f t="shared" ref="O65:O87" si="55">10000*(IFERROR(F65,0)+IFERROR(R65,0)+IFERROR(H65,0))</f>
        <v>0</v>
      </c>
      <c r="P65" s="114"/>
      <c r="Q65" s="30"/>
      <c r="R65" s="114"/>
      <c r="S65" s="114"/>
    </row>
    <row r="66" spans="1:19" s="16" customFormat="1" ht="18" customHeight="1">
      <c r="A66" s="19"/>
      <c r="B66" s="12"/>
      <c r="C66" s="13"/>
      <c r="D66" s="29"/>
      <c r="E66" s="30"/>
      <c r="F66" s="31"/>
      <c r="G66" s="31"/>
      <c r="H66" s="31"/>
      <c r="I66" s="31"/>
      <c r="J66" s="31"/>
      <c r="K66" s="31"/>
      <c r="L66" s="31"/>
      <c r="M66" s="30"/>
      <c r="N66" s="30"/>
      <c r="O66" s="30"/>
      <c r="P66" s="114"/>
      <c r="Q66" s="30"/>
      <c r="R66" s="114"/>
      <c r="S66" s="114"/>
    </row>
    <row r="67" spans="1:19" s="16" customFormat="1" ht="18" customHeight="1">
      <c r="A67" s="19"/>
      <c r="B67" s="12"/>
      <c r="C67" s="13"/>
      <c r="D67" s="29"/>
      <c r="E67" s="30"/>
      <c r="F67" s="30"/>
      <c r="G67" s="30"/>
      <c r="H67" s="30"/>
      <c r="I67" s="30"/>
      <c r="J67" s="30"/>
      <c r="K67" s="31"/>
      <c r="L67" s="31"/>
      <c r="M67" s="30"/>
      <c r="N67" s="30">
        <f t="shared" ref="N67:N87" si="56">12000*(IFERROR(F67,0)+IFERROR(R67,0)+IFERROR(H67,0))</f>
        <v>0</v>
      </c>
      <c r="O67" s="30">
        <f t="shared" ref="O67:O87" si="57">10000*(IFERROR(F67,0)+IFERROR(R67,0)+IFERROR(H67,0))</f>
        <v>0</v>
      </c>
      <c r="P67" s="114"/>
      <c r="Q67" s="30"/>
      <c r="R67" s="114"/>
      <c r="S67" s="114"/>
    </row>
    <row r="68" spans="1:19" s="16" customFormat="1" ht="18" customHeight="1">
      <c r="A68" s="19"/>
      <c r="B68" s="12"/>
      <c r="C68" s="13"/>
      <c r="D68" s="29"/>
      <c r="E68" s="30"/>
      <c r="F68" s="31"/>
      <c r="G68" s="31"/>
      <c r="H68" s="31"/>
      <c r="I68" s="31"/>
      <c r="J68" s="31"/>
      <c r="K68" s="31"/>
      <c r="L68" s="31"/>
      <c r="M68" s="30"/>
      <c r="N68" s="30"/>
      <c r="O68" s="30"/>
      <c r="P68" s="114"/>
      <c r="Q68" s="30"/>
      <c r="R68" s="114"/>
      <c r="S68" s="114"/>
    </row>
    <row r="69" spans="1:19" s="16" customFormat="1" ht="18" customHeight="1">
      <c r="A69" s="19"/>
      <c r="B69" s="12"/>
      <c r="C69" s="13"/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>
        <f t="shared" ref="N69:N87" si="58">12000*(IFERROR(F69,0)+IFERROR(R69,0)+IFERROR(H69,0))</f>
        <v>0</v>
      </c>
      <c r="O69" s="30">
        <f t="shared" ref="O69:O87" si="59">10000*(IFERROR(F69,0)+IFERROR(R69,0)+IFERROR(H69,0))</f>
        <v>0</v>
      </c>
      <c r="P69" s="114"/>
      <c r="Q69" s="30"/>
      <c r="R69" s="114"/>
      <c r="S69" s="114"/>
    </row>
    <row r="70" spans="1:19" s="16" customFormat="1" ht="18" customHeight="1">
      <c r="A70" s="19"/>
      <c r="B70" s="12"/>
      <c r="C70" s="13"/>
      <c r="D70" s="29"/>
      <c r="E70" s="30"/>
      <c r="F70" s="31"/>
      <c r="G70" s="31"/>
      <c r="H70" s="31"/>
      <c r="I70" s="31"/>
      <c r="J70" s="31"/>
      <c r="K70" s="31"/>
      <c r="L70" s="31"/>
      <c r="M70" s="30"/>
      <c r="N70" s="30"/>
      <c r="O70" s="30"/>
      <c r="P70" s="114"/>
      <c r="Q70" s="30"/>
      <c r="R70" s="114"/>
      <c r="S70" s="114"/>
    </row>
    <row r="71" spans="1:19" s="16" customFormat="1" ht="18" customHeight="1">
      <c r="A71" s="19"/>
      <c r="B71" s="12"/>
      <c r="C71" s="13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>
        <f t="shared" ref="N71:N87" si="60">12000*(IFERROR(F71,0)+IFERROR(R71,0)+IFERROR(H71,0))</f>
        <v>0</v>
      </c>
      <c r="O71" s="30">
        <f t="shared" ref="O71:O87" si="61">10000*(IFERROR(F71,0)+IFERROR(R71,0)+IFERROR(H71,0))</f>
        <v>0</v>
      </c>
      <c r="P71" s="114"/>
      <c r="Q71" s="30"/>
      <c r="R71" s="114"/>
      <c r="S71" s="114"/>
    </row>
    <row r="72" spans="1:19" s="16" customFormat="1" ht="18" customHeight="1">
      <c r="A72" s="19"/>
      <c r="B72" s="12"/>
      <c r="C72" s="13"/>
      <c r="D72" s="29"/>
      <c r="E72" s="30"/>
      <c r="F72" s="31"/>
      <c r="G72" s="31"/>
      <c r="H72" s="31"/>
      <c r="I72" s="31"/>
      <c r="J72" s="31"/>
      <c r="K72" s="31"/>
      <c r="L72" s="31"/>
      <c r="M72" s="30"/>
      <c r="N72" s="30"/>
      <c r="O72" s="30"/>
      <c r="P72" s="114"/>
      <c r="Q72" s="30"/>
      <c r="R72" s="114"/>
      <c r="S72" s="114"/>
    </row>
    <row r="73" spans="1:19" s="16" customFormat="1" ht="18" customHeight="1">
      <c r="A73" s="19"/>
      <c r="B73" s="12"/>
      <c r="C73" s="13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>
        <f t="shared" ref="N73:N87" si="62">12000*(IFERROR(F73,0)+IFERROR(R73,0)+IFERROR(H73,0))</f>
        <v>0</v>
      </c>
      <c r="O73" s="30">
        <f t="shared" ref="O73:O87" si="63">10000*(IFERROR(F73,0)+IFERROR(R73,0)+IFERROR(H73,0))</f>
        <v>0</v>
      </c>
      <c r="P73" s="114"/>
      <c r="Q73" s="30"/>
      <c r="R73" s="114"/>
      <c r="S73" s="114"/>
    </row>
    <row r="74" spans="1:19" s="16" customFormat="1" ht="18" customHeight="1">
      <c r="A74" s="19"/>
      <c r="B74" s="12"/>
      <c r="C74" s="13"/>
      <c r="D74" s="29"/>
      <c r="E74" s="30"/>
      <c r="F74" s="31"/>
      <c r="G74" s="31"/>
      <c r="H74" s="31"/>
      <c r="I74" s="31"/>
      <c r="J74" s="31"/>
      <c r="K74" s="31"/>
      <c r="L74" s="31"/>
      <c r="M74" s="30"/>
      <c r="N74" s="30"/>
      <c r="O74" s="30"/>
      <c r="P74" s="114"/>
      <c r="Q74" s="30"/>
      <c r="R74" s="114"/>
      <c r="S74" s="114"/>
    </row>
    <row r="75" spans="1:19" s="16" customFormat="1" ht="18" customHeight="1">
      <c r="A75" s="19"/>
      <c r="B75" s="12"/>
      <c r="C75" s="13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>
        <f t="shared" ref="N75:N87" si="64">12000*(IFERROR(F75,0)+IFERROR(R75,0)+IFERROR(H75,0))</f>
        <v>0</v>
      </c>
      <c r="O75" s="30">
        <f t="shared" ref="O75:O87" si="65">10000*(IFERROR(F75,0)+IFERROR(R75,0)+IFERROR(H75,0))</f>
        <v>0</v>
      </c>
      <c r="P75" s="114"/>
      <c r="Q75" s="30"/>
      <c r="R75" s="114"/>
      <c r="S75" s="114"/>
    </row>
    <row r="76" spans="1:19" s="16" customFormat="1" ht="18" customHeight="1">
      <c r="A76" s="19"/>
      <c r="B76" s="12"/>
      <c r="C76" s="13"/>
      <c r="D76" s="29"/>
      <c r="E76" s="30"/>
      <c r="F76" s="31"/>
      <c r="G76" s="31"/>
      <c r="H76" s="31"/>
      <c r="I76" s="31"/>
      <c r="J76" s="31"/>
      <c r="K76" s="31"/>
      <c r="L76" s="31"/>
      <c r="M76" s="30"/>
      <c r="N76" s="30"/>
      <c r="O76" s="30"/>
      <c r="P76" s="114"/>
      <c r="Q76" s="30"/>
      <c r="R76" s="114"/>
      <c r="S76" s="114"/>
    </row>
    <row r="77" spans="1:19" s="16" customFormat="1" ht="18" customHeight="1">
      <c r="A77" s="19"/>
      <c r="B77" s="12"/>
      <c r="C77" s="13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>
        <f t="shared" ref="N77:N87" si="66">12000*(IFERROR(F77,0)+IFERROR(R77,0)+IFERROR(H77,0))</f>
        <v>0</v>
      </c>
      <c r="O77" s="30">
        <f t="shared" ref="O77:O87" si="67">10000*(IFERROR(F77,0)+IFERROR(R77,0)+IFERROR(H77,0))</f>
        <v>0</v>
      </c>
      <c r="P77" s="114"/>
      <c r="Q77" s="30"/>
      <c r="R77" s="114"/>
      <c r="S77" s="114"/>
    </row>
    <row r="78" spans="1:19" s="16" customFormat="1" ht="18" customHeight="1">
      <c r="A78" s="19"/>
      <c r="B78" s="12"/>
      <c r="C78" s="13"/>
      <c r="D78" s="29"/>
      <c r="E78" s="30"/>
      <c r="F78" s="31"/>
      <c r="G78" s="31"/>
      <c r="H78" s="31"/>
      <c r="I78" s="31"/>
      <c r="J78" s="31"/>
      <c r="K78" s="31"/>
      <c r="L78" s="31"/>
      <c r="M78" s="30"/>
      <c r="N78" s="30"/>
      <c r="O78" s="30"/>
      <c r="P78" s="114"/>
      <c r="Q78" s="30"/>
      <c r="R78" s="114"/>
      <c r="S78" s="114"/>
    </row>
    <row r="79" spans="1:19" s="16" customFormat="1" ht="18" customHeight="1">
      <c r="A79" s="19"/>
      <c r="B79" s="12"/>
      <c r="C79" s="13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>
        <f t="shared" ref="N79:N87" si="68">12000*(IFERROR(F79,0)+IFERROR(R79,0)+IFERROR(H79,0))</f>
        <v>0</v>
      </c>
      <c r="O79" s="30">
        <f t="shared" ref="O79:O87" si="69">10000*(IFERROR(F79,0)+IFERROR(R79,0)+IFERROR(H79,0))</f>
        <v>0</v>
      </c>
      <c r="P79" s="114"/>
      <c r="Q79" s="30"/>
      <c r="R79" s="114"/>
      <c r="S79" s="114"/>
    </row>
    <row r="80" spans="1:19" s="16" customFormat="1" ht="18" customHeight="1">
      <c r="A80" s="19"/>
      <c r="B80" s="12"/>
      <c r="C80" s="13"/>
      <c r="D80" s="29"/>
      <c r="E80" s="30"/>
      <c r="F80" s="31"/>
      <c r="G80" s="31"/>
      <c r="H80" s="31"/>
      <c r="I80" s="31"/>
      <c r="J80" s="31"/>
      <c r="K80" s="31"/>
      <c r="L80" s="31"/>
      <c r="M80" s="30"/>
      <c r="N80" s="30"/>
      <c r="O80" s="30"/>
      <c r="P80" s="114"/>
      <c r="Q80" s="30"/>
      <c r="R80" s="114"/>
      <c r="S80" s="114"/>
    </row>
    <row r="81" spans="1:19" s="16" customFormat="1" ht="18" customHeight="1">
      <c r="A81" s="19"/>
      <c r="B81" s="12"/>
      <c r="C81" s="13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>
        <f t="shared" ref="N81:N87" si="70">12000*(IFERROR(F81,0)+IFERROR(R81,0)+IFERROR(H81,0))</f>
        <v>0</v>
      </c>
      <c r="O81" s="30">
        <f t="shared" ref="O81:O87" si="71">10000*(IFERROR(F81,0)+IFERROR(R81,0)+IFERROR(H81,0))</f>
        <v>0</v>
      </c>
      <c r="P81" s="114"/>
      <c r="Q81" s="30"/>
      <c r="R81" s="114"/>
      <c r="S81" s="114"/>
    </row>
    <row r="82" spans="1:19" s="16" customFormat="1" ht="18" customHeight="1">
      <c r="A82" s="19"/>
      <c r="B82" s="12"/>
      <c r="C82" s="13"/>
      <c r="D82" s="29"/>
      <c r="E82" s="30"/>
      <c r="F82" s="31"/>
      <c r="G82" s="31"/>
      <c r="H82" s="31"/>
      <c r="I82" s="31"/>
      <c r="J82" s="31"/>
      <c r="K82" s="31"/>
      <c r="L82" s="31"/>
      <c r="M82" s="30"/>
      <c r="N82" s="30"/>
      <c r="O82" s="30"/>
      <c r="P82" s="114"/>
      <c r="Q82" s="30"/>
      <c r="R82" s="114"/>
      <c r="S82" s="114"/>
    </row>
    <row r="83" spans="1:19" s="16" customFormat="1" ht="18" customHeight="1">
      <c r="A83" s="19"/>
      <c r="B83" s="12"/>
      <c r="C83" s="13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>
        <f t="shared" ref="N83:N87" si="72">12000*(IFERROR(F83,0)+IFERROR(R83,0)+IFERROR(H83,0))</f>
        <v>0</v>
      </c>
      <c r="O83" s="30">
        <f t="shared" ref="O83:O87" si="73">10000*(IFERROR(F83,0)+IFERROR(R83,0)+IFERROR(H83,0))</f>
        <v>0</v>
      </c>
      <c r="P83" s="114"/>
      <c r="Q83" s="30"/>
      <c r="R83" s="114"/>
      <c r="S83" s="114"/>
    </row>
    <row r="84" spans="1:19" s="16" customFormat="1" ht="18" customHeight="1">
      <c r="A84" s="19"/>
      <c r="B84" s="12"/>
      <c r="C84" s="13"/>
      <c r="D84" s="29"/>
      <c r="E84" s="30"/>
      <c r="F84" s="31"/>
      <c r="G84" s="31"/>
      <c r="H84" s="31"/>
      <c r="I84" s="31"/>
      <c r="J84" s="31"/>
      <c r="K84" s="31"/>
      <c r="L84" s="31"/>
      <c r="M84" s="30"/>
      <c r="N84" s="30"/>
      <c r="O84" s="30"/>
      <c r="P84" s="114"/>
      <c r="Q84" s="30"/>
      <c r="R84" s="114"/>
      <c r="S84" s="114"/>
    </row>
    <row r="85" spans="1:19" s="16" customFormat="1" ht="18" customHeight="1">
      <c r="A85" s="19"/>
      <c r="B85" s="12"/>
      <c r="C85" s="13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>
        <f t="shared" ref="N85:N87" si="74">12000*(IFERROR(F85,0)+IFERROR(R85,0)+IFERROR(H85,0))</f>
        <v>0</v>
      </c>
      <c r="O85" s="30">
        <f t="shared" ref="O85:O87" si="75">10000*(IFERROR(F85,0)+IFERROR(R85,0)+IFERROR(H85,0))</f>
        <v>0</v>
      </c>
      <c r="P85" s="114"/>
      <c r="Q85" s="30"/>
      <c r="R85" s="114"/>
      <c r="S85" s="114"/>
    </row>
    <row r="86" spans="1:19" s="16" customFormat="1" ht="18" customHeight="1">
      <c r="A86" s="19"/>
      <c r="B86" s="12"/>
      <c r="C86" s="13"/>
      <c r="D86" s="29"/>
      <c r="E86" s="30"/>
      <c r="F86" s="31"/>
      <c r="G86" s="31"/>
      <c r="H86" s="31"/>
      <c r="I86" s="31"/>
      <c r="J86" s="31"/>
      <c r="K86" s="31"/>
      <c r="L86" s="31"/>
      <c r="M86" s="30"/>
      <c r="N86" s="30"/>
      <c r="O86" s="30"/>
      <c r="P86" s="114"/>
      <c r="Q86" s="30"/>
      <c r="R86" s="114"/>
      <c r="S86" s="114"/>
    </row>
    <row r="87" spans="1:19" ht="18" customHeight="1">
      <c r="A87" s="20"/>
      <c r="B87" s="21"/>
      <c r="C87" s="21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>
        <f t="shared" ref="N87" si="76">12000*(IFERROR(F87,0)+IFERROR(R87,0)+IFERROR(H87,0))</f>
        <v>0</v>
      </c>
      <c r="O87" s="30">
        <f t="shared" ref="O87" si="77">10000*(IFERROR(F87,0)+IFERROR(R87,0)+IFERROR(H87,0))</f>
        <v>0</v>
      </c>
      <c r="P87" s="114"/>
      <c r="Q87" s="30"/>
      <c r="R87" s="114"/>
      <c r="S87" s="114"/>
    </row>
    <row r="88" spans="1:19" ht="18" customHeight="1">
      <c r="A88" s="22"/>
      <c r="B88" s="22"/>
      <c r="C88" s="22"/>
      <c r="D88" s="120"/>
      <c r="E88" s="15"/>
      <c r="F88" s="121"/>
      <c r="G88" s="121"/>
      <c r="H88" s="121"/>
      <c r="I88" s="121"/>
      <c r="J88" s="121"/>
      <c r="K88" s="121"/>
      <c r="L88" s="121"/>
      <c r="M88" s="15"/>
      <c r="N88" s="15"/>
      <c r="O88" s="15"/>
      <c r="P88" s="15"/>
      <c r="Q88" s="15"/>
      <c r="R88" s="15"/>
      <c r="S88" s="15"/>
    </row>
    <row r="89" spans="1:19" ht="18" customHeight="1">
      <c r="D89" s="8"/>
    </row>
    <row r="90" spans="1:19" s="1" customFormat="1" ht="18" customHeight="1">
      <c r="A90" s="23"/>
      <c r="B90" s="23" t="s">
        <v>12</v>
      </c>
      <c r="D90" s="8"/>
      <c r="E90" s="2"/>
      <c r="F90" s="9"/>
      <c r="G90" s="9"/>
      <c r="H90" s="9"/>
      <c r="I90" s="9"/>
      <c r="J90" s="9"/>
      <c r="K90" s="9"/>
      <c r="L90" s="9"/>
      <c r="M90" s="2"/>
      <c r="N90" s="2"/>
      <c r="O90" s="2"/>
      <c r="P90" s="2"/>
      <c r="Q90" s="2"/>
      <c r="R90" s="2"/>
      <c r="S90" s="2"/>
    </row>
    <row r="91" spans="1:19" ht="18" customHeight="1">
      <c r="A91" s="24"/>
      <c r="B91" s="24"/>
      <c r="D91" s="8"/>
    </row>
    <row r="92" spans="1:19" ht="18" customHeight="1">
      <c r="A92" s="24"/>
      <c r="B92" s="24"/>
      <c r="D92" s="8"/>
      <c r="F92" s="9"/>
      <c r="G92" s="9"/>
      <c r="H92" s="9"/>
      <c r="I92" s="9"/>
      <c r="J92" s="9"/>
      <c r="K92" s="9"/>
      <c r="L92" s="9"/>
    </row>
    <row r="93" spans="1:19" ht="18" customHeight="1">
      <c r="A93" s="24"/>
      <c r="B93" s="24"/>
      <c r="D93" s="8"/>
    </row>
    <row r="94" spans="1:19" ht="18" customHeight="1">
      <c r="A94" s="24"/>
      <c r="B94" s="24"/>
      <c r="D94" s="8"/>
      <c r="F94" s="9"/>
      <c r="G94" s="9"/>
      <c r="H94" s="9"/>
      <c r="I94" s="9"/>
      <c r="J94" s="9"/>
      <c r="K94" s="9"/>
      <c r="L94" s="9"/>
    </row>
    <row r="95" spans="1:19" ht="18" customHeight="1">
      <c r="A95" s="169" t="s">
        <v>40</v>
      </c>
      <c r="B95" s="169"/>
      <c r="D95" s="8"/>
    </row>
    <row r="96" spans="1:19" ht="18" customHeight="1">
      <c r="D96" s="8"/>
      <c r="F96" s="9"/>
      <c r="G96" s="9"/>
      <c r="H96" s="9"/>
      <c r="I96" s="9"/>
      <c r="J96" s="9"/>
      <c r="K96" s="9"/>
      <c r="L96" s="9"/>
    </row>
    <row r="97" spans="4:12" ht="18" customHeight="1"/>
    <row r="98" spans="4:12" ht="18" customHeight="1">
      <c r="D98" s="8"/>
      <c r="F98" s="9"/>
      <c r="G98" s="9"/>
      <c r="H98" s="9"/>
      <c r="I98" s="9"/>
      <c r="J98" s="9"/>
      <c r="K98" s="9"/>
      <c r="L98" s="9"/>
    </row>
    <row r="99" spans="4:12" ht="18" customHeight="1"/>
    <row r="100" spans="4:12" ht="18" customHeight="1">
      <c r="D100" s="8"/>
      <c r="F100" s="9"/>
      <c r="G100" s="9"/>
      <c r="H100" s="9"/>
      <c r="I100" s="9"/>
      <c r="J100" s="9"/>
      <c r="K100" s="9"/>
      <c r="L100" s="9"/>
    </row>
    <row r="101" spans="4:12" ht="18" customHeight="1"/>
    <row r="102" spans="4:12" ht="18" customHeight="1">
      <c r="D102" s="8"/>
      <c r="F102" s="9"/>
      <c r="G102" s="9"/>
      <c r="H102" s="9"/>
      <c r="I102" s="9"/>
      <c r="J102" s="9"/>
      <c r="K102" s="9"/>
      <c r="L102" s="9"/>
    </row>
    <row r="103" spans="4:12" ht="18" customHeight="1"/>
    <row r="104" spans="4:12" ht="18" customHeight="1">
      <c r="D104" s="8"/>
      <c r="F104" s="9"/>
      <c r="G104" s="9"/>
      <c r="H104" s="9"/>
      <c r="I104" s="9"/>
      <c r="J104" s="9"/>
      <c r="K104" s="9"/>
      <c r="L104" s="9"/>
    </row>
    <row r="105" spans="4:12" ht="18" customHeight="1"/>
    <row r="106" spans="4:12" ht="18" customHeight="1">
      <c r="D106" s="8"/>
      <c r="F106" s="9"/>
      <c r="G106" s="9"/>
      <c r="H106" s="9"/>
      <c r="I106" s="9"/>
      <c r="J106" s="9"/>
      <c r="K106" s="9"/>
      <c r="L106" s="9"/>
    </row>
    <row r="107" spans="4:12" ht="18" customHeight="1"/>
    <row r="108" spans="4:12" ht="18" customHeight="1">
      <c r="D108" s="8"/>
      <c r="F108" s="9"/>
      <c r="G108" s="9"/>
      <c r="H108" s="9"/>
      <c r="I108" s="9"/>
      <c r="J108" s="9"/>
      <c r="K108" s="9"/>
      <c r="L108" s="9"/>
    </row>
    <row r="109" spans="4:12" ht="18" customHeight="1"/>
    <row r="110" spans="4:12" ht="18" customHeight="1">
      <c r="D110" s="8"/>
      <c r="F110" s="9"/>
      <c r="G110" s="9"/>
      <c r="H110" s="9"/>
      <c r="I110" s="9"/>
      <c r="J110" s="9"/>
      <c r="K110" s="9"/>
      <c r="L110" s="9"/>
    </row>
    <row r="111" spans="4:12" ht="18" customHeight="1"/>
    <row r="112" spans="4:12" ht="18" customHeight="1">
      <c r="D112" s="8"/>
      <c r="F112" s="9"/>
      <c r="G112" s="9"/>
      <c r="H112" s="9"/>
      <c r="I112" s="9"/>
      <c r="J112" s="9"/>
      <c r="K112" s="9"/>
      <c r="L112" s="9"/>
    </row>
    <row r="113" spans="4:12" ht="18" customHeight="1"/>
    <row r="114" spans="4:12" ht="18" customHeight="1">
      <c r="D114" s="8"/>
      <c r="F114" s="9"/>
      <c r="G114" s="9"/>
      <c r="H114" s="9"/>
      <c r="I114" s="9"/>
      <c r="J114" s="9"/>
      <c r="K114" s="9"/>
      <c r="L114" s="9"/>
    </row>
    <row r="115" spans="4:12" ht="18" customHeight="1"/>
    <row r="116" spans="4:12" ht="18" customHeight="1">
      <c r="D116" s="8"/>
      <c r="F116" s="9"/>
      <c r="G116" s="9"/>
      <c r="H116" s="9"/>
      <c r="I116" s="9"/>
      <c r="J116" s="9"/>
      <c r="K116" s="9"/>
      <c r="L116" s="9"/>
    </row>
    <row r="117" spans="4:12" ht="18" customHeight="1"/>
    <row r="118" spans="4:12" ht="18" customHeight="1">
      <c r="D118" s="8"/>
      <c r="F118" s="9"/>
      <c r="G118" s="9"/>
      <c r="H118" s="9"/>
      <c r="I118" s="9"/>
      <c r="J118" s="9"/>
      <c r="K118" s="9"/>
      <c r="L118" s="9"/>
    </row>
    <row r="119" spans="4:12" ht="18" customHeight="1"/>
    <row r="120" spans="4:12" ht="18" customHeight="1">
      <c r="D120" s="8"/>
      <c r="F120" s="9"/>
      <c r="G120" s="9"/>
      <c r="H120" s="9"/>
      <c r="I120" s="9"/>
      <c r="J120" s="9"/>
      <c r="K120" s="9"/>
      <c r="L120" s="9"/>
    </row>
    <row r="121" spans="4:12" ht="18" customHeight="1"/>
    <row r="122" spans="4:12" ht="18" customHeight="1">
      <c r="D122" s="8"/>
      <c r="F122" s="9"/>
      <c r="G122" s="9"/>
      <c r="H122" s="9"/>
      <c r="I122" s="9"/>
      <c r="J122" s="9"/>
      <c r="K122" s="9"/>
      <c r="L122" s="9"/>
    </row>
    <row r="123" spans="4:12" ht="18" customHeight="1"/>
    <row r="124" spans="4:12" ht="18" customHeight="1">
      <c r="D124" s="8"/>
      <c r="F124" s="9"/>
      <c r="G124" s="9"/>
      <c r="H124" s="9"/>
      <c r="I124" s="9"/>
      <c r="J124" s="9"/>
      <c r="K124" s="9"/>
      <c r="L124" s="9"/>
    </row>
    <row r="125" spans="4:12" ht="18" customHeight="1"/>
    <row r="126" spans="4:12" ht="18" customHeight="1">
      <c r="D126" s="8"/>
      <c r="F126" s="9"/>
      <c r="G126" s="9"/>
      <c r="H126" s="9"/>
      <c r="I126" s="9"/>
      <c r="J126" s="9"/>
      <c r="K126" s="9"/>
      <c r="L126" s="9"/>
    </row>
    <row r="127" spans="4:12" ht="18" customHeight="1"/>
    <row r="128" spans="4:12" ht="18" customHeight="1">
      <c r="D128" s="8"/>
      <c r="F128" s="9"/>
      <c r="G128" s="9"/>
      <c r="H128" s="9"/>
      <c r="I128" s="9"/>
      <c r="J128" s="9"/>
      <c r="K128" s="9"/>
      <c r="L128" s="9"/>
    </row>
    <row r="129" spans="4:12" ht="18" customHeight="1"/>
    <row r="130" spans="4:12" ht="18" customHeight="1">
      <c r="D130" s="8"/>
      <c r="F130" s="9"/>
      <c r="G130" s="9"/>
      <c r="H130" s="9"/>
      <c r="I130" s="9"/>
      <c r="J130" s="9"/>
      <c r="K130" s="9"/>
      <c r="L130" s="9"/>
    </row>
    <row r="131" spans="4:12" ht="18" customHeight="1"/>
    <row r="132" spans="4:12" ht="18" customHeight="1">
      <c r="D132" s="8"/>
      <c r="F132" s="9"/>
      <c r="G132" s="9"/>
      <c r="H132" s="9"/>
      <c r="I132" s="9"/>
      <c r="J132" s="9"/>
      <c r="K132" s="9"/>
      <c r="L132" s="9"/>
    </row>
    <row r="133" spans="4:12" ht="18" customHeight="1"/>
    <row r="134" spans="4:12" ht="18" customHeight="1">
      <c r="D134" s="8"/>
      <c r="F134" s="9"/>
      <c r="G134" s="9"/>
      <c r="H134" s="9"/>
      <c r="I134" s="9"/>
      <c r="J134" s="9"/>
      <c r="K134" s="9"/>
      <c r="L134" s="9"/>
    </row>
    <row r="135" spans="4:12" ht="18" customHeight="1"/>
    <row r="136" spans="4:12" ht="18" customHeight="1">
      <c r="D136" s="8"/>
      <c r="F136" s="9"/>
      <c r="G136" s="9"/>
      <c r="H136" s="9"/>
      <c r="I136" s="9"/>
      <c r="J136" s="9"/>
      <c r="K136" s="9"/>
      <c r="L136" s="9"/>
    </row>
    <row r="137" spans="4:12" ht="18" customHeight="1"/>
    <row r="138" spans="4:12" ht="18" customHeight="1">
      <c r="D138" s="8"/>
      <c r="F138" s="9"/>
      <c r="G138" s="9"/>
      <c r="H138" s="9"/>
      <c r="I138" s="9"/>
      <c r="J138" s="9"/>
      <c r="K138" s="9"/>
      <c r="L138" s="9"/>
    </row>
    <row r="139" spans="4:12" ht="18" customHeight="1"/>
    <row r="140" spans="4:12" ht="18" customHeight="1">
      <c r="D140" s="8"/>
      <c r="F140" s="9"/>
      <c r="G140" s="9"/>
      <c r="H140" s="9"/>
      <c r="I140" s="9"/>
      <c r="J140" s="9"/>
      <c r="K140" s="9"/>
      <c r="L140" s="9"/>
    </row>
    <row r="141" spans="4:12" ht="18" customHeight="1"/>
    <row r="142" spans="4:12" ht="18" customHeight="1">
      <c r="D142" s="8"/>
      <c r="F142" s="9"/>
      <c r="G142" s="9"/>
      <c r="H142" s="9"/>
      <c r="I142" s="9"/>
      <c r="J142" s="9"/>
      <c r="K142" s="9"/>
      <c r="L142" s="9"/>
    </row>
    <row r="143" spans="4:12" ht="18" customHeight="1"/>
    <row r="144" spans="4:12" ht="18" customHeight="1">
      <c r="D144" s="8"/>
      <c r="F144" s="9"/>
      <c r="G144" s="9"/>
      <c r="H144" s="9"/>
      <c r="I144" s="9"/>
      <c r="J144" s="9"/>
      <c r="K144" s="9"/>
      <c r="L144" s="9"/>
    </row>
    <row r="145" spans="4:12" ht="18" customHeight="1"/>
    <row r="146" spans="4:12" ht="18" customHeight="1">
      <c r="D146" s="8"/>
      <c r="F146" s="9"/>
      <c r="G146" s="9"/>
      <c r="H146" s="9"/>
      <c r="I146" s="9"/>
      <c r="J146" s="9"/>
      <c r="K146" s="9"/>
      <c r="L146" s="9"/>
    </row>
    <row r="147" spans="4:12" ht="18" customHeight="1"/>
    <row r="148" spans="4:12" ht="18" customHeight="1">
      <c r="D148" s="8"/>
      <c r="F148" s="9"/>
      <c r="G148" s="9"/>
      <c r="H148" s="9"/>
      <c r="I148" s="9"/>
      <c r="J148" s="9"/>
      <c r="K148" s="9"/>
      <c r="L148" s="9"/>
    </row>
    <row r="149" spans="4:12" ht="18" customHeight="1"/>
    <row r="150" spans="4:12" ht="18" customHeight="1">
      <c r="D150" s="8"/>
      <c r="F150" s="9"/>
      <c r="G150" s="9"/>
      <c r="H150" s="9"/>
      <c r="I150" s="9"/>
      <c r="J150" s="9"/>
      <c r="K150" s="9"/>
      <c r="L150" s="9"/>
    </row>
    <row r="151" spans="4:12" ht="18" customHeight="1"/>
    <row r="152" spans="4:12" ht="18" customHeight="1">
      <c r="D152" s="8"/>
      <c r="F152" s="9"/>
      <c r="G152" s="9"/>
      <c r="H152" s="9"/>
      <c r="I152" s="9"/>
      <c r="J152" s="9"/>
      <c r="K152" s="9"/>
      <c r="L152" s="9"/>
    </row>
    <row r="153" spans="4:12" ht="18" customHeight="1"/>
    <row r="154" spans="4:12" ht="18" customHeight="1">
      <c r="D154" s="8"/>
      <c r="F154" s="9"/>
      <c r="G154" s="9"/>
      <c r="H154" s="9"/>
      <c r="I154" s="9"/>
      <c r="J154" s="9"/>
      <c r="K154" s="9"/>
      <c r="L154" s="9"/>
    </row>
    <row r="155" spans="4:12" ht="18" customHeight="1"/>
    <row r="156" spans="4:12" ht="18" customHeight="1">
      <c r="D156" s="8"/>
      <c r="F156" s="9"/>
      <c r="G156" s="9"/>
      <c r="H156" s="9"/>
      <c r="I156" s="9"/>
      <c r="J156" s="9"/>
      <c r="K156" s="9"/>
      <c r="L156" s="9"/>
    </row>
    <row r="157" spans="4:12" ht="18" customHeight="1"/>
    <row r="158" spans="4:12" ht="18" customHeight="1">
      <c r="D158" s="8"/>
      <c r="F158" s="9"/>
      <c r="G158" s="9"/>
      <c r="H158" s="9"/>
      <c r="I158" s="9"/>
      <c r="J158" s="9"/>
      <c r="K158" s="9"/>
      <c r="L158" s="9"/>
    </row>
    <row r="159" spans="4:12" ht="18" customHeight="1"/>
    <row r="160" spans="4:12" ht="18" customHeight="1">
      <c r="D160" s="8"/>
      <c r="F160" s="9"/>
      <c r="G160" s="9"/>
      <c r="H160" s="9"/>
      <c r="I160" s="9"/>
      <c r="J160" s="9"/>
      <c r="K160" s="9"/>
      <c r="L160" s="9"/>
    </row>
    <row r="161" spans="4:12" ht="18" customHeight="1"/>
    <row r="162" spans="4:12" ht="18" customHeight="1">
      <c r="D162" s="8"/>
      <c r="F162" s="9"/>
      <c r="G162" s="9"/>
      <c r="H162" s="9"/>
      <c r="I162" s="9"/>
      <c r="J162" s="9"/>
      <c r="K162" s="9"/>
      <c r="L162" s="9"/>
    </row>
    <row r="163" spans="4:12" ht="18" customHeight="1"/>
    <row r="164" spans="4:12" ht="18" customHeight="1">
      <c r="D164" s="8"/>
      <c r="F164" s="9"/>
      <c r="G164" s="9"/>
      <c r="H164" s="9"/>
      <c r="I164" s="9"/>
      <c r="J164" s="9"/>
      <c r="K164" s="9"/>
      <c r="L164" s="9"/>
    </row>
    <row r="165" spans="4:12" ht="18" customHeight="1"/>
    <row r="166" spans="4:12" ht="18" customHeight="1">
      <c r="D166" s="8"/>
      <c r="F166" s="9"/>
      <c r="G166" s="9"/>
      <c r="H166" s="9"/>
      <c r="I166" s="9"/>
      <c r="J166" s="9"/>
      <c r="K166" s="9"/>
      <c r="L166" s="9"/>
    </row>
    <row r="167" spans="4:12" ht="18" customHeight="1"/>
    <row r="168" spans="4:12" ht="18" customHeight="1">
      <c r="D168" s="8"/>
      <c r="F168" s="9"/>
      <c r="G168" s="9"/>
      <c r="H168" s="9"/>
      <c r="I168" s="9"/>
      <c r="J168" s="9"/>
      <c r="K168" s="9"/>
      <c r="L168" s="9"/>
    </row>
    <row r="169" spans="4:12" ht="18" customHeight="1"/>
    <row r="170" spans="4:12" ht="18" customHeight="1">
      <c r="D170" s="8"/>
      <c r="F170" s="9"/>
      <c r="G170" s="9"/>
      <c r="H170" s="9"/>
      <c r="I170" s="9"/>
      <c r="J170" s="9"/>
      <c r="K170" s="9"/>
      <c r="L170" s="9"/>
    </row>
    <row r="171" spans="4:12" ht="18" customHeight="1"/>
    <row r="172" spans="4:12" ht="18" customHeight="1">
      <c r="D172" s="8"/>
      <c r="F172" s="9"/>
      <c r="G172" s="9"/>
      <c r="H172" s="9"/>
      <c r="I172" s="9"/>
      <c r="J172" s="9"/>
      <c r="K172" s="9"/>
      <c r="L172" s="9"/>
    </row>
    <row r="173" spans="4:12" ht="18" customHeight="1"/>
    <row r="174" spans="4:12" ht="18" customHeight="1">
      <c r="D174" s="8"/>
      <c r="F174" s="9"/>
      <c r="G174" s="9"/>
      <c r="H174" s="9"/>
      <c r="I174" s="9"/>
      <c r="J174" s="9"/>
      <c r="K174" s="9"/>
      <c r="L174" s="9"/>
    </row>
    <row r="175" spans="4:12" ht="18" customHeight="1"/>
    <row r="176" spans="4:12" ht="18" customHeight="1">
      <c r="D176" s="8"/>
      <c r="F176" s="9"/>
      <c r="G176" s="9"/>
      <c r="H176" s="9"/>
      <c r="I176" s="9"/>
      <c r="J176" s="9"/>
      <c r="K176" s="9"/>
      <c r="L176" s="9"/>
    </row>
    <row r="177" spans="4:12" ht="18" customHeight="1"/>
    <row r="178" spans="4:12" ht="18" customHeight="1">
      <c r="D178" s="8"/>
      <c r="F178" s="9"/>
      <c r="G178" s="9"/>
      <c r="H178" s="9"/>
      <c r="I178" s="9"/>
      <c r="J178" s="9"/>
      <c r="K178" s="9"/>
      <c r="L178" s="9"/>
    </row>
    <row r="179" spans="4:12" ht="18" customHeight="1"/>
    <row r="180" spans="4:12" ht="18" customHeight="1">
      <c r="D180" s="8"/>
      <c r="F180" s="9"/>
      <c r="G180" s="9"/>
      <c r="H180" s="9"/>
      <c r="I180" s="9"/>
      <c r="J180" s="9"/>
      <c r="K180" s="9"/>
      <c r="L180" s="9"/>
    </row>
    <row r="181" spans="4:12" ht="18" customHeight="1"/>
    <row r="182" spans="4:12" ht="18" customHeight="1">
      <c r="D182" s="8"/>
      <c r="F182" s="9"/>
      <c r="G182" s="9"/>
      <c r="H182" s="9"/>
      <c r="I182" s="9"/>
      <c r="J182" s="9"/>
      <c r="K182" s="9"/>
      <c r="L182" s="9"/>
    </row>
    <row r="183" spans="4:12" ht="18" customHeight="1"/>
    <row r="184" spans="4:12" ht="18" customHeight="1">
      <c r="D184" s="8"/>
      <c r="F184" s="9"/>
      <c r="G184" s="9"/>
      <c r="H184" s="9"/>
      <c r="I184" s="9"/>
      <c r="J184" s="9"/>
      <c r="K184" s="9"/>
      <c r="L184" s="9"/>
    </row>
    <row r="185" spans="4:12" ht="18" customHeight="1"/>
    <row r="186" spans="4:12" ht="18" customHeight="1">
      <c r="D186" s="8"/>
      <c r="F186" s="9"/>
      <c r="G186" s="9"/>
      <c r="H186" s="9"/>
      <c r="I186" s="9"/>
      <c r="J186" s="9"/>
    </row>
    <row r="187" spans="4:12" ht="18" customHeight="1">
      <c r="F187" s="9"/>
      <c r="G187" s="9"/>
      <c r="H187" s="9"/>
      <c r="I187" s="9"/>
      <c r="J187" s="9"/>
    </row>
    <row r="188" spans="4:12" ht="18" customHeight="1">
      <c r="D188" s="8"/>
      <c r="F188" s="9"/>
      <c r="G188" s="9"/>
      <c r="H188" s="9"/>
      <c r="I188" s="9"/>
      <c r="J188" s="9"/>
    </row>
    <row r="189" spans="4:12" ht="18" customHeight="1">
      <c r="F189" s="9"/>
      <c r="G189" s="9"/>
      <c r="H189" s="9"/>
      <c r="I189" s="9"/>
      <c r="J189" s="9"/>
    </row>
    <row r="190" spans="4:12" ht="18" customHeight="1">
      <c r="D190" s="8"/>
      <c r="F190" s="9"/>
      <c r="G190" s="9"/>
      <c r="H190" s="9"/>
      <c r="I190" s="9"/>
      <c r="J190" s="9"/>
    </row>
    <row r="191" spans="4:12" ht="18" customHeight="1">
      <c r="F191" s="9"/>
      <c r="G191" s="9"/>
      <c r="H191" s="9"/>
      <c r="I191" s="9"/>
      <c r="J191" s="9"/>
    </row>
    <row r="192" spans="4:12" ht="18" customHeight="1">
      <c r="D192" s="8"/>
      <c r="F192" s="9"/>
      <c r="G192" s="9"/>
      <c r="H192" s="9"/>
      <c r="I192" s="9"/>
      <c r="J192" s="9"/>
    </row>
    <row r="193" spans="4:10" ht="18" customHeight="1">
      <c r="F193" s="9"/>
      <c r="G193" s="9"/>
      <c r="H193" s="9"/>
      <c r="I193" s="9"/>
      <c r="J193" s="9"/>
    </row>
    <row r="194" spans="4:10" ht="18" customHeight="1">
      <c r="D194" s="8"/>
      <c r="F194" s="9"/>
      <c r="G194" s="9"/>
      <c r="H194" s="9"/>
      <c r="I194" s="9"/>
      <c r="J194" s="9"/>
    </row>
    <row r="195" spans="4:10" ht="18" customHeight="1">
      <c r="F195" s="9"/>
      <c r="G195" s="9"/>
      <c r="H195" s="9"/>
      <c r="I195" s="9"/>
      <c r="J195" s="9"/>
    </row>
    <row r="196" spans="4:10" ht="18" customHeight="1">
      <c r="D196" s="8"/>
      <c r="F196" s="9"/>
      <c r="G196" s="9"/>
      <c r="H196" s="9"/>
      <c r="I196" s="9"/>
      <c r="J196" s="9"/>
    </row>
    <row r="197" spans="4:10" ht="18" customHeight="1">
      <c r="F197" s="9"/>
      <c r="G197" s="9"/>
      <c r="H197" s="9"/>
      <c r="I197" s="9"/>
      <c r="J197" s="9"/>
    </row>
    <row r="198" spans="4:10" ht="18" customHeight="1">
      <c r="D198" s="8"/>
      <c r="F198" s="9"/>
      <c r="G198" s="9"/>
      <c r="H198" s="9"/>
      <c r="I198" s="9"/>
      <c r="J198" s="9"/>
    </row>
    <row r="199" spans="4:10" ht="18" customHeight="1">
      <c r="F199" s="9"/>
      <c r="G199" s="9"/>
      <c r="H199" s="9"/>
      <c r="I199" s="9"/>
      <c r="J199" s="9"/>
    </row>
    <row r="200" spans="4:10" ht="18" customHeight="1">
      <c r="D200" s="8"/>
      <c r="F200" s="9"/>
      <c r="G200" s="9"/>
      <c r="H200" s="9"/>
      <c r="I200" s="9"/>
      <c r="J200" s="9"/>
    </row>
    <row r="201" spans="4:10" ht="18" customHeight="1">
      <c r="F201" s="9"/>
      <c r="G201" s="9"/>
      <c r="H201" s="9"/>
      <c r="I201" s="9"/>
      <c r="J201" s="9"/>
    </row>
    <row r="202" spans="4:10" ht="18" customHeight="1">
      <c r="D202" s="8"/>
      <c r="F202" s="9"/>
      <c r="G202" s="9"/>
      <c r="H202" s="9"/>
      <c r="I202" s="9"/>
      <c r="J202" s="9"/>
    </row>
    <row r="203" spans="4:10" ht="18" customHeight="1">
      <c r="F203" s="9"/>
      <c r="G203" s="9"/>
      <c r="H203" s="9"/>
      <c r="I203" s="9"/>
      <c r="J203" s="9"/>
    </row>
    <row r="204" spans="4:10" ht="18" customHeight="1">
      <c r="D204" s="8"/>
      <c r="F204" s="9"/>
      <c r="G204" s="9"/>
      <c r="H204" s="9"/>
      <c r="I204" s="9"/>
      <c r="J204" s="9"/>
    </row>
    <row r="205" spans="4:10" ht="18" customHeight="1">
      <c r="F205" s="9"/>
      <c r="G205" s="9"/>
      <c r="H205" s="9"/>
      <c r="I205" s="9"/>
      <c r="J205" s="9"/>
    </row>
    <row r="206" spans="4:10" ht="18" customHeight="1">
      <c r="D206" s="8"/>
      <c r="F206" s="9"/>
      <c r="G206" s="9"/>
      <c r="H206" s="9"/>
      <c r="I206" s="9"/>
      <c r="J206" s="9"/>
    </row>
    <row r="207" spans="4:10" ht="18" customHeight="1">
      <c r="F207" s="9"/>
      <c r="G207" s="9"/>
      <c r="H207" s="9"/>
      <c r="I207" s="9"/>
      <c r="J207" s="9"/>
    </row>
    <row r="208" spans="4:10" ht="18" customHeight="1">
      <c r="D208" s="8"/>
      <c r="F208" s="9"/>
      <c r="G208" s="9"/>
      <c r="H208" s="9"/>
      <c r="I208" s="9"/>
      <c r="J208" s="9"/>
    </row>
    <row r="209" spans="4:10" ht="18" customHeight="1">
      <c r="F209" s="9"/>
      <c r="G209" s="9"/>
      <c r="H209" s="9"/>
      <c r="I209" s="9"/>
      <c r="J209" s="9"/>
    </row>
    <row r="210" spans="4:10" ht="18" customHeight="1">
      <c r="D210" s="8"/>
      <c r="F210" s="9"/>
      <c r="G210" s="9"/>
      <c r="H210" s="9"/>
      <c r="I210" s="9"/>
      <c r="J210" s="9"/>
    </row>
    <row r="211" spans="4:10" ht="18" customHeight="1">
      <c r="F211" s="9"/>
      <c r="G211" s="9"/>
      <c r="H211" s="9"/>
      <c r="I211" s="9"/>
      <c r="J211" s="9"/>
    </row>
    <row r="212" spans="4:10" ht="18" customHeight="1">
      <c r="D212" s="8"/>
      <c r="F212" s="9"/>
      <c r="G212" s="9"/>
      <c r="H212" s="9"/>
      <c r="I212" s="9"/>
      <c r="J212" s="9"/>
    </row>
    <row r="213" spans="4:10" ht="18" customHeight="1">
      <c r="F213" s="9"/>
      <c r="G213" s="9"/>
      <c r="H213" s="9"/>
      <c r="I213" s="9"/>
      <c r="J213" s="9"/>
    </row>
    <row r="214" spans="4:10" ht="18" customHeight="1">
      <c r="D214" s="8"/>
      <c r="F214" s="9"/>
      <c r="G214" s="9"/>
      <c r="H214" s="9"/>
      <c r="I214" s="9"/>
      <c r="J214" s="9"/>
    </row>
    <row r="215" spans="4:10" ht="18" customHeight="1">
      <c r="F215" s="9"/>
      <c r="G215" s="9"/>
      <c r="H215" s="9"/>
      <c r="I215" s="9"/>
      <c r="J215" s="9"/>
    </row>
    <row r="216" spans="4:10" ht="18" customHeight="1">
      <c r="D216" s="8"/>
      <c r="F216" s="9"/>
      <c r="G216" s="9"/>
      <c r="H216" s="9"/>
      <c r="I216" s="9"/>
      <c r="J216" s="9"/>
    </row>
    <row r="217" spans="4:10" ht="18" customHeight="1">
      <c r="F217" s="9"/>
      <c r="G217" s="9"/>
      <c r="H217" s="9"/>
      <c r="I217" s="9"/>
      <c r="J217" s="9"/>
    </row>
    <row r="218" spans="4:10" ht="18" customHeight="1">
      <c r="D218" s="8"/>
      <c r="F218" s="9"/>
      <c r="G218" s="9"/>
      <c r="H218" s="9"/>
      <c r="I218" s="9"/>
      <c r="J218" s="9"/>
    </row>
    <row r="219" spans="4:10" ht="18" customHeight="1">
      <c r="F219" s="9"/>
      <c r="G219" s="9"/>
      <c r="H219" s="9"/>
      <c r="I219" s="9"/>
      <c r="J219" s="9"/>
    </row>
    <row r="220" spans="4:10" ht="18" customHeight="1">
      <c r="D220" s="8"/>
      <c r="F220" s="9"/>
      <c r="G220" s="9"/>
      <c r="H220" s="9"/>
      <c r="I220" s="9"/>
      <c r="J220" s="9"/>
    </row>
    <row r="221" spans="4:10" ht="18" customHeight="1">
      <c r="F221" s="9"/>
      <c r="G221" s="9"/>
      <c r="H221" s="9"/>
      <c r="I221" s="9"/>
      <c r="J221" s="9"/>
    </row>
    <row r="222" spans="4:10" ht="18" customHeight="1">
      <c r="D222" s="8"/>
      <c r="F222" s="9"/>
      <c r="G222" s="9"/>
      <c r="H222" s="9"/>
      <c r="I222" s="9"/>
      <c r="J222" s="9"/>
    </row>
    <row r="223" spans="4:10" ht="18" customHeight="1">
      <c r="F223" s="9"/>
      <c r="G223" s="9"/>
      <c r="H223" s="9"/>
      <c r="I223" s="9"/>
      <c r="J223" s="9"/>
    </row>
    <row r="224" spans="4:10" ht="18" customHeight="1">
      <c r="D224" s="8"/>
      <c r="F224" s="9"/>
      <c r="G224" s="9"/>
      <c r="H224" s="9"/>
      <c r="I224" s="9"/>
      <c r="J224" s="9"/>
    </row>
    <row r="225" spans="4:10" ht="18" customHeight="1">
      <c r="F225" s="9"/>
      <c r="G225" s="9"/>
      <c r="H225" s="9"/>
      <c r="I225" s="9"/>
      <c r="J225" s="9"/>
    </row>
    <row r="226" spans="4:10" ht="18" customHeight="1">
      <c r="D226" s="8"/>
    </row>
    <row r="227" spans="4:10" ht="18" customHeight="1"/>
    <row r="228" spans="4:10" ht="18" customHeight="1">
      <c r="D228" s="8"/>
    </row>
    <row r="229" spans="4:10" ht="18" customHeight="1"/>
    <row r="230" spans="4:10" ht="18" customHeight="1">
      <c r="D230" s="8"/>
    </row>
    <row r="231" spans="4:10" ht="18" customHeight="1"/>
    <row r="232" spans="4:10" ht="18" customHeight="1">
      <c r="D232" s="8"/>
    </row>
    <row r="233" spans="4:10" ht="18" customHeight="1"/>
    <row r="234" spans="4:10" ht="18" customHeight="1">
      <c r="D234" s="8"/>
    </row>
    <row r="235" spans="4:10" ht="18" customHeight="1"/>
    <row r="236" spans="4:10" ht="18" customHeight="1">
      <c r="D236" s="8"/>
    </row>
    <row r="237" spans="4:10" ht="18" customHeight="1"/>
    <row r="238" spans="4:10" ht="18" customHeight="1">
      <c r="D238" s="8"/>
    </row>
    <row r="239" spans="4:10" ht="18" customHeight="1"/>
    <row r="240" spans="4:10" ht="18" customHeight="1">
      <c r="D240" s="8"/>
    </row>
    <row r="241" spans="4:4" ht="18" customHeight="1"/>
    <row r="242" spans="4:4" ht="18" customHeight="1">
      <c r="D242" s="8"/>
    </row>
    <row r="243" spans="4:4" ht="18" customHeight="1"/>
    <row r="244" spans="4:4" ht="18" customHeight="1">
      <c r="D244" s="8"/>
    </row>
    <row r="245" spans="4:4" ht="18" customHeight="1"/>
    <row r="246" spans="4:4" ht="18" customHeight="1">
      <c r="D246" s="8"/>
    </row>
    <row r="247" spans="4:4" ht="18" customHeight="1"/>
    <row r="248" spans="4:4" ht="18" customHeight="1">
      <c r="D248" s="8"/>
    </row>
    <row r="249" spans="4:4" ht="18" customHeight="1"/>
    <row r="250" spans="4:4" ht="18" customHeight="1">
      <c r="D250" s="8"/>
    </row>
    <row r="251" spans="4:4" ht="18" customHeight="1"/>
    <row r="252" spans="4:4" ht="18" customHeight="1">
      <c r="D252" s="8"/>
    </row>
    <row r="253" spans="4:4" ht="18" customHeight="1"/>
    <row r="254" spans="4:4" ht="18" customHeight="1">
      <c r="D254" s="8"/>
    </row>
    <row r="255" spans="4:4" ht="18" customHeight="1"/>
    <row r="256" spans="4:4" ht="18" customHeight="1">
      <c r="D256" s="8"/>
    </row>
    <row r="257" spans="4:4" ht="18" customHeight="1"/>
    <row r="258" spans="4:4" ht="18" customHeight="1">
      <c r="D258" s="8"/>
    </row>
    <row r="259" spans="4:4" ht="18" customHeight="1"/>
    <row r="260" spans="4:4" ht="18" customHeight="1">
      <c r="D260" s="8"/>
    </row>
    <row r="261" spans="4:4" ht="18" customHeight="1"/>
    <row r="262" spans="4:4" ht="18" customHeight="1">
      <c r="D262" s="8"/>
    </row>
    <row r="263" spans="4:4" ht="18" customHeight="1"/>
    <row r="264" spans="4:4" ht="18" customHeight="1">
      <c r="D264" s="8"/>
    </row>
    <row r="265" spans="4:4" ht="18" customHeight="1"/>
    <row r="266" spans="4:4" ht="18" customHeight="1">
      <c r="D266" s="8"/>
    </row>
    <row r="267" spans="4:4" ht="18" customHeight="1"/>
    <row r="268" spans="4:4" ht="18" customHeight="1">
      <c r="D268" s="8"/>
    </row>
    <row r="269" spans="4:4" ht="18" customHeight="1"/>
    <row r="270" spans="4:4" ht="18" customHeight="1">
      <c r="D270" s="8"/>
    </row>
    <row r="271" spans="4:4" ht="18" customHeight="1"/>
    <row r="272" spans="4:4" ht="18" customHeight="1">
      <c r="D272" s="8"/>
    </row>
    <row r="273" spans="4:14" ht="18" customHeight="1"/>
    <row r="274" spans="4:14" ht="18" customHeight="1">
      <c r="D274" s="8"/>
    </row>
    <row r="275" spans="4:14" ht="18" customHeight="1">
      <c r="F275" s="25"/>
      <c r="G275" s="25"/>
      <c r="H275" s="25"/>
      <c r="I275" s="25"/>
      <c r="J275" s="25"/>
      <c r="K275" s="25"/>
      <c r="L275" s="25"/>
      <c r="M275" s="25"/>
      <c r="N275" s="25"/>
    </row>
    <row r="276" spans="4:14" ht="18" customHeight="1"/>
    <row r="277" spans="4:14" ht="18" customHeight="1"/>
    <row r="278" spans="4:14" ht="18" customHeight="1"/>
    <row r="279" spans="4:14" ht="18" customHeight="1"/>
    <row r="280" spans="4:14" ht="18" customHeight="1"/>
    <row r="281" spans="4:14" ht="18" customHeight="1"/>
    <row r="282" spans="4:14" ht="18" customHeight="1"/>
    <row r="283" spans="4:14" ht="18" customHeight="1"/>
    <row r="284" spans="4:14" ht="18" customHeight="1"/>
    <row r="285" spans="4:14" ht="18" customHeight="1"/>
    <row r="286" spans="4:14" ht="18" customHeight="1"/>
    <row r="287" spans="4:14" ht="18" customHeight="1"/>
    <row r="288" spans="4:14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</sheetData>
  <mergeCells count="22">
    <mergeCell ref="A2:C2"/>
    <mergeCell ref="A3:C3"/>
    <mergeCell ref="A5:A6"/>
    <mergeCell ref="B5:B6"/>
    <mergeCell ref="C5:C6"/>
    <mergeCell ref="M5:M6"/>
    <mergeCell ref="A95:B95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S5:S7"/>
    <mergeCell ref="Q5:Q7"/>
    <mergeCell ref="R5:R7"/>
    <mergeCell ref="P5:P7"/>
    <mergeCell ref="N5:N6"/>
    <mergeCell ref="O5:O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FB123"/>
  <sheetViews>
    <sheetView tabSelected="1" topLeftCell="F1" zoomScaleNormal="100" workbookViewId="0">
      <selection activeCell="J10" sqref="J10"/>
    </sheetView>
  </sheetViews>
  <sheetFormatPr defaultRowHeight="15" outlineLevelRow="1"/>
  <cols>
    <col min="1" max="1" width="4.140625" style="44" customWidth="1"/>
    <col min="2" max="2" width="21.7109375" style="44" customWidth="1"/>
    <col min="3" max="3" width="7.28515625" style="55" customWidth="1"/>
    <col min="4" max="5" width="4.5703125" style="44" customWidth="1"/>
    <col min="6" max="6" width="8.7109375" style="44" customWidth="1"/>
    <col min="7" max="7" width="8" style="44" customWidth="1"/>
    <col min="8" max="8" width="8.140625" style="44" customWidth="1"/>
    <col min="9" max="9" width="5.5703125" style="44" customWidth="1"/>
    <col min="10" max="10" width="6.7109375" style="44" customWidth="1"/>
    <col min="11" max="11" width="5.5703125" style="44" customWidth="1"/>
    <col min="12" max="13" width="8" style="44" customWidth="1"/>
    <col min="14" max="14" width="7.140625" style="44" customWidth="1"/>
    <col min="15" max="15" width="7.42578125" style="44" customWidth="1"/>
    <col min="16" max="16" width="6.140625" style="44" customWidth="1"/>
    <col min="17" max="17" width="7" style="49" customWidth="1"/>
    <col min="18" max="18" width="8.140625" style="44" customWidth="1"/>
    <col min="19" max="20" width="8.5703125" style="53" customWidth="1"/>
    <col min="21" max="21" width="8.42578125" style="53" customWidth="1"/>
    <col min="22" max="22" width="7.42578125" style="53" customWidth="1"/>
    <col min="23" max="23" width="7.28515625" style="53" customWidth="1"/>
    <col min="24" max="24" width="9.85546875" style="53" bestFit="1" customWidth="1"/>
    <col min="25" max="25" width="8.140625" style="56" customWidth="1"/>
    <col min="26" max="26" width="11.140625" style="44" customWidth="1"/>
    <col min="27" max="28" width="11.140625" style="44" bestFit="1" customWidth="1"/>
    <col min="29" max="238" width="9.140625" style="44"/>
    <col min="239" max="239" width="4.140625" style="44" customWidth="1"/>
    <col min="240" max="240" width="15.5703125" style="44" customWidth="1"/>
    <col min="241" max="241" width="7.28515625" style="44" customWidth="1"/>
    <col min="242" max="242" width="4.85546875" style="44" customWidth="1"/>
    <col min="243" max="243" width="4.42578125" style="44" customWidth="1"/>
    <col min="244" max="249" width="0" style="44" hidden="1" customWidth="1"/>
    <col min="250" max="250" width="9" style="44" customWidth="1"/>
    <col min="251" max="251" width="4.85546875" style="44" customWidth="1"/>
    <col min="252" max="253" width="0" style="44" hidden="1" customWidth="1"/>
    <col min="254" max="255" width="4.85546875" style="44" customWidth="1"/>
    <col min="256" max="256" width="6.140625" style="44" customWidth="1"/>
    <col min="257" max="257" width="6.42578125" style="44" customWidth="1"/>
    <col min="258" max="258" width="4.85546875" style="44" customWidth="1"/>
    <col min="259" max="259" width="7.5703125" style="44" customWidth="1"/>
    <col min="260" max="260" width="0" style="44" hidden="1" customWidth="1"/>
    <col min="261" max="261" width="7.140625" style="44" customWidth="1"/>
    <col min="262" max="262" width="0" style="44" hidden="1" customWidth="1"/>
    <col min="263" max="263" width="6.85546875" style="44" customWidth="1"/>
    <col min="264" max="264" width="9.28515625" style="44" customWidth="1"/>
    <col min="265" max="265" width="5.85546875" style="44" customWidth="1"/>
    <col min="266" max="266" width="0" style="44" hidden="1" customWidth="1"/>
    <col min="267" max="267" width="10" style="44" customWidth="1"/>
    <col min="268" max="273" width="0" style="44" hidden="1" customWidth="1"/>
    <col min="274" max="494" width="9.140625" style="44"/>
    <col min="495" max="495" width="4.140625" style="44" customWidth="1"/>
    <col min="496" max="496" width="15.5703125" style="44" customWidth="1"/>
    <col min="497" max="497" width="7.28515625" style="44" customWidth="1"/>
    <col min="498" max="498" width="4.85546875" style="44" customWidth="1"/>
    <col min="499" max="499" width="4.42578125" style="44" customWidth="1"/>
    <col min="500" max="505" width="0" style="44" hidden="1" customWidth="1"/>
    <col min="506" max="506" width="9" style="44" customWidth="1"/>
    <col min="507" max="507" width="4.85546875" style="44" customWidth="1"/>
    <col min="508" max="509" width="0" style="44" hidden="1" customWidth="1"/>
    <col min="510" max="511" width="4.85546875" style="44" customWidth="1"/>
    <col min="512" max="512" width="6.140625" style="44" customWidth="1"/>
    <col min="513" max="513" width="6.42578125" style="44" customWidth="1"/>
    <col min="514" max="514" width="4.85546875" style="44" customWidth="1"/>
    <col min="515" max="515" width="7.5703125" style="44" customWidth="1"/>
    <col min="516" max="516" width="0" style="44" hidden="1" customWidth="1"/>
    <col min="517" max="517" width="7.140625" style="44" customWidth="1"/>
    <col min="518" max="518" width="0" style="44" hidden="1" customWidth="1"/>
    <col min="519" max="519" width="6.85546875" style="44" customWidth="1"/>
    <col min="520" max="520" width="9.28515625" style="44" customWidth="1"/>
    <col min="521" max="521" width="5.85546875" style="44" customWidth="1"/>
    <col min="522" max="522" width="0" style="44" hidden="1" customWidth="1"/>
    <col min="523" max="523" width="10" style="44" customWidth="1"/>
    <col min="524" max="529" width="0" style="44" hidden="1" customWidth="1"/>
    <col min="530" max="750" width="9.140625" style="44"/>
    <col min="751" max="751" width="4.140625" style="44" customWidth="1"/>
    <col min="752" max="752" width="15.5703125" style="44" customWidth="1"/>
    <col min="753" max="753" width="7.28515625" style="44" customWidth="1"/>
    <col min="754" max="754" width="4.85546875" style="44" customWidth="1"/>
    <col min="755" max="755" width="4.42578125" style="44" customWidth="1"/>
    <col min="756" max="761" width="0" style="44" hidden="1" customWidth="1"/>
    <col min="762" max="762" width="9" style="44" customWidth="1"/>
    <col min="763" max="763" width="4.85546875" style="44" customWidth="1"/>
    <col min="764" max="765" width="0" style="44" hidden="1" customWidth="1"/>
    <col min="766" max="767" width="4.85546875" style="44" customWidth="1"/>
    <col min="768" max="768" width="6.140625" style="44" customWidth="1"/>
    <col min="769" max="769" width="6.42578125" style="44" customWidth="1"/>
    <col min="770" max="770" width="4.85546875" style="44" customWidth="1"/>
    <col min="771" max="771" width="7.5703125" style="44" customWidth="1"/>
    <col min="772" max="772" width="0" style="44" hidden="1" customWidth="1"/>
    <col min="773" max="773" width="7.140625" style="44" customWidth="1"/>
    <col min="774" max="774" width="0" style="44" hidden="1" customWidth="1"/>
    <col min="775" max="775" width="6.85546875" style="44" customWidth="1"/>
    <col min="776" max="776" width="9.28515625" style="44" customWidth="1"/>
    <col min="777" max="777" width="5.85546875" style="44" customWidth="1"/>
    <col min="778" max="778" width="0" style="44" hidden="1" customWidth="1"/>
    <col min="779" max="779" width="10" style="44" customWidth="1"/>
    <col min="780" max="785" width="0" style="44" hidden="1" customWidth="1"/>
    <col min="786" max="1006" width="9.140625" style="44"/>
    <col min="1007" max="1007" width="4.140625" style="44" customWidth="1"/>
    <col min="1008" max="1008" width="15.5703125" style="44" customWidth="1"/>
    <col min="1009" max="1009" width="7.28515625" style="44" customWidth="1"/>
    <col min="1010" max="1010" width="4.85546875" style="44" customWidth="1"/>
    <col min="1011" max="1011" width="4.42578125" style="44" customWidth="1"/>
    <col min="1012" max="1017" width="0" style="44" hidden="1" customWidth="1"/>
    <col min="1018" max="1018" width="9" style="44" customWidth="1"/>
    <col min="1019" max="1019" width="4.85546875" style="44" customWidth="1"/>
    <col min="1020" max="1021" width="0" style="44" hidden="1" customWidth="1"/>
    <col min="1022" max="1023" width="4.85546875" style="44" customWidth="1"/>
    <col min="1024" max="1024" width="6.140625" style="44" customWidth="1"/>
    <col min="1025" max="1025" width="6.42578125" style="44" customWidth="1"/>
    <col min="1026" max="1026" width="4.85546875" style="44" customWidth="1"/>
    <col min="1027" max="1027" width="7.5703125" style="44" customWidth="1"/>
    <col min="1028" max="1028" width="0" style="44" hidden="1" customWidth="1"/>
    <col min="1029" max="1029" width="7.140625" style="44" customWidth="1"/>
    <col min="1030" max="1030" width="0" style="44" hidden="1" customWidth="1"/>
    <col min="1031" max="1031" width="6.85546875" style="44" customWidth="1"/>
    <col min="1032" max="1032" width="9.28515625" style="44" customWidth="1"/>
    <col min="1033" max="1033" width="5.85546875" style="44" customWidth="1"/>
    <col min="1034" max="1034" width="0" style="44" hidden="1" customWidth="1"/>
    <col min="1035" max="1035" width="10" style="44" customWidth="1"/>
    <col min="1036" max="1041" width="0" style="44" hidden="1" customWidth="1"/>
    <col min="1042" max="1262" width="9.140625" style="44"/>
    <col min="1263" max="1263" width="4.140625" style="44" customWidth="1"/>
    <col min="1264" max="1264" width="15.5703125" style="44" customWidth="1"/>
    <col min="1265" max="1265" width="7.28515625" style="44" customWidth="1"/>
    <col min="1266" max="1266" width="4.85546875" style="44" customWidth="1"/>
    <col min="1267" max="1267" width="4.42578125" style="44" customWidth="1"/>
    <col min="1268" max="1273" width="0" style="44" hidden="1" customWidth="1"/>
    <col min="1274" max="1274" width="9" style="44" customWidth="1"/>
    <col min="1275" max="1275" width="4.85546875" style="44" customWidth="1"/>
    <col min="1276" max="1277" width="0" style="44" hidden="1" customWidth="1"/>
    <col min="1278" max="1279" width="4.85546875" style="44" customWidth="1"/>
    <col min="1280" max="1280" width="6.140625" style="44" customWidth="1"/>
    <col min="1281" max="1281" width="6.42578125" style="44" customWidth="1"/>
    <col min="1282" max="1282" width="4.85546875" style="44" customWidth="1"/>
    <col min="1283" max="1283" width="7.5703125" style="44" customWidth="1"/>
    <col min="1284" max="1284" width="0" style="44" hidden="1" customWidth="1"/>
    <col min="1285" max="1285" width="7.140625" style="44" customWidth="1"/>
    <col min="1286" max="1286" width="0" style="44" hidden="1" customWidth="1"/>
    <col min="1287" max="1287" width="6.85546875" style="44" customWidth="1"/>
    <col min="1288" max="1288" width="9.28515625" style="44" customWidth="1"/>
    <col min="1289" max="1289" width="5.85546875" style="44" customWidth="1"/>
    <col min="1290" max="1290" width="0" style="44" hidden="1" customWidth="1"/>
    <col min="1291" max="1291" width="10" style="44" customWidth="1"/>
    <col min="1292" max="1297" width="0" style="44" hidden="1" customWidth="1"/>
    <col min="1298" max="1518" width="9.140625" style="44"/>
    <col min="1519" max="1519" width="4.140625" style="44" customWidth="1"/>
    <col min="1520" max="1520" width="15.5703125" style="44" customWidth="1"/>
    <col min="1521" max="1521" width="7.28515625" style="44" customWidth="1"/>
    <col min="1522" max="1522" width="4.85546875" style="44" customWidth="1"/>
    <col min="1523" max="1523" width="4.42578125" style="44" customWidth="1"/>
    <col min="1524" max="1529" width="0" style="44" hidden="1" customWidth="1"/>
    <col min="1530" max="1530" width="9" style="44" customWidth="1"/>
    <col min="1531" max="1531" width="4.85546875" style="44" customWidth="1"/>
    <col min="1532" max="1533" width="0" style="44" hidden="1" customWidth="1"/>
    <col min="1534" max="1535" width="4.85546875" style="44" customWidth="1"/>
    <col min="1536" max="1536" width="6.140625" style="44" customWidth="1"/>
    <col min="1537" max="1537" width="6.42578125" style="44" customWidth="1"/>
    <col min="1538" max="1538" width="4.85546875" style="44" customWidth="1"/>
    <col min="1539" max="1539" width="7.5703125" style="44" customWidth="1"/>
    <col min="1540" max="1540" width="0" style="44" hidden="1" customWidth="1"/>
    <col min="1541" max="1541" width="7.140625" style="44" customWidth="1"/>
    <col min="1542" max="1542" width="0" style="44" hidden="1" customWidth="1"/>
    <col min="1543" max="1543" width="6.85546875" style="44" customWidth="1"/>
    <col min="1544" max="1544" width="9.28515625" style="44" customWidth="1"/>
    <col min="1545" max="1545" width="5.85546875" style="44" customWidth="1"/>
    <col min="1546" max="1546" width="0" style="44" hidden="1" customWidth="1"/>
    <col min="1547" max="1547" width="10" style="44" customWidth="1"/>
    <col min="1548" max="1553" width="0" style="44" hidden="1" customWidth="1"/>
    <col min="1554" max="1774" width="9.140625" style="44"/>
    <col min="1775" max="1775" width="4.140625" style="44" customWidth="1"/>
    <col min="1776" max="1776" width="15.5703125" style="44" customWidth="1"/>
    <col min="1777" max="1777" width="7.28515625" style="44" customWidth="1"/>
    <col min="1778" max="1778" width="4.85546875" style="44" customWidth="1"/>
    <col min="1779" max="1779" width="4.42578125" style="44" customWidth="1"/>
    <col min="1780" max="1785" width="0" style="44" hidden="1" customWidth="1"/>
    <col min="1786" max="1786" width="9" style="44" customWidth="1"/>
    <col min="1787" max="1787" width="4.85546875" style="44" customWidth="1"/>
    <col min="1788" max="1789" width="0" style="44" hidden="1" customWidth="1"/>
    <col min="1790" max="1791" width="4.85546875" style="44" customWidth="1"/>
    <col min="1792" max="1792" width="6.140625" style="44" customWidth="1"/>
    <col min="1793" max="1793" width="6.42578125" style="44" customWidth="1"/>
    <col min="1794" max="1794" width="4.85546875" style="44" customWidth="1"/>
    <col min="1795" max="1795" width="7.5703125" style="44" customWidth="1"/>
    <col min="1796" max="1796" width="0" style="44" hidden="1" customWidth="1"/>
    <col min="1797" max="1797" width="7.140625" style="44" customWidth="1"/>
    <col min="1798" max="1798" width="0" style="44" hidden="1" customWidth="1"/>
    <col min="1799" max="1799" width="6.85546875" style="44" customWidth="1"/>
    <col min="1800" max="1800" width="9.28515625" style="44" customWidth="1"/>
    <col min="1801" max="1801" width="5.85546875" style="44" customWidth="1"/>
    <col min="1802" max="1802" width="0" style="44" hidden="1" customWidth="1"/>
    <col min="1803" max="1803" width="10" style="44" customWidth="1"/>
    <col min="1804" max="1809" width="0" style="44" hidden="1" customWidth="1"/>
    <col min="1810" max="2030" width="9.140625" style="44"/>
    <col min="2031" max="2031" width="4.140625" style="44" customWidth="1"/>
    <col min="2032" max="2032" width="15.5703125" style="44" customWidth="1"/>
    <col min="2033" max="2033" width="7.28515625" style="44" customWidth="1"/>
    <col min="2034" max="2034" width="4.85546875" style="44" customWidth="1"/>
    <col min="2035" max="2035" width="4.42578125" style="44" customWidth="1"/>
    <col min="2036" max="2041" width="0" style="44" hidden="1" customWidth="1"/>
    <col min="2042" max="2042" width="9" style="44" customWidth="1"/>
    <col min="2043" max="2043" width="4.85546875" style="44" customWidth="1"/>
    <col min="2044" max="2045" width="0" style="44" hidden="1" customWidth="1"/>
    <col min="2046" max="2047" width="4.85546875" style="44" customWidth="1"/>
    <col min="2048" max="2048" width="6.140625" style="44" customWidth="1"/>
    <col min="2049" max="2049" width="6.42578125" style="44" customWidth="1"/>
    <col min="2050" max="2050" width="4.85546875" style="44" customWidth="1"/>
    <col min="2051" max="2051" width="7.5703125" style="44" customWidth="1"/>
    <col min="2052" max="2052" width="0" style="44" hidden="1" customWidth="1"/>
    <col min="2053" max="2053" width="7.140625" style="44" customWidth="1"/>
    <col min="2054" max="2054" width="0" style="44" hidden="1" customWidth="1"/>
    <col min="2055" max="2055" width="6.85546875" style="44" customWidth="1"/>
    <col min="2056" max="2056" width="9.28515625" style="44" customWidth="1"/>
    <col min="2057" max="2057" width="5.85546875" style="44" customWidth="1"/>
    <col min="2058" max="2058" width="0" style="44" hidden="1" customWidth="1"/>
    <col min="2059" max="2059" width="10" style="44" customWidth="1"/>
    <col min="2060" max="2065" width="0" style="44" hidden="1" customWidth="1"/>
    <col min="2066" max="2286" width="9.140625" style="44"/>
    <col min="2287" max="2287" width="4.140625" style="44" customWidth="1"/>
    <col min="2288" max="2288" width="15.5703125" style="44" customWidth="1"/>
    <col min="2289" max="2289" width="7.28515625" style="44" customWidth="1"/>
    <col min="2290" max="2290" width="4.85546875" style="44" customWidth="1"/>
    <col min="2291" max="2291" width="4.42578125" style="44" customWidth="1"/>
    <col min="2292" max="2297" width="0" style="44" hidden="1" customWidth="1"/>
    <col min="2298" max="2298" width="9" style="44" customWidth="1"/>
    <col min="2299" max="2299" width="4.85546875" style="44" customWidth="1"/>
    <col min="2300" max="2301" width="0" style="44" hidden="1" customWidth="1"/>
    <col min="2302" max="2303" width="4.85546875" style="44" customWidth="1"/>
    <col min="2304" max="2304" width="6.140625" style="44" customWidth="1"/>
    <col min="2305" max="2305" width="6.42578125" style="44" customWidth="1"/>
    <col min="2306" max="2306" width="4.85546875" style="44" customWidth="1"/>
    <col min="2307" max="2307" width="7.5703125" style="44" customWidth="1"/>
    <col min="2308" max="2308" width="0" style="44" hidden="1" customWidth="1"/>
    <col min="2309" max="2309" width="7.140625" style="44" customWidth="1"/>
    <col min="2310" max="2310" width="0" style="44" hidden="1" customWidth="1"/>
    <col min="2311" max="2311" width="6.85546875" style="44" customWidth="1"/>
    <col min="2312" max="2312" width="9.28515625" style="44" customWidth="1"/>
    <col min="2313" max="2313" width="5.85546875" style="44" customWidth="1"/>
    <col min="2314" max="2314" width="0" style="44" hidden="1" customWidth="1"/>
    <col min="2315" max="2315" width="10" style="44" customWidth="1"/>
    <col min="2316" max="2321" width="0" style="44" hidden="1" customWidth="1"/>
    <col min="2322" max="2542" width="9.140625" style="44"/>
    <col min="2543" max="2543" width="4.140625" style="44" customWidth="1"/>
    <col min="2544" max="2544" width="15.5703125" style="44" customWidth="1"/>
    <col min="2545" max="2545" width="7.28515625" style="44" customWidth="1"/>
    <col min="2546" max="2546" width="4.85546875" style="44" customWidth="1"/>
    <col min="2547" max="2547" width="4.42578125" style="44" customWidth="1"/>
    <col min="2548" max="2553" width="0" style="44" hidden="1" customWidth="1"/>
    <col min="2554" max="2554" width="9" style="44" customWidth="1"/>
    <col min="2555" max="2555" width="4.85546875" style="44" customWidth="1"/>
    <col min="2556" max="2557" width="0" style="44" hidden="1" customWidth="1"/>
    <col min="2558" max="2559" width="4.85546875" style="44" customWidth="1"/>
    <col min="2560" max="2560" width="6.140625" style="44" customWidth="1"/>
    <col min="2561" max="2561" width="6.42578125" style="44" customWidth="1"/>
    <col min="2562" max="2562" width="4.85546875" style="44" customWidth="1"/>
    <col min="2563" max="2563" width="7.5703125" style="44" customWidth="1"/>
    <col min="2564" max="2564" width="0" style="44" hidden="1" customWidth="1"/>
    <col min="2565" max="2565" width="7.140625" style="44" customWidth="1"/>
    <col min="2566" max="2566" width="0" style="44" hidden="1" customWidth="1"/>
    <col min="2567" max="2567" width="6.85546875" style="44" customWidth="1"/>
    <col min="2568" max="2568" width="9.28515625" style="44" customWidth="1"/>
    <col min="2569" max="2569" width="5.85546875" style="44" customWidth="1"/>
    <col min="2570" max="2570" width="0" style="44" hidden="1" customWidth="1"/>
    <col min="2571" max="2571" width="10" style="44" customWidth="1"/>
    <col min="2572" max="2577" width="0" style="44" hidden="1" customWidth="1"/>
    <col min="2578" max="2798" width="9.140625" style="44"/>
    <col min="2799" max="2799" width="4.140625" style="44" customWidth="1"/>
    <col min="2800" max="2800" width="15.5703125" style="44" customWidth="1"/>
    <col min="2801" max="2801" width="7.28515625" style="44" customWidth="1"/>
    <col min="2802" max="2802" width="4.85546875" style="44" customWidth="1"/>
    <col min="2803" max="2803" width="4.42578125" style="44" customWidth="1"/>
    <col min="2804" max="2809" width="0" style="44" hidden="1" customWidth="1"/>
    <col min="2810" max="2810" width="9" style="44" customWidth="1"/>
    <col min="2811" max="2811" width="4.85546875" style="44" customWidth="1"/>
    <col min="2812" max="2813" width="0" style="44" hidden="1" customWidth="1"/>
    <col min="2814" max="2815" width="4.85546875" style="44" customWidth="1"/>
    <col min="2816" max="2816" width="6.140625" style="44" customWidth="1"/>
    <col min="2817" max="2817" width="6.42578125" style="44" customWidth="1"/>
    <col min="2818" max="2818" width="4.85546875" style="44" customWidth="1"/>
    <col min="2819" max="2819" width="7.5703125" style="44" customWidth="1"/>
    <col min="2820" max="2820" width="0" style="44" hidden="1" customWidth="1"/>
    <col min="2821" max="2821" width="7.140625" style="44" customWidth="1"/>
    <col min="2822" max="2822" width="0" style="44" hidden="1" customWidth="1"/>
    <col min="2823" max="2823" width="6.85546875" style="44" customWidth="1"/>
    <col min="2824" max="2824" width="9.28515625" style="44" customWidth="1"/>
    <col min="2825" max="2825" width="5.85546875" style="44" customWidth="1"/>
    <col min="2826" max="2826" width="0" style="44" hidden="1" customWidth="1"/>
    <col min="2827" max="2827" width="10" style="44" customWidth="1"/>
    <col min="2828" max="2833" width="0" style="44" hidden="1" customWidth="1"/>
    <col min="2834" max="3054" width="9.140625" style="44"/>
    <col min="3055" max="3055" width="4.140625" style="44" customWidth="1"/>
    <col min="3056" max="3056" width="15.5703125" style="44" customWidth="1"/>
    <col min="3057" max="3057" width="7.28515625" style="44" customWidth="1"/>
    <col min="3058" max="3058" width="4.85546875" style="44" customWidth="1"/>
    <col min="3059" max="3059" width="4.42578125" style="44" customWidth="1"/>
    <col min="3060" max="3065" width="0" style="44" hidden="1" customWidth="1"/>
    <col min="3066" max="3066" width="9" style="44" customWidth="1"/>
    <col min="3067" max="3067" width="4.85546875" style="44" customWidth="1"/>
    <col min="3068" max="3069" width="0" style="44" hidden="1" customWidth="1"/>
    <col min="3070" max="3071" width="4.85546875" style="44" customWidth="1"/>
    <col min="3072" max="3072" width="6.140625" style="44" customWidth="1"/>
    <col min="3073" max="3073" width="6.42578125" style="44" customWidth="1"/>
    <col min="3074" max="3074" width="4.85546875" style="44" customWidth="1"/>
    <col min="3075" max="3075" width="7.5703125" style="44" customWidth="1"/>
    <col min="3076" max="3076" width="0" style="44" hidden="1" customWidth="1"/>
    <col min="3077" max="3077" width="7.140625" style="44" customWidth="1"/>
    <col min="3078" max="3078" width="0" style="44" hidden="1" customWidth="1"/>
    <col min="3079" max="3079" width="6.85546875" style="44" customWidth="1"/>
    <col min="3080" max="3080" width="9.28515625" style="44" customWidth="1"/>
    <col min="3081" max="3081" width="5.85546875" style="44" customWidth="1"/>
    <col min="3082" max="3082" width="0" style="44" hidden="1" customWidth="1"/>
    <col min="3083" max="3083" width="10" style="44" customWidth="1"/>
    <col min="3084" max="3089" width="0" style="44" hidden="1" customWidth="1"/>
    <col min="3090" max="3310" width="9.140625" style="44"/>
    <col min="3311" max="3311" width="4.140625" style="44" customWidth="1"/>
    <col min="3312" max="3312" width="15.5703125" style="44" customWidth="1"/>
    <col min="3313" max="3313" width="7.28515625" style="44" customWidth="1"/>
    <col min="3314" max="3314" width="4.85546875" style="44" customWidth="1"/>
    <col min="3315" max="3315" width="4.42578125" style="44" customWidth="1"/>
    <col min="3316" max="3321" width="0" style="44" hidden="1" customWidth="1"/>
    <col min="3322" max="3322" width="9" style="44" customWidth="1"/>
    <col min="3323" max="3323" width="4.85546875" style="44" customWidth="1"/>
    <col min="3324" max="3325" width="0" style="44" hidden="1" customWidth="1"/>
    <col min="3326" max="3327" width="4.85546875" style="44" customWidth="1"/>
    <col min="3328" max="3328" width="6.140625" style="44" customWidth="1"/>
    <col min="3329" max="3329" width="6.42578125" style="44" customWidth="1"/>
    <col min="3330" max="3330" width="4.85546875" style="44" customWidth="1"/>
    <col min="3331" max="3331" width="7.5703125" style="44" customWidth="1"/>
    <col min="3332" max="3332" width="0" style="44" hidden="1" customWidth="1"/>
    <col min="3333" max="3333" width="7.140625" style="44" customWidth="1"/>
    <col min="3334" max="3334" width="0" style="44" hidden="1" customWidth="1"/>
    <col min="3335" max="3335" width="6.85546875" style="44" customWidth="1"/>
    <col min="3336" max="3336" width="9.28515625" style="44" customWidth="1"/>
    <col min="3337" max="3337" width="5.85546875" style="44" customWidth="1"/>
    <col min="3338" max="3338" width="0" style="44" hidden="1" customWidth="1"/>
    <col min="3339" max="3339" width="10" style="44" customWidth="1"/>
    <col min="3340" max="3345" width="0" style="44" hidden="1" customWidth="1"/>
    <col min="3346" max="3566" width="9.140625" style="44"/>
    <col min="3567" max="3567" width="4.140625" style="44" customWidth="1"/>
    <col min="3568" max="3568" width="15.5703125" style="44" customWidth="1"/>
    <col min="3569" max="3569" width="7.28515625" style="44" customWidth="1"/>
    <col min="3570" max="3570" width="4.85546875" style="44" customWidth="1"/>
    <col min="3571" max="3571" width="4.42578125" style="44" customWidth="1"/>
    <col min="3572" max="3577" width="0" style="44" hidden="1" customWidth="1"/>
    <col min="3578" max="3578" width="9" style="44" customWidth="1"/>
    <col min="3579" max="3579" width="4.85546875" style="44" customWidth="1"/>
    <col min="3580" max="3581" width="0" style="44" hidden="1" customWidth="1"/>
    <col min="3582" max="3583" width="4.85546875" style="44" customWidth="1"/>
    <col min="3584" max="3584" width="6.140625" style="44" customWidth="1"/>
    <col min="3585" max="3585" width="6.42578125" style="44" customWidth="1"/>
    <col min="3586" max="3586" width="4.85546875" style="44" customWidth="1"/>
    <col min="3587" max="3587" width="7.5703125" style="44" customWidth="1"/>
    <col min="3588" max="3588" width="0" style="44" hidden="1" customWidth="1"/>
    <col min="3589" max="3589" width="7.140625" style="44" customWidth="1"/>
    <col min="3590" max="3590" width="0" style="44" hidden="1" customWidth="1"/>
    <col min="3591" max="3591" width="6.85546875" style="44" customWidth="1"/>
    <col min="3592" max="3592" width="9.28515625" style="44" customWidth="1"/>
    <col min="3593" max="3593" width="5.85546875" style="44" customWidth="1"/>
    <col min="3594" max="3594" width="0" style="44" hidden="1" customWidth="1"/>
    <col min="3595" max="3595" width="10" style="44" customWidth="1"/>
    <col min="3596" max="3601" width="0" style="44" hidden="1" customWidth="1"/>
    <col min="3602" max="3822" width="9.140625" style="44"/>
    <col min="3823" max="3823" width="4.140625" style="44" customWidth="1"/>
    <col min="3824" max="3824" width="15.5703125" style="44" customWidth="1"/>
    <col min="3825" max="3825" width="7.28515625" style="44" customWidth="1"/>
    <col min="3826" max="3826" width="4.85546875" style="44" customWidth="1"/>
    <col min="3827" max="3827" width="4.42578125" style="44" customWidth="1"/>
    <col min="3828" max="3833" width="0" style="44" hidden="1" customWidth="1"/>
    <col min="3834" max="3834" width="9" style="44" customWidth="1"/>
    <col min="3835" max="3835" width="4.85546875" style="44" customWidth="1"/>
    <col min="3836" max="3837" width="0" style="44" hidden="1" customWidth="1"/>
    <col min="3838" max="3839" width="4.85546875" style="44" customWidth="1"/>
    <col min="3840" max="3840" width="6.140625" style="44" customWidth="1"/>
    <col min="3841" max="3841" width="6.42578125" style="44" customWidth="1"/>
    <col min="3842" max="3842" width="4.85546875" style="44" customWidth="1"/>
    <col min="3843" max="3843" width="7.5703125" style="44" customWidth="1"/>
    <col min="3844" max="3844" width="0" style="44" hidden="1" customWidth="1"/>
    <col min="3845" max="3845" width="7.140625" style="44" customWidth="1"/>
    <col min="3846" max="3846" width="0" style="44" hidden="1" customWidth="1"/>
    <col min="3847" max="3847" width="6.85546875" style="44" customWidth="1"/>
    <col min="3848" max="3848" width="9.28515625" style="44" customWidth="1"/>
    <col min="3849" max="3849" width="5.85546875" style="44" customWidth="1"/>
    <col min="3850" max="3850" width="0" style="44" hidden="1" customWidth="1"/>
    <col min="3851" max="3851" width="10" style="44" customWidth="1"/>
    <col min="3852" max="3857" width="0" style="44" hidden="1" customWidth="1"/>
    <col min="3858" max="4078" width="9.140625" style="44"/>
    <col min="4079" max="4079" width="4.140625" style="44" customWidth="1"/>
    <col min="4080" max="4080" width="15.5703125" style="44" customWidth="1"/>
    <col min="4081" max="4081" width="7.28515625" style="44" customWidth="1"/>
    <col min="4082" max="4082" width="4.85546875" style="44" customWidth="1"/>
    <col min="4083" max="4083" width="4.42578125" style="44" customWidth="1"/>
    <col min="4084" max="4089" width="0" style="44" hidden="1" customWidth="1"/>
    <col min="4090" max="4090" width="9" style="44" customWidth="1"/>
    <col min="4091" max="4091" width="4.85546875" style="44" customWidth="1"/>
    <col min="4092" max="4093" width="0" style="44" hidden="1" customWidth="1"/>
    <col min="4094" max="4095" width="4.85546875" style="44" customWidth="1"/>
    <col min="4096" max="4096" width="6.140625" style="44" customWidth="1"/>
    <col min="4097" max="4097" width="6.42578125" style="44" customWidth="1"/>
    <col min="4098" max="4098" width="4.85546875" style="44" customWidth="1"/>
    <col min="4099" max="4099" width="7.5703125" style="44" customWidth="1"/>
    <col min="4100" max="4100" width="0" style="44" hidden="1" customWidth="1"/>
    <col min="4101" max="4101" width="7.140625" style="44" customWidth="1"/>
    <col min="4102" max="4102" width="0" style="44" hidden="1" customWidth="1"/>
    <col min="4103" max="4103" width="6.85546875" style="44" customWidth="1"/>
    <col min="4104" max="4104" width="9.28515625" style="44" customWidth="1"/>
    <col min="4105" max="4105" width="5.85546875" style="44" customWidth="1"/>
    <col min="4106" max="4106" width="0" style="44" hidden="1" customWidth="1"/>
    <col min="4107" max="4107" width="10" style="44" customWidth="1"/>
    <col min="4108" max="4113" width="0" style="44" hidden="1" customWidth="1"/>
    <col min="4114" max="4334" width="9.140625" style="44"/>
    <col min="4335" max="4335" width="4.140625" style="44" customWidth="1"/>
    <col min="4336" max="4336" width="15.5703125" style="44" customWidth="1"/>
    <col min="4337" max="4337" width="7.28515625" style="44" customWidth="1"/>
    <col min="4338" max="4338" width="4.85546875" style="44" customWidth="1"/>
    <col min="4339" max="4339" width="4.42578125" style="44" customWidth="1"/>
    <col min="4340" max="4345" width="0" style="44" hidden="1" customWidth="1"/>
    <col min="4346" max="4346" width="9" style="44" customWidth="1"/>
    <col min="4347" max="4347" width="4.85546875" style="44" customWidth="1"/>
    <col min="4348" max="4349" width="0" style="44" hidden="1" customWidth="1"/>
    <col min="4350" max="4351" width="4.85546875" style="44" customWidth="1"/>
    <col min="4352" max="4352" width="6.140625" style="44" customWidth="1"/>
    <col min="4353" max="4353" width="6.42578125" style="44" customWidth="1"/>
    <col min="4354" max="4354" width="4.85546875" style="44" customWidth="1"/>
    <col min="4355" max="4355" width="7.5703125" style="44" customWidth="1"/>
    <col min="4356" max="4356" width="0" style="44" hidden="1" customWidth="1"/>
    <col min="4357" max="4357" width="7.140625" style="44" customWidth="1"/>
    <col min="4358" max="4358" width="0" style="44" hidden="1" customWidth="1"/>
    <col min="4359" max="4359" width="6.85546875" style="44" customWidth="1"/>
    <col min="4360" max="4360" width="9.28515625" style="44" customWidth="1"/>
    <col min="4361" max="4361" width="5.85546875" style="44" customWidth="1"/>
    <col min="4362" max="4362" width="0" style="44" hidden="1" customWidth="1"/>
    <col min="4363" max="4363" width="10" style="44" customWidth="1"/>
    <col min="4364" max="4369" width="0" style="44" hidden="1" customWidth="1"/>
    <col min="4370" max="4590" width="9.140625" style="44"/>
    <col min="4591" max="4591" width="4.140625" style="44" customWidth="1"/>
    <col min="4592" max="4592" width="15.5703125" style="44" customWidth="1"/>
    <col min="4593" max="4593" width="7.28515625" style="44" customWidth="1"/>
    <col min="4594" max="4594" width="4.85546875" style="44" customWidth="1"/>
    <col min="4595" max="4595" width="4.42578125" style="44" customWidth="1"/>
    <col min="4596" max="4601" width="0" style="44" hidden="1" customWidth="1"/>
    <col min="4602" max="4602" width="9" style="44" customWidth="1"/>
    <col min="4603" max="4603" width="4.85546875" style="44" customWidth="1"/>
    <col min="4604" max="4605" width="0" style="44" hidden="1" customWidth="1"/>
    <col min="4606" max="4607" width="4.85546875" style="44" customWidth="1"/>
    <col min="4608" max="4608" width="6.140625" style="44" customWidth="1"/>
    <col min="4609" max="4609" width="6.42578125" style="44" customWidth="1"/>
    <col min="4610" max="4610" width="4.85546875" style="44" customWidth="1"/>
    <col min="4611" max="4611" width="7.5703125" style="44" customWidth="1"/>
    <col min="4612" max="4612" width="0" style="44" hidden="1" customWidth="1"/>
    <col min="4613" max="4613" width="7.140625" style="44" customWidth="1"/>
    <col min="4614" max="4614" width="0" style="44" hidden="1" customWidth="1"/>
    <col min="4615" max="4615" width="6.85546875" style="44" customWidth="1"/>
    <col min="4616" max="4616" width="9.28515625" style="44" customWidth="1"/>
    <col min="4617" max="4617" width="5.85546875" style="44" customWidth="1"/>
    <col min="4618" max="4618" width="0" style="44" hidden="1" customWidth="1"/>
    <col min="4619" max="4619" width="10" style="44" customWidth="1"/>
    <col min="4620" max="4625" width="0" style="44" hidden="1" customWidth="1"/>
    <col min="4626" max="4846" width="9.140625" style="44"/>
    <col min="4847" max="4847" width="4.140625" style="44" customWidth="1"/>
    <col min="4848" max="4848" width="15.5703125" style="44" customWidth="1"/>
    <col min="4849" max="4849" width="7.28515625" style="44" customWidth="1"/>
    <col min="4850" max="4850" width="4.85546875" style="44" customWidth="1"/>
    <col min="4851" max="4851" width="4.42578125" style="44" customWidth="1"/>
    <col min="4852" max="4857" width="0" style="44" hidden="1" customWidth="1"/>
    <col min="4858" max="4858" width="9" style="44" customWidth="1"/>
    <col min="4859" max="4859" width="4.85546875" style="44" customWidth="1"/>
    <col min="4860" max="4861" width="0" style="44" hidden="1" customWidth="1"/>
    <col min="4862" max="4863" width="4.85546875" style="44" customWidth="1"/>
    <col min="4864" max="4864" width="6.140625" style="44" customWidth="1"/>
    <col min="4865" max="4865" width="6.42578125" style="44" customWidth="1"/>
    <col min="4866" max="4866" width="4.85546875" style="44" customWidth="1"/>
    <col min="4867" max="4867" width="7.5703125" style="44" customWidth="1"/>
    <col min="4868" max="4868" width="0" style="44" hidden="1" customWidth="1"/>
    <col min="4869" max="4869" width="7.140625" style="44" customWidth="1"/>
    <col min="4870" max="4870" width="0" style="44" hidden="1" customWidth="1"/>
    <col min="4871" max="4871" width="6.85546875" style="44" customWidth="1"/>
    <col min="4872" max="4872" width="9.28515625" style="44" customWidth="1"/>
    <col min="4873" max="4873" width="5.85546875" style="44" customWidth="1"/>
    <col min="4874" max="4874" width="0" style="44" hidden="1" customWidth="1"/>
    <col min="4875" max="4875" width="10" style="44" customWidth="1"/>
    <col min="4876" max="4881" width="0" style="44" hidden="1" customWidth="1"/>
    <col min="4882" max="5102" width="9.140625" style="44"/>
    <col min="5103" max="5103" width="4.140625" style="44" customWidth="1"/>
    <col min="5104" max="5104" width="15.5703125" style="44" customWidth="1"/>
    <col min="5105" max="5105" width="7.28515625" style="44" customWidth="1"/>
    <col min="5106" max="5106" width="4.85546875" style="44" customWidth="1"/>
    <col min="5107" max="5107" width="4.42578125" style="44" customWidth="1"/>
    <col min="5108" max="5113" width="0" style="44" hidden="1" customWidth="1"/>
    <col min="5114" max="5114" width="9" style="44" customWidth="1"/>
    <col min="5115" max="5115" width="4.85546875" style="44" customWidth="1"/>
    <col min="5116" max="5117" width="0" style="44" hidden="1" customWidth="1"/>
    <col min="5118" max="5119" width="4.85546875" style="44" customWidth="1"/>
    <col min="5120" max="5120" width="6.140625" style="44" customWidth="1"/>
    <col min="5121" max="5121" width="6.42578125" style="44" customWidth="1"/>
    <col min="5122" max="5122" width="4.85546875" style="44" customWidth="1"/>
    <col min="5123" max="5123" width="7.5703125" style="44" customWidth="1"/>
    <col min="5124" max="5124" width="0" style="44" hidden="1" customWidth="1"/>
    <col min="5125" max="5125" width="7.140625" style="44" customWidth="1"/>
    <col min="5126" max="5126" width="0" style="44" hidden="1" customWidth="1"/>
    <col min="5127" max="5127" width="6.85546875" style="44" customWidth="1"/>
    <col min="5128" max="5128" width="9.28515625" style="44" customWidth="1"/>
    <col min="5129" max="5129" width="5.85546875" style="44" customWidth="1"/>
    <col min="5130" max="5130" width="0" style="44" hidden="1" customWidth="1"/>
    <col min="5131" max="5131" width="10" style="44" customWidth="1"/>
    <col min="5132" max="5137" width="0" style="44" hidden="1" customWidth="1"/>
    <col min="5138" max="5358" width="9.140625" style="44"/>
    <col min="5359" max="5359" width="4.140625" style="44" customWidth="1"/>
    <col min="5360" max="5360" width="15.5703125" style="44" customWidth="1"/>
    <col min="5361" max="5361" width="7.28515625" style="44" customWidth="1"/>
    <col min="5362" max="5362" width="4.85546875" style="44" customWidth="1"/>
    <col min="5363" max="5363" width="4.42578125" style="44" customWidth="1"/>
    <col min="5364" max="5369" width="0" style="44" hidden="1" customWidth="1"/>
    <col min="5370" max="5370" width="9" style="44" customWidth="1"/>
    <col min="5371" max="5371" width="4.85546875" style="44" customWidth="1"/>
    <col min="5372" max="5373" width="0" style="44" hidden="1" customWidth="1"/>
    <col min="5374" max="5375" width="4.85546875" style="44" customWidth="1"/>
    <col min="5376" max="5376" width="6.140625" style="44" customWidth="1"/>
    <col min="5377" max="5377" width="6.42578125" style="44" customWidth="1"/>
    <col min="5378" max="5378" width="4.85546875" style="44" customWidth="1"/>
    <col min="5379" max="5379" width="7.5703125" style="44" customWidth="1"/>
    <col min="5380" max="5380" width="0" style="44" hidden="1" customWidth="1"/>
    <col min="5381" max="5381" width="7.140625" style="44" customWidth="1"/>
    <col min="5382" max="5382" width="0" style="44" hidden="1" customWidth="1"/>
    <col min="5383" max="5383" width="6.85546875" style="44" customWidth="1"/>
    <col min="5384" max="5384" width="9.28515625" style="44" customWidth="1"/>
    <col min="5385" max="5385" width="5.85546875" style="44" customWidth="1"/>
    <col min="5386" max="5386" width="0" style="44" hidden="1" customWidth="1"/>
    <col min="5387" max="5387" width="10" style="44" customWidth="1"/>
    <col min="5388" max="5393" width="0" style="44" hidden="1" customWidth="1"/>
    <col min="5394" max="5614" width="9.140625" style="44"/>
    <col min="5615" max="5615" width="4.140625" style="44" customWidth="1"/>
    <col min="5616" max="5616" width="15.5703125" style="44" customWidth="1"/>
    <col min="5617" max="5617" width="7.28515625" style="44" customWidth="1"/>
    <col min="5618" max="5618" width="4.85546875" style="44" customWidth="1"/>
    <col min="5619" max="5619" width="4.42578125" style="44" customWidth="1"/>
    <col min="5620" max="5625" width="0" style="44" hidden="1" customWidth="1"/>
    <col min="5626" max="5626" width="9" style="44" customWidth="1"/>
    <col min="5627" max="5627" width="4.85546875" style="44" customWidth="1"/>
    <col min="5628" max="5629" width="0" style="44" hidden="1" customWidth="1"/>
    <col min="5630" max="5631" width="4.85546875" style="44" customWidth="1"/>
    <col min="5632" max="5632" width="6.140625" style="44" customWidth="1"/>
    <col min="5633" max="5633" width="6.42578125" style="44" customWidth="1"/>
    <col min="5634" max="5634" width="4.85546875" style="44" customWidth="1"/>
    <col min="5635" max="5635" width="7.5703125" style="44" customWidth="1"/>
    <col min="5636" max="5636" width="0" style="44" hidden="1" customWidth="1"/>
    <col min="5637" max="5637" width="7.140625" style="44" customWidth="1"/>
    <col min="5638" max="5638" width="0" style="44" hidden="1" customWidth="1"/>
    <col min="5639" max="5639" width="6.85546875" style="44" customWidth="1"/>
    <col min="5640" max="5640" width="9.28515625" style="44" customWidth="1"/>
    <col min="5641" max="5641" width="5.85546875" style="44" customWidth="1"/>
    <col min="5642" max="5642" width="0" style="44" hidden="1" customWidth="1"/>
    <col min="5643" max="5643" width="10" style="44" customWidth="1"/>
    <col min="5644" max="5649" width="0" style="44" hidden="1" customWidth="1"/>
    <col min="5650" max="5870" width="9.140625" style="44"/>
    <col min="5871" max="5871" width="4.140625" style="44" customWidth="1"/>
    <col min="5872" max="5872" width="15.5703125" style="44" customWidth="1"/>
    <col min="5873" max="5873" width="7.28515625" style="44" customWidth="1"/>
    <col min="5874" max="5874" width="4.85546875" style="44" customWidth="1"/>
    <col min="5875" max="5875" width="4.42578125" style="44" customWidth="1"/>
    <col min="5876" max="5881" width="0" style="44" hidden="1" customWidth="1"/>
    <col min="5882" max="5882" width="9" style="44" customWidth="1"/>
    <col min="5883" max="5883" width="4.85546875" style="44" customWidth="1"/>
    <col min="5884" max="5885" width="0" style="44" hidden="1" customWidth="1"/>
    <col min="5886" max="5887" width="4.85546875" style="44" customWidth="1"/>
    <col min="5888" max="5888" width="6.140625" style="44" customWidth="1"/>
    <col min="5889" max="5889" width="6.42578125" style="44" customWidth="1"/>
    <col min="5890" max="5890" width="4.85546875" style="44" customWidth="1"/>
    <col min="5891" max="5891" width="7.5703125" style="44" customWidth="1"/>
    <col min="5892" max="5892" width="0" style="44" hidden="1" customWidth="1"/>
    <col min="5893" max="5893" width="7.140625" style="44" customWidth="1"/>
    <col min="5894" max="5894" width="0" style="44" hidden="1" customWidth="1"/>
    <col min="5895" max="5895" width="6.85546875" style="44" customWidth="1"/>
    <col min="5896" max="5896" width="9.28515625" style="44" customWidth="1"/>
    <col min="5897" max="5897" width="5.85546875" style="44" customWidth="1"/>
    <col min="5898" max="5898" width="0" style="44" hidden="1" customWidth="1"/>
    <col min="5899" max="5899" width="10" style="44" customWidth="1"/>
    <col min="5900" max="5905" width="0" style="44" hidden="1" customWidth="1"/>
    <col min="5906" max="6126" width="9.140625" style="44"/>
    <col min="6127" max="6127" width="4.140625" style="44" customWidth="1"/>
    <col min="6128" max="6128" width="15.5703125" style="44" customWidth="1"/>
    <col min="6129" max="6129" width="7.28515625" style="44" customWidth="1"/>
    <col min="6130" max="6130" width="4.85546875" style="44" customWidth="1"/>
    <col min="6131" max="6131" width="4.42578125" style="44" customWidth="1"/>
    <col min="6132" max="6137" width="0" style="44" hidden="1" customWidth="1"/>
    <col min="6138" max="6138" width="9" style="44" customWidth="1"/>
    <col min="6139" max="6139" width="4.85546875" style="44" customWidth="1"/>
    <col min="6140" max="6141" width="0" style="44" hidden="1" customWidth="1"/>
    <col min="6142" max="6143" width="4.85546875" style="44" customWidth="1"/>
    <col min="6144" max="6144" width="6.140625" style="44" customWidth="1"/>
    <col min="6145" max="6145" width="6.42578125" style="44" customWidth="1"/>
    <col min="6146" max="6146" width="4.85546875" style="44" customWidth="1"/>
    <col min="6147" max="6147" width="7.5703125" style="44" customWidth="1"/>
    <col min="6148" max="6148" width="0" style="44" hidden="1" customWidth="1"/>
    <col min="6149" max="6149" width="7.140625" style="44" customWidth="1"/>
    <col min="6150" max="6150" width="0" style="44" hidden="1" customWidth="1"/>
    <col min="6151" max="6151" width="6.85546875" style="44" customWidth="1"/>
    <col min="6152" max="6152" width="9.28515625" style="44" customWidth="1"/>
    <col min="6153" max="6153" width="5.85546875" style="44" customWidth="1"/>
    <col min="6154" max="6154" width="0" style="44" hidden="1" customWidth="1"/>
    <col min="6155" max="6155" width="10" style="44" customWidth="1"/>
    <col min="6156" max="6161" width="0" style="44" hidden="1" customWidth="1"/>
    <col min="6162" max="6382" width="9.140625" style="44"/>
    <col min="6383" max="6383" width="4.140625" style="44" customWidth="1"/>
    <col min="6384" max="6384" width="15.5703125" style="44" customWidth="1"/>
    <col min="6385" max="6385" width="7.28515625" style="44" customWidth="1"/>
    <col min="6386" max="6386" width="4.85546875" style="44" customWidth="1"/>
    <col min="6387" max="6387" width="4.42578125" style="44" customWidth="1"/>
    <col min="6388" max="6393" width="0" style="44" hidden="1" customWidth="1"/>
    <col min="6394" max="6394" width="9" style="44" customWidth="1"/>
    <col min="6395" max="6395" width="4.85546875" style="44" customWidth="1"/>
    <col min="6396" max="6397" width="0" style="44" hidden="1" customWidth="1"/>
    <col min="6398" max="6399" width="4.85546875" style="44" customWidth="1"/>
    <col min="6400" max="6400" width="6.140625" style="44" customWidth="1"/>
    <col min="6401" max="6401" width="6.42578125" style="44" customWidth="1"/>
    <col min="6402" max="6402" width="4.85546875" style="44" customWidth="1"/>
    <col min="6403" max="6403" width="7.5703125" style="44" customWidth="1"/>
    <col min="6404" max="6404" width="0" style="44" hidden="1" customWidth="1"/>
    <col min="6405" max="6405" width="7.140625" style="44" customWidth="1"/>
    <col min="6406" max="6406" width="0" style="44" hidden="1" customWidth="1"/>
    <col min="6407" max="6407" width="6.85546875" style="44" customWidth="1"/>
    <col min="6408" max="6408" width="9.28515625" style="44" customWidth="1"/>
    <col min="6409" max="6409" width="5.85546875" style="44" customWidth="1"/>
    <col min="6410" max="6410" width="0" style="44" hidden="1" customWidth="1"/>
    <col min="6411" max="6411" width="10" style="44" customWidth="1"/>
    <col min="6412" max="6417" width="0" style="44" hidden="1" customWidth="1"/>
    <col min="6418" max="6638" width="9.140625" style="44"/>
    <col min="6639" max="6639" width="4.140625" style="44" customWidth="1"/>
    <col min="6640" max="6640" width="15.5703125" style="44" customWidth="1"/>
    <col min="6641" max="6641" width="7.28515625" style="44" customWidth="1"/>
    <col min="6642" max="6642" width="4.85546875" style="44" customWidth="1"/>
    <col min="6643" max="6643" width="4.42578125" style="44" customWidth="1"/>
    <col min="6644" max="6649" width="0" style="44" hidden="1" customWidth="1"/>
    <col min="6650" max="6650" width="9" style="44" customWidth="1"/>
    <col min="6651" max="6651" width="4.85546875" style="44" customWidth="1"/>
    <col min="6652" max="6653" width="0" style="44" hidden="1" customWidth="1"/>
    <col min="6654" max="6655" width="4.85546875" style="44" customWidth="1"/>
    <col min="6656" max="6656" width="6.140625" style="44" customWidth="1"/>
    <col min="6657" max="6657" width="6.42578125" style="44" customWidth="1"/>
    <col min="6658" max="6658" width="4.85546875" style="44" customWidth="1"/>
    <col min="6659" max="6659" width="7.5703125" style="44" customWidth="1"/>
    <col min="6660" max="6660" width="0" style="44" hidden="1" customWidth="1"/>
    <col min="6661" max="6661" width="7.140625" style="44" customWidth="1"/>
    <col min="6662" max="6662" width="0" style="44" hidden="1" customWidth="1"/>
    <col min="6663" max="6663" width="6.85546875" style="44" customWidth="1"/>
    <col min="6664" max="6664" width="9.28515625" style="44" customWidth="1"/>
    <col min="6665" max="6665" width="5.85546875" style="44" customWidth="1"/>
    <col min="6666" max="6666" width="0" style="44" hidden="1" customWidth="1"/>
    <col min="6667" max="6667" width="10" style="44" customWidth="1"/>
    <col min="6668" max="6673" width="0" style="44" hidden="1" customWidth="1"/>
    <col min="6674" max="6894" width="9.140625" style="44"/>
    <col min="6895" max="6895" width="4.140625" style="44" customWidth="1"/>
    <col min="6896" max="6896" width="15.5703125" style="44" customWidth="1"/>
    <col min="6897" max="6897" width="7.28515625" style="44" customWidth="1"/>
    <col min="6898" max="6898" width="4.85546875" style="44" customWidth="1"/>
    <col min="6899" max="6899" width="4.42578125" style="44" customWidth="1"/>
    <col min="6900" max="6905" width="0" style="44" hidden="1" customWidth="1"/>
    <col min="6906" max="6906" width="9" style="44" customWidth="1"/>
    <col min="6907" max="6907" width="4.85546875" style="44" customWidth="1"/>
    <col min="6908" max="6909" width="0" style="44" hidden="1" customWidth="1"/>
    <col min="6910" max="6911" width="4.85546875" style="44" customWidth="1"/>
    <col min="6912" max="6912" width="6.140625" style="44" customWidth="1"/>
    <col min="6913" max="6913" width="6.42578125" style="44" customWidth="1"/>
    <col min="6914" max="6914" width="4.85546875" style="44" customWidth="1"/>
    <col min="6915" max="6915" width="7.5703125" style="44" customWidth="1"/>
    <col min="6916" max="6916" width="0" style="44" hidden="1" customWidth="1"/>
    <col min="6917" max="6917" width="7.140625" style="44" customWidth="1"/>
    <col min="6918" max="6918" width="0" style="44" hidden="1" customWidth="1"/>
    <col min="6919" max="6919" width="6.85546875" style="44" customWidth="1"/>
    <col min="6920" max="6920" width="9.28515625" style="44" customWidth="1"/>
    <col min="6921" max="6921" width="5.85546875" style="44" customWidth="1"/>
    <col min="6922" max="6922" width="0" style="44" hidden="1" customWidth="1"/>
    <col min="6923" max="6923" width="10" style="44" customWidth="1"/>
    <col min="6924" max="6929" width="0" style="44" hidden="1" customWidth="1"/>
    <col min="6930" max="7150" width="9.140625" style="44"/>
    <col min="7151" max="7151" width="4.140625" style="44" customWidth="1"/>
    <col min="7152" max="7152" width="15.5703125" style="44" customWidth="1"/>
    <col min="7153" max="7153" width="7.28515625" style="44" customWidth="1"/>
    <col min="7154" max="7154" width="4.85546875" style="44" customWidth="1"/>
    <col min="7155" max="7155" width="4.42578125" style="44" customWidth="1"/>
    <col min="7156" max="7161" width="0" style="44" hidden="1" customWidth="1"/>
    <col min="7162" max="7162" width="9" style="44" customWidth="1"/>
    <col min="7163" max="7163" width="4.85546875" style="44" customWidth="1"/>
    <col min="7164" max="7165" width="0" style="44" hidden="1" customWidth="1"/>
    <col min="7166" max="7167" width="4.85546875" style="44" customWidth="1"/>
    <col min="7168" max="7168" width="6.140625" style="44" customWidth="1"/>
    <col min="7169" max="7169" width="6.42578125" style="44" customWidth="1"/>
    <col min="7170" max="7170" width="4.85546875" style="44" customWidth="1"/>
    <col min="7171" max="7171" width="7.5703125" style="44" customWidth="1"/>
    <col min="7172" max="7172" width="0" style="44" hidden="1" customWidth="1"/>
    <col min="7173" max="7173" width="7.140625" style="44" customWidth="1"/>
    <col min="7174" max="7174" width="0" style="44" hidden="1" customWidth="1"/>
    <col min="7175" max="7175" width="6.85546875" style="44" customWidth="1"/>
    <col min="7176" max="7176" width="9.28515625" style="44" customWidth="1"/>
    <col min="7177" max="7177" width="5.85546875" style="44" customWidth="1"/>
    <col min="7178" max="7178" width="0" style="44" hidden="1" customWidth="1"/>
    <col min="7179" max="7179" width="10" style="44" customWidth="1"/>
    <col min="7180" max="7185" width="0" style="44" hidden="1" customWidth="1"/>
    <col min="7186" max="7406" width="9.140625" style="44"/>
    <col min="7407" max="7407" width="4.140625" style="44" customWidth="1"/>
    <col min="7408" max="7408" width="15.5703125" style="44" customWidth="1"/>
    <col min="7409" max="7409" width="7.28515625" style="44" customWidth="1"/>
    <col min="7410" max="7410" width="4.85546875" style="44" customWidth="1"/>
    <col min="7411" max="7411" width="4.42578125" style="44" customWidth="1"/>
    <col min="7412" max="7417" width="0" style="44" hidden="1" customWidth="1"/>
    <col min="7418" max="7418" width="9" style="44" customWidth="1"/>
    <col min="7419" max="7419" width="4.85546875" style="44" customWidth="1"/>
    <col min="7420" max="7421" width="0" style="44" hidden="1" customWidth="1"/>
    <col min="7422" max="7423" width="4.85546875" style="44" customWidth="1"/>
    <col min="7424" max="7424" width="6.140625" style="44" customWidth="1"/>
    <col min="7425" max="7425" width="6.42578125" style="44" customWidth="1"/>
    <col min="7426" max="7426" width="4.85546875" style="44" customWidth="1"/>
    <col min="7427" max="7427" width="7.5703125" style="44" customWidth="1"/>
    <col min="7428" max="7428" width="0" style="44" hidden="1" customWidth="1"/>
    <col min="7429" max="7429" width="7.140625" style="44" customWidth="1"/>
    <col min="7430" max="7430" width="0" style="44" hidden="1" customWidth="1"/>
    <col min="7431" max="7431" width="6.85546875" style="44" customWidth="1"/>
    <col min="7432" max="7432" width="9.28515625" style="44" customWidth="1"/>
    <col min="7433" max="7433" width="5.85546875" style="44" customWidth="1"/>
    <col min="7434" max="7434" width="0" style="44" hidden="1" customWidth="1"/>
    <col min="7435" max="7435" width="10" style="44" customWidth="1"/>
    <col min="7436" max="7441" width="0" style="44" hidden="1" customWidth="1"/>
    <col min="7442" max="7662" width="9.140625" style="44"/>
    <col min="7663" max="7663" width="4.140625" style="44" customWidth="1"/>
    <col min="7664" max="7664" width="15.5703125" style="44" customWidth="1"/>
    <col min="7665" max="7665" width="7.28515625" style="44" customWidth="1"/>
    <col min="7666" max="7666" width="4.85546875" style="44" customWidth="1"/>
    <col min="7667" max="7667" width="4.42578125" style="44" customWidth="1"/>
    <col min="7668" max="7673" width="0" style="44" hidden="1" customWidth="1"/>
    <col min="7674" max="7674" width="9" style="44" customWidth="1"/>
    <col min="7675" max="7675" width="4.85546875" style="44" customWidth="1"/>
    <col min="7676" max="7677" width="0" style="44" hidden="1" customWidth="1"/>
    <col min="7678" max="7679" width="4.85546875" style="44" customWidth="1"/>
    <col min="7680" max="7680" width="6.140625" style="44" customWidth="1"/>
    <col min="7681" max="7681" width="6.42578125" style="44" customWidth="1"/>
    <col min="7682" max="7682" width="4.85546875" style="44" customWidth="1"/>
    <col min="7683" max="7683" width="7.5703125" style="44" customWidth="1"/>
    <col min="7684" max="7684" width="0" style="44" hidden="1" customWidth="1"/>
    <col min="7685" max="7685" width="7.140625" style="44" customWidth="1"/>
    <col min="7686" max="7686" width="0" style="44" hidden="1" customWidth="1"/>
    <col min="7687" max="7687" width="6.85546875" style="44" customWidth="1"/>
    <col min="7688" max="7688" width="9.28515625" style="44" customWidth="1"/>
    <col min="7689" max="7689" width="5.85546875" style="44" customWidth="1"/>
    <col min="7690" max="7690" width="0" style="44" hidden="1" customWidth="1"/>
    <col min="7691" max="7691" width="10" style="44" customWidth="1"/>
    <col min="7692" max="7697" width="0" style="44" hidden="1" customWidth="1"/>
    <col min="7698" max="7918" width="9.140625" style="44"/>
    <col min="7919" max="7919" width="4.140625" style="44" customWidth="1"/>
    <col min="7920" max="7920" width="15.5703125" style="44" customWidth="1"/>
    <col min="7921" max="7921" width="7.28515625" style="44" customWidth="1"/>
    <col min="7922" max="7922" width="4.85546875" style="44" customWidth="1"/>
    <col min="7923" max="7923" width="4.42578125" style="44" customWidth="1"/>
    <col min="7924" max="7929" width="0" style="44" hidden="1" customWidth="1"/>
    <col min="7930" max="7930" width="9" style="44" customWidth="1"/>
    <col min="7931" max="7931" width="4.85546875" style="44" customWidth="1"/>
    <col min="7932" max="7933" width="0" style="44" hidden="1" customWidth="1"/>
    <col min="7934" max="7935" width="4.85546875" style="44" customWidth="1"/>
    <col min="7936" max="7936" width="6.140625" style="44" customWidth="1"/>
    <col min="7937" max="7937" width="6.42578125" style="44" customWidth="1"/>
    <col min="7938" max="7938" width="4.85546875" style="44" customWidth="1"/>
    <col min="7939" max="7939" width="7.5703125" style="44" customWidth="1"/>
    <col min="7940" max="7940" width="0" style="44" hidden="1" customWidth="1"/>
    <col min="7941" max="7941" width="7.140625" style="44" customWidth="1"/>
    <col min="7942" max="7942" width="0" style="44" hidden="1" customWidth="1"/>
    <col min="7943" max="7943" width="6.85546875" style="44" customWidth="1"/>
    <col min="7944" max="7944" width="9.28515625" style="44" customWidth="1"/>
    <col min="7945" max="7945" width="5.85546875" style="44" customWidth="1"/>
    <col min="7946" max="7946" width="0" style="44" hidden="1" customWidth="1"/>
    <col min="7947" max="7947" width="10" style="44" customWidth="1"/>
    <col min="7948" max="7953" width="0" style="44" hidden="1" customWidth="1"/>
    <col min="7954" max="8174" width="9.140625" style="44"/>
    <col min="8175" max="8175" width="4.140625" style="44" customWidth="1"/>
    <col min="8176" max="8176" width="15.5703125" style="44" customWidth="1"/>
    <col min="8177" max="8177" width="7.28515625" style="44" customWidth="1"/>
    <col min="8178" max="8178" width="4.85546875" style="44" customWidth="1"/>
    <col min="8179" max="8179" width="4.42578125" style="44" customWidth="1"/>
    <col min="8180" max="8185" width="0" style="44" hidden="1" customWidth="1"/>
    <col min="8186" max="8186" width="9" style="44" customWidth="1"/>
    <col min="8187" max="8187" width="4.85546875" style="44" customWidth="1"/>
    <col min="8188" max="8189" width="0" style="44" hidden="1" customWidth="1"/>
    <col min="8190" max="8191" width="4.85546875" style="44" customWidth="1"/>
    <col min="8192" max="8192" width="6.140625" style="44" customWidth="1"/>
    <col min="8193" max="8193" width="6.42578125" style="44" customWidth="1"/>
    <col min="8194" max="8194" width="4.85546875" style="44" customWidth="1"/>
    <col min="8195" max="8195" width="7.5703125" style="44" customWidth="1"/>
    <col min="8196" max="8196" width="0" style="44" hidden="1" customWidth="1"/>
    <col min="8197" max="8197" width="7.140625" style="44" customWidth="1"/>
    <col min="8198" max="8198" width="0" style="44" hidden="1" customWidth="1"/>
    <col min="8199" max="8199" width="6.85546875" style="44" customWidth="1"/>
    <col min="8200" max="8200" width="9.28515625" style="44" customWidth="1"/>
    <col min="8201" max="8201" width="5.85546875" style="44" customWidth="1"/>
    <col min="8202" max="8202" width="0" style="44" hidden="1" customWidth="1"/>
    <col min="8203" max="8203" width="10" style="44" customWidth="1"/>
    <col min="8204" max="8209" width="0" style="44" hidden="1" customWidth="1"/>
    <col min="8210" max="8430" width="9.140625" style="44"/>
    <col min="8431" max="8431" width="4.140625" style="44" customWidth="1"/>
    <col min="8432" max="8432" width="15.5703125" style="44" customWidth="1"/>
    <col min="8433" max="8433" width="7.28515625" style="44" customWidth="1"/>
    <col min="8434" max="8434" width="4.85546875" style="44" customWidth="1"/>
    <col min="8435" max="8435" width="4.42578125" style="44" customWidth="1"/>
    <col min="8436" max="8441" width="0" style="44" hidden="1" customWidth="1"/>
    <col min="8442" max="8442" width="9" style="44" customWidth="1"/>
    <col min="8443" max="8443" width="4.85546875" style="44" customWidth="1"/>
    <col min="8444" max="8445" width="0" style="44" hidden="1" customWidth="1"/>
    <col min="8446" max="8447" width="4.85546875" style="44" customWidth="1"/>
    <col min="8448" max="8448" width="6.140625" style="44" customWidth="1"/>
    <col min="8449" max="8449" width="6.42578125" style="44" customWidth="1"/>
    <col min="8450" max="8450" width="4.85546875" style="44" customWidth="1"/>
    <col min="8451" max="8451" width="7.5703125" style="44" customWidth="1"/>
    <col min="8452" max="8452" width="0" style="44" hidden="1" customWidth="1"/>
    <col min="8453" max="8453" width="7.140625" style="44" customWidth="1"/>
    <col min="8454" max="8454" width="0" style="44" hidden="1" customWidth="1"/>
    <col min="8455" max="8455" width="6.85546875" style="44" customWidth="1"/>
    <col min="8456" max="8456" width="9.28515625" style="44" customWidth="1"/>
    <col min="8457" max="8457" width="5.85546875" style="44" customWidth="1"/>
    <col min="8458" max="8458" width="0" style="44" hidden="1" customWidth="1"/>
    <col min="8459" max="8459" width="10" style="44" customWidth="1"/>
    <col min="8460" max="8465" width="0" style="44" hidden="1" customWidth="1"/>
    <col min="8466" max="8686" width="9.140625" style="44"/>
    <col min="8687" max="8687" width="4.140625" style="44" customWidth="1"/>
    <col min="8688" max="8688" width="15.5703125" style="44" customWidth="1"/>
    <col min="8689" max="8689" width="7.28515625" style="44" customWidth="1"/>
    <col min="8690" max="8690" width="4.85546875" style="44" customWidth="1"/>
    <col min="8691" max="8691" width="4.42578125" style="44" customWidth="1"/>
    <col min="8692" max="8697" width="0" style="44" hidden="1" customWidth="1"/>
    <col min="8698" max="8698" width="9" style="44" customWidth="1"/>
    <col min="8699" max="8699" width="4.85546875" style="44" customWidth="1"/>
    <col min="8700" max="8701" width="0" style="44" hidden="1" customWidth="1"/>
    <col min="8702" max="8703" width="4.85546875" style="44" customWidth="1"/>
    <col min="8704" max="8704" width="6.140625" style="44" customWidth="1"/>
    <col min="8705" max="8705" width="6.42578125" style="44" customWidth="1"/>
    <col min="8706" max="8706" width="4.85546875" style="44" customWidth="1"/>
    <col min="8707" max="8707" width="7.5703125" style="44" customWidth="1"/>
    <col min="8708" max="8708" width="0" style="44" hidden="1" customWidth="1"/>
    <col min="8709" max="8709" width="7.140625" style="44" customWidth="1"/>
    <col min="8710" max="8710" width="0" style="44" hidden="1" customWidth="1"/>
    <col min="8711" max="8711" width="6.85546875" style="44" customWidth="1"/>
    <col min="8712" max="8712" width="9.28515625" style="44" customWidth="1"/>
    <col min="8713" max="8713" width="5.85546875" style="44" customWidth="1"/>
    <col min="8714" max="8714" width="0" style="44" hidden="1" customWidth="1"/>
    <col min="8715" max="8715" width="10" style="44" customWidth="1"/>
    <col min="8716" max="8721" width="0" style="44" hidden="1" customWidth="1"/>
    <col min="8722" max="8942" width="9.140625" style="44"/>
    <col min="8943" max="8943" width="4.140625" style="44" customWidth="1"/>
    <col min="8944" max="8944" width="15.5703125" style="44" customWidth="1"/>
    <col min="8945" max="8945" width="7.28515625" style="44" customWidth="1"/>
    <col min="8946" max="8946" width="4.85546875" style="44" customWidth="1"/>
    <col min="8947" max="8947" width="4.42578125" style="44" customWidth="1"/>
    <col min="8948" max="8953" width="0" style="44" hidden="1" customWidth="1"/>
    <col min="8954" max="8954" width="9" style="44" customWidth="1"/>
    <col min="8955" max="8955" width="4.85546875" style="44" customWidth="1"/>
    <col min="8956" max="8957" width="0" style="44" hidden="1" customWidth="1"/>
    <col min="8958" max="8959" width="4.85546875" style="44" customWidth="1"/>
    <col min="8960" max="8960" width="6.140625" style="44" customWidth="1"/>
    <col min="8961" max="8961" width="6.42578125" style="44" customWidth="1"/>
    <col min="8962" max="8962" width="4.85546875" style="44" customWidth="1"/>
    <col min="8963" max="8963" width="7.5703125" style="44" customWidth="1"/>
    <col min="8964" max="8964" width="0" style="44" hidden="1" customWidth="1"/>
    <col min="8965" max="8965" width="7.140625" style="44" customWidth="1"/>
    <col min="8966" max="8966" width="0" style="44" hidden="1" customWidth="1"/>
    <col min="8967" max="8967" width="6.85546875" style="44" customWidth="1"/>
    <col min="8968" max="8968" width="9.28515625" style="44" customWidth="1"/>
    <col min="8969" max="8969" width="5.85546875" style="44" customWidth="1"/>
    <col min="8970" max="8970" width="0" style="44" hidden="1" customWidth="1"/>
    <col min="8971" max="8971" width="10" style="44" customWidth="1"/>
    <col min="8972" max="8977" width="0" style="44" hidden="1" customWidth="1"/>
    <col min="8978" max="9198" width="9.140625" style="44"/>
    <col min="9199" max="9199" width="4.140625" style="44" customWidth="1"/>
    <col min="9200" max="9200" width="15.5703125" style="44" customWidth="1"/>
    <col min="9201" max="9201" width="7.28515625" style="44" customWidth="1"/>
    <col min="9202" max="9202" width="4.85546875" style="44" customWidth="1"/>
    <col min="9203" max="9203" width="4.42578125" style="44" customWidth="1"/>
    <col min="9204" max="9209" width="0" style="44" hidden="1" customWidth="1"/>
    <col min="9210" max="9210" width="9" style="44" customWidth="1"/>
    <col min="9211" max="9211" width="4.85546875" style="44" customWidth="1"/>
    <col min="9212" max="9213" width="0" style="44" hidden="1" customWidth="1"/>
    <col min="9214" max="9215" width="4.85546875" style="44" customWidth="1"/>
    <col min="9216" max="9216" width="6.140625" style="44" customWidth="1"/>
    <col min="9217" max="9217" width="6.42578125" style="44" customWidth="1"/>
    <col min="9218" max="9218" width="4.85546875" style="44" customWidth="1"/>
    <col min="9219" max="9219" width="7.5703125" style="44" customWidth="1"/>
    <col min="9220" max="9220" width="0" style="44" hidden="1" customWidth="1"/>
    <col min="9221" max="9221" width="7.140625" style="44" customWidth="1"/>
    <col min="9222" max="9222" width="0" style="44" hidden="1" customWidth="1"/>
    <col min="9223" max="9223" width="6.85546875" style="44" customWidth="1"/>
    <col min="9224" max="9224" width="9.28515625" style="44" customWidth="1"/>
    <col min="9225" max="9225" width="5.85546875" style="44" customWidth="1"/>
    <col min="9226" max="9226" width="0" style="44" hidden="1" customWidth="1"/>
    <col min="9227" max="9227" width="10" style="44" customWidth="1"/>
    <col min="9228" max="9233" width="0" style="44" hidden="1" customWidth="1"/>
    <col min="9234" max="9454" width="9.140625" style="44"/>
    <col min="9455" max="9455" width="4.140625" style="44" customWidth="1"/>
    <col min="9456" max="9456" width="15.5703125" style="44" customWidth="1"/>
    <col min="9457" max="9457" width="7.28515625" style="44" customWidth="1"/>
    <col min="9458" max="9458" width="4.85546875" style="44" customWidth="1"/>
    <col min="9459" max="9459" width="4.42578125" style="44" customWidth="1"/>
    <col min="9460" max="9465" width="0" style="44" hidden="1" customWidth="1"/>
    <col min="9466" max="9466" width="9" style="44" customWidth="1"/>
    <col min="9467" max="9467" width="4.85546875" style="44" customWidth="1"/>
    <col min="9468" max="9469" width="0" style="44" hidden="1" customWidth="1"/>
    <col min="9470" max="9471" width="4.85546875" style="44" customWidth="1"/>
    <col min="9472" max="9472" width="6.140625" style="44" customWidth="1"/>
    <col min="9473" max="9473" width="6.42578125" style="44" customWidth="1"/>
    <col min="9474" max="9474" width="4.85546875" style="44" customWidth="1"/>
    <col min="9475" max="9475" width="7.5703125" style="44" customWidth="1"/>
    <col min="9476" max="9476" width="0" style="44" hidden="1" customWidth="1"/>
    <col min="9477" max="9477" width="7.140625" style="44" customWidth="1"/>
    <col min="9478" max="9478" width="0" style="44" hidden="1" customWidth="1"/>
    <col min="9479" max="9479" width="6.85546875" style="44" customWidth="1"/>
    <col min="9480" max="9480" width="9.28515625" style="44" customWidth="1"/>
    <col min="9481" max="9481" width="5.85546875" style="44" customWidth="1"/>
    <col min="9482" max="9482" width="0" style="44" hidden="1" customWidth="1"/>
    <col min="9483" max="9483" width="10" style="44" customWidth="1"/>
    <col min="9484" max="9489" width="0" style="44" hidden="1" customWidth="1"/>
    <col min="9490" max="9710" width="9.140625" style="44"/>
    <col min="9711" max="9711" width="4.140625" style="44" customWidth="1"/>
    <col min="9712" max="9712" width="15.5703125" style="44" customWidth="1"/>
    <col min="9713" max="9713" width="7.28515625" style="44" customWidth="1"/>
    <col min="9714" max="9714" width="4.85546875" style="44" customWidth="1"/>
    <col min="9715" max="9715" width="4.42578125" style="44" customWidth="1"/>
    <col min="9716" max="9721" width="0" style="44" hidden="1" customWidth="1"/>
    <col min="9722" max="9722" width="9" style="44" customWidth="1"/>
    <col min="9723" max="9723" width="4.85546875" style="44" customWidth="1"/>
    <col min="9724" max="9725" width="0" style="44" hidden="1" customWidth="1"/>
    <col min="9726" max="9727" width="4.85546875" style="44" customWidth="1"/>
    <col min="9728" max="9728" width="6.140625" style="44" customWidth="1"/>
    <col min="9729" max="9729" width="6.42578125" style="44" customWidth="1"/>
    <col min="9730" max="9730" width="4.85546875" style="44" customWidth="1"/>
    <col min="9731" max="9731" width="7.5703125" style="44" customWidth="1"/>
    <col min="9732" max="9732" width="0" style="44" hidden="1" customWidth="1"/>
    <col min="9733" max="9733" width="7.140625" style="44" customWidth="1"/>
    <col min="9734" max="9734" width="0" style="44" hidden="1" customWidth="1"/>
    <col min="9735" max="9735" width="6.85546875" style="44" customWidth="1"/>
    <col min="9736" max="9736" width="9.28515625" style="44" customWidth="1"/>
    <col min="9737" max="9737" width="5.85546875" style="44" customWidth="1"/>
    <col min="9738" max="9738" width="0" style="44" hidden="1" customWidth="1"/>
    <col min="9739" max="9739" width="10" style="44" customWidth="1"/>
    <col min="9740" max="9745" width="0" style="44" hidden="1" customWidth="1"/>
    <col min="9746" max="9966" width="9.140625" style="44"/>
    <col min="9967" max="9967" width="4.140625" style="44" customWidth="1"/>
    <col min="9968" max="9968" width="15.5703125" style="44" customWidth="1"/>
    <col min="9969" max="9969" width="7.28515625" style="44" customWidth="1"/>
    <col min="9970" max="9970" width="4.85546875" style="44" customWidth="1"/>
    <col min="9971" max="9971" width="4.42578125" style="44" customWidth="1"/>
    <col min="9972" max="9977" width="0" style="44" hidden="1" customWidth="1"/>
    <col min="9978" max="9978" width="9" style="44" customWidth="1"/>
    <col min="9979" max="9979" width="4.85546875" style="44" customWidth="1"/>
    <col min="9980" max="9981" width="0" style="44" hidden="1" customWidth="1"/>
    <col min="9982" max="9983" width="4.85546875" style="44" customWidth="1"/>
    <col min="9984" max="9984" width="6.140625" style="44" customWidth="1"/>
    <col min="9985" max="9985" width="6.42578125" style="44" customWidth="1"/>
    <col min="9986" max="9986" width="4.85546875" style="44" customWidth="1"/>
    <col min="9987" max="9987" width="7.5703125" style="44" customWidth="1"/>
    <col min="9988" max="9988" width="0" style="44" hidden="1" customWidth="1"/>
    <col min="9989" max="9989" width="7.140625" style="44" customWidth="1"/>
    <col min="9990" max="9990" width="0" style="44" hidden="1" customWidth="1"/>
    <col min="9991" max="9991" width="6.85546875" style="44" customWidth="1"/>
    <col min="9992" max="9992" width="9.28515625" style="44" customWidth="1"/>
    <col min="9993" max="9993" width="5.85546875" style="44" customWidth="1"/>
    <col min="9994" max="9994" width="0" style="44" hidden="1" customWidth="1"/>
    <col min="9995" max="9995" width="10" style="44" customWidth="1"/>
    <col min="9996" max="10001" width="0" style="44" hidden="1" customWidth="1"/>
    <col min="10002" max="10222" width="9.140625" style="44"/>
    <col min="10223" max="10223" width="4.140625" style="44" customWidth="1"/>
    <col min="10224" max="10224" width="15.5703125" style="44" customWidth="1"/>
    <col min="10225" max="10225" width="7.28515625" style="44" customWidth="1"/>
    <col min="10226" max="10226" width="4.85546875" style="44" customWidth="1"/>
    <col min="10227" max="10227" width="4.42578125" style="44" customWidth="1"/>
    <col min="10228" max="10233" width="0" style="44" hidden="1" customWidth="1"/>
    <col min="10234" max="10234" width="9" style="44" customWidth="1"/>
    <col min="10235" max="10235" width="4.85546875" style="44" customWidth="1"/>
    <col min="10236" max="10237" width="0" style="44" hidden="1" customWidth="1"/>
    <col min="10238" max="10239" width="4.85546875" style="44" customWidth="1"/>
    <col min="10240" max="10240" width="6.140625" style="44" customWidth="1"/>
    <col min="10241" max="10241" width="6.42578125" style="44" customWidth="1"/>
    <col min="10242" max="10242" width="4.85546875" style="44" customWidth="1"/>
    <col min="10243" max="10243" width="7.5703125" style="44" customWidth="1"/>
    <col min="10244" max="10244" width="0" style="44" hidden="1" customWidth="1"/>
    <col min="10245" max="10245" width="7.140625" style="44" customWidth="1"/>
    <col min="10246" max="10246" width="0" style="44" hidden="1" customWidth="1"/>
    <col min="10247" max="10247" width="6.85546875" style="44" customWidth="1"/>
    <col min="10248" max="10248" width="9.28515625" style="44" customWidth="1"/>
    <col min="10249" max="10249" width="5.85546875" style="44" customWidth="1"/>
    <col min="10250" max="10250" width="0" style="44" hidden="1" customWidth="1"/>
    <col min="10251" max="10251" width="10" style="44" customWidth="1"/>
    <col min="10252" max="10257" width="0" style="44" hidden="1" customWidth="1"/>
    <col min="10258" max="10478" width="9.140625" style="44"/>
    <col min="10479" max="10479" width="4.140625" style="44" customWidth="1"/>
    <col min="10480" max="10480" width="15.5703125" style="44" customWidth="1"/>
    <col min="10481" max="10481" width="7.28515625" style="44" customWidth="1"/>
    <col min="10482" max="10482" width="4.85546875" style="44" customWidth="1"/>
    <col min="10483" max="10483" width="4.42578125" style="44" customWidth="1"/>
    <col min="10484" max="10489" width="0" style="44" hidden="1" customWidth="1"/>
    <col min="10490" max="10490" width="9" style="44" customWidth="1"/>
    <col min="10491" max="10491" width="4.85546875" style="44" customWidth="1"/>
    <col min="10492" max="10493" width="0" style="44" hidden="1" customWidth="1"/>
    <col min="10494" max="10495" width="4.85546875" style="44" customWidth="1"/>
    <col min="10496" max="10496" width="6.140625" style="44" customWidth="1"/>
    <col min="10497" max="10497" width="6.42578125" style="44" customWidth="1"/>
    <col min="10498" max="10498" width="4.85546875" style="44" customWidth="1"/>
    <col min="10499" max="10499" width="7.5703125" style="44" customWidth="1"/>
    <col min="10500" max="10500" width="0" style="44" hidden="1" customWidth="1"/>
    <col min="10501" max="10501" width="7.140625" style="44" customWidth="1"/>
    <col min="10502" max="10502" width="0" style="44" hidden="1" customWidth="1"/>
    <col min="10503" max="10503" width="6.85546875" style="44" customWidth="1"/>
    <col min="10504" max="10504" width="9.28515625" style="44" customWidth="1"/>
    <col min="10505" max="10505" width="5.85546875" style="44" customWidth="1"/>
    <col min="10506" max="10506" width="0" style="44" hidden="1" customWidth="1"/>
    <col min="10507" max="10507" width="10" style="44" customWidth="1"/>
    <col min="10508" max="10513" width="0" style="44" hidden="1" customWidth="1"/>
    <col min="10514" max="10734" width="9.140625" style="44"/>
    <col min="10735" max="10735" width="4.140625" style="44" customWidth="1"/>
    <col min="10736" max="10736" width="15.5703125" style="44" customWidth="1"/>
    <col min="10737" max="10737" width="7.28515625" style="44" customWidth="1"/>
    <col min="10738" max="10738" width="4.85546875" style="44" customWidth="1"/>
    <col min="10739" max="10739" width="4.42578125" style="44" customWidth="1"/>
    <col min="10740" max="10745" width="0" style="44" hidden="1" customWidth="1"/>
    <col min="10746" max="10746" width="9" style="44" customWidth="1"/>
    <col min="10747" max="10747" width="4.85546875" style="44" customWidth="1"/>
    <col min="10748" max="10749" width="0" style="44" hidden="1" customWidth="1"/>
    <col min="10750" max="10751" width="4.85546875" style="44" customWidth="1"/>
    <col min="10752" max="10752" width="6.140625" style="44" customWidth="1"/>
    <col min="10753" max="10753" width="6.42578125" style="44" customWidth="1"/>
    <col min="10754" max="10754" width="4.85546875" style="44" customWidth="1"/>
    <col min="10755" max="10755" width="7.5703125" style="44" customWidth="1"/>
    <col min="10756" max="10756" width="0" style="44" hidden="1" customWidth="1"/>
    <col min="10757" max="10757" width="7.140625" style="44" customWidth="1"/>
    <col min="10758" max="10758" width="0" style="44" hidden="1" customWidth="1"/>
    <col min="10759" max="10759" width="6.85546875" style="44" customWidth="1"/>
    <col min="10760" max="10760" width="9.28515625" style="44" customWidth="1"/>
    <col min="10761" max="10761" width="5.85546875" style="44" customWidth="1"/>
    <col min="10762" max="10762" width="0" style="44" hidden="1" customWidth="1"/>
    <col min="10763" max="10763" width="10" style="44" customWidth="1"/>
    <col min="10764" max="10769" width="0" style="44" hidden="1" customWidth="1"/>
    <col min="10770" max="10990" width="9.140625" style="44"/>
    <col min="10991" max="10991" width="4.140625" style="44" customWidth="1"/>
    <col min="10992" max="10992" width="15.5703125" style="44" customWidth="1"/>
    <col min="10993" max="10993" width="7.28515625" style="44" customWidth="1"/>
    <col min="10994" max="10994" width="4.85546875" style="44" customWidth="1"/>
    <col min="10995" max="10995" width="4.42578125" style="44" customWidth="1"/>
    <col min="10996" max="11001" width="0" style="44" hidden="1" customWidth="1"/>
    <col min="11002" max="11002" width="9" style="44" customWidth="1"/>
    <col min="11003" max="11003" width="4.85546875" style="44" customWidth="1"/>
    <col min="11004" max="11005" width="0" style="44" hidden="1" customWidth="1"/>
    <col min="11006" max="11007" width="4.85546875" style="44" customWidth="1"/>
    <col min="11008" max="11008" width="6.140625" style="44" customWidth="1"/>
    <col min="11009" max="11009" width="6.42578125" style="44" customWidth="1"/>
    <col min="11010" max="11010" width="4.85546875" style="44" customWidth="1"/>
    <col min="11011" max="11011" width="7.5703125" style="44" customWidth="1"/>
    <col min="11012" max="11012" width="0" style="44" hidden="1" customWidth="1"/>
    <col min="11013" max="11013" width="7.140625" style="44" customWidth="1"/>
    <col min="11014" max="11014" width="0" style="44" hidden="1" customWidth="1"/>
    <col min="11015" max="11015" width="6.85546875" style="44" customWidth="1"/>
    <col min="11016" max="11016" width="9.28515625" style="44" customWidth="1"/>
    <col min="11017" max="11017" width="5.85546875" style="44" customWidth="1"/>
    <col min="11018" max="11018" width="0" style="44" hidden="1" customWidth="1"/>
    <col min="11019" max="11019" width="10" style="44" customWidth="1"/>
    <col min="11020" max="11025" width="0" style="44" hidden="1" customWidth="1"/>
    <col min="11026" max="11246" width="9.140625" style="44"/>
    <col min="11247" max="11247" width="4.140625" style="44" customWidth="1"/>
    <col min="11248" max="11248" width="15.5703125" style="44" customWidth="1"/>
    <col min="11249" max="11249" width="7.28515625" style="44" customWidth="1"/>
    <col min="11250" max="11250" width="4.85546875" style="44" customWidth="1"/>
    <col min="11251" max="11251" width="4.42578125" style="44" customWidth="1"/>
    <col min="11252" max="11257" width="0" style="44" hidden="1" customWidth="1"/>
    <col min="11258" max="11258" width="9" style="44" customWidth="1"/>
    <col min="11259" max="11259" width="4.85546875" style="44" customWidth="1"/>
    <col min="11260" max="11261" width="0" style="44" hidden="1" customWidth="1"/>
    <col min="11262" max="11263" width="4.85546875" style="44" customWidth="1"/>
    <col min="11264" max="11264" width="6.140625" style="44" customWidth="1"/>
    <col min="11265" max="11265" width="6.42578125" style="44" customWidth="1"/>
    <col min="11266" max="11266" width="4.85546875" style="44" customWidth="1"/>
    <col min="11267" max="11267" width="7.5703125" style="44" customWidth="1"/>
    <col min="11268" max="11268" width="0" style="44" hidden="1" customWidth="1"/>
    <col min="11269" max="11269" width="7.140625" style="44" customWidth="1"/>
    <col min="11270" max="11270" width="0" style="44" hidden="1" customWidth="1"/>
    <col min="11271" max="11271" width="6.85546875" style="44" customWidth="1"/>
    <col min="11272" max="11272" width="9.28515625" style="44" customWidth="1"/>
    <col min="11273" max="11273" width="5.85546875" style="44" customWidth="1"/>
    <col min="11274" max="11274" width="0" style="44" hidden="1" customWidth="1"/>
    <col min="11275" max="11275" width="10" style="44" customWidth="1"/>
    <col min="11276" max="11281" width="0" style="44" hidden="1" customWidth="1"/>
    <col min="11282" max="11502" width="9.140625" style="44"/>
    <col min="11503" max="11503" width="4.140625" style="44" customWidth="1"/>
    <col min="11504" max="11504" width="15.5703125" style="44" customWidth="1"/>
    <col min="11505" max="11505" width="7.28515625" style="44" customWidth="1"/>
    <col min="11506" max="11506" width="4.85546875" style="44" customWidth="1"/>
    <col min="11507" max="11507" width="4.42578125" style="44" customWidth="1"/>
    <col min="11508" max="11513" width="0" style="44" hidden="1" customWidth="1"/>
    <col min="11514" max="11514" width="9" style="44" customWidth="1"/>
    <col min="11515" max="11515" width="4.85546875" style="44" customWidth="1"/>
    <col min="11516" max="11517" width="0" style="44" hidden="1" customWidth="1"/>
    <col min="11518" max="11518" width="4.85546875" style="44" customWidth="1"/>
    <col min="11519" max="11519" width="4.85546875" customWidth="1"/>
    <col min="11520" max="11520" width="6.140625" customWidth="1"/>
    <col min="11521" max="11521" width="6.42578125" customWidth="1"/>
    <col min="11522" max="11522" width="4.85546875" customWidth="1"/>
    <col min="11523" max="11523" width="7.5703125" customWidth="1"/>
    <col min="11524" max="11524" width="0" hidden="1" customWidth="1"/>
    <col min="11525" max="11525" width="7.140625" customWidth="1"/>
    <col min="11526" max="11526" width="0" hidden="1" customWidth="1"/>
    <col min="11527" max="11527" width="6.85546875" customWidth="1"/>
    <col min="11528" max="11528" width="9.28515625" customWidth="1"/>
    <col min="11529" max="11529" width="5.85546875" customWidth="1"/>
    <col min="11530" max="11530" width="0" hidden="1" customWidth="1"/>
    <col min="11531" max="11531" width="10" customWidth="1"/>
    <col min="11532" max="11537" width="0" hidden="1" customWidth="1"/>
    <col min="11759" max="11759" width="4.140625" customWidth="1"/>
    <col min="11760" max="11760" width="15.5703125" customWidth="1"/>
    <col min="11761" max="11761" width="7.28515625" customWidth="1"/>
    <col min="11762" max="11762" width="4.85546875" customWidth="1"/>
    <col min="11763" max="11763" width="4.42578125" customWidth="1"/>
    <col min="11764" max="11769" width="0" hidden="1" customWidth="1"/>
    <col min="11770" max="11770" width="9" customWidth="1"/>
    <col min="11771" max="11771" width="4.85546875" customWidth="1"/>
    <col min="11772" max="11773" width="0" hidden="1" customWidth="1"/>
    <col min="11774" max="11775" width="4.85546875" customWidth="1"/>
    <col min="11776" max="11776" width="6.140625" customWidth="1"/>
    <col min="11777" max="11777" width="6.42578125" customWidth="1"/>
    <col min="11778" max="11778" width="4.85546875" customWidth="1"/>
    <col min="11779" max="11779" width="7.5703125" customWidth="1"/>
    <col min="11780" max="11780" width="0" hidden="1" customWidth="1"/>
    <col min="11781" max="11781" width="7.140625" customWidth="1"/>
    <col min="11782" max="11782" width="0" hidden="1" customWidth="1"/>
    <col min="11783" max="11783" width="6.85546875" customWidth="1"/>
    <col min="11784" max="11784" width="9.28515625" customWidth="1"/>
    <col min="11785" max="11785" width="5.85546875" customWidth="1"/>
    <col min="11786" max="11786" width="0" hidden="1" customWidth="1"/>
    <col min="11787" max="11787" width="10" customWidth="1"/>
    <col min="11788" max="11793" width="0" hidden="1" customWidth="1"/>
    <col min="12015" max="12015" width="4.140625" customWidth="1"/>
    <col min="12016" max="12016" width="15.5703125" customWidth="1"/>
    <col min="12017" max="12017" width="7.28515625" customWidth="1"/>
    <col min="12018" max="12018" width="4.85546875" customWidth="1"/>
    <col min="12019" max="12019" width="4.42578125" customWidth="1"/>
    <col min="12020" max="12025" width="0" hidden="1" customWidth="1"/>
    <col min="12026" max="12026" width="9" customWidth="1"/>
    <col min="12027" max="12027" width="4.85546875" customWidth="1"/>
    <col min="12028" max="12029" width="0" hidden="1" customWidth="1"/>
    <col min="12030" max="12031" width="4.85546875" customWidth="1"/>
    <col min="12032" max="12032" width="6.140625" customWidth="1"/>
    <col min="12033" max="12033" width="6.42578125" customWidth="1"/>
    <col min="12034" max="12034" width="4.85546875" customWidth="1"/>
    <col min="12035" max="12035" width="7.5703125" customWidth="1"/>
    <col min="12036" max="12036" width="0" hidden="1" customWidth="1"/>
    <col min="12037" max="12037" width="7.140625" customWidth="1"/>
    <col min="12038" max="12038" width="0" hidden="1" customWidth="1"/>
    <col min="12039" max="12039" width="6.85546875" customWidth="1"/>
    <col min="12040" max="12040" width="9.28515625" customWidth="1"/>
    <col min="12041" max="12041" width="5.85546875" customWidth="1"/>
    <col min="12042" max="12042" width="0" hidden="1" customWidth="1"/>
    <col min="12043" max="12043" width="10" customWidth="1"/>
    <col min="12044" max="12049" width="0" hidden="1" customWidth="1"/>
    <col min="12271" max="12271" width="4.140625" customWidth="1"/>
    <col min="12272" max="12272" width="15.5703125" customWidth="1"/>
    <col min="12273" max="12273" width="7.28515625" customWidth="1"/>
    <col min="12274" max="12274" width="4.85546875" customWidth="1"/>
    <col min="12275" max="12275" width="4.42578125" customWidth="1"/>
    <col min="12276" max="12281" width="0" hidden="1" customWidth="1"/>
    <col min="12282" max="12282" width="9" customWidth="1"/>
    <col min="12283" max="12283" width="4.85546875" customWidth="1"/>
    <col min="12284" max="12285" width="0" hidden="1" customWidth="1"/>
    <col min="12286" max="12287" width="4.85546875" customWidth="1"/>
    <col min="12288" max="12288" width="6.140625" customWidth="1"/>
    <col min="12289" max="12289" width="6.42578125" customWidth="1"/>
    <col min="12290" max="12290" width="4.85546875" customWidth="1"/>
    <col min="12291" max="12291" width="7.5703125" customWidth="1"/>
    <col min="12292" max="12292" width="0" hidden="1" customWidth="1"/>
    <col min="12293" max="12293" width="7.140625" customWidth="1"/>
    <col min="12294" max="12294" width="0" hidden="1" customWidth="1"/>
    <col min="12295" max="12295" width="6.85546875" customWidth="1"/>
    <col min="12296" max="12296" width="9.28515625" customWidth="1"/>
    <col min="12297" max="12297" width="5.85546875" customWidth="1"/>
    <col min="12298" max="12298" width="0" hidden="1" customWidth="1"/>
    <col min="12299" max="12299" width="10" customWidth="1"/>
    <col min="12300" max="12305" width="0" hidden="1" customWidth="1"/>
    <col min="12527" max="12527" width="4.140625" customWidth="1"/>
    <col min="12528" max="12528" width="15.5703125" customWidth="1"/>
    <col min="12529" max="12529" width="7.28515625" customWidth="1"/>
    <col min="12530" max="12530" width="4.85546875" customWidth="1"/>
    <col min="12531" max="12531" width="4.42578125" customWidth="1"/>
    <col min="12532" max="12537" width="0" hidden="1" customWidth="1"/>
    <col min="12538" max="12538" width="9" customWidth="1"/>
    <col min="12539" max="12539" width="4.85546875" customWidth="1"/>
    <col min="12540" max="12541" width="0" hidden="1" customWidth="1"/>
    <col min="12542" max="12543" width="4.85546875" customWidth="1"/>
    <col min="12544" max="12544" width="6.140625" customWidth="1"/>
    <col min="12545" max="12545" width="6.42578125" customWidth="1"/>
    <col min="12546" max="12546" width="4.85546875" customWidth="1"/>
    <col min="12547" max="12547" width="7.5703125" customWidth="1"/>
    <col min="12548" max="12548" width="0" hidden="1" customWidth="1"/>
    <col min="12549" max="12549" width="7.140625" customWidth="1"/>
    <col min="12550" max="12550" width="0" hidden="1" customWidth="1"/>
    <col min="12551" max="12551" width="6.85546875" customWidth="1"/>
    <col min="12552" max="12552" width="9.28515625" customWidth="1"/>
    <col min="12553" max="12553" width="5.85546875" customWidth="1"/>
    <col min="12554" max="12554" width="0" hidden="1" customWidth="1"/>
    <col min="12555" max="12555" width="10" customWidth="1"/>
    <col min="12556" max="12561" width="0" hidden="1" customWidth="1"/>
    <col min="12783" max="12783" width="4.140625" customWidth="1"/>
    <col min="12784" max="12784" width="15.5703125" customWidth="1"/>
    <col min="12785" max="12785" width="7.28515625" customWidth="1"/>
    <col min="12786" max="12786" width="4.85546875" customWidth="1"/>
    <col min="12787" max="12787" width="4.42578125" customWidth="1"/>
    <col min="12788" max="12793" width="0" hidden="1" customWidth="1"/>
    <col min="12794" max="12794" width="9" customWidth="1"/>
    <col min="12795" max="12795" width="4.85546875" customWidth="1"/>
    <col min="12796" max="12797" width="0" hidden="1" customWidth="1"/>
    <col min="12798" max="12799" width="4.85546875" customWidth="1"/>
    <col min="12800" max="12800" width="6.140625" customWidth="1"/>
    <col min="12801" max="12801" width="6.42578125" customWidth="1"/>
    <col min="12802" max="12802" width="4.85546875" customWidth="1"/>
    <col min="12803" max="12803" width="7.5703125" customWidth="1"/>
    <col min="12804" max="12804" width="0" hidden="1" customWidth="1"/>
    <col min="12805" max="12805" width="7.140625" customWidth="1"/>
    <col min="12806" max="12806" width="0" hidden="1" customWidth="1"/>
    <col min="12807" max="12807" width="6.85546875" customWidth="1"/>
    <col min="12808" max="12808" width="9.28515625" customWidth="1"/>
    <col min="12809" max="12809" width="5.85546875" customWidth="1"/>
    <col min="12810" max="12810" width="0" hidden="1" customWidth="1"/>
    <col min="12811" max="12811" width="10" customWidth="1"/>
    <col min="12812" max="12817" width="0" hidden="1" customWidth="1"/>
    <col min="13039" max="13039" width="4.140625" customWidth="1"/>
    <col min="13040" max="13040" width="15.5703125" customWidth="1"/>
    <col min="13041" max="13041" width="7.28515625" customWidth="1"/>
    <col min="13042" max="13042" width="4.85546875" customWidth="1"/>
    <col min="13043" max="13043" width="4.42578125" customWidth="1"/>
    <col min="13044" max="13049" width="0" hidden="1" customWidth="1"/>
    <col min="13050" max="13050" width="9" customWidth="1"/>
    <col min="13051" max="13051" width="4.85546875" customWidth="1"/>
    <col min="13052" max="13053" width="0" hidden="1" customWidth="1"/>
    <col min="13054" max="13055" width="4.85546875" customWidth="1"/>
    <col min="13056" max="13056" width="6.140625" customWidth="1"/>
    <col min="13057" max="13057" width="6.42578125" customWidth="1"/>
    <col min="13058" max="13058" width="4.85546875" customWidth="1"/>
    <col min="13059" max="13059" width="7.5703125" customWidth="1"/>
    <col min="13060" max="13060" width="0" hidden="1" customWidth="1"/>
    <col min="13061" max="13061" width="7.140625" customWidth="1"/>
    <col min="13062" max="13062" width="0" hidden="1" customWidth="1"/>
    <col min="13063" max="13063" width="6.85546875" customWidth="1"/>
    <col min="13064" max="13064" width="9.28515625" customWidth="1"/>
    <col min="13065" max="13065" width="5.85546875" customWidth="1"/>
    <col min="13066" max="13066" width="0" hidden="1" customWidth="1"/>
    <col min="13067" max="13067" width="10" customWidth="1"/>
    <col min="13068" max="13073" width="0" hidden="1" customWidth="1"/>
    <col min="13295" max="13295" width="4.140625" customWidth="1"/>
    <col min="13296" max="13296" width="15.5703125" customWidth="1"/>
    <col min="13297" max="13297" width="7.28515625" customWidth="1"/>
    <col min="13298" max="13298" width="4.85546875" customWidth="1"/>
    <col min="13299" max="13299" width="4.42578125" customWidth="1"/>
    <col min="13300" max="13305" width="0" hidden="1" customWidth="1"/>
    <col min="13306" max="13306" width="9" customWidth="1"/>
    <col min="13307" max="13307" width="4.85546875" customWidth="1"/>
    <col min="13308" max="13309" width="0" hidden="1" customWidth="1"/>
    <col min="13310" max="13311" width="4.85546875" customWidth="1"/>
    <col min="13312" max="13312" width="6.140625" customWidth="1"/>
    <col min="13313" max="13313" width="6.42578125" customWidth="1"/>
    <col min="13314" max="13314" width="4.85546875" customWidth="1"/>
    <col min="13315" max="13315" width="7.5703125" customWidth="1"/>
    <col min="13316" max="13316" width="0" hidden="1" customWidth="1"/>
    <col min="13317" max="13317" width="7.140625" customWidth="1"/>
    <col min="13318" max="13318" width="0" hidden="1" customWidth="1"/>
    <col min="13319" max="13319" width="6.85546875" customWidth="1"/>
    <col min="13320" max="13320" width="9.28515625" customWidth="1"/>
    <col min="13321" max="13321" width="5.85546875" customWidth="1"/>
    <col min="13322" max="13322" width="0" hidden="1" customWidth="1"/>
    <col min="13323" max="13323" width="10" customWidth="1"/>
    <col min="13324" max="13329" width="0" hidden="1" customWidth="1"/>
    <col min="13551" max="13551" width="4.140625" customWidth="1"/>
    <col min="13552" max="13552" width="15.5703125" customWidth="1"/>
    <col min="13553" max="13553" width="7.28515625" customWidth="1"/>
    <col min="13554" max="13554" width="4.85546875" customWidth="1"/>
    <col min="13555" max="13555" width="4.42578125" customWidth="1"/>
    <col min="13556" max="13561" width="0" hidden="1" customWidth="1"/>
    <col min="13562" max="13562" width="9" customWidth="1"/>
    <col min="13563" max="13563" width="4.85546875" customWidth="1"/>
    <col min="13564" max="13565" width="0" hidden="1" customWidth="1"/>
    <col min="13566" max="13567" width="4.85546875" customWidth="1"/>
    <col min="13568" max="13568" width="6.140625" customWidth="1"/>
    <col min="13569" max="13569" width="6.42578125" customWidth="1"/>
    <col min="13570" max="13570" width="4.85546875" customWidth="1"/>
    <col min="13571" max="13571" width="7.5703125" customWidth="1"/>
    <col min="13572" max="13572" width="0" hidden="1" customWidth="1"/>
    <col min="13573" max="13573" width="7.140625" customWidth="1"/>
    <col min="13574" max="13574" width="0" hidden="1" customWidth="1"/>
    <col min="13575" max="13575" width="6.85546875" customWidth="1"/>
    <col min="13576" max="13576" width="9.28515625" customWidth="1"/>
    <col min="13577" max="13577" width="5.85546875" customWidth="1"/>
    <col min="13578" max="13578" width="0" hidden="1" customWidth="1"/>
    <col min="13579" max="13579" width="10" customWidth="1"/>
    <col min="13580" max="13585" width="0" hidden="1" customWidth="1"/>
    <col min="13807" max="13807" width="4.140625" customWidth="1"/>
    <col min="13808" max="13808" width="15.5703125" customWidth="1"/>
    <col min="13809" max="13809" width="7.28515625" customWidth="1"/>
    <col min="13810" max="13810" width="4.85546875" customWidth="1"/>
    <col min="13811" max="13811" width="4.42578125" customWidth="1"/>
    <col min="13812" max="13817" width="0" hidden="1" customWidth="1"/>
    <col min="13818" max="13818" width="9" customWidth="1"/>
    <col min="13819" max="13819" width="4.85546875" customWidth="1"/>
    <col min="13820" max="13821" width="0" hidden="1" customWidth="1"/>
    <col min="13822" max="13823" width="4.85546875" customWidth="1"/>
    <col min="13824" max="13824" width="6.140625" customWidth="1"/>
    <col min="13825" max="13825" width="6.42578125" customWidth="1"/>
    <col min="13826" max="13826" width="4.85546875" customWidth="1"/>
    <col min="13827" max="13827" width="7.5703125" customWidth="1"/>
    <col min="13828" max="13828" width="0" hidden="1" customWidth="1"/>
    <col min="13829" max="13829" width="7.140625" customWidth="1"/>
    <col min="13830" max="13830" width="0" hidden="1" customWidth="1"/>
    <col min="13831" max="13831" width="6.85546875" customWidth="1"/>
    <col min="13832" max="13832" width="9.28515625" customWidth="1"/>
    <col min="13833" max="13833" width="5.85546875" customWidth="1"/>
    <col min="13834" max="13834" width="0" hidden="1" customWidth="1"/>
    <col min="13835" max="13835" width="10" customWidth="1"/>
    <col min="13836" max="13841" width="0" hidden="1" customWidth="1"/>
    <col min="14063" max="14063" width="4.140625" customWidth="1"/>
    <col min="14064" max="14064" width="15.5703125" customWidth="1"/>
    <col min="14065" max="14065" width="7.28515625" customWidth="1"/>
    <col min="14066" max="14066" width="4.85546875" customWidth="1"/>
    <col min="14067" max="14067" width="4.42578125" customWidth="1"/>
    <col min="14068" max="14073" width="0" hidden="1" customWidth="1"/>
    <col min="14074" max="14074" width="9" customWidth="1"/>
    <col min="14075" max="14075" width="4.85546875" customWidth="1"/>
    <col min="14076" max="14077" width="0" hidden="1" customWidth="1"/>
    <col min="14078" max="14079" width="4.85546875" customWidth="1"/>
    <col min="14080" max="14080" width="6.140625" customWidth="1"/>
    <col min="14081" max="14081" width="6.42578125" customWidth="1"/>
    <col min="14082" max="14082" width="4.85546875" customWidth="1"/>
    <col min="14083" max="14083" width="7.5703125" customWidth="1"/>
    <col min="14084" max="14084" width="0" hidden="1" customWidth="1"/>
    <col min="14085" max="14085" width="7.140625" customWidth="1"/>
    <col min="14086" max="14086" width="0" hidden="1" customWidth="1"/>
    <col min="14087" max="14087" width="6.85546875" customWidth="1"/>
    <col min="14088" max="14088" width="9.28515625" customWidth="1"/>
    <col min="14089" max="14089" width="5.85546875" customWidth="1"/>
    <col min="14090" max="14090" width="0" hidden="1" customWidth="1"/>
    <col min="14091" max="14091" width="10" customWidth="1"/>
    <col min="14092" max="14097" width="0" hidden="1" customWidth="1"/>
    <col min="14319" max="14319" width="4.140625" customWidth="1"/>
    <col min="14320" max="14320" width="15.5703125" customWidth="1"/>
    <col min="14321" max="14321" width="7.28515625" customWidth="1"/>
    <col min="14322" max="14322" width="4.85546875" customWidth="1"/>
    <col min="14323" max="14323" width="4.42578125" customWidth="1"/>
    <col min="14324" max="14329" width="0" hidden="1" customWidth="1"/>
    <col min="14330" max="14330" width="9" customWidth="1"/>
    <col min="14331" max="14331" width="4.85546875" customWidth="1"/>
    <col min="14332" max="14333" width="0" hidden="1" customWidth="1"/>
    <col min="14334" max="14335" width="4.85546875" customWidth="1"/>
    <col min="14336" max="14336" width="6.140625" customWidth="1"/>
    <col min="14337" max="14337" width="6.42578125" customWidth="1"/>
    <col min="14338" max="14338" width="4.85546875" customWidth="1"/>
    <col min="14339" max="14339" width="7.5703125" customWidth="1"/>
    <col min="14340" max="14340" width="0" hidden="1" customWidth="1"/>
    <col min="14341" max="14341" width="7.140625" customWidth="1"/>
    <col min="14342" max="14342" width="0" hidden="1" customWidth="1"/>
    <col min="14343" max="14343" width="6.85546875" customWidth="1"/>
    <col min="14344" max="14344" width="9.28515625" customWidth="1"/>
    <col min="14345" max="14345" width="5.85546875" customWidth="1"/>
    <col min="14346" max="14346" width="0" hidden="1" customWidth="1"/>
    <col min="14347" max="14347" width="10" customWidth="1"/>
    <col min="14348" max="14353" width="0" hidden="1" customWidth="1"/>
    <col min="14575" max="14575" width="4.140625" customWidth="1"/>
    <col min="14576" max="14576" width="15.5703125" customWidth="1"/>
    <col min="14577" max="14577" width="7.28515625" customWidth="1"/>
    <col min="14578" max="14578" width="4.85546875" customWidth="1"/>
    <col min="14579" max="14579" width="4.42578125" customWidth="1"/>
    <col min="14580" max="14585" width="0" hidden="1" customWidth="1"/>
    <col min="14586" max="14586" width="9" customWidth="1"/>
    <col min="14587" max="14587" width="4.85546875" customWidth="1"/>
    <col min="14588" max="14589" width="0" hidden="1" customWidth="1"/>
    <col min="14590" max="14591" width="4.85546875" customWidth="1"/>
    <col min="14592" max="14592" width="6.140625" customWidth="1"/>
    <col min="14593" max="14593" width="6.42578125" customWidth="1"/>
    <col min="14594" max="14594" width="4.85546875" customWidth="1"/>
    <col min="14595" max="14595" width="7.5703125" customWidth="1"/>
    <col min="14596" max="14596" width="0" hidden="1" customWidth="1"/>
    <col min="14597" max="14597" width="7.140625" customWidth="1"/>
    <col min="14598" max="14598" width="0" hidden="1" customWidth="1"/>
    <col min="14599" max="14599" width="6.85546875" customWidth="1"/>
    <col min="14600" max="14600" width="9.28515625" customWidth="1"/>
    <col min="14601" max="14601" width="5.85546875" customWidth="1"/>
    <col min="14602" max="14602" width="0" hidden="1" customWidth="1"/>
    <col min="14603" max="14603" width="10" customWidth="1"/>
    <col min="14604" max="14609" width="0" hidden="1" customWidth="1"/>
    <col min="14831" max="14831" width="4.140625" customWidth="1"/>
    <col min="14832" max="14832" width="15.5703125" customWidth="1"/>
    <col min="14833" max="14833" width="7.28515625" customWidth="1"/>
    <col min="14834" max="14834" width="4.85546875" customWidth="1"/>
    <col min="14835" max="14835" width="4.42578125" customWidth="1"/>
    <col min="14836" max="14841" width="0" hidden="1" customWidth="1"/>
    <col min="14842" max="14842" width="9" customWidth="1"/>
    <col min="14843" max="14843" width="4.85546875" customWidth="1"/>
    <col min="14844" max="14845" width="0" hidden="1" customWidth="1"/>
    <col min="14846" max="14847" width="4.85546875" customWidth="1"/>
    <col min="14848" max="14848" width="6.140625" customWidth="1"/>
    <col min="14849" max="14849" width="6.42578125" customWidth="1"/>
    <col min="14850" max="14850" width="4.85546875" customWidth="1"/>
    <col min="14851" max="14851" width="7.5703125" customWidth="1"/>
    <col min="14852" max="14852" width="0" hidden="1" customWidth="1"/>
    <col min="14853" max="14853" width="7.140625" customWidth="1"/>
    <col min="14854" max="14854" width="0" hidden="1" customWidth="1"/>
    <col min="14855" max="14855" width="6.85546875" customWidth="1"/>
    <col min="14856" max="14856" width="9.28515625" customWidth="1"/>
    <col min="14857" max="14857" width="5.85546875" customWidth="1"/>
    <col min="14858" max="14858" width="0" hidden="1" customWidth="1"/>
    <col min="14859" max="14859" width="10" customWidth="1"/>
    <col min="14860" max="14865" width="0" hidden="1" customWidth="1"/>
    <col min="15087" max="15087" width="4.140625" customWidth="1"/>
    <col min="15088" max="15088" width="15.5703125" customWidth="1"/>
    <col min="15089" max="15089" width="7.28515625" customWidth="1"/>
    <col min="15090" max="15090" width="4.85546875" customWidth="1"/>
    <col min="15091" max="15091" width="4.42578125" customWidth="1"/>
    <col min="15092" max="15097" width="0" hidden="1" customWidth="1"/>
    <col min="15098" max="15098" width="9" customWidth="1"/>
    <col min="15099" max="15099" width="4.85546875" customWidth="1"/>
    <col min="15100" max="15101" width="0" hidden="1" customWidth="1"/>
    <col min="15102" max="15103" width="4.85546875" customWidth="1"/>
    <col min="15104" max="15104" width="6.140625" customWidth="1"/>
    <col min="15105" max="15105" width="6.42578125" customWidth="1"/>
    <col min="15106" max="15106" width="4.85546875" customWidth="1"/>
    <col min="15107" max="15107" width="7.5703125" customWidth="1"/>
    <col min="15108" max="15108" width="0" hidden="1" customWidth="1"/>
    <col min="15109" max="15109" width="7.140625" customWidth="1"/>
    <col min="15110" max="15110" width="0" hidden="1" customWidth="1"/>
    <col min="15111" max="15111" width="6.85546875" customWidth="1"/>
    <col min="15112" max="15112" width="9.28515625" customWidth="1"/>
    <col min="15113" max="15113" width="5.85546875" customWidth="1"/>
    <col min="15114" max="15114" width="0" hidden="1" customWidth="1"/>
    <col min="15115" max="15115" width="10" customWidth="1"/>
    <col min="15116" max="15121" width="0" hidden="1" customWidth="1"/>
    <col min="15343" max="15343" width="4.140625" customWidth="1"/>
    <col min="15344" max="15344" width="15.5703125" customWidth="1"/>
    <col min="15345" max="15345" width="7.28515625" customWidth="1"/>
    <col min="15346" max="15346" width="4.85546875" customWidth="1"/>
    <col min="15347" max="15347" width="4.42578125" customWidth="1"/>
    <col min="15348" max="15353" width="0" hidden="1" customWidth="1"/>
    <col min="15354" max="15354" width="9" customWidth="1"/>
    <col min="15355" max="15355" width="4.85546875" customWidth="1"/>
    <col min="15356" max="15357" width="0" hidden="1" customWidth="1"/>
    <col min="15358" max="15359" width="4.85546875" customWidth="1"/>
    <col min="15360" max="15360" width="6.140625" customWidth="1"/>
    <col min="15361" max="15361" width="6.42578125" customWidth="1"/>
    <col min="15362" max="15362" width="4.85546875" customWidth="1"/>
    <col min="15363" max="15363" width="7.5703125" customWidth="1"/>
    <col min="15364" max="15364" width="0" hidden="1" customWidth="1"/>
    <col min="15365" max="15365" width="7.140625" customWidth="1"/>
    <col min="15366" max="15366" width="0" hidden="1" customWidth="1"/>
    <col min="15367" max="15367" width="6.85546875" customWidth="1"/>
    <col min="15368" max="15368" width="9.28515625" customWidth="1"/>
    <col min="15369" max="15369" width="5.85546875" customWidth="1"/>
    <col min="15370" max="15370" width="0" hidden="1" customWidth="1"/>
    <col min="15371" max="15371" width="10" customWidth="1"/>
    <col min="15372" max="15377" width="0" hidden="1" customWidth="1"/>
    <col min="15599" max="15599" width="4.140625" customWidth="1"/>
    <col min="15600" max="15600" width="15.5703125" customWidth="1"/>
    <col min="15601" max="15601" width="7.28515625" customWidth="1"/>
    <col min="15602" max="15602" width="4.85546875" customWidth="1"/>
    <col min="15603" max="15603" width="4.42578125" customWidth="1"/>
    <col min="15604" max="15609" width="0" hidden="1" customWidth="1"/>
    <col min="15610" max="15610" width="9" customWidth="1"/>
    <col min="15611" max="15611" width="4.85546875" customWidth="1"/>
    <col min="15612" max="15613" width="0" hidden="1" customWidth="1"/>
    <col min="15614" max="15615" width="4.85546875" customWidth="1"/>
    <col min="15616" max="15616" width="6.140625" customWidth="1"/>
    <col min="15617" max="15617" width="6.42578125" customWidth="1"/>
    <col min="15618" max="15618" width="4.85546875" customWidth="1"/>
    <col min="15619" max="15619" width="7.5703125" customWidth="1"/>
    <col min="15620" max="15620" width="0" hidden="1" customWidth="1"/>
    <col min="15621" max="15621" width="7.140625" customWidth="1"/>
    <col min="15622" max="15622" width="0" hidden="1" customWidth="1"/>
    <col min="15623" max="15623" width="6.85546875" customWidth="1"/>
    <col min="15624" max="15624" width="9.28515625" customWidth="1"/>
    <col min="15625" max="15625" width="5.85546875" customWidth="1"/>
    <col min="15626" max="15626" width="0" hidden="1" customWidth="1"/>
    <col min="15627" max="15627" width="10" customWidth="1"/>
    <col min="15628" max="15633" width="0" hidden="1" customWidth="1"/>
    <col min="15855" max="15855" width="4.140625" customWidth="1"/>
    <col min="15856" max="15856" width="15.5703125" customWidth="1"/>
    <col min="15857" max="15857" width="7.28515625" customWidth="1"/>
    <col min="15858" max="15858" width="4.85546875" customWidth="1"/>
    <col min="15859" max="15859" width="4.42578125" customWidth="1"/>
    <col min="15860" max="15865" width="0" hidden="1" customWidth="1"/>
    <col min="15866" max="15866" width="9" customWidth="1"/>
    <col min="15867" max="15867" width="4.85546875" customWidth="1"/>
    <col min="15868" max="15869" width="0" hidden="1" customWidth="1"/>
    <col min="15870" max="15871" width="4.85546875" customWidth="1"/>
    <col min="15872" max="15872" width="6.140625" customWidth="1"/>
    <col min="15873" max="15873" width="6.42578125" customWidth="1"/>
    <col min="15874" max="15874" width="4.85546875" customWidth="1"/>
    <col min="15875" max="15875" width="7.5703125" customWidth="1"/>
    <col min="15876" max="15876" width="0" hidden="1" customWidth="1"/>
    <col min="15877" max="15877" width="7.140625" customWidth="1"/>
    <col min="15878" max="15878" width="0" hidden="1" customWidth="1"/>
    <col min="15879" max="15879" width="6.85546875" customWidth="1"/>
    <col min="15880" max="15880" width="9.28515625" customWidth="1"/>
    <col min="15881" max="15881" width="5.85546875" customWidth="1"/>
    <col min="15882" max="15882" width="0" hidden="1" customWidth="1"/>
    <col min="15883" max="15883" width="10" customWidth="1"/>
    <col min="15884" max="15889" width="0" hidden="1" customWidth="1"/>
    <col min="16111" max="16111" width="4.140625" customWidth="1"/>
    <col min="16112" max="16112" width="15.5703125" customWidth="1"/>
    <col min="16113" max="16113" width="7.28515625" customWidth="1"/>
    <col min="16114" max="16114" width="4.85546875" customWidth="1"/>
    <col min="16115" max="16115" width="4.42578125" customWidth="1"/>
    <col min="16116" max="16121" width="0" hidden="1" customWidth="1"/>
    <col min="16122" max="16122" width="9" customWidth="1"/>
    <col min="16123" max="16123" width="4.85546875" customWidth="1"/>
    <col min="16124" max="16125" width="0" hidden="1" customWidth="1"/>
    <col min="16126" max="16127" width="4.85546875" customWidth="1"/>
    <col min="16128" max="16128" width="6.140625" customWidth="1"/>
    <col min="16129" max="16129" width="6.42578125" customWidth="1"/>
    <col min="16130" max="16130" width="4.85546875" customWidth="1"/>
    <col min="16131" max="16131" width="7.5703125" customWidth="1"/>
    <col min="16132" max="16132" width="0" hidden="1" customWidth="1"/>
    <col min="16133" max="16133" width="7.140625" customWidth="1"/>
    <col min="16134" max="16134" width="0" hidden="1" customWidth="1"/>
    <col min="16135" max="16135" width="6.85546875" customWidth="1"/>
    <col min="16136" max="16136" width="9.28515625" customWidth="1"/>
    <col min="16137" max="16137" width="5.85546875" customWidth="1"/>
    <col min="16138" max="16138" width="0" hidden="1" customWidth="1"/>
    <col min="16139" max="16139" width="10" customWidth="1"/>
    <col min="16140" max="16145" width="0" hidden="1" customWidth="1"/>
    <col min="16378" max="16384" width="9.140625" customWidth="1"/>
  </cols>
  <sheetData>
    <row r="1" spans="1:31 11519:16382" s="51" customFormat="1" ht="16.5">
      <c r="A1" s="112" t="s">
        <v>17</v>
      </c>
      <c r="B1" s="45"/>
      <c r="C1" s="46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7"/>
      <c r="T1" s="47"/>
      <c r="U1" s="45"/>
      <c r="V1" s="48"/>
      <c r="W1" s="45"/>
      <c r="X1" s="49"/>
      <c r="Y1" s="50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</row>
    <row r="2" spans="1:31 11519:16382" s="51" customFormat="1" ht="16.5">
      <c r="A2" s="110" t="s">
        <v>18</v>
      </c>
      <c r="B2" s="110"/>
      <c r="C2" s="52"/>
      <c r="L2" s="110"/>
      <c r="M2" s="110"/>
      <c r="N2" s="110"/>
      <c r="O2" s="111" t="s">
        <v>19</v>
      </c>
      <c r="P2" s="110"/>
      <c r="S2" s="53"/>
      <c r="T2" s="53"/>
      <c r="V2" s="54"/>
      <c r="X2" s="49"/>
      <c r="Y2" s="50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</row>
    <row r="3" spans="1:31 11519:16382" s="51" customFormat="1" ht="16.5">
      <c r="C3" s="52"/>
      <c r="L3" s="110"/>
      <c r="M3" s="110"/>
      <c r="N3" s="110"/>
      <c r="O3" s="111" t="s">
        <v>58</v>
      </c>
      <c r="P3" s="110"/>
      <c r="S3" s="53"/>
      <c r="T3" s="53"/>
      <c r="V3" s="54"/>
      <c r="X3" s="49"/>
      <c r="Y3" s="50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</row>
    <row r="4" spans="1:31 11519:16382" ht="13.5" customHeight="1"/>
    <row r="5" spans="1:31 11519:16382" ht="22.5" customHeight="1">
      <c r="A5" s="140" t="s">
        <v>20</v>
      </c>
      <c r="B5" s="140" t="s">
        <v>1</v>
      </c>
      <c r="C5" s="140" t="s">
        <v>2</v>
      </c>
      <c r="D5" s="140" t="s">
        <v>21</v>
      </c>
      <c r="E5" s="140"/>
      <c r="F5" s="132" t="s">
        <v>55</v>
      </c>
      <c r="G5" s="156" t="s">
        <v>44</v>
      </c>
      <c r="H5" s="163"/>
      <c r="I5" s="163"/>
      <c r="J5" s="163"/>
      <c r="K5" s="163"/>
      <c r="L5" s="157"/>
      <c r="M5" s="122"/>
      <c r="N5" s="159" t="s">
        <v>46</v>
      </c>
      <c r="O5" s="160"/>
      <c r="P5" s="160"/>
      <c r="Q5" s="160"/>
      <c r="R5" s="160"/>
      <c r="S5" s="160"/>
      <c r="T5" s="161"/>
      <c r="U5" s="140" t="s">
        <v>23</v>
      </c>
      <c r="V5" s="156" t="s">
        <v>24</v>
      </c>
      <c r="W5" s="157"/>
      <c r="X5" s="158" t="s">
        <v>25</v>
      </c>
      <c r="Y5" s="124" t="s">
        <v>26</v>
      </c>
      <c r="Z5" s="152" t="s">
        <v>59</v>
      </c>
      <c r="AA5" s="153" t="s">
        <v>60</v>
      </c>
      <c r="AB5" s="141" t="s">
        <v>57</v>
      </c>
      <c r="AC5" s="144" t="s">
        <v>61</v>
      </c>
      <c r="AD5" s="141" t="s">
        <v>34</v>
      </c>
      <c r="AE5" s="134" t="s">
        <v>38</v>
      </c>
    </row>
    <row r="6" spans="1:31 11519:16382" ht="34.5" customHeight="1">
      <c r="A6" s="140"/>
      <c r="B6" s="140"/>
      <c r="C6" s="140"/>
      <c r="D6" s="140"/>
      <c r="E6" s="140"/>
      <c r="F6" s="165"/>
      <c r="G6" s="132" t="s">
        <v>45</v>
      </c>
      <c r="H6" s="132" t="s">
        <v>8</v>
      </c>
      <c r="I6" s="132" t="s">
        <v>5</v>
      </c>
      <c r="J6" s="132" t="s">
        <v>15</v>
      </c>
      <c r="K6" s="132" t="s">
        <v>27</v>
      </c>
      <c r="L6" s="132" t="s">
        <v>28</v>
      </c>
      <c r="M6" s="132" t="s">
        <v>63</v>
      </c>
      <c r="N6" s="140" t="s">
        <v>16</v>
      </c>
      <c r="O6" s="133" t="s">
        <v>47</v>
      </c>
      <c r="P6" s="133" t="s">
        <v>53</v>
      </c>
      <c r="Q6" s="154" t="s">
        <v>10</v>
      </c>
      <c r="R6" s="133" t="s">
        <v>37</v>
      </c>
      <c r="S6" s="164" t="s">
        <v>22</v>
      </c>
      <c r="T6" s="162" t="s">
        <v>48</v>
      </c>
      <c r="U6" s="140"/>
      <c r="V6" s="140" t="s">
        <v>29</v>
      </c>
      <c r="W6" s="140" t="s">
        <v>41</v>
      </c>
      <c r="X6" s="158"/>
      <c r="Y6" s="124"/>
      <c r="Z6" s="152"/>
      <c r="AA6" s="153"/>
      <c r="AB6" s="142"/>
      <c r="AC6" s="145"/>
      <c r="AD6" s="142"/>
      <c r="AE6" s="135"/>
    </row>
    <row r="7" spans="1:31 11519:16382" ht="34.5" customHeight="1">
      <c r="A7" s="140"/>
      <c r="B7" s="140"/>
      <c r="C7" s="140"/>
      <c r="D7" s="140"/>
      <c r="E7" s="140"/>
      <c r="F7" s="133"/>
      <c r="G7" s="133"/>
      <c r="H7" s="133"/>
      <c r="I7" s="133"/>
      <c r="J7" s="133"/>
      <c r="K7" s="133"/>
      <c r="L7" s="133"/>
      <c r="M7" s="133"/>
      <c r="N7" s="140"/>
      <c r="O7" s="140"/>
      <c r="P7" s="140"/>
      <c r="Q7" s="155"/>
      <c r="R7" s="140"/>
      <c r="S7" s="154"/>
      <c r="T7" s="154"/>
      <c r="U7" s="140"/>
      <c r="V7" s="140"/>
      <c r="W7" s="140"/>
      <c r="X7" s="158"/>
      <c r="Y7" s="124"/>
      <c r="Z7" s="152"/>
      <c r="AA7" s="153"/>
      <c r="AB7" s="143"/>
      <c r="AC7" s="146"/>
      <c r="AD7" s="143"/>
      <c r="AE7" s="136"/>
    </row>
    <row r="8" spans="1:31 11519:16382" ht="15.75" customHeight="1">
      <c r="A8" s="57">
        <v>1</v>
      </c>
      <c r="B8" s="57">
        <v>2</v>
      </c>
      <c r="C8" s="57">
        <v>3</v>
      </c>
      <c r="D8" s="151">
        <v>4</v>
      </c>
      <c r="E8" s="151"/>
      <c r="F8" s="68"/>
      <c r="G8" s="68">
        <v>5</v>
      </c>
      <c r="H8" s="68">
        <v>6</v>
      </c>
      <c r="I8" s="68">
        <v>7</v>
      </c>
      <c r="J8" s="68">
        <v>8</v>
      </c>
      <c r="K8" s="68">
        <v>9</v>
      </c>
      <c r="L8" s="68">
        <v>10</v>
      </c>
      <c r="M8" s="68"/>
      <c r="N8" s="68">
        <v>11</v>
      </c>
      <c r="O8" s="68">
        <v>12</v>
      </c>
      <c r="P8" s="68">
        <v>13</v>
      </c>
      <c r="Q8" s="82">
        <v>14</v>
      </c>
      <c r="R8" s="68">
        <v>15</v>
      </c>
      <c r="S8" s="82">
        <v>16</v>
      </c>
      <c r="T8" s="82">
        <v>17</v>
      </c>
      <c r="U8" s="82">
        <v>18</v>
      </c>
      <c r="V8" s="82">
        <v>19</v>
      </c>
      <c r="W8" s="82">
        <v>20</v>
      </c>
      <c r="X8" s="82">
        <v>21</v>
      </c>
      <c r="Y8" s="83">
        <v>22</v>
      </c>
      <c r="Z8" s="101">
        <v>23</v>
      </c>
      <c r="AA8" s="70">
        <v>24</v>
      </c>
      <c r="AB8" s="69" t="s">
        <v>49</v>
      </c>
      <c r="AC8" s="70" t="s">
        <v>51</v>
      </c>
      <c r="AD8" s="93" t="s">
        <v>50</v>
      </c>
      <c r="AE8" s="98" t="s">
        <v>52</v>
      </c>
    </row>
    <row r="9" spans="1:31 11519:16382" ht="15.6" customHeight="1">
      <c r="A9" s="126">
        <v>1</v>
      </c>
      <c r="B9" s="125">
        <f>'Bang TH nop'!B9</f>
        <v>0</v>
      </c>
      <c r="C9" s="150">
        <f>'Bang TH nop'!C9</f>
        <v>0</v>
      </c>
      <c r="D9" s="138"/>
      <c r="E9" s="139"/>
      <c r="F9" s="107"/>
      <c r="G9" s="76">
        <f>'Bang TH nop'!F9</f>
        <v>0</v>
      </c>
      <c r="H9" s="87">
        <f>'Bang TH nop'!K9</f>
        <v>0</v>
      </c>
      <c r="I9" s="79">
        <f>+'Bang TH nop'!G9</f>
        <v>0</v>
      </c>
      <c r="J9" s="81">
        <f>+'Bang TH nop'!H9</f>
        <v>0</v>
      </c>
      <c r="K9" s="79">
        <f>+'Bang TH nop'!R9</f>
        <v>0</v>
      </c>
      <c r="L9" s="84">
        <f>+'Bang TH nop'!J9</f>
        <v>0</v>
      </c>
      <c r="M9" s="84"/>
      <c r="N9" s="84"/>
      <c r="O9" s="84"/>
      <c r="P9" s="84"/>
      <c r="Q9" s="85"/>
      <c r="R9" s="84"/>
      <c r="S9" s="85">
        <f>'Bang TH nop'!L9</f>
        <v>0</v>
      </c>
      <c r="T9" s="85"/>
      <c r="U9" s="85"/>
      <c r="V9" s="85"/>
      <c r="W9" s="85"/>
      <c r="X9" s="85"/>
      <c r="Y9" s="103"/>
      <c r="Z9" s="102"/>
      <c r="AA9" s="71"/>
      <c r="AB9" s="72"/>
      <c r="AC9" s="73"/>
      <c r="AD9" s="72"/>
      <c r="AE9" s="92"/>
    </row>
    <row r="10" spans="1:31 11519:16382" ht="15.6" customHeight="1">
      <c r="A10" s="126"/>
      <c r="B10" s="125"/>
      <c r="C10" s="150"/>
      <c r="D10" s="127">
        <f>+'Bang TH nop'!D9</f>
        <v>0</v>
      </c>
      <c r="E10" s="139"/>
      <c r="F10" s="108">
        <f>+'Bang TH nop'!E9</f>
        <v>0</v>
      </c>
      <c r="G10" s="77">
        <f>IFERROR(F10/26*G9,0)</f>
        <v>0</v>
      </c>
      <c r="H10" s="59">
        <f>(IFERROR(F10,0)/26/8*150%)*IFERROR(H9,0)</f>
        <v>0</v>
      </c>
      <c r="I10" s="80">
        <f>IFERROR(ROUND(D10/26*I9,0),0)</f>
        <v>0</v>
      </c>
      <c r="J10" s="80">
        <f>IFERROR(ROUND(F10/26*J9,0)*4,0)</f>
        <v>0</v>
      </c>
      <c r="K10" s="80">
        <f>IFERROR(F10/26*K9*2,0)</f>
        <v>0</v>
      </c>
      <c r="L10" s="78">
        <f>IFERROR(F10*L9/26*30%,0)</f>
        <v>0</v>
      </c>
      <c r="M10" s="78">
        <f>IFERROR(F10/26*M9*60%,0)</f>
        <v>0</v>
      </c>
      <c r="N10" s="78">
        <f>'Bang TH nop'!O9</f>
        <v>0</v>
      </c>
      <c r="O10" s="75">
        <f>'Bang TH nop'!N9</f>
        <v>0</v>
      </c>
      <c r="P10" s="75">
        <f>+'Bang TH nop'!S9</f>
        <v>0</v>
      </c>
      <c r="Q10" s="86">
        <f>'Bang TH nop'!M9</f>
        <v>0</v>
      </c>
      <c r="R10" s="86">
        <f>IFERROR('Bang TH nop'!Q9,0)+IFERROR('Bang TH nop'!P9,0)</f>
        <v>0</v>
      </c>
      <c r="S10" s="58">
        <f>IFERROR(S9*15000,0)</f>
        <v>0</v>
      </c>
      <c r="T10" s="58"/>
      <c r="U10" s="58" cm="1">
        <f t="array" ref="U10">SUM(IFERROR(G10:S10,0))</f>
        <v>0</v>
      </c>
      <c r="V10" s="75"/>
      <c r="W10" s="75">
        <f>IFERROR(ROUND(D10*0.5%,-3),0)</f>
        <v>0</v>
      </c>
      <c r="X10" s="58">
        <f>IFERROR(ROUND(U10-V10-W10,-2),0)</f>
        <v>0</v>
      </c>
      <c r="Y10" s="104">
        <f>IFERROR('Bang TH nop'!F9,0)+IFERROR('Bang TH nop'!H9,0)+IFERROR('Bang TH nop'!R9,0)</f>
        <v>0</v>
      </c>
      <c r="Z10" s="102"/>
      <c r="AA10" s="74"/>
      <c r="AB10" s="94">
        <f>IFERROR(AA10/Z10,0)</f>
        <v>0</v>
      </c>
      <c r="AC10" s="94">
        <f>IFERROR(AE10/Y10,0)</f>
        <v>0</v>
      </c>
      <c r="AD10" s="95">
        <f>IFERROR(AC10/AB10,0)</f>
        <v>0</v>
      </c>
      <c r="AE10" s="92">
        <f>IFERROR(U10-J10,0)</f>
        <v>0</v>
      </c>
    </row>
    <row r="11" spans="1:31 11519:16382" ht="15.6" customHeight="1">
      <c r="A11" s="126">
        <v>2</v>
      </c>
      <c r="B11" s="125">
        <f>'Bang TH nop'!B11</f>
        <v>0</v>
      </c>
      <c r="C11" s="150">
        <f>'Bang TH nop'!C11</f>
        <v>0</v>
      </c>
      <c r="D11" s="138"/>
      <c r="E11" s="139"/>
      <c r="F11" s="107"/>
      <c r="G11" s="76">
        <f>'Bang TH nop'!F11</f>
        <v>0</v>
      </c>
      <c r="H11" s="87">
        <f>'Bang TH nop'!K11</f>
        <v>0</v>
      </c>
      <c r="I11" s="79">
        <f>+'Bang TH nop'!G11</f>
        <v>0</v>
      </c>
      <c r="J11" s="81">
        <f>+'Bang TH nop'!H11</f>
        <v>0</v>
      </c>
      <c r="K11" s="79">
        <f>+'Bang TH nop'!R11</f>
        <v>0</v>
      </c>
      <c r="L11" s="84">
        <f>+'Bang TH nop'!J11</f>
        <v>0</v>
      </c>
      <c r="M11" s="84"/>
      <c r="N11" s="84"/>
      <c r="O11" s="84"/>
      <c r="P11" s="84"/>
      <c r="Q11" s="85"/>
      <c r="R11" s="84"/>
      <c r="S11" s="85">
        <f>'Bang TH nop'!L11</f>
        <v>0</v>
      </c>
      <c r="T11" s="85"/>
      <c r="U11" s="85"/>
      <c r="V11" s="85"/>
      <c r="W11" s="85"/>
      <c r="X11" s="85"/>
      <c r="Y11" s="103"/>
      <c r="Z11" s="102"/>
      <c r="AA11" s="71"/>
      <c r="AB11" s="72"/>
      <c r="AC11" s="73"/>
      <c r="AD11" s="72"/>
      <c r="AE11" s="92"/>
    </row>
    <row r="12" spans="1:31 11519:16382" ht="15.6" customHeight="1">
      <c r="A12" s="126"/>
      <c r="B12" s="125"/>
      <c r="C12" s="150"/>
      <c r="D12" s="127">
        <f>+'Bang TH nop'!D11</f>
        <v>0</v>
      </c>
      <c r="E12" s="139"/>
      <c r="F12" s="108">
        <f>+'Bang TH nop'!E11</f>
        <v>0</v>
      </c>
      <c r="G12" s="77">
        <f t="shared" ref="G12" si="0">IFERROR(F12/26*G11,0)</f>
        <v>0</v>
      </c>
      <c r="H12" s="59">
        <f t="shared" ref="H12:H22" si="1">(IFERROR(F12,0)/26/8*150%)*IFERROR(H11,0)</f>
        <v>0</v>
      </c>
      <c r="I12" s="80">
        <f t="shared" ref="I12:I22" si="2">IFERROR(ROUND(D12/26*I11,0),0)</f>
        <v>0</v>
      </c>
      <c r="J12" s="80">
        <f t="shared" ref="J12:J22" si="3">IFERROR(ROUND(F12/26*J11,0)*4,0)</f>
        <v>0</v>
      </c>
      <c r="K12" s="80">
        <f t="shared" ref="K12:K22" si="4">IFERROR(F12/26*K11*2,0)</f>
        <v>0</v>
      </c>
      <c r="L12" s="78">
        <f t="shared" ref="L12:L22" si="5">IFERROR(F12*L11/26*30%,0)</f>
        <v>0</v>
      </c>
      <c r="M12" s="78">
        <f t="shared" ref="M12:M22" si="6">IFERROR(F12/26*M11*60%,0)</f>
        <v>0</v>
      </c>
      <c r="N12" s="78">
        <f>'Bang TH nop'!O11</f>
        <v>0</v>
      </c>
      <c r="O12" s="75">
        <f>'Bang TH nop'!N11</f>
        <v>0</v>
      </c>
      <c r="P12" s="75">
        <f>+'Bang TH nop'!S11</f>
        <v>0</v>
      </c>
      <c r="Q12" s="86">
        <f>'Bang TH nop'!M11</f>
        <v>0</v>
      </c>
      <c r="R12" s="86">
        <f>IFERROR('Bang TH nop'!Q11,0)+IFERROR('Bang TH nop'!P11,0)</f>
        <v>0</v>
      </c>
      <c r="S12" s="58">
        <f t="shared" ref="S12:S22" si="7">IFERROR(S11*15000,0)</f>
        <v>0</v>
      </c>
      <c r="T12" s="58"/>
      <c r="U12" s="58" cm="1">
        <f t="array" ref="U12">SUM(IFERROR(G12:S12,0))</f>
        <v>0</v>
      </c>
      <c r="V12" s="75"/>
      <c r="W12" s="75">
        <f t="shared" ref="W12:W22" si="8">IFERROR(ROUND(D12*0.5%,-3),0)</f>
        <v>0</v>
      </c>
      <c r="X12" s="58">
        <f t="shared" ref="X12" si="9">IFERROR(ROUND(U12-V12-W12,-2),0)</f>
        <v>0</v>
      </c>
      <c r="Y12" s="104">
        <f>IFERROR('Bang TH nop'!F11,0)+IFERROR('Bang TH nop'!H11,0)+IFERROR('Bang TH nop'!R11,0)</f>
        <v>0</v>
      </c>
      <c r="Z12" s="102"/>
      <c r="AA12" s="74"/>
      <c r="AB12" s="94">
        <f t="shared" ref="AB12" si="10">IFERROR(AA12/Z12,0)</f>
        <v>0</v>
      </c>
      <c r="AC12" s="94">
        <f t="shared" ref="AC12:AC22" si="11">IFERROR(AE12/Y12,0)</f>
        <v>0</v>
      </c>
      <c r="AD12" s="95">
        <f t="shared" ref="AD12" si="12">IFERROR(AC12/AB12,0)</f>
        <v>0</v>
      </c>
      <c r="AE12" s="92">
        <f t="shared" ref="AE12:AE22" si="13">IFERROR(U12-J12,0)</f>
        <v>0</v>
      </c>
    </row>
    <row r="13" spans="1:31 11519:16382" ht="15.6" customHeight="1">
      <c r="A13" s="126">
        <v>3</v>
      </c>
      <c r="B13" s="125">
        <f>'Bang TH nop'!B13</f>
        <v>0</v>
      </c>
      <c r="C13" s="150">
        <f>'Bang TH nop'!C13</f>
        <v>0</v>
      </c>
      <c r="D13" s="138"/>
      <c r="E13" s="139"/>
      <c r="F13" s="107"/>
      <c r="G13" s="76">
        <f>'Bang TH nop'!F13</f>
        <v>0</v>
      </c>
      <c r="H13" s="87">
        <f>'Bang TH nop'!K13</f>
        <v>0</v>
      </c>
      <c r="I13" s="79">
        <f>+'Bang TH nop'!G13</f>
        <v>0</v>
      </c>
      <c r="J13" s="81">
        <f>+'Bang TH nop'!H13</f>
        <v>0</v>
      </c>
      <c r="K13" s="79">
        <f>+'Bang TH nop'!R13</f>
        <v>0</v>
      </c>
      <c r="L13" s="84">
        <f>+'Bang TH nop'!J13</f>
        <v>0</v>
      </c>
      <c r="M13" s="84"/>
      <c r="N13" s="84"/>
      <c r="O13" s="84"/>
      <c r="P13" s="84"/>
      <c r="Q13" s="85"/>
      <c r="R13" s="84"/>
      <c r="S13" s="85">
        <f>'Bang TH nop'!L13</f>
        <v>0</v>
      </c>
      <c r="T13" s="85"/>
      <c r="U13" s="85"/>
      <c r="V13" s="85"/>
      <c r="W13" s="85"/>
      <c r="X13" s="85"/>
      <c r="Y13" s="103"/>
      <c r="Z13" s="102"/>
      <c r="AA13" s="71"/>
      <c r="AB13" s="72"/>
      <c r="AC13" s="73"/>
      <c r="AD13" s="72"/>
      <c r="AE13" s="92"/>
    </row>
    <row r="14" spans="1:31 11519:16382" ht="15.6" customHeight="1">
      <c r="A14" s="126"/>
      <c r="B14" s="125"/>
      <c r="C14" s="150"/>
      <c r="D14" s="127">
        <f>+'Bang TH nop'!D13</f>
        <v>0</v>
      </c>
      <c r="E14" s="139"/>
      <c r="F14" s="108">
        <f>+'Bang TH nop'!E13</f>
        <v>0</v>
      </c>
      <c r="G14" s="77">
        <f t="shared" ref="G14" si="14">IFERROR(F14/26*G13,0)</f>
        <v>0</v>
      </c>
      <c r="H14" s="59">
        <f t="shared" ref="H14:H22" si="15">(IFERROR(F14,0)/26/8*150%)*IFERROR(H13,0)</f>
        <v>0</v>
      </c>
      <c r="I14" s="80">
        <f t="shared" ref="I14:I22" si="16">IFERROR(ROUND(D14/26*I13,0),0)</f>
        <v>0</v>
      </c>
      <c r="J14" s="80">
        <f t="shared" ref="J14:J22" si="17">IFERROR(ROUND(F14/26*J13,0)*4,0)</f>
        <v>0</v>
      </c>
      <c r="K14" s="80">
        <f t="shared" ref="K14:K22" si="18">IFERROR(F14/26*K13*2,0)</f>
        <v>0</v>
      </c>
      <c r="L14" s="78">
        <f t="shared" ref="L14:L22" si="19">IFERROR(F14*L13/26*30%,0)</f>
        <v>0</v>
      </c>
      <c r="M14" s="78">
        <f t="shared" ref="M14:M22" si="20">IFERROR(F14/26*M13*60%,0)</f>
        <v>0</v>
      </c>
      <c r="N14" s="78">
        <f>'Bang TH nop'!O13</f>
        <v>0</v>
      </c>
      <c r="O14" s="75">
        <f>'Bang TH nop'!N13</f>
        <v>0</v>
      </c>
      <c r="P14" s="75">
        <f>+'Bang TH nop'!S13</f>
        <v>0</v>
      </c>
      <c r="Q14" s="86">
        <f>'Bang TH nop'!M13</f>
        <v>0</v>
      </c>
      <c r="R14" s="86">
        <f>IFERROR('Bang TH nop'!Q13,0)+IFERROR('Bang TH nop'!P13,0)</f>
        <v>0</v>
      </c>
      <c r="S14" s="58">
        <f t="shared" ref="S14:S22" si="21">IFERROR(S13*15000,0)</f>
        <v>0</v>
      </c>
      <c r="T14" s="58"/>
      <c r="U14" s="58" cm="1">
        <f t="array" ref="U14">SUM(IFERROR(G14:S14,0))</f>
        <v>0</v>
      </c>
      <c r="V14" s="75"/>
      <c r="W14" s="75">
        <f t="shared" ref="W14:W22" si="22">IFERROR(ROUND(D14*0.5%,-3),0)</f>
        <v>0</v>
      </c>
      <c r="X14" s="58">
        <f t="shared" ref="X14" si="23">IFERROR(ROUND(U14-V14-W14,-2),0)</f>
        <v>0</v>
      </c>
      <c r="Y14" s="104">
        <f>IFERROR('Bang TH nop'!F13,0)+IFERROR('Bang TH nop'!H13,0)+IFERROR('Bang TH nop'!R13,0)</f>
        <v>0</v>
      </c>
      <c r="Z14" s="102"/>
      <c r="AA14" s="74"/>
      <c r="AB14" s="94">
        <f t="shared" ref="AB14" si="24">IFERROR(AA14/Z14,0)</f>
        <v>0</v>
      </c>
      <c r="AC14" s="94">
        <f t="shared" ref="AC14:AC22" si="25">IFERROR(AE14/Y14,0)</f>
        <v>0</v>
      </c>
      <c r="AD14" s="95">
        <f t="shared" ref="AD14" si="26">IFERROR(AC14/AB14,0)</f>
        <v>0</v>
      </c>
      <c r="AE14" s="92">
        <f t="shared" ref="AE14:AE22" si="27">IFERROR(U14-J14,0)</f>
        <v>0</v>
      </c>
    </row>
    <row r="15" spans="1:31 11519:16382" ht="15.6" customHeight="1">
      <c r="A15" s="126">
        <v>4</v>
      </c>
      <c r="B15" s="125">
        <f>'Bang TH nop'!B15</f>
        <v>0</v>
      </c>
      <c r="C15" s="150">
        <f>'Bang TH nop'!C15</f>
        <v>0</v>
      </c>
      <c r="D15" s="138"/>
      <c r="E15" s="139"/>
      <c r="F15" s="107"/>
      <c r="G15" s="76">
        <f>'Bang TH nop'!F15</f>
        <v>0</v>
      </c>
      <c r="H15" s="87">
        <f>'Bang TH nop'!K15</f>
        <v>0</v>
      </c>
      <c r="I15" s="79">
        <f>+'Bang TH nop'!G15</f>
        <v>0</v>
      </c>
      <c r="J15" s="81">
        <f>+'Bang TH nop'!H15</f>
        <v>0</v>
      </c>
      <c r="K15" s="79">
        <f>+'Bang TH nop'!R15</f>
        <v>0</v>
      </c>
      <c r="L15" s="84">
        <f>+'Bang TH nop'!J15</f>
        <v>0</v>
      </c>
      <c r="M15" s="84"/>
      <c r="N15" s="84"/>
      <c r="O15" s="84"/>
      <c r="P15" s="84"/>
      <c r="Q15" s="85"/>
      <c r="R15" s="84"/>
      <c r="S15" s="85">
        <f>'Bang TH nop'!L15</f>
        <v>0</v>
      </c>
      <c r="T15" s="85"/>
      <c r="U15" s="85"/>
      <c r="V15" s="85"/>
      <c r="W15" s="85"/>
      <c r="X15" s="85"/>
      <c r="Y15" s="103"/>
      <c r="Z15" s="102"/>
      <c r="AA15" s="71"/>
      <c r="AB15" s="72"/>
      <c r="AC15" s="73"/>
      <c r="AD15" s="72"/>
      <c r="AE15" s="92"/>
    </row>
    <row r="16" spans="1:31 11519:16382" ht="15.6" customHeight="1">
      <c r="A16" s="126"/>
      <c r="B16" s="125"/>
      <c r="C16" s="150"/>
      <c r="D16" s="127">
        <f>+'Bang TH nop'!D15</f>
        <v>0</v>
      </c>
      <c r="E16" s="139"/>
      <c r="F16" s="108">
        <f>+'Bang TH nop'!E15</f>
        <v>0</v>
      </c>
      <c r="G16" s="77">
        <f t="shared" ref="G16" si="28">IFERROR(F16/26*G15,0)</f>
        <v>0</v>
      </c>
      <c r="H16" s="59">
        <f t="shared" ref="H16:H22" si="29">(IFERROR(F16,0)/26/8*150%)*IFERROR(H15,0)</f>
        <v>0</v>
      </c>
      <c r="I16" s="80">
        <f t="shared" ref="I16:I22" si="30">IFERROR(ROUND(D16/26*I15,0),0)</f>
        <v>0</v>
      </c>
      <c r="J16" s="80">
        <f t="shared" ref="J16:J22" si="31">IFERROR(ROUND(F16/26*J15,0)*4,0)</f>
        <v>0</v>
      </c>
      <c r="K16" s="80">
        <f t="shared" ref="K16:K22" si="32">IFERROR(F16/26*K15*2,0)</f>
        <v>0</v>
      </c>
      <c r="L16" s="78">
        <f t="shared" ref="L16:L22" si="33">IFERROR(F16*L15/26*30%,0)</f>
        <v>0</v>
      </c>
      <c r="M16" s="78">
        <f t="shared" ref="M16:M22" si="34">IFERROR(F16/26*M15*60%,0)</f>
        <v>0</v>
      </c>
      <c r="N16" s="78">
        <f>'Bang TH nop'!O15</f>
        <v>0</v>
      </c>
      <c r="O16" s="75">
        <f>'Bang TH nop'!N15</f>
        <v>0</v>
      </c>
      <c r="P16" s="75">
        <f>+'Bang TH nop'!S15</f>
        <v>0</v>
      </c>
      <c r="Q16" s="86">
        <f>'Bang TH nop'!M15</f>
        <v>0</v>
      </c>
      <c r="R16" s="86">
        <f>IFERROR('Bang TH nop'!Q15,0)+IFERROR('Bang TH nop'!P15,0)</f>
        <v>0</v>
      </c>
      <c r="S16" s="58">
        <f t="shared" ref="S16:S22" si="35">IFERROR(S15*15000,0)</f>
        <v>0</v>
      </c>
      <c r="T16" s="58"/>
      <c r="U16" s="58" cm="1">
        <f t="array" ref="U16">SUM(IFERROR(G16:S16,0))</f>
        <v>0</v>
      </c>
      <c r="V16" s="75"/>
      <c r="W16" s="75">
        <f t="shared" ref="W16:W22" si="36">IFERROR(ROUND(D16*0.5%,-3),0)</f>
        <v>0</v>
      </c>
      <c r="X16" s="58">
        <f t="shared" ref="X16" si="37">IFERROR(ROUND(U16-V16-W16,-2),0)</f>
        <v>0</v>
      </c>
      <c r="Y16" s="104">
        <f>IFERROR('Bang TH nop'!F15,0)+IFERROR('Bang TH nop'!H15,0)+IFERROR('Bang TH nop'!R15,0)</f>
        <v>0</v>
      </c>
      <c r="Z16" s="102"/>
      <c r="AA16" s="74"/>
      <c r="AB16" s="94">
        <f t="shared" ref="AB16" si="38">IFERROR(AA16/Z16,0)</f>
        <v>0</v>
      </c>
      <c r="AC16" s="94">
        <f t="shared" ref="AC16:AC22" si="39">IFERROR(AE16/Y16,0)</f>
        <v>0</v>
      </c>
      <c r="AD16" s="95">
        <f t="shared" ref="AD16" si="40">IFERROR(AC16/AB16,0)</f>
        <v>0</v>
      </c>
      <c r="AE16" s="92">
        <f t="shared" ref="AE16:AE22" si="41">IFERROR(U16-J16,0)</f>
        <v>0</v>
      </c>
    </row>
    <row r="17" spans="1:31" ht="15.6" customHeight="1">
      <c r="A17" s="126">
        <v>5</v>
      </c>
      <c r="B17" s="125">
        <f>'Bang TH nop'!B17</f>
        <v>0</v>
      </c>
      <c r="C17" s="150">
        <f>'Bang TH nop'!C17</f>
        <v>0</v>
      </c>
      <c r="D17" s="138"/>
      <c r="E17" s="139"/>
      <c r="F17" s="107"/>
      <c r="G17" s="76">
        <f>'Bang TH nop'!F17</f>
        <v>0</v>
      </c>
      <c r="H17" s="87">
        <f>'Bang TH nop'!K17</f>
        <v>0</v>
      </c>
      <c r="I17" s="79">
        <f>+'Bang TH nop'!G17</f>
        <v>0</v>
      </c>
      <c r="J17" s="81">
        <f>+'Bang TH nop'!H17</f>
        <v>0</v>
      </c>
      <c r="K17" s="79">
        <f>+'Bang TH nop'!R17</f>
        <v>0</v>
      </c>
      <c r="L17" s="84">
        <f>+'Bang TH nop'!J17</f>
        <v>0</v>
      </c>
      <c r="M17" s="84"/>
      <c r="N17" s="84"/>
      <c r="O17" s="84"/>
      <c r="P17" s="84"/>
      <c r="Q17" s="85"/>
      <c r="R17" s="84"/>
      <c r="S17" s="85">
        <f>'Bang TH nop'!L17</f>
        <v>0</v>
      </c>
      <c r="T17" s="85"/>
      <c r="U17" s="85"/>
      <c r="V17" s="85"/>
      <c r="W17" s="85"/>
      <c r="X17" s="85"/>
      <c r="Y17" s="103"/>
      <c r="Z17" s="102"/>
      <c r="AA17" s="71"/>
      <c r="AB17" s="72"/>
      <c r="AC17" s="73"/>
      <c r="AD17" s="72"/>
      <c r="AE17" s="92"/>
    </row>
    <row r="18" spans="1:31" ht="15.6" customHeight="1">
      <c r="A18" s="126"/>
      <c r="B18" s="125"/>
      <c r="C18" s="150"/>
      <c r="D18" s="127">
        <f>+'Bang TH nop'!D17</f>
        <v>0</v>
      </c>
      <c r="E18" s="139"/>
      <c r="F18" s="108">
        <f>+'Bang TH nop'!E17</f>
        <v>0</v>
      </c>
      <c r="G18" s="77">
        <f t="shared" ref="G18" si="42">IFERROR(F18/26*G17,0)</f>
        <v>0</v>
      </c>
      <c r="H18" s="59">
        <f t="shared" ref="H18:H22" si="43">(IFERROR(F18,0)/26/8*150%)*IFERROR(H17,0)</f>
        <v>0</v>
      </c>
      <c r="I18" s="80">
        <f t="shared" ref="I18:I22" si="44">IFERROR(ROUND(D18/26*I17,0),0)</f>
        <v>0</v>
      </c>
      <c r="J18" s="80">
        <f t="shared" ref="J18:J22" si="45">IFERROR(ROUND(F18/26*J17,0)*4,0)</f>
        <v>0</v>
      </c>
      <c r="K18" s="80">
        <f t="shared" ref="K18:K22" si="46">IFERROR(F18/26*K17*2,0)</f>
        <v>0</v>
      </c>
      <c r="L18" s="78">
        <f t="shared" ref="L18:L22" si="47">IFERROR(F18*L17/26*30%,0)</f>
        <v>0</v>
      </c>
      <c r="M18" s="78">
        <f t="shared" ref="M18:M22" si="48">IFERROR(F18/26*M17*60%,0)</f>
        <v>0</v>
      </c>
      <c r="N18" s="78">
        <f>'Bang TH nop'!O17</f>
        <v>0</v>
      </c>
      <c r="O18" s="75">
        <f>'Bang TH nop'!N17</f>
        <v>0</v>
      </c>
      <c r="P18" s="75">
        <f>+'Bang TH nop'!S17</f>
        <v>0</v>
      </c>
      <c r="Q18" s="86">
        <f>'Bang TH nop'!M17</f>
        <v>0</v>
      </c>
      <c r="R18" s="86">
        <f>IFERROR('Bang TH nop'!Q17,0)+IFERROR('Bang TH nop'!P17,0)</f>
        <v>0</v>
      </c>
      <c r="S18" s="58">
        <f t="shared" ref="S18:S22" si="49">IFERROR(S17*15000,0)</f>
        <v>0</v>
      </c>
      <c r="T18" s="58"/>
      <c r="U18" s="58" cm="1">
        <f t="array" ref="U18">SUM(IFERROR(G18:S18,0))</f>
        <v>0</v>
      </c>
      <c r="V18" s="75"/>
      <c r="W18" s="75">
        <f t="shared" ref="W18:W22" si="50">IFERROR(ROUND(D18*0.5%,-3),0)</f>
        <v>0</v>
      </c>
      <c r="X18" s="58">
        <f t="shared" ref="X18" si="51">IFERROR(ROUND(U18-V18-W18,-2),0)</f>
        <v>0</v>
      </c>
      <c r="Y18" s="104">
        <f>IFERROR('Bang TH nop'!F17,0)+IFERROR('Bang TH nop'!H17,0)+IFERROR('Bang TH nop'!R17,0)</f>
        <v>0</v>
      </c>
      <c r="Z18" s="102"/>
      <c r="AA18" s="74"/>
      <c r="AB18" s="94">
        <f t="shared" ref="AB18" si="52">IFERROR(AA18/Z18,0)</f>
        <v>0</v>
      </c>
      <c r="AC18" s="94">
        <f t="shared" ref="AC18:AC22" si="53">IFERROR(AE18/Y18,0)</f>
        <v>0</v>
      </c>
      <c r="AD18" s="95">
        <f t="shared" ref="AD18" si="54">IFERROR(AC18/AB18,0)</f>
        <v>0</v>
      </c>
      <c r="AE18" s="92">
        <f t="shared" ref="AE18:AE22" si="55">IFERROR(U18-J18,0)</f>
        <v>0</v>
      </c>
    </row>
    <row r="19" spans="1:31" ht="15.6" customHeight="1">
      <c r="A19" s="126">
        <v>6</v>
      </c>
      <c r="B19" s="125">
        <f>'Bang TH nop'!B19</f>
        <v>0</v>
      </c>
      <c r="C19" s="150">
        <f>'Bang TH nop'!C19</f>
        <v>0</v>
      </c>
      <c r="D19" s="138"/>
      <c r="E19" s="139"/>
      <c r="F19" s="107"/>
      <c r="G19" s="76">
        <f>'Bang TH nop'!F19</f>
        <v>0</v>
      </c>
      <c r="H19" s="87">
        <f>'Bang TH nop'!K19</f>
        <v>0</v>
      </c>
      <c r="I19" s="79">
        <f>+'Bang TH nop'!G19</f>
        <v>0</v>
      </c>
      <c r="J19" s="81">
        <f>+'Bang TH nop'!H19</f>
        <v>0</v>
      </c>
      <c r="K19" s="79">
        <f>+'Bang TH nop'!R19</f>
        <v>0</v>
      </c>
      <c r="L19" s="84">
        <f>+'Bang TH nop'!J19</f>
        <v>0</v>
      </c>
      <c r="M19" s="84"/>
      <c r="N19" s="84"/>
      <c r="O19" s="84"/>
      <c r="P19" s="84"/>
      <c r="Q19" s="85"/>
      <c r="R19" s="84"/>
      <c r="S19" s="85">
        <f>'Bang TH nop'!L19</f>
        <v>0</v>
      </c>
      <c r="T19" s="85"/>
      <c r="U19" s="85"/>
      <c r="V19" s="85"/>
      <c r="W19" s="85"/>
      <c r="X19" s="85"/>
      <c r="Y19" s="103"/>
      <c r="Z19" s="102"/>
      <c r="AA19" s="71"/>
      <c r="AB19" s="72"/>
      <c r="AC19" s="73"/>
      <c r="AD19" s="72"/>
      <c r="AE19" s="92"/>
    </row>
    <row r="20" spans="1:31" ht="15.6" customHeight="1">
      <c r="A20" s="126"/>
      <c r="B20" s="125"/>
      <c r="C20" s="150"/>
      <c r="D20" s="127">
        <f>+'Bang TH nop'!D19</f>
        <v>0</v>
      </c>
      <c r="E20" s="139"/>
      <c r="F20" s="108">
        <f>+'Bang TH nop'!E19</f>
        <v>0</v>
      </c>
      <c r="G20" s="77">
        <f t="shared" ref="G20" si="56">IFERROR(F20/26*G19,0)</f>
        <v>0</v>
      </c>
      <c r="H20" s="59">
        <f t="shared" ref="H20:H22" si="57">(IFERROR(F20,0)/26/8*150%)*IFERROR(H19,0)</f>
        <v>0</v>
      </c>
      <c r="I20" s="80">
        <f t="shared" ref="I20:I22" si="58">IFERROR(ROUND(D20/26*I19,0),0)</f>
        <v>0</v>
      </c>
      <c r="J20" s="80">
        <f t="shared" ref="J20:J22" si="59">IFERROR(ROUND(F20/26*J19,0)*4,0)</f>
        <v>0</v>
      </c>
      <c r="K20" s="80">
        <f t="shared" ref="K20:K22" si="60">IFERROR(F20/26*K19*2,0)</f>
        <v>0</v>
      </c>
      <c r="L20" s="78">
        <f t="shared" ref="L20:L22" si="61">IFERROR(F20*L19/26*30%,0)</f>
        <v>0</v>
      </c>
      <c r="M20" s="78">
        <f t="shared" ref="M20:M22" si="62">IFERROR(F20/26*M19*60%,0)</f>
        <v>0</v>
      </c>
      <c r="N20" s="78">
        <f>'Bang TH nop'!O19</f>
        <v>0</v>
      </c>
      <c r="O20" s="75">
        <f>'Bang TH nop'!N19</f>
        <v>0</v>
      </c>
      <c r="P20" s="75">
        <f>+'Bang TH nop'!S19</f>
        <v>0</v>
      </c>
      <c r="Q20" s="86">
        <f>'Bang TH nop'!M19</f>
        <v>0</v>
      </c>
      <c r="R20" s="86">
        <f>IFERROR('Bang TH nop'!Q19,0)+IFERROR('Bang TH nop'!P19,0)</f>
        <v>0</v>
      </c>
      <c r="S20" s="58">
        <f t="shared" ref="S20:S22" si="63">IFERROR(S19*15000,0)</f>
        <v>0</v>
      </c>
      <c r="T20" s="58"/>
      <c r="U20" s="58" cm="1">
        <f t="array" ref="U20">SUM(IFERROR(G20:S20,0))</f>
        <v>0</v>
      </c>
      <c r="V20" s="75"/>
      <c r="W20" s="75">
        <f t="shared" ref="W20:W22" si="64">IFERROR(ROUND(D20*0.5%,-3),0)</f>
        <v>0</v>
      </c>
      <c r="X20" s="58">
        <f t="shared" ref="X20" si="65">IFERROR(ROUND(U20-V20-W20,-2),0)</f>
        <v>0</v>
      </c>
      <c r="Y20" s="104">
        <f>IFERROR('Bang TH nop'!F19,0)+IFERROR('Bang TH nop'!H19,0)+IFERROR('Bang TH nop'!R19,0)</f>
        <v>0</v>
      </c>
      <c r="Z20" s="102"/>
      <c r="AA20" s="74"/>
      <c r="AB20" s="94">
        <f t="shared" ref="AB20" si="66">IFERROR(AA20/Z20,0)</f>
        <v>0</v>
      </c>
      <c r="AC20" s="94">
        <f t="shared" ref="AC20:AC22" si="67">IFERROR(AE20/Y20,0)</f>
        <v>0</v>
      </c>
      <c r="AD20" s="95">
        <f t="shared" ref="AD20" si="68">IFERROR(AC20/AB20,0)</f>
        <v>0</v>
      </c>
      <c r="AE20" s="92">
        <f t="shared" ref="AE20:AE22" si="69">IFERROR(U20-J20,0)</f>
        <v>0</v>
      </c>
    </row>
    <row r="21" spans="1:31" ht="15.6" customHeight="1">
      <c r="A21" s="126">
        <v>7</v>
      </c>
      <c r="B21" s="125">
        <f>'Bang TH nop'!B21</f>
        <v>0</v>
      </c>
      <c r="C21" s="150">
        <f>'Bang TH nop'!C21</f>
        <v>0</v>
      </c>
      <c r="D21" s="138"/>
      <c r="E21" s="139"/>
      <c r="F21" s="107"/>
      <c r="G21" s="76">
        <f>'Bang TH nop'!F21</f>
        <v>0</v>
      </c>
      <c r="H21" s="87">
        <f>'Bang TH nop'!K21</f>
        <v>0</v>
      </c>
      <c r="I21" s="79">
        <f>+'Bang TH nop'!G21</f>
        <v>0</v>
      </c>
      <c r="J21" s="81">
        <f>+'Bang TH nop'!H21</f>
        <v>0</v>
      </c>
      <c r="K21" s="79">
        <f>+'Bang TH nop'!R21</f>
        <v>0</v>
      </c>
      <c r="L21" s="84">
        <f>+'Bang TH nop'!J21</f>
        <v>0</v>
      </c>
      <c r="M21" s="84"/>
      <c r="N21" s="84"/>
      <c r="O21" s="84"/>
      <c r="P21" s="84"/>
      <c r="Q21" s="85"/>
      <c r="R21" s="84"/>
      <c r="S21" s="85">
        <f>'Bang TH nop'!L21</f>
        <v>0</v>
      </c>
      <c r="T21" s="85"/>
      <c r="U21" s="85"/>
      <c r="V21" s="85"/>
      <c r="W21" s="85"/>
      <c r="X21" s="85"/>
      <c r="Y21" s="103"/>
      <c r="Z21" s="102"/>
      <c r="AA21" s="71"/>
      <c r="AB21" s="72"/>
      <c r="AC21" s="73"/>
      <c r="AD21" s="72"/>
      <c r="AE21" s="92"/>
    </row>
    <row r="22" spans="1:31" ht="15.6" customHeight="1">
      <c r="A22" s="126"/>
      <c r="B22" s="125"/>
      <c r="C22" s="150"/>
      <c r="D22" s="127">
        <f>+'Bang TH nop'!D21</f>
        <v>0</v>
      </c>
      <c r="E22" s="139"/>
      <c r="F22" s="108">
        <f>+'Bang TH nop'!E21</f>
        <v>0</v>
      </c>
      <c r="G22" s="77">
        <f t="shared" ref="G22" si="70">IFERROR(F22/26*G21,0)</f>
        <v>0</v>
      </c>
      <c r="H22" s="59">
        <f t="shared" ref="H22" si="71">(IFERROR(F22,0)/26/8*150%)*IFERROR(H21,0)</f>
        <v>0</v>
      </c>
      <c r="I22" s="80">
        <f t="shared" ref="I22" si="72">IFERROR(ROUND(D22/26*I21,0),0)</f>
        <v>0</v>
      </c>
      <c r="J22" s="80">
        <f t="shared" ref="J22" si="73">IFERROR(ROUND(F22/26*J21,0)*4,0)</f>
        <v>0</v>
      </c>
      <c r="K22" s="80">
        <f t="shared" ref="K22" si="74">IFERROR(F22/26*K21*2,0)</f>
        <v>0</v>
      </c>
      <c r="L22" s="78">
        <f t="shared" ref="L22" si="75">IFERROR(F22*L21/26*30%,0)</f>
        <v>0</v>
      </c>
      <c r="M22" s="78">
        <f t="shared" ref="M22" si="76">IFERROR(F22/26*M21*60%,0)</f>
        <v>0</v>
      </c>
      <c r="N22" s="78">
        <f>'Bang TH nop'!O21</f>
        <v>0</v>
      </c>
      <c r="O22" s="75">
        <f>'Bang TH nop'!N21</f>
        <v>0</v>
      </c>
      <c r="P22" s="75">
        <f>+'Bang TH nop'!S21</f>
        <v>0</v>
      </c>
      <c r="Q22" s="86">
        <f>'Bang TH nop'!M21</f>
        <v>0</v>
      </c>
      <c r="R22" s="86">
        <f>IFERROR('Bang TH nop'!Q21,0)+IFERROR('Bang TH nop'!P21,0)</f>
        <v>0</v>
      </c>
      <c r="S22" s="58">
        <f t="shared" ref="S22" si="77">IFERROR(S21*15000,0)</f>
        <v>0</v>
      </c>
      <c r="T22" s="58"/>
      <c r="U22" s="58" cm="1">
        <f t="array" ref="U22">SUM(IFERROR(G22:S22,0))</f>
        <v>0</v>
      </c>
      <c r="V22" s="75"/>
      <c r="W22" s="75">
        <f t="shared" ref="W22" si="78">IFERROR(ROUND(D22*0.5%,-3),0)</f>
        <v>0</v>
      </c>
      <c r="X22" s="58">
        <f t="shared" ref="X22" si="79">IFERROR(ROUND(U22-V22-W22,-2),0)</f>
        <v>0</v>
      </c>
      <c r="Y22" s="104">
        <f>IFERROR('Bang TH nop'!F21,0)+IFERROR('Bang TH nop'!H21,0)+IFERROR('Bang TH nop'!R21,0)</f>
        <v>0</v>
      </c>
      <c r="Z22" s="102"/>
      <c r="AA22" s="74"/>
      <c r="AB22" s="94">
        <f t="shared" ref="AB22" si="80">IFERROR(AA22/Z22,0)</f>
        <v>0</v>
      </c>
      <c r="AC22" s="94">
        <f t="shared" ref="AC22" si="81">IFERROR(AE22/Y22,0)</f>
        <v>0</v>
      </c>
      <c r="AD22" s="95">
        <f t="shared" ref="AD22" si="82">IFERROR(AC22/AB22,0)</f>
        <v>0</v>
      </c>
      <c r="AE22" s="92">
        <f t="shared" ref="AE22" si="83">IFERROR(U22-J22,0)</f>
        <v>0</v>
      </c>
    </row>
    <row r="23" spans="1:31" ht="15.6" hidden="1" customHeight="1">
      <c r="A23" s="126"/>
      <c r="B23" s="125"/>
      <c r="C23" s="149"/>
      <c r="D23" s="138"/>
      <c r="E23" s="127"/>
      <c r="F23" s="106"/>
      <c r="G23" s="34"/>
      <c r="H23" s="38"/>
      <c r="I23" s="35"/>
      <c r="J23" s="36"/>
      <c r="K23" s="79">
        <f>+'Bang TH nop'!R23</f>
        <v>0</v>
      </c>
      <c r="L23" s="84">
        <f>+'Bang TH nop'!J23</f>
        <v>0</v>
      </c>
      <c r="M23" s="84"/>
      <c r="N23" s="33"/>
      <c r="O23" s="33"/>
      <c r="P23" s="33"/>
      <c r="Q23" s="37"/>
      <c r="R23" s="33"/>
      <c r="S23" s="37"/>
      <c r="T23" s="37"/>
      <c r="U23" s="37"/>
      <c r="V23" s="58"/>
      <c r="W23" s="37"/>
      <c r="X23" s="37"/>
      <c r="Y23" s="105"/>
      <c r="Z23" s="102"/>
      <c r="AA23" s="71"/>
    </row>
    <row r="24" spans="1:31" ht="15.6" hidden="1" customHeight="1">
      <c r="A24" s="126"/>
      <c r="B24" s="125"/>
      <c r="C24" s="149"/>
      <c r="D24" s="127"/>
      <c r="E24" s="127"/>
      <c r="F24" s="106"/>
      <c r="G24" s="39"/>
      <c r="H24" s="38"/>
      <c r="I24" s="40"/>
      <c r="J24" s="40"/>
      <c r="K24" s="80">
        <f t="shared" ref="K24" si="84">+F24/26*K23*2</f>
        <v>0</v>
      </c>
      <c r="L24" s="78">
        <f>F24*L23/(26)*30%</f>
        <v>0</v>
      </c>
      <c r="M24" s="78"/>
      <c r="N24" s="40"/>
      <c r="O24" s="39"/>
      <c r="P24" s="39"/>
      <c r="Q24" s="41"/>
      <c r="R24" s="41"/>
      <c r="S24" s="37"/>
      <c r="T24" s="37"/>
      <c r="U24" s="37"/>
      <c r="V24" s="39"/>
      <c r="W24" s="37"/>
      <c r="X24" s="37"/>
      <c r="Y24" s="105"/>
      <c r="Z24" s="102">
        <f>+IFERROR(VLOOKUP(C23,'[1]Bản gốc T10'!$C$1:$J$1000,8,0),0)</f>
        <v>0</v>
      </c>
      <c r="AA24" s="74">
        <f>+IFERROR(VLOOKUP(C23,'[1]Bản gốc T10'!$C$1:$F$1000,4,0),0)</f>
        <v>0</v>
      </c>
    </row>
    <row r="25" spans="1:31" ht="15.6" hidden="1" customHeight="1">
      <c r="A25" s="126"/>
      <c r="B25" s="125"/>
      <c r="C25" s="149"/>
      <c r="D25" s="138"/>
      <c r="E25" s="127"/>
      <c r="F25" s="106"/>
      <c r="G25" s="34"/>
      <c r="H25" s="38"/>
      <c r="I25" s="35"/>
      <c r="J25" s="36"/>
      <c r="K25" s="79">
        <f>+'Bang TH nop'!R25</f>
        <v>0</v>
      </c>
      <c r="L25" s="84">
        <f>+'Bang TH nop'!J25</f>
        <v>0</v>
      </c>
      <c r="M25" s="84"/>
      <c r="N25" s="33"/>
      <c r="O25" s="33"/>
      <c r="P25" s="33"/>
      <c r="Q25" s="37"/>
      <c r="R25" s="33"/>
      <c r="S25" s="37"/>
      <c r="T25" s="37"/>
      <c r="U25" s="37"/>
      <c r="V25" s="58"/>
      <c r="W25" s="37"/>
      <c r="X25" s="37"/>
      <c r="Y25" s="105"/>
      <c r="Z25" s="102"/>
      <c r="AA25" s="71"/>
    </row>
    <row r="26" spans="1:31" ht="15.6" hidden="1" customHeight="1">
      <c r="A26" s="126"/>
      <c r="B26" s="125"/>
      <c r="C26" s="149"/>
      <c r="D26" s="127"/>
      <c r="E26" s="127"/>
      <c r="F26" s="106"/>
      <c r="G26" s="39"/>
      <c r="H26" s="38"/>
      <c r="I26" s="40"/>
      <c r="J26" s="40"/>
      <c r="K26" s="80">
        <f t="shared" ref="K26" si="85">+F26/26*K25*2</f>
        <v>0</v>
      </c>
      <c r="L26" s="78">
        <f>F26*L25/(26)*30%</f>
        <v>0</v>
      </c>
      <c r="M26" s="78"/>
      <c r="N26" s="40"/>
      <c r="O26" s="39"/>
      <c r="P26" s="39"/>
      <c r="Q26" s="41"/>
      <c r="R26" s="41"/>
      <c r="S26" s="37"/>
      <c r="T26" s="37"/>
      <c r="U26" s="37"/>
      <c r="V26" s="39"/>
      <c r="W26" s="37"/>
      <c r="X26" s="37"/>
      <c r="Y26" s="105"/>
      <c r="Z26" s="102">
        <f>+IFERROR(VLOOKUP(C25,'[1]Bản gốc T10'!$C$1:$J$1000,8,0),0)</f>
        <v>0</v>
      </c>
      <c r="AA26" s="74">
        <f>+IFERROR(VLOOKUP(C25,'[1]Bản gốc T10'!$C$1:$F$1000,4,0),0)</f>
        <v>0</v>
      </c>
    </row>
    <row r="27" spans="1:31" ht="15.6" hidden="1" customHeight="1" outlineLevel="1">
      <c r="A27" s="126"/>
      <c r="B27" s="125"/>
      <c r="C27" s="149"/>
      <c r="D27" s="138"/>
      <c r="E27" s="127"/>
      <c r="F27" s="106"/>
      <c r="G27" s="34"/>
      <c r="H27" s="38"/>
      <c r="I27" s="35"/>
      <c r="J27" s="36"/>
      <c r="K27" s="79">
        <f>+'Bang TH nop'!R27</f>
        <v>0</v>
      </c>
      <c r="L27" s="84">
        <f>+'Bang TH nop'!J27</f>
        <v>0</v>
      </c>
      <c r="M27" s="84"/>
      <c r="N27" s="33"/>
      <c r="O27" s="33"/>
      <c r="P27" s="33"/>
      <c r="Q27" s="37"/>
      <c r="R27" s="33"/>
      <c r="S27" s="37"/>
      <c r="T27" s="37"/>
      <c r="U27" s="37"/>
      <c r="V27" s="58"/>
      <c r="W27" s="37"/>
      <c r="X27" s="37"/>
      <c r="Y27" s="105"/>
      <c r="Z27" s="102"/>
      <c r="AA27" s="71"/>
    </row>
    <row r="28" spans="1:31" ht="15.6" hidden="1" customHeight="1" outlineLevel="1">
      <c r="A28" s="126"/>
      <c r="B28" s="125"/>
      <c r="C28" s="149"/>
      <c r="D28" s="127"/>
      <c r="E28" s="127"/>
      <c r="F28" s="106"/>
      <c r="G28" s="39"/>
      <c r="H28" s="38"/>
      <c r="I28" s="40"/>
      <c r="J28" s="40"/>
      <c r="K28" s="80">
        <f t="shared" ref="K28" si="86">+F28/26*K27*2</f>
        <v>0</v>
      </c>
      <c r="L28" s="78">
        <f>F28*L27/(26)*30%</f>
        <v>0</v>
      </c>
      <c r="M28" s="78"/>
      <c r="N28" s="40"/>
      <c r="O28" s="39"/>
      <c r="P28" s="39"/>
      <c r="Q28" s="41"/>
      <c r="R28" s="41"/>
      <c r="S28" s="37"/>
      <c r="T28" s="37"/>
      <c r="U28" s="37"/>
      <c r="V28" s="39"/>
      <c r="W28" s="37"/>
      <c r="X28" s="37"/>
      <c r="Y28" s="105"/>
      <c r="Z28" s="102">
        <f>+IFERROR(VLOOKUP(C27,'[1]Bản gốc T10'!$C$1:$J$1000,8,0),0)</f>
        <v>0</v>
      </c>
      <c r="AA28" s="74">
        <f>+IFERROR(VLOOKUP(C27,'[1]Bản gốc T10'!$C$1:$F$1000,4,0),0)</f>
        <v>0</v>
      </c>
    </row>
    <row r="29" spans="1:31" ht="15.6" hidden="1" customHeight="1" outlineLevel="1">
      <c r="A29" s="126"/>
      <c r="B29" s="125"/>
      <c r="C29" s="149"/>
      <c r="D29" s="138"/>
      <c r="E29" s="127"/>
      <c r="F29" s="106"/>
      <c r="G29" s="34"/>
      <c r="H29" s="38"/>
      <c r="I29" s="35"/>
      <c r="J29" s="36"/>
      <c r="K29" s="79">
        <f>+'Bang TH nop'!R29</f>
        <v>0</v>
      </c>
      <c r="L29" s="84">
        <f>+'Bang TH nop'!J29</f>
        <v>0</v>
      </c>
      <c r="M29" s="84"/>
      <c r="N29" s="33"/>
      <c r="O29" s="33"/>
      <c r="P29" s="33"/>
      <c r="Q29" s="37"/>
      <c r="R29" s="33"/>
      <c r="S29" s="37"/>
      <c r="T29" s="37"/>
      <c r="U29" s="37"/>
      <c r="V29" s="58"/>
      <c r="W29" s="37"/>
      <c r="X29" s="37"/>
      <c r="Y29" s="105"/>
      <c r="Z29" s="102"/>
      <c r="AA29" s="71"/>
    </row>
    <row r="30" spans="1:31" ht="15.6" hidden="1" customHeight="1" outlineLevel="1">
      <c r="A30" s="126"/>
      <c r="B30" s="125"/>
      <c r="C30" s="149"/>
      <c r="D30" s="127"/>
      <c r="E30" s="127"/>
      <c r="F30" s="106"/>
      <c r="G30" s="39"/>
      <c r="H30" s="38"/>
      <c r="I30" s="40"/>
      <c r="J30" s="40"/>
      <c r="K30" s="80">
        <f t="shared" ref="K30" si="87">+F30/26*K29*2</f>
        <v>0</v>
      </c>
      <c r="L30" s="78">
        <f>F30*L29/(26)*30%</f>
        <v>0</v>
      </c>
      <c r="M30" s="78"/>
      <c r="N30" s="40"/>
      <c r="O30" s="39"/>
      <c r="P30" s="39"/>
      <c r="Q30" s="41"/>
      <c r="R30" s="41"/>
      <c r="S30" s="37"/>
      <c r="T30" s="37"/>
      <c r="U30" s="37"/>
      <c r="V30" s="39"/>
      <c r="W30" s="37"/>
      <c r="X30" s="37"/>
      <c r="Y30" s="105"/>
      <c r="Z30" s="102">
        <f>+IFERROR(VLOOKUP(C29,'[1]Bản gốc T10'!$C$1:$J$1000,8,0),0)</f>
        <v>0</v>
      </c>
      <c r="AA30" s="74">
        <f>+IFERROR(VLOOKUP(C29,'[1]Bản gốc T10'!$C$1:$F$1000,4,0),0)</f>
        <v>0</v>
      </c>
    </row>
    <row r="31" spans="1:31" ht="15.6" hidden="1" customHeight="1" outlineLevel="1">
      <c r="A31" s="126"/>
      <c r="B31" s="125"/>
      <c r="C31" s="149"/>
      <c r="D31" s="138"/>
      <c r="E31" s="127"/>
      <c r="F31" s="106"/>
      <c r="G31" s="34"/>
      <c r="H31" s="38"/>
      <c r="I31" s="35"/>
      <c r="J31" s="36"/>
      <c r="K31" s="79">
        <f>+'Bang TH nop'!R31</f>
        <v>0</v>
      </c>
      <c r="L31" s="84">
        <f>+'Bang TH nop'!J31</f>
        <v>0</v>
      </c>
      <c r="M31" s="84"/>
      <c r="N31" s="33"/>
      <c r="O31" s="33"/>
      <c r="P31" s="33"/>
      <c r="Q31" s="37"/>
      <c r="R31" s="33"/>
      <c r="S31" s="37"/>
      <c r="T31" s="37"/>
      <c r="U31" s="37"/>
      <c r="V31" s="58"/>
      <c r="W31" s="37"/>
      <c r="X31" s="37"/>
      <c r="Y31" s="105"/>
      <c r="Z31" s="102"/>
      <c r="AA31" s="71"/>
    </row>
    <row r="32" spans="1:31" ht="15.6" hidden="1" customHeight="1" outlineLevel="1">
      <c r="A32" s="126"/>
      <c r="B32" s="125"/>
      <c r="C32" s="149"/>
      <c r="D32" s="127"/>
      <c r="E32" s="127"/>
      <c r="F32" s="106"/>
      <c r="G32" s="39"/>
      <c r="H32" s="38"/>
      <c r="I32" s="40"/>
      <c r="J32" s="40"/>
      <c r="K32" s="80">
        <f t="shared" ref="K32" si="88">+F32/26*K31*2</f>
        <v>0</v>
      </c>
      <c r="L32" s="78">
        <f>F32*L31/(26)*30%</f>
        <v>0</v>
      </c>
      <c r="M32" s="78"/>
      <c r="N32" s="40"/>
      <c r="O32" s="39"/>
      <c r="P32" s="39"/>
      <c r="Q32" s="41"/>
      <c r="R32" s="41"/>
      <c r="S32" s="37"/>
      <c r="T32" s="37"/>
      <c r="U32" s="37"/>
      <c r="V32" s="39"/>
      <c r="W32" s="37"/>
      <c r="X32" s="37"/>
      <c r="Y32" s="105"/>
      <c r="Z32" s="102">
        <f>+IFERROR(VLOOKUP(C31,'[1]Bản gốc T10'!$C$1:$J$1000,8,0),0)</f>
        <v>0</v>
      </c>
      <c r="AA32" s="74">
        <f>+IFERROR(VLOOKUP(C31,'[1]Bản gốc T10'!$C$1:$F$1000,4,0),0)</f>
        <v>0</v>
      </c>
    </row>
    <row r="33" spans="1:27" ht="15.6" hidden="1" customHeight="1" outlineLevel="1">
      <c r="A33" s="126"/>
      <c r="B33" s="125"/>
      <c r="C33" s="149"/>
      <c r="D33" s="138"/>
      <c r="E33" s="127"/>
      <c r="F33" s="106"/>
      <c r="G33" s="34"/>
      <c r="H33" s="38"/>
      <c r="I33" s="35"/>
      <c r="J33" s="36"/>
      <c r="K33" s="79">
        <f>+'Bang TH nop'!R33</f>
        <v>0</v>
      </c>
      <c r="L33" s="84">
        <f>+'Bang TH nop'!J33</f>
        <v>0</v>
      </c>
      <c r="M33" s="84"/>
      <c r="N33" s="33"/>
      <c r="O33" s="33"/>
      <c r="P33" s="33"/>
      <c r="Q33" s="37"/>
      <c r="R33" s="33"/>
      <c r="S33" s="37"/>
      <c r="T33" s="37"/>
      <c r="U33" s="37"/>
      <c r="V33" s="58"/>
      <c r="W33" s="37"/>
      <c r="X33" s="37"/>
      <c r="Y33" s="105"/>
      <c r="Z33" s="102"/>
      <c r="AA33" s="71"/>
    </row>
    <row r="34" spans="1:27" ht="15.6" hidden="1" customHeight="1" outlineLevel="1">
      <c r="A34" s="126"/>
      <c r="B34" s="125"/>
      <c r="C34" s="149"/>
      <c r="D34" s="127"/>
      <c r="E34" s="127"/>
      <c r="F34" s="106"/>
      <c r="G34" s="39"/>
      <c r="H34" s="38"/>
      <c r="I34" s="40"/>
      <c r="J34" s="40"/>
      <c r="K34" s="80">
        <f t="shared" ref="K34" si="89">+F34/26*K33*2</f>
        <v>0</v>
      </c>
      <c r="L34" s="78">
        <f>F34*L33/(26)*30%</f>
        <v>0</v>
      </c>
      <c r="M34" s="78"/>
      <c r="N34" s="40"/>
      <c r="O34" s="39"/>
      <c r="P34" s="39"/>
      <c r="Q34" s="41"/>
      <c r="R34" s="41"/>
      <c r="S34" s="37"/>
      <c r="T34" s="37"/>
      <c r="U34" s="37"/>
      <c r="V34" s="39"/>
      <c r="W34" s="37"/>
      <c r="X34" s="37"/>
      <c r="Y34" s="105"/>
      <c r="Z34" s="102">
        <f>+IFERROR(VLOOKUP(C33,'[1]Bản gốc T10'!$C$1:$J$1000,8,0),0)</f>
        <v>0</v>
      </c>
      <c r="AA34" s="74">
        <f>+IFERROR(VLOOKUP(C33,'[1]Bản gốc T10'!$C$1:$F$1000,4,0),0)</f>
        <v>0</v>
      </c>
    </row>
    <row r="35" spans="1:27" ht="15.6" hidden="1" customHeight="1" outlineLevel="1">
      <c r="A35" s="126"/>
      <c r="B35" s="125"/>
      <c r="C35" s="149"/>
      <c r="D35" s="138"/>
      <c r="E35" s="127"/>
      <c r="F35" s="106"/>
      <c r="G35" s="34"/>
      <c r="H35" s="38"/>
      <c r="I35" s="35"/>
      <c r="J35" s="36"/>
      <c r="K35" s="79">
        <f>+'Bang TH nop'!R35</f>
        <v>0</v>
      </c>
      <c r="L35" s="84">
        <f>+'Bang TH nop'!J35</f>
        <v>0</v>
      </c>
      <c r="M35" s="84"/>
      <c r="N35" s="33"/>
      <c r="O35" s="33"/>
      <c r="P35" s="33"/>
      <c r="Q35" s="37"/>
      <c r="R35" s="33"/>
      <c r="S35" s="37"/>
      <c r="T35" s="37"/>
      <c r="U35" s="37"/>
      <c r="V35" s="58"/>
      <c r="W35" s="37"/>
      <c r="X35" s="37"/>
      <c r="Y35" s="105"/>
      <c r="Z35" s="102"/>
      <c r="AA35" s="71"/>
    </row>
    <row r="36" spans="1:27" ht="15.6" hidden="1" customHeight="1" outlineLevel="1">
      <c r="A36" s="126"/>
      <c r="B36" s="125"/>
      <c r="C36" s="149"/>
      <c r="D36" s="127"/>
      <c r="E36" s="127"/>
      <c r="F36" s="106"/>
      <c r="G36" s="39"/>
      <c r="H36" s="38"/>
      <c r="I36" s="40"/>
      <c r="J36" s="40"/>
      <c r="K36" s="80">
        <f t="shared" ref="K36" si="90">+F36/26*K35*2</f>
        <v>0</v>
      </c>
      <c r="L36" s="78">
        <f>F36*L35/(26)*30%</f>
        <v>0</v>
      </c>
      <c r="M36" s="78"/>
      <c r="N36" s="40"/>
      <c r="O36" s="39"/>
      <c r="P36" s="39"/>
      <c r="Q36" s="41"/>
      <c r="R36" s="41"/>
      <c r="S36" s="37"/>
      <c r="T36" s="37"/>
      <c r="U36" s="37"/>
      <c r="V36" s="39"/>
      <c r="W36" s="37"/>
      <c r="X36" s="37"/>
      <c r="Y36" s="105"/>
      <c r="Z36" s="102">
        <f>+IFERROR(VLOOKUP(C35,'[1]Bản gốc T10'!$C$1:$J$1000,8,0),0)</f>
        <v>0</v>
      </c>
      <c r="AA36" s="74">
        <f>+IFERROR(VLOOKUP(C35,'[1]Bản gốc T10'!$C$1:$F$1000,4,0),0)</f>
        <v>0</v>
      </c>
    </row>
    <row r="37" spans="1:27" ht="15.6" hidden="1" customHeight="1" outlineLevel="1">
      <c r="A37" s="126"/>
      <c r="B37" s="125"/>
      <c r="C37" s="149"/>
      <c r="D37" s="138"/>
      <c r="E37" s="127"/>
      <c r="F37" s="106"/>
      <c r="G37" s="34"/>
      <c r="H37" s="38"/>
      <c r="I37" s="35"/>
      <c r="J37" s="36"/>
      <c r="K37" s="79">
        <f>+'Bang TH nop'!R37</f>
        <v>0</v>
      </c>
      <c r="L37" s="84">
        <f>+'Bang TH nop'!J37</f>
        <v>0</v>
      </c>
      <c r="M37" s="84"/>
      <c r="N37" s="33"/>
      <c r="O37" s="33"/>
      <c r="P37" s="33"/>
      <c r="Q37" s="37"/>
      <c r="R37" s="33"/>
      <c r="S37" s="37"/>
      <c r="T37" s="37"/>
      <c r="U37" s="37"/>
      <c r="V37" s="58"/>
      <c r="W37" s="37"/>
      <c r="X37" s="37"/>
      <c r="Y37" s="105"/>
      <c r="Z37" s="102"/>
      <c r="AA37" s="71"/>
    </row>
    <row r="38" spans="1:27" ht="15.6" hidden="1" customHeight="1" outlineLevel="1">
      <c r="A38" s="126"/>
      <c r="B38" s="125"/>
      <c r="C38" s="149"/>
      <c r="D38" s="127"/>
      <c r="E38" s="127"/>
      <c r="F38" s="106"/>
      <c r="G38" s="39"/>
      <c r="H38" s="38"/>
      <c r="I38" s="40"/>
      <c r="J38" s="40"/>
      <c r="K38" s="80">
        <f t="shared" ref="K38" si="91">+F38/26*K37*2</f>
        <v>0</v>
      </c>
      <c r="L38" s="78">
        <f>F38*L37/(26)*30%</f>
        <v>0</v>
      </c>
      <c r="M38" s="78"/>
      <c r="N38" s="40"/>
      <c r="O38" s="39"/>
      <c r="P38" s="39"/>
      <c r="Q38" s="41"/>
      <c r="R38" s="41"/>
      <c r="S38" s="37"/>
      <c r="T38" s="37"/>
      <c r="U38" s="37"/>
      <c r="V38" s="39"/>
      <c r="W38" s="37"/>
      <c r="X38" s="37"/>
      <c r="Y38" s="105"/>
      <c r="Z38" s="102">
        <f>+IFERROR(VLOOKUP(C37,'[1]Bản gốc T10'!$C$1:$J$1000,8,0),0)</f>
        <v>0</v>
      </c>
      <c r="AA38" s="74">
        <f>+IFERROR(VLOOKUP(C37,'[1]Bản gốc T10'!$C$1:$F$1000,4,0),0)</f>
        <v>0</v>
      </c>
    </row>
    <row r="39" spans="1:27" ht="15.6" hidden="1" customHeight="1" outlineLevel="1">
      <c r="A39" s="126"/>
      <c r="B39" s="125"/>
      <c r="C39" s="149"/>
      <c r="D39" s="138"/>
      <c r="E39" s="127"/>
      <c r="F39" s="106"/>
      <c r="G39" s="34"/>
      <c r="H39" s="38"/>
      <c r="I39" s="35"/>
      <c r="J39" s="36"/>
      <c r="K39" s="79">
        <f>+'Bang TH nop'!R39</f>
        <v>0</v>
      </c>
      <c r="L39" s="84">
        <f>+'Bang TH nop'!J39</f>
        <v>0</v>
      </c>
      <c r="M39" s="84"/>
      <c r="N39" s="33"/>
      <c r="O39" s="33"/>
      <c r="P39" s="33"/>
      <c r="Q39" s="37"/>
      <c r="R39" s="33"/>
      <c r="S39" s="37"/>
      <c r="T39" s="37"/>
      <c r="U39" s="37"/>
      <c r="V39" s="58"/>
      <c r="W39" s="37"/>
      <c r="X39" s="37"/>
      <c r="Y39" s="105"/>
      <c r="Z39" s="102"/>
      <c r="AA39" s="71"/>
    </row>
    <row r="40" spans="1:27" ht="15.6" hidden="1" customHeight="1" outlineLevel="1">
      <c r="A40" s="126"/>
      <c r="B40" s="125"/>
      <c r="C40" s="149"/>
      <c r="D40" s="127"/>
      <c r="E40" s="127"/>
      <c r="F40" s="106"/>
      <c r="G40" s="39"/>
      <c r="H40" s="38"/>
      <c r="I40" s="40"/>
      <c r="J40" s="40"/>
      <c r="K40" s="80">
        <f t="shared" ref="K40" si="92">+F40/26*K39*2</f>
        <v>0</v>
      </c>
      <c r="L40" s="78">
        <f>F40*L39/(26)*30%</f>
        <v>0</v>
      </c>
      <c r="M40" s="78"/>
      <c r="N40" s="40"/>
      <c r="O40" s="39"/>
      <c r="P40" s="39"/>
      <c r="Q40" s="41"/>
      <c r="R40" s="41"/>
      <c r="S40" s="37"/>
      <c r="T40" s="37"/>
      <c r="U40" s="37"/>
      <c r="V40" s="39"/>
      <c r="W40" s="37"/>
      <c r="X40" s="37"/>
      <c r="Y40" s="105"/>
      <c r="Z40" s="102">
        <f>+IFERROR(VLOOKUP(C39,'[1]Bản gốc T10'!$C$1:$J$1000,8,0),0)</f>
        <v>0</v>
      </c>
      <c r="AA40" s="74">
        <f>+IFERROR(VLOOKUP(C39,'[1]Bản gốc T10'!$C$1:$F$1000,4,0),0)</f>
        <v>0</v>
      </c>
    </row>
    <row r="41" spans="1:27" ht="15.6" hidden="1" customHeight="1" outlineLevel="1">
      <c r="A41" s="126"/>
      <c r="B41" s="125"/>
      <c r="C41" s="149"/>
      <c r="D41" s="138"/>
      <c r="E41" s="127"/>
      <c r="F41" s="106"/>
      <c r="G41" s="34"/>
      <c r="H41" s="38"/>
      <c r="I41" s="35"/>
      <c r="J41" s="36"/>
      <c r="K41" s="79">
        <f>+'Bang TH nop'!R41</f>
        <v>0</v>
      </c>
      <c r="L41" s="84">
        <f>+'Bang TH nop'!J41</f>
        <v>0</v>
      </c>
      <c r="M41" s="84"/>
      <c r="N41" s="33"/>
      <c r="O41" s="33"/>
      <c r="P41" s="33"/>
      <c r="Q41" s="37"/>
      <c r="R41" s="33"/>
      <c r="S41" s="37"/>
      <c r="T41" s="37"/>
      <c r="U41" s="37"/>
      <c r="V41" s="58"/>
      <c r="W41" s="37"/>
      <c r="X41" s="37"/>
      <c r="Y41" s="105"/>
      <c r="Z41" s="102"/>
      <c r="AA41" s="71"/>
    </row>
    <row r="42" spans="1:27" ht="15.6" hidden="1" customHeight="1" outlineLevel="1">
      <c r="A42" s="126"/>
      <c r="B42" s="125"/>
      <c r="C42" s="149"/>
      <c r="D42" s="127"/>
      <c r="E42" s="127"/>
      <c r="F42" s="106"/>
      <c r="G42" s="39"/>
      <c r="H42" s="38"/>
      <c r="I42" s="40"/>
      <c r="J42" s="40"/>
      <c r="K42" s="80">
        <f t="shared" ref="K42" si="93">+F42/26*K41*2</f>
        <v>0</v>
      </c>
      <c r="L42" s="78">
        <f>F42*L41/(26)*30%</f>
        <v>0</v>
      </c>
      <c r="M42" s="78"/>
      <c r="N42" s="40"/>
      <c r="O42" s="39"/>
      <c r="P42" s="39"/>
      <c r="Q42" s="41"/>
      <c r="R42" s="41"/>
      <c r="S42" s="37"/>
      <c r="T42" s="37"/>
      <c r="U42" s="37"/>
      <c r="V42" s="39"/>
      <c r="W42" s="37"/>
      <c r="X42" s="37"/>
      <c r="Y42" s="105"/>
      <c r="Z42" s="102">
        <f>+IFERROR(VLOOKUP(C41,'[1]Bản gốc T10'!$C$1:$J$1000,8,0),0)</f>
        <v>0</v>
      </c>
      <c r="AA42" s="74">
        <f>+IFERROR(VLOOKUP(C41,'[1]Bản gốc T10'!$C$1:$F$1000,4,0),0)</f>
        <v>0</v>
      </c>
    </row>
    <row r="43" spans="1:27" ht="15.6" hidden="1" customHeight="1" outlineLevel="1">
      <c r="A43" s="126"/>
      <c r="B43" s="125"/>
      <c r="C43" s="149"/>
      <c r="D43" s="138"/>
      <c r="E43" s="127"/>
      <c r="F43" s="106"/>
      <c r="G43" s="34"/>
      <c r="H43" s="38"/>
      <c r="I43" s="35"/>
      <c r="J43" s="36"/>
      <c r="K43" s="79">
        <f>+'Bang TH nop'!R43</f>
        <v>0</v>
      </c>
      <c r="L43" s="84">
        <f>+'Bang TH nop'!J43</f>
        <v>0</v>
      </c>
      <c r="M43" s="84"/>
      <c r="N43" s="33"/>
      <c r="O43" s="33"/>
      <c r="P43" s="33"/>
      <c r="Q43" s="37"/>
      <c r="R43" s="33"/>
      <c r="S43" s="37"/>
      <c r="T43" s="37"/>
      <c r="U43" s="37"/>
      <c r="V43" s="58"/>
      <c r="W43" s="37"/>
      <c r="X43" s="37"/>
      <c r="Y43" s="105"/>
      <c r="Z43" s="102"/>
      <c r="AA43" s="71"/>
    </row>
    <row r="44" spans="1:27" ht="15.6" hidden="1" customHeight="1" outlineLevel="1">
      <c r="A44" s="126"/>
      <c r="B44" s="125"/>
      <c r="C44" s="149"/>
      <c r="D44" s="127"/>
      <c r="E44" s="127"/>
      <c r="F44" s="106"/>
      <c r="G44" s="39"/>
      <c r="H44" s="38"/>
      <c r="I44" s="40"/>
      <c r="J44" s="40"/>
      <c r="K44" s="80">
        <f t="shared" ref="K44" si="94">+F44/26*K43*2</f>
        <v>0</v>
      </c>
      <c r="L44" s="78">
        <f>F44*L43/(26)*30%</f>
        <v>0</v>
      </c>
      <c r="M44" s="78"/>
      <c r="N44" s="40"/>
      <c r="O44" s="39"/>
      <c r="P44" s="39"/>
      <c r="Q44" s="41"/>
      <c r="R44" s="41"/>
      <c r="S44" s="37"/>
      <c r="T44" s="37"/>
      <c r="U44" s="37"/>
      <c r="V44" s="39"/>
      <c r="W44" s="37"/>
      <c r="X44" s="37"/>
      <c r="Y44" s="105"/>
      <c r="Z44" s="102">
        <f>+IFERROR(VLOOKUP(C43,'[1]Bản gốc T10'!$C$1:$J$1000,8,0),0)</f>
        <v>0</v>
      </c>
      <c r="AA44" s="74">
        <f>+IFERROR(VLOOKUP(C43,'[1]Bản gốc T10'!$C$1:$F$1000,4,0),0)</f>
        <v>0</v>
      </c>
    </row>
    <row r="45" spans="1:27" ht="15.6" hidden="1" customHeight="1" outlineLevel="1">
      <c r="A45" s="126"/>
      <c r="B45" s="125"/>
      <c r="C45" s="149"/>
      <c r="D45" s="138"/>
      <c r="E45" s="127"/>
      <c r="F45" s="106"/>
      <c r="G45" s="34"/>
      <c r="H45" s="38"/>
      <c r="I45" s="35"/>
      <c r="J45" s="36"/>
      <c r="K45" s="79">
        <f>+'Bang TH nop'!R45</f>
        <v>0</v>
      </c>
      <c r="L45" s="84">
        <f>+'Bang TH nop'!J45</f>
        <v>0</v>
      </c>
      <c r="M45" s="84"/>
      <c r="N45" s="33"/>
      <c r="O45" s="33"/>
      <c r="P45" s="33"/>
      <c r="Q45" s="37"/>
      <c r="R45" s="33"/>
      <c r="S45" s="37"/>
      <c r="T45" s="37"/>
      <c r="U45" s="37"/>
      <c r="V45" s="58"/>
      <c r="W45" s="37"/>
      <c r="X45" s="37"/>
      <c r="Y45" s="105"/>
      <c r="Z45" s="102"/>
      <c r="AA45" s="71"/>
    </row>
    <row r="46" spans="1:27" ht="15.6" hidden="1" customHeight="1" outlineLevel="1">
      <c r="A46" s="126"/>
      <c r="B46" s="125"/>
      <c r="C46" s="149"/>
      <c r="D46" s="127"/>
      <c r="E46" s="127"/>
      <c r="F46" s="106"/>
      <c r="G46" s="39"/>
      <c r="H46" s="38"/>
      <c r="I46" s="40"/>
      <c r="J46" s="40"/>
      <c r="K46" s="80">
        <f t="shared" ref="K46" si="95">+F46/26*K45*2</f>
        <v>0</v>
      </c>
      <c r="L46" s="78">
        <f>F46*L45/(26)*30%</f>
        <v>0</v>
      </c>
      <c r="M46" s="78"/>
      <c r="N46" s="40"/>
      <c r="O46" s="39"/>
      <c r="P46" s="39"/>
      <c r="Q46" s="41"/>
      <c r="R46" s="41"/>
      <c r="S46" s="37"/>
      <c r="T46" s="37"/>
      <c r="U46" s="37"/>
      <c r="V46" s="39"/>
      <c r="W46" s="37"/>
      <c r="X46" s="37"/>
      <c r="Y46" s="105"/>
      <c r="Z46" s="102">
        <f>+IFERROR(VLOOKUP(C45,'[1]Bản gốc T10'!$C$1:$J$1000,8,0),0)</f>
        <v>0</v>
      </c>
      <c r="AA46" s="74">
        <f>+IFERROR(VLOOKUP(C45,'[1]Bản gốc T10'!$C$1:$F$1000,4,0),0)</f>
        <v>0</v>
      </c>
    </row>
    <row r="47" spans="1:27" ht="15.6" hidden="1" customHeight="1" outlineLevel="1">
      <c r="A47" s="126"/>
      <c r="B47" s="125"/>
      <c r="C47" s="149"/>
      <c r="D47" s="138"/>
      <c r="E47" s="127"/>
      <c r="F47" s="106"/>
      <c r="G47" s="34"/>
      <c r="H47" s="38"/>
      <c r="I47" s="35"/>
      <c r="J47" s="36"/>
      <c r="K47" s="79">
        <f>+'Bang TH nop'!R47</f>
        <v>0</v>
      </c>
      <c r="L47" s="84">
        <f>+'Bang TH nop'!J47</f>
        <v>0</v>
      </c>
      <c r="M47" s="84"/>
      <c r="N47" s="33"/>
      <c r="O47" s="33"/>
      <c r="P47" s="33"/>
      <c r="Q47" s="37"/>
      <c r="R47" s="33"/>
      <c r="S47" s="37"/>
      <c r="T47" s="37"/>
      <c r="U47" s="37"/>
      <c r="V47" s="58"/>
      <c r="W47" s="37"/>
      <c r="X47" s="37"/>
      <c r="Y47" s="105"/>
      <c r="Z47" s="102"/>
      <c r="AA47" s="71"/>
    </row>
    <row r="48" spans="1:27" ht="15.6" hidden="1" customHeight="1" outlineLevel="1">
      <c r="A48" s="126"/>
      <c r="B48" s="125"/>
      <c r="C48" s="149"/>
      <c r="D48" s="127"/>
      <c r="E48" s="127"/>
      <c r="F48" s="106"/>
      <c r="G48" s="39"/>
      <c r="H48" s="38"/>
      <c r="I48" s="40"/>
      <c r="J48" s="40"/>
      <c r="K48" s="80">
        <f t="shared" ref="K48" si="96">+F48/26*K47*2</f>
        <v>0</v>
      </c>
      <c r="L48" s="78">
        <f>F48*L47/(26)*30%</f>
        <v>0</v>
      </c>
      <c r="M48" s="78"/>
      <c r="N48" s="40"/>
      <c r="O48" s="39"/>
      <c r="P48" s="39"/>
      <c r="Q48" s="41"/>
      <c r="R48" s="41"/>
      <c r="S48" s="37"/>
      <c r="T48" s="37"/>
      <c r="U48" s="37"/>
      <c r="V48" s="39"/>
      <c r="W48" s="37"/>
      <c r="X48" s="37"/>
      <c r="Y48" s="105"/>
      <c r="Z48" s="102">
        <f>+IFERROR(VLOOKUP(C47,'[1]Bản gốc T10'!$C$1:$J$1000,8,0),0)</f>
        <v>0</v>
      </c>
      <c r="AA48" s="74">
        <f>+IFERROR(VLOOKUP(C47,'[1]Bản gốc T10'!$C$1:$F$1000,4,0),0)</f>
        <v>0</v>
      </c>
    </row>
    <row r="49" spans="1:27" ht="15.6" hidden="1" customHeight="1" outlineLevel="1">
      <c r="A49" s="126"/>
      <c r="B49" s="125"/>
      <c r="C49" s="149"/>
      <c r="D49" s="138"/>
      <c r="E49" s="127"/>
      <c r="F49" s="106"/>
      <c r="G49" s="34"/>
      <c r="H49" s="38"/>
      <c r="I49" s="35"/>
      <c r="J49" s="36"/>
      <c r="K49" s="79">
        <f>+'Bang TH nop'!R49</f>
        <v>0</v>
      </c>
      <c r="L49" s="84">
        <f>+'Bang TH nop'!J49</f>
        <v>0</v>
      </c>
      <c r="M49" s="84"/>
      <c r="N49" s="33"/>
      <c r="O49" s="33"/>
      <c r="P49" s="33"/>
      <c r="Q49" s="37"/>
      <c r="R49" s="33"/>
      <c r="S49" s="37"/>
      <c r="T49" s="37"/>
      <c r="U49" s="37"/>
      <c r="V49" s="58"/>
      <c r="W49" s="37"/>
      <c r="X49" s="37"/>
      <c r="Y49" s="105"/>
      <c r="Z49" s="102"/>
      <c r="AA49" s="71"/>
    </row>
    <row r="50" spans="1:27" ht="15.6" hidden="1" customHeight="1" outlineLevel="1">
      <c r="A50" s="126"/>
      <c r="B50" s="125"/>
      <c r="C50" s="149"/>
      <c r="D50" s="127"/>
      <c r="E50" s="127"/>
      <c r="F50" s="106"/>
      <c r="G50" s="39"/>
      <c r="H50" s="38"/>
      <c r="I50" s="40"/>
      <c r="J50" s="40"/>
      <c r="K50" s="80">
        <f t="shared" ref="K50" si="97">+F50/26*K49*2</f>
        <v>0</v>
      </c>
      <c r="L50" s="78">
        <f>F50*L49/(26)*30%</f>
        <v>0</v>
      </c>
      <c r="M50" s="78"/>
      <c r="N50" s="40"/>
      <c r="O50" s="39"/>
      <c r="P50" s="39"/>
      <c r="Q50" s="41"/>
      <c r="R50" s="41"/>
      <c r="S50" s="37"/>
      <c r="T50" s="37"/>
      <c r="U50" s="37"/>
      <c r="V50" s="39"/>
      <c r="W50" s="37"/>
      <c r="X50" s="37"/>
      <c r="Y50" s="105"/>
      <c r="Z50" s="102">
        <f>+IFERROR(VLOOKUP(C49,'[1]Bản gốc T10'!$C$1:$J$1000,8,0),0)</f>
        <v>0</v>
      </c>
      <c r="AA50" s="74">
        <f>+IFERROR(VLOOKUP(C49,'[1]Bản gốc T10'!$C$1:$F$1000,4,0),0)</f>
        <v>0</v>
      </c>
    </row>
    <row r="51" spans="1:27" ht="15.6" hidden="1" customHeight="1" outlineLevel="1">
      <c r="A51" s="126"/>
      <c r="B51" s="125"/>
      <c r="C51" s="149"/>
      <c r="D51" s="127"/>
      <c r="E51" s="127"/>
      <c r="F51" s="106"/>
      <c r="G51" s="34"/>
      <c r="H51" s="38"/>
      <c r="I51" s="35"/>
      <c r="J51" s="36"/>
      <c r="K51" s="79">
        <f>+'Bang TH nop'!R51</f>
        <v>0</v>
      </c>
      <c r="L51" s="84">
        <f>+'Bang TH nop'!J51</f>
        <v>0</v>
      </c>
      <c r="M51" s="84"/>
      <c r="N51" s="33"/>
      <c r="O51" s="33"/>
      <c r="P51" s="33"/>
      <c r="Q51" s="37"/>
      <c r="R51" s="33"/>
      <c r="S51" s="37"/>
      <c r="T51" s="37"/>
      <c r="U51" s="37"/>
      <c r="V51" s="58"/>
      <c r="W51" s="37"/>
      <c r="X51" s="37"/>
      <c r="Y51" s="105"/>
      <c r="Z51" s="102"/>
      <c r="AA51" s="71"/>
    </row>
    <row r="52" spans="1:27" ht="15.6" hidden="1" customHeight="1" outlineLevel="1">
      <c r="A52" s="126"/>
      <c r="B52" s="125"/>
      <c r="C52" s="149"/>
      <c r="D52" s="127"/>
      <c r="E52" s="127"/>
      <c r="F52" s="106"/>
      <c r="G52" s="39"/>
      <c r="H52" s="38"/>
      <c r="I52" s="40"/>
      <c r="J52" s="40"/>
      <c r="K52" s="80">
        <f t="shared" ref="K52" si="98">+F52/26*K51*2</f>
        <v>0</v>
      </c>
      <c r="L52" s="78">
        <f>F52*L51/(26)*30%</f>
        <v>0</v>
      </c>
      <c r="M52" s="78"/>
      <c r="N52" s="40"/>
      <c r="O52" s="39"/>
      <c r="P52" s="39"/>
      <c r="Q52" s="41"/>
      <c r="R52" s="41"/>
      <c r="S52" s="37"/>
      <c r="T52" s="37"/>
      <c r="U52" s="37"/>
      <c r="V52" s="39"/>
      <c r="W52" s="37"/>
      <c r="X52" s="37"/>
      <c r="Y52" s="105"/>
      <c r="Z52" s="102">
        <f>+IFERROR(VLOOKUP(C51,'[1]Bản gốc T10'!$C$1:$J$1000,8,0),0)</f>
        <v>0</v>
      </c>
      <c r="AA52" s="74">
        <f>+IFERROR(VLOOKUP(C51,'[1]Bản gốc T10'!$C$1:$F$1000,4,0),0)</f>
        <v>0</v>
      </c>
    </row>
    <row r="53" spans="1:27" ht="15" hidden="1" customHeight="1" outlineLevel="1">
      <c r="A53" s="126"/>
      <c r="B53" s="125"/>
      <c r="C53" s="149"/>
      <c r="D53" s="127"/>
      <c r="E53" s="127"/>
      <c r="F53" s="106"/>
      <c r="G53" s="34"/>
      <c r="H53" s="38"/>
      <c r="I53" s="35"/>
      <c r="J53" s="36"/>
      <c r="K53" s="79">
        <f>+'Bang TH nop'!R53</f>
        <v>0</v>
      </c>
      <c r="L53" s="84">
        <f>+'Bang TH nop'!J53</f>
        <v>0</v>
      </c>
      <c r="M53" s="84"/>
      <c r="N53" s="33"/>
      <c r="O53" s="33"/>
      <c r="P53" s="33"/>
      <c r="Q53" s="37"/>
      <c r="R53" s="33"/>
      <c r="S53" s="37"/>
      <c r="T53" s="37"/>
      <c r="U53" s="37"/>
      <c r="V53" s="58"/>
      <c r="W53" s="37"/>
      <c r="X53" s="37"/>
      <c r="Y53" s="105"/>
      <c r="Z53" s="102"/>
      <c r="AA53" s="71"/>
    </row>
    <row r="54" spans="1:27" ht="15" hidden="1" customHeight="1" outlineLevel="1">
      <c r="A54" s="126"/>
      <c r="B54" s="125"/>
      <c r="C54" s="149"/>
      <c r="D54" s="127"/>
      <c r="E54" s="127"/>
      <c r="F54" s="106"/>
      <c r="G54" s="39"/>
      <c r="H54" s="38"/>
      <c r="I54" s="40"/>
      <c r="J54" s="40"/>
      <c r="K54" s="80">
        <f t="shared" ref="K54" si="99">+F54/26*K53*2</f>
        <v>0</v>
      </c>
      <c r="L54" s="78">
        <f>F54*L53/(26)*30%</f>
        <v>0</v>
      </c>
      <c r="M54" s="78"/>
      <c r="N54" s="40"/>
      <c r="O54" s="39"/>
      <c r="P54" s="39"/>
      <c r="Q54" s="41"/>
      <c r="R54" s="41"/>
      <c r="S54" s="37"/>
      <c r="T54" s="37"/>
      <c r="U54" s="37"/>
      <c r="V54" s="39"/>
      <c r="W54" s="37"/>
      <c r="X54" s="37"/>
      <c r="Y54" s="105"/>
      <c r="Z54" s="102">
        <f>+IFERROR(VLOOKUP(C53,'[1]Bản gốc T10'!$C$1:$J$1000,8,0),0)</f>
        <v>0</v>
      </c>
      <c r="AA54" s="74">
        <f>+IFERROR(VLOOKUP(C53,'[1]Bản gốc T10'!$C$1:$F$1000,4,0),0)</f>
        <v>0</v>
      </c>
    </row>
    <row r="55" spans="1:27" ht="15" hidden="1" customHeight="1" outlineLevel="1">
      <c r="A55" s="126"/>
      <c r="B55" s="125"/>
      <c r="C55" s="149"/>
      <c r="D55" s="127"/>
      <c r="E55" s="127"/>
      <c r="F55" s="106"/>
      <c r="G55" s="34"/>
      <c r="H55" s="38"/>
      <c r="I55" s="35"/>
      <c r="J55" s="36"/>
      <c r="K55" s="79">
        <f>+'Bang TH nop'!R55</f>
        <v>0</v>
      </c>
      <c r="L55" s="84">
        <f>+'Bang TH nop'!J55</f>
        <v>0</v>
      </c>
      <c r="M55" s="84"/>
      <c r="N55" s="33"/>
      <c r="O55" s="33"/>
      <c r="P55" s="33"/>
      <c r="Q55" s="37"/>
      <c r="R55" s="33"/>
      <c r="S55" s="37"/>
      <c r="T55" s="37"/>
      <c r="U55" s="37"/>
      <c r="V55" s="58"/>
      <c r="W55" s="37"/>
      <c r="X55" s="37"/>
      <c r="Y55" s="105"/>
      <c r="Z55" s="102"/>
      <c r="AA55" s="71"/>
    </row>
    <row r="56" spans="1:27" ht="15" hidden="1" customHeight="1" outlineLevel="1">
      <c r="A56" s="126"/>
      <c r="B56" s="125"/>
      <c r="C56" s="149"/>
      <c r="D56" s="127"/>
      <c r="E56" s="127"/>
      <c r="F56" s="106"/>
      <c r="G56" s="39"/>
      <c r="H56" s="38"/>
      <c r="I56" s="40"/>
      <c r="J56" s="40"/>
      <c r="K56" s="80">
        <f t="shared" ref="K56" si="100">+F56/26*K55*2</f>
        <v>0</v>
      </c>
      <c r="L56" s="78">
        <f>F56*L55/(26)*30%</f>
        <v>0</v>
      </c>
      <c r="M56" s="78"/>
      <c r="N56" s="40"/>
      <c r="O56" s="39"/>
      <c r="P56" s="39"/>
      <c r="Q56" s="41"/>
      <c r="R56" s="41"/>
      <c r="S56" s="37"/>
      <c r="T56" s="37"/>
      <c r="U56" s="37"/>
      <c r="V56" s="39"/>
      <c r="W56" s="37"/>
      <c r="X56" s="37"/>
      <c r="Y56" s="105"/>
      <c r="Z56" s="102">
        <f>+IFERROR(VLOOKUP(C55,'[1]Bản gốc T10'!$C$1:$J$1000,8,0),0)</f>
        <v>0</v>
      </c>
      <c r="AA56" s="74">
        <f>+IFERROR(VLOOKUP(C55,'[1]Bản gốc T10'!$C$1:$F$1000,4,0),0)</f>
        <v>0</v>
      </c>
    </row>
    <row r="57" spans="1:27" ht="15" hidden="1" customHeight="1" outlineLevel="1">
      <c r="A57" s="126"/>
      <c r="B57" s="125"/>
      <c r="C57" s="149"/>
      <c r="D57" s="127"/>
      <c r="E57" s="127"/>
      <c r="F57" s="106"/>
      <c r="G57" s="34"/>
      <c r="H57" s="38"/>
      <c r="I57" s="35"/>
      <c r="J57" s="36"/>
      <c r="K57" s="79">
        <f>+'Bang TH nop'!R57</f>
        <v>0</v>
      </c>
      <c r="L57" s="84">
        <f>+'Bang TH nop'!J57</f>
        <v>0</v>
      </c>
      <c r="M57" s="84"/>
      <c r="N57" s="33"/>
      <c r="O57" s="33"/>
      <c r="P57" s="33"/>
      <c r="Q57" s="37"/>
      <c r="R57" s="33"/>
      <c r="S57" s="37"/>
      <c r="T57" s="37"/>
      <c r="U57" s="37"/>
      <c r="V57" s="58"/>
      <c r="W57" s="37"/>
      <c r="X57" s="37"/>
      <c r="Y57" s="105"/>
      <c r="Z57" s="102"/>
      <c r="AA57" s="71"/>
    </row>
    <row r="58" spans="1:27" ht="15" hidden="1" customHeight="1" outlineLevel="1">
      <c r="A58" s="126"/>
      <c r="B58" s="125"/>
      <c r="C58" s="149"/>
      <c r="D58" s="127"/>
      <c r="E58" s="127"/>
      <c r="F58" s="106"/>
      <c r="G58" s="39"/>
      <c r="H58" s="38"/>
      <c r="I58" s="40"/>
      <c r="J58" s="40"/>
      <c r="K58" s="80">
        <f t="shared" ref="K58" si="101">+F58/26*K57*2</f>
        <v>0</v>
      </c>
      <c r="L58" s="78">
        <f>F58*L57/(26)*30%</f>
        <v>0</v>
      </c>
      <c r="M58" s="78"/>
      <c r="N58" s="40"/>
      <c r="O58" s="39"/>
      <c r="P58" s="39"/>
      <c r="Q58" s="41"/>
      <c r="R58" s="41"/>
      <c r="S58" s="37"/>
      <c r="T58" s="37"/>
      <c r="U58" s="37"/>
      <c r="V58" s="39"/>
      <c r="W58" s="37"/>
      <c r="X58" s="37"/>
      <c r="Y58" s="105"/>
      <c r="Z58" s="102">
        <f>+IFERROR(VLOOKUP(C57,'[1]Bản gốc T10'!$C$1:$J$1000,8,0),0)</f>
        <v>0</v>
      </c>
      <c r="AA58" s="74">
        <f>+IFERROR(VLOOKUP(C57,'[1]Bản gốc T10'!$C$1:$F$1000,4,0),0)</f>
        <v>0</v>
      </c>
    </row>
    <row r="59" spans="1:27" ht="15" hidden="1" customHeight="1" outlineLevel="1">
      <c r="A59" s="126"/>
      <c r="B59" s="125"/>
      <c r="C59" s="149"/>
      <c r="D59" s="127"/>
      <c r="E59" s="127"/>
      <c r="F59" s="106"/>
      <c r="G59" s="34"/>
      <c r="H59" s="38"/>
      <c r="I59" s="35"/>
      <c r="J59" s="36"/>
      <c r="K59" s="79">
        <f>+'Bang TH nop'!R59</f>
        <v>0</v>
      </c>
      <c r="L59" s="84">
        <f>+'Bang TH nop'!J59</f>
        <v>0</v>
      </c>
      <c r="M59" s="84"/>
      <c r="N59" s="33"/>
      <c r="O59" s="33"/>
      <c r="P59" s="33"/>
      <c r="Q59" s="37"/>
      <c r="R59" s="33"/>
      <c r="S59" s="37"/>
      <c r="T59" s="37"/>
      <c r="U59" s="37"/>
      <c r="V59" s="58"/>
      <c r="W59" s="37"/>
      <c r="X59" s="37"/>
      <c r="Y59" s="105"/>
      <c r="Z59" s="102"/>
      <c r="AA59" s="71"/>
    </row>
    <row r="60" spans="1:27" ht="15" hidden="1" customHeight="1" outlineLevel="1">
      <c r="A60" s="126"/>
      <c r="B60" s="125"/>
      <c r="C60" s="149"/>
      <c r="D60" s="127"/>
      <c r="E60" s="127"/>
      <c r="F60" s="106"/>
      <c r="G60" s="39"/>
      <c r="H60" s="38"/>
      <c r="I60" s="40"/>
      <c r="J60" s="40"/>
      <c r="K60" s="80">
        <f t="shared" ref="K60" si="102">+F60/26*K59*2</f>
        <v>0</v>
      </c>
      <c r="L60" s="78">
        <f>F60*L59/(26)*30%</f>
        <v>0</v>
      </c>
      <c r="M60" s="78"/>
      <c r="N60" s="40"/>
      <c r="O60" s="39"/>
      <c r="P60" s="39"/>
      <c r="Q60" s="41"/>
      <c r="R60" s="41"/>
      <c r="S60" s="37"/>
      <c r="T60" s="37"/>
      <c r="U60" s="37"/>
      <c r="V60" s="39"/>
      <c r="W60" s="37"/>
      <c r="X60" s="37"/>
      <c r="Y60" s="105"/>
      <c r="Z60" s="102">
        <f>+IFERROR(VLOOKUP(C59,'[1]Bản gốc T10'!$C$1:$J$1000,8,0),0)</f>
        <v>0</v>
      </c>
      <c r="AA60" s="74">
        <f>+IFERROR(VLOOKUP(C59,'[1]Bản gốc T10'!$C$1:$F$1000,4,0),0)</f>
        <v>0</v>
      </c>
    </row>
    <row r="61" spans="1:27" ht="15" hidden="1" customHeight="1" outlineLevel="1">
      <c r="A61" s="126"/>
      <c r="B61" s="125"/>
      <c r="C61" s="149"/>
      <c r="D61" s="127"/>
      <c r="E61" s="127"/>
      <c r="F61" s="106"/>
      <c r="G61" s="34"/>
      <c r="H61" s="38"/>
      <c r="I61" s="35"/>
      <c r="J61" s="36"/>
      <c r="K61" s="79">
        <f>+'Bang TH nop'!R61</f>
        <v>0</v>
      </c>
      <c r="L61" s="84">
        <f>+'Bang TH nop'!J61</f>
        <v>0</v>
      </c>
      <c r="M61" s="84"/>
      <c r="N61" s="33"/>
      <c r="O61" s="33"/>
      <c r="P61" s="33"/>
      <c r="Q61" s="37"/>
      <c r="R61" s="33"/>
      <c r="S61" s="37"/>
      <c r="T61" s="37"/>
      <c r="U61" s="37"/>
      <c r="V61" s="58"/>
      <c r="W61" s="37"/>
      <c r="X61" s="37"/>
      <c r="Y61" s="105"/>
      <c r="Z61" s="102"/>
      <c r="AA61" s="71"/>
    </row>
    <row r="62" spans="1:27" ht="15" hidden="1" customHeight="1" outlineLevel="1">
      <c r="A62" s="126"/>
      <c r="B62" s="125"/>
      <c r="C62" s="149"/>
      <c r="D62" s="127"/>
      <c r="E62" s="127"/>
      <c r="F62" s="106"/>
      <c r="G62" s="39"/>
      <c r="H62" s="38"/>
      <c r="I62" s="40"/>
      <c r="J62" s="40"/>
      <c r="K62" s="80">
        <f t="shared" ref="K62" si="103">+F62/26*K61*2</f>
        <v>0</v>
      </c>
      <c r="L62" s="78">
        <f>F62*L61/(26)*30%</f>
        <v>0</v>
      </c>
      <c r="M62" s="78"/>
      <c r="N62" s="40"/>
      <c r="O62" s="39"/>
      <c r="P62" s="39"/>
      <c r="Q62" s="41"/>
      <c r="R62" s="41"/>
      <c r="S62" s="37"/>
      <c r="T62" s="37"/>
      <c r="U62" s="37"/>
      <c r="V62" s="39"/>
      <c r="W62" s="37"/>
      <c r="X62" s="37"/>
      <c r="Y62" s="105"/>
      <c r="Z62" s="102">
        <f>+IFERROR(VLOOKUP(C61,'[1]Bản gốc T10'!$C$1:$J$1000,8,0),0)</f>
        <v>0</v>
      </c>
      <c r="AA62" s="74">
        <f>+IFERROR(VLOOKUP(C61,'[1]Bản gốc T10'!$C$1:$F$1000,4,0),0)</f>
        <v>0</v>
      </c>
    </row>
    <row r="63" spans="1:27" ht="15" hidden="1" customHeight="1" outlineLevel="1">
      <c r="A63" s="126"/>
      <c r="B63" s="125"/>
      <c r="C63" s="126"/>
      <c r="D63" s="127"/>
      <c r="E63" s="127"/>
      <c r="F63" s="106"/>
      <c r="G63" s="34"/>
      <c r="H63" s="38"/>
      <c r="I63" s="35"/>
      <c r="J63" s="36"/>
      <c r="K63" s="79">
        <f>+'Bang TH nop'!R63</f>
        <v>0</v>
      </c>
      <c r="L63" s="84">
        <f>+'Bang TH nop'!J63</f>
        <v>0</v>
      </c>
      <c r="M63" s="84"/>
      <c r="N63" s="33"/>
      <c r="O63" s="33"/>
      <c r="P63" s="33"/>
      <c r="Q63" s="37"/>
      <c r="R63" s="33"/>
      <c r="S63" s="37"/>
      <c r="T63" s="37"/>
      <c r="U63" s="37"/>
      <c r="V63" s="58"/>
      <c r="W63" s="37"/>
      <c r="X63" s="37"/>
      <c r="Y63" s="105"/>
      <c r="Z63" s="102"/>
      <c r="AA63" s="71"/>
    </row>
    <row r="64" spans="1:27" ht="15" hidden="1" customHeight="1" outlineLevel="1">
      <c r="A64" s="126"/>
      <c r="B64" s="125"/>
      <c r="C64" s="126"/>
      <c r="D64" s="127"/>
      <c r="E64" s="127"/>
      <c r="F64" s="106"/>
      <c r="G64" s="39"/>
      <c r="H64" s="38"/>
      <c r="I64" s="40"/>
      <c r="J64" s="40"/>
      <c r="K64" s="80">
        <f t="shared" ref="K64" si="104">+F64/26*K63*2</f>
        <v>0</v>
      </c>
      <c r="L64" s="78">
        <f>F64*L63/(26)*30%</f>
        <v>0</v>
      </c>
      <c r="M64" s="78"/>
      <c r="N64" s="40"/>
      <c r="O64" s="39"/>
      <c r="P64" s="39"/>
      <c r="Q64" s="41"/>
      <c r="R64" s="41"/>
      <c r="S64" s="37"/>
      <c r="T64" s="37"/>
      <c r="U64" s="37"/>
      <c r="V64" s="39"/>
      <c r="W64" s="37"/>
      <c r="X64" s="37"/>
      <c r="Y64" s="105"/>
      <c r="Z64" s="102">
        <f>+IFERROR(VLOOKUP(C63,'[1]Bản gốc T10'!$C$1:$J$1000,8,0),0)</f>
        <v>0</v>
      </c>
      <c r="AA64" s="74">
        <f>+IFERROR(VLOOKUP(C63,'[1]Bản gốc T10'!$C$1:$F$1000,4,0),0)</f>
        <v>0</v>
      </c>
    </row>
    <row r="65" spans="1:31 11519:16382" ht="16.5" hidden="1" customHeight="1" outlineLevel="1">
      <c r="A65" s="126"/>
      <c r="B65" s="125"/>
      <c r="C65" s="126"/>
      <c r="D65" s="127"/>
      <c r="E65" s="127"/>
      <c r="F65" s="106"/>
      <c r="G65" s="34"/>
      <c r="H65" s="38"/>
      <c r="I65" s="35"/>
      <c r="J65" s="36"/>
      <c r="K65" s="79">
        <f>+'Bang TH nop'!R65</f>
        <v>0</v>
      </c>
      <c r="L65" s="84">
        <f>+'Bang TH nop'!J65</f>
        <v>0</v>
      </c>
      <c r="M65" s="84"/>
      <c r="N65" s="33"/>
      <c r="O65" s="33"/>
      <c r="P65" s="33"/>
      <c r="Q65" s="37"/>
      <c r="R65" s="33"/>
      <c r="S65" s="37"/>
      <c r="T65" s="37"/>
      <c r="U65" s="37"/>
      <c r="V65" s="58"/>
      <c r="W65" s="37"/>
      <c r="X65" s="37"/>
      <c r="Y65" s="105"/>
      <c r="Z65" s="102"/>
      <c r="AA65" s="71"/>
    </row>
    <row r="66" spans="1:31 11519:16382" ht="16.5" hidden="1" customHeight="1" outlineLevel="1">
      <c r="A66" s="126"/>
      <c r="B66" s="125"/>
      <c r="C66" s="126"/>
      <c r="D66" s="127"/>
      <c r="E66" s="127"/>
      <c r="F66" s="106"/>
      <c r="G66" s="39"/>
      <c r="H66" s="38"/>
      <c r="I66" s="40"/>
      <c r="J66" s="40"/>
      <c r="K66" s="80">
        <f t="shared" ref="K66" si="105">+F66/26*K65*2</f>
        <v>0</v>
      </c>
      <c r="L66" s="78">
        <f>F66*L65/(26)*30%</f>
        <v>0</v>
      </c>
      <c r="M66" s="78"/>
      <c r="N66" s="40"/>
      <c r="O66" s="39"/>
      <c r="P66" s="39"/>
      <c r="Q66" s="41"/>
      <c r="R66" s="41"/>
      <c r="S66" s="37"/>
      <c r="T66" s="37"/>
      <c r="U66" s="37"/>
      <c r="V66" s="39"/>
      <c r="W66" s="37"/>
      <c r="X66" s="37"/>
      <c r="Y66" s="105"/>
      <c r="Z66" s="102">
        <f>+IFERROR(VLOOKUP(C65,'[1]Bản gốc T10'!$C$1:$J$1000,8,0),0)</f>
        <v>0</v>
      </c>
      <c r="AA66" s="74">
        <f>+IFERROR(VLOOKUP(C65,'[1]Bản gốc T10'!$C$1:$F$1000,4,0),0)</f>
        <v>0</v>
      </c>
    </row>
    <row r="67" spans="1:31 11519:16382" collapsed="1">
      <c r="A67" s="126"/>
      <c r="B67" s="147" t="s">
        <v>30</v>
      </c>
      <c r="C67" s="148"/>
      <c r="D67" s="42"/>
      <c r="E67" s="42"/>
      <c r="F67" s="42"/>
      <c r="G67" s="42" cm="1">
        <f t="array" ref="G67">SUMPRODUCT((MOD(ROW(G9:G51),2)=1)*IFERROR(G9:G51,0))</f>
        <v>0</v>
      </c>
      <c r="H67" s="42" cm="1">
        <f t="array" ref="H67">SUMPRODUCT((MOD(ROW(H9:H51),2)=1)*IFERROR(H9:H51,0))</f>
        <v>0</v>
      </c>
      <c r="I67" s="42" cm="1">
        <f t="array" ref="I67">SUMPRODUCT((MOD(ROW(I9:I51),2)=1)*IFERROR(I9:I51,0))</f>
        <v>0</v>
      </c>
      <c r="J67" s="42" cm="1">
        <f t="array" ref="J67">SUMPRODUCT((MOD(ROW(J9:J51),2)=1)*IFERROR(J9:J51,0))</f>
        <v>0</v>
      </c>
      <c r="K67" s="42" cm="1">
        <f t="array" ref="K67">SUMPRODUCT((MOD(ROW(K9:K51),2)=1)*IFERROR(K9:K51,0))</f>
        <v>0</v>
      </c>
      <c r="L67" s="42" cm="1">
        <f t="array" ref="L67">SUMPRODUCT((MOD(ROW(L9:L51),2)=1)*IFERROR(L9:L51,0))</f>
        <v>0</v>
      </c>
      <c r="M67" s="42" cm="1">
        <f t="array" ref="M67">SUMPRODUCT((MOD(ROW(M9:M51),2)=1)*IFERROR(M9:M51,0))</f>
        <v>0</v>
      </c>
      <c r="N67" s="42" cm="1">
        <f t="array" ref="N67">SUMPRODUCT((MOD(ROW(N9:N51),2)=1)*IFERROR(N9:N51,0))</f>
        <v>0</v>
      </c>
      <c r="O67" s="42" cm="1">
        <f t="array" ref="O67">SUMPRODUCT((MOD(ROW(O9:O51),2)=1)*IFERROR(O9:O51,0))</f>
        <v>0</v>
      </c>
      <c r="P67" s="42" cm="1">
        <f t="array" ref="P67">SUMPRODUCT((MOD(ROW(P9:P51),2)=1)*IFERROR(P9:P51,0))</f>
        <v>0</v>
      </c>
      <c r="Q67" s="42" cm="1">
        <f t="array" ref="Q67">SUMPRODUCT((MOD(ROW(Q9:Q51),2)=1)*IFERROR(Q9:Q51,0))</f>
        <v>0</v>
      </c>
      <c r="R67" s="42" cm="1">
        <f t="array" ref="R67">SUMPRODUCT((MOD(ROW(R9:R51),2)=1)*IFERROR(R9:R51,0))</f>
        <v>0</v>
      </c>
      <c r="S67" s="42" cm="1">
        <f t="array" ref="S67">SUMPRODUCT((MOD(ROW(S9:S51),2)=1)*IFERROR(S9:S51,0))</f>
        <v>0</v>
      </c>
      <c r="T67" s="42" cm="1">
        <f t="array" ref="T67">SUMPRODUCT((MOD(ROW(T9:T51),2)=1)*IFERROR(T9:T51,0))</f>
        <v>0</v>
      </c>
      <c r="U67" s="42" cm="1">
        <f t="array" ref="U67">SUMPRODUCT((MOD(ROW(U9:U51),2)=1)*IFERROR(U9:U51,0))</f>
        <v>0</v>
      </c>
      <c r="V67" s="42" cm="1">
        <f t="array" ref="V67">SUMPRODUCT((MOD(ROW(V9:V51),2)=1)*IFERROR(V9:V51,0))</f>
        <v>0</v>
      </c>
      <c r="W67" s="42" cm="1">
        <f t="array" ref="W67">SUMPRODUCT((MOD(ROW(W9:W51),2)=1)*IFERROR(W9:W51,0))</f>
        <v>0</v>
      </c>
      <c r="X67" s="42" cm="1">
        <f t="array" ref="X67">SUMPRODUCT((MOD(ROW(X9:X51),2)=1)*IFERROR(X9:X51,0))</f>
        <v>0</v>
      </c>
      <c r="Y67" s="42" cm="1">
        <f t="array" ref="Y67">SUMPRODUCT((MOD(ROW(Y9:Y51),2)=1)*IFERROR(Y9:Y51,0))</f>
        <v>0</v>
      </c>
    </row>
    <row r="68" spans="1:31 11519:16382" ht="21.75" customHeight="1">
      <c r="A68" s="126"/>
      <c r="B68" s="147"/>
      <c r="C68" s="148"/>
      <c r="D68" s="42"/>
      <c r="E68" s="42"/>
      <c r="F68" s="42"/>
      <c r="G68" s="42" cm="1">
        <f t="array" ref="G68">SUMPRODUCT((MOD(ROW(G10:G52),2)=0)*IFERROR(G10:G52,0))</f>
        <v>0</v>
      </c>
      <c r="H68" s="42" cm="1">
        <f t="array" ref="H68">SUMPRODUCT((MOD(ROW(H10:H52),2)=0)*IFERROR(H10:H52,0))</f>
        <v>0</v>
      </c>
      <c r="I68" s="42" cm="1">
        <f t="array" ref="I68">SUMPRODUCT((MOD(ROW(I10:I52),2)=0)*IFERROR(I10:I52,0))</f>
        <v>0</v>
      </c>
      <c r="J68" s="42" cm="1">
        <f t="array" ref="J68">SUMPRODUCT((MOD(ROW(J10:J52),2)=0)*IFERROR(J10:J52,0))</f>
        <v>0</v>
      </c>
      <c r="K68" s="42" cm="1">
        <f t="array" ref="K68">SUMPRODUCT((MOD(ROW(K10:K52),2)=0)*IFERROR(K10:K52,0))</f>
        <v>0</v>
      </c>
      <c r="L68" s="42" cm="1">
        <f t="array" ref="L68">SUMPRODUCT((MOD(ROW(L10:L52),2)=0)*IFERROR(L10:L52,0))</f>
        <v>0</v>
      </c>
      <c r="M68" s="42" cm="1">
        <f t="array" ref="M68">SUMPRODUCT((MOD(ROW(M10:M52),2)=0)*IFERROR(M10:M52,0))</f>
        <v>0</v>
      </c>
      <c r="N68" s="42" cm="1">
        <f t="array" ref="N68">SUMPRODUCT((MOD(ROW(N10:N52),2)=0)*IFERROR(N10:N52,0))</f>
        <v>0</v>
      </c>
      <c r="O68" s="42" cm="1">
        <f t="array" ref="O68">SUMPRODUCT((MOD(ROW(O10:O52),2)=0)*IFERROR(O10:O52,0))</f>
        <v>0</v>
      </c>
      <c r="P68" s="42" cm="1">
        <f t="array" ref="P68">SUMPRODUCT((MOD(ROW(P10:P52),2)=0)*IFERROR(P10:P52,0))</f>
        <v>0</v>
      </c>
      <c r="Q68" s="42" cm="1">
        <f t="array" ref="Q68">SUMPRODUCT((MOD(ROW(Q10:Q52),2)=0)*IFERROR(Q10:Q52,0))</f>
        <v>0</v>
      </c>
      <c r="R68" s="42" cm="1">
        <f t="array" ref="R68">SUMPRODUCT((MOD(ROW(R10:R52),2)=0)*IFERROR(R10:R52,0))</f>
        <v>0</v>
      </c>
      <c r="S68" s="42" cm="1">
        <f t="array" ref="S68">SUMPRODUCT((MOD(ROW(S10:S52),2)=0)*IFERROR(S10:S52,0))</f>
        <v>0</v>
      </c>
      <c r="T68" s="42" cm="1">
        <f t="array" ref="T68">SUMPRODUCT((MOD(ROW(T10:T52),2)=0)*IFERROR(T10:T52,0))</f>
        <v>0</v>
      </c>
      <c r="U68" s="42" cm="1">
        <f t="array" ref="U68">SUMPRODUCT((MOD(ROW(U10:U52),2)=0)*IFERROR(U10:U52,0))</f>
        <v>0</v>
      </c>
      <c r="V68" s="42" cm="1">
        <f t="array" ref="V68">SUMPRODUCT((MOD(ROW(V10:V52),2)=0)*IFERROR(V10:V52,0))</f>
        <v>0</v>
      </c>
      <c r="W68" s="42" cm="1">
        <f t="array" ref="W68">SUMPRODUCT((MOD(ROW(W10:W52),2)=0)*IFERROR(W10:W52,0))</f>
        <v>0</v>
      </c>
      <c r="X68" s="42" cm="1">
        <f t="array" ref="X68">SUMPRODUCT((MOD(ROW(X10:X52),2)=0)*IFERROR(X10:X52,0))</f>
        <v>0</v>
      </c>
      <c r="Y68" s="42" cm="1">
        <f t="array" ref="Y68">SUMPRODUCT((MOD(ROW(Y10:Y52),2)=0)*IFERROR(Y10:Y52,0))</f>
        <v>0</v>
      </c>
      <c r="Z68" s="60">
        <f>IFERROR(U68/Y68*26,0)</f>
        <v>0</v>
      </c>
      <c r="AA68" s="60">
        <f>IFERROR(AE68/Y68*26,0)</f>
        <v>0</v>
      </c>
      <c r="AB68" s="96"/>
      <c r="AC68" s="97"/>
      <c r="AE68" s="42" cm="1">
        <f t="array" ref="AE68">SUMPRODUCT((MOD(ROW(AE10:AE52),2)=0)*IFERROR(AE10:AE52,0))</f>
        <v>0</v>
      </c>
    </row>
    <row r="69" spans="1:31 11519:16382" ht="17.25" hidden="1">
      <c r="D69" s="44">
        <f t="shared" ref="D69:Y70" si="106">D9+D11+D13+D15+D17+D19+D21+D23+D25+D27+D29+D31+D33+D35+D37+D3</f>
        <v>0</v>
      </c>
      <c r="E69" s="44">
        <f t="shared" si="106"/>
        <v>0</v>
      </c>
      <c r="G69" s="44">
        <f t="shared" si="106"/>
        <v>0</v>
      </c>
      <c r="H69" s="44">
        <f>H9+H11+H13+H15+H17+H19+H21+H23+H25+H27+H29+H31+H33+H35+H37+H3</f>
        <v>0</v>
      </c>
      <c r="I69" s="44">
        <f t="shared" si="106"/>
        <v>0</v>
      </c>
      <c r="J69" s="44">
        <f t="shared" si="106"/>
        <v>0</v>
      </c>
      <c r="K69" s="44">
        <f>K9+K11+K13+K15+K17+K19+K21+K23+K25+K27+K29+K31+K33+K35+K37+K3</f>
        <v>0</v>
      </c>
      <c r="L69" s="44">
        <f>L9+L11+L13+L15+L17+L19+L21+L23+L25+L27+L29+L31+L33+L35+L37+L3</f>
        <v>0</v>
      </c>
      <c r="N69" s="44">
        <f t="shared" si="106"/>
        <v>0</v>
      </c>
      <c r="O69" s="44" t="e">
        <f t="shared" si="106"/>
        <v>#VALUE!</v>
      </c>
      <c r="P69" s="44">
        <f t="shared" si="106"/>
        <v>0</v>
      </c>
      <c r="Q69" s="49">
        <f t="shared" si="106"/>
        <v>0</v>
      </c>
      <c r="R69" s="44">
        <f t="shared" si="106"/>
        <v>0</v>
      </c>
      <c r="S69" s="53">
        <f t="shared" si="106"/>
        <v>0</v>
      </c>
      <c r="U69" s="53">
        <f t="shared" si="106"/>
        <v>0</v>
      </c>
      <c r="V69" s="53">
        <f t="shared" si="106"/>
        <v>0</v>
      </c>
      <c r="W69" s="53">
        <f t="shared" si="106"/>
        <v>0</v>
      </c>
      <c r="X69" s="53">
        <f t="shared" si="106"/>
        <v>0</v>
      </c>
      <c r="Y69" s="56">
        <f t="shared" si="106"/>
        <v>0</v>
      </c>
      <c r="Z69" s="61"/>
      <c r="AA69" s="60"/>
      <c r="AB69" s="96"/>
    </row>
    <row r="70" spans="1:31 11519:16382" ht="17.25" hidden="1">
      <c r="D70" s="44">
        <f t="shared" si="106"/>
        <v>0</v>
      </c>
      <c r="E70" s="44">
        <f t="shared" si="106"/>
        <v>0</v>
      </c>
      <c r="G70" s="44">
        <f t="shared" si="106"/>
        <v>0</v>
      </c>
      <c r="H70" s="44">
        <f>H10+H12+H14+H16+H18+H20+H22+H24+H26+H28+H30+H32+H34+H36+H38+H4</f>
        <v>0</v>
      </c>
      <c r="I70" s="44">
        <f t="shared" si="106"/>
        <v>0</v>
      </c>
      <c r="J70" s="44">
        <f t="shared" si="106"/>
        <v>0</v>
      </c>
      <c r="K70" s="44">
        <f>K10+K12+K14+K16+K18+K20+K22+K24+K26+K28+K30+K32+K34+K36+K38+K4</f>
        <v>0</v>
      </c>
      <c r="L70" s="44">
        <f>L10+L12+L14+L16+L18+L20+L22+L24+L26+L28+L30+L32+L34+L36+L38+L4</f>
        <v>0</v>
      </c>
      <c r="N70" s="44">
        <f t="shared" si="106"/>
        <v>0</v>
      </c>
      <c r="O70" s="44">
        <f t="shared" si="106"/>
        <v>0</v>
      </c>
      <c r="P70" s="44">
        <f t="shared" si="106"/>
        <v>0</v>
      </c>
      <c r="Q70" s="49">
        <f t="shared" si="106"/>
        <v>0</v>
      </c>
      <c r="R70" s="44">
        <f t="shared" si="106"/>
        <v>0</v>
      </c>
      <c r="S70" s="53">
        <f t="shared" si="106"/>
        <v>0</v>
      </c>
      <c r="U70" s="53">
        <f t="shared" si="106"/>
        <v>0</v>
      </c>
      <c r="V70" s="53">
        <f t="shared" si="106"/>
        <v>0</v>
      </c>
      <c r="W70" s="53">
        <f t="shared" si="106"/>
        <v>0</v>
      </c>
      <c r="X70" s="53">
        <f t="shared" si="106"/>
        <v>0</v>
      </c>
      <c r="Y70" s="56">
        <f>Y10+Y12+Y14+Y16+Y18+Y20+Y22+Y24+Y26+Y28+Y30+Y32+Y34+Y36+Y38+Y40+Y42+Y44+Y46+Y48+Y50+Y52+Y54+Y56+Y58+Y60+Y62</f>
        <v>0</v>
      </c>
      <c r="Z70" s="61"/>
      <c r="AA70" s="60"/>
      <c r="AB70" s="96"/>
    </row>
    <row r="71" spans="1:31 11519:16382" ht="17.25">
      <c r="Z71" s="60">
        <f>IFERROR(Z68/26,0)</f>
        <v>0</v>
      </c>
      <c r="AA71" s="60">
        <f>IFERROR(AA68/26,0)</f>
        <v>0</v>
      </c>
      <c r="AB71" s="96"/>
    </row>
    <row r="72" spans="1:31 11519:16382" hidden="1"/>
    <row r="73" spans="1:31 11519:16382" hidden="1"/>
    <row r="74" spans="1:31 11519:16382" s="88" customFormat="1" ht="15.75">
      <c r="D74" s="137" t="s">
        <v>35</v>
      </c>
      <c r="E74" s="137"/>
      <c r="F74" s="137"/>
      <c r="G74" s="137"/>
      <c r="K74" s="89" t="e" cm="1">
        <f t="array" aca="1" ref="K74" ca="1">+_xll.VND(X68)</f>
        <v>#NAME?</v>
      </c>
      <c r="Q74" s="90"/>
      <c r="S74" s="113"/>
      <c r="T74" s="113"/>
      <c r="U74" s="113"/>
      <c r="V74" s="113"/>
      <c r="W74" s="113"/>
      <c r="X74" s="113"/>
      <c r="Y74" s="91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</row>
    <row r="75" spans="1:31 11519:16382" ht="17.25" customHeight="1">
      <c r="S75" s="129" t="s">
        <v>62</v>
      </c>
      <c r="T75" s="129"/>
      <c r="U75" s="129"/>
      <c r="V75" s="129"/>
      <c r="W75" s="129"/>
      <c r="X75" s="129"/>
    </row>
    <row r="76" spans="1:31 11519:16382" ht="14.45" customHeight="1">
      <c r="A76" s="62"/>
      <c r="B76" s="131" t="s">
        <v>31</v>
      </c>
      <c r="C76" s="13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45"/>
      <c r="O76" s="45"/>
      <c r="P76" s="64"/>
      <c r="Q76" s="65"/>
      <c r="R76" s="61"/>
      <c r="S76" s="47"/>
      <c r="T76" s="47"/>
      <c r="U76" s="128" t="s">
        <v>42</v>
      </c>
      <c r="V76" s="128"/>
      <c r="W76" s="128"/>
      <c r="X76" s="128"/>
      <c r="Y76" s="63"/>
    </row>
    <row r="77" spans="1:31 11519:16382">
      <c r="A77" s="55"/>
      <c r="B77" s="100"/>
      <c r="C77" s="100"/>
      <c r="U77" s="99"/>
      <c r="V77" s="99"/>
      <c r="W77" s="99"/>
      <c r="X77" s="99"/>
    </row>
    <row r="78" spans="1:31 11519:16382">
      <c r="A78" s="55"/>
      <c r="B78" s="100"/>
      <c r="C78" s="100"/>
      <c r="U78" s="99"/>
      <c r="V78" s="99"/>
      <c r="W78" s="99"/>
      <c r="X78" s="99"/>
    </row>
    <row r="79" spans="1:31 11519:16382">
      <c r="A79" s="55"/>
      <c r="B79" s="100"/>
      <c r="C79" s="100"/>
      <c r="E79" s="66"/>
      <c r="F79" s="66"/>
      <c r="U79" s="99"/>
      <c r="V79" s="99"/>
      <c r="W79" s="99"/>
      <c r="X79" s="99"/>
    </row>
    <row r="80" spans="1:31 11519:16382">
      <c r="B80" s="123" t="s">
        <v>40</v>
      </c>
      <c r="C80" s="123"/>
      <c r="U80" s="130" t="s">
        <v>43</v>
      </c>
      <c r="V80" s="130"/>
      <c r="W80" s="130"/>
      <c r="X80" s="130"/>
    </row>
    <row r="82" spans="19:24" ht="14.45" customHeight="1"/>
    <row r="84" spans="19:24">
      <c r="S84" s="67"/>
      <c r="T84" s="67"/>
      <c r="U84" s="67"/>
      <c r="V84" s="67"/>
      <c r="W84" s="67"/>
      <c r="X84" s="67"/>
    </row>
    <row r="85" spans="19:24">
      <c r="S85" s="67"/>
      <c r="T85" s="67"/>
      <c r="U85" s="67"/>
      <c r="V85" s="67"/>
      <c r="W85" s="67"/>
      <c r="X85" s="67"/>
    </row>
    <row r="86" spans="19:24">
      <c r="S86" s="67"/>
      <c r="T86" s="67"/>
      <c r="U86" s="67"/>
      <c r="V86" s="67"/>
      <c r="W86" s="67"/>
      <c r="X86" s="67"/>
    </row>
    <row r="87" spans="19:24">
      <c r="S87" s="67"/>
      <c r="T87" s="67"/>
      <c r="U87" s="67"/>
      <c r="V87" s="67"/>
      <c r="W87" s="67"/>
      <c r="X87" s="67"/>
    </row>
    <row r="88" spans="19:24">
      <c r="S88" s="67"/>
      <c r="T88" s="67"/>
      <c r="U88" s="67"/>
      <c r="V88" s="67"/>
      <c r="W88" s="67"/>
      <c r="X88" s="67"/>
    </row>
    <row r="89" spans="19:24">
      <c r="S89" s="67"/>
      <c r="T89" s="67"/>
      <c r="U89" s="67"/>
      <c r="V89" s="67"/>
      <c r="W89" s="67"/>
      <c r="X89" s="67"/>
    </row>
    <row r="90" spans="19:24">
      <c r="S90" s="67"/>
      <c r="T90" s="67"/>
      <c r="U90" s="67"/>
      <c r="V90" s="67"/>
      <c r="W90" s="67"/>
      <c r="X90" s="67"/>
    </row>
    <row r="91" spans="19:24">
      <c r="S91" s="67"/>
      <c r="T91" s="67"/>
      <c r="U91" s="67"/>
      <c r="V91" s="67"/>
      <c r="W91" s="67"/>
      <c r="X91" s="67"/>
    </row>
    <row r="92" spans="19:24">
      <c r="S92" s="67"/>
      <c r="T92" s="67"/>
      <c r="U92" s="67"/>
      <c r="V92" s="67"/>
      <c r="W92" s="67"/>
      <c r="X92" s="67"/>
    </row>
    <row r="93" spans="19:24">
      <c r="S93" s="67"/>
      <c r="T93" s="67"/>
      <c r="U93" s="67"/>
      <c r="V93" s="67"/>
      <c r="W93" s="67"/>
      <c r="X93" s="67"/>
    </row>
    <row r="94" spans="19:24">
      <c r="S94" s="67"/>
      <c r="T94" s="67"/>
      <c r="U94" s="67"/>
      <c r="V94" s="67"/>
      <c r="W94" s="67"/>
      <c r="X94" s="67"/>
    </row>
    <row r="95" spans="19:24">
      <c r="S95" s="67"/>
      <c r="T95" s="67"/>
      <c r="U95" s="67"/>
      <c r="V95" s="67"/>
      <c r="W95" s="67"/>
      <c r="X95" s="67"/>
    </row>
    <row r="96" spans="19:24">
      <c r="S96" s="67"/>
      <c r="T96" s="67"/>
      <c r="U96" s="67"/>
      <c r="V96" s="67"/>
      <c r="W96" s="67"/>
      <c r="X96" s="67"/>
    </row>
    <row r="97" spans="19:24">
      <c r="S97" s="67"/>
      <c r="T97" s="67"/>
      <c r="U97" s="67"/>
      <c r="V97" s="67"/>
      <c r="W97" s="67"/>
      <c r="X97" s="67"/>
    </row>
    <row r="98" spans="19:24">
      <c r="S98" s="67"/>
      <c r="T98" s="67"/>
      <c r="U98" s="67"/>
      <c r="V98" s="67"/>
      <c r="W98" s="67"/>
      <c r="X98" s="67"/>
    </row>
    <row r="99" spans="19:24">
      <c r="S99" s="67"/>
      <c r="T99" s="67"/>
      <c r="U99" s="67"/>
      <c r="V99" s="67"/>
      <c r="W99" s="67"/>
      <c r="X99" s="67"/>
    </row>
    <row r="100" spans="19:24">
      <c r="S100" s="67"/>
      <c r="T100" s="67"/>
      <c r="U100" s="67"/>
      <c r="V100" s="67"/>
      <c r="W100" s="67"/>
      <c r="X100" s="67"/>
    </row>
    <row r="101" spans="19:24">
      <c r="S101" s="67"/>
      <c r="T101" s="67"/>
      <c r="U101" s="67"/>
      <c r="V101" s="67"/>
      <c r="W101" s="67"/>
      <c r="X101" s="67"/>
    </row>
    <row r="102" spans="19:24">
      <c r="S102" s="67"/>
      <c r="T102" s="67"/>
      <c r="U102" s="67"/>
      <c r="V102" s="67"/>
      <c r="W102" s="67"/>
      <c r="X102" s="67"/>
    </row>
    <row r="121" spans="2:2">
      <c r="B121" s="44" t="s">
        <v>32</v>
      </c>
    </row>
    <row r="122" spans="2:2">
      <c r="B122" s="44" t="s">
        <v>33</v>
      </c>
    </row>
    <row r="123" spans="2:2">
      <c r="B123" s="44">
        <f>700*38/100</f>
        <v>266</v>
      </c>
    </row>
  </sheetData>
  <mergeCells count="188">
    <mergeCell ref="A5:A7"/>
    <mergeCell ref="B5:B7"/>
    <mergeCell ref="C5:C7"/>
    <mergeCell ref="D5:E7"/>
    <mergeCell ref="Z5:Z7"/>
    <mergeCell ref="AA5:AA7"/>
    <mergeCell ref="Q6:Q7"/>
    <mergeCell ref="R6:R7"/>
    <mergeCell ref="V6:V7"/>
    <mergeCell ref="W6:W7"/>
    <mergeCell ref="U5:U7"/>
    <mergeCell ref="V5:W5"/>
    <mergeCell ref="X5:X7"/>
    <mergeCell ref="N5:T5"/>
    <mergeCell ref="T6:T7"/>
    <mergeCell ref="G5:L5"/>
    <mergeCell ref="S6:S7"/>
    <mergeCell ref="F5:F7"/>
    <mergeCell ref="A11:A12"/>
    <mergeCell ref="B11:B12"/>
    <mergeCell ref="C11:C12"/>
    <mergeCell ref="D11:E11"/>
    <mergeCell ref="D12:E12"/>
    <mergeCell ref="D8:E8"/>
    <mergeCell ref="A9:A10"/>
    <mergeCell ref="B9:B10"/>
    <mergeCell ref="C9:C10"/>
    <mergeCell ref="A13:A14"/>
    <mergeCell ref="B13:B14"/>
    <mergeCell ref="C13:C14"/>
    <mergeCell ref="D13:E13"/>
    <mergeCell ref="D14:E14"/>
    <mergeCell ref="A15:A16"/>
    <mergeCell ref="B15:B16"/>
    <mergeCell ref="C15:C16"/>
    <mergeCell ref="D15:E15"/>
    <mergeCell ref="D16:E16"/>
    <mergeCell ref="A17:A18"/>
    <mergeCell ref="B17:B18"/>
    <mergeCell ref="C17:C18"/>
    <mergeCell ref="D17:E17"/>
    <mergeCell ref="D18:E18"/>
    <mergeCell ref="A19:A20"/>
    <mergeCell ref="B19:B20"/>
    <mergeCell ref="C19:C20"/>
    <mergeCell ref="D19:E19"/>
    <mergeCell ref="D20:E20"/>
    <mergeCell ref="A21:A22"/>
    <mergeCell ref="B21:B22"/>
    <mergeCell ref="C21:C22"/>
    <mergeCell ref="D21:E21"/>
    <mergeCell ref="D22:E22"/>
    <mergeCell ref="A23:A24"/>
    <mergeCell ref="B23:B24"/>
    <mergeCell ref="C23:C24"/>
    <mergeCell ref="D23:E23"/>
    <mergeCell ref="D24:E24"/>
    <mergeCell ref="A25:A26"/>
    <mergeCell ref="B25:B26"/>
    <mergeCell ref="C25:C26"/>
    <mergeCell ref="D25:E25"/>
    <mergeCell ref="D26:E26"/>
    <mergeCell ref="A27:A28"/>
    <mergeCell ref="B27:B28"/>
    <mergeCell ref="C27:C28"/>
    <mergeCell ref="D27:E27"/>
    <mergeCell ref="D28:E28"/>
    <mergeCell ref="A29:A30"/>
    <mergeCell ref="B29:B30"/>
    <mergeCell ref="C29:C30"/>
    <mergeCell ref="D29:E29"/>
    <mergeCell ref="D30:E30"/>
    <mergeCell ref="A31:A32"/>
    <mergeCell ref="B31:B32"/>
    <mergeCell ref="C31:C32"/>
    <mergeCell ref="D31:E31"/>
    <mergeCell ref="D32:E32"/>
    <mergeCell ref="A33:A34"/>
    <mergeCell ref="B33:B34"/>
    <mergeCell ref="C33:C34"/>
    <mergeCell ref="D33:E33"/>
    <mergeCell ref="D34:E34"/>
    <mergeCell ref="A35:A36"/>
    <mergeCell ref="B35:B36"/>
    <mergeCell ref="C35:C36"/>
    <mergeCell ref="D35:E35"/>
    <mergeCell ref="D36:E36"/>
    <mergeCell ref="A37:A38"/>
    <mergeCell ref="B37:B38"/>
    <mergeCell ref="C37:C38"/>
    <mergeCell ref="D37:E37"/>
    <mergeCell ref="D38:E38"/>
    <mergeCell ref="A39:A40"/>
    <mergeCell ref="B39:B40"/>
    <mergeCell ref="C39:C40"/>
    <mergeCell ref="D39:E39"/>
    <mergeCell ref="D40:E40"/>
    <mergeCell ref="A41:A42"/>
    <mergeCell ref="B41:B42"/>
    <mergeCell ref="C41:C42"/>
    <mergeCell ref="D41:E41"/>
    <mergeCell ref="D42:E42"/>
    <mergeCell ref="A43:A44"/>
    <mergeCell ref="B43:B44"/>
    <mergeCell ref="C43:C44"/>
    <mergeCell ref="D43:E43"/>
    <mergeCell ref="D44:E44"/>
    <mergeCell ref="A45:A46"/>
    <mergeCell ref="B45:B46"/>
    <mergeCell ref="C45:C46"/>
    <mergeCell ref="D45:E45"/>
    <mergeCell ref="D46:E46"/>
    <mergeCell ref="A47:A48"/>
    <mergeCell ref="B47:B48"/>
    <mergeCell ref="C47:C48"/>
    <mergeCell ref="D47:E47"/>
    <mergeCell ref="D48:E48"/>
    <mergeCell ref="A59:A60"/>
    <mergeCell ref="B59:B60"/>
    <mergeCell ref="C59:C60"/>
    <mergeCell ref="D59:E59"/>
    <mergeCell ref="A49:A50"/>
    <mergeCell ref="B49:B50"/>
    <mergeCell ref="C49:C50"/>
    <mergeCell ref="D49:E49"/>
    <mergeCell ref="D50:E50"/>
    <mergeCell ref="A51:A52"/>
    <mergeCell ref="B51:B52"/>
    <mergeCell ref="C51:C52"/>
    <mergeCell ref="D51:E51"/>
    <mergeCell ref="D52:E52"/>
    <mergeCell ref="A53:A54"/>
    <mergeCell ref="B53:B54"/>
    <mergeCell ref="C53:C54"/>
    <mergeCell ref="D53:E53"/>
    <mergeCell ref="D54:E54"/>
    <mergeCell ref="D60:E60"/>
    <mergeCell ref="A67:A68"/>
    <mergeCell ref="B67:B68"/>
    <mergeCell ref="C67:C68"/>
    <mergeCell ref="A61:A62"/>
    <mergeCell ref="B61:B62"/>
    <mergeCell ref="C61:C62"/>
    <mergeCell ref="D61:E61"/>
    <mergeCell ref="D62:E62"/>
    <mergeCell ref="A55:A56"/>
    <mergeCell ref="B55:B56"/>
    <mergeCell ref="C55:C56"/>
    <mergeCell ref="D55:E55"/>
    <mergeCell ref="D56:E56"/>
    <mergeCell ref="A57:A58"/>
    <mergeCell ref="B57:B58"/>
    <mergeCell ref="C57:C58"/>
    <mergeCell ref="D57:E57"/>
    <mergeCell ref="D58:E58"/>
    <mergeCell ref="A63:A64"/>
    <mergeCell ref="B63:B64"/>
    <mergeCell ref="C63:C64"/>
    <mergeCell ref="D63:E63"/>
    <mergeCell ref="D64:E64"/>
    <mergeCell ref="A65:A66"/>
    <mergeCell ref="AE5:AE7"/>
    <mergeCell ref="D74:G74"/>
    <mergeCell ref="D9:E9"/>
    <mergeCell ref="D10:E10"/>
    <mergeCell ref="N6:N7"/>
    <mergeCell ref="O6:O7"/>
    <mergeCell ref="P6:P7"/>
    <mergeCell ref="G6:G7"/>
    <mergeCell ref="H6:H7"/>
    <mergeCell ref="I6:I7"/>
    <mergeCell ref="J6:J7"/>
    <mergeCell ref="K6:K7"/>
    <mergeCell ref="L6:L7"/>
    <mergeCell ref="AB5:AB7"/>
    <mergeCell ref="AC5:AC7"/>
    <mergeCell ref="AD5:AD7"/>
    <mergeCell ref="B80:C80"/>
    <mergeCell ref="Y5:Y7"/>
    <mergeCell ref="B65:B66"/>
    <mergeCell ref="C65:C66"/>
    <mergeCell ref="D65:E65"/>
    <mergeCell ref="D66:E66"/>
    <mergeCell ref="U76:X76"/>
    <mergeCell ref="S75:X75"/>
    <mergeCell ref="U80:X80"/>
    <mergeCell ref="B76:C76"/>
    <mergeCell ref="M6:M7"/>
  </mergeCells>
  <pageMargins left="0" right="0" top="0" bottom="0" header="0" footer="0"/>
  <pageSetup paperSize="9" scale="65" orientation="landscape" r:id="rId1"/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TH nop</vt:lpstr>
      <vt:lpstr>LƯƠNG 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2025-07-31T08:23:41Z</cp:lastPrinted>
  <dcterms:created xsi:type="dcterms:W3CDTF">2015-06-05T18:17:20Z</dcterms:created>
  <dcterms:modified xsi:type="dcterms:W3CDTF">2026-05-29T15:24:42Z</dcterms:modified>
</cp:coreProperties>
</file>